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0800"/>
  </bookViews>
  <sheets>
    <sheet name="Table 1.1" sheetId="1" r:id="rId1"/>
  </sheets>
  <externalReferences>
    <externalReference r:id="rId2"/>
    <externalReference r:id="rId3"/>
  </externalReferences>
  <definedNames>
    <definedName name="_xlnm.Print_Area" localSheetId="0">'Table 1.1'!$A$3:$L$56</definedName>
  </definedNames>
  <calcPr calcId="145621"/>
</workbook>
</file>

<file path=xl/calcChain.xml><?xml version="1.0" encoding="utf-8"?>
<calcChain xmlns="http://schemas.openxmlformats.org/spreadsheetml/2006/main">
  <c r="I56" i="1" l="1"/>
  <c r="F52" i="1"/>
  <c r="E52" i="1"/>
  <c r="D52" i="1"/>
  <c r="C52" i="1"/>
  <c r="B52" i="1"/>
  <c r="F50" i="1"/>
  <c r="E50" i="1"/>
  <c r="D50" i="1"/>
  <c r="C50" i="1"/>
  <c r="B50" i="1"/>
  <c r="F49" i="1"/>
  <c r="E49" i="1"/>
  <c r="D49" i="1"/>
  <c r="C49" i="1"/>
  <c r="B49" i="1"/>
  <c r="F48" i="1"/>
  <c r="E48" i="1"/>
  <c r="D48" i="1"/>
  <c r="C48" i="1"/>
  <c r="B48" i="1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43" i="1"/>
  <c r="E43" i="1"/>
  <c r="D43" i="1"/>
  <c r="C43" i="1"/>
  <c r="B43" i="1"/>
  <c r="F42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F39" i="1"/>
  <c r="E39" i="1"/>
  <c r="D39" i="1"/>
  <c r="C39" i="1"/>
  <c r="B39" i="1"/>
  <c r="F35" i="1"/>
  <c r="E35" i="1"/>
  <c r="D35" i="1"/>
  <c r="C35" i="1"/>
  <c r="B35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</calcChain>
</file>

<file path=xl/sharedStrings.xml><?xml version="1.0" encoding="utf-8"?>
<sst xmlns="http://schemas.openxmlformats.org/spreadsheetml/2006/main" count="39" uniqueCount="26">
  <si>
    <t>Monthly Statistical Bulletin</t>
  </si>
  <si>
    <t>1.1 Employment</t>
  </si>
  <si>
    <t>Month</t>
  </si>
  <si>
    <t>2008–09</t>
  </si>
  <si>
    <t>2009–10</t>
  </si>
  <si>
    <t>2010–11</t>
  </si>
  <si>
    <t>2011–12</t>
  </si>
  <si>
    <t>20012–13</t>
  </si>
  <si>
    <t>Number employed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</si>
  <si>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</si>
  <si>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</si>
  <si>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</si>
  <si>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</si>
  <si>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</si>
  <si>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</si>
  <si>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</si>
  <si>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</si>
  <si>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</si>
  <si>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</si>
  <si>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</si>
  <si>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</si>
  <si>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</si>
  <si>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Annual change (a) – per cent</t>
  </si>
  <si>
    <t>(a) Monthly figures are seasonally adjusted.</t>
  </si>
  <si>
    <t>Update</t>
  </si>
  <si>
    <t>Source: ABS, Labour force, Cat. no. 6202.0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</si>
</sst>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###\ ##0.0"/>
    <numFmt numFmtId="165" formatCode="###\ ###\ ##0.0"/>
    <numFmt numFmtId="166" formatCode="[$-C09]d\ mmmm\ yyyy;@"/>
    <numFmt numFmtId="167" formatCode="_(&quot;$&quot;* #,##0.00_);_(&quot;$&quot;* \(#,##0.00\);_(&quot;$&quot;* &quot;-&quot;??_);_(@_)"/>
  </numFmts>
  <fonts count="22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10"/>
      <color rgb="FF0070C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u/>
      <sz val="8"/>
      <color indexed="12"/>
      <name val="Arial"/>
      <family val="2"/>
    </font>
    <font>
      <sz val="8"/>
      <color rgb="FF0070C0"/>
      <name val="Times New Roman"/>
      <family val="1"/>
    </font>
    <font>
      <sz val="10"/>
      <color indexed="12"/>
      <name val="Arial"/>
      <family val="2"/>
    </font>
    <font>
      <sz val="8"/>
      <color indexed="1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21" fillId="0" borderId="0"/>
  </cellStyleXfs>
  <cellXfs count="40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quotePrefix="1" applyFont="1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0" xfId="0" applyAlignment="1">
      <alignment horizontal="centerContinuous"/>
    </xf>
    <xf numFmtId="0" fontId="5" fillId="0" borderId="0" xfId="0" applyFont="1" applyAlignment="1">
      <alignment horizontal="centerContinuous"/>
    </xf>
    <xf numFmtId="0" fontId="0" fillId="0" borderId="3" xfId="0" applyBorder="1"/>
    <xf numFmtId="0" fontId="6" fillId="0" borderId="0" xfId="0" applyFont="1"/>
    <xf numFmtId="0" fontId="6" fillId="0" borderId="0" xfId="0" quotePrefix="1" applyFont="1"/>
    <xf numFmtId="0" fontId="7" fillId="0" borderId="4" xfId="0" applyFont="1" applyBorder="1"/>
    <xf numFmtId="0" fontId="7" fillId="0" borderId="4" xfId="0" applyFont="1" applyBorder="1" applyAlignment="1">
      <alignment horizontal="right"/>
    </xf>
    <xf numFmtId="0" fontId="8" fillId="0" borderId="0" xfId="0" applyFont="1" applyAlignment="1">
      <alignment horizontal="centerContinuous"/>
    </xf>
    <xf numFmtId="0" fontId="9" fillId="0" borderId="0" xfId="0" applyFont="1"/>
    <xf numFmtId="0" fontId="10" fillId="0" borderId="0" xfId="0" quotePrefix="1" applyFont="1" applyAlignment="1">
      <alignment horizontal="left"/>
    </xf>
    <xf numFmtId="0" fontId="11" fillId="0" borderId="0" xfId="0" applyFont="1"/>
    <xf numFmtId="164" fontId="11" fillId="0" borderId="0" xfId="0" applyNumberFormat="1" applyFont="1"/>
    <xf numFmtId="16" fontId="11" fillId="0" borderId="0" xfId="0" applyNumberFormat="1" applyFont="1"/>
    <xf numFmtId="164" fontId="0" fillId="0" borderId="0" xfId="0" applyNumberFormat="1"/>
    <xf numFmtId="0" fontId="11" fillId="0" borderId="0" xfId="0" applyFont="1" applyBorder="1"/>
    <xf numFmtId="0" fontId="12" fillId="0" borderId="1" xfId="0" applyFont="1" applyBorder="1"/>
    <xf numFmtId="164" fontId="13" fillId="0" borderId="1" xfId="0" applyNumberFormat="1" applyFont="1" applyBorder="1"/>
    <xf numFmtId="0" fontId="10" fillId="0" borderId="0" xfId="0" quotePrefix="1" applyFont="1" applyBorder="1" applyAlignment="1">
      <alignment horizontal="left"/>
    </xf>
    <xf numFmtId="164" fontId="13" fillId="0" borderId="0" xfId="0" applyNumberFormat="1" applyFont="1" applyBorder="1"/>
    <xf numFmtId="0" fontId="13" fillId="0" borderId="0" xfId="0" applyFont="1" applyAlignment="1">
      <alignment horizontal="centerContinuous"/>
    </xf>
    <xf numFmtId="165" fontId="11" fillId="0" borderId="0" xfId="0" applyNumberFormat="1" applyFont="1"/>
    <xf numFmtId="0" fontId="9" fillId="0" borderId="1" xfId="0" applyFont="1" applyBorder="1"/>
    <xf numFmtId="0" fontId="13" fillId="0" borderId="0" xfId="0" applyFont="1" applyBorder="1"/>
    <xf numFmtId="0" fontId="14" fillId="0" borderId="0" xfId="0" applyFont="1" applyBorder="1"/>
    <xf numFmtId="0" fontId="15" fillId="0" borderId="0" xfId="0" applyFont="1" applyAlignment="1">
      <alignment horizontal="left"/>
    </xf>
    <xf numFmtId="0" fontId="16" fillId="0" borderId="0" xfId="1" applyFont="1" applyAlignment="1" applyProtection="1"/>
    <xf numFmtId="0" fontId="13" fillId="0" borderId="0" xfId="0" applyFont="1"/>
    <xf numFmtId="166" fontId="14" fillId="0" borderId="0" xfId="0" quotePrefix="1" applyNumberFormat="1" applyFont="1" applyAlignment="1">
      <alignment horizontal="left"/>
    </xf>
    <xf numFmtId="0" fontId="17" fillId="0" borderId="0" xfId="1" quotePrefix="1" applyFont="1" applyAlignment="1" applyProtection="1">
      <alignment horizontal="left"/>
    </xf>
    <xf numFmtId="0" fontId="18" fillId="0" borderId="0" xfId="1" applyFont="1" applyAlignment="1" applyProtection="1"/>
    <xf numFmtId="0" fontId="19" fillId="0" borderId="0" xfId="0" applyFont="1"/>
    <xf numFmtId="0" fontId="14" fillId="0" borderId="0" xfId="0" applyFont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– per cent</a:t>
            </a:r>
          </a:p>
        </c:rich>
      </c:tx>
      <c:layout>
        <c:manualLayout>
          <c:xMode val="edge"/>
          <c:yMode val="edge"/>
          <c:x val="1.2437688465120519E-2"/>
          <c:y val="1.88679595262606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141432693121784E-2"/>
          <c:y val="0.17541637683982081"/>
          <c:w val="0.86816131296960763"/>
          <c:h val="0.74339759617776413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1.1'!$A$206:$A$266</c:f>
              <c:strCache>
                <c:ptCount val="61"/>
                <c:pt idx="0">
                  <c:v>Jun 08</c:v>
                </c:pt>
                <c:pt idx="1">
                  <c:v>Jul-08</c:v>
                </c:pt>
                <c:pt idx="2">
                  <c:v>Aug-08</c:v>
                </c:pt>
                <c:pt idx="3">
                  <c:v>Sep-08</c:v>
                </c:pt>
                <c:pt idx="4">
                  <c:v>Oct-08</c:v>
                </c:pt>
                <c:pt idx="5">
                  <c:v>Nov-08</c:v>
                </c:pt>
                <c:pt idx="6">
                  <c:v>Dec-08</c:v>
                </c:pt>
                <c:pt idx="7">
                  <c:v>Jan-09</c:v>
                </c:pt>
                <c:pt idx="8">
                  <c:v>Feb-09</c:v>
                </c:pt>
                <c:pt idx="9">
                  <c:v>Mar-09</c:v>
                </c:pt>
                <c:pt idx="10">
                  <c:v>Apr-09</c:v>
                </c:pt>
                <c:pt idx="11">
                  <c:v>May-09</c:v>
                </c:pt>
                <c:pt idx="12">
                  <c:v>Jun 09</c:v>
                </c:pt>
                <c:pt idx="13">
                  <c:v>Jul-09</c:v>
                </c:pt>
                <c:pt idx="14">
                  <c:v>Aug-09</c:v>
                </c:pt>
                <c:pt idx="15">
                  <c:v>Sep-09</c:v>
                </c:pt>
                <c:pt idx="16">
                  <c:v>Oct-09</c:v>
                </c:pt>
                <c:pt idx="17">
                  <c:v>Nov-09</c:v>
                </c:pt>
                <c:pt idx="18">
                  <c:v>Dec-09</c:v>
                </c:pt>
                <c:pt idx="19">
                  <c:v>Jan-10</c:v>
                </c:pt>
                <c:pt idx="20">
                  <c:v>Feb-10</c:v>
                </c:pt>
                <c:pt idx="21">
                  <c:v>Mar-10</c:v>
                </c:pt>
                <c:pt idx="22">
                  <c:v>Apr-10</c:v>
                </c:pt>
                <c:pt idx="23">
                  <c:v>May-10</c:v>
                </c:pt>
                <c:pt idx="24">
                  <c:v>Jun 10</c:v>
                </c:pt>
                <c:pt idx="25">
                  <c:v>Jul-10</c:v>
                </c:pt>
                <c:pt idx="26">
                  <c:v>Aug-10</c:v>
                </c:pt>
                <c:pt idx="27">
                  <c:v>Sep-10</c:v>
                </c:pt>
                <c:pt idx="28">
                  <c:v>Oct-10</c:v>
                </c:pt>
                <c:pt idx="29">
                  <c:v>Nov-10</c:v>
                </c:pt>
                <c:pt idx="30">
                  <c:v>Dec-10</c:v>
                </c:pt>
                <c:pt idx="31">
                  <c:v>Jan-11</c:v>
                </c:pt>
                <c:pt idx="32">
                  <c:v>Feb-11</c:v>
                </c:pt>
                <c:pt idx="33">
                  <c:v>Mar-11</c:v>
                </c:pt>
                <c:pt idx="34">
                  <c:v>Apr-11</c:v>
                </c:pt>
                <c:pt idx="35">
                  <c:v>May-11</c:v>
                </c:pt>
                <c:pt idx="36">
                  <c:v>Jun 11</c:v>
                </c:pt>
                <c:pt idx="37">
                  <c:v>Jul-11</c:v>
                </c:pt>
                <c:pt idx="38">
                  <c:v>Aug-11</c:v>
                </c:pt>
                <c:pt idx="39">
                  <c:v>Sep-11</c:v>
                </c:pt>
                <c:pt idx="40">
                  <c:v>Oct-11</c:v>
                </c:pt>
                <c:pt idx="41">
                  <c:v>Nov-11</c:v>
                </c:pt>
                <c:pt idx="42">
                  <c:v>Dec-11</c:v>
                </c:pt>
                <c:pt idx="43">
                  <c:v>Jan-12</c:v>
                </c:pt>
                <c:pt idx="44">
                  <c:v>Feb-12</c:v>
                </c:pt>
                <c:pt idx="45">
                  <c:v>Mar-12</c:v>
                </c:pt>
                <c:pt idx="46">
                  <c:v>Apr-12</c:v>
                </c:pt>
                <c:pt idx="47">
                  <c:v>May-12</c:v>
                </c:pt>
                <c:pt idx="48">
                  <c:v>Jun 12</c:v>
                </c:pt>
                <c:pt idx="49">
                  <c:v>Jul-12</c:v>
                </c:pt>
                <c:pt idx="50">
                  <c:v>Aug-12</c:v>
                </c:pt>
                <c:pt idx="51">
                  <c:v>Sep-12</c:v>
                </c:pt>
                <c:pt idx="52">
                  <c:v>Oct-12</c:v>
                </c:pt>
                <c:pt idx="53">
                  <c:v>Nov-12</c:v>
                </c:pt>
                <c:pt idx="54">
                  <c:v>Dec-12</c:v>
                </c:pt>
                <c:pt idx="55">
                  <c:v>Jan-13</c:v>
                </c:pt>
                <c:pt idx="56">
                  <c:v>Feb-13</c:v>
                </c:pt>
                <c:pt idx="57">
                  <c:v>Mar-13</c:v>
                </c:pt>
                <c:pt idx="58">
                  <c:v>Apr-13</c:v>
                </c:pt>
                <c:pt idx="59">
                  <c:v>May-13</c:v>
                </c:pt>
                <c:pt idx="60">
                  <c:v>Jun-13</c:v>
                </c:pt>
              </c:strCache>
            </c:strRef>
          </c:cat>
          <c:val>
            <c:numRef>
              <c:f>'[1]Data 1.1'!$H$206:$H$266</c:f>
              <c:numCache>
                <c:formatCode>0.0_ ;[Red]\-0.0\ </c:formatCode>
                <c:ptCount val="61"/>
                <c:pt idx="0">
                  <c:v>2.9550219676100449</c:v>
                </c:pt>
                <c:pt idx="1">
                  <c:v>2.9665568650490237</c:v>
                </c:pt>
                <c:pt idx="2">
                  <c:v>2.8623200729402707</c:v>
                </c:pt>
                <c:pt idx="3">
                  <c:v>2.4952011630034758</c:v>
                </c:pt>
                <c:pt idx="4">
                  <c:v>2.7301499634851227</c:v>
                </c:pt>
                <c:pt idx="5">
                  <c:v>2.0967390342175074</c:v>
                </c:pt>
                <c:pt idx="6">
                  <c:v>1.9036844311060792</c:v>
                </c:pt>
                <c:pt idx="7">
                  <c:v>1.5294877174158998</c:v>
                </c:pt>
                <c:pt idx="8">
                  <c:v>1.311522614352723</c:v>
                </c:pt>
                <c:pt idx="9">
                  <c:v>0.89208911861295603</c:v>
                </c:pt>
                <c:pt idx="10">
                  <c:v>0.75898289137960895</c:v>
                </c:pt>
                <c:pt idx="11">
                  <c:v>0.85812891493574572</c:v>
                </c:pt>
                <c:pt idx="12">
                  <c:v>0.28100213969735022</c:v>
                </c:pt>
                <c:pt idx="13">
                  <c:v>0.45444632036408544</c:v>
                </c:pt>
                <c:pt idx="14">
                  <c:v>7.8800917385755592E-2</c:v>
                </c:pt>
                <c:pt idx="15">
                  <c:v>0.40027473878247999</c:v>
                </c:pt>
                <c:pt idx="16">
                  <c:v>0.3082644470994953</c:v>
                </c:pt>
                <c:pt idx="17">
                  <c:v>0.70518253380609641</c:v>
                </c:pt>
                <c:pt idx="18">
                  <c:v>1.0248574453080079</c:v>
                </c:pt>
                <c:pt idx="19">
                  <c:v>1.505091478194398</c:v>
                </c:pt>
                <c:pt idx="20">
                  <c:v>1.3324446485252883</c:v>
                </c:pt>
                <c:pt idx="21">
                  <c:v>1.6346691770522896</c:v>
                </c:pt>
                <c:pt idx="22">
                  <c:v>1.5265230786450819</c:v>
                </c:pt>
                <c:pt idx="23">
                  <c:v>1.6618639882976758</c:v>
                </c:pt>
                <c:pt idx="24">
                  <c:v>2.3146771820244219</c:v>
                </c:pt>
                <c:pt idx="25">
                  <c:v>2.1499279483004559</c:v>
                </c:pt>
                <c:pt idx="26">
                  <c:v>2.6153730702701301</c:v>
                </c:pt>
                <c:pt idx="27">
                  <c:v>2.6282213510222396</c:v>
                </c:pt>
                <c:pt idx="28">
                  <c:v>2.7626766926463242</c:v>
                </c:pt>
                <c:pt idx="29">
                  <c:v>3.0306757909825079</c:v>
                </c:pt>
                <c:pt idx="30">
                  <c:v>2.725573582977082</c:v>
                </c:pt>
                <c:pt idx="31">
                  <c:v>2.5532891364069292</c:v>
                </c:pt>
                <c:pt idx="32">
                  <c:v>2.4669042184949963</c:v>
                </c:pt>
                <c:pt idx="33">
                  <c:v>2.7293316686451745</c:v>
                </c:pt>
                <c:pt idx="34">
                  <c:v>2.3225087252414225</c:v>
                </c:pt>
                <c:pt idx="35">
                  <c:v>2.2929683007248141</c:v>
                </c:pt>
                <c:pt idx="36">
                  <c:v>2.093421372931124</c:v>
                </c:pt>
                <c:pt idx="37">
                  <c:v>1.894024325814269</c:v>
                </c:pt>
                <c:pt idx="38">
                  <c:v>1.5982170680032319</c:v>
                </c:pt>
                <c:pt idx="39">
                  <c:v>1.518200145026962</c:v>
                </c:pt>
                <c:pt idx="40">
                  <c:v>1.2763125849798747</c:v>
                </c:pt>
                <c:pt idx="41">
                  <c:v>0.80768988926392171</c:v>
                </c:pt>
                <c:pt idx="42">
                  <c:v>0.49549489866932694</c:v>
                </c:pt>
                <c:pt idx="43">
                  <c:v>0.85498746818426963</c:v>
                </c:pt>
                <c:pt idx="44">
                  <c:v>0.70492908707375845</c:v>
                </c:pt>
                <c:pt idx="45">
                  <c:v>0.86887654159816807</c:v>
                </c:pt>
                <c:pt idx="46">
                  <c:v>1.1122738661599807</c:v>
                </c:pt>
                <c:pt idx="47">
                  <c:v>1.4766242238296825</c:v>
                </c:pt>
                <c:pt idx="48">
                  <c:v>0.9246383281373487</c:v>
                </c:pt>
                <c:pt idx="49">
                  <c:v>1.0855102610172787</c:v>
                </c:pt>
                <c:pt idx="50">
                  <c:v>1.0526219013926899</c:v>
                </c:pt>
                <c:pt idx="51">
                  <c:v>1.044836183845443</c:v>
                </c:pt>
                <c:pt idx="52">
                  <c:v>1.0310763958603646</c:v>
                </c:pt>
                <c:pt idx="53">
                  <c:v>1.1629131345349886</c:v>
                </c:pt>
                <c:pt idx="54">
                  <c:v>1.4197968866207527</c:v>
                </c:pt>
                <c:pt idx="55">
                  <c:v>0.96241379619789269</c:v>
                </c:pt>
                <c:pt idx="56">
                  <c:v>1.7992115388424088</c:v>
                </c:pt>
                <c:pt idx="57">
                  <c:v>0.99700293039749843</c:v>
                </c:pt>
                <c:pt idx="58">
                  <c:v>1.42754248668163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37312"/>
        <c:axId val="126243200"/>
      </c:lineChart>
      <c:catAx>
        <c:axId val="12623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6243200"/>
        <c:crossesAt val="0"/>
        <c:auto val="0"/>
        <c:lblAlgn val="ctr"/>
        <c:lblOffset val="100"/>
        <c:tickLblSkip val="12"/>
        <c:tickMarkSkip val="3"/>
        <c:noMultiLvlLbl val="0"/>
      </c:catAx>
      <c:valAx>
        <c:axId val="126243200"/>
        <c:scaling>
          <c:orientation val="minMax"/>
          <c:max val="4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6237312"/>
        <c:crosses val="autoZero"/>
        <c:crossBetween val="midCat"/>
        <c:majorUnit val="1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7800000" scaled="0"/>
    </a:gra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47625</xdr:rowOff>
    </xdr:from>
    <xdr:to>
      <xdr:col>6</xdr:col>
      <xdr:colOff>9525</xdr:colOff>
      <xdr:row>17</xdr:row>
      <xdr:rowOff>142875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3" name="Text Box 0"/>
        <xdr:cNvSpPr txBox="1">
          <a:spLocks noChangeArrowheads="1"/>
        </xdr:cNvSpPr>
      </xdr:nvSpPr>
      <xdr:spPr bwMode="auto">
        <a:xfrm>
          <a:off x="4057650" y="828675"/>
          <a:ext cx="1743075" cy="7010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38100</xdr:rowOff>
        </xdr:from>
        <xdr:to>
          <xdr:col>10</xdr:col>
          <xdr:colOff>571500</xdr:colOff>
          <xdr:row>36</xdr:row>
          <xdr:rowOff>209550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SB%20Chapter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</sheetNames>
    <sheetDataSet>
      <sheetData sheetId="0"/>
      <sheetData sheetId="1">
        <row r="206">
          <cell r="A206" t="str">
            <v>Jun 08</v>
          </cell>
          <cell r="H206">
            <v>2.9550219676100449</v>
          </cell>
          <cell r="I206">
            <v>10743.063757583333</v>
          </cell>
        </row>
        <row r="207">
          <cell r="A207">
            <v>39630</v>
          </cell>
          <cell r="D207">
            <v>10901.1725654</v>
          </cell>
          <cell r="H207">
            <v>2.9665568650490237</v>
          </cell>
        </row>
        <row r="208">
          <cell r="A208">
            <v>39661</v>
          </cell>
          <cell r="D208">
            <v>10923.395673000001</v>
          </cell>
          <cell r="H208">
            <v>2.8623200729402707</v>
          </cell>
        </row>
        <row r="209">
          <cell r="A209">
            <v>39692</v>
          </cell>
          <cell r="D209">
            <v>10918.639490699999</v>
          </cell>
          <cell r="H209">
            <v>2.4952011630034758</v>
          </cell>
        </row>
        <row r="210">
          <cell r="A210">
            <v>39722</v>
          </cell>
          <cell r="D210">
            <v>10941.4356788</v>
          </cell>
          <cell r="H210">
            <v>2.7301499634851227</v>
          </cell>
        </row>
        <row r="211">
          <cell r="A211">
            <v>39753</v>
          </cell>
          <cell r="D211">
            <v>10926.5841688</v>
          </cell>
          <cell r="H211">
            <v>2.0967390342175074</v>
          </cell>
        </row>
        <row r="212">
          <cell r="A212">
            <v>39783</v>
          </cell>
          <cell r="D212">
            <v>10929.322552400001</v>
          </cell>
          <cell r="H212">
            <v>1.9036844311060792</v>
          </cell>
        </row>
        <row r="213">
          <cell r="A213">
            <v>39814</v>
          </cell>
          <cell r="D213">
            <v>10917.809009000001</v>
          </cell>
          <cell r="H213">
            <v>1.5294877174158998</v>
          </cell>
        </row>
        <row r="214">
          <cell r="A214">
            <v>39845</v>
          </cell>
          <cell r="D214">
            <v>10939.1669336</v>
          </cell>
          <cell r="H214">
            <v>1.311522614352723</v>
          </cell>
        </row>
        <row r="215">
          <cell r="A215">
            <v>39873</v>
          </cell>
          <cell r="D215">
            <v>10918.0979678</v>
          </cell>
          <cell r="H215">
            <v>0.89208911861295603</v>
          </cell>
        </row>
        <row r="216">
          <cell r="A216">
            <v>39904</v>
          </cell>
          <cell r="D216">
            <v>10947.318821299999</v>
          </cell>
          <cell r="H216">
            <v>0.75898289137960895</v>
          </cell>
        </row>
        <row r="217">
          <cell r="A217">
            <v>39934</v>
          </cell>
          <cell r="D217">
            <v>10928.4155911</v>
          </cell>
          <cell r="H217">
            <v>0.85812891493574572</v>
          </cell>
        </row>
        <row r="218">
          <cell r="A218" t="str">
            <v>Jun 09</v>
          </cell>
          <cell r="D218">
            <v>10913.5293017</v>
          </cell>
          <cell r="H218">
            <v>0.28100213969735022</v>
          </cell>
          <cell r="I218">
            <v>10926.181492500002</v>
          </cell>
        </row>
        <row r="219">
          <cell r="A219">
            <v>39995</v>
          </cell>
          <cell r="D219">
            <v>10950.712543</v>
          </cell>
          <cell r="H219">
            <v>0.45444632036408544</v>
          </cell>
        </row>
        <row r="220">
          <cell r="A220">
            <v>40026</v>
          </cell>
          <cell r="D220">
            <v>10932.003409000001</v>
          </cell>
          <cell r="H220">
            <v>7.8800917385755592E-2</v>
          </cell>
        </row>
        <row r="221">
          <cell r="A221">
            <v>40057</v>
          </cell>
          <cell r="D221">
            <v>10962.3440464</v>
          </cell>
          <cell r="H221">
            <v>0.40027473878247999</v>
          </cell>
        </row>
        <row r="222">
          <cell r="A222">
            <v>40087</v>
          </cell>
          <cell r="D222">
            <v>10975.164235</v>
          </cell>
          <cell r="H222">
            <v>0.3082644470994953</v>
          </cell>
        </row>
        <row r="223">
          <cell r="A223">
            <v>40118</v>
          </cell>
          <cell r="D223">
            <v>11003.6365319</v>
          </cell>
          <cell r="H223">
            <v>0.70518253380609641</v>
          </cell>
        </row>
        <row r="224">
          <cell r="A224">
            <v>40148</v>
          </cell>
          <cell r="D224">
            <v>11041.332528299999</v>
          </cell>
          <cell r="H224">
            <v>1.0248574453080079</v>
          </cell>
        </row>
        <row r="225">
          <cell r="A225">
            <v>40179</v>
          </cell>
          <cell r="D225">
            <v>11082.132022</v>
          </cell>
          <cell r="H225">
            <v>1.505091478194398</v>
          </cell>
        </row>
        <row r="226">
          <cell r="A226">
            <v>40210</v>
          </cell>
          <cell r="D226">
            <v>11084.925278000001</v>
          </cell>
          <cell r="H226">
            <v>1.3324446485252883</v>
          </cell>
        </row>
        <row r="227">
          <cell r="A227">
            <v>40238</v>
          </cell>
          <cell r="D227">
            <v>11096.572749999999</v>
          </cell>
          <cell r="H227">
            <v>1.6346691770522896</v>
          </cell>
        </row>
        <row r="228">
          <cell r="A228">
            <v>40269</v>
          </cell>
          <cell r="D228">
            <v>11114.432169600001</v>
          </cell>
          <cell r="H228">
            <v>1.5265230786450819</v>
          </cell>
        </row>
        <row r="229">
          <cell r="A229">
            <v>40299</v>
          </cell>
          <cell r="D229">
            <v>11110.030994299999</v>
          </cell>
          <cell r="H229">
            <v>1.6618639882976758</v>
          </cell>
        </row>
        <row r="230">
          <cell r="A230" t="str">
            <v>Jun 10</v>
          </cell>
          <cell r="D230">
            <v>11166.1422742</v>
          </cell>
          <cell r="H230">
            <v>2.3146771820244219</v>
          </cell>
          <cell r="I230">
            <v>11043.246247666668</v>
          </cell>
        </row>
        <row r="231">
          <cell r="A231">
            <v>40360</v>
          </cell>
          <cell r="D231">
            <v>11186.1449725</v>
          </cell>
          <cell r="H231">
            <v>2.1499279483004559</v>
          </cell>
        </row>
        <row r="232">
          <cell r="A232">
            <v>40391</v>
          </cell>
          <cell r="D232">
            <v>11217.916082199999</v>
          </cell>
          <cell r="H232">
            <v>2.6153730702701301</v>
          </cell>
        </row>
        <row r="233">
          <cell r="A233">
            <v>40422</v>
          </cell>
          <cell r="D233">
            <v>11250.4587132</v>
          </cell>
          <cell r="H233">
            <v>2.6282213510222396</v>
          </cell>
        </row>
        <row r="234">
          <cell r="A234">
            <v>40452</v>
          </cell>
          <cell r="D234">
            <v>11278.3725393</v>
          </cell>
          <cell r="H234">
            <v>2.7626766926463242</v>
          </cell>
        </row>
        <row r="235">
          <cell r="A235">
            <v>40483</v>
          </cell>
          <cell r="D235">
            <v>11337.1210804</v>
          </cell>
          <cell r="H235">
            <v>3.0306757909825079</v>
          </cell>
        </row>
        <row r="236">
          <cell r="A236">
            <v>40513</v>
          </cell>
          <cell r="D236">
            <v>11342.2721709</v>
          </cell>
          <cell r="H236">
            <v>2.725573582977082</v>
          </cell>
        </row>
        <row r="237">
          <cell r="A237">
            <v>40544</v>
          </cell>
          <cell r="D237">
            <v>11365.090894999999</v>
          </cell>
          <cell r="H237">
            <v>2.5532891364069292</v>
          </cell>
        </row>
        <row r="238">
          <cell r="A238">
            <v>40575</v>
          </cell>
          <cell r="D238">
            <v>11358.379767300001</v>
          </cell>
          <cell r="H238">
            <v>2.4669042184949963</v>
          </cell>
        </row>
        <row r="239">
          <cell r="A239">
            <v>40603</v>
          </cell>
          <cell r="D239">
            <v>11399.4350242</v>
          </cell>
          <cell r="H239">
            <v>2.7293316686451745</v>
          </cell>
        </row>
        <row r="240">
          <cell r="A240">
            <v>40634</v>
          </cell>
          <cell r="D240">
            <v>11372.5658265</v>
          </cell>
          <cell r="H240">
            <v>2.3225087252414225</v>
          </cell>
        </row>
        <row r="241">
          <cell r="A241">
            <v>40664</v>
          </cell>
          <cell r="D241">
            <v>11364.7804832</v>
          </cell>
          <cell r="H241">
            <v>2.2929683007248141</v>
          </cell>
        </row>
        <row r="242">
          <cell r="A242" t="str">
            <v>Jun 11</v>
          </cell>
          <cell r="D242">
            <v>11399.8966831</v>
          </cell>
          <cell r="H242">
            <v>2.093421372931124</v>
          </cell>
          <cell r="I242">
            <v>11322.079411666666</v>
          </cell>
        </row>
        <row r="243">
          <cell r="A243">
            <v>40725</v>
          </cell>
          <cell r="D243">
            <v>11398.0132794</v>
          </cell>
          <cell r="H243">
            <v>1.894024325814269</v>
          </cell>
        </row>
        <row r="244">
          <cell r="A244">
            <v>40756</v>
          </cell>
          <cell r="D244">
            <v>11397.202731699999</v>
          </cell>
          <cell r="H244">
            <v>1.5982170680032319</v>
          </cell>
        </row>
        <row r="245">
          <cell r="A245">
            <v>40787</v>
          </cell>
          <cell r="D245">
            <v>11421.263193700001</v>
          </cell>
          <cell r="H245">
            <v>1.518200145026962</v>
          </cell>
        </row>
        <row r="246">
          <cell r="A246">
            <v>40817</v>
          </cell>
          <cell r="D246">
            <v>11422.319827400001</v>
          </cell>
          <cell r="H246">
            <v>1.2763125849798747</v>
          </cell>
        </row>
        <row r="247">
          <cell r="A247">
            <v>40848</v>
          </cell>
          <cell r="D247">
            <v>11428.6898611</v>
          </cell>
          <cell r="H247">
            <v>0.80768988926392171</v>
          </cell>
        </row>
        <row r="248">
          <cell r="A248">
            <v>40878</v>
          </cell>
          <cell r="D248">
            <v>11398.4725509</v>
          </cell>
          <cell r="H248">
            <v>0.49549489866932694</v>
          </cell>
        </row>
        <row r="249">
          <cell r="A249">
            <v>40909</v>
          </cell>
          <cell r="D249">
            <v>11462.260997900001</v>
          </cell>
          <cell r="H249">
            <v>0.85498746818426963</v>
          </cell>
        </row>
        <row r="250">
          <cell r="A250">
            <v>40940</v>
          </cell>
          <cell r="D250">
            <v>11438.448290099999</v>
          </cell>
          <cell r="H250">
            <v>0.70492908707375845</v>
          </cell>
        </row>
        <row r="251">
          <cell r="A251">
            <v>40969</v>
          </cell>
          <cell r="D251">
            <v>11498.482040999999</v>
          </cell>
          <cell r="H251">
            <v>0.86887654159816807</v>
          </cell>
        </row>
        <row r="252">
          <cell r="A252">
            <v>41000</v>
          </cell>
          <cell r="D252">
            <v>11499.0599041</v>
          </cell>
          <cell r="H252">
            <v>1.1122738661599807</v>
          </cell>
        </row>
        <row r="253">
          <cell r="A253">
            <v>41030</v>
          </cell>
          <cell r="D253">
            <v>11532.595584799999</v>
          </cell>
          <cell r="H253">
            <v>1.4766242238296825</v>
          </cell>
        </row>
        <row r="254">
          <cell r="A254" t="str">
            <v>Jun 12</v>
          </cell>
          <cell r="D254">
            <v>11505.304497200001</v>
          </cell>
          <cell r="H254">
            <v>0.9246383281373487</v>
          </cell>
          <cell r="I254">
            <v>11448.949217083335</v>
          </cell>
        </row>
        <row r="255">
          <cell r="A255">
            <v>41091</v>
          </cell>
          <cell r="D255">
            <v>11521.739883099999</v>
          </cell>
          <cell r="H255">
            <v>1.0855102610172787</v>
          </cell>
        </row>
        <row r="256">
          <cell r="A256">
            <v>41122</v>
          </cell>
          <cell r="D256">
            <v>11517.172183799999</v>
          </cell>
          <cell r="H256">
            <v>1.0526219013926899</v>
          </cell>
        </row>
        <row r="257">
          <cell r="A257">
            <v>41153</v>
          </cell>
          <cell r="D257">
            <v>11540.5966842</v>
          </cell>
          <cell r="H257">
            <v>1.044836183845443</v>
          </cell>
        </row>
        <row r="258">
          <cell r="A258">
            <v>41183</v>
          </cell>
          <cell r="D258">
            <v>11540.092671</v>
          </cell>
          <cell r="H258">
            <v>1.0310763958603646</v>
          </cell>
        </row>
        <row r="259">
          <cell r="A259">
            <v>41214</v>
          </cell>
          <cell r="D259">
            <v>11561.5955966</v>
          </cell>
          <cell r="H259">
            <v>1.1629131345349886</v>
          </cell>
        </row>
        <row r="260">
          <cell r="A260">
            <v>41244</v>
          </cell>
          <cell r="D260">
            <v>11560.307709299999</v>
          </cell>
          <cell r="H260">
            <v>1.4197968866207527</v>
          </cell>
        </row>
        <row r="261">
          <cell r="A261">
            <v>41275</v>
          </cell>
          <cell r="D261">
            <v>11572.575379100001</v>
          </cell>
          <cell r="H261">
            <v>0.96241379619789269</v>
          </cell>
        </row>
        <row r="262">
          <cell r="A262">
            <v>41306</v>
          </cell>
          <cell r="D262">
            <v>11644.250171600001</v>
          </cell>
          <cell r="H262">
            <v>1.7992115388424088</v>
          </cell>
        </row>
        <row r="263">
          <cell r="A263">
            <v>41334</v>
          </cell>
          <cell r="D263">
            <v>11613.122243899999</v>
          </cell>
          <cell r="H263">
            <v>0.99700293039749843</v>
          </cell>
        </row>
        <row r="264">
          <cell r="A264">
            <v>41365</v>
          </cell>
          <cell r="D264">
            <v>11663.2138698</v>
          </cell>
          <cell r="H264">
            <v>1.42754248668163</v>
          </cell>
        </row>
        <row r="265">
          <cell r="A265">
            <v>41395</v>
          </cell>
          <cell r="H265" t="e">
            <v>#N/A</v>
          </cell>
        </row>
        <row r="266">
          <cell r="A266">
            <v>41426</v>
          </cell>
          <cell r="H266" t="e">
            <v>#N/A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 Table - S.A."/>
      <sheetName val="1.1b Table - % Change"/>
      <sheetName val="Chart2"/>
      <sheetName val="1.1 Data"/>
      <sheetName val="Graph data"/>
    </sheetNames>
    <sheetDataSet>
      <sheetData sheetId="0">
        <row r="60">
          <cell r="B60">
            <v>41438</v>
          </cell>
        </row>
      </sheetData>
      <sheetData sheetId="1" refreshError="1"/>
      <sheetData sheetId="2" refreshError="1"/>
      <sheetData sheetId="3">
        <row r="213">
          <cell r="B213">
            <v>7672.6316766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Lookup/6202.0Main+Features1Jul%202012?OpenDocument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60"/>
  <sheetViews>
    <sheetView tabSelected="1" zoomScaleNormal="100" workbookViewId="0">
      <selection activeCell="Q26" sqref="Q26"/>
    </sheetView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4" s="2" customFormat="1" ht="15" x14ac:dyDescent="0.25">
      <c r="A1" s="1" t="s">
        <v>0</v>
      </c>
    </row>
    <row r="3" spans="1:14" s="7" customFormat="1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  <c r="L3" s="6"/>
    </row>
    <row r="4" spans="1:14" ht="15.6" customHeight="1" x14ac:dyDescent="0.2">
      <c r="B4" s="8"/>
      <c r="C4" s="8"/>
      <c r="D4" s="8"/>
      <c r="E4" s="8"/>
      <c r="F4" s="8"/>
    </row>
    <row r="5" spans="1:14" ht="15.6" customHeight="1" x14ac:dyDescent="0.2">
      <c r="A5" s="9"/>
      <c r="B5" s="8"/>
      <c r="C5" s="8"/>
      <c r="D5" s="8"/>
      <c r="E5" s="8"/>
      <c r="F5" s="8"/>
      <c r="H5" s="10"/>
    </row>
    <row r="6" spans="1:14" ht="9.75" customHeight="1" x14ac:dyDescent="0.2">
      <c r="A6" s="9"/>
      <c r="B6" s="8"/>
      <c r="C6" s="8"/>
      <c r="D6" s="8"/>
      <c r="E6" s="8"/>
      <c r="F6" s="8"/>
      <c r="H6" s="10"/>
    </row>
    <row r="7" spans="1:14" ht="15.6" customHeight="1" x14ac:dyDescent="0.2">
      <c r="A7" s="9"/>
      <c r="B7" s="8"/>
      <c r="C7" s="8"/>
      <c r="D7" s="8"/>
      <c r="E7" s="8"/>
      <c r="F7" s="8"/>
      <c r="H7" s="10"/>
      <c r="N7" s="11"/>
    </row>
    <row r="8" spans="1:14" ht="15.6" customHeight="1" x14ac:dyDescent="0.2">
      <c r="A8" s="9"/>
      <c r="B8" s="8"/>
      <c r="C8" s="8"/>
      <c r="D8" s="8"/>
      <c r="E8" s="8"/>
      <c r="F8" s="8"/>
      <c r="H8" s="10"/>
      <c r="N8" s="12"/>
    </row>
    <row r="9" spans="1:14" ht="15.6" customHeight="1" x14ac:dyDescent="0.2">
      <c r="A9" s="9"/>
      <c r="B9" s="8"/>
      <c r="C9" s="8"/>
      <c r="D9" s="8"/>
      <c r="E9" s="8"/>
      <c r="F9" s="8"/>
      <c r="H9" s="10"/>
    </row>
    <row r="10" spans="1:14" ht="15.6" customHeight="1" x14ac:dyDescent="0.2">
      <c r="A10" s="9"/>
      <c r="B10" s="8"/>
      <c r="C10" s="8"/>
      <c r="D10" s="8"/>
      <c r="E10" s="8"/>
      <c r="F10" s="8"/>
      <c r="H10" s="10"/>
    </row>
    <row r="11" spans="1:14" ht="15.6" customHeight="1" x14ac:dyDescent="0.2">
      <c r="A11" s="9"/>
      <c r="B11" s="8"/>
      <c r="C11" s="8"/>
      <c r="D11" s="8"/>
      <c r="E11" s="8"/>
      <c r="F11" s="8"/>
      <c r="H11" s="10"/>
    </row>
    <row r="12" spans="1:14" ht="15.6" customHeight="1" x14ac:dyDescent="0.2">
      <c r="A12" s="9"/>
      <c r="B12" s="8"/>
      <c r="C12" s="8"/>
      <c r="D12" s="8"/>
      <c r="E12" s="8"/>
      <c r="F12" s="8"/>
      <c r="H12" s="10"/>
    </row>
    <row r="13" spans="1:14" ht="15.6" customHeight="1" x14ac:dyDescent="0.2">
      <c r="A13" s="9"/>
      <c r="B13" s="8"/>
      <c r="C13" s="8"/>
      <c r="D13" s="8"/>
      <c r="E13" s="8"/>
      <c r="F13" s="8"/>
      <c r="H13" s="10"/>
    </row>
    <row r="14" spans="1:14" ht="15.6" customHeight="1" x14ac:dyDescent="0.2">
      <c r="A14" s="9"/>
      <c r="B14" s="8"/>
      <c r="C14" s="8"/>
      <c r="D14" s="8"/>
      <c r="E14" s="8"/>
      <c r="F14" s="8"/>
      <c r="H14" s="10"/>
    </row>
    <row r="15" spans="1:14" ht="15.6" customHeight="1" x14ac:dyDescent="0.2">
      <c r="A15" s="9"/>
      <c r="B15" s="8"/>
      <c r="C15" s="8"/>
      <c r="D15" s="8"/>
      <c r="E15" s="8"/>
      <c r="F15" s="8"/>
      <c r="H15" s="10"/>
    </row>
    <row r="16" spans="1:14" ht="15.6" customHeight="1" x14ac:dyDescent="0.2">
      <c r="A16" s="9"/>
      <c r="B16" s="8"/>
      <c r="C16" s="8"/>
      <c r="D16" s="8"/>
      <c r="E16" s="8"/>
      <c r="F16" s="8"/>
      <c r="H16" s="10"/>
    </row>
    <row r="17" spans="1:14" ht="15.6" customHeight="1" x14ac:dyDescent="0.2">
      <c r="A17" s="9"/>
      <c r="B17" s="8"/>
      <c r="C17" s="8"/>
      <c r="D17" s="8"/>
      <c r="E17" s="8"/>
      <c r="F17" s="8"/>
      <c r="H17" s="10"/>
    </row>
    <row r="18" spans="1:14" ht="15.6" customHeight="1" x14ac:dyDescent="0.2">
      <c r="A18" s="9"/>
      <c r="B18" s="8"/>
      <c r="C18" s="8"/>
      <c r="D18" s="8"/>
      <c r="E18" s="8"/>
      <c r="F18" s="8"/>
      <c r="H18" s="10"/>
    </row>
    <row r="19" spans="1:14" ht="16.5" customHeight="1" x14ac:dyDescent="0.2">
      <c r="A19" s="13" t="s">
        <v>2</v>
      </c>
      <c r="B19" s="14" t="s">
        <v>3</v>
      </c>
      <c r="C19" s="14" t="s">
        <v>4</v>
      </c>
      <c r="D19" s="14" t="s">
        <v>5</v>
      </c>
      <c r="E19" s="14" t="s">
        <v>6</v>
      </c>
      <c r="F19" s="14" t="s">
        <v>7</v>
      </c>
      <c r="H19" s="10"/>
    </row>
    <row r="20" spans="1:14" ht="8.1" customHeight="1" x14ac:dyDescent="0.2">
      <c r="A20" s="15"/>
      <c r="B20" s="16"/>
      <c r="C20" s="16"/>
      <c r="D20" s="16"/>
      <c r="E20" s="16"/>
      <c r="F20" s="16"/>
      <c r="H20" s="10"/>
    </row>
    <row r="21" spans="1:14" ht="12" customHeight="1" x14ac:dyDescent="0.2">
      <c r="A21" s="17" t="s">
        <v>8</v>
      </c>
      <c r="B21" s="16"/>
      <c r="C21" s="16"/>
      <c r="D21" s="16"/>
      <c r="E21" s="16"/>
      <c r="F21" s="16"/>
      <c r="H21" s="10"/>
    </row>
    <row r="22" spans="1:14" ht="12.95" customHeight="1" x14ac:dyDescent="0.2">
      <c r="A22" s="18" t="s">
        <v>9</v>
      </c>
      <c r="B22" s="19">
        <f>'[1]Data 1.1'!D207</f>
        <v>10901.1725654</v>
      </c>
      <c r="C22" s="19">
        <f>'[1]Data 1.1'!D219</f>
        <v>10950.712543</v>
      </c>
      <c r="D22" s="19">
        <f>'[1]Data 1.1'!D231</f>
        <v>11186.1449725</v>
      </c>
      <c r="E22" s="19">
        <f>'[1]Data 1.1'!D243</f>
        <v>11398.0132794</v>
      </c>
      <c r="F22" s="19">
        <f>IF('[1]Data 1.1'!D255=0," ",'[1]Data 1.1'!D255)</f>
        <v>11521.739883099999</v>
      </c>
      <c r="H22" s="10"/>
    </row>
    <row r="23" spans="1:14" ht="12.95" customHeight="1" x14ac:dyDescent="0.2">
      <c r="A23" s="18" t="s">
        <v>10</v>
      </c>
      <c r="B23" s="19">
        <f>'[1]Data 1.1'!D208</f>
        <v>10923.395673000001</v>
      </c>
      <c r="C23" s="19">
        <f>'[1]Data 1.1'!D220</f>
        <v>10932.003409000001</v>
      </c>
      <c r="D23" s="19">
        <f>'[1]Data 1.1'!D232</f>
        <v>11217.916082199999</v>
      </c>
      <c r="E23" s="19">
        <f>'[1]Data 1.1'!D244</f>
        <v>11397.202731699999</v>
      </c>
      <c r="F23" s="19">
        <f>IF('[1]Data 1.1'!D256=0," ",'[1]Data 1.1'!D256)</f>
        <v>11517.172183799999</v>
      </c>
      <c r="H23" s="10"/>
    </row>
    <row r="24" spans="1:14" ht="12.95" customHeight="1" x14ac:dyDescent="0.2">
      <c r="A24" s="18" t="s">
        <v>11</v>
      </c>
      <c r="B24" s="19">
        <f>'[1]Data 1.1'!D209</f>
        <v>10918.639490699999</v>
      </c>
      <c r="C24" s="19">
        <f>'[1]Data 1.1'!D221</f>
        <v>10962.3440464</v>
      </c>
      <c r="D24" s="19">
        <f>'[1]Data 1.1'!D233</f>
        <v>11250.4587132</v>
      </c>
      <c r="E24" s="19">
        <f>'[1]Data 1.1'!D245</f>
        <v>11421.263193700001</v>
      </c>
      <c r="F24" s="19">
        <f>IF('[1]Data 1.1'!D257=0," ",'[1]Data 1.1'!D257)</f>
        <v>11540.5966842</v>
      </c>
      <c r="H24" s="10"/>
    </row>
    <row r="25" spans="1:14" ht="12.95" customHeight="1" x14ac:dyDescent="0.2">
      <c r="A25" s="18" t="s">
        <v>12</v>
      </c>
      <c r="B25" s="19">
        <f>'[1]Data 1.1'!D210</f>
        <v>10941.4356788</v>
      </c>
      <c r="C25" s="19">
        <f>'[1]Data 1.1'!D222</f>
        <v>10975.164235</v>
      </c>
      <c r="D25" s="19">
        <f>'[1]Data 1.1'!D234</f>
        <v>11278.3725393</v>
      </c>
      <c r="E25" s="19">
        <f>'[1]Data 1.1'!D246</f>
        <v>11422.319827400001</v>
      </c>
      <c r="F25" s="19">
        <f>IF('[1]Data 1.1'!D258=0," ",'[1]Data 1.1'!D258)</f>
        <v>11540.092671</v>
      </c>
      <c r="H25" s="10"/>
    </row>
    <row r="26" spans="1:14" ht="12.95" customHeight="1" x14ac:dyDescent="0.2">
      <c r="A26" s="18" t="s">
        <v>13</v>
      </c>
      <c r="B26" s="19">
        <f>'[1]Data 1.1'!D211</f>
        <v>10926.5841688</v>
      </c>
      <c r="C26" s="19">
        <f>'[1]Data 1.1'!D223</f>
        <v>11003.6365319</v>
      </c>
      <c r="D26" s="19">
        <f>'[1]Data 1.1'!D235</f>
        <v>11337.1210804</v>
      </c>
      <c r="E26" s="19">
        <f>'[1]Data 1.1'!D247</f>
        <v>11428.6898611</v>
      </c>
      <c r="F26" s="19">
        <f>IF('[1]Data 1.1'!D259=0," ",'[1]Data 1.1'!D259)</f>
        <v>11561.5955966</v>
      </c>
      <c r="H26" s="10"/>
    </row>
    <row r="27" spans="1:14" ht="12.95" customHeight="1" x14ac:dyDescent="0.2">
      <c r="A27" s="18" t="s">
        <v>14</v>
      </c>
      <c r="B27" s="19">
        <f>'[1]Data 1.1'!D212</f>
        <v>10929.322552400001</v>
      </c>
      <c r="C27" s="19">
        <f>'[1]Data 1.1'!D224</f>
        <v>11041.332528299999</v>
      </c>
      <c r="D27" s="19">
        <f>'[1]Data 1.1'!D236</f>
        <v>11342.2721709</v>
      </c>
      <c r="E27" s="19">
        <f>'[1]Data 1.1'!D248</f>
        <v>11398.4725509</v>
      </c>
      <c r="F27" s="19">
        <f>IF('[1]Data 1.1'!D260=0," ",'[1]Data 1.1'!D260)</f>
        <v>11560.307709299999</v>
      </c>
      <c r="H27" s="10"/>
    </row>
    <row r="28" spans="1:14" ht="12.95" customHeight="1" x14ac:dyDescent="0.2">
      <c r="A28" s="20" t="s">
        <v>15</v>
      </c>
      <c r="B28" s="19">
        <f>'[1]Data 1.1'!D213</f>
        <v>10917.809009000001</v>
      </c>
      <c r="C28" s="19">
        <f>'[1]Data 1.1'!D225</f>
        <v>11082.132022</v>
      </c>
      <c r="D28" s="19">
        <f>'[1]Data 1.1'!D237</f>
        <v>11365.090894999999</v>
      </c>
      <c r="E28" s="19">
        <f>IF('[1]Data 1.1'!D249=0," ",'[1]Data 1.1'!D249)</f>
        <v>11462.260997900001</v>
      </c>
      <c r="F28" s="19">
        <f>IF('[1]Data 1.1'!D261=0," ",'[1]Data 1.1'!D261)</f>
        <v>11572.575379100001</v>
      </c>
      <c r="H28" s="10"/>
    </row>
    <row r="29" spans="1:14" ht="12.95" customHeight="1" x14ac:dyDescent="0.2">
      <c r="A29" s="18" t="s">
        <v>16</v>
      </c>
      <c r="B29" s="19">
        <f>'[1]Data 1.1'!D214</f>
        <v>10939.1669336</v>
      </c>
      <c r="C29" s="19">
        <f>'[1]Data 1.1'!D226</f>
        <v>11084.925278000001</v>
      </c>
      <c r="D29" s="19">
        <f>'[1]Data 1.1'!D238</f>
        <v>11358.379767300001</v>
      </c>
      <c r="E29" s="19">
        <f>IF('[1]Data 1.1'!D250=0," ",'[1]Data 1.1'!D250)</f>
        <v>11438.448290099999</v>
      </c>
      <c r="F29" s="19">
        <f>IF('[1]Data 1.1'!D262=0," ",'[1]Data 1.1'!D262)</f>
        <v>11644.250171600001</v>
      </c>
      <c r="H29" s="10"/>
    </row>
    <row r="30" spans="1:14" ht="12.95" customHeight="1" x14ac:dyDescent="0.2">
      <c r="A30" s="18" t="s">
        <v>17</v>
      </c>
      <c r="B30" s="19">
        <f>'[1]Data 1.1'!D215</f>
        <v>10918.0979678</v>
      </c>
      <c r="C30" s="19">
        <f>'[1]Data 1.1'!D227</f>
        <v>11096.572749999999</v>
      </c>
      <c r="D30" s="19">
        <f>'[1]Data 1.1'!D239</f>
        <v>11399.4350242</v>
      </c>
      <c r="E30" s="19">
        <f>IF('[1]Data 1.1'!D251=0," ",'[1]Data 1.1'!D251)</f>
        <v>11498.482040999999</v>
      </c>
      <c r="F30" s="19">
        <f>IF('[1]Data 1.1'!D263=0," ",'[1]Data 1.1'!D263)</f>
        <v>11613.122243899999</v>
      </c>
      <c r="H30" s="10"/>
    </row>
    <row r="31" spans="1:14" ht="12.95" customHeight="1" x14ac:dyDescent="0.2">
      <c r="A31" s="18" t="s">
        <v>18</v>
      </c>
      <c r="B31" s="19">
        <f>'[1]Data 1.1'!D216</f>
        <v>10947.318821299999</v>
      </c>
      <c r="C31" s="19">
        <f>'[1]Data 1.1'!D228</f>
        <v>11114.432169600001</v>
      </c>
      <c r="D31" s="19">
        <f>'[1]Data 1.1'!D240</f>
        <v>11372.5658265</v>
      </c>
      <c r="E31" s="19">
        <f>IF('[1]Data 1.1'!D252=0," ",'[1]Data 1.1'!D252)</f>
        <v>11499.0599041</v>
      </c>
      <c r="F31" s="19">
        <f>IF('[1]Data 1.1'!D264=0," ",'[1]Data 1.1'!D264)</f>
        <v>11663.2138698</v>
      </c>
      <c r="H31" s="10"/>
      <c r="N31" s="21"/>
    </row>
    <row r="32" spans="1:14" ht="12.95" customHeight="1" x14ac:dyDescent="0.2">
      <c r="A32" s="18" t="s">
        <v>19</v>
      </c>
      <c r="B32" s="19">
        <f>'[1]Data 1.1'!D217</f>
        <v>10928.4155911</v>
      </c>
      <c r="C32" s="19">
        <f>'[1]Data 1.1'!D229</f>
        <v>11110.030994299999</v>
      </c>
      <c r="D32" s="19">
        <f>'[1]Data 1.1'!D241</f>
        <v>11364.7804832</v>
      </c>
      <c r="E32" s="19">
        <f>IF('[1]Data 1.1'!D253=0," ",'[1]Data 1.1'!D253)</f>
        <v>11532.595584799999</v>
      </c>
      <c r="F32" s="19" t="str">
        <f>IF('[1]Data 1.1'!D265=0," ",'[1]Data 1.1'!D265)</f>
        <v xml:space="preserve"> </v>
      </c>
      <c r="H32" s="10"/>
      <c r="N32" s="21"/>
    </row>
    <row r="33" spans="1:8" ht="12.95" customHeight="1" x14ac:dyDescent="0.2">
      <c r="A33" s="22" t="s">
        <v>20</v>
      </c>
      <c r="B33" s="19">
        <f>'[1]Data 1.1'!D218</f>
        <v>10913.5293017</v>
      </c>
      <c r="C33" s="19">
        <f>'[1]Data 1.1'!D230</f>
        <v>11166.1422742</v>
      </c>
      <c r="D33" s="19">
        <f>'[1]Data 1.1'!D242</f>
        <v>11399.8966831</v>
      </c>
      <c r="E33" s="19">
        <f>IF('[1]Data 1.1'!D254=0," ",'[1]Data 1.1'!D254)</f>
        <v>11505.304497200001</v>
      </c>
      <c r="F33" s="19" t="str">
        <f>IF('[1]Data 1.1'!D266=0," ",'[1]Data 1.1'!D266)</f>
        <v xml:space="preserve"> </v>
      </c>
      <c r="H33" s="10"/>
    </row>
    <row r="34" spans="1:8" ht="11.1" customHeight="1" x14ac:dyDescent="0.2">
      <c r="A34" s="22"/>
      <c r="F34" s="19"/>
      <c r="H34" s="10"/>
    </row>
    <row r="35" spans="1:8" ht="12.95" customHeight="1" x14ac:dyDescent="0.2">
      <c r="A35" s="22" t="s">
        <v>21</v>
      </c>
      <c r="B35" s="19">
        <f>'[1]Data 1.1'!I218</f>
        <v>10926.181492500002</v>
      </c>
      <c r="C35" s="19">
        <f>'[1]Data 1.1'!I230</f>
        <v>11043.246247666668</v>
      </c>
      <c r="D35" s="19">
        <f>'[1]Data 1.1'!I242</f>
        <v>11322.079411666666</v>
      </c>
      <c r="E35" s="19">
        <f>'[1]Data 1.1'!I254</f>
        <v>11448.949217083335</v>
      </c>
      <c r="F35" s="19" t="str">
        <f>IF('[1]Data 1.1'!I266=0, " ",'[1]Data 1.1'!I266)</f>
        <v xml:space="preserve"> </v>
      </c>
      <c r="H35" s="10"/>
    </row>
    <row r="36" spans="1:8" ht="11.1" customHeight="1" x14ac:dyDescent="0.2">
      <c r="A36" s="23"/>
      <c r="B36" s="24"/>
      <c r="C36" s="24"/>
      <c r="D36" s="24"/>
      <c r="E36" s="24"/>
      <c r="F36" s="24"/>
      <c r="H36" s="10"/>
    </row>
    <row r="37" spans="1:8" ht="20.100000000000001" customHeight="1" x14ac:dyDescent="0.2">
      <c r="A37" s="25" t="s">
        <v>22</v>
      </c>
      <c r="B37" s="26"/>
      <c r="C37" s="26"/>
      <c r="D37" s="26"/>
      <c r="E37" s="26"/>
      <c r="F37" s="26"/>
      <c r="H37" s="10"/>
    </row>
    <row r="38" spans="1:8" ht="3" customHeight="1" x14ac:dyDescent="0.2">
      <c r="B38" s="27"/>
      <c r="C38" s="27"/>
      <c r="D38" s="27"/>
      <c r="E38" s="27"/>
      <c r="H38" s="10"/>
    </row>
    <row r="39" spans="1:8" ht="12.95" customHeight="1" x14ac:dyDescent="0.2">
      <c r="A39" s="18" t="s">
        <v>9</v>
      </c>
      <c r="B39" s="28">
        <f>'[1]Data 1.1'!H207</f>
        <v>2.9665568650490237</v>
      </c>
      <c r="C39" s="28">
        <f>'[1]Data 1.1'!H219</f>
        <v>0.45444632036408544</v>
      </c>
      <c r="D39" s="28">
        <f>'[1]Data 1.1'!H231</f>
        <v>2.1499279483004559</v>
      </c>
      <c r="E39" s="28">
        <f>'[1]Data 1.1'!H243</f>
        <v>1.894024325814269</v>
      </c>
      <c r="F39" s="28">
        <f>IF(ISERROR('[1]Data 1.1'!H255)," ",'[1]Data 1.1'!H255)</f>
        <v>1.0855102610172787</v>
      </c>
      <c r="H39" s="10"/>
    </row>
    <row r="40" spans="1:8" ht="12.95" customHeight="1" x14ac:dyDescent="0.2">
      <c r="A40" s="18" t="s">
        <v>10</v>
      </c>
      <c r="B40" s="28">
        <f>'[1]Data 1.1'!H208</f>
        <v>2.8623200729402707</v>
      </c>
      <c r="C40" s="28">
        <f>'[1]Data 1.1'!H220</f>
        <v>7.8800917385755592E-2</v>
      </c>
      <c r="D40" s="28">
        <f>'[1]Data 1.1'!H232</f>
        <v>2.6153730702701301</v>
      </c>
      <c r="E40" s="28">
        <f>'[1]Data 1.1'!H244</f>
        <v>1.5982170680032319</v>
      </c>
      <c r="F40" s="28">
        <f>IF(ISERROR('[1]Data 1.1'!H256)," ",'[1]Data 1.1'!H256)</f>
        <v>1.0526219013926899</v>
      </c>
      <c r="H40" s="10"/>
    </row>
    <row r="41" spans="1:8" ht="12.95" customHeight="1" x14ac:dyDescent="0.2">
      <c r="A41" s="18" t="s">
        <v>11</v>
      </c>
      <c r="B41" s="28">
        <f>'[1]Data 1.1'!H209</f>
        <v>2.4952011630034758</v>
      </c>
      <c r="C41" s="28">
        <f>'[1]Data 1.1'!H221</f>
        <v>0.40027473878247999</v>
      </c>
      <c r="D41" s="28">
        <f>'[1]Data 1.1'!H233</f>
        <v>2.6282213510222396</v>
      </c>
      <c r="E41" s="28">
        <f>'[1]Data 1.1'!H245</f>
        <v>1.518200145026962</v>
      </c>
      <c r="F41" s="28">
        <f>IF(ISERROR('[1]Data 1.1'!H257)," ",'[1]Data 1.1'!H257)</f>
        <v>1.044836183845443</v>
      </c>
      <c r="H41" s="10"/>
    </row>
    <row r="42" spans="1:8" ht="12.95" customHeight="1" x14ac:dyDescent="0.2">
      <c r="A42" s="18" t="s">
        <v>12</v>
      </c>
      <c r="B42" s="28">
        <f>'[1]Data 1.1'!H210</f>
        <v>2.7301499634851227</v>
      </c>
      <c r="C42" s="28">
        <f>'[1]Data 1.1'!H222</f>
        <v>0.3082644470994953</v>
      </c>
      <c r="D42" s="28">
        <f>'[1]Data 1.1'!H234</f>
        <v>2.7626766926463242</v>
      </c>
      <c r="E42" s="28">
        <f>'[1]Data 1.1'!H246</f>
        <v>1.2763125849798747</v>
      </c>
      <c r="F42" s="28">
        <f>IF(ISERROR('[1]Data 1.1'!H258)," ",'[1]Data 1.1'!H258)</f>
        <v>1.0310763958603646</v>
      </c>
      <c r="H42" s="10"/>
    </row>
    <row r="43" spans="1:8" ht="12.95" customHeight="1" x14ac:dyDescent="0.2">
      <c r="A43" s="18" t="s">
        <v>13</v>
      </c>
      <c r="B43" s="28">
        <f>'[1]Data 1.1'!H211</f>
        <v>2.0967390342175074</v>
      </c>
      <c r="C43" s="28">
        <f>'[1]Data 1.1'!H223</f>
        <v>0.70518253380609641</v>
      </c>
      <c r="D43" s="28">
        <f>'[1]Data 1.1'!H235</f>
        <v>3.0306757909825079</v>
      </c>
      <c r="E43" s="28">
        <f>'[1]Data 1.1'!H247</f>
        <v>0.80768988926392171</v>
      </c>
      <c r="F43" s="28">
        <f>IF(ISERROR('[1]Data 1.1'!H259)," ",'[1]Data 1.1'!H259)</f>
        <v>1.1629131345349886</v>
      </c>
      <c r="H43" s="10"/>
    </row>
    <row r="44" spans="1:8" ht="12.95" customHeight="1" x14ac:dyDescent="0.2">
      <c r="A44" s="18" t="s">
        <v>14</v>
      </c>
      <c r="B44" s="28">
        <f>'[1]Data 1.1'!H212</f>
        <v>1.9036844311060792</v>
      </c>
      <c r="C44" s="28">
        <f>'[1]Data 1.1'!H224</f>
        <v>1.0248574453080079</v>
      </c>
      <c r="D44" s="28">
        <f>'[1]Data 1.1'!H236</f>
        <v>2.725573582977082</v>
      </c>
      <c r="E44" s="28">
        <f>'[1]Data 1.1'!H248</f>
        <v>0.49549489866932694</v>
      </c>
      <c r="F44" s="28">
        <f>IF(ISERROR('[1]Data 1.1'!H260)," ",'[1]Data 1.1'!H260)</f>
        <v>1.4197968866207527</v>
      </c>
      <c r="H44" s="10"/>
    </row>
    <row r="45" spans="1:8" ht="12.95" customHeight="1" x14ac:dyDescent="0.2">
      <c r="A45" s="20" t="s">
        <v>15</v>
      </c>
      <c r="B45" s="28">
        <f>'[1]Data 1.1'!H213</f>
        <v>1.5294877174158998</v>
      </c>
      <c r="C45" s="28">
        <f>'[1]Data 1.1'!H225</f>
        <v>1.505091478194398</v>
      </c>
      <c r="D45" s="28">
        <f>'[1]Data 1.1'!H237</f>
        <v>2.5532891364069292</v>
      </c>
      <c r="E45" s="28">
        <f>'[1]Data 1.1'!H249</f>
        <v>0.85498746818426963</v>
      </c>
      <c r="F45" s="28">
        <f>IF(ISERROR('[1]Data 1.1'!H261)," ",'[1]Data 1.1'!H261)</f>
        <v>0.96241379619789269</v>
      </c>
      <c r="H45" s="10"/>
    </row>
    <row r="46" spans="1:8" ht="12.95" customHeight="1" x14ac:dyDescent="0.2">
      <c r="A46" s="18" t="s">
        <v>16</v>
      </c>
      <c r="B46" s="28">
        <f>'[1]Data 1.1'!H214</f>
        <v>1.311522614352723</v>
      </c>
      <c r="C46" s="28">
        <f>'[1]Data 1.1'!H226</f>
        <v>1.3324446485252883</v>
      </c>
      <c r="D46" s="28">
        <f>'[1]Data 1.1'!H238</f>
        <v>2.4669042184949963</v>
      </c>
      <c r="E46" s="28">
        <f>'[1]Data 1.1'!H250</f>
        <v>0.70492908707375845</v>
      </c>
      <c r="F46" s="28">
        <f>IF(ISERROR('[1]Data 1.1'!H262)," ",'[1]Data 1.1'!H262)</f>
        <v>1.7992115388424088</v>
      </c>
      <c r="H46" s="10"/>
    </row>
    <row r="47" spans="1:8" ht="12.95" customHeight="1" x14ac:dyDescent="0.2">
      <c r="A47" s="18" t="s">
        <v>17</v>
      </c>
      <c r="B47" s="28">
        <f>'[1]Data 1.1'!H215</f>
        <v>0.89208911861295603</v>
      </c>
      <c r="C47" s="28">
        <f>'[1]Data 1.1'!H227</f>
        <v>1.6346691770522896</v>
      </c>
      <c r="D47" s="28">
        <f>'[1]Data 1.1'!H239</f>
        <v>2.7293316686451745</v>
      </c>
      <c r="E47" s="28">
        <f>'[1]Data 1.1'!H251</f>
        <v>0.86887654159816807</v>
      </c>
      <c r="F47" s="28">
        <f>IF(ISERROR('[1]Data 1.1'!H263)," ",'[1]Data 1.1'!H263)</f>
        <v>0.99700293039749843</v>
      </c>
      <c r="H47" s="10"/>
    </row>
    <row r="48" spans="1:8" ht="12.95" customHeight="1" x14ac:dyDescent="0.2">
      <c r="A48" s="18" t="s">
        <v>18</v>
      </c>
      <c r="B48" s="28">
        <f>'[1]Data 1.1'!H216</f>
        <v>0.75898289137960895</v>
      </c>
      <c r="C48" s="28">
        <f>'[1]Data 1.1'!H228</f>
        <v>1.5265230786450819</v>
      </c>
      <c r="D48" s="28">
        <f>'[1]Data 1.1'!H240</f>
        <v>2.3225087252414225</v>
      </c>
      <c r="E48" s="28">
        <f>'[1]Data 1.1'!H252</f>
        <v>1.1122738661599807</v>
      </c>
      <c r="F48" s="28">
        <f>IF(ISERROR('[1]Data 1.1'!H264)," ",'[1]Data 1.1'!H264)</f>
        <v>1.42754248668163</v>
      </c>
      <c r="H48" s="10"/>
    </row>
    <row r="49" spans="1:10" ht="12.95" customHeight="1" x14ac:dyDescent="0.2">
      <c r="A49" s="18" t="s">
        <v>19</v>
      </c>
      <c r="B49" s="28">
        <f>'[1]Data 1.1'!H217</f>
        <v>0.85812891493574572</v>
      </c>
      <c r="C49" s="28">
        <f>'[1]Data 1.1'!H229</f>
        <v>1.6618639882976758</v>
      </c>
      <c r="D49" s="28">
        <f>'[1]Data 1.1'!H241</f>
        <v>2.2929683007248141</v>
      </c>
      <c r="E49" s="28">
        <f>'[1]Data 1.1'!H253</f>
        <v>1.4766242238296825</v>
      </c>
      <c r="F49" s="28" t="str">
        <f>IF(ISERROR('[1]Data 1.1'!H265)," ",'[1]Data 1.1'!H265)</f>
        <v xml:space="preserve"> </v>
      </c>
      <c r="H49" s="10"/>
    </row>
    <row r="50" spans="1:10" ht="12.95" customHeight="1" x14ac:dyDescent="0.2">
      <c r="A50" s="22" t="s">
        <v>20</v>
      </c>
      <c r="B50" s="28">
        <f>'[1]Data 1.1'!H218</f>
        <v>0.28100213969735022</v>
      </c>
      <c r="C50" s="28">
        <f>'[1]Data 1.1'!H230</f>
        <v>2.3146771820244219</v>
      </c>
      <c r="D50" s="28">
        <f>'[1]Data 1.1'!H242</f>
        <v>2.093421372931124</v>
      </c>
      <c r="E50" s="28">
        <f>'[1]Data 1.1'!H254</f>
        <v>0.9246383281373487</v>
      </c>
      <c r="F50" s="28" t="str">
        <f>IF(ISERROR('[1]Data 1.1'!H266)," ",'[1]Data 1.1'!H266)</f>
        <v xml:space="preserve"> </v>
      </c>
      <c r="H50" s="10"/>
    </row>
    <row r="51" spans="1:10" ht="11.1" customHeight="1" x14ac:dyDescent="0.2">
      <c r="A51" s="22"/>
      <c r="F51" s="28"/>
      <c r="H51" s="10"/>
    </row>
    <row r="52" spans="1:10" ht="12.95" customHeight="1" x14ac:dyDescent="0.2">
      <c r="A52" s="22" t="s">
        <v>21</v>
      </c>
      <c r="B52" s="28">
        <f>'[1]Data 1.1'!I218/'[1]Data 1.1'!I206*100-100</f>
        <v>1.7045206009077987</v>
      </c>
      <c r="C52" s="28">
        <f>'[1]Data 1.1'!I230/'[1]Data 1.1'!I218*100-100</f>
        <v>1.0714150707364922</v>
      </c>
      <c r="D52" s="28">
        <f>'[1]Data 1.1'!I242/'[1]Data 1.1'!I230*100-100</f>
        <v>2.5249202792966088</v>
      </c>
      <c r="E52" s="28">
        <f>'[1]Data 1.1'!I254/'[1]Data 1.1'!I242*100-100</f>
        <v>1.1205521601088435</v>
      </c>
      <c r="F52" s="28" t="str">
        <f>IF('[1]Data 1.1'!I266=0," ",'[1]Data 1.1'!I266/'[1]Data 1.1'!I254*100-100)</f>
        <v xml:space="preserve"> </v>
      </c>
      <c r="H52" s="10"/>
    </row>
    <row r="53" spans="1:10" ht="11.1" customHeight="1" x14ac:dyDescent="0.2">
      <c r="A53" s="29"/>
      <c r="B53" s="5"/>
      <c r="C53" s="5"/>
      <c r="D53" s="5"/>
      <c r="E53" s="5"/>
      <c r="F53" s="5"/>
      <c r="H53" s="10"/>
    </row>
    <row r="54" spans="1:10" ht="7.9" customHeight="1" x14ac:dyDescent="0.2">
      <c r="A54" s="30"/>
      <c r="B54" s="30"/>
      <c r="C54" s="30"/>
      <c r="D54" s="30"/>
      <c r="E54" s="30"/>
      <c r="F54" s="30"/>
      <c r="H54" s="10"/>
    </row>
    <row r="55" spans="1:10" ht="11.1" customHeight="1" x14ac:dyDescent="0.2">
      <c r="A55" s="31" t="s">
        <v>23</v>
      </c>
      <c r="B55" s="30"/>
      <c r="C55" s="30"/>
      <c r="D55" s="30"/>
      <c r="E55" s="30"/>
      <c r="F55" s="30"/>
      <c r="H55" s="10"/>
      <c r="I55" s="32" t="s">
        <v>24</v>
      </c>
    </row>
    <row r="56" spans="1:10" ht="11.1" customHeight="1" x14ac:dyDescent="0.2">
      <c r="A56" s="33" t="s">
        <v>25</v>
      </c>
      <c r="B56" s="34"/>
      <c r="C56" s="34"/>
      <c r="D56" s="34"/>
      <c r="E56" s="34"/>
      <c r="F56" s="34"/>
      <c r="H56" s="10"/>
      <c r="I56" s="35">
        <f>'[2]1.1a Table - S.A.'!$B$60</f>
        <v>41438</v>
      </c>
      <c r="J56" s="35"/>
    </row>
    <row r="57" spans="1:10" ht="11.1" customHeight="1" x14ac:dyDescent="0.2">
      <c r="A57" s="36"/>
      <c r="B57" s="37"/>
      <c r="C57" s="37"/>
      <c r="D57" s="38"/>
      <c r="E57" s="39"/>
      <c r="F57" s="34"/>
      <c r="H57" s="7"/>
    </row>
    <row r="58" spans="1:10" x14ac:dyDescent="0.2">
      <c r="A58" s="34"/>
      <c r="B58" s="34"/>
      <c r="C58" s="34"/>
      <c r="D58" s="34"/>
      <c r="E58" s="34"/>
      <c r="F58" s="34"/>
      <c r="H58" s="7"/>
    </row>
    <row r="59" spans="1:10" x14ac:dyDescent="0.2">
      <c r="H59" s="7"/>
    </row>
    <row r="60" spans="1:10" x14ac:dyDescent="0.2">
      <c r="H60" s="7"/>
    </row>
  </sheetData>
  <mergeCells count="1">
    <mergeCell ref="I56:J56"/>
  </mergeCells>
  <hyperlinks>
    <hyperlink ref="A1" r:id="rId1"/>
    <hyperlink ref="A56" r:id="rId2"/>
  </hyperlinks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1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9525</xdr:colOff>
                <xdr:row>4</xdr:row>
                <xdr:rowOff>38100</xdr:rowOff>
              </from>
              <to>
                <xdr:col>10</xdr:col>
                <xdr:colOff>571500</xdr:colOff>
                <xdr:row>36</xdr:row>
                <xdr:rowOff>209550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1.1</vt:lpstr>
      <vt:lpstr>'Table 1.1'!Print_Area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2013-06-03T04:19:02Z</dcterms:created>
  <dcterms:modified xsi:type="dcterms:W3CDTF">2013-06-03T04:19:15Z</dcterms:modified>
</cp:coreProperties>
</file>