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Questa_cartella_di_lavoro" defaultThemeVersion="124226"/>
  <bookViews>
    <workbookView xWindow="120" yWindow="150" windowWidth="24915" windowHeight="12075"/>
  </bookViews>
  <sheets>
    <sheet name="Foglio1" sheetId="1" r:id="rId1"/>
    <sheet name="Foglio2" sheetId="2" r:id="rId2"/>
    <sheet name="Foglio3" sheetId="3" r:id="rId3"/>
  </sheets>
  <calcPr calcId="145621"/>
</workbook>
</file>

<file path=xl/calcChain.xml><?xml version="1.0" encoding="utf-8"?>
<calcChain xmlns="http://schemas.openxmlformats.org/spreadsheetml/2006/main">
  <c r="D20" i="1" l="1"/>
  <c r="E20" i="1" s="1"/>
  <c r="E19" i="1"/>
  <c r="D19" i="1"/>
  <c r="D18" i="1"/>
  <c r="E18" i="1" s="1"/>
  <c r="E47" i="1"/>
  <c r="H53" i="1" s="1"/>
  <c r="E37" i="1"/>
  <c r="H33" i="1"/>
  <c r="K33" i="1" s="1"/>
  <c r="H32" i="1"/>
  <c r="K32" i="1" s="1"/>
  <c r="H31" i="1"/>
  <c r="K31" i="1" s="1"/>
  <c r="H30" i="1"/>
  <c r="K30" i="1" s="1"/>
  <c r="H29" i="1"/>
  <c r="K29" i="1" s="1"/>
  <c r="H28" i="1"/>
  <c r="K28" i="1" s="1"/>
  <c r="H27" i="1"/>
  <c r="K27" i="1" s="1"/>
  <c r="G33" i="1"/>
  <c r="G16" i="1" s="1"/>
  <c r="G32" i="1"/>
  <c r="G15" i="1" s="1"/>
  <c r="G30" i="1"/>
  <c r="G13" i="1" s="1"/>
  <c r="G31" i="1"/>
  <c r="G14" i="1" s="1"/>
  <c r="G29" i="1"/>
  <c r="G12" i="1" s="1"/>
  <c r="G28" i="1"/>
  <c r="G11" i="1" s="1"/>
  <c r="G27" i="1"/>
  <c r="G10" i="1" s="1"/>
  <c r="J53" i="1" l="1"/>
  <c r="G50" i="1"/>
  <c r="G48" i="1"/>
  <c r="G52" i="1"/>
  <c r="H50" i="1"/>
  <c r="J50" i="1" s="1"/>
  <c r="G49" i="1"/>
  <c r="G53" i="1"/>
  <c r="H51" i="1"/>
  <c r="J51" i="1" s="1"/>
  <c r="H52" i="1"/>
  <c r="J52" i="1" s="1"/>
  <c r="G47" i="1"/>
  <c r="H48" i="1"/>
  <c r="J48" i="1" s="1"/>
  <c r="H47" i="1"/>
  <c r="G51" i="1"/>
  <c r="H49" i="1"/>
  <c r="J49" i="1" s="1"/>
  <c r="G39" i="1"/>
  <c r="J39" i="1" s="1"/>
  <c r="G42" i="1"/>
  <c r="G38" i="1"/>
  <c r="G41" i="1"/>
  <c r="G37" i="1"/>
  <c r="G40" i="1"/>
  <c r="G43" i="1"/>
  <c r="J27" i="1"/>
  <c r="J30" i="1"/>
  <c r="J31" i="1"/>
  <c r="J29" i="1"/>
  <c r="J33" i="1"/>
  <c r="J28" i="1"/>
  <c r="J32" i="1"/>
  <c r="I52" i="1" l="1"/>
  <c r="I48" i="1"/>
  <c r="K39" i="1"/>
  <c r="O39" i="1" s="1"/>
  <c r="G59" i="1" s="1"/>
  <c r="I59" i="1" s="1"/>
  <c r="P5" i="1" s="1"/>
  <c r="I53" i="1"/>
  <c r="I49" i="1"/>
  <c r="I50" i="1"/>
  <c r="I51" i="1"/>
  <c r="I47" i="1"/>
  <c r="J47" i="1"/>
  <c r="M39" i="1"/>
  <c r="E59" i="1" s="1"/>
  <c r="O5" i="1" s="1"/>
  <c r="K37" i="1"/>
  <c r="J37" i="1"/>
  <c r="K43" i="1"/>
  <c r="O43" i="1" s="1"/>
  <c r="G63" i="1" s="1"/>
  <c r="I63" i="1" s="1"/>
  <c r="P9" i="1" s="1"/>
  <c r="J43" i="1"/>
  <c r="K38" i="1"/>
  <c r="O38" i="1" s="1"/>
  <c r="G58" i="1" s="1"/>
  <c r="I58" i="1" s="1"/>
  <c r="M5" i="1" s="1"/>
  <c r="J38" i="1"/>
  <c r="K42" i="1"/>
  <c r="O42" i="1" s="1"/>
  <c r="G62" i="1" s="1"/>
  <c r="I62" i="1" s="1"/>
  <c r="M9" i="1" s="1"/>
  <c r="J42" i="1"/>
  <c r="J40" i="1"/>
  <c r="K40" i="1"/>
  <c r="O40" i="1" s="1"/>
  <c r="G60" i="1" s="1"/>
  <c r="I60" i="1" s="1"/>
  <c r="S5" i="1" s="1"/>
  <c r="K41" i="1"/>
  <c r="O41" i="1" s="1"/>
  <c r="G61" i="1" s="1"/>
  <c r="I61" i="1" s="1"/>
  <c r="J9" i="1" s="1"/>
  <c r="J41" i="1"/>
  <c r="M40" i="1" l="1"/>
  <c r="E60" i="1" s="1"/>
  <c r="R5" i="1" s="1"/>
  <c r="M38" i="1"/>
  <c r="E58" i="1" s="1"/>
  <c r="L5" i="1" s="1"/>
  <c r="M37" i="1"/>
  <c r="E57" i="1" s="1"/>
  <c r="I5" i="1" s="1"/>
  <c r="O37" i="1"/>
  <c r="G57" i="1" s="1"/>
  <c r="I57" i="1" s="1"/>
  <c r="J5" i="1" s="1"/>
  <c r="M41" i="1"/>
  <c r="E61" i="1" s="1"/>
  <c r="I9" i="1" s="1"/>
  <c r="M42" i="1"/>
  <c r="E62" i="1" s="1"/>
  <c r="L9" i="1" s="1"/>
  <c r="M43" i="1"/>
  <c r="E63" i="1" s="1"/>
  <c r="O9" i="1" s="1"/>
  <c r="E8" i="1" l="1"/>
</calcChain>
</file>

<file path=xl/sharedStrings.xml><?xml version="1.0" encoding="utf-8"?>
<sst xmlns="http://schemas.openxmlformats.org/spreadsheetml/2006/main" count="81" uniqueCount="59">
  <si>
    <t>Territories</t>
  </si>
  <si>
    <t>Starting Positions</t>
  </si>
  <si>
    <t>2 players</t>
  </si>
  <si>
    <t>3 players</t>
  </si>
  <si>
    <t>4 players</t>
  </si>
  <si>
    <t>5 players</t>
  </si>
  <si>
    <t>6 players</t>
  </si>
  <si>
    <t>7 players</t>
  </si>
  <si>
    <t>8 players</t>
  </si>
  <si>
    <t>Underlying Neutrals</t>
  </si>
  <si>
    <t>yes</t>
  </si>
  <si>
    <t>no</t>
  </si>
  <si>
    <t>UN Option</t>
  </si>
  <si>
    <t>2 Players Games</t>
  </si>
  <si>
    <t>Total Neutrals</t>
  </si>
  <si>
    <t>3 Players Games</t>
  </si>
  <si>
    <t>4 Players Games</t>
  </si>
  <si>
    <t>5 Players Games</t>
  </si>
  <si>
    <t>6 Players Games</t>
  </si>
  <si>
    <t>7 Players Games</t>
  </si>
  <si>
    <t>8 Players Games</t>
  </si>
  <si>
    <t>µ</t>
  </si>
  <si>
    <t>conquer club starting drop calculator</t>
  </si>
  <si>
    <t>Instructions :</t>
  </si>
  <si>
    <r>
      <t xml:space="preserve">1. Select the number of territories on your map. (Values from </t>
    </r>
    <r>
      <rPr>
        <b/>
        <sz val="12"/>
        <color theme="1"/>
        <rFont val="Calibri"/>
        <family val="2"/>
        <scheme val="minor"/>
      </rPr>
      <t>24</t>
    </r>
    <r>
      <rPr>
        <sz val="12"/>
        <color theme="1"/>
        <rFont val="Calibri"/>
        <family val="2"/>
        <scheme val="minor"/>
      </rPr>
      <t xml:space="preserve"> to </t>
    </r>
    <r>
      <rPr>
        <b/>
        <sz val="12"/>
        <color theme="1"/>
        <rFont val="Calibri"/>
        <family val="2"/>
        <scheme val="minor"/>
      </rPr>
      <t>200</t>
    </r>
    <r>
      <rPr>
        <sz val="12"/>
        <color theme="1"/>
        <rFont val="Calibri"/>
        <family val="2"/>
        <scheme val="minor"/>
      </rPr>
      <t>)</t>
    </r>
  </si>
  <si>
    <r>
      <t xml:space="preserve">2. Select the number of coded neutrals on your map. (Values from </t>
    </r>
    <r>
      <rPr>
        <b/>
        <sz val="12"/>
        <color theme="1"/>
        <rFont val="Calibri"/>
        <family val="2"/>
        <scheme val="minor"/>
      </rPr>
      <t>0</t>
    </r>
    <r>
      <rPr>
        <sz val="12"/>
        <color theme="1"/>
        <rFont val="Calibri"/>
        <family val="2"/>
        <scheme val="minor"/>
      </rPr>
      <t xml:space="preserve"> to </t>
    </r>
    <r>
      <rPr>
        <b/>
        <sz val="12"/>
        <color theme="1"/>
        <rFont val="Calibri"/>
        <family val="2"/>
        <scheme val="minor"/>
      </rPr>
      <t>200</t>
    </r>
    <r>
      <rPr>
        <sz val="12"/>
        <color theme="1"/>
        <rFont val="Calibri"/>
        <family val="2"/>
        <scheme val="minor"/>
      </rPr>
      <t>)</t>
    </r>
  </si>
  <si>
    <r>
      <t xml:space="preserve">3. Select the number of starting positions on your map. (Values from </t>
    </r>
    <r>
      <rPr>
        <b/>
        <sz val="12"/>
        <color theme="1"/>
        <rFont val="Calibri"/>
        <family val="2"/>
        <scheme val="minor"/>
      </rPr>
      <t>0</t>
    </r>
    <r>
      <rPr>
        <sz val="12"/>
        <color theme="1"/>
        <rFont val="Calibri"/>
        <family val="2"/>
        <scheme val="minor"/>
      </rPr>
      <t xml:space="preserve"> to </t>
    </r>
    <r>
      <rPr>
        <b/>
        <sz val="12"/>
        <color theme="1"/>
        <rFont val="Calibri"/>
        <family val="2"/>
        <scheme val="minor"/>
      </rPr>
      <t>48</t>
    </r>
    <r>
      <rPr>
        <sz val="12"/>
        <color theme="1"/>
        <rFont val="Calibri"/>
        <family val="2"/>
        <scheme val="minor"/>
      </rPr>
      <t>)</t>
    </r>
  </si>
  <si>
    <t>Territories for each player</t>
  </si>
  <si>
    <t>R</t>
  </si>
  <si>
    <t>G</t>
  </si>
  <si>
    <r>
      <t xml:space="preserve">Coded Neutrals           </t>
    </r>
    <r>
      <rPr>
        <sz val="8"/>
        <color theme="1"/>
        <rFont val="Calibri"/>
        <family val="2"/>
        <scheme val="minor"/>
      </rPr>
      <t>(Not Starting Positions)</t>
    </r>
  </si>
  <si>
    <t>SPXG</t>
  </si>
  <si>
    <r>
      <rPr>
        <sz val="8"/>
        <color theme="1"/>
        <rFont val="Symbol"/>
        <family val="1"/>
        <charset val="2"/>
      </rPr>
      <t>D</t>
    </r>
    <r>
      <rPr>
        <sz val="8"/>
        <color theme="1"/>
        <rFont val="Calibri"/>
        <family val="2"/>
      </rPr>
      <t xml:space="preserve"> T</t>
    </r>
  </si>
  <si>
    <r>
      <rPr>
        <sz val="8"/>
        <color theme="1"/>
        <rFont val="Symbol"/>
        <family val="1"/>
        <charset val="2"/>
      </rPr>
      <t>D</t>
    </r>
    <r>
      <rPr>
        <sz val="8"/>
        <color theme="1"/>
        <rFont val="Calibri"/>
        <family val="2"/>
        <scheme val="minor"/>
      </rPr>
      <t>T+R N UN</t>
    </r>
  </si>
  <si>
    <r>
      <rPr>
        <sz val="8"/>
        <color theme="1"/>
        <rFont val="Symbol"/>
        <family val="1"/>
        <charset val="2"/>
      </rPr>
      <t>D</t>
    </r>
    <r>
      <rPr>
        <sz val="8"/>
        <color theme="1"/>
        <rFont val="Calibri"/>
        <family val="2"/>
      </rPr>
      <t xml:space="preserve"> TXP N UN</t>
    </r>
  </si>
  <si>
    <t>T T + SP</t>
  </si>
  <si>
    <t>T AXSP</t>
  </si>
  <si>
    <t>NP+R</t>
  </si>
  <si>
    <r>
      <rPr>
        <sz val="8"/>
        <color theme="1"/>
        <rFont val="Symbol"/>
        <family val="1"/>
        <charset val="2"/>
      </rPr>
      <t>D</t>
    </r>
    <r>
      <rPr>
        <sz val="8"/>
        <color theme="1"/>
        <rFont val="Calibri"/>
        <family val="2"/>
      </rPr>
      <t xml:space="preserve"> TXP Y UN</t>
    </r>
  </si>
  <si>
    <t>P RESULTS</t>
  </si>
  <si>
    <t>N RESULTS</t>
  </si>
  <si>
    <t>N TOT</t>
  </si>
  <si>
    <t>TT + SP</t>
  </si>
  <si>
    <t xml:space="preserve">                     ¯                                    ¯                     ¯                  ¯                   ¯            ¯                              ¯              ¯                                             ¯                              ¯               </t>
  </si>
  <si>
    <t>!!! DO NOT EDIT THE VALUES !!!</t>
  </si>
  <si>
    <t>ü</t>
  </si>
  <si>
    <t>û</t>
  </si>
  <si>
    <t>OK!</t>
  </si>
  <si>
    <t>Your starting positions are more than your territories</t>
  </si>
  <si>
    <t>Starting Positions             Check-list:</t>
  </si>
  <si>
    <t>You have no starting positions but components (territories)</t>
  </si>
  <si>
    <t xml:space="preserve">You have no components (territories) but starting positions </t>
  </si>
  <si>
    <t>Territories for each Starting Position (components)</t>
  </si>
  <si>
    <t>You can't have underlying neutrals with no starting positions</t>
  </si>
  <si>
    <t>5. Select if your starting positions have underlying neutrals.</t>
  </si>
  <si>
    <r>
      <t xml:space="preserve">4. Select the number of territories for each starting positions. (Values from </t>
    </r>
    <r>
      <rPr>
        <b/>
        <sz val="12"/>
        <color theme="1"/>
        <rFont val="Calibri"/>
        <family val="2"/>
        <scheme val="minor"/>
      </rPr>
      <t>0</t>
    </r>
    <r>
      <rPr>
        <sz val="12"/>
        <color theme="1"/>
        <rFont val="Calibri"/>
        <family val="2"/>
        <scheme val="minor"/>
      </rPr>
      <t xml:space="preserve"> to </t>
    </r>
    <r>
      <rPr>
        <b/>
        <sz val="12"/>
        <color theme="1"/>
        <rFont val="Calibri"/>
        <family val="2"/>
        <scheme val="minor"/>
      </rPr>
      <t>24</t>
    </r>
    <r>
      <rPr>
        <sz val="12"/>
        <color theme="1"/>
        <rFont val="Calibri"/>
        <family val="2"/>
        <scheme val="minor"/>
      </rPr>
      <t>)</t>
    </r>
  </si>
  <si>
    <t xml:space="preserve"> - Once entered all the required data, the spreadsheet will show the starting number of regions for each player and the total number of neutrals, this  for games from 2 to 8 players.  The total number of neutrals include any coded neutral, not assigned regions (reminder) and the "3rd neutral player" with 2 players games. </t>
  </si>
  <si>
    <t xml:space="preserve"> - The starting positions check-list will verify if the data you've entered are correct and meet pre- defined criterias.  It validates 3 main fields, your starting positions number, your components number and the underlying neutrals. If an error is found, a red cross will appear with the details of the error found. </t>
  </si>
  <si>
    <r>
      <t xml:space="preserve"> - Only the yellow cells are editable, </t>
    </r>
    <r>
      <rPr>
        <sz val="11"/>
        <color rgb="FFC00000"/>
        <rFont val="Calibri"/>
        <family val="2"/>
        <scheme val="minor"/>
      </rPr>
      <t>don't edit any other values in this spreadsheet!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</si>
</sst>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sz val="120"/>
      <color rgb="FFC00000"/>
      <name val="Wingdings"/>
      <charset val="2"/>
    </font>
    <font>
      <sz val="120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14"/>
      <color rgb="FFC00000"/>
      <name val="Stencil"/>
      <family val="5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Symbol"/>
      <family val="1"/>
      <charset val="2"/>
    </font>
    <font>
      <sz val="8"/>
      <color theme="1"/>
      <name val="Calibri"/>
      <family val="2"/>
    </font>
    <font>
      <b/>
      <sz val="9"/>
      <color rgb="FFC00000"/>
      <name val="Symbol"/>
      <family val="1"/>
      <charset val="2"/>
    </font>
    <font>
      <b/>
      <sz val="9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1"/>
      <name val="Wingdings"/>
      <charset val="2"/>
    </font>
    <font>
      <b/>
      <sz val="14"/>
      <color theme="1"/>
      <name val="Wingdings"/>
      <charset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2" tint="-9.9917600024414813E-2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73">
    <xf numFmtId="0" fontId="0" fillId="0" borderId="0" xfId="0"/>
    <xf numFmtId="0" fontId="0" fillId="0" borderId="0" xfId="0" applyFill="1" applyBorder="1" applyAlignment="1">
      <alignment horizontal="center"/>
    </xf>
    <xf numFmtId="0" fontId="0" fillId="0" borderId="0" xfId="0" applyFill="1"/>
    <xf numFmtId="1" fontId="0" fillId="0" borderId="0" xfId="0" applyNumberFormat="1" applyFill="1" applyAlignment="1">
      <alignment horizontal="center" vertical="center"/>
    </xf>
    <xf numFmtId="0" fontId="0" fillId="0" borderId="0" xfId="0" applyProtection="1">
      <protection hidden="1"/>
    </xf>
    <xf numFmtId="0" fontId="0" fillId="0" borderId="0" xfId="0" applyFill="1" applyBorder="1" applyAlignment="1" applyProtection="1">
      <alignment horizontal="center" vertical="center"/>
      <protection hidden="1"/>
    </xf>
    <xf numFmtId="1" fontId="0" fillId="0" borderId="0" xfId="0" applyNumberFormat="1" applyFill="1" applyBorder="1" applyAlignment="1" applyProtection="1">
      <alignment horizontal="center" vertical="center"/>
      <protection hidden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5" borderId="0" xfId="0" applyFill="1" applyBorder="1" applyProtection="1"/>
    <xf numFmtId="0" fontId="0" fillId="5" borderId="0" xfId="0" applyFill="1" applyBorder="1" applyAlignment="1" applyProtection="1">
      <alignment horizontal="center" vertical="center"/>
    </xf>
    <xf numFmtId="0" fontId="0" fillId="0" borderId="0" xfId="0" applyProtection="1">
      <protection locked="0"/>
    </xf>
    <xf numFmtId="0" fontId="0" fillId="0" borderId="0" xfId="0" applyFill="1" applyProtection="1">
      <protection locked="0"/>
    </xf>
    <xf numFmtId="1" fontId="0" fillId="7" borderId="20" xfId="0" applyNumberFormat="1" applyFill="1" applyBorder="1" applyAlignment="1" applyProtection="1">
      <alignment horizontal="center" vertical="center"/>
      <protection locked="0"/>
    </xf>
    <xf numFmtId="1" fontId="0" fillId="0" borderId="0" xfId="0" applyNumberFormat="1" applyFill="1" applyAlignment="1" applyProtection="1">
      <alignment horizontal="center" vertical="center"/>
      <protection locked="0"/>
    </xf>
    <xf numFmtId="0" fontId="0" fillId="0" borderId="0" xfId="0" applyFill="1" applyAlignment="1" applyProtection="1">
      <alignment horizontal="center" vertical="center"/>
      <protection locked="0"/>
    </xf>
    <xf numFmtId="0" fontId="0" fillId="7" borderId="20" xfId="0" applyFill="1" applyBorder="1" applyAlignment="1" applyProtection="1">
      <alignment horizontal="center" vertical="center"/>
      <protection locked="0"/>
    </xf>
    <xf numFmtId="0" fontId="0" fillId="0" borderId="0" xfId="0" applyFill="1" applyBorder="1" applyProtection="1">
      <protection hidden="1"/>
    </xf>
    <xf numFmtId="0" fontId="0" fillId="0" borderId="0" xfId="0" applyFill="1" applyAlignment="1" applyProtection="1">
      <alignment horizontal="center" vertical="center"/>
      <protection hidden="1"/>
    </xf>
    <xf numFmtId="0" fontId="0" fillId="0" borderId="0" xfId="0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0" fillId="4" borderId="29" xfId="0" applyFill="1" applyBorder="1" applyProtection="1"/>
    <xf numFmtId="0" fontId="0" fillId="4" borderId="33" xfId="0" applyFill="1" applyBorder="1" applyProtection="1"/>
    <xf numFmtId="0" fontId="0" fillId="5" borderId="33" xfId="0" applyFill="1" applyBorder="1" applyProtection="1"/>
    <xf numFmtId="0" fontId="0" fillId="4" borderId="14" xfId="0" applyFill="1" applyBorder="1" applyProtection="1"/>
    <xf numFmtId="0" fontId="0" fillId="5" borderId="23" xfId="0" applyFill="1" applyBorder="1" applyProtection="1"/>
    <xf numFmtId="0" fontId="0" fillId="5" borderId="16" xfId="0" applyFill="1" applyBorder="1" applyProtection="1"/>
    <xf numFmtId="0" fontId="0" fillId="5" borderId="22" xfId="0" applyFill="1" applyBorder="1" applyAlignment="1" applyProtection="1">
      <alignment horizontal="center" vertical="center"/>
    </xf>
    <xf numFmtId="0" fontId="0" fillId="5" borderId="22" xfId="0" applyFill="1" applyBorder="1" applyProtection="1"/>
    <xf numFmtId="0" fontId="0" fillId="5" borderId="32" xfId="0" applyFill="1" applyBorder="1" applyProtection="1"/>
    <xf numFmtId="0" fontId="0" fillId="5" borderId="0" xfId="0" applyFill="1" applyBorder="1" applyAlignment="1" applyProtection="1">
      <alignment vertical="center"/>
    </xf>
    <xf numFmtId="1" fontId="0" fillId="5" borderId="0" xfId="0" applyNumberFormat="1" applyFill="1" applyBorder="1" applyAlignment="1" applyProtection="1">
      <alignment horizontal="center" vertical="center"/>
    </xf>
    <xf numFmtId="0" fontId="0" fillId="5" borderId="31" xfId="0" applyFill="1" applyBorder="1" applyAlignment="1" applyProtection="1">
      <alignment horizontal="center" vertical="center"/>
    </xf>
    <xf numFmtId="0" fontId="0" fillId="4" borderId="0" xfId="0" applyFill="1" applyBorder="1" applyAlignment="1" applyProtection="1">
      <alignment horizontal="center" vertical="center"/>
    </xf>
    <xf numFmtId="0" fontId="0" fillId="4" borderId="0" xfId="0" applyFill="1" applyBorder="1" applyAlignment="1" applyProtection="1">
      <alignment vertical="center"/>
    </xf>
    <xf numFmtId="1" fontId="0" fillId="4" borderId="0" xfId="0" applyNumberFormat="1" applyFill="1" applyBorder="1" applyAlignment="1" applyProtection="1">
      <alignment horizontal="center" vertical="center"/>
    </xf>
    <xf numFmtId="0" fontId="0" fillId="4" borderId="0" xfId="0" applyFill="1" applyBorder="1" applyProtection="1"/>
    <xf numFmtId="0" fontId="0" fillId="4" borderId="0" xfId="0" applyFill="1" applyBorder="1" applyAlignment="1" applyProtection="1">
      <alignment horizontal="center"/>
    </xf>
    <xf numFmtId="1" fontId="0" fillId="5" borderId="15" xfId="0" applyNumberFormat="1" applyFill="1" applyBorder="1" applyAlignment="1" applyProtection="1">
      <alignment horizontal="center" vertical="center"/>
    </xf>
    <xf numFmtId="0" fontId="0" fillId="8" borderId="17" xfId="0" applyFill="1" applyBorder="1" applyAlignment="1" applyProtection="1">
      <alignment horizontal="center" vertical="center"/>
    </xf>
    <xf numFmtId="0" fontId="0" fillId="5" borderId="15" xfId="0" applyFill="1" applyBorder="1" applyAlignment="1" applyProtection="1">
      <alignment horizontal="center"/>
    </xf>
    <xf numFmtId="0" fontId="0" fillId="5" borderId="15" xfId="0" applyFill="1" applyBorder="1" applyAlignment="1" applyProtection="1">
      <alignment horizontal="center" vertical="center"/>
    </xf>
    <xf numFmtId="0" fontId="0" fillId="6" borderId="28" xfId="0" applyFill="1" applyBorder="1" applyAlignment="1" applyProtection="1">
      <alignment horizontal="center" vertical="center" wrapText="1"/>
    </xf>
    <xf numFmtId="0" fontId="0" fillId="6" borderId="12" xfId="0" applyFill="1" applyBorder="1" applyAlignment="1" applyProtection="1">
      <alignment horizontal="center" vertical="center"/>
    </xf>
    <xf numFmtId="0" fontId="0" fillId="0" borderId="0" xfId="0" applyFill="1" applyBorder="1" applyAlignment="1" applyProtection="1">
      <protection hidden="1"/>
    </xf>
    <xf numFmtId="0" fontId="0" fillId="0" borderId="0" xfId="0" applyFill="1" applyAlignment="1" applyProtection="1">
      <protection hidden="1"/>
    </xf>
    <xf numFmtId="1" fontId="0" fillId="6" borderId="21" xfId="0" applyNumberFormat="1" applyFill="1" applyBorder="1" applyAlignment="1" applyProtection="1">
      <alignment horizontal="center" vertical="center"/>
      <protection hidden="1"/>
    </xf>
    <xf numFmtId="1" fontId="0" fillId="6" borderId="11" xfId="0" applyNumberFormat="1" applyFill="1" applyBorder="1" applyAlignment="1" applyProtection="1">
      <alignment horizontal="center" vertical="center"/>
      <protection hidden="1"/>
    </xf>
    <xf numFmtId="1" fontId="0" fillId="6" borderId="25" xfId="0" applyNumberFormat="1" applyFill="1" applyBorder="1" applyAlignment="1" applyProtection="1">
      <alignment horizontal="center" vertical="center"/>
      <protection hidden="1"/>
    </xf>
    <xf numFmtId="0" fontId="0" fillId="6" borderId="27" xfId="0" applyFill="1" applyBorder="1" applyAlignment="1" applyProtection="1">
      <alignment horizontal="center" vertical="center"/>
      <protection hidden="1"/>
    </xf>
    <xf numFmtId="0" fontId="0" fillId="6" borderId="10" xfId="0" applyFill="1" applyBorder="1" applyAlignment="1" applyProtection="1">
      <alignment horizontal="center" vertical="center"/>
      <protection hidden="1"/>
    </xf>
    <xf numFmtId="0" fontId="0" fillId="6" borderId="28" xfId="0" applyFill="1" applyBorder="1" applyAlignment="1" applyProtection="1">
      <alignment horizontal="center" vertical="center" wrapText="1"/>
      <protection hidden="1"/>
    </xf>
    <xf numFmtId="0" fontId="0" fillId="6" borderId="21" xfId="0" applyFill="1" applyBorder="1" applyAlignment="1" applyProtection="1">
      <alignment horizontal="center" vertical="center" wrapText="1"/>
      <protection hidden="1"/>
    </xf>
    <xf numFmtId="0" fontId="0" fillId="9" borderId="4" xfId="0" applyFill="1" applyBorder="1" applyAlignment="1" applyProtection="1">
      <alignment horizontal="left" vertical="center" wrapText="1"/>
    </xf>
    <xf numFmtId="0" fontId="0" fillId="0" borderId="5" xfId="0" applyBorder="1" applyAlignment="1" applyProtection="1">
      <alignment horizontal="left" vertical="center" wrapText="1"/>
    </xf>
    <xf numFmtId="0" fontId="0" fillId="8" borderId="29" xfId="0" applyFill="1" applyBorder="1" applyAlignment="1" applyProtection="1">
      <alignment horizontal="center"/>
    </xf>
    <xf numFmtId="0" fontId="0" fillId="8" borderId="24" xfId="0" applyFill="1" applyBorder="1" applyAlignment="1" applyProtection="1">
      <alignment horizontal="center"/>
    </xf>
    <xf numFmtId="0" fontId="0" fillId="8" borderId="26" xfId="0" applyFill="1" applyBorder="1" applyAlignment="1" applyProtection="1">
      <alignment horizontal="center"/>
    </xf>
    <xf numFmtId="0" fontId="0" fillId="8" borderId="27" xfId="0" applyFill="1" applyBorder="1" applyAlignment="1" applyProtection="1">
      <alignment horizontal="center"/>
    </xf>
    <xf numFmtId="0" fontId="0" fillId="6" borderId="30" xfId="0" applyFill="1" applyBorder="1" applyAlignment="1" applyProtection="1">
      <alignment horizontal="center" vertical="center"/>
    </xf>
    <xf numFmtId="0" fontId="0" fillId="6" borderId="7" xfId="0" applyFill="1" applyBorder="1" applyAlignment="1" applyProtection="1">
      <alignment horizontal="center" vertical="center"/>
    </xf>
    <xf numFmtId="0" fontId="0" fillId="6" borderId="9" xfId="0" applyFill="1" applyBorder="1" applyAlignment="1" applyProtection="1">
      <alignment horizontal="center" vertical="center"/>
    </xf>
    <xf numFmtId="1" fontId="4" fillId="9" borderId="0" xfId="0" applyNumberFormat="1" applyFont="1" applyFill="1" applyBorder="1" applyAlignment="1" applyProtection="1">
      <alignment horizontal="center" vertical="center" wrapText="1"/>
    </xf>
    <xf numFmtId="0" fontId="0" fillId="8" borderId="18" xfId="0" applyFill="1" applyBorder="1" applyAlignment="1" applyProtection="1">
      <alignment horizontal="center" vertical="center"/>
    </xf>
    <xf numFmtId="0" fontId="0" fillId="8" borderId="19" xfId="0" applyFill="1" applyBorder="1" applyAlignment="1" applyProtection="1">
      <alignment vertical="center"/>
    </xf>
    <xf numFmtId="0" fontId="1" fillId="5" borderId="0" xfId="0" applyFont="1" applyFill="1" applyBorder="1" applyAlignment="1" applyProtection="1">
      <alignment horizontal="center" vertical="center"/>
    </xf>
    <xf numFmtId="1" fontId="4" fillId="9" borderId="1" xfId="0" applyNumberFormat="1" applyFont="1" applyFill="1" applyBorder="1" applyAlignment="1" applyProtection="1">
      <alignment horizontal="right" vertical="center" wrapText="1"/>
    </xf>
    <xf numFmtId="0" fontId="0" fillId="0" borderId="4" xfId="0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left" vertical="center" wrapText="1"/>
    </xf>
    <xf numFmtId="1" fontId="0" fillId="6" borderId="10" xfId="0" applyNumberFormat="1" applyFill="1" applyBorder="1" applyAlignment="1" applyProtection="1">
      <alignment horizontal="center" vertical="center"/>
      <protection hidden="1"/>
    </xf>
    <xf numFmtId="0" fontId="0" fillId="8" borderId="18" xfId="0" applyFill="1" applyBorder="1" applyAlignment="1" applyProtection="1">
      <alignment horizontal="center" vertical="center" wrapText="1"/>
    </xf>
    <xf numFmtId="0" fontId="0" fillId="8" borderId="21" xfId="0" applyFill="1" applyBorder="1" applyAlignment="1" applyProtection="1">
      <alignment vertical="center" wrapText="1"/>
    </xf>
    <xf numFmtId="0" fontId="0" fillId="10" borderId="29" xfId="0" applyFont="1" applyFill="1" applyBorder="1" applyProtection="1">
      <protection hidden="1"/>
    </xf>
    <xf numFmtId="0" fontId="0" fillId="10" borderId="33" xfId="0" applyFont="1" applyFill="1" applyBorder="1" applyAlignment="1" applyProtection="1">
      <alignment horizontal="center" vertical="center"/>
      <protection hidden="1"/>
    </xf>
    <xf numFmtId="1" fontId="0" fillId="10" borderId="33" xfId="0" applyNumberFormat="1" applyFont="1" applyFill="1" applyBorder="1" applyAlignment="1" applyProtection="1">
      <alignment horizontal="center" vertical="center" wrapText="1"/>
      <protection hidden="1"/>
    </xf>
    <xf numFmtId="0" fontId="0" fillId="10" borderId="33" xfId="0" applyFont="1" applyFill="1" applyBorder="1" applyAlignment="1" applyProtection="1">
      <alignment horizontal="center" vertical="center" wrapText="1"/>
      <protection hidden="1"/>
    </xf>
    <xf numFmtId="0" fontId="8" fillId="10" borderId="33" xfId="0" applyFont="1" applyFill="1" applyBorder="1" applyAlignment="1" applyProtection="1">
      <alignment horizontal="center" vertical="center"/>
      <protection hidden="1"/>
    </xf>
    <xf numFmtId="1" fontId="0" fillId="10" borderId="33" xfId="0" applyNumberFormat="1" applyFont="1" applyFill="1" applyBorder="1" applyAlignment="1" applyProtection="1">
      <alignment horizontal="center" vertical="center"/>
      <protection hidden="1"/>
    </xf>
    <xf numFmtId="0" fontId="0" fillId="10" borderId="14" xfId="0" applyFont="1" applyFill="1" applyBorder="1" applyAlignment="1" applyProtection="1">
      <alignment horizontal="center" vertical="center"/>
      <protection hidden="1"/>
    </xf>
    <xf numFmtId="0" fontId="0" fillId="10" borderId="23" xfId="0" applyFont="1" applyFill="1" applyBorder="1" applyProtection="1">
      <protection hidden="1"/>
    </xf>
    <xf numFmtId="0" fontId="0" fillId="10" borderId="0" xfId="0" applyFont="1" applyFill="1" applyBorder="1" applyAlignment="1" applyProtection="1">
      <alignment horizontal="center" vertical="center"/>
      <protection hidden="1"/>
    </xf>
    <xf numFmtId="0" fontId="0" fillId="10" borderId="0" xfId="0" applyFont="1" applyFill="1" applyBorder="1" applyAlignment="1" applyProtection="1">
      <alignment vertical="center" wrapText="1"/>
      <protection hidden="1"/>
    </xf>
    <xf numFmtId="0" fontId="0" fillId="10" borderId="0" xfId="0" applyFont="1" applyFill="1" applyBorder="1" applyAlignment="1" applyProtection="1">
      <alignment horizontal="center" vertical="center" wrapText="1"/>
      <protection hidden="1"/>
    </xf>
    <xf numFmtId="0" fontId="8" fillId="10" borderId="0" xfId="0" applyFont="1" applyFill="1" applyBorder="1" applyAlignment="1" applyProtection="1">
      <alignment horizontal="center" vertical="center"/>
      <protection hidden="1"/>
    </xf>
    <xf numFmtId="1" fontId="0" fillId="10" borderId="0" xfId="0" applyNumberFormat="1" applyFont="1" applyFill="1" applyBorder="1" applyAlignment="1" applyProtection="1">
      <alignment horizontal="center" vertical="center"/>
      <protection hidden="1"/>
    </xf>
    <xf numFmtId="0" fontId="0" fillId="10" borderId="15" xfId="0" applyFont="1" applyFill="1" applyBorder="1" applyAlignment="1" applyProtection="1">
      <alignment horizontal="center" vertical="center"/>
      <protection hidden="1"/>
    </xf>
    <xf numFmtId="0" fontId="0" fillId="10" borderId="29" xfId="0" applyFont="1" applyFill="1" applyBorder="1" applyAlignment="1" applyProtection="1">
      <alignment horizontal="center" vertical="center"/>
      <protection hidden="1"/>
    </xf>
    <xf numFmtId="0" fontId="0" fillId="10" borderId="33" xfId="0" applyFont="1" applyFill="1" applyBorder="1" applyAlignment="1" applyProtection="1">
      <alignment vertical="center" wrapText="1"/>
      <protection hidden="1"/>
    </xf>
    <xf numFmtId="0" fontId="0" fillId="10" borderId="0" xfId="0" applyFont="1" applyFill="1" applyBorder="1" applyProtection="1">
      <protection hidden="1"/>
    </xf>
    <xf numFmtId="0" fontId="8" fillId="10" borderId="12" xfId="0" applyFont="1" applyFill="1" applyBorder="1" applyAlignment="1" applyProtection="1">
      <alignment horizontal="center" vertical="center" wrapText="1"/>
      <protection hidden="1"/>
    </xf>
    <xf numFmtId="0" fontId="8" fillId="10" borderId="12" xfId="0" applyFont="1" applyFill="1" applyBorder="1" applyAlignment="1" applyProtection="1">
      <alignment horizontal="center" vertical="center"/>
      <protection hidden="1"/>
    </xf>
    <xf numFmtId="1" fontId="8" fillId="10" borderId="12" xfId="0" applyNumberFormat="1" applyFont="1" applyFill="1" applyBorder="1" applyAlignment="1" applyProtection="1">
      <alignment horizontal="center" vertical="center"/>
      <protection hidden="1"/>
    </xf>
    <xf numFmtId="0" fontId="8" fillId="10" borderId="15" xfId="0" applyFont="1" applyFill="1" applyBorder="1" applyAlignment="1" applyProtection="1">
      <alignment horizontal="center" vertical="center"/>
      <protection hidden="1"/>
    </xf>
    <xf numFmtId="0" fontId="0" fillId="10" borderId="15" xfId="0" applyFont="1" applyFill="1" applyBorder="1" applyAlignment="1" applyProtection="1">
      <alignment horizontal="center" vertical="center" wrapText="1"/>
      <protection hidden="1"/>
    </xf>
    <xf numFmtId="0" fontId="0" fillId="10" borderId="23" xfId="0" applyFont="1" applyFill="1" applyBorder="1" applyAlignment="1" applyProtection="1">
      <alignment horizontal="center" vertical="center"/>
      <protection hidden="1"/>
    </xf>
    <xf numFmtId="0" fontId="0" fillId="10" borderId="13" xfId="0" applyFont="1" applyFill="1" applyBorder="1" applyAlignment="1" applyProtection="1">
      <alignment horizontal="center" vertical="center" wrapText="1"/>
      <protection hidden="1"/>
    </xf>
    <xf numFmtId="0" fontId="0" fillId="10" borderId="13" xfId="0" applyFont="1" applyFill="1" applyBorder="1" applyAlignment="1" applyProtection="1">
      <alignment horizontal="center" vertical="center"/>
      <protection hidden="1"/>
    </xf>
    <xf numFmtId="1" fontId="0" fillId="10" borderId="13" xfId="0" applyNumberFormat="1" applyFont="1" applyFill="1" applyBorder="1" applyAlignment="1" applyProtection="1">
      <alignment horizontal="center" vertical="center"/>
      <protection hidden="1"/>
    </xf>
    <xf numFmtId="1" fontId="0" fillId="10" borderId="15" xfId="0" applyNumberFormat="1" applyFont="1" applyFill="1" applyBorder="1" applyAlignment="1" applyProtection="1">
      <alignment horizontal="center" vertical="center"/>
      <protection hidden="1"/>
    </xf>
    <xf numFmtId="0" fontId="0" fillId="10" borderId="15" xfId="0" applyFont="1" applyFill="1" applyBorder="1" applyAlignment="1" applyProtection="1">
      <alignment vertical="center" wrapText="1"/>
      <protection hidden="1"/>
    </xf>
    <xf numFmtId="0" fontId="0" fillId="10" borderId="11" xfId="0" applyFont="1" applyFill="1" applyBorder="1" applyAlignment="1" applyProtection="1">
      <alignment horizontal="center" vertical="center" wrapText="1"/>
      <protection hidden="1"/>
    </xf>
    <xf numFmtId="0" fontId="0" fillId="10" borderId="11" xfId="0" applyFont="1" applyFill="1" applyBorder="1" applyAlignment="1" applyProtection="1">
      <alignment horizontal="center" vertical="center"/>
      <protection hidden="1"/>
    </xf>
    <xf numFmtId="1" fontId="0" fillId="10" borderId="11" xfId="0" applyNumberFormat="1" applyFont="1" applyFill="1" applyBorder="1" applyAlignment="1" applyProtection="1">
      <alignment horizontal="center" vertical="center"/>
      <protection hidden="1"/>
    </xf>
    <xf numFmtId="0" fontId="0" fillId="10" borderId="16" xfId="0" applyFont="1" applyFill="1" applyBorder="1" applyAlignment="1" applyProtection="1">
      <alignment horizontal="center" vertical="center"/>
      <protection hidden="1"/>
    </xf>
    <xf numFmtId="0" fontId="0" fillId="10" borderId="22" xfId="0" applyFont="1" applyFill="1" applyBorder="1" applyAlignment="1" applyProtection="1">
      <alignment wrapText="1"/>
      <protection hidden="1"/>
    </xf>
    <xf numFmtId="0" fontId="0" fillId="10" borderId="22" xfId="0" applyFont="1" applyFill="1" applyBorder="1" applyProtection="1">
      <protection hidden="1"/>
    </xf>
    <xf numFmtId="0" fontId="0" fillId="10" borderId="22" xfId="0" applyFont="1" applyFill="1" applyBorder="1" applyAlignment="1" applyProtection="1">
      <alignment horizontal="center" vertical="center"/>
      <protection hidden="1"/>
    </xf>
    <xf numFmtId="1" fontId="0" fillId="10" borderId="22" xfId="0" applyNumberFormat="1" applyFont="1" applyFill="1" applyBorder="1" applyAlignment="1" applyProtection="1">
      <alignment horizontal="center" vertical="center"/>
      <protection hidden="1"/>
    </xf>
    <xf numFmtId="0" fontId="0" fillId="10" borderId="22" xfId="0" applyFont="1" applyFill="1" applyBorder="1" applyAlignment="1" applyProtection="1">
      <alignment horizontal="center" vertical="center" wrapText="1"/>
      <protection hidden="1"/>
    </xf>
    <xf numFmtId="1" fontId="0" fillId="10" borderId="32" xfId="0" applyNumberFormat="1" applyFont="1" applyFill="1" applyBorder="1" applyAlignment="1" applyProtection="1">
      <alignment wrapText="1"/>
      <protection hidden="1"/>
    </xf>
    <xf numFmtId="0" fontId="0" fillId="10" borderId="0" xfId="0" applyFont="1" applyFill="1" applyBorder="1" applyAlignment="1" applyProtection="1">
      <alignment wrapText="1"/>
      <protection hidden="1"/>
    </xf>
    <xf numFmtId="1" fontId="0" fillId="10" borderId="0" xfId="0" applyNumberFormat="1" applyFont="1" applyFill="1" applyBorder="1" applyAlignment="1" applyProtection="1">
      <alignment horizontal="center"/>
      <protection hidden="1"/>
    </xf>
    <xf numFmtId="0" fontId="0" fillId="10" borderId="33" xfId="0" applyFont="1" applyFill="1" applyBorder="1" applyAlignment="1" applyProtection="1">
      <alignment wrapText="1"/>
      <protection hidden="1"/>
    </xf>
    <xf numFmtId="0" fontId="0" fillId="10" borderId="33" xfId="0" applyFont="1" applyFill="1" applyBorder="1" applyProtection="1">
      <protection hidden="1"/>
    </xf>
    <xf numFmtId="1" fontId="0" fillId="10" borderId="33" xfId="0" applyNumberFormat="1" applyFont="1" applyFill="1" applyBorder="1" applyAlignment="1" applyProtection="1">
      <alignment horizontal="center"/>
      <protection hidden="1"/>
    </xf>
    <xf numFmtId="0" fontId="10" fillId="10" borderId="12" xfId="0" applyFont="1" applyFill="1" applyBorder="1" applyAlignment="1" applyProtection="1">
      <alignment horizontal="center" vertical="center" wrapText="1"/>
      <protection hidden="1"/>
    </xf>
    <xf numFmtId="0" fontId="0" fillId="10" borderId="12" xfId="0" applyFont="1" applyFill="1" applyBorder="1" applyAlignment="1" applyProtection="1">
      <alignment horizontal="center" vertical="center"/>
      <protection hidden="1"/>
    </xf>
    <xf numFmtId="0" fontId="8" fillId="10" borderId="4" xfId="0" applyFont="1" applyFill="1" applyBorder="1" applyAlignment="1" applyProtection="1">
      <alignment horizontal="center" vertical="center"/>
      <protection hidden="1"/>
    </xf>
    <xf numFmtId="1" fontId="10" fillId="10" borderId="12" xfId="0" applyNumberFormat="1" applyFont="1" applyFill="1" applyBorder="1" applyAlignment="1" applyProtection="1">
      <alignment horizontal="center" vertical="center"/>
      <protection hidden="1"/>
    </xf>
    <xf numFmtId="0" fontId="0" fillId="10" borderId="0" xfId="0" applyFont="1" applyFill="1" applyBorder="1" applyAlignment="1" applyProtection="1">
      <alignment horizontal="center"/>
      <protection hidden="1"/>
    </xf>
    <xf numFmtId="1" fontId="0" fillId="10" borderId="11" xfId="0" applyNumberFormat="1" applyFont="1" applyFill="1" applyBorder="1" applyAlignment="1" applyProtection="1">
      <alignment horizontal="center" vertical="center" wrapText="1"/>
      <protection hidden="1"/>
    </xf>
    <xf numFmtId="1" fontId="0" fillId="10" borderId="4" xfId="0" applyNumberFormat="1" applyFont="1" applyFill="1" applyBorder="1" applyAlignment="1" applyProtection="1">
      <alignment horizontal="center" vertical="center"/>
      <protection hidden="1"/>
    </xf>
    <xf numFmtId="1" fontId="0" fillId="10" borderId="13" xfId="0" applyNumberFormat="1" applyFont="1" applyFill="1" applyBorder="1" applyAlignment="1" applyProtection="1">
      <alignment horizontal="center" vertical="center" wrapText="1"/>
      <protection hidden="1"/>
    </xf>
    <xf numFmtId="1" fontId="0" fillId="10" borderId="13" xfId="0" applyNumberFormat="1" applyFont="1" applyFill="1" applyBorder="1" applyAlignment="1" applyProtection="1">
      <alignment horizontal="center"/>
      <protection hidden="1"/>
    </xf>
    <xf numFmtId="0" fontId="0" fillId="10" borderId="4" xfId="0" applyFont="1" applyFill="1" applyBorder="1" applyAlignment="1" applyProtection="1">
      <alignment horizontal="center" vertical="center"/>
      <protection hidden="1"/>
    </xf>
    <xf numFmtId="0" fontId="0" fillId="10" borderId="13" xfId="0" applyFont="1" applyFill="1" applyBorder="1" applyAlignment="1" applyProtection="1">
      <alignment horizontal="center"/>
      <protection hidden="1"/>
    </xf>
    <xf numFmtId="0" fontId="0" fillId="10" borderId="15" xfId="0" applyFont="1" applyFill="1" applyBorder="1" applyAlignment="1" applyProtection="1">
      <protection hidden="1"/>
    </xf>
    <xf numFmtId="1" fontId="0" fillId="10" borderId="22" xfId="0" applyNumberFormat="1" applyFont="1" applyFill="1" applyBorder="1" applyAlignment="1" applyProtection="1">
      <alignment horizontal="center"/>
      <protection hidden="1"/>
    </xf>
    <xf numFmtId="0" fontId="0" fillId="10" borderId="32" xfId="0" applyFont="1" applyFill="1" applyBorder="1" applyAlignment="1" applyProtection="1">
      <alignment horizontal="center" vertical="center"/>
      <protection hidden="1"/>
    </xf>
    <xf numFmtId="1" fontId="0" fillId="10" borderId="15" xfId="0" applyNumberFormat="1" applyFont="1" applyFill="1" applyBorder="1" applyAlignment="1" applyProtection="1">
      <alignment horizontal="center"/>
      <protection hidden="1"/>
    </xf>
    <xf numFmtId="0" fontId="0" fillId="10" borderId="15" xfId="0" applyFont="1" applyFill="1" applyBorder="1" applyAlignment="1" applyProtection="1">
      <alignment horizontal="center"/>
      <protection hidden="1"/>
    </xf>
    <xf numFmtId="0" fontId="0" fillId="10" borderId="15" xfId="0" applyFont="1" applyFill="1" applyBorder="1" applyProtection="1">
      <protection hidden="1"/>
    </xf>
    <xf numFmtId="0" fontId="0" fillId="10" borderId="0" xfId="0" applyFont="1" applyFill="1" applyBorder="1" applyAlignment="1" applyProtection="1">
      <protection hidden="1"/>
    </xf>
    <xf numFmtId="0" fontId="0" fillId="10" borderId="32" xfId="0" applyFont="1" applyFill="1" applyBorder="1" applyAlignment="1" applyProtection="1">
      <alignment horizontal="center"/>
      <protection hidden="1"/>
    </xf>
    <xf numFmtId="0" fontId="0" fillId="10" borderId="32" xfId="0" applyFont="1" applyFill="1" applyBorder="1" applyProtection="1">
      <protection hidden="1"/>
    </xf>
    <xf numFmtId="1" fontId="0" fillId="10" borderId="0" xfId="0" applyNumberFormat="1" applyFont="1" applyFill="1" applyBorder="1" applyProtection="1">
      <protection hidden="1"/>
    </xf>
    <xf numFmtId="0" fontId="0" fillId="10" borderId="16" xfId="0" applyFont="1" applyFill="1" applyBorder="1" applyProtection="1">
      <protection hidden="1"/>
    </xf>
    <xf numFmtId="0" fontId="11" fillId="2" borderId="16" xfId="0" applyFont="1" applyFill="1" applyBorder="1" applyAlignment="1" applyProtection="1">
      <alignment horizontal="left"/>
      <protection hidden="1"/>
    </xf>
    <xf numFmtId="0" fontId="12" fillId="2" borderId="22" xfId="0" applyFont="1" applyFill="1" applyBorder="1" applyAlignment="1" applyProtection="1">
      <alignment horizontal="left"/>
      <protection hidden="1"/>
    </xf>
    <xf numFmtId="0" fontId="12" fillId="2" borderId="32" xfId="0" applyFont="1" applyFill="1" applyBorder="1" applyAlignment="1" applyProtection="1">
      <alignment horizontal="left"/>
      <protection hidden="1"/>
    </xf>
    <xf numFmtId="0" fontId="0" fillId="9" borderId="0" xfId="0" applyFill="1" applyBorder="1" applyProtection="1">
      <protection hidden="1"/>
    </xf>
    <xf numFmtId="0" fontId="0" fillId="9" borderId="0" xfId="0" applyFill="1" applyBorder="1" applyAlignment="1" applyProtection="1">
      <alignment horizontal="center" vertical="center" wrapText="1"/>
      <protection hidden="1"/>
    </xf>
    <xf numFmtId="0" fontId="0" fillId="9" borderId="0" xfId="0" applyFill="1" applyBorder="1" applyAlignment="1" applyProtection="1">
      <alignment horizontal="center" vertical="center"/>
      <protection hidden="1"/>
    </xf>
    <xf numFmtId="0" fontId="0" fillId="9" borderId="23" xfId="0" applyFill="1" applyBorder="1" applyProtection="1">
      <protection hidden="1"/>
    </xf>
    <xf numFmtId="0" fontId="0" fillId="9" borderId="15" xfId="0" applyFill="1" applyBorder="1" applyAlignment="1" applyProtection="1">
      <alignment horizontal="center" vertical="center"/>
      <protection hidden="1"/>
    </xf>
    <xf numFmtId="0" fontId="13" fillId="2" borderId="23" xfId="0" applyFont="1" applyFill="1" applyBorder="1" applyAlignment="1" applyProtection="1">
      <alignment horizontal="center"/>
      <protection hidden="1"/>
    </xf>
    <xf numFmtId="0" fontId="13" fillId="2" borderId="0" xfId="0" applyFont="1" applyFill="1" applyBorder="1" applyAlignment="1" applyProtection="1">
      <alignment horizontal="center"/>
      <protection hidden="1"/>
    </xf>
    <xf numFmtId="0" fontId="13" fillId="2" borderId="15" xfId="0" applyFont="1" applyFill="1" applyBorder="1" applyAlignment="1" applyProtection="1">
      <alignment horizontal="center"/>
      <protection hidden="1"/>
    </xf>
    <xf numFmtId="0" fontId="15" fillId="9" borderId="0" xfId="0" applyFont="1" applyFill="1" applyBorder="1" applyAlignment="1" applyProtection="1">
      <alignment horizontal="center" vertical="center"/>
      <protection hidden="1"/>
    </xf>
    <xf numFmtId="0" fontId="8" fillId="9" borderId="0" xfId="0" applyFont="1" applyFill="1" applyBorder="1" applyAlignment="1" applyProtection="1">
      <alignment horizontal="left" vertical="center" wrapText="1"/>
      <protection hidden="1"/>
    </xf>
    <xf numFmtId="0" fontId="0" fillId="9" borderId="4" xfId="0" applyFill="1" applyBorder="1" applyAlignment="1" applyProtection="1">
      <alignment horizontal="left" vertical="top" wrapText="1"/>
      <protection hidden="1"/>
    </xf>
    <xf numFmtId="0" fontId="14" fillId="10" borderId="0" xfId="0" applyFont="1" applyFill="1" applyBorder="1" applyProtection="1">
      <protection hidden="1"/>
    </xf>
    <xf numFmtId="0" fontId="6" fillId="9" borderId="0" xfId="0" applyFont="1" applyFill="1" applyBorder="1" applyAlignment="1" applyProtection="1">
      <alignment horizontal="center" vertical="center" wrapText="1"/>
      <protection hidden="1"/>
    </xf>
    <xf numFmtId="0" fontId="2" fillId="3" borderId="0" xfId="0" applyFont="1" applyFill="1" applyAlignment="1" applyProtection="1"/>
    <xf numFmtId="0" fontId="5" fillId="0" borderId="2" xfId="0" applyFont="1" applyBorder="1" applyAlignment="1" applyProtection="1"/>
    <xf numFmtId="0" fontId="6" fillId="9" borderId="2" xfId="0" applyFont="1" applyFill="1" applyBorder="1" applyAlignment="1" applyProtection="1">
      <alignment horizontal="left" vertical="center" wrapText="1"/>
    </xf>
    <xf numFmtId="0" fontId="6" fillId="0" borderId="2" xfId="0" applyFont="1" applyBorder="1" applyAlignment="1" applyProtection="1"/>
    <xf numFmtId="0" fontId="6" fillId="0" borderId="3" xfId="0" applyFont="1" applyBorder="1" applyAlignment="1" applyProtection="1"/>
    <xf numFmtId="0" fontId="0" fillId="9" borderId="4" xfId="0" applyFill="1" applyBorder="1" applyAlignment="1" applyProtection="1">
      <alignment horizontal="center" vertical="center"/>
    </xf>
    <xf numFmtId="0" fontId="0" fillId="9" borderId="0" xfId="0" applyFill="1" applyBorder="1" applyProtection="1"/>
    <xf numFmtId="0" fontId="0" fillId="9" borderId="0" xfId="0" applyFill="1" applyBorder="1" applyAlignment="1" applyProtection="1">
      <alignment vertical="center" wrapText="1"/>
    </xf>
    <xf numFmtId="0" fontId="6" fillId="9" borderId="0" xfId="0" applyFont="1" applyFill="1" applyBorder="1" applyAlignment="1" applyProtection="1">
      <alignment horizontal="left" vertical="center" wrapText="1"/>
    </xf>
    <xf numFmtId="0" fontId="6" fillId="9" borderId="5" xfId="0" applyFont="1" applyFill="1" applyBorder="1" applyAlignment="1" applyProtection="1">
      <alignment horizontal="left" vertical="center" wrapText="1"/>
    </xf>
    <xf numFmtId="0" fontId="0" fillId="9" borderId="4" xfId="0" applyFill="1" applyBorder="1" applyProtection="1"/>
    <xf numFmtId="0" fontId="0" fillId="0" borderId="0" xfId="0" applyAlignment="1" applyProtection="1">
      <alignment vertical="center"/>
    </xf>
    <xf numFmtId="0" fontId="0" fillId="0" borderId="0" xfId="0" applyAlignment="1" applyProtection="1">
      <alignment horizontal="left" vertical="top" wrapText="1"/>
    </xf>
    <xf numFmtId="0" fontId="0" fillId="0" borderId="5" xfId="0" applyBorder="1" applyAlignment="1" applyProtection="1">
      <alignment horizontal="left" vertical="top" wrapText="1"/>
    </xf>
    <xf numFmtId="0" fontId="6" fillId="0" borderId="0" xfId="0" applyFont="1" applyAlignment="1" applyProtection="1">
      <alignment horizontal="center" vertical="center" wrapText="1"/>
    </xf>
    <xf numFmtId="0" fontId="0" fillId="0" borderId="4" xfId="0" applyBorder="1" applyAlignment="1" applyProtection="1">
      <alignment horizontal="left" vertical="top" wrapText="1"/>
    </xf>
    <xf numFmtId="0" fontId="0" fillId="9" borderId="6" xfId="0" applyFill="1" applyBorder="1" applyAlignment="1" applyProtection="1">
      <alignment horizontal="left" vertical="top" wrapText="1"/>
    </xf>
    <xf numFmtId="0" fontId="0" fillId="0" borderId="7" xfId="0" applyBorder="1" applyAlignment="1" applyProtection="1">
      <alignment horizontal="left" vertical="top" wrapText="1"/>
    </xf>
    <xf numFmtId="0" fontId="0" fillId="0" borderId="8" xfId="0" applyBorder="1" applyAlignment="1" applyProtection="1">
      <alignment horizontal="left" vertical="top" wrapText="1"/>
    </xf>
    <xf numFmtId="0" fontId="4" fillId="0" borderId="0" xfId="0" applyFont="1" applyAlignment="1" applyProtection="1">
      <alignment horizontal="center" vertical="center" wrapText="1"/>
    </xf>
  </cellXfs>
  <cellStyles count="1">
    <cellStyle name="Normale" xfId="0" builtinId="0"/>
  </cellStyles>
  <dxfs count="10"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00B050"/>
      </font>
    </dxf>
    <dxf>
      <font>
        <b/>
        <i val="0"/>
        <color rgb="FFFFC000"/>
      </font>
      <fill>
        <patternFill>
          <bgColor rgb="FFC00000"/>
        </patternFill>
      </fill>
    </dxf>
    <dxf>
      <font>
        <b/>
        <i val="0"/>
        <color rgb="FFC00000"/>
      </font>
    </dxf>
    <dxf>
      <font>
        <color rgb="FF00B050"/>
      </font>
    </dxf>
    <dxf>
      <font>
        <b/>
        <i val="0"/>
        <color rgb="FFC00000"/>
      </font>
    </dxf>
    <dxf>
      <font>
        <b/>
        <i val="0"/>
        <color rgb="FF00B050"/>
      </font>
    </dxf>
  </dxfs>
  <tableStyles count="0" defaultTableStyle="TableStyleMedium2" defaultPivotStyle="PivotStyleLight16"/>
  <colors>
    <mruColors>
      <color rgb="FFFFFFCC"/>
      <color rgb="FF8BAF94"/>
      <color rgb="FF9CAB6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1"/>
  <dimension ref="A1:AC250"/>
  <sheetViews>
    <sheetView tabSelected="1" workbookViewId="0">
      <selection activeCell="G236" sqref="G236"/>
    </sheetView>
  </sheetViews>
  <sheetFormatPr defaultRowHeight="15" x14ac:dyDescent="0.25"/>
  <cols>
    <col min="1" max="1" width="9.140625" customWidth="1"/>
    <col min="2" max="2" width="2.7109375" customWidth="1"/>
    <col min="3" max="3" width="20.7109375" customWidth="1"/>
    <col min="4" max="4" width="2.7109375" customWidth="1"/>
    <col min="5" max="5" width="20.7109375" customWidth="1"/>
    <col min="6" max="6" width="2.7109375" customWidth="1"/>
    <col min="7" max="7" width="20.7109375" customWidth="1"/>
    <col min="8" max="8" width="2.7109375" customWidth="1"/>
    <col min="9" max="10" width="16.7109375" customWidth="1"/>
    <col min="11" max="11" width="2.7109375" customWidth="1"/>
    <col min="12" max="13" width="16.7109375" customWidth="1"/>
    <col min="14" max="14" width="2.7109375" customWidth="1"/>
    <col min="15" max="16" width="16.7109375" customWidth="1"/>
    <col min="17" max="17" width="2.7109375" customWidth="1"/>
    <col min="18" max="19" width="16.7109375" customWidth="1"/>
    <col min="20" max="20" width="2.7109375" customWidth="1"/>
    <col min="23" max="23" width="2.42578125" customWidth="1"/>
    <col min="24" max="24" width="11.28515625" customWidth="1"/>
    <col min="25" max="25" width="11.5703125" customWidth="1"/>
    <col min="26" max="26" width="1.85546875" customWidth="1"/>
  </cols>
  <sheetData>
    <row r="1" spans="1:29" ht="15.75" thickBot="1" x14ac:dyDescent="0.3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 spans="1:29" ht="15.75" thickBot="1" x14ac:dyDescent="0.3">
      <c r="A2" s="11"/>
      <c r="B2" s="21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3"/>
      <c r="O2" s="22"/>
      <c r="P2" s="22"/>
      <c r="Q2" s="22"/>
      <c r="R2" s="22"/>
      <c r="S2" s="22"/>
      <c r="T2" s="24"/>
      <c r="U2" s="12"/>
      <c r="V2" s="12"/>
      <c r="W2" s="2"/>
      <c r="X2" s="2"/>
      <c r="Y2" s="2"/>
      <c r="Z2" s="2"/>
      <c r="AA2" s="2"/>
      <c r="AB2" s="2"/>
      <c r="AC2" s="2"/>
    </row>
    <row r="3" spans="1:29" x14ac:dyDescent="0.25">
      <c r="A3" s="11"/>
      <c r="B3" s="25"/>
      <c r="C3" s="63" t="s">
        <v>0</v>
      </c>
      <c r="D3" s="10"/>
      <c r="E3" s="70" t="s">
        <v>30</v>
      </c>
      <c r="F3" s="10"/>
      <c r="G3" s="63" t="s">
        <v>1</v>
      </c>
      <c r="H3" s="33"/>
      <c r="I3" s="57" t="s">
        <v>13</v>
      </c>
      <c r="J3" s="58"/>
      <c r="K3" s="37"/>
      <c r="L3" s="57" t="s">
        <v>15</v>
      </c>
      <c r="M3" s="58"/>
      <c r="N3" s="37"/>
      <c r="O3" s="57" t="s">
        <v>16</v>
      </c>
      <c r="P3" s="58"/>
      <c r="Q3" s="37"/>
      <c r="R3" s="55" t="s">
        <v>17</v>
      </c>
      <c r="S3" s="56"/>
      <c r="T3" s="40"/>
      <c r="U3" s="12"/>
      <c r="V3" s="12"/>
      <c r="W3" s="8"/>
      <c r="X3" s="2"/>
      <c r="Y3" s="2"/>
      <c r="Z3" s="1"/>
      <c r="AA3" s="2"/>
      <c r="AB3" s="2"/>
      <c r="AC3" s="2"/>
    </row>
    <row r="4" spans="1:29" ht="30" x14ac:dyDescent="0.25">
      <c r="A4" s="11"/>
      <c r="B4" s="25"/>
      <c r="C4" s="64"/>
      <c r="D4" s="30"/>
      <c r="E4" s="71"/>
      <c r="F4" s="30"/>
      <c r="G4" s="64"/>
      <c r="H4" s="34"/>
      <c r="I4" s="42" t="s">
        <v>27</v>
      </c>
      <c r="J4" s="43" t="s">
        <v>14</v>
      </c>
      <c r="K4" s="33"/>
      <c r="L4" s="42" t="s">
        <v>27</v>
      </c>
      <c r="M4" s="43" t="s">
        <v>14</v>
      </c>
      <c r="N4" s="33"/>
      <c r="O4" s="42" t="s">
        <v>27</v>
      </c>
      <c r="P4" s="43" t="s">
        <v>14</v>
      </c>
      <c r="Q4" s="33"/>
      <c r="R4" s="42" t="s">
        <v>27</v>
      </c>
      <c r="S4" s="43" t="s">
        <v>14</v>
      </c>
      <c r="T4" s="41"/>
      <c r="U4" s="12"/>
      <c r="V4" s="12"/>
      <c r="W4" s="7"/>
      <c r="X4" s="2"/>
      <c r="Y4" s="2"/>
      <c r="Z4" s="7"/>
      <c r="AA4" s="2"/>
      <c r="AB4" s="2"/>
      <c r="AC4" s="2"/>
    </row>
    <row r="5" spans="1:29" x14ac:dyDescent="0.25">
      <c r="A5" s="11"/>
      <c r="B5" s="25"/>
      <c r="C5" s="13">
        <v>24</v>
      </c>
      <c r="D5" s="31"/>
      <c r="E5" s="13">
        <v>0</v>
      </c>
      <c r="F5" s="31"/>
      <c r="G5" s="13">
        <v>0</v>
      </c>
      <c r="H5" s="35"/>
      <c r="I5" s="46">
        <f>E57</f>
        <v>8</v>
      </c>
      <c r="J5" s="47">
        <f>I57</f>
        <v>8</v>
      </c>
      <c r="K5" s="35"/>
      <c r="L5" s="46">
        <f>E58</f>
        <v>8</v>
      </c>
      <c r="M5" s="47">
        <f>I58</f>
        <v>0</v>
      </c>
      <c r="N5" s="35"/>
      <c r="O5" s="46">
        <f>E59</f>
        <v>6</v>
      </c>
      <c r="P5" s="47">
        <f>I59</f>
        <v>0</v>
      </c>
      <c r="Q5" s="35"/>
      <c r="R5" s="46">
        <f>E60</f>
        <v>4</v>
      </c>
      <c r="S5" s="47">
        <f>I60</f>
        <v>4</v>
      </c>
      <c r="T5" s="38"/>
      <c r="U5" s="12"/>
      <c r="V5" s="12"/>
      <c r="W5" s="3"/>
      <c r="X5" s="2"/>
      <c r="Y5" s="2"/>
      <c r="Z5" s="3"/>
      <c r="AA5" s="2"/>
      <c r="AB5" s="2"/>
      <c r="AC5" s="2"/>
    </row>
    <row r="6" spans="1:29" ht="15.75" thickBot="1" x14ac:dyDescent="0.3">
      <c r="A6" s="11"/>
      <c r="B6" s="25"/>
      <c r="C6" s="31"/>
      <c r="D6" s="31"/>
      <c r="E6" s="31"/>
      <c r="F6" s="31"/>
      <c r="G6" s="31"/>
      <c r="H6" s="35"/>
      <c r="I6" s="31"/>
      <c r="J6" s="31"/>
      <c r="K6" s="35"/>
      <c r="L6" s="31"/>
      <c r="M6" s="31"/>
      <c r="N6" s="35"/>
      <c r="O6" s="31"/>
      <c r="P6" s="31"/>
      <c r="Q6" s="35"/>
      <c r="R6" s="31"/>
      <c r="S6" s="31"/>
      <c r="T6" s="38"/>
      <c r="U6" s="14"/>
      <c r="V6" s="14"/>
      <c r="W6" s="3"/>
      <c r="X6" s="3"/>
      <c r="Y6" s="3"/>
      <c r="Z6" s="3"/>
      <c r="AA6" s="3"/>
      <c r="AB6" s="3"/>
      <c r="AC6" s="2"/>
    </row>
    <row r="7" spans="1:29" x14ac:dyDescent="0.25">
      <c r="A7" s="11"/>
      <c r="B7" s="25"/>
      <c r="C7" s="70" t="s">
        <v>52</v>
      </c>
      <c r="D7" s="10"/>
      <c r="E7" s="39" t="s">
        <v>1</v>
      </c>
      <c r="F7" s="9"/>
      <c r="G7" s="39" t="s">
        <v>9</v>
      </c>
      <c r="H7" s="36"/>
      <c r="I7" s="57" t="s">
        <v>18</v>
      </c>
      <c r="J7" s="58"/>
      <c r="K7" s="33"/>
      <c r="L7" s="55" t="s">
        <v>19</v>
      </c>
      <c r="M7" s="56"/>
      <c r="N7" s="33"/>
      <c r="O7" s="55" t="s">
        <v>20</v>
      </c>
      <c r="P7" s="56"/>
      <c r="Q7" s="33"/>
      <c r="R7" s="62" t="s">
        <v>22</v>
      </c>
      <c r="S7" s="172"/>
      <c r="T7" s="41"/>
      <c r="U7" s="15"/>
      <c r="V7" s="15"/>
      <c r="W7" s="7"/>
      <c r="X7" s="7"/>
      <c r="Y7" s="7"/>
      <c r="Z7" s="7"/>
      <c r="AA7" s="7"/>
      <c r="AB7" s="7"/>
      <c r="AC7" s="2"/>
    </row>
    <row r="8" spans="1:29" ht="30" x14ac:dyDescent="0.25">
      <c r="A8" s="11"/>
      <c r="B8" s="25"/>
      <c r="C8" s="71"/>
      <c r="D8" s="31"/>
      <c r="E8" s="51" t="str">
        <f>IF(G5&gt;0,"Starting Positions for each player:","No Starting Positions")</f>
        <v>No Starting Positions</v>
      </c>
      <c r="F8" s="10"/>
      <c r="G8" s="16" t="s">
        <v>11</v>
      </c>
      <c r="H8" s="33"/>
      <c r="I8" s="42" t="s">
        <v>27</v>
      </c>
      <c r="J8" s="43" t="s">
        <v>14</v>
      </c>
      <c r="K8" s="35"/>
      <c r="L8" s="42" t="s">
        <v>27</v>
      </c>
      <c r="M8" s="43" t="s">
        <v>14</v>
      </c>
      <c r="N8" s="35"/>
      <c r="O8" s="42" t="s">
        <v>27</v>
      </c>
      <c r="P8" s="43" t="s">
        <v>14</v>
      </c>
      <c r="Q8" s="35"/>
      <c r="R8" s="172"/>
      <c r="S8" s="172"/>
      <c r="T8" s="38"/>
      <c r="U8" s="14"/>
      <c r="V8" s="14"/>
      <c r="W8" s="3"/>
      <c r="X8" s="3"/>
      <c r="Y8" s="3"/>
      <c r="Z8" s="3"/>
      <c r="AA8" s="3"/>
      <c r="AB8" s="3"/>
      <c r="AC8" s="2"/>
    </row>
    <row r="9" spans="1:29" ht="15.75" thickBot="1" x14ac:dyDescent="0.3">
      <c r="A9" s="11"/>
      <c r="B9" s="25"/>
      <c r="C9" s="13">
        <v>0</v>
      </c>
      <c r="D9" s="10"/>
      <c r="E9" s="52"/>
      <c r="F9" s="32"/>
      <c r="G9" s="10"/>
      <c r="H9" s="33"/>
      <c r="I9" s="48">
        <f>E61</f>
        <v>4</v>
      </c>
      <c r="J9" s="47">
        <f>I61</f>
        <v>0</v>
      </c>
      <c r="K9" s="35"/>
      <c r="L9" s="46">
        <f>E62</f>
        <v>3</v>
      </c>
      <c r="M9" s="47">
        <f>I62</f>
        <v>3</v>
      </c>
      <c r="N9" s="35"/>
      <c r="O9" s="46">
        <f>E63</f>
        <v>3</v>
      </c>
      <c r="P9" s="47">
        <f>I63</f>
        <v>0</v>
      </c>
      <c r="Q9" s="35"/>
      <c r="R9" s="172"/>
      <c r="S9" s="172"/>
      <c r="T9" s="38"/>
      <c r="U9" s="14"/>
      <c r="V9" s="14"/>
      <c r="W9" s="3"/>
      <c r="X9" s="3"/>
      <c r="Y9" s="3"/>
      <c r="Z9" s="3"/>
      <c r="AA9" s="3"/>
      <c r="AB9" s="3"/>
      <c r="AC9" s="2"/>
    </row>
    <row r="10" spans="1:29" ht="15" customHeight="1" x14ac:dyDescent="0.25">
      <c r="A10" s="11"/>
      <c r="B10" s="25"/>
      <c r="C10" s="65" t="s">
        <v>21</v>
      </c>
      <c r="D10" s="10"/>
      <c r="E10" s="59" t="s">
        <v>2</v>
      </c>
      <c r="F10" s="60"/>
      <c r="G10" s="49">
        <f>G27</f>
        <v>0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41"/>
      <c r="U10" s="15"/>
      <c r="V10" s="15"/>
      <c r="W10" s="7"/>
      <c r="X10" s="7"/>
      <c r="Y10" s="7"/>
      <c r="Z10" s="7"/>
      <c r="AA10" s="7"/>
      <c r="AB10" s="7"/>
      <c r="AC10" s="2"/>
    </row>
    <row r="11" spans="1:29" ht="15" customHeight="1" x14ac:dyDescent="0.3">
      <c r="A11" s="11"/>
      <c r="B11" s="25"/>
      <c r="C11" s="153"/>
      <c r="D11" s="10"/>
      <c r="E11" s="59" t="s">
        <v>3</v>
      </c>
      <c r="F11" s="61"/>
      <c r="G11" s="50">
        <f>G28</f>
        <v>0</v>
      </c>
      <c r="H11" s="10"/>
      <c r="I11" s="66" t="s">
        <v>23</v>
      </c>
      <c r="J11" s="154"/>
      <c r="K11" s="154"/>
      <c r="L11" s="155" t="s">
        <v>24</v>
      </c>
      <c r="M11" s="156"/>
      <c r="N11" s="156"/>
      <c r="O11" s="156"/>
      <c r="P11" s="156"/>
      <c r="Q11" s="156"/>
      <c r="R11" s="156"/>
      <c r="S11" s="157"/>
      <c r="T11" s="38"/>
      <c r="U11" s="14"/>
      <c r="V11" s="14"/>
      <c r="W11" s="3"/>
      <c r="X11" s="3"/>
      <c r="Y11" s="3"/>
      <c r="Z11" s="3"/>
      <c r="AA11" s="3"/>
      <c r="AB11" s="3"/>
      <c r="AC11" s="2"/>
    </row>
    <row r="12" spans="1:29" ht="15" customHeight="1" x14ac:dyDescent="0.25">
      <c r="A12" s="11"/>
      <c r="B12" s="25"/>
      <c r="C12" s="153"/>
      <c r="D12" s="9"/>
      <c r="E12" s="59" t="s">
        <v>4</v>
      </c>
      <c r="F12" s="61"/>
      <c r="G12" s="50">
        <f>G29</f>
        <v>0</v>
      </c>
      <c r="H12" s="10"/>
      <c r="I12" s="158"/>
      <c r="J12" s="159"/>
      <c r="K12" s="160"/>
      <c r="L12" s="161" t="s">
        <v>25</v>
      </c>
      <c r="M12" s="161"/>
      <c r="N12" s="161"/>
      <c r="O12" s="161"/>
      <c r="P12" s="161"/>
      <c r="Q12" s="161"/>
      <c r="R12" s="161"/>
      <c r="S12" s="162"/>
      <c r="T12" s="41"/>
      <c r="U12" s="15"/>
      <c r="V12" s="15"/>
      <c r="W12" s="7"/>
      <c r="X12" s="7"/>
      <c r="Y12" s="7"/>
      <c r="Z12" s="7"/>
      <c r="AA12" s="7"/>
      <c r="AB12" s="7"/>
      <c r="AC12" s="2"/>
    </row>
    <row r="13" spans="1:29" ht="15" customHeight="1" x14ac:dyDescent="0.25">
      <c r="A13" s="11"/>
      <c r="B13" s="25"/>
      <c r="C13" s="153"/>
      <c r="D13" s="9"/>
      <c r="E13" s="59" t="s">
        <v>5</v>
      </c>
      <c r="F13" s="61"/>
      <c r="G13" s="50">
        <f>G30</f>
        <v>0</v>
      </c>
      <c r="H13" s="10"/>
      <c r="I13" s="158"/>
      <c r="J13" s="159"/>
      <c r="K13" s="160"/>
      <c r="L13" s="161" t="s">
        <v>26</v>
      </c>
      <c r="M13" s="161"/>
      <c r="N13" s="161"/>
      <c r="O13" s="161"/>
      <c r="P13" s="161"/>
      <c r="Q13" s="161"/>
      <c r="R13" s="161"/>
      <c r="S13" s="162"/>
      <c r="T13" s="38"/>
      <c r="U13" s="14"/>
      <c r="V13" s="14"/>
      <c r="W13" s="3"/>
      <c r="X13" s="3"/>
      <c r="Y13" s="3"/>
      <c r="Z13" s="3"/>
      <c r="AA13" s="3"/>
      <c r="AB13" s="3"/>
      <c r="AC13" s="2"/>
    </row>
    <row r="14" spans="1:29" ht="15" customHeight="1" x14ac:dyDescent="0.25">
      <c r="A14" s="11"/>
      <c r="B14" s="25"/>
      <c r="C14" s="153"/>
      <c r="D14" s="9"/>
      <c r="E14" s="59" t="s">
        <v>6</v>
      </c>
      <c r="F14" s="61"/>
      <c r="G14" s="50">
        <f>G31</f>
        <v>0</v>
      </c>
      <c r="H14" s="10"/>
      <c r="I14" s="158"/>
      <c r="J14" s="159"/>
      <c r="K14" s="160"/>
      <c r="L14" s="161" t="s">
        <v>55</v>
      </c>
      <c r="M14" s="161"/>
      <c r="N14" s="161"/>
      <c r="O14" s="161"/>
      <c r="P14" s="161"/>
      <c r="Q14" s="161"/>
      <c r="R14" s="161"/>
      <c r="S14" s="162"/>
      <c r="T14" s="41"/>
      <c r="U14" s="15"/>
      <c r="V14" s="15"/>
      <c r="W14" s="7"/>
      <c r="X14" s="7"/>
      <c r="Y14" s="7"/>
      <c r="Z14" s="7"/>
      <c r="AA14" s="7"/>
      <c r="AB14" s="7"/>
      <c r="AC14" s="2"/>
    </row>
    <row r="15" spans="1:29" ht="15" customHeight="1" x14ac:dyDescent="0.25">
      <c r="A15" s="11"/>
      <c r="B15" s="25"/>
      <c r="C15" s="153"/>
      <c r="D15" s="9"/>
      <c r="E15" s="59" t="s">
        <v>7</v>
      </c>
      <c r="F15" s="61"/>
      <c r="G15" s="50">
        <f>G32</f>
        <v>0</v>
      </c>
      <c r="H15" s="10"/>
      <c r="I15" s="163"/>
      <c r="J15" s="159"/>
      <c r="K15" s="159"/>
      <c r="L15" s="161" t="s">
        <v>54</v>
      </c>
      <c r="M15" s="161"/>
      <c r="N15" s="161"/>
      <c r="O15" s="161"/>
      <c r="P15" s="161"/>
      <c r="Q15" s="161"/>
      <c r="R15" s="161"/>
      <c r="S15" s="162"/>
      <c r="T15" s="38"/>
      <c r="U15" s="14"/>
      <c r="V15" s="14"/>
      <c r="W15" s="3"/>
      <c r="X15" s="3"/>
      <c r="Y15" s="3"/>
      <c r="Z15" s="3"/>
      <c r="AA15" s="3"/>
      <c r="AB15" s="3"/>
      <c r="AC15" s="2"/>
    </row>
    <row r="16" spans="1:29" ht="15" customHeight="1" x14ac:dyDescent="0.25">
      <c r="A16" s="11"/>
      <c r="B16" s="25"/>
      <c r="C16" s="153"/>
      <c r="D16" s="9"/>
      <c r="E16" s="59" t="s">
        <v>8</v>
      </c>
      <c r="F16" s="61"/>
      <c r="G16" s="69">
        <f>G33</f>
        <v>0</v>
      </c>
      <c r="H16" s="31"/>
      <c r="I16" s="53" t="s">
        <v>56</v>
      </c>
      <c r="J16" s="68"/>
      <c r="K16" s="68"/>
      <c r="L16" s="68"/>
      <c r="M16" s="68"/>
      <c r="N16" s="68"/>
      <c r="O16" s="68"/>
      <c r="P16" s="68"/>
      <c r="Q16" s="68"/>
      <c r="R16" s="68"/>
      <c r="S16" s="54"/>
      <c r="T16" s="41"/>
      <c r="U16" s="15"/>
      <c r="V16" s="15"/>
      <c r="W16" s="7"/>
      <c r="X16" s="7"/>
      <c r="Y16" s="7"/>
      <c r="Z16" s="7"/>
      <c r="AA16" s="7"/>
      <c r="AB16" s="7"/>
      <c r="AC16" s="2"/>
    </row>
    <row r="17" spans="2:29" s="4" customFormat="1" ht="16.5" customHeight="1" x14ac:dyDescent="0.25">
      <c r="B17" s="143"/>
      <c r="C17" s="140"/>
      <c r="D17" s="140"/>
      <c r="E17" s="140"/>
      <c r="F17" s="140"/>
      <c r="G17" s="141"/>
      <c r="H17" s="142"/>
      <c r="I17" s="67"/>
      <c r="J17" s="68"/>
      <c r="K17" s="68"/>
      <c r="L17" s="68"/>
      <c r="M17" s="68"/>
      <c r="N17" s="68"/>
      <c r="O17" s="68"/>
      <c r="P17" s="68"/>
      <c r="Q17" s="68"/>
      <c r="R17" s="68"/>
      <c r="S17" s="54"/>
      <c r="T17" s="144"/>
      <c r="U17" s="18"/>
      <c r="V17" s="18"/>
      <c r="W17" s="18"/>
      <c r="X17" s="18"/>
      <c r="Y17" s="17"/>
      <c r="Z17" s="17"/>
      <c r="AA17" s="20"/>
      <c r="AB17" s="20"/>
      <c r="AC17" s="20"/>
    </row>
    <row r="18" spans="2:29" s="4" customFormat="1" ht="15" customHeight="1" x14ac:dyDescent="0.25">
      <c r="B18" s="143"/>
      <c r="C18" s="152" t="s">
        <v>49</v>
      </c>
      <c r="D18" s="148" t="str">
        <f>IF(PRODUCT(G5,C9)&gt;C5,E73,E72)</f>
        <v>ü</v>
      </c>
      <c r="E18" s="149" t="str">
        <f>IF(D18=E73,G72,G73)</f>
        <v>OK!</v>
      </c>
      <c r="F18" s="164"/>
      <c r="G18" s="164"/>
      <c r="H18" s="142"/>
      <c r="I18" s="150" t="s">
        <v>57</v>
      </c>
      <c r="J18" s="165"/>
      <c r="K18" s="165"/>
      <c r="L18" s="165"/>
      <c r="M18" s="165"/>
      <c r="N18" s="165"/>
      <c r="O18" s="165"/>
      <c r="P18" s="165"/>
      <c r="Q18" s="165"/>
      <c r="R18" s="165"/>
      <c r="S18" s="166"/>
      <c r="T18" s="144"/>
      <c r="U18" s="6"/>
      <c r="V18" s="5"/>
      <c r="W18" s="5"/>
      <c r="X18" s="5"/>
      <c r="Y18" s="17"/>
      <c r="Z18" s="17"/>
      <c r="AA18" s="20"/>
      <c r="AB18" s="20"/>
      <c r="AC18" s="20"/>
    </row>
    <row r="19" spans="2:29" s="4" customFormat="1" ht="15" customHeight="1" x14ac:dyDescent="0.25">
      <c r="B19" s="143"/>
      <c r="C19" s="167"/>
      <c r="D19" s="148" t="str">
        <f>IF(G5=0,IF(C9&gt;0,E73,E72),IF(C9&gt;0,E72,E73))</f>
        <v>ü</v>
      </c>
      <c r="E19" s="149" t="str">
        <f>IF(G5=0,IF(C9&gt;0,G74,G73),IF(C9&gt;0,G73,G75))</f>
        <v>OK!</v>
      </c>
      <c r="F19" s="164"/>
      <c r="G19" s="164"/>
      <c r="H19" s="142"/>
      <c r="I19" s="168"/>
      <c r="J19" s="165"/>
      <c r="K19" s="165"/>
      <c r="L19" s="165"/>
      <c r="M19" s="165"/>
      <c r="N19" s="165"/>
      <c r="O19" s="165"/>
      <c r="P19" s="165"/>
      <c r="Q19" s="165"/>
      <c r="R19" s="165"/>
      <c r="S19" s="166"/>
      <c r="T19" s="144"/>
      <c r="U19" s="6"/>
      <c r="V19" s="5"/>
      <c r="W19" s="5"/>
      <c r="X19" s="5"/>
      <c r="Y19" s="17"/>
      <c r="Z19" s="17"/>
      <c r="AA19" s="20"/>
      <c r="AB19" s="20"/>
      <c r="AC19" s="20"/>
    </row>
    <row r="20" spans="2:29" s="4" customFormat="1" ht="15" customHeight="1" x14ac:dyDescent="0.25">
      <c r="B20" s="143"/>
      <c r="C20" s="167"/>
      <c r="D20" s="148" t="str">
        <f>IF(G5=0,IF(G8=C24,E72,E73),E72)</f>
        <v>ü</v>
      </c>
      <c r="E20" s="149" t="str">
        <f>IF(D20=E72,G73,G76)</f>
        <v>OK!</v>
      </c>
      <c r="F20" s="164"/>
      <c r="G20" s="164"/>
      <c r="H20" s="142"/>
      <c r="I20" s="169" t="s">
        <v>58</v>
      </c>
      <c r="J20" s="170"/>
      <c r="K20" s="170"/>
      <c r="L20" s="170"/>
      <c r="M20" s="170"/>
      <c r="N20" s="170"/>
      <c r="O20" s="170"/>
      <c r="P20" s="170"/>
      <c r="Q20" s="170"/>
      <c r="R20" s="170"/>
      <c r="S20" s="171"/>
      <c r="T20" s="144"/>
      <c r="U20" s="6"/>
      <c r="V20" s="5"/>
      <c r="W20" s="5"/>
      <c r="X20" s="5"/>
      <c r="Y20" s="17"/>
      <c r="Z20" s="17"/>
      <c r="AA20" s="20"/>
      <c r="AB20" s="20"/>
      <c r="AC20" s="20"/>
    </row>
    <row r="21" spans="2:29" s="4" customFormat="1" ht="15" hidden="1" customHeight="1" x14ac:dyDescent="0.25">
      <c r="B21" s="145" t="s">
        <v>44</v>
      </c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7"/>
      <c r="U21" s="6"/>
      <c r="V21" s="5"/>
      <c r="W21" s="5"/>
      <c r="X21" s="5"/>
      <c r="Y21" s="17"/>
      <c r="Z21" s="17"/>
      <c r="AA21" s="20"/>
      <c r="AB21" s="20"/>
      <c r="AC21" s="20"/>
    </row>
    <row r="22" spans="2:29" s="4" customFormat="1" ht="15" hidden="1" customHeight="1" thickBot="1" x14ac:dyDescent="0.3">
      <c r="B22" s="137" t="s">
        <v>43</v>
      </c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9"/>
      <c r="U22" s="6"/>
      <c r="V22" s="5"/>
      <c r="W22" s="5"/>
      <c r="X22" s="5"/>
      <c r="Y22" s="17"/>
      <c r="Z22" s="17"/>
      <c r="AA22" s="20"/>
      <c r="AB22" s="20"/>
      <c r="AC22" s="20"/>
    </row>
    <row r="23" spans="2:29" s="4" customFormat="1" ht="15" hidden="1" customHeight="1" x14ac:dyDescent="0.25">
      <c r="B23" s="72"/>
      <c r="C23" s="73" t="s">
        <v>12</v>
      </c>
      <c r="D23" s="73"/>
      <c r="E23" s="74"/>
      <c r="F23" s="75"/>
      <c r="G23" s="76"/>
      <c r="H23" s="73"/>
      <c r="I23" s="77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8"/>
      <c r="U23" s="6"/>
      <c r="V23" s="5"/>
      <c r="W23" s="5"/>
      <c r="X23" s="5"/>
      <c r="Y23" s="17"/>
      <c r="Z23" s="17"/>
      <c r="AA23" s="20"/>
      <c r="AB23" s="20"/>
      <c r="AC23" s="20"/>
    </row>
    <row r="24" spans="2:29" s="4" customFormat="1" ht="15" hidden="1" customHeight="1" thickBot="1" x14ac:dyDescent="0.3">
      <c r="B24" s="79"/>
      <c r="C24" s="80" t="s">
        <v>11</v>
      </c>
      <c r="D24" s="80"/>
      <c r="E24" s="81"/>
      <c r="F24" s="82"/>
      <c r="G24" s="83"/>
      <c r="H24" s="80"/>
      <c r="I24" s="84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5"/>
      <c r="U24" s="6"/>
      <c r="V24" s="5"/>
      <c r="W24" s="5"/>
      <c r="X24" s="5"/>
      <c r="Y24" s="17"/>
      <c r="Z24" s="17"/>
      <c r="AA24" s="20"/>
      <c r="AB24" s="20"/>
      <c r="AC24" s="20"/>
    </row>
    <row r="25" spans="2:29" s="4" customFormat="1" ht="15" hidden="1" customHeight="1" x14ac:dyDescent="0.25">
      <c r="B25" s="79"/>
      <c r="C25" s="80" t="s">
        <v>10</v>
      </c>
      <c r="D25" s="86"/>
      <c r="E25" s="87"/>
      <c r="F25" s="75"/>
      <c r="G25" s="76"/>
      <c r="H25" s="73"/>
      <c r="I25" s="77"/>
      <c r="J25" s="73"/>
      <c r="K25" s="73"/>
      <c r="L25" s="78"/>
      <c r="M25" s="73"/>
      <c r="N25" s="73"/>
      <c r="O25" s="73"/>
      <c r="P25" s="73"/>
      <c r="Q25" s="78"/>
      <c r="R25" s="80"/>
      <c r="S25" s="80"/>
      <c r="T25" s="85"/>
      <c r="U25" s="6"/>
      <c r="V25" s="5"/>
      <c r="W25" s="5"/>
      <c r="X25" s="5"/>
      <c r="Y25" s="17"/>
      <c r="Z25" s="17"/>
      <c r="AA25" s="20"/>
      <c r="AB25" s="20"/>
      <c r="AC25" s="20"/>
    </row>
    <row r="26" spans="2:29" s="4" customFormat="1" ht="15" hidden="1" customHeight="1" x14ac:dyDescent="0.25">
      <c r="B26" s="79"/>
      <c r="C26" s="88"/>
      <c r="D26" s="79"/>
      <c r="E26" s="89" t="s">
        <v>29</v>
      </c>
      <c r="F26" s="88"/>
      <c r="G26" s="90" t="s">
        <v>31</v>
      </c>
      <c r="H26" s="90" t="s">
        <v>28</v>
      </c>
      <c r="I26" s="88"/>
      <c r="J26" s="91" t="s">
        <v>36</v>
      </c>
      <c r="K26" s="89" t="s">
        <v>28</v>
      </c>
      <c r="L26" s="92"/>
      <c r="M26" s="80"/>
      <c r="N26" s="80"/>
      <c r="O26" s="80"/>
      <c r="P26" s="80"/>
      <c r="Q26" s="93"/>
      <c r="R26" s="80"/>
      <c r="S26" s="80"/>
      <c r="T26" s="85"/>
      <c r="U26" s="5"/>
      <c r="V26" s="5"/>
      <c r="W26" s="19"/>
      <c r="X26" s="5"/>
      <c r="Y26" s="5"/>
      <c r="Z26" s="5"/>
      <c r="AA26" s="20"/>
      <c r="AB26" s="20"/>
      <c r="AC26" s="20"/>
    </row>
    <row r="27" spans="2:29" s="4" customFormat="1" ht="15" hidden="1" customHeight="1" x14ac:dyDescent="0.25">
      <c r="B27" s="79"/>
      <c r="C27" s="80">
        <v>0</v>
      </c>
      <c r="D27" s="94"/>
      <c r="E27" s="95">
        <v>2</v>
      </c>
      <c r="F27" s="88"/>
      <c r="G27" s="96">
        <f>ROUNDDOWN(G5/2,0)</f>
        <v>0</v>
      </c>
      <c r="H27" s="97">
        <f>MOD(G5,E27)</f>
        <v>0</v>
      </c>
      <c r="I27" s="88"/>
      <c r="J27" s="97">
        <f>PRODUCT(G27,C9)</f>
        <v>0</v>
      </c>
      <c r="K27" s="95">
        <f>PRODUCT(H27,C9)</f>
        <v>0</v>
      </c>
      <c r="L27" s="85"/>
      <c r="M27" s="84"/>
      <c r="N27" s="84"/>
      <c r="O27" s="80"/>
      <c r="P27" s="80"/>
      <c r="Q27" s="93"/>
      <c r="R27" s="80"/>
      <c r="S27" s="84"/>
      <c r="T27" s="98"/>
      <c r="U27" s="5"/>
      <c r="V27" s="5"/>
      <c r="W27" s="19"/>
      <c r="X27" s="5"/>
      <c r="Y27" s="6"/>
      <c r="Z27" s="6"/>
      <c r="AA27" s="20"/>
      <c r="AB27" s="20"/>
      <c r="AC27" s="20"/>
    </row>
    <row r="28" spans="2:29" s="4" customFormat="1" ht="15" hidden="1" customHeight="1" x14ac:dyDescent="0.25">
      <c r="B28" s="79"/>
      <c r="C28" s="80">
        <v>1</v>
      </c>
      <c r="D28" s="94"/>
      <c r="E28" s="95">
        <v>3</v>
      </c>
      <c r="F28" s="88"/>
      <c r="G28" s="96">
        <f>ROUNDDOWN(G5/3,0)</f>
        <v>0</v>
      </c>
      <c r="H28" s="97">
        <f>MOD(G5,E28)</f>
        <v>0</v>
      </c>
      <c r="I28" s="88"/>
      <c r="J28" s="97">
        <f>PRODUCT(G28,C9)</f>
        <v>0</v>
      </c>
      <c r="K28" s="95">
        <f>PRODUCT(H28,C9)</f>
        <v>0</v>
      </c>
      <c r="L28" s="99"/>
      <c r="M28" s="81"/>
      <c r="N28" s="84"/>
      <c r="O28" s="80"/>
      <c r="P28" s="80"/>
      <c r="Q28" s="93"/>
      <c r="R28" s="80"/>
      <c r="S28" s="84"/>
      <c r="T28" s="98"/>
      <c r="U28" s="5"/>
      <c r="V28" s="5"/>
      <c r="W28" s="19"/>
      <c r="X28" s="5"/>
      <c r="Y28" s="6"/>
      <c r="Z28" s="6"/>
      <c r="AA28" s="20"/>
      <c r="AB28" s="20"/>
      <c r="AC28" s="20"/>
    </row>
    <row r="29" spans="2:29" s="4" customFormat="1" ht="15" hidden="1" customHeight="1" x14ac:dyDescent="0.25">
      <c r="B29" s="79"/>
      <c r="C29" s="80">
        <v>2</v>
      </c>
      <c r="D29" s="94"/>
      <c r="E29" s="95">
        <v>4</v>
      </c>
      <c r="F29" s="88"/>
      <c r="G29" s="96">
        <f>ROUNDDOWN(G5/4,0)</f>
        <v>0</v>
      </c>
      <c r="H29" s="97">
        <f>MOD(G5,E29)</f>
        <v>0</v>
      </c>
      <c r="I29" s="88"/>
      <c r="J29" s="97">
        <f>PRODUCT(G29,C9)</f>
        <v>0</v>
      </c>
      <c r="K29" s="95">
        <f>PRODUCT(H29,C9)</f>
        <v>0</v>
      </c>
      <c r="L29" s="99"/>
      <c r="M29" s="81"/>
      <c r="N29" s="84"/>
      <c r="O29" s="80"/>
      <c r="P29" s="80"/>
      <c r="Q29" s="93"/>
      <c r="R29" s="80"/>
      <c r="S29" s="84"/>
      <c r="T29" s="98"/>
      <c r="U29" s="5"/>
      <c r="V29" s="5"/>
      <c r="W29" s="19"/>
      <c r="X29" s="5"/>
      <c r="Y29" s="6"/>
      <c r="Z29" s="6"/>
      <c r="AA29" s="20"/>
      <c r="AB29" s="20"/>
      <c r="AC29" s="20"/>
    </row>
    <row r="30" spans="2:29" s="4" customFormat="1" ht="15" hidden="1" customHeight="1" x14ac:dyDescent="0.25">
      <c r="B30" s="79"/>
      <c r="C30" s="80">
        <v>3</v>
      </c>
      <c r="D30" s="94"/>
      <c r="E30" s="95">
        <v>5</v>
      </c>
      <c r="F30" s="88"/>
      <c r="G30" s="96">
        <f>ROUNDDOWN(G5/5,0)</f>
        <v>0</v>
      </c>
      <c r="H30" s="97">
        <f>MOD(G5,E30)</f>
        <v>0</v>
      </c>
      <c r="I30" s="88"/>
      <c r="J30" s="97">
        <f>PRODUCT(G30,C9)</f>
        <v>0</v>
      </c>
      <c r="K30" s="95">
        <f>PRODUCT(H30,C9)</f>
        <v>0</v>
      </c>
      <c r="L30" s="85"/>
      <c r="M30" s="84"/>
      <c r="N30" s="84"/>
      <c r="O30" s="80"/>
      <c r="P30" s="80"/>
      <c r="Q30" s="93"/>
      <c r="R30" s="80"/>
      <c r="S30" s="84"/>
      <c r="T30" s="98"/>
      <c r="U30" s="5"/>
      <c r="V30" s="5"/>
      <c r="W30" s="19"/>
      <c r="X30" s="5"/>
      <c r="Y30" s="6"/>
      <c r="Z30" s="6"/>
      <c r="AA30" s="20"/>
      <c r="AB30" s="20"/>
      <c r="AC30" s="20"/>
    </row>
    <row r="31" spans="2:29" s="4" customFormat="1" ht="15" hidden="1" customHeight="1" x14ac:dyDescent="0.25">
      <c r="B31" s="79"/>
      <c r="C31" s="80">
        <v>4</v>
      </c>
      <c r="D31" s="94"/>
      <c r="E31" s="95">
        <v>6</v>
      </c>
      <c r="F31" s="88"/>
      <c r="G31" s="96">
        <f>ROUNDDOWN(G5/6,0)</f>
        <v>0</v>
      </c>
      <c r="H31" s="97">
        <f>MOD(G5,E31)</f>
        <v>0</v>
      </c>
      <c r="I31" s="88"/>
      <c r="J31" s="97">
        <f>PRODUCT(G31,C9)</f>
        <v>0</v>
      </c>
      <c r="K31" s="95">
        <f>PRODUCT(H31,C9)</f>
        <v>0</v>
      </c>
      <c r="L31" s="85"/>
      <c r="M31" s="84"/>
      <c r="N31" s="84"/>
      <c r="O31" s="80"/>
      <c r="P31" s="80"/>
      <c r="Q31" s="93"/>
      <c r="R31" s="80"/>
      <c r="S31" s="84"/>
      <c r="T31" s="98"/>
      <c r="U31" s="5"/>
      <c r="V31" s="5"/>
      <c r="W31" s="19"/>
      <c r="X31" s="5"/>
      <c r="Y31" s="6"/>
      <c r="Z31" s="6"/>
      <c r="AA31" s="20"/>
      <c r="AB31" s="20"/>
      <c r="AC31" s="20"/>
    </row>
    <row r="32" spans="2:29" s="4" customFormat="1" ht="15" hidden="1" customHeight="1" x14ac:dyDescent="0.25">
      <c r="B32" s="79"/>
      <c r="C32" s="80">
        <v>5</v>
      </c>
      <c r="D32" s="94"/>
      <c r="E32" s="95">
        <v>7</v>
      </c>
      <c r="F32" s="88"/>
      <c r="G32" s="96">
        <f>ROUNDDOWN(G5/7,0)</f>
        <v>0</v>
      </c>
      <c r="H32" s="97">
        <f>MOD(G5,E32)</f>
        <v>0</v>
      </c>
      <c r="I32" s="88"/>
      <c r="J32" s="97">
        <f>PRODUCT(G32,C9)</f>
        <v>0</v>
      </c>
      <c r="K32" s="95">
        <f>PRODUCT(H32,C9)</f>
        <v>0</v>
      </c>
      <c r="L32" s="85"/>
      <c r="M32" s="84"/>
      <c r="N32" s="84"/>
      <c r="O32" s="80"/>
      <c r="P32" s="80"/>
      <c r="Q32" s="93"/>
      <c r="R32" s="80"/>
      <c r="S32" s="84"/>
      <c r="T32" s="98"/>
      <c r="U32" s="5"/>
      <c r="V32" s="5"/>
      <c r="W32" s="19"/>
      <c r="X32" s="5"/>
      <c r="Y32" s="6"/>
      <c r="Z32" s="6"/>
      <c r="AA32" s="20"/>
      <c r="AB32" s="20"/>
      <c r="AC32" s="20"/>
    </row>
    <row r="33" spans="2:29" s="4" customFormat="1" ht="15" hidden="1" customHeight="1" x14ac:dyDescent="0.25">
      <c r="B33" s="79"/>
      <c r="C33" s="80">
        <v>6</v>
      </c>
      <c r="D33" s="94"/>
      <c r="E33" s="100">
        <v>8</v>
      </c>
      <c r="F33" s="88"/>
      <c r="G33" s="101">
        <f>ROUNDDOWN(G5/8,0)</f>
        <v>0</v>
      </c>
      <c r="H33" s="102">
        <f>MOD(G5,E33)</f>
        <v>0</v>
      </c>
      <c r="I33" s="88"/>
      <c r="J33" s="102">
        <f>PRODUCT(G33,C9)</f>
        <v>0</v>
      </c>
      <c r="K33" s="100">
        <f>PRODUCT(H33,C9)</f>
        <v>0</v>
      </c>
      <c r="L33" s="85"/>
      <c r="M33" s="80"/>
      <c r="N33" s="80"/>
      <c r="O33" s="80"/>
      <c r="P33" s="80"/>
      <c r="Q33" s="93"/>
      <c r="R33" s="80"/>
      <c r="S33" s="80"/>
      <c r="T33" s="85"/>
      <c r="U33" s="5"/>
      <c r="V33" s="5"/>
      <c r="W33" s="19"/>
      <c r="X33" s="5"/>
      <c r="Y33" s="5"/>
      <c r="Z33" s="5"/>
      <c r="AA33" s="20"/>
      <c r="AB33" s="20"/>
      <c r="AC33" s="20"/>
    </row>
    <row r="34" spans="2:29" s="4" customFormat="1" ht="15" hidden="1" customHeight="1" thickBot="1" x14ac:dyDescent="0.3">
      <c r="B34" s="79"/>
      <c r="C34" s="80">
        <v>7</v>
      </c>
      <c r="D34" s="103"/>
      <c r="E34" s="104"/>
      <c r="F34" s="105"/>
      <c r="G34" s="106"/>
      <c r="H34" s="105"/>
      <c r="I34" s="107"/>
      <c r="J34" s="107"/>
      <c r="K34" s="108"/>
      <c r="L34" s="109"/>
      <c r="M34" s="110"/>
      <c r="N34" s="111"/>
      <c r="O34" s="80"/>
      <c r="P34" s="80"/>
      <c r="Q34" s="93"/>
      <c r="R34" s="80"/>
      <c r="S34" s="84"/>
      <c r="T34" s="98"/>
      <c r="U34" s="5"/>
      <c r="V34" s="5"/>
      <c r="W34" s="19"/>
      <c r="X34" s="5"/>
      <c r="Y34" s="6"/>
      <c r="Z34" s="6"/>
      <c r="AA34" s="20"/>
      <c r="AB34" s="20"/>
      <c r="AC34" s="20"/>
    </row>
    <row r="35" spans="2:29" s="4" customFormat="1" ht="15" hidden="1" customHeight="1" x14ac:dyDescent="0.25">
      <c r="B35" s="79"/>
      <c r="C35" s="80">
        <v>8</v>
      </c>
      <c r="D35" s="86"/>
      <c r="E35" s="112"/>
      <c r="F35" s="113"/>
      <c r="G35" s="73"/>
      <c r="H35" s="113"/>
      <c r="I35" s="77"/>
      <c r="J35" s="77"/>
      <c r="K35" s="75"/>
      <c r="L35" s="112"/>
      <c r="M35" s="112"/>
      <c r="N35" s="114"/>
      <c r="O35" s="73"/>
      <c r="P35" s="78"/>
      <c r="Q35" s="93"/>
      <c r="R35" s="80"/>
      <c r="S35" s="84"/>
      <c r="T35" s="98"/>
      <c r="U35" s="5"/>
      <c r="V35" s="5"/>
      <c r="W35" s="19"/>
      <c r="X35" s="5"/>
      <c r="Y35" s="6"/>
      <c r="Z35" s="6"/>
      <c r="AA35" s="20"/>
      <c r="AB35" s="20"/>
      <c r="AC35" s="20"/>
    </row>
    <row r="36" spans="2:29" s="4" customFormat="1" ht="15" hidden="1" customHeight="1" x14ac:dyDescent="0.25">
      <c r="B36" s="79"/>
      <c r="C36" s="80">
        <v>9</v>
      </c>
      <c r="D36" s="94"/>
      <c r="E36" s="115" t="s">
        <v>32</v>
      </c>
      <c r="F36" s="116" t="s">
        <v>29</v>
      </c>
      <c r="G36" s="90" t="s">
        <v>33</v>
      </c>
      <c r="H36" s="117"/>
      <c r="I36" s="88"/>
      <c r="J36" s="118" t="s">
        <v>34</v>
      </c>
      <c r="K36" s="89" t="s">
        <v>28</v>
      </c>
      <c r="L36" s="119"/>
      <c r="M36" s="91" t="s">
        <v>35</v>
      </c>
      <c r="N36" s="111"/>
      <c r="O36" s="90" t="s">
        <v>37</v>
      </c>
      <c r="P36" s="85"/>
      <c r="Q36" s="93"/>
      <c r="R36" s="84"/>
      <c r="S36" s="84"/>
      <c r="T36" s="98"/>
      <c r="U36" s="5"/>
      <c r="V36" s="5"/>
      <c r="W36" s="19"/>
      <c r="X36" s="5"/>
      <c r="Y36" s="6"/>
      <c r="Z36" s="6"/>
      <c r="AA36" s="20"/>
      <c r="AB36" s="20"/>
      <c r="AC36" s="20"/>
    </row>
    <row r="37" spans="2:29" s="4" customFormat="1" ht="15" hidden="1" customHeight="1" x14ac:dyDescent="0.25">
      <c r="B37" s="79"/>
      <c r="C37" s="80">
        <v>10</v>
      </c>
      <c r="D37" s="94"/>
      <c r="E37" s="120">
        <f>SUM(C5,-E5,-PRODUCT(G5,C9))</f>
        <v>24</v>
      </c>
      <c r="F37" s="96">
        <v>2</v>
      </c>
      <c r="G37" s="97">
        <f>SUM(E37,K27)</f>
        <v>24</v>
      </c>
      <c r="H37" s="121"/>
      <c r="I37" s="88"/>
      <c r="J37" s="97">
        <f>ROUNDDOWN(G37/3,0)</f>
        <v>8</v>
      </c>
      <c r="K37" s="122">
        <f>MOD(G37,3)</f>
        <v>0</v>
      </c>
      <c r="L37" s="119"/>
      <c r="M37" s="123">
        <f>SUM(J37,J27)</f>
        <v>8</v>
      </c>
      <c r="N37" s="111"/>
      <c r="O37" s="97">
        <f>SUM(J37,K37)</f>
        <v>8</v>
      </c>
      <c r="P37" s="85"/>
      <c r="Q37" s="93"/>
      <c r="R37" s="80"/>
      <c r="S37" s="84"/>
      <c r="T37" s="98"/>
      <c r="U37" s="5"/>
      <c r="V37" s="5"/>
      <c r="W37" s="19"/>
      <c r="X37" s="5"/>
      <c r="Y37" s="6"/>
      <c r="Z37" s="6"/>
      <c r="AA37" s="20"/>
      <c r="AB37" s="20"/>
      <c r="AC37" s="20"/>
    </row>
    <row r="38" spans="2:29" s="4" customFormat="1" ht="15" hidden="1" customHeight="1" x14ac:dyDescent="0.25">
      <c r="B38" s="79"/>
      <c r="C38" s="80">
        <v>11</v>
      </c>
      <c r="D38" s="94"/>
      <c r="E38" s="110"/>
      <c r="F38" s="96">
        <v>3</v>
      </c>
      <c r="G38" s="97">
        <f>SUM(E37,K28)</f>
        <v>24</v>
      </c>
      <c r="H38" s="124"/>
      <c r="I38" s="88"/>
      <c r="J38" s="97">
        <f>ROUNDDOWN(G38/3,0)</f>
        <v>8</v>
      </c>
      <c r="K38" s="122">
        <f>MOD(G38,3)</f>
        <v>0</v>
      </c>
      <c r="L38" s="80"/>
      <c r="M38" s="97">
        <f>SUM(J38,J28)</f>
        <v>8</v>
      </c>
      <c r="N38" s="111"/>
      <c r="O38" s="97">
        <f>K38</f>
        <v>0</v>
      </c>
      <c r="P38" s="85"/>
      <c r="Q38" s="93"/>
      <c r="R38" s="80"/>
      <c r="S38" s="84"/>
      <c r="T38" s="98"/>
      <c r="U38" s="5"/>
      <c r="V38" s="5"/>
      <c r="W38" s="19"/>
      <c r="X38" s="5"/>
      <c r="Y38" s="6"/>
      <c r="Z38" s="6"/>
      <c r="AA38" s="20"/>
      <c r="AB38" s="20"/>
      <c r="AC38" s="20"/>
    </row>
    <row r="39" spans="2:29" s="4" customFormat="1" ht="15" hidden="1" customHeight="1" x14ac:dyDescent="0.25">
      <c r="B39" s="79"/>
      <c r="C39" s="80">
        <v>12</v>
      </c>
      <c r="D39" s="94"/>
      <c r="E39" s="110"/>
      <c r="F39" s="96">
        <v>4</v>
      </c>
      <c r="G39" s="97">
        <f>SUM(E37,K29)</f>
        <v>24</v>
      </c>
      <c r="H39" s="124"/>
      <c r="I39" s="88"/>
      <c r="J39" s="97">
        <f>ROUNDDOWN(G39/4,0)</f>
        <v>6</v>
      </c>
      <c r="K39" s="122">
        <f>MOD(G39,4)</f>
        <v>0</v>
      </c>
      <c r="L39" s="80"/>
      <c r="M39" s="97">
        <f>SUM(J39,J29)</f>
        <v>6</v>
      </c>
      <c r="N39" s="111"/>
      <c r="O39" s="97">
        <f>K39</f>
        <v>0</v>
      </c>
      <c r="P39" s="85"/>
      <c r="Q39" s="93"/>
      <c r="R39" s="80"/>
      <c r="S39" s="84"/>
      <c r="T39" s="98"/>
      <c r="U39" s="5"/>
      <c r="V39" s="5"/>
      <c r="W39" s="19"/>
      <c r="X39" s="5"/>
      <c r="Y39" s="6"/>
      <c r="Z39" s="6"/>
      <c r="AA39" s="20"/>
      <c r="AB39" s="20"/>
      <c r="AC39" s="20"/>
    </row>
    <row r="40" spans="2:29" s="4" customFormat="1" ht="15" hidden="1" customHeight="1" x14ac:dyDescent="0.25">
      <c r="B40" s="79"/>
      <c r="C40" s="80">
        <v>13</v>
      </c>
      <c r="D40" s="94"/>
      <c r="E40" s="110"/>
      <c r="F40" s="96">
        <v>5</v>
      </c>
      <c r="G40" s="97">
        <f>SUM(E37,K30)</f>
        <v>24</v>
      </c>
      <c r="H40" s="124"/>
      <c r="I40" s="88"/>
      <c r="J40" s="96">
        <f>ROUNDDOWN(G40/5,0)</f>
        <v>4</v>
      </c>
      <c r="K40" s="122">
        <f>MOD(G40,5)</f>
        <v>4</v>
      </c>
      <c r="L40" s="111"/>
      <c r="M40" s="123">
        <f>SUM(J40,J30)</f>
        <v>4</v>
      </c>
      <c r="N40" s="119"/>
      <c r="O40" s="125">
        <f t="shared" ref="O40:O43" si="0">K40</f>
        <v>4</v>
      </c>
      <c r="P40" s="126"/>
      <c r="Q40" s="126"/>
      <c r="R40" s="80"/>
      <c r="S40" s="84"/>
      <c r="T40" s="98"/>
      <c r="U40" s="44"/>
      <c r="V40" s="44"/>
      <c r="W40" s="44"/>
      <c r="X40" s="5"/>
      <c r="Y40" s="6"/>
      <c r="Z40" s="6"/>
      <c r="AA40" s="20"/>
      <c r="AB40" s="20"/>
      <c r="AC40" s="20"/>
    </row>
    <row r="41" spans="2:29" s="4" customFormat="1" ht="15" hidden="1" customHeight="1" x14ac:dyDescent="0.25">
      <c r="B41" s="79"/>
      <c r="C41" s="80">
        <v>14</v>
      </c>
      <c r="D41" s="94"/>
      <c r="E41" s="110"/>
      <c r="F41" s="96">
        <v>6</v>
      </c>
      <c r="G41" s="97">
        <f>SUM(E37,K31)</f>
        <v>24</v>
      </c>
      <c r="H41" s="124"/>
      <c r="I41" s="88"/>
      <c r="J41" s="96">
        <f>ROUNDDOWN(G41/6,0)</f>
        <v>4</v>
      </c>
      <c r="K41" s="122">
        <f>MOD(G41,6)</f>
        <v>0</v>
      </c>
      <c r="L41" s="119"/>
      <c r="M41" s="123">
        <f>SUM(J41,J31)</f>
        <v>4</v>
      </c>
      <c r="N41" s="80"/>
      <c r="O41" s="96">
        <f t="shared" si="0"/>
        <v>0</v>
      </c>
      <c r="P41" s="85"/>
      <c r="Q41" s="93"/>
      <c r="R41" s="80"/>
      <c r="S41" s="80"/>
      <c r="T41" s="85"/>
      <c r="U41" s="5"/>
      <c r="V41" s="5"/>
      <c r="W41" s="5"/>
      <c r="X41" s="6"/>
      <c r="Y41" s="17"/>
      <c r="Z41" s="20"/>
      <c r="AA41" s="20"/>
      <c r="AB41" s="20"/>
      <c r="AC41" s="20"/>
    </row>
    <row r="42" spans="2:29" s="4" customFormat="1" ht="15" hidden="1" customHeight="1" x14ac:dyDescent="0.25">
      <c r="B42" s="79"/>
      <c r="C42" s="80">
        <v>15</v>
      </c>
      <c r="D42" s="94"/>
      <c r="E42" s="110"/>
      <c r="F42" s="96">
        <v>7</v>
      </c>
      <c r="G42" s="97">
        <f>SUM(E37,K32)</f>
        <v>24</v>
      </c>
      <c r="H42" s="124"/>
      <c r="I42" s="88"/>
      <c r="J42" s="96">
        <f>ROUNDDOWN(G42/7,0)</f>
        <v>3</v>
      </c>
      <c r="K42" s="122">
        <f>MOD(G42,7)</f>
        <v>3</v>
      </c>
      <c r="L42" s="81"/>
      <c r="M42" s="122">
        <f>SUM(J42,J32)</f>
        <v>3</v>
      </c>
      <c r="N42" s="111"/>
      <c r="O42" s="96">
        <f t="shared" si="0"/>
        <v>3</v>
      </c>
      <c r="P42" s="85"/>
      <c r="Q42" s="93"/>
      <c r="R42" s="84"/>
      <c r="S42" s="80"/>
      <c r="T42" s="85"/>
      <c r="U42" s="6"/>
      <c r="V42" s="5"/>
      <c r="W42" s="5"/>
      <c r="X42" s="6"/>
      <c r="Y42" s="17"/>
      <c r="Z42" s="20"/>
      <c r="AA42" s="20"/>
      <c r="AB42" s="20"/>
      <c r="AC42" s="20"/>
    </row>
    <row r="43" spans="2:29" s="4" customFormat="1" ht="15" hidden="1" customHeight="1" x14ac:dyDescent="0.25">
      <c r="B43" s="79"/>
      <c r="C43" s="80">
        <v>16</v>
      </c>
      <c r="D43" s="94"/>
      <c r="E43" s="110"/>
      <c r="F43" s="101">
        <v>8</v>
      </c>
      <c r="G43" s="102">
        <f>SUM(E37,K33)</f>
        <v>24</v>
      </c>
      <c r="H43" s="124"/>
      <c r="I43" s="88"/>
      <c r="J43" s="101">
        <f>ROUNDDOWN(G43/8,0)</f>
        <v>3</v>
      </c>
      <c r="K43" s="120">
        <f>MOD(G43,8)</f>
        <v>0</v>
      </c>
      <c r="L43" s="81"/>
      <c r="M43" s="120">
        <f>SUM(J43,J33)</f>
        <v>3</v>
      </c>
      <c r="N43" s="111"/>
      <c r="O43" s="101">
        <f t="shared" si="0"/>
        <v>0</v>
      </c>
      <c r="P43" s="85"/>
      <c r="Q43" s="93"/>
      <c r="R43" s="84"/>
      <c r="S43" s="80"/>
      <c r="T43" s="85"/>
      <c r="U43" s="6"/>
      <c r="V43" s="5"/>
      <c r="W43" s="5"/>
      <c r="X43" s="6"/>
      <c r="Y43" s="17"/>
      <c r="Z43" s="20"/>
      <c r="AA43" s="20"/>
      <c r="AB43" s="20"/>
      <c r="AC43" s="20"/>
    </row>
    <row r="44" spans="2:29" s="4" customFormat="1" ht="15" hidden="1" customHeight="1" thickBot="1" x14ac:dyDescent="0.3">
      <c r="B44" s="79"/>
      <c r="C44" s="80">
        <v>17</v>
      </c>
      <c r="D44" s="103"/>
      <c r="E44" s="104"/>
      <c r="F44" s="105"/>
      <c r="G44" s="106"/>
      <c r="H44" s="105"/>
      <c r="I44" s="106"/>
      <c r="J44" s="106"/>
      <c r="K44" s="108"/>
      <c r="L44" s="106"/>
      <c r="M44" s="107"/>
      <c r="N44" s="127"/>
      <c r="O44" s="106"/>
      <c r="P44" s="128"/>
      <c r="Q44" s="93"/>
      <c r="R44" s="84"/>
      <c r="S44" s="80"/>
      <c r="T44" s="85"/>
      <c r="U44" s="6"/>
      <c r="V44" s="5"/>
      <c r="W44" s="5"/>
      <c r="X44" s="6"/>
      <c r="Y44" s="17"/>
      <c r="Z44" s="20"/>
      <c r="AA44" s="20"/>
      <c r="AB44" s="20"/>
      <c r="AC44" s="20"/>
    </row>
    <row r="45" spans="2:29" s="4" customFormat="1" ht="15" hidden="1" customHeight="1" x14ac:dyDescent="0.25">
      <c r="B45" s="79"/>
      <c r="C45" s="80">
        <v>18</v>
      </c>
      <c r="D45" s="86"/>
      <c r="E45" s="112"/>
      <c r="F45" s="113"/>
      <c r="G45" s="73"/>
      <c r="H45" s="113"/>
      <c r="I45" s="73"/>
      <c r="J45" s="73"/>
      <c r="K45" s="75"/>
      <c r="L45" s="78"/>
      <c r="M45" s="80"/>
      <c r="N45" s="111"/>
      <c r="O45" s="80"/>
      <c r="P45" s="80"/>
      <c r="Q45" s="93"/>
      <c r="R45" s="84"/>
      <c r="S45" s="80"/>
      <c r="T45" s="85"/>
      <c r="U45" s="6"/>
      <c r="V45" s="5"/>
      <c r="W45" s="5"/>
      <c r="X45" s="6"/>
      <c r="Y45" s="17"/>
      <c r="Z45" s="20"/>
      <c r="AA45" s="20"/>
      <c r="AB45" s="20"/>
      <c r="AC45" s="20"/>
    </row>
    <row r="46" spans="2:29" s="4" customFormat="1" ht="15" hidden="1" customHeight="1" x14ac:dyDescent="0.25">
      <c r="B46" s="79"/>
      <c r="C46" s="80">
        <v>19</v>
      </c>
      <c r="D46" s="94"/>
      <c r="E46" s="115" t="s">
        <v>32</v>
      </c>
      <c r="F46" s="116" t="s">
        <v>29</v>
      </c>
      <c r="G46" s="118" t="s">
        <v>38</v>
      </c>
      <c r="H46" s="89" t="s">
        <v>28</v>
      </c>
      <c r="I46" s="116" t="s">
        <v>42</v>
      </c>
      <c r="J46" s="90" t="s">
        <v>37</v>
      </c>
      <c r="K46" s="82"/>
      <c r="L46" s="129"/>
      <c r="M46" s="119"/>
      <c r="N46" s="111"/>
      <c r="O46" s="80"/>
      <c r="P46" s="80"/>
      <c r="Q46" s="93"/>
      <c r="R46" s="84"/>
      <c r="S46" s="80"/>
      <c r="T46" s="85"/>
      <c r="U46" s="6"/>
      <c r="V46" s="5"/>
      <c r="W46" s="5"/>
      <c r="X46" s="6"/>
      <c r="Y46" s="17"/>
      <c r="Z46" s="20"/>
      <c r="AA46" s="20"/>
      <c r="AB46" s="20"/>
      <c r="AC46" s="20"/>
    </row>
    <row r="47" spans="2:29" s="4" customFormat="1" ht="15" hidden="1" customHeight="1" x14ac:dyDescent="0.25">
      <c r="B47" s="79"/>
      <c r="C47" s="80">
        <v>20</v>
      </c>
      <c r="D47" s="94"/>
      <c r="E47" s="120">
        <f>SUM(C5,-E5,-PRODUCT(G5,C9))</f>
        <v>24</v>
      </c>
      <c r="F47" s="96">
        <v>2</v>
      </c>
      <c r="G47" s="97">
        <f>ROUNDDOWN(E47/3,0)</f>
        <v>8</v>
      </c>
      <c r="H47" s="122">
        <f>MOD(E47,3)</f>
        <v>0</v>
      </c>
      <c r="I47" s="97">
        <f>SUM(G47,J27)</f>
        <v>8</v>
      </c>
      <c r="J47" s="97">
        <f>SUM(G47,H47,K27)</f>
        <v>8</v>
      </c>
      <c r="K47" s="82"/>
      <c r="L47" s="130"/>
      <c r="M47" s="119"/>
      <c r="N47" s="111"/>
      <c r="O47" s="80"/>
      <c r="P47" s="80"/>
      <c r="Q47" s="93"/>
      <c r="R47" s="84"/>
      <c r="S47" s="80"/>
      <c r="T47" s="85"/>
      <c r="U47" s="6"/>
      <c r="V47" s="5"/>
      <c r="W47" s="5"/>
      <c r="X47" s="17"/>
      <c r="Y47" s="17"/>
      <c r="Z47" s="20"/>
      <c r="AA47" s="20"/>
      <c r="AB47" s="20"/>
      <c r="AC47" s="20"/>
    </row>
    <row r="48" spans="2:29" s="4" customFormat="1" ht="15" hidden="1" customHeight="1" x14ac:dyDescent="0.25">
      <c r="B48" s="79"/>
      <c r="C48" s="80">
        <v>21</v>
      </c>
      <c r="D48" s="94"/>
      <c r="E48" s="110"/>
      <c r="F48" s="96">
        <v>3</v>
      </c>
      <c r="G48" s="97">
        <f>ROUNDDOWN(E47/3,0)</f>
        <v>8</v>
      </c>
      <c r="H48" s="122">
        <f>MOD(E47,3)</f>
        <v>0</v>
      </c>
      <c r="I48" s="97">
        <f>SUM(G48,J28)</f>
        <v>8</v>
      </c>
      <c r="J48" s="97">
        <f>SUM(H48,K28)</f>
        <v>0</v>
      </c>
      <c r="K48" s="82"/>
      <c r="L48" s="130"/>
      <c r="M48" s="111"/>
      <c r="N48" s="88"/>
      <c r="O48" s="88"/>
      <c r="P48" s="88"/>
      <c r="Q48" s="131"/>
      <c r="R48" s="88"/>
      <c r="S48" s="132"/>
      <c r="T48" s="126"/>
      <c r="U48" s="45"/>
      <c r="V48" s="45"/>
      <c r="W48" s="20"/>
      <c r="X48" s="20"/>
      <c r="Y48" s="20"/>
      <c r="Z48" s="20"/>
      <c r="AA48" s="20"/>
      <c r="AB48" s="20"/>
      <c r="AC48" s="20"/>
    </row>
    <row r="49" spans="2:29" s="4" customFormat="1" ht="15" hidden="1" customHeight="1" x14ac:dyDescent="0.25">
      <c r="B49" s="79"/>
      <c r="C49" s="80">
        <v>22</v>
      </c>
      <c r="D49" s="94"/>
      <c r="E49" s="110"/>
      <c r="F49" s="96">
        <v>4</v>
      </c>
      <c r="G49" s="97">
        <f>ROUNDDOWN(E47/4,0)</f>
        <v>6</v>
      </c>
      <c r="H49" s="122">
        <f>MOD(E47,4)</f>
        <v>0</v>
      </c>
      <c r="I49" s="97">
        <f>SUM(G49,J29)</f>
        <v>6</v>
      </c>
      <c r="J49" s="97">
        <f>SUM(H49,K29)</f>
        <v>0</v>
      </c>
      <c r="K49" s="82"/>
      <c r="L49" s="99"/>
      <c r="M49" s="81"/>
      <c r="N49" s="88"/>
      <c r="O49" s="88"/>
      <c r="P49" s="88"/>
      <c r="Q49" s="131"/>
      <c r="R49" s="88"/>
      <c r="S49" s="88"/>
      <c r="T49" s="131"/>
      <c r="U49" s="20"/>
      <c r="V49" s="20"/>
      <c r="W49" s="20"/>
      <c r="X49" s="20"/>
      <c r="Y49" s="20"/>
      <c r="Z49" s="20"/>
      <c r="AA49" s="20"/>
      <c r="AB49" s="20"/>
      <c r="AC49" s="20"/>
    </row>
    <row r="50" spans="2:29" s="4" customFormat="1" ht="15" hidden="1" customHeight="1" x14ac:dyDescent="0.25">
      <c r="B50" s="79"/>
      <c r="C50" s="80">
        <v>23</v>
      </c>
      <c r="D50" s="94"/>
      <c r="E50" s="110"/>
      <c r="F50" s="96">
        <v>5</v>
      </c>
      <c r="G50" s="97">
        <f>ROUNDDOWN(E47/5,0)</f>
        <v>4</v>
      </c>
      <c r="H50" s="122">
        <f>MOD(E47,5)</f>
        <v>4</v>
      </c>
      <c r="I50" s="97">
        <f>SUM(G50,J30)</f>
        <v>4</v>
      </c>
      <c r="J50" s="97">
        <f>SUM(H50,K30)</f>
        <v>4</v>
      </c>
      <c r="K50" s="82"/>
      <c r="L50" s="99"/>
      <c r="M50" s="81"/>
      <c r="N50" s="88"/>
      <c r="O50" s="88"/>
      <c r="P50" s="88"/>
      <c r="Q50" s="131"/>
      <c r="R50" s="88"/>
      <c r="S50" s="88"/>
      <c r="T50" s="131"/>
      <c r="U50" s="20"/>
      <c r="V50" s="20"/>
      <c r="W50" s="20"/>
      <c r="X50" s="20"/>
      <c r="Y50" s="20"/>
      <c r="Z50" s="20"/>
      <c r="AA50" s="20"/>
      <c r="AB50" s="20"/>
      <c r="AC50" s="20"/>
    </row>
    <row r="51" spans="2:29" s="4" customFormat="1" ht="15" hidden="1" customHeight="1" x14ac:dyDescent="0.25">
      <c r="B51" s="79"/>
      <c r="C51" s="80">
        <v>24</v>
      </c>
      <c r="D51" s="94"/>
      <c r="E51" s="110"/>
      <c r="F51" s="96">
        <v>6</v>
      </c>
      <c r="G51" s="97">
        <f>ROUNDDOWN(E47/6,0)</f>
        <v>4</v>
      </c>
      <c r="H51" s="122">
        <f>MOD(E47,6)</f>
        <v>0</v>
      </c>
      <c r="I51" s="97">
        <f>SUM(G51,J31)</f>
        <v>4</v>
      </c>
      <c r="J51" s="96">
        <f t="shared" ref="J51:J53" si="1">SUM(H51,K31)</f>
        <v>0</v>
      </c>
      <c r="K51" s="82"/>
      <c r="L51" s="85"/>
      <c r="M51" s="80"/>
      <c r="N51" s="88"/>
      <c r="O51" s="88"/>
      <c r="P51" s="88"/>
      <c r="Q51" s="131"/>
      <c r="R51" s="88"/>
      <c r="S51" s="88"/>
      <c r="T51" s="131"/>
      <c r="U51" s="20"/>
      <c r="V51" s="20"/>
      <c r="W51" s="20"/>
      <c r="X51" s="20"/>
      <c r="Y51" s="20"/>
      <c r="Z51" s="20"/>
      <c r="AA51" s="20"/>
      <c r="AB51" s="20"/>
      <c r="AC51" s="20"/>
    </row>
    <row r="52" spans="2:29" s="4" customFormat="1" ht="15" hidden="1" customHeight="1" x14ac:dyDescent="0.25">
      <c r="B52" s="79"/>
      <c r="C52" s="80">
        <v>25</v>
      </c>
      <c r="D52" s="94"/>
      <c r="E52" s="110"/>
      <c r="F52" s="96">
        <v>7</v>
      </c>
      <c r="G52" s="97">
        <f>ROUNDDOWN(E47/7,0)</f>
        <v>3</v>
      </c>
      <c r="H52" s="122">
        <f>MOD(E47,7)</f>
        <v>3</v>
      </c>
      <c r="I52" s="97">
        <f>SUM(G52,J32)</f>
        <v>3</v>
      </c>
      <c r="J52" s="96">
        <f t="shared" si="1"/>
        <v>3</v>
      </c>
      <c r="K52" s="82"/>
      <c r="L52" s="129"/>
      <c r="M52" s="119"/>
      <c r="N52" s="88"/>
      <c r="O52" s="88"/>
      <c r="P52" s="88"/>
      <c r="Q52" s="131"/>
      <c r="R52" s="88"/>
      <c r="S52" s="88"/>
      <c r="T52" s="131"/>
      <c r="U52" s="20"/>
      <c r="V52" s="20"/>
      <c r="W52" s="20"/>
      <c r="X52" s="20"/>
      <c r="Y52" s="20"/>
      <c r="Z52" s="20"/>
      <c r="AA52" s="20"/>
      <c r="AB52" s="20"/>
      <c r="AC52" s="20"/>
    </row>
    <row r="53" spans="2:29" s="4" customFormat="1" ht="15" hidden="1" customHeight="1" x14ac:dyDescent="0.25">
      <c r="B53" s="79"/>
      <c r="C53" s="80">
        <v>26</v>
      </c>
      <c r="D53" s="94"/>
      <c r="E53" s="110"/>
      <c r="F53" s="101">
        <v>8</v>
      </c>
      <c r="G53" s="101">
        <f>ROUNDDOWN(E47/8,0)</f>
        <v>3</v>
      </c>
      <c r="H53" s="120">
        <f>MOD(E47,8)</f>
        <v>0</v>
      </c>
      <c r="I53" s="102">
        <f>SUM(G53,J33)</f>
        <v>3</v>
      </c>
      <c r="J53" s="101">
        <f t="shared" si="1"/>
        <v>0</v>
      </c>
      <c r="K53" s="82"/>
      <c r="L53" s="129"/>
      <c r="M53" s="119"/>
      <c r="N53" s="88"/>
      <c r="O53" s="88"/>
      <c r="P53" s="88"/>
      <c r="Q53" s="131"/>
      <c r="R53" s="88"/>
      <c r="S53" s="88"/>
      <c r="T53" s="131"/>
      <c r="U53" s="20"/>
      <c r="V53" s="20"/>
      <c r="W53" s="20"/>
      <c r="X53" s="20"/>
      <c r="Y53" s="20"/>
      <c r="Z53" s="20"/>
      <c r="AA53" s="20"/>
      <c r="AB53" s="20"/>
      <c r="AC53" s="20"/>
    </row>
    <row r="54" spans="2:29" s="4" customFormat="1" ht="15" hidden="1" customHeight="1" thickBot="1" x14ac:dyDescent="0.3">
      <c r="B54" s="79"/>
      <c r="C54" s="80">
        <v>27</v>
      </c>
      <c r="D54" s="103"/>
      <c r="E54" s="104"/>
      <c r="F54" s="105"/>
      <c r="G54" s="106"/>
      <c r="H54" s="105"/>
      <c r="I54" s="106"/>
      <c r="J54" s="106"/>
      <c r="K54" s="108"/>
      <c r="L54" s="133"/>
      <c r="M54" s="119"/>
      <c r="N54" s="88"/>
      <c r="O54" s="88"/>
      <c r="P54" s="88"/>
      <c r="Q54" s="131"/>
      <c r="R54" s="88"/>
      <c r="S54" s="88"/>
      <c r="T54" s="131"/>
      <c r="U54" s="20"/>
      <c r="V54" s="20"/>
      <c r="W54" s="20"/>
      <c r="X54" s="20"/>
      <c r="Y54" s="20"/>
      <c r="Z54" s="20"/>
      <c r="AA54" s="20"/>
      <c r="AB54" s="20"/>
      <c r="AC54" s="20"/>
    </row>
    <row r="55" spans="2:29" s="4" customFormat="1" ht="15" hidden="1" customHeight="1" x14ac:dyDescent="0.25">
      <c r="B55" s="79"/>
      <c r="C55" s="80">
        <v>28</v>
      </c>
      <c r="D55" s="86"/>
      <c r="E55" s="112"/>
      <c r="F55" s="113"/>
      <c r="G55" s="73"/>
      <c r="H55" s="113"/>
      <c r="I55" s="73"/>
      <c r="J55" s="78"/>
      <c r="K55" s="82"/>
      <c r="L55" s="119"/>
      <c r="M55" s="111"/>
      <c r="N55" s="88"/>
      <c r="O55" s="88"/>
      <c r="P55" s="88"/>
      <c r="Q55" s="131"/>
      <c r="R55" s="88"/>
      <c r="S55" s="88"/>
      <c r="T55" s="131"/>
      <c r="U55" s="20"/>
      <c r="V55" s="20"/>
      <c r="W55" s="20"/>
      <c r="X55" s="20"/>
      <c r="Y55" s="20"/>
      <c r="Z55" s="20"/>
      <c r="AA55" s="20"/>
      <c r="AB55" s="20"/>
      <c r="AC55" s="20"/>
    </row>
    <row r="56" spans="2:29" s="4" customFormat="1" ht="15" hidden="1" customHeight="1" x14ac:dyDescent="0.25">
      <c r="B56" s="79"/>
      <c r="C56" s="80">
        <v>29</v>
      </c>
      <c r="D56" s="94"/>
      <c r="E56" s="90" t="s">
        <v>39</v>
      </c>
      <c r="F56" s="116" t="s">
        <v>29</v>
      </c>
      <c r="G56" s="90" t="s">
        <v>40</v>
      </c>
      <c r="H56" s="88"/>
      <c r="I56" s="90" t="s">
        <v>41</v>
      </c>
      <c r="J56" s="85"/>
      <c r="K56" s="82"/>
      <c r="L56" s="81"/>
      <c r="M56" s="81"/>
      <c r="N56" s="88"/>
      <c r="O56" s="88"/>
      <c r="P56" s="88"/>
      <c r="Q56" s="131"/>
      <c r="R56" s="88"/>
      <c r="S56" s="88"/>
      <c r="T56" s="131"/>
      <c r="U56" s="20"/>
      <c r="V56" s="20"/>
      <c r="W56" s="20"/>
      <c r="X56" s="20"/>
      <c r="Y56" s="20"/>
      <c r="Z56" s="20"/>
      <c r="AA56" s="20"/>
      <c r="AB56" s="20"/>
      <c r="AC56" s="20"/>
    </row>
    <row r="57" spans="2:29" s="4" customFormat="1" ht="15" hidden="1" customHeight="1" x14ac:dyDescent="0.25">
      <c r="B57" s="79"/>
      <c r="C57" s="80">
        <v>30</v>
      </c>
      <c r="D57" s="94"/>
      <c r="E57" s="96">
        <f>IF(G8=C24,M37,G47)</f>
        <v>8</v>
      </c>
      <c r="F57" s="96">
        <v>2</v>
      </c>
      <c r="G57" s="96">
        <f>IF(G8=C24,O37,J47)</f>
        <v>8</v>
      </c>
      <c r="H57" s="88"/>
      <c r="I57" s="97">
        <f>SUM(E5,G57)</f>
        <v>8</v>
      </c>
      <c r="J57" s="85"/>
      <c r="K57" s="82"/>
      <c r="L57" s="81"/>
      <c r="M57" s="81"/>
      <c r="N57" s="88"/>
      <c r="O57" s="88"/>
      <c r="P57" s="88"/>
      <c r="Q57" s="131"/>
      <c r="R57" s="88"/>
      <c r="S57" s="88"/>
      <c r="T57" s="131"/>
      <c r="U57" s="20"/>
      <c r="V57" s="20"/>
      <c r="W57" s="20"/>
      <c r="X57" s="20"/>
      <c r="Y57" s="20"/>
      <c r="Z57" s="20"/>
      <c r="AA57" s="20"/>
      <c r="AB57" s="20"/>
      <c r="AC57" s="20"/>
    </row>
    <row r="58" spans="2:29" s="4" customFormat="1" ht="15" hidden="1" customHeight="1" x14ac:dyDescent="0.25">
      <c r="B58" s="79"/>
      <c r="C58" s="80">
        <v>31</v>
      </c>
      <c r="D58" s="94"/>
      <c r="E58" s="96">
        <f>IF(G8=C24,M38,G48)</f>
        <v>8</v>
      </c>
      <c r="F58" s="96">
        <v>3</v>
      </c>
      <c r="G58" s="96">
        <f>IF(G8=C24,O38,J48)</f>
        <v>0</v>
      </c>
      <c r="H58" s="88"/>
      <c r="I58" s="97">
        <f>SUM(E5,G58)</f>
        <v>0</v>
      </c>
      <c r="J58" s="85"/>
      <c r="K58" s="82"/>
      <c r="L58" s="80"/>
      <c r="M58" s="80"/>
      <c r="N58" s="88"/>
      <c r="O58" s="88"/>
      <c r="P58" s="88"/>
      <c r="Q58" s="131"/>
      <c r="R58" s="88"/>
      <c r="S58" s="88"/>
      <c r="T58" s="131"/>
      <c r="U58" s="20"/>
      <c r="V58" s="20"/>
      <c r="W58" s="20"/>
      <c r="X58" s="20"/>
      <c r="Y58" s="20"/>
      <c r="Z58" s="20"/>
      <c r="AA58" s="20"/>
      <c r="AB58" s="20"/>
      <c r="AC58" s="20"/>
    </row>
    <row r="59" spans="2:29" s="4" customFormat="1" ht="15" hidden="1" customHeight="1" x14ac:dyDescent="0.25">
      <c r="B59" s="79"/>
      <c r="C59" s="80">
        <v>32</v>
      </c>
      <c r="D59" s="94"/>
      <c r="E59" s="96">
        <f>IF(G8=C24,M39,G49)</f>
        <v>6</v>
      </c>
      <c r="F59" s="96">
        <v>4</v>
      </c>
      <c r="G59" s="96">
        <f>IF(G8=C24,O39,J49)</f>
        <v>0</v>
      </c>
      <c r="H59" s="88"/>
      <c r="I59" s="97">
        <f>SUM(E5,G59)</f>
        <v>0</v>
      </c>
      <c r="J59" s="85"/>
      <c r="K59" s="82"/>
      <c r="L59" s="111"/>
      <c r="M59" s="119"/>
      <c r="N59" s="88"/>
      <c r="O59" s="88"/>
      <c r="P59" s="88"/>
      <c r="Q59" s="131"/>
      <c r="R59" s="88"/>
      <c r="S59" s="88"/>
      <c r="T59" s="131"/>
      <c r="U59" s="20"/>
      <c r="V59" s="20"/>
      <c r="W59" s="20"/>
      <c r="X59" s="20"/>
      <c r="Y59" s="20"/>
      <c r="Z59" s="20"/>
      <c r="AA59" s="20"/>
      <c r="AB59" s="20"/>
      <c r="AC59" s="20"/>
    </row>
    <row r="60" spans="2:29" s="4" customFormat="1" ht="15" hidden="1" customHeight="1" x14ac:dyDescent="0.25">
      <c r="B60" s="79"/>
      <c r="C60" s="80">
        <v>33</v>
      </c>
      <c r="D60" s="94"/>
      <c r="E60" s="96">
        <f>IF(G8=C24,M40,G50)</f>
        <v>4</v>
      </c>
      <c r="F60" s="96">
        <v>5</v>
      </c>
      <c r="G60" s="96">
        <f>IF(G8=C24,O40,J50)</f>
        <v>4</v>
      </c>
      <c r="H60" s="88"/>
      <c r="I60" s="97">
        <f>SUM(E5,G60)</f>
        <v>4</v>
      </c>
      <c r="J60" s="131"/>
      <c r="K60" s="88"/>
      <c r="L60" s="88"/>
      <c r="M60" s="88"/>
      <c r="N60" s="88"/>
      <c r="O60" s="88"/>
      <c r="P60" s="88"/>
      <c r="Q60" s="131"/>
      <c r="R60" s="88"/>
      <c r="S60" s="88"/>
      <c r="T60" s="131"/>
      <c r="U60" s="20"/>
      <c r="V60" s="20"/>
      <c r="W60" s="20"/>
      <c r="X60" s="20"/>
      <c r="Y60" s="20"/>
      <c r="Z60" s="20"/>
      <c r="AA60" s="20"/>
      <c r="AB60" s="20"/>
      <c r="AC60" s="20"/>
    </row>
    <row r="61" spans="2:29" s="4" customFormat="1" ht="15" hidden="1" customHeight="1" x14ac:dyDescent="0.25">
      <c r="B61" s="79"/>
      <c r="C61" s="80">
        <v>34</v>
      </c>
      <c r="D61" s="94"/>
      <c r="E61" s="96">
        <f>IF(G8=C24,M41,G51)</f>
        <v>4</v>
      </c>
      <c r="F61" s="96">
        <v>6</v>
      </c>
      <c r="G61" s="96">
        <f>IF(G8=C24,O41,J51)</f>
        <v>0</v>
      </c>
      <c r="H61" s="88"/>
      <c r="I61" s="97">
        <f>SUM(E5,G61)</f>
        <v>0</v>
      </c>
      <c r="J61" s="131"/>
      <c r="K61" s="88"/>
      <c r="L61" s="88"/>
      <c r="M61" s="88"/>
      <c r="N61" s="88"/>
      <c r="O61" s="88"/>
      <c r="P61" s="88"/>
      <c r="Q61" s="131"/>
      <c r="R61" s="88"/>
      <c r="S61" s="88"/>
      <c r="T61" s="131"/>
      <c r="U61" s="20"/>
      <c r="V61" s="20"/>
      <c r="W61" s="20"/>
      <c r="X61" s="20"/>
      <c r="Y61" s="20"/>
      <c r="Z61" s="20"/>
      <c r="AA61" s="20"/>
      <c r="AB61" s="20"/>
      <c r="AC61" s="20"/>
    </row>
    <row r="62" spans="2:29" s="4" customFormat="1" ht="15" hidden="1" customHeight="1" x14ac:dyDescent="0.25">
      <c r="B62" s="79"/>
      <c r="C62" s="80">
        <v>35</v>
      </c>
      <c r="D62" s="94"/>
      <c r="E62" s="96">
        <f>IF(G8=C24,M42,G52)</f>
        <v>3</v>
      </c>
      <c r="F62" s="96">
        <v>7</v>
      </c>
      <c r="G62" s="97">
        <f>IF(G8=C24,O42,J52)</f>
        <v>3</v>
      </c>
      <c r="H62" s="88"/>
      <c r="I62" s="97">
        <f>SUM(E5,G62)</f>
        <v>3</v>
      </c>
      <c r="J62" s="131"/>
      <c r="K62" s="88"/>
      <c r="L62" s="88"/>
      <c r="M62" s="88"/>
      <c r="N62" s="88"/>
      <c r="O62" s="88"/>
      <c r="P62" s="88"/>
      <c r="Q62" s="131"/>
      <c r="R62" s="88"/>
      <c r="S62" s="88"/>
      <c r="T62" s="131"/>
      <c r="U62" s="20"/>
      <c r="V62" s="20"/>
      <c r="W62" s="20"/>
      <c r="X62" s="20"/>
      <c r="Y62" s="20"/>
      <c r="Z62" s="20"/>
      <c r="AA62" s="20"/>
      <c r="AB62" s="20"/>
      <c r="AC62" s="20"/>
    </row>
    <row r="63" spans="2:29" s="4" customFormat="1" ht="15" hidden="1" customHeight="1" x14ac:dyDescent="0.25">
      <c r="B63" s="79"/>
      <c r="C63" s="80">
        <v>36</v>
      </c>
      <c r="D63" s="94"/>
      <c r="E63" s="101">
        <f>IF(G8=C24,M43,G53)</f>
        <v>3</v>
      </c>
      <c r="F63" s="101">
        <v>8</v>
      </c>
      <c r="G63" s="102">
        <f>IF(G8=C24,O43,J53)</f>
        <v>0</v>
      </c>
      <c r="H63" s="88"/>
      <c r="I63" s="102">
        <f>SUM(E5,G63)</f>
        <v>0</v>
      </c>
      <c r="J63" s="131"/>
      <c r="K63" s="88"/>
      <c r="L63" s="88"/>
      <c r="M63" s="88"/>
      <c r="N63" s="88"/>
      <c r="O63" s="88"/>
      <c r="P63" s="88"/>
      <c r="Q63" s="131"/>
      <c r="R63" s="88"/>
      <c r="S63" s="88"/>
      <c r="T63" s="131"/>
      <c r="U63" s="20"/>
      <c r="V63" s="20"/>
      <c r="W63" s="20"/>
      <c r="X63" s="20"/>
      <c r="Y63" s="20"/>
      <c r="Z63" s="20"/>
      <c r="AA63" s="20"/>
      <c r="AB63" s="20"/>
      <c r="AC63" s="20"/>
    </row>
    <row r="64" spans="2:29" s="4" customFormat="1" ht="15" hidden="1" customHeight="1" thickBot="1" x14ac:dyDescent="0.3">
      <c r="B64" s="79"/>
      <c r="C64" s="80">
        <v>37</v>
      </c>
      <c r="D64" s="103"/>
      <c r="E64" s="105"/>
      <c r="F64" s="105"/>
      <c r="G64" s="105"/>
      <c r="H64" s="105"/>
      <c r="I64" s="105"/>
      <c r="J64" s="134"/>
      <c r="K64" s="105"/>
      <c r="L64" s="105"/>
      <c r="M64" s="105"/>
      <c r="N64" s="105"/>
      <c r="O64" s="105"/>
      <c r="P64" s="105"/>
      <c r="Q64" s="134"/>
      <c r="R64" s="88"/>
      <c r="S64" s="88"/>
      <c r="T64" s="131"/>
      <c r="U64" s="20"/>
      <c r="V64" s="20"/>
      <c r="W64" s="20"/>
      <c r="X64" s="20"/>
      <c r="Y64" s="20"/>
      <c r="Z64" s="20"/>
      <c r="AA64" s="20"/>
      <c r="AB64" s="20"/>
      <c r="AC64" s="20"/>
    </row>
    <row r="65" spans="2:29" s="4" customFormat="1" ht="15" hidden="1" customHeight="1" x14ac:dyDescent="0.25">
      <c r="B65" s="79"/>
      <c r="C65" s="80">
        <v>38</v>
      </c>
      <c r="D65" s="80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131"/>
      <c r="U65" s="20"/>
      <c r="V65" s="20"/>
      <c r="W65" s="20"/>
      <c r="X65" s="20"/>
      <c r="Y65" s="20"/>
      <c r="Z65" s="20"/>
      <c r="AA65" s="20"/>
      <c r="AB65" s="20"/>
      <c r="AC65" s="20"/>
    </row>
    <row r="66" spans="2:29" s="4" customFormat="1" ht="15" hidden="1" customHeight="1" x14ac:dyDescent="0.25">
      <c r="B66" s="79"/>
      <c r="C66" s="80">
        <v>39</v>
      </c>
      <c r="D66" s="80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131"/>
      <c r="U66" s="20"/>
      <c r="V66" s="20"/>
      <c r="W66" s="20"/>
      <c r="X66" s="20"/>
      <c r="Y66" s="20"/>
      <c r="Z66" s="20"/>
      <c r="AA66" s="20"/>
      <c r="AB66" s="20"/>
      <c r="AC66" s="20"/>
    </row>
    <row r="67" spans="2:29" s="4" customFormat="1" ht="15" hidden="1" customHeight="1" x14ac:dyDescent="0.25">
      <c r="B67" s="79"/>
      <c r="C67" s="80">
        <v>40</v>
      </c>
      <c r="D67" s="80"/>
      <c r="E67" s="80"/>
      <c r="F67" s="88"/>
      <c r="G67" s="135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131"/>
      <c r="U67" s="20"/>
      <c r="V67" s="20"/>
      <c r="W67" s="20"/>
      <c r="X67" s="20"/>
      <c r="Y67" s="20"/>
      <c r="Z67" s="20"/>
      <c r="AA67" s="20"/>
      <c r="AB67" s="20"/>
      <c r="AC67" s="20"/>
    </row>
    <row r="68" spans="2:29" s="4" customFormat="1" ht="15" hidden="1" customHeight="1" x14ac:dyDescent="0.25">
      <c r="B68" s="79"/>
      <c r="C68" s="80">
        <v>41</v>
      </c>
      <c r="D68" s="80"/>
      <c r="E68" s="132"/>
      <c r="F68" s="88"/>
      <c r="G68" s="135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131"/>
      <c r="U68" s="20"/>
      <c r="V68" s="20"/>
      <c r="W68" s="20"/>
      <c r="X68" s="20"/>
      <c r="Y68" s="20"/>
      <c r="Z68" s="20"/>
      <c r="AA68" s="20"/>
      <c r="AB68" s="20"/>
      <c r="AC68" s="20"/>
    </row>
    <row r="69" spans="2:29" s="4" customFormat="1" ht="15" hidden="1" customHeight="1" x14ac:dyDescent="0.25">
      <c r="B69" s="79"/>
      <c r="C69" s="80">
        <v>42</v>
      </c>
      <c r="D69" s="80"/>
      <c r="E69" s="132"/>
      <c r="F69" s="88"/>
      <c r="G69" s="135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131"/>
      <c r="U69" s="20"/>
      <c r="V69" s="20"/>
      <c r="W69" s="20"/>
      <c r="X69" s="20"/>
      <c r="Y69" s="20"/>
      <c r="Z69" s="20"/>
      <c r="AA69" s="20"/>
      <c r="AB69" s="20"/>
      <c r="AC69" s="20"/>
    </row>
    <row r="70" spans="2:29" s="4" customFormat="1" ht="15" hidden="1" customHeight="1" x14ac:dyDescent="0.25">
      <c r="B70" s="79"/>
      <c r="C70" s="80">
        <v>43</v>
      </c>
      <c r="D70" s="80"/>
      <c r="E70" s="132"/>
      <c r="F70" s="88"/>
      <c r="G70" s="135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131"/>
      <c r="U70" s="20"/>
      <c r="V70" s="20"/>
      <c r="W70" s="20"/>
      <c r="X70" s="20"/>
      <c r="Y70" s="20"/>
      <c r="Z70" s="20"/>
      <c r="AA70" s="20"/>
      <c r="AB70" s="20"/>
      <c r="AC70" s="20"/>
    </row>
    <row r="71" spans="2:29" s="4" customFormat="1" ht="15" hidden="1" customHeight="1" x14ac:dyDescent="0.25">
      <c r="B71" s="79"/>
      <c r="C71" s="80">
        <v>44</v>
      </c>
      <c r="D71" s="80"/>
      <c r="E71" s="132"/>
      <c r="F71" s="88"/>
      <c r="G71" s="135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131"/>
      <c r="U71" s="20"/>
      <c r="V71" s="20"/>
      <c r="W71" s="20"/>
      <c r="X71" s="20"/>
      <c r="Y71" s="20"/>
      <c r="Z71" s="20"/>
      <c r="AA71" s="20"/>
      <c r="AB71" s="20"/>
      <c r="AC71" s="20"/>
    </row>
    <row r="72" spans="2:29" s="4" customFormat="1" ht="15" hidden="1" customHeight="1" x14ac:dyDescent="0.25">
      <c r="B72" s="79"/>
      <c r="C72" s="80">
        <v>45</v>
      </c>
      <c r="D72" s="80"/>
      <c r="E72" s="151" t="s">
        <v>45</v>
      </c>
      <c r="F72" s="88"/>
      <c r="G72" s="88" t="s">
        <v>48</v>
      </c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131"/>
      <c r="U72" s="20"/>
      <c r="V72" s="20"/>
      <c r="W72" s="20"/>
      <c r="X72" s="20"/>
      <c r="Y72" s="20"/>
      <c r="Z72" s="20"/>
      <c r="AA72" s="20"/>
      <c r="AB72" s="20"/>
      <c r="AC72" s="20"/>
    </row>
    <row r="73" spans="2:29" s="4" customFormat="1" ht="15" hidden="1" customHeight="1" x14ac:dyDescent="0.25">
      <c r="B73" s="79"/>
      <c r="C73" s="80">
        <v>46</v>
      </c>
      <c r="D73" s="80"/>
      <c r="E73" s="151" t="s">
        <v>46</v>
      </c>
      <c r="F73" s="88"/>
      <c r="G73" s="88" t="s">
        <v>47</v>
      </c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131"/>
      <c r="U73" s="20"/>
      <c r="V73" s="20"/>
      <c r="W73" s="20"/>
      <c r="X73" s="20"/>
      <c r="Y73" s="20"/>
      <c r="Z73" s="20"/>
      <c r="AA73" s="20"/>
      <c r="AB73" s="20"/>
      <c r="AC73" s="20"/>
    </row>
    <row r="74" spans="2:29" s="4" customFormat="1" ht="15" hidden="1" customHeight="1" x14ac:dyDescent="0.25">
      <c r="B74" s="79"/>
      <c r="C74" s="80">
        <v>47</v>
      </c>
      <c r="D74" s="80"/>
      <c r="E74" s="88"/>
      <c r="F74" s="88"/>
      <c r="G74" s="88" t="s">
        <v>50</v>
      </c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131"/>
      <c r="U74" s="20"/>
      <c r="V74" s="20"/>
      <c r="W74" s="20"/>
      <c r="X74" s="20"/>
      <c r="Y74" s="20"/>
      <c r="Z74" s="20"/>
      <c r="AA74" s="20"/>
      <c r="AB74" s="20"/>
      <c r="AC74" s="20"/>
    </row>
    <row r="75" spans="2:29" s="4" customFormat="1" ht="15" hidden="1" customHeight="1" x14ac:dyDescent="0.25">
      <c r="B75" s="79"/>
      <c r="C75" s="80">
        <v>48</v>
      </c>
      <c r="D75" s="80"/>
      <c r="E75" s="88"/>
      <c r="F75" s="88"/>
      <c r="G75" s="88" t="s">
        <v>51</v>
      </c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131"/>
      <c r="U75" s="20"/>
      <c r="V75" s="20"/>
      <c r="W75" s="20"/>
      <c r="X75" s="20"/>
      <c r="Y75" s="20"/>
      <c r="Z75" s="20"/>
      <c r="AA75" s="20"/>
      <c r="AB75" s="20"/>
      <c r="AC75" s="20"/>
    </row>
    <row r="76" spans="2:29" s="4" customFormat="1" ht="15" hidden="1" customHeight="1" x14ac:dyDescent="0.25">
      <c r="B76" s="79"/>
      <c r="C76" s="80">
        <v>49</v>
      </c>
      <c r="D76" s="80"/>
      <c r="E76" s="88"/>
      <c r="F76" s="88"/>
      <c r="G76" s="88" t="s">
        <v>53</v>
      </c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131"/>
      <c r="U76" s="20"/>
      <c r="V76" s="20"/>
      <c r="W76" s="20"/>
      <c r="X76" s="20"/>
      <c r="Y76" s="20"/>
      <c r="Z76" s="20"/>
      <c r="AA76" s="20"/>
      <c r="AB76" s="20"/>
      <c r="AC76" s="20"/>
    </row>
    <row r="77" spans="2:29" s="4" customFormat="1" ht="15" hidden="1" customHeight="1" x14ac:dyDescent="0.25">
      <c r="B77" s="79"/>
      <c r="C77" s="80">
        <v>50</v>
      </c>
      <c r="D77" s="80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131"/>
      <c r="U77" s="20"/>
      <c r="V77" s="20"/>
      <c r="W77" s="20"/>
      <c r="X77" s="20"/>
      <c r="Y77" s="20"/>
      <c r="Z77" s="20"/>
      <c r="AA77" s="20"/>
      <c r="AB77" s="20"/>
      <c r="AC77" s="20"/>
    </row>
    <row r="78" spans="2:29" s="4" customFormat="1" ht="15" hidden="1" customHeight="1" x14ac:dyDescent="0.25">
      <c r="B78" s="79"/>
      <c r="C78" s="80">
        <v>51</v>
      </c>
      <c r="D78" s="80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131"/>
      <c r="U78" s="20"/>
      <c r="V78" s="20"/>
      <c r="W78" s="20"/>
      <c r="X78" s="20"/>
      <c r="Y78" s="20"/>
      <c r="Z78" s="20"/>
      <c r="AA78" s="20"/>
      <c r="AB78" s="20"/>
      <c r="AC78" s="20"/>
    </row>
    <row r="79" spans="2:29" s="4" customFormat="1" ht="15" hidden="1" customHeight="1" x14ac:dyDescent="0.25">
      <c r="B79" s="79"/>
      <c r="C79" s="80">
        <v>52</v>
      </c>
      <c r="D79" s="80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131"/>
      <c r="U79" s="20"/>
      <c r="V79" s="20"/>
      <c r="W79" s="20"/>
      <c r="X79" s="20"/>
      <c r="Y79" s="20"/>
      <c r="Z79" s="20"/>
      <c r="AA79" s="20"/>
      <c r="AB79" s="20"/>
      <c r="AC79" s="20"/>
    </row>
    <row r="80" spans="2:29" s="4" customFormat="1" ht="15" hidden="1" customHeight="1" x14ac:dyDescent="0.25">
      <c r="B80" s="79"/>
      <c r="C80" s="80">
        <v>53</v>
      </c>
      <c r="D80" s="80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131"/>
      <c r="U80" s="20"/>
      <c r="V80" s="20"/>
      <c r="W80" s="20"/>
      <c r="X80" s="20"/>
      <c r="Y80" s="20"/>
      <c r="Z80" s="20"/>
      <c r="AA80" s="20"/>
      <c r="AB80" s="20"/>
      <c r="AC80" s="20"/>
    </row>
    <row r="81" spans="2:29" s="4" customFormat="1" ht="15" hidden="1" customHeight="1" x14ac:dyDescent="0.25">
      <c r="B81" s="79"/>
      <c r="C81" s="80">
        <v>54</v>
      </c>
      <c r="D81" s="80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131"/>
      <c r="U81" s="20"/>
      <c r="V81" s="20"/>
      <c r="W81" s="20"/>
      <c r="X81" s="20"/>
      <c r="Y81" s="20"/>
      <c r="Z81" s="20"/>
      <c r="AA81" s="20"/>
      <c r="AB81" s="20"/>
      <c r="AC81" s="20"/>
    </row>
    <row r="82" spans="2:29" s="4" customFormat="1" ht="15" hidden="1" customHeight="1" x14ac:dyDescent="0.25">
      <c r="B82" s="79"/>
      <c r="C82" s="80">
        <v>55</v>
      </c>
      <c r="D82" s="80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131"/>
      <c r="U82" s="20"/>
      <c r="V82" s="20"/>
      <c r="W82" s="20"/>
      <c r="X82" s="20"/>
      <c r="Y82" s="20"/>
      <c r="Z82" s="20"/>
      <c r="AA82" s="20"/>
      <c r="AB82" s="20"/>
      <c r="AC82" s="20"/>
    </row>
    <row r="83" spans="2:29" s="4" customFormat="1" ht="15" hidden="1" customHeight="1" x14ac:dyDescent="0.25">
      <c r="B83" s="79"/>
      <c r="C83" s="80">
        <v>56</v>
      </c>
      <c r="D83" s="80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131"/>
      <c r="U83" s="20"/>
      <c r="V83" s="20"/>
      <c r="W83" s="20"/>
      <c r="X83" s="20"/>
      <c r="Y83" s="20"/>
      <c r="Z83" s="20"/>
      <c r="AA83" s="20"/>
      <c r="AB83" s="20"/>
      <c r="AC83" s="20"/>
    </row>
    <row r="84" spans="2:29" s="4" customFormat="1" ht="15" hidden="1" customHeight="1" x14ac:dyDescent="0.25">
      <c r="B84" s="79"/>
      <c r="C84" s="80">
        <v>57</v>
      </c>
      <c r="D84" s="80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131"/>
      <c r="U84" s="20"/>
      <c r="V84" s="20"/>
      <c r="W84" s="20"/>
      <c r="X84" s="20"/>
      <c r="Y84" s="20"/>
      <c r="Z84" s="20"/>
      <c r="AA84" s="20"/>
      <c r="AB84" s="20"/>
      <c r="AC84" s="20"/>
    </row>
    <row r="85" spans="2:29" s="4" customFormat="1" ht="15" hidden="1" customHeight="1" x14ac:dyDescent="0.25">
      <c r="B85" s="79"/>
      <c r="C85" s="80">
        <v>58</v>
      </c>
      <c r="D85" s="80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131"/>
      <c r="U85" s="20"/>
      <c r="V85" s="20"/>
      <c r="W85" s="20"/>
      <c r="X85" s="20"/>
      <c r="Y85" s="20"/>
      <c r="Z85" s="20"/>
      <c r="AA85" s="20"/>
      <c r="AB85" s="20"/>
      <c r="AC85" s="20"/>
    </row>
    <row r="86" spans="2:29" s="4" customFormat="1" ht="15" hidden="1" customHeight="1" x14ac:dyDescent="0.25">
      <c r="B86" s="79"/>
      <c r="C86" s="80">
        <v>59</v>
      </c>
      <c r="D86" s="80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131"/>
      <c r="U86" s="20"/>
      <c r="V86" s="20"/>
      <c r="W86" s="20"/>
      <c r="X86" s="20"/>
      <c r="Y86" s="20"/>
      <c r="Z86" s="20"/>
      <c r="AA86" s="20"/>
      <c r="AB86" s="20"/>
      <c r="AC86" s="20"/>
    </row>
    <row r="87" spans="2:29" s="4" customFormat="1" ht="15" hidden="1" customHeight="1" x14ac:dyDescent="0.25">
      <c r="B87" s="79"/>
      <c r="C87" s="80">
        <v>60</v>
      </c>
      <c r="D87" s="80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131"/>
      <c r="U87" s="20"/>
      <c r="V87" s="20"/>
      <c r="W87" s="20"/>
      <c r="X87" s="20"/>
      <c r="Y87" s="20"/>
      <c r="Z87" s="20"/>
      <c r="AA87" s="20"/>
      <c r="AB87" s="20"/>
      <c r="AC87" s="20"/>
    </row>
    <row r="88" spans="2:29" s="4" customFormat="1" ht="15" hidden="1" customHeight="1" x14ac:dyDescent="0.25">
      <c r="B88" s="79"/>
      <c r="C88" s="80">
        <v>61</v>
      </c>
      <c r="D88" s="80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131"/>
      <c r="U88" s="20"/>
      <c r="V88" s="20"/>
      <c r="W88" s="20"/>
      <c r="X88" s="20"/>
      <c r="Y88" s="20"/>
      <c r="Z88" s="20"/>
      <c r="AA88" s="20"/>
      <c r="AB88" s="20"/>
      <c r="AC88" s="20"/>
    </row>
    <row r="89" spans="2:29" s="4" customFormat="1" ht="15" hidden="1" customHeight="1" x14ac:dyDescent="0.25">
      <c r="B89" s="79"/>
      <c r="C89" s="80">
        <v>62</v>
      </c>
      <c r="D89" s="80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131"/>
      <c r="U89" s="20"/>
      <c r="V89" s="20"/>
      <c r="W89" s="20"/>
      <c r="X89" s="20"/>
      <c r="Y89" s="20"/>
      <c r="Z89" s="20"/>
      <c r="AA89" s="20"/>
      <c r="AB89" s="20"/>
      <c r="AC89" s="20"/>
    </row>
    <row r="90" spans="2:29" s="4" customFormat="1" ht="15" hidden="1" customHeight="1" x14ac:dyDescent="0.25">
      <c r="B90" s="79"/>
      <c r="C90" s="80">
        <v>63</v>
      </c>
      <c r="D90" s="80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131"/>
      <c r="U90" s="20"/>
      <c r="V90" s="20"/>
      <c r="W90" s="20"/>
      <c r="X90" s="20"/>
      <c r="Y90" s="20"/>
      <c r="Z90" s="20"/>
      <c r="AA90" s="20"/>
      <c r="AB90" s="20"/>
      <c r="AC90" s="20"/>
    </row>
    <row r="91" spans="2:29" s="4" customFormat="1" ht="15" hidden="1" customHeight="1" x14ac:dyDescent="0.25">
      <c r="B91" s="79"/>
      <c r="C91" s="80">
        <v>64</v>
      </c>
      <c r="D91" s="80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131"/>
      <c r="U91" s="20"/>
      <c r="V91" s="20"/>
      <c r="W91" s="20"/>
      <c r="X91" s="20"/>
      <c r="Y91" s="20"/>
      <c r="Z91" s="20"/>
      <c r="AA91" s="20"/>
      <c r="AB91" s="20"/>
      <c r="AC91" s="20"/>
    </row>
    <row r="92" spans="2:29" s="4" customFormat="1" ht="15" hidden="1" customHeight="1" x14ac:dyDescent="0.25">
      <c r="B92" s="79"/>
      <c r="C92" s="80">
        <v>65</v>
      </c>
      <c r="D92" s="80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131"/>
      <c r="U92" s="20"/>
      <c r="V92" s="20"/>
      <c r="W92" s="20"/>
      <c r="X92" s="20"/>
      <c r="Y92" s="20"/>
      <c r="Z92" s="20"/>
      <c r="AA92" s="20"/>
      <c r="AB92" s="20"/>
      <c r="AC92" s="20"/>
    </row>
    <row r="93" spans="2:29" s="4" customFormat="1" ht="15" hidden="1" customHeight="1" x14ac:dyDescent="0.25">
      <c r="B93" s="79"/>
      <c r="C93" s="80">
        <v>66</v>
      </c>
      <c r="D93" s="80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131"/>
      <c r="U93" s="20"/>
      <c r="V93" s="20"/>
      <c r="W93" s="20"/>
      <c r="X93" s="20"/>
      <c r="Y93" s="20"/>
      <c r="Z93" s="20"/>
      <c r="AA93" s="20"/>
      <c r="AB93" s="20"/>
      <c r="AC93" s="20"/>
    </row>
    <row r="94" spans="2:29" s="4" customFormat="1" ht="15" hidden="1" customHeight="1" x14ac:dyDescent="0.25">
      <c r="B94" s="79"/>
      <c r="C94" s="80">
        <v>67</v>
      </c>
      <c r="D94" s="80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131"/>
      <c r="U94" s="20"/>
      <c r="V94" s="20"/>
      <c r="W94" s="20"/>
      <c r="X94" s="20"/>
      <c r="Y94" s="20"/>
      <c r="Z94" s="20"/>
      <c r="AA94" s="20"/>
      <c r="AB94" s="20"/>
      <c r="AC94" s="20"/>
    </row>
    <row r="95" spans="2:29" s="4" customFormat="1" ht="15" hidden="1" customHeight="1" x14ac:dyDescent="0.25">
      <c r="B95" s="79"/>
      <c r="C95" s="80">
        <v>68</v>
      </c>
      <c r="D95" s="80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131"/>
      <c r="U95" s="20"/>
      <c r="V95" s="20"/>
      <c r="W95" s="20"/>
      <c r="X95" s="20"/>
      <c r="Y95" s="20"/>
      <c r="Z95" s="20"/>
      <c r="AA95" s="20"/>
      <c r="AB95" s="20"/>
      <c r="AC95" s="20"/>
    </row>
    <row r="96" spans="2:29" s="4" customFormat="1" ht="15" hidden="1" customHeight="1" x14ac:dyDescent="0.25">
      <c r="B96" s="79"/>
      <c r="C96" s="80">
        <v>69</v>
      </c>
      <c r="D96" s="80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131"/>
      <c r="U96" s="20"/>
      <c r="V96" s="20"/>
      <c r="W96" s="20"/>
      <c r="X96" s="20"/>
      <c r="Y96" s="20"/>
      <c r="Z96" s="20"/>
      <c r="AA96" s="20"/>
      <c r="AB96" s="20"/>
      <c r="AC96" s="20"/>
    </row>
    <row r="97" spans="2:29" s="4" customFormat="1" ht="15" hidden="1" customHeight="1" x14ac:dyDescent="0.25">
      <c r="B97" s="79"/>
      <c r="C97" s="80">
        <v>70</v>
      </c>
      <c r="D97" s="80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131"/>
      <c r="U97" s="20"/>
      <c r="V97" s="20"/>
      <c r="W97" s="20"/>
      <c r="X97" s="20"/>
      <c r="Y97" s="20"/>
      <c r="Z97" s="20"/>
      <c r="AA97" s="20"/>
      <c r="AB97" s="20"/>
      <c r="AC97" s="20"/>
    </row>
    <row r="98" spans="2:29" s="4" customFormat="1" ht="15" hidden="1" customHeight="1" x14ac:dyDescent="0.25">
      <c r="B98" s="79"/>
      <c r="C98" s="80">
        <v>71</v>
      </c>
      <c r="D98" s="80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131"/>
      <c r="U98" s="20"/>
      <c r="V98" s="20"/>
      <c r="W98" s="20"/>
      <c r="X98" s="20"/>
      <c r="Y98" s="20"/>
      <c r="Z98" s="20"/>
      <c r="AA98" s="20"/>
      <c r="AB98" s="20"/>
      <c r="AC98" s="20"/>
    </row>
    <row r="99" spans="2:29" s="4" customFormat="1" ht="15" hidden="1" customHeight="1" x14ac:dyDescent="0.25">
      <c r="B99" s="79"/>
      <c r="C99" s="80">
        <v>72</v>
      </c>
      <c r="D99" s="80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131"/>
      <c r="U99" s="20"/>
      <c r="V99" s="20"/>
      <c r="W99" s="20"/>
      <c r="X99" s="20"/>
      <c r="Y99" s="20"/>
      <c r="Z99" s="20"/>
      <c r="AA99" s="20"/>
      <c r="AB99" s="20"/>
      <c r="AC99" s="20"/>
    </row>
    <row r="100" spans="2:29" s="4" customFormat="1" ht="15" hidden="1" customHeight="1" x14ac:dyDescent="0.25">
      <c r="B100" s="79"/>
      <c r="C100" s="80">
        <v>73</v>
      </c>
      <c r="D100" s="80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131"/>
      <c r="U100" s="20"/>
      <c r="V100" s="20"/>
      <c r="W100" s="20"/>
      <c r="X100" s="20"/>
      <c r="Y100" s="20"/>
      <c r="Z100" s="20"/>
      <c r="AA100" s="20"/>
      <c r="AB100" s="20"/>
      <c r="AC100" s="20"/>
    </row>
    <row r="101" spans="2:29" s="4" customFormat="1" ht="15" hidden="1" customHeight="1" x14ac:dyDescent="0.25">
      <c r="B101" s="79"/>
      <c r="C101" s="80">
        <v>74</v>
      </c>
      <c r="D101" s="80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131"/>
      <c r="U101" s="20"/>
      <c r="V101" s="20"/>
      <c r="W101" s="20"/>
      <c r="X101" s="20"/>
      <c r="Y101" s="20"/>
      <c r="Z101" s="20"/>
      <c r="AA101" s="20"/>
      <c r="AB101" s="20"/>
      <c r="AC101" s="20"/>
    </row>
    <row r="102" spans="2:29" s="4" customFormat="1" ht="15" hidden="1" customHeight="1" x14ac:dyDescent="0.25">
      <c r="B102" s="79"/>
      <c r="C102" s="80">
        <v>75</v>
      </c>
      <c r="D102" s="80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131"/>
      <c r="U102" s="20"/>
      <c r="V102" s="20"/>
      <c r="W102" s="20"/>
      <c r="X102" s="20"/>
      <c r="Y102" s="20"/>
      <c r="Z102" s="20"/>
      <c r="AA102" s="20"/>
      <c r="AB102" s="20"/>
      <c r="AC102" s="20"/>
    </row>
    <row r="103" spans="2:29" s="4" customFormat="1" ht="15" hidden="1" customHeight="1" x14ac:dyDescent="0.25">
      <c r="B103" s="79"/>
      <c r="C103" s="80">
        <v>76</v>
      </c>
      <c r="D103" s="80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131"/>
      <c r="U103" s="20"/>
      <c r="V103" s="20"/>
      <c r="W103" s="20"/>
      <c r="X103" s="20"/>
      <c r="Y103" s="20"/>
      <c r="Z103" s="20"/>
      <c r="AA103" s="20"/>
      <c r="AB103" s="20"/>
      <c r="AC103" s="20"/>
    </row>
    <row r="104" spans="2:29" s="4" customFormat="1" ht="15" hidden="1" customHeight="1" x14ac:dyDescent="0.25">
      <c r="B104" s="79"/>
      <c r="C104" s="80">
        <v>77</v>
      </c>
      <c r="D104" s="80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131"/>
      <c r="U104" s="20"/>
      <c r="V104" s="20"/>
      <c r="W104" s="20"/>
      <c r="X104" s="20"/>
      <c r="Y104" s="20"/>
      <c r="Z104" s="20"/>
      <c r="AA104" s="20"/>
      <c r="AB104" s="20"/>
      <c r="AC104" s="20"/>
    </row>
    <row r="105" spans="2:29" s="4" customFormat="1" ht="15" hidden="1" customHeight="1" x14ac:dyDescent="0.25">
      <c r="B105" s="79"/>
      <c r="C105" s="80">
        <v>78</v>
      </c>
      <c r="D105" s="80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131"/>
      <c r="U105" s="20"/>
      <c r="V105" s="20"/>
      <c r="W105" s="20"/>
      <c r="X105" s="20"/>
      <c r="Y105" s="20"/>
      <c r="Z105" s="20"/>
      <c r="AA105" s="20"/>
      <c r="AB105" s="20"/>
      <c r="AC105" s="20"/>
    </row>
    <row r="106" spans="2:29" s="4" customFormat="1" ht="15" hidden="1" customHeight="1" x14ac:dyDescent="0.25">
      <c r="B106" s="79"/>
      <c r="C106" s="80">
        <v>79</v>
      </c>
      <c r="D106" s="80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131"/>
      <c r="U106" s="20"/>
      <c r="V106" s="20"/>
      <c r="W106" s="20"/>
      <c r="X106" s="20"/>
      <c r="Y106" s="20"/>
      <c r="Z106" s="20"/>
      <c r="AA106" s="20"/>
      <c r="AB106" s="20"/>
      <c r="AC106" s="20"/>
    </row>
    <row r="107" spans="2:29" s="4" customFormat="1" ht="15" hidden="1" customHeight="1" x14ac:dyDescent="0.25">
      <c r="B107" s="79"/>
      <c r="C107" s="80">
        <v>80</v>
      </c>
      <c r="D107" s="80"/>
      <c r="E107" s="88"/>
      <c r="F107" s="88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131"/>
      <c r="U107" s="20"/>
      <c r="V107" s="20"/>
      <c r="W107" s="20"/>
      <c r="X107" s="20"/>
      <c r="Y107" s="20"/>
      <c r="Z107" s="20"/>
      <c r="AA107" s="20"/>
      <c r="AB107" s="20"/>
      <c r="AC107" s="20"/>
    </row>
    <row r="108" spans="2:29" s="4" customFormat="1" ht="15" hidden="1" customHeight="1" x14ac:dyDescent="0.25">
      <c r="B108" s="79"/>
      <c r="C108" s="80">
        <v>81</v>
      </c>
      <c r="D108" s="80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131"/>
      <c r="U108" s="20"/>
      <c r="V108" s="20"/>
      <c r="W108" s="20"/>
      <c r="X108" s="20"/>
      <c r="Y108" s="20"/>
      <c r="Z108" s="20"/>
      <c r="AA108" s="20"/>
      <c r="AB108" s="20"/>
      <c r="AC108" s="20"/>
    </row>
    <row r="109" spans="2:29" s="4" customFormat="1" ht="15" hidden="1" customHeight="1" x14ac:dyDescent="0.25">
      <c r="B109" s="79"/>
      <c r="C109" s="80">
        <v>82</v>
      </c>
      <c r="D109" s="80"/>
      <c r="E109" s="88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131"/>
      <c r="U109" s="20"/>
      <c r="V109" s="20"/>
      <c r="W109" s="20"/>
      <c r="X109" s="20"/>
      <c r="Y109" s="20"/>
      <c r="Z109" s="20"/>
      <c r="AA109" s="20"/>
      <c r="AB109" s="20"/>
      <c r="AC109" s="20"/>
    </row>
    <row r="110" spans="2:29" s="4" customFormat="1" ht="15" hidden="1" customHeight="1" x14ac:dyDescent="0.25">
      <c r="B110" s="79"/>
      <c r="C110" s="80">
        <v>83</v>
      </c>
      <c r="D110" s="80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131"/>
      <c r="U110" s="20"/>
      <c r="V110" s="20"/>
      <c r="W110" s="20"/>
      <c r="X110" s="20"/>
      <c r="Y110" s="20"/>
      <c r="Z110" s="20"/>
      <c r="AA110" s="20"/>
      <c r="AB110" s="20"/>
      <c r="AC110" s="20"/>
    </row>
    <row r="111" spans="2:29" s="4" customFormat="1" ht="15" hidden="1" customHeight="1" x14ac:dyDescent="0.25">
      <c r="B111" s="79"/>
      <c r="C111" s="80">
        <v>84</v>
      </c>
      <c r="D111" s="80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131"/>
      <c r="U111" s="20"/>
      <c r="V111" s="20"/>
      <c r="W111" s="20"/>
      <c r="X111" s="20"/>
      <c r="Y111" s="20"/>
      <c r="Z111" s="20"/>
      <c r="AA111" s="20"/>
      <c r="AB111" s="20"/>
      <c r="AC111" s="20"/>
    </row>
    <row r="112" spans="2:29" s="4" customFormat="1" ht="15" hidden="1" customHeight="1" x14ac:dyDescent="0.25">
      <c r="B112" s="79"/>
      <c r="C112" s="80">
        <v>85</v>
      </c>
      <c r="D112" s="80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131"/>
      <c r="U112" s="20"/>
      <c r="V112" s="20"/>
      <c r="W112" s="20"/>
      <c r="X112" s="20"/>
      <c r="Y112" s="20"/>
      <c r="Z112" s="20"/>
      <c r="AA112" s="20"/>
      <c r="AB112" s="20"/>
      <c r="AC112" s="20"/>
    </row>
    <row r="113" spans="2:29" s="4" customFormat="1" ht="15" hidden="1" customHeight="1" x14ac:dyDescent="0.25">
      <c r="B113" s="79"/>
      <c r="C113" s="80">
        <v>86</v>
      </c>
      <c r="D113" s="80"/>
      <c r="E113" s="88"/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131"/>
      <c r="U113" s="20"/>
      <c r="V113" s="20"/>
      <c r="W113" s="20"/>
      <c r="X113" s="20"/>
      <c r="Y113" s="20"/>
      <c r="Z113" s="20"/>
      <c r="AA113" s="20"/>
      <c r="AB113" s="20"/>
      <c r="AC113" s="20"/>
    </row>
    <row r="114" spans="2:29" s="4" customFormat="1" ht="15" hidden="1" customHeight="1" x14ac:dyDescent="0.25">
      <c r="B114" s="79"/>
      <c r="C114" s="80">
        <v>87</v>
      </c>
      <c r="D114" s="80"/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131"/>
      <c r="U114" s="20"/>
      <c r="V114" s="20"/>
      <c r="W114" s="20"/>
      <c r="X114" s="20"/>
      <c r="Y114" s="20"/>
      <c r="Z114" s="20"/>
      <c r="AA114" s="20"/>
      <c r="AB114" s="20"/>
      <c r="AC114" s="20"/>
    </row>
    <row r="115" spans="2:29" s="4" customFormat="1" ht="15" hidden="1" customHeight="1" x14ac:dyDescent="0.25">
      <c r="B115" s="79"/>
      <c r="C115" s="80">
        <v>88</v>
      </c>
      <c r="D115" s="80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131"/>
      <c r="U115" s="20"/>
      <c r="V115" s="20"/>
      <c r="W115" s="20"/>
      <c r="X115" s="20"/>
      <c r="Y115" s="20"/>
      <c r="Z115" s="20"/>
      <c r="AA115" s="20"/>
      <c r="AB115" s="20"/>
      <c r="AC115" s="20"/>
    </row>
    <row r="116" spans="2:29" s="4" customFormat="1" ht="15" hidden="1" customHeight="1" x14ac:dyDescent="0.25">
      <c r="B116" s="79"/>
      <c r="C116" s="80">
        <v>89</v>
      </c>
      <c r="D116" s="80"/>
      <c r="E116" s="88"/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131"/>
      <c r="U116" s="20"/>
      <c r="V116" s="20"/>
      <c r="W116" s="20"/>
      <c r="X116" s="20"/>
      <c r="Y116" s="20"/>
      <c r="Z116" s="20"/>
      <c r="AA116" s="20"/>
      <c r="AB116" s="20"/>
      <c r="AC116" s="20"/>
    </row>
    <row r="117" spans="2:29" s="4" customFormat="1" ht="15" hidden="1" customHeight="1" x14ac:dyDescent="0.25">
      <c r="B117" s="79"/>
      <c r="C117" s="80">
        <v>90</v>
      </c>
      <c r="D117" s="80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131"/>
      <c r="U117" s="20"/>
      <c r="V117" s="20"/>
      <c r="W117" s="20"/>
      <c r="X117" s="20"/>
      <c r="Y117" s="20"/>
      <c r="Z117" s="20"/>
      <c r="AA117" s="20"/>
      <c r="AB117" s="20"/>
      <c r="AC117" s="20"/>
    </row>
    <row r="118" spans="2:29" s="4" customFormat="1" ht="15" hidden="1" customHeight="1" x14ac:dyDescent="0.25">
      <c r="B118" s="79"/>
      <c r="C118" s="80">
        <v>91</v>
      </c>
      <c r="D118" s="80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131"/>
      <c r="U118" s="20"/>
      <c r="V118" s="20"/>
      <c r="W118" s="20"/>
      <c r="X118" s="20"/>
      <c r="Y118" s="20"/>
      <c r="Z118" s="20"/>
      <c r="AA118" s="20"/>
      <c r="AB118" s="20"/>
      <c r="AC118" s="20"/>
    </row>
    <row r="119" spans="2:29" s="4" customFormat="1" ht="15" hidden="1" customHeight="1" x14ac:dyDescent="0.25">
      <c r="B119" s="79"/>
      <c r="C119" s="80">
        <v>92</v>
      </c>
      <c r="D119" s="80"/>
      <c r="E119" s="88"/>
      <c r="F119" s="88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131"/>
      <c r="U119" s="20"/>
      <c r="V119" s="20"/>
      <c r="W119" s="20"/>
      <c r="X119" s="20"/>
      <c r="Y119" s="20"/>
      <c r="Z119" s="20"/>
      <c r="AA119" s="20"/>
      <c r="AB119" s="20"/>
      <c r="AC119" s="20"/>
    </row>
    <row r="120" spans="2:29" s="4" customFormat="1" ht="15" hidden="1" customHeight="1" x14ac:dyDescent="0.25">
      <c r="B120" s="79"/>
      <c r="C120" s="80">
        <v>93</v>
      </c>
      <c r="D120" s="80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131"/>
      <c r="U120" s="20"/>
      <c r="V120" s="20"/>
      <c r="W120" s="20"/>
      <c r="X120" s="20"/>
      <c r="Y120" s="20"/>
      <c r="Z120" s="20"/>
      <c r="AA120" s="20"/>
      <c r="AB120" s="20"/>
      <c r="AC120" s="20"/>
    </row>
    <row r="121" spans="2:29" s="4" customFormat="1" ht="15" hidden="1" customHeight="1" x14ac:dyDescent="0.25">
      <c r="B121" s="79"/>
      <c r="C121" s="80">
        <v>94</v>
      </c>
      <c r="D121" s="80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131"/>
      <c r="U121" s="20"/>
      <c r="V121" s="20"/>
      <c r="W121" s="20"/>
      <c r="X121" s="20"/>
      <c r="Y121" s="20"/>
      <c r="Z121" s="20"/>
      <c r="AA121" s="20"/>
      <c r="AB121" s="20"/>
      <c r="AC121" s="20"/>
    </row>
    <row r="122" spans="2:29" s="4" customFormat="1" ht="15" hidden="1" customHeight="1" x14ac:dyDescent="0.25">
      <c r="B122" s="79"/>
      <c r="C122" s="80">
        <v>95</v>
      </c>
      <c r="D122" s="80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131"/>
      <c r="U122" s="20"/>
      <c r="V122" s="20"/>
      <c r="W122" s="20"/>
      <c r="X122" s="20"/>
      <c r="Y122" s="20"/>
      <c r="Z122" s="20"/>
      <c r="AA122" s="20"/>
      <c r="AB122" s="20"/>
      <c r="AC122" s="20"/>
    </row>
    <row r="123" spans="2:29" s="4" customFormat="1" ht="15" hidden="1" customHeight="1" x14ac:dyDescent="0.25">
      <c r="B123" s="79"/>
      <c r="C123" s="80">
        <v>96</v>
      </c>
      <c r="D123" s="80"/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131"/>
      <c r="U123" s="20"/>
      <c r="V123" s="20"/>
      <c r="W123" s="20"/>
      <c r="X123" s="20"/>
      <c r="Y123" s="20"/>
      <c r="Z123" s="20"/>
      <c r="AA123" s="20"/>
      <c r="AB123" s="20"/>
      <c r="AC123" s="20"/>
    </row>
    <row r="124" spans="2:29" s="4" customFormat="1" ht="15" hidden="1" customHeight="1" x14ac:dyDescent="0.25">
      <c r="B124" s="79"/>
      <c r="C124" s="80">
        <v>97</v>
      </c>
      <c r="D124" s="80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131"/>
      <c r="U124" s="20"/>
      <c r="V124" s="20"/>
      <c r="W124" s="20"/>
      <c r="X124" s="20"/>
      <c r="Y124" s="20"/>
      <c r="Z124" s="20"/>
      <c r="AA124" s="20"/>
      <c r="AB124" s="20"/>
      <c r="AC124" s="20"/>
    </row>
    <row r="125" spans="2:29" s="4" customFormat="1" ht="15" hidden="1" customHeight="1" x14ac:dyDescent="0.25">
      <c r="B125" s="79"/>
      <c r="C125" s="80">
        <v>98</v>
      </c>
      <c r="D125" s="80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131"/>
      <c r="U125" s="20"/>
      <c r="V125" s="20"/>
      <c r="W125" s="20"/>
      <c r="X125" s="20"/>
      <c r="Y125" s="20"/>
      <c r="Z125" s="20"/>
      <c r="AA125" s="20"/>
      <c r="AB125" s="20"/>
      <c r="AC125" s="20"/>
    </row>
    <row r="126" spans="2:29" s="4" customFormat="1" ht="15" hidden="1" customHeight="1" x14ac:dyDescent="0.25">
      <c r="B126" s="79"/>
      <c r="C126" s="80">
        <v>99</v>
      </c>
      <c r="D126" s="80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131"/>
      <c r="U126" s="20"/>
      <c r="V126" s="20"/>
      <c r="W126" s="20"/>
      <c r="X126" s="20"/>
      <c r="Y126" s="20"/>
      <c r="Z126" s="20"/>
      <c r="AA126" s="20"/>
      <c r="AB126" s="20"/>
      <c r="AC126" s="20"/>
    </row>
    <row r="127" spans="2:29" s="4" customFormat="1" ht="15" hidden="1" customHeight="1" x14ac:dyDescent="0.25">
      <c r="B127" s="79"/>
      <c r="C127" s="80">
        <v>100</v>
      </c>
      <c r="D127" s="80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131"/>
      <c r="U127" s="20"/>
      <c r="V127" s="20"/>
      <c r="W127" s="20"/>
      <c r="X127" s="20"/>
      <c r="Y127" s="20"/>
      <c r="Z127" s="20"/>
      <c r="AA127" s="20"/>
      <c r="AB127" s="20"/>
      <c r="AC127" s="20"/>
    </row>
    <row r="128" spans="2:29" s="4" customFormat="1" ht="15" hidden="1" customHeight="1" x14ac:dyDescent="0.25">
      <c r="B128" s="79"/>
      <c r="C128" s="80">
        <v>101</v>
      </c>
      <c r="D128" s="80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131"/>
      <c r="U128" s="20"/>
      <c r="V128" s="20"/>
      <c r="W128" s="20"/>
      <c r="X128" s="20"/>
      <c r="Y128" s="20"/>
      <c r="Z128" s="20"/>
      <c r="AA128" s="20"/>
      <c r="AB128" s="20"/>
      <c r="AC128" s="20"/>
    </row>
    <row r="129" spans="2:29" s="4" customFormat="1" ht="15" hidden="1" customHeight="1" x14ac:dyDescent="0.25">
      <c r="B129" s="79"/>
      <c r="C129" s="80">
        <v>102</v>
      </c>
      <c r="D129" s="80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131"/>
      <c r="U129" s="20"/>
      <c r="V129" s="20"/>
      <c r="W129" s="20"/>
      <c r="X129" s="20"/>
      <c r="Y129" s="20"/>
      <c r="Z129" s="20"/>
      <c r="AA129" s="20"/>
      <c r="AB129" s="20"/>
      <c r="AC129" s="20"/>
    </row>
    <row r="130" spans="2:29" s="4" customFormat="1" ht="15" hidden="1" customHeight="1" x14ac:dyDescent="0.25">
      <c r="B130" s="79"/>
      <c r="C130" s="80">
        <v>103</v>
      </c>
      <c r="D130" s="80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131"/>
      <c r="U130" s="20"/>
      <c r="V130" s="20"/>
      <c r="W130" s="20"/>
      <c r="X130" s="20"/>
      <c r="Y130" s="20"/>
      <c r="Z130" s="20"/>
      <c r="AA130" s="20"/>
      <c r="AB130" s="20"/>
      <c r="AC130" s="20"/>
    </row>
    <row r="131" spans="2:29" s="4" customFormat="1" ht="15" hidden="1" customHeight="1" x14ac:dyDescent="0.25">
      <c r="B131" s="79"/>
      <c r="C131" s="80">
        <v>104</v>
      </c>
      <c r="D131" s="80"/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131"/>
      <c r="U131" s="20"/>
      <c r="V131" s="20"/>
      <c r="W131" s="20"/>
      <c r="X131" s="20"/>
      <c r="Y131" s="20"/>
      <c r="Z131" s="20"/>
      <c r="AA131" s="20"/>
      <c r="AB131" s="20"/>
      <c r="AC131" s="20"/>
    </row>
    <row r="132" spans="2:29" s="4" customFormat="1" ht="15" hidden="1" customHeight="1" x14ac:dyDescent="0.25">
      <c r="B132" s="79"/>
      <c r="C132" s="80">
        <v>105</v>
      </c>
      <c r="D132" s="80"/>
      <c r="E132" s="88"/>
      <c r="F132" s="88"/>
      <c r="G132" s="88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131"/>
      <c r="U132" s="20"/>
      <c r="V132" s="20"/>
      <c r="W132" s="20"/>
      <c r="X132" s="20"/>
      <c r="Y132" s="20"/>
      <c r="Z132" s="20"/>
      <c r="AA132" s="20"/>
      <c r="AB132" s="20"/>
      <c r="AC132" s="20"/>
    </row>
    <row r="133" spans="2:29" s="4" customFormat="1" ht="15" hidden="1" customHeight="1" x14ac:dyDescent="0.25">
      <c r="B133" s="79"/>
      <c r="C133" s="80">
        <v>106</v>
      </c>
      <c r="D133" s="80"/>
      <c r="E133" s="88"/>
      <c r="F133" s="88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131"/>
      <c r="U133" s="20"/>
      <c r="V133" s="20"/>
      <c r="W133" s="20"/>
      <c r="X133" s="20"/>
      <c r="Y133" s="20"/>
      <c r="Z133" s="20"/>
      <c r="AA133" s="20"/>
      <c r="AB133" s="20"/>
      <c r="AC133" s="20"/>
    </row>
    <row r="134" spans="2:29" s="4" customFormat="1" ht="15" hidden="1" customHeight="1" x14ac:dyDescent="0.25">
      <c r="B134" s="79"/>
      <c r="C134" s="80">
        <v>107</v>
      </c>
      <c r="D134" s="80"/>
      <c r="E134" s="88"/>
      <c r="F134" s="88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131"/>
      <c r="U134" s="20"/>
      <c r="V134" s="20"/>
      <c r="W134" s="20"/>
      <c r="X134" s="20"/>
      <c r="Y134" s="20"/>
      <c r="Z134" s="20"/>
      <c r="AA134" s="20"/>
      <c r="AB134" s="20"/>
      <c r="AC134" s="20"/>
    </row>
    <row r="135" spans="2:29" s="4" customFormat="1" ht="15" hidden="1" customHeight="1" x14ac:dyDescent="0.25">
      <c r="B135" s="79"/>
      <c r="C135" s="80">
        <v>108</v>
      </c>
      <c r="D135" s="80"/>
      <c r="E135" s="88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131"/>
      <c r="U135" s="20"/>
      <c r="V135" s="20"/>
      <c r="W135" s="20"/>
      <c r="X135" s="20"/>
      <c r="Y135" s="20"/>
      <c r="Z135" s="20"/>
      <c r="AA135" s="20"/>
      <c r="AB135" s="20"/>
      <c r="AC135" s="20"/>
    </row>
    <row r="136" spans="2:29" s="4" customFormat="1" ht="15" hidden="1" customHeight="1" x14ac:dyDescent="0.25">
      <c r="B136" s="79"/>
      <c r="C136" s="80">
        <v>109</v>
      </c>
      <c r="D136" s="80"/>
      <c r="E136" s="88"/>
      <c r="F136" s="88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131"/>
      <c r="U136" s="20"/>
      <c r="V136" s="20"/>
      <c r="W136" s="20"/>
      <c r="X136" s="20"/>
      <c r="Y136" s="20"/>
      <c r="Z136" s="20"/>
      <c r="AA136" s="20"/>
      <c r="AB136" s="20"/>
      <c r="AC136" s="20"/>
    </row>
    <row r="137" spans="2:29" s="4" customFormat="1" ht="15" hidden="1" customHeight="1" x14ac:dyDescent="0.25">
      <c r="B137" s="79"/>
      <c r="C137" s="80">
        <v>110</v>
      </c>
      <c r="D137" s="80"/>
      <c r="E137" s="88"/>
      <c r="F137" s="88"/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131"/>
      <c r="U137" s="20"/>
      <c r="V137" s="20"/>
      <c r="W137" s="20"/>
      <c r="X137" s="20"/>
      <c r="Y137" s="20"/>
      <c r="Z137" s="20"/>
      <c r="AA137" s="20"/>
      <c r="AB137" s="20"/>
      <c r="AC137" s="20"/>
    </row>
    <row r="138" spans="2:29" s="4" customFormat="1" ht="15" hidden="1" customHeight="1" x14ac:dyDescent="0.25">
      <c r="B138" s="79"/>
      <c r="C138" s="80">
        <v>111</v>
      </c>
      <c r="D138" s="80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131"/>
      <c r="U138" s="20"/>
      <c r="V138" s="20"/>
      <c r="W138" s="20"/>
      <c r="X138" s="20"/>
      <c r="Y138" s="20"/>
      <c r="Z138" s="20"/>
      <c r="AA138" s="20"/>
      <c r="AB138" s="20"/>
      <c r="AC138" s="20"/>
    </row>
    <row r="139" spans="2:29" s="4" customFormat="1" ht="15" hidden="1" customHeight="1" x14ac:dyDescent="0.25">
      <c r="B139" s="79"/>
      <c r="C139" s="80">
        <v>112</v>
      </c>
      <c r="D139" s="80"/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131"/>
      <c r="U139" s="20"/>
      <c r="V139" s="20"/>
      <c r="W139" s="20"/>
      <c r="X139" s="20"/>
      <c r="Y139" s="20"/>
      <c r="Z139" s="20"/>
      <c r="AA139" s="20"/>
      <c r="AB139" s="20"/>
      <c r="AC139" s="20"/>
    </row>
    <row r="140" spans="2:29" s="4" customFormat="1" ht="15" hidden="1" customHeight="1" x14ac:dyDescent="0.25">
      <c r="B140" s="79"/>
      <c r="C140" s="80">
        <v>113</v>
      </c>
      <c r="D140" s="80"/>
      <c r="E140" s="88"/>
      <c r="F140" s="88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131"/>
      <c r="U140" s="20"/>
      <c r="V140" s="20"/>
      <c r="W140" s="20"/>
      <c r="X140" s="20"/>
      <c r="Y140" s="20"/>
      <c r="Z140" s="20"/>
      <c r="AA140" s="20"/>
      <c r="AB140" s="20"/>
      <c r="AC140" s="20"/>
    </row>
    <row r="141" spans="2:29" s="4" customFormat="1" ht="15" hidden="1" customHeight="1" x14ac:dyDescent="0.25">
      <c r="B141" s="79"/>
      <c r="C141" s="80">
        <v>114</v>
      </c>
      <c r="D141" s="80"/>
      <c r="E141" s="88"/>
      <c r="F141" s="88"/>
      <c r="G141" s="88"/>
      <c r="H141" s="88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131"/>
      <c r="U141" s="20"/>
      <c r="V141" s="20"/>
      <c r="W141" s="20"/>
      <c r="X141" s="20"/>
      <c r="Y141" s="20"/>
      <c r="Z141" s="20"/>
      <c r="AA141" s="20"/>
      <c r="AB141" s="20"/>
      <c r="AC141" s="20"/>
    </row>
    <row r="142" spans="2:29" s="4" customFormat="1" ht="15" hidden="1" customHeight="1" x14ac:dyDescent="0.25">
      <c r="B142" s="79"/>
      <c r="C142" s="80">
        <v>115</v>
      </c>
      <c r="D142" s="80"/>
      <c r="E142" s="88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131"/>
      <c r="U142" s="20"/>
      <c r="V142" s="20"/>
      <c r="W142" s="20"/>
      <c r="X142" s="20"/>
      <c r="Y142" s="20"/>
      <c r="Z142" s="20"/>
      <c r="AA142" s="20"/>
      <c r="AB142" s="20"/>
      <c r="AC142" s="20"/>
    </row>
    <row r="143" spans="2:29" s="4" customFormat="1" ht="15" hidden="1" customHeight="1" x14ac:dyDescent="0.25">
      <c r="B143" s="79"/>
      <c r="C143" s="80">
        <v>116</v>
      </c>
      <c r="D143" s="80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131"/>
      <c r="U143" s="20"/>
      <c r="V143" s="20"/>
      <c r="W143" s="20"/>
      <c r="X143" s="20"/>
      <c r="Y143" s="20"/>
      <c r="Z143" s="20"/>
      <c r="AA143" s="20"/>
      <c r="AB143" s="20"/>
      <c r="AC143" s="20"/>
    </row>
    <row r="144" spans="2:29" s="4" customFormat="1" ht="15" hidden="1" customHeight="1" x14ac:dyDescent="0.25">
      <c r="B144" s="79"/>
      <c r="C144" s="80">
        <v>117</v>
      </c>
      <c r="D144" s="80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131"/>
      <c r="U144" s="20"/>
      <c r="V144" s="20"/>
      <c r="W144" s="20"/>
      <c r="X144" s="20"/>
      <c r="Y144" s="20"/>
      <c r="Z144" s="20"/>
      <c r="AA144" s="20"/>
      <c r="AB144" s="20"/>
      <c r="AC144" s="20"/>
    </row>
    <row r="145" spans="2:29" s="4" customFormat="1" ht="15" hidden="1" customHeight="1" x14ac:dyDescent="0.25">
      <c r="B145" s="79"/>
      <c r="C145" s="80">
        <v>118</v>
      </c>
      <c r="D145" s="80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131"/>
      <c r="U145" s="20"/>
      <c r="V145" s="20"/>
      <c r="W145" s="20"/>
      <c r="X145" s="20"/>
      <c r="Y145" s="20"/>
      <c r="Z145" s="20"/>
      <c r="AA145" s="20"/>
      <c r="AB145" s="20"/>
      <c r="AC145" s="20"/>
    </row>
    <row r="146" spans="2:29" s="4" customFormat="1" ht="15" hidden="1" customHeight="1" x14ac:dyDescent="0.25">
      <c r="B146" s="79"/>
      <c r="C146" s="80">
        <v>119</v>
      </c>
      <c r="D146" s="80"/>
      <c r="E146" s="88"/>
      <c r="F146" s="88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131"/>
      <c r="U146" s="20"/>
      <c r="V146" s="20"/>
      <c r="W146" s="20"/>
      <c r="X146" s="20"/>
      <c r="Y146" s="20"/>
      <c r="Z146" s="20"/>
      <c r="AA146" s="20"/>
      <c r="AB146" s="20"/>
      <c r="AC146" s="20"/>
    </row>
    <row r="147" spans="2:29" s="4" customFormat="1" ht="15" hidden="1" customHeight="1" x14ac:dyDescent="0.25">
      <c r="B147" s="79"/>
      <c r="C147" s="80">
        <v>120</v>
      </c>
      <c r="D147" s="80"/>
      <c r="E147" s="88"/>
      <c r="F147" s="88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131"/>
      <c r="U147" s="20"/>
      <c r="V147" s="20"/>
      <c r="W147" s="20"/>
      <c r="X147" s="20"/>
      <c r="Y147" s="20"/>
      <c r="Z147" s="20"/>
      <c r="AA147" s="20"/>
      <c r="AB147" s="20"/>
      <c r="AC147" s="20"/>
    </row>
    <row r="148" spans="2:29" s="4" customFormat="1" ht="15" hidden="1" customHeight="1" x14ac:dyDescent="0.25">
      <c r="B148" s="79"/>
      <c r="C148" s="80">
        <v>121</v>
      </c>
      <c r="D148" s="80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131"/>
      <c r="U148" s="20"/>
      <c r="V148" s="20"/>
      <c r="W148" s="20"/>
      <c r="X148" s="20"/>
      <c r="Y148" s="20"/>
      <c r="Z148" s="20"/>
      <c r="AA148" s="20"/>
      <c r="AB148" s="20"/>
      <c r="AC148" s="20"/>
    </row>
    <row r="149" spans="2:29" s="4" customFormat="1" ht="15" hidden="1" customHeight="1" x14ac:dyDescent="0.25">
      <c r="B149" s="79"/>
      <c r="C149" s="80">
        <v>122</v>
      </c>
      <c r="D149" s="80"/>
      <c r="E149" s="88"/>
      <c r="F149" s="88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131"/>
      <c r="U149" s="20"/>
      <c r="V149" s="20"/>
      <c r="W149" s="20"/>
      <c r="X149" s="20"/>
      <c r="Y149" s="20"/>
      <c r="Z149" s="20"/>
      <c r="AA149" s="20"/>
      <c r="AB149" s="20"/>
      <c r="AC149" s="20"/>
    </row>
    <row r="150" spans="2:29" s="4" customFormat="1" ht="15" hidden="1" customHeight="1" x14ac:dyDescent="0.25">
      <c r="B150" s="79"/>
      <c r="C150" s="80">
        <v>123</v>
      </c>
      <c r="D150" s="80"/>
      <c r="E150" s="88"/>
      <c r="F150" s="88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131"/>
      <c r="U150" s="20"/>
      <c r="V150" s="20"/>
      <c r="W150" s="20"/>
      <c r="X150" s="20"/>
      <c r="Y150" s="20"/>
      <c r="Z150" s="20"/>
      <c r="AA150" s="20"/>
      <c r="AB150" s="20"/>
      <c r="AC150" s="20"/>
    </row>
    <row r="151" spans="2:29" s="4" customFormat="1" ht="15" hidden="1" customHeight="1" x14ac:dyDescent="0.25">
      <c r="B151" s="79"/>
      <c r="C151" s="80">
        <v>124</v>
      </c>
      <c r="D151" s="80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131"/>
      <c r="U151" s="20"/>
      <c r="V151" s="20"/>
      <c r="W151" s="20"/>
      <c r="X151" s="20"/>
      <c r="Y151" s="20"/>
      <c r="Z151" s="20"/>
      <c r="AA151" s="20"/>
      <c r="AB151" s="20"/>
      <c r="AC151" s="20"/>
    </row>
    <row r="152" spans="2:29" s="4" customFormat="1" ht="15" hidden="1" customHeight="1" x14ac:dyDescent="0.25">
      <c r="B152" s="79"/>
      <c r="C152" s="80">
        <v>125</v>
      </c>
      <c r="D152" s="80"/>
      <c r="E152" s="88"/>
      <c r="F152" s="88"/>
      <c r="G152" s="88"/>
      <c r="H152" s="88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131"/>
      <c r="U152" s="20"/>
      <c r="V152" s="20"/>
      <c r="W152" s="20"/>
      <c r="X152" s="20"/>
      <c r="Y152" s="20"/>
      <c r="Z152" s="20"/>
      <c r="AA152" s="20"/>
      <c r="AB152" s="20"/>
      <c r="AC152" s="20"/>
    </row>
    <row r="153" spans="2:29" s="4" customFormat="1" ht="15" hidden="1" customHeight="1" x14ac:dyDescent="0.25">
      <c r="B153" s="79"/>
      <c r="C153" s="80">
        <v>126</v>
      </c>
      <c r="D153" s="80"/>
      <c r="E153" s="88"/>
      <c r="F153" s="88"/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131"/>
      <c r="U153" s="20"/>
      <c r="V153" s="20"/>
      <c r="W153" s="20"/>
      <c r="X153" s="20"/>
      <c r="Y153" s="20"/>
      <c r="Z153" s="20"/>
      <c r="AA153" s="20"/>
      <c r="AB153" s="20"/>
      <c r="AC153" s="20"/>
    </row>
    <row r="154" spans="2:29" s="4" customFormat="1" ht="15" hidden="1" customHeight="1" x14ac:dyDescent="0.25">
      <c r="B154" s="79"/>
      <c r="C154" s="80">
        <v>127</v>
      </c>
      <c r="D154" s="80"/>
      <c r="E154" s="88"/>
      <c r="F154" s="88"/>
      <c r="G154" s="88"/>
      <c r="H154" s="88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131"/>
      <c r="U154" s="20"/>
      <c r="V154" s="20"/>
      <c r="W154" s="20"/>
      <c r="X154" s="20"/>
      <c r="Y154" s="20"/>
      <c r="Z154" s="20"/>
      <c r="AA154" s="20"/>
      <c r="AB154" s="20"/>
      <c r="AC154" s="20"/>
    </row>
    <row r="155" spans="2:29" s="4" customFormat="1" ht="15" hidden="1" customHeight="1" x14ac:dyDescent="0.25">
      <c r="B155" s="79"/>
      <c r="C155" s="80">
        <v>128</v>
      </c>
      <c r="D155" s="80"/>
      <c r="E155" s="88"/>
      <c r="F155" s="88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131"/>
      <c r="U155" s="20"/>
      <c r="V155" s="20"/>
      <c r="W155" s="20"/>
      <c r="X155" s="20"/>
      <c r="Y155" s="20"/>
      <c r="Z155" s="20"/>
      <c r="AA155" s="20"/>
      <c r="AB155" s="20"/>
      <c r="AC155" s="20"/>
    </row>
    <row r="156" spans="2:29" s="4" customFormat="1" ht="15" hidden="1" customHeight="1" x14ac:dyDescent="0.25">
      <c r="B156" s="79"/>
      <c r="C156" s="80">
        <v>129</v>
      </c>
      <c r="D156" s="80"/>
      <c r="E156" s="88"/>
      <c r="F156" s="88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131"/>
      <c r="U156" s="20"/>
      <c r="V156" s="20"/>
      <c r="W156" s="20"/>
      <c r="X156" s="20"/>
      <c r="Y156" s="20"/>
      <c r="Z156" s="20"/>
      <c r="AA156" s="20"/>
      <c r="AB156" s="20"/>
      <c r="AC156" s="20"/>
    </row>
    <row r="157" spans="2:29" s="4" customFormat="1" ht="15" hidden="1" customHeight="1" x14ac:dyDescent="0.25">
      <c r="B157" s="79"/>
      <c r="C157" s="80">
        <v>130</v>
      </c>
      <c r="D157" s="80"/>
      <c r="E157" s="88"/>
      <c r="F157" s="88"/>
      <c r="G157" s="88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131"/>
      <c r="U157" s="20"/>
      <c r="V157" s="20"/>
      <c r="W157" s="20"/>
      <c r="X157" s="20"/>
      <c r="Y157" s="20"/>
      <c r="Z157" s="20"/>
      <c r="AA157" s="20"/>
      <c r="AB157" s="20"/>
      <c r="AC157" s="20"/>
    </row>
    <row r="158" spans="2:29" s="4" customFormat="1" ht="15" hidden="1" customHeight="1" x14ac:dyDescent="0.25">
      <c r="B158" s="79"/>
      <c r="C158" s="80">
        <v>131</v>
      </c>
      <c r="D158" s="80"/>
      <c r="E158" s="88"/>
      <c r="F158" s="88"/>
      <c r="G158" s="88"/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131"/>
      <c r="U158" s="20"/>
      <c r="V158" s="20"/>
      <c r="W158" s="20"/>
      <c r="X158" s="20"/>
      <c r="Y158" s="20"/>
      <c r="Z158" s="20"/>
      <c r="AA158" s="20"/>
      <c r="AB158" s="20"/>
      <c r="AC158" s="20"/>
    </row>
    <row r="159" spans="2:29" s="4" customFormat="1" ht="15" hidden="1" customHeight="1" x14ac:dyDescent="0.25">
      <c r="B159" s="79"/>
      <c r="C159" s="80">
        <v>132</v>
      </c>
      <c r="D159" s="80"/>
      <c r="E159" s="88"/>
      <c r="F159" s="88"/>
      <c r="G159" s="88"/>
      <c r="H159" s="88"/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131"/>
      <c r="U159" s="20"/>
      <c r="V159" s="20"/>
      <c r="W159" s="20"/>
      <c r="X159" s="20"/>
      <c r="Y159" s="20"/>
      <c r="Z159" s="20"/>
      <c r="AA159" s="20"/>
      <c r="AB159" s="20"/>
      <c r="AC159" s="20"/>
    </row>
    <row r="160" spans="2:29" s="4" customFormat="1" ht="15" hidden="1" customHeight="1" x14ac:dyDescent="0.25">
      <c r="B160" s="79"/>
      <c r="C160" s="80">
        <v>133</v>
      </c>
      <c r="D160" s="80"/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131"/>
      <c r="U160" s="20"/>
      <c r="V160" s="20"/>
      <c r="W160" s="20"/>
      <c r="X160" s="20"/>
      <c r="Y160" s="20"/>
      <c r="Z160" s="20"/>
      <c r="AA160" s="20"/>
      <c r="AB160" s="20"/>
      <c r="AC160" s="20"/>
    </row>
    <row r="161" spans="2:29" s="4" customFormat="1" ht="15" hidden="1" customHeight="1" x14ac:dyDescent="0.25">
      <c r="B161" s="79"/>
      <c r="C161" s="80">
        <v>134</v>
      </c>
      <c r="D161" s="80"/>
      <c r="E161" s="88"/>
      <c r="F161" s="88"/>
      <c r="G161" s="88"/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131"/>
      <c r="U161" s="20"/>
      <c r="V161" s="20"/>
      <c r="W161" s="20"/>
      <c r="X161" s="20"/>
      <c r="Y161" s="20"/>
      <c r="Z161" s="20"/>
      <c r="AA161" s="20"/>
      <c r="AB161" s="20"/>
      <c r="AC161" s="20"/>
    </row>
    <row r="162" spans="2:29" s="4" customFormat="1" ht="15" hidden="1" customHeight="1" x14ac:dyDescent="0.25">
      <c r="B162" s="79"/>
      <c r="C162" s="80">
        <v>135</v>
      </c>
      <c r="D162" s="80"/>
      <c r="E162" s="88"/>
      <c r="F162" s="88"/>
      <c r="G162" s="88"/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131"/>
      <c r="U162" s="20"/>
      <c r="V162" s="20"/>
      <c r="W162" s="20"/>
      <c r="X162" s="20"/>
      <c r="Y162" s="20"/>
      <c r="Z162" s="20"/>
      <c r="AA162" s="20"/>
      <c r="AB162" s="20"/>
      <c r="AC162" s="20"/>
    </row>
    <row r="163" spans="2:29" s="4" customFormat="1" ht="15" hidden="1" customHeight="1" x14ac:dyDescent="0.25">
      <c r="B163" s="79"/>
      <c r="C163" s="80">
        <v>136</v>
      </c>
      <c r="D163" s="80"/>
      <c r="E163" s="88"/>
      <c r="F163" s="88"/>
      <c r="G163" s="88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131"/>
      <c r="U163" s="20"/>
      <c r="V163" s="20"/>
      <c r="W163" s="20"/>
      <c r="X163" s="20"/>
      <c r="Y163" s="20"/>
      <c r="Z163" s="20"/>
      <c r="AA163" s="20"/>
      <c r="AB163" s="20"/>
      <c r="AC163" s="20"/>
    </row>
    <row r="164" spans="2:29" s="4" customFormat="1" ht="15" hidden="1" customHeight="1" x14ac:dyDescent="0.25">
      <c r="B164" s="79"/>
      <c r="C164" s="80">
        <v>137</v>
      </c>
      <c r="D164" s="80"/>
      <c r="E164" s="88"/>
      <c r="F164" s="88"/>
      <c r="G164" s="88"/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131"/>
      <c r="U164" s="20"/>
      <c r="V164" s="20"/>
      <c r="W164" s="20"/>
      <c r="X164" s="20"/>
      <c r="Y164" s="20"/>
      <c r="Z164" s="20"/>
      <c r="AA164" s="20"/>
      <c r="AB164" s="20"/>
      <c r="AC164" s="20"/>
    </row>
    <row r="165" spans="2:29" s="4" customFormat="1" ht="15" hidden="1" customHeight="1" x14ac:dyDescent="0.25">
      <c r="B165" s="79"/>
      <c r="C165" s="80">
        <v>138</v>
      </c>
      <c r="D165" s="80"/>
      <c r="E165" s="88"/>
      <c r="F165" s="88"/>
      <c r="G165" s="88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131"/>
      <c r="U165" s="20"/>
      <c r="V165" s="20"/>
      <c r="W165" s="20"/>
      <c r="X165" s="20"/>
      <c r="Y165" s="20"/>
      <c r="Z165" s="20"/>
      <c r="AA165" s="20"/>
      <c r="AB165" s="20"/>
      <c r="AC165" s="20"/>
    </row>
    <row r="166" spans="2:29" s="4" customFormat="1" ht="15" hidden="1" customHeight="1" x14ac:dyDescent="0.25">
      <c r="B166" s="79"/>
      <c r="C166" s="80">
        <v>139</v>
      </c>
      <c r="D166" s="80"/>
      <c r="E166" s="88"/>
      <c r="F166" s="88"/>
      <c r="G166" s="88"/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131"/>
      <c r="U166" s="20"/>
      <c r="V166" s="20"/>
      <c r="W166" s="20"/>
      <c r="X166" s="20"/>
      <c r="Y166" s="20"/>
      <c r="Z166" s="20"/>
      <c r="AA166" s="20"/>
      <c r="AB166" s="20"/>
      <c r="AC166" s="20"/>
    </row>
    <row r="167" spans="2:29" s="4" customFormat="1" ht="15" hidden="1" customHeight="1" x14ac:dyDescent="0.25">
      <c r="B167" s="79"/>
      <c r="C167" s="80">
        <v>140</v>
      </c>
      <c r="D167" s="80"/>
      <c r="E167" s="88"/>
      <c r="F167" s="88"/>
      <c r="G167" s="88"/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131"/>
      <c r="U167" s="20"/>
      <c r="V167" s="20"/>
      <c r="W167" s="20"/>
      <c r="X167" s="20"/>
      <c r="Y167" s="20"/>
      <c r="Z167" s="20"/>
      <c r="AA167" s="20"/>
      <c r="AB167" s="20"/>
      <c r="AC167" s="20"/>
    </row>
    <row r="168" spans="2:29" s="4" customFormat="1" ht="15" hidden="1" customHeight="1" x14ac:dyDescent="0.25">
      <c r="B168" s="79"/>
      <c r="C168" s="80">
        <v>141</v>
      </c>
      <c r="D168" s="80"/>
      <c r="E168" s="88"/>
      <c r="F168" s="88"/>
      <c r="G168" s="88"/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131"/>
      <c r="U168" s="20"/>
      <c r="V168" s="20"/>
      <c r="W168" s="20"/>
      <c r="X168" s="20"/>
      <c r="Y168" s="20"/>
      <c r="Z168" s="20"/>
      <c r="AA168" s="20"/>
      <c r="AB168" s="20"/>
      <c r="AC168" s="20"/>
    </row>
    <row r="169" spans="2:29" s="4" customFormat="1" ht="15" hidden="1" customHeight="1" x14ac:dyDescent="0.25">
      <c r="B169" s="79"/>
      <c r="C169" s="80">
        <v>142</v>
      </c>
      <c r="D169" s="80"/>
      <c r="E169" s="88"/>
      <c r="F169" s="88"/>
      <c r="G169" s="88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131"/>
      <c r="U169" s="20"/>
      <c r="V169" s="20"/>
      <c r="W169" s="20"/>
      <c r="X169" s="20"/>
      <c r="Y169" s="20"/>
      <c r="Z169" s="20"/>
      <c r="AA169" s="20"/>
      <c r="AB169" s="20"/>
      <c r="AC169" s="20"/>
    </row>
    <row r="170" spans="2:29" s="4" customFormat="1" ht="15" hidden="1" customHeight="1" x14ac:dyDescent="0.25">
      <c r="B170" s="79"/>
      <c r="C170" s="80">
        <v>143</v>
      </c>
      <c r="D170" s="80"/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131"/>
      <c r="U170" s="20"/>
      <c r="V170" s="20"/>
      <c r="W170" s="20"/>
      <c r="X170" s="20"/>
      <c r="Y170" s="20"/>
      <c r="Z170" s="20"/>
      <c r="AA170" s="20"/>
      <c r="AB170" s="20"/>
      <c r="AC170" s="20"/>
    </row>
    <row r="171" spans="2:29" s="4" customFormat="1" ht="15" hidden="1" customHeight="1" x14ac:dyDescent="0.25">
      <c r="B171" s="79"/>
      <c r="C171" s="80">
        <v>144</v>
      </c>
      <c r="D171" s="80"/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131"/>
      <c r="U171" s="20"/>
      <c r="V171" s="20"/>
      <c r="W171" s="20"/>
      <c r="X171" s="20"/>
      <c r="Y171" s="20"/>
      <c r="Z171" s="20"/>
      <c r="AA171" s="20"/>
      <c r="AB171" s="20"/>
      <c r="AC171" s="20"/>
    </row>
    <row r="172" spans="2:29" s="4" customFormat="1" ht="15" hidden="1" customHeight="1" x14ac:dyDescent="0.25">
      <c r="B172" s="79"/>
      <c r="C172" s="80">
        <v>145</v>
      </c>
      <c r="D172" s="80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131"/>
      <c r="U172" s="20"/>
      <c r="V172" s="20"/>
      <c r="W172" s="20"/>
      <c r="X172" s="20"/>
      <c r="Y172" s="20"/>
      <c r="Z172" s="20"/>
      <c r="AA172" s="20"/>
      <c r="AB172" s="20"/>
      <c r="AC172" s="20"/>
    </row>
    <row r="173" spans="2:29" s="4" customFormat="1" ht="15" hidden="1" customHeight="1" x14ac:dyDescent="0.25">
      <c r="B173" s="79"/>
      <c r="C173" s="80">
        <v>146</v>
      </c>
      <c r="D173" s="80"/>
      <c r="E173" s="88"/>
      <c r="F173" s="88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131"/>
      <c r="U173" s="20"/>
      <c r="V173" s="20"/>
      <c r="W173" s="20"/>
      <c r="X173" s="20"/>
      <c r="Y173" s="20"/>
      <c r="Z173" s="20"/>
      <c r="AA173" s="20"/>
      <c r="AB173" s="20"/>
      <c r="AC173" s="20"/>
    </row>
    <row r="174" spans="2:29" s="4" customFormat="1" ht="15" hidden="1" customHeight="1" x14ac:dyDescent="0.25">
      <c r="B174" s="79"/>
      <c r="C174" s="80">
        <v>147</v>
      </c>
      <c r="D174" s="80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131"/>
      <c r="U174" s="20"/>
      <c r="V174" s="20"/>
      <c r="W174" s="20"/>
      <c r="X174" s="20"/>
      <c r="Y174" s="20"/>
      <c r="Z174" s="20"/>
      <c r="AA174" s="20"/>
      <c r="AB174" s="20"/>
      <c r="AC174" s="20"/>
    </row>
    <row r="175" spans="2:29" s="4" customFormat="1" ht="15" hidden="1" customHeight="1" x14ac:dyDescent="0.25">
      <c r="B175" s="79"/>
      <c r="C175" s="80">
        <v>148</v>
      </c>
      <c r="D175" s="80"/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131"/>
      <c r="U175" s="20"/>
      <c r="V175" s="20"/>
      <c r="W175" s="20"/>
      <c r="X175" s="20"/>
      <c r="Y175" s="20"/>
      <c r="Z175" s="20"/>
      <c r="AA175" s="20"/>
      <c r="AB175" s="20"/>
      <c r="AC175" s="20"/>
    </row>
    <row r="176" spans="2:29" s="4" customFormat="1" ht="15" hidden="1" customHeight="1" x14ac:dyDescent="0.25">
      <c r="B176" s="79"/>
      <c r="C176" s="80">
        <v>149</v>
      </c>
      <c r="D176" s="80"/>
      <c r="E176" s="88"/>
      <c r="F176" s="88"/>
      <c r="G176" s="88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131"/>
      <c r="U176" s="20"/>
      <c r="V176" s="20"/>
      <c r="W176" s="20"/>
      <c r="X176" s="20"/>
      <c r="Y176" s="20"/>
      <c r="Z176" s="20"/>
      <c r="AA176" s="20"/>
      <c r="AB176" s="20"/>
      <c r="AC176" s="20"/>
    </row>
    <row r="177" spans="2:29" s="4" customFormat="1" ht="15" hidden="1" customHeight="1" x14ac:dyDescent="0.25">
      <c r="B177" s="79"/>
      <c r="C177" s="80">
        <v>150</v>
      </c>
      <c r="D177" s="80"/>
      <c r="E177" s="88"/>
      <c r="F177" s="88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131"/>
      <c r="U177" s="20"/>
      <c r="V177" s="20"/>
      <c r="W177" s="20"/>
      <c r="X177" s="20"/>
      <c r="Y177" s="20"/>
      <c r="Z177" s="20"/>
      <c r="AA177" s="20"/>
      <c r="AB177" s="20"/>
      <c r="AC177" s="20"/>
    </row>
    <row r="178" spans="2:29" s="4" customFormat="1" ht="15" hidden="1" customHeight="1" x14ac:dyDescent="0.25">
      <c r="B178" s="79"/>
      <c r="C178" s="80">
        <v>151</v>
      </c>
      <c r="D178" s="80"/>
      <c r="E178" s="88"/>
      <c r="F178" s="88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131"/>
      <c r="U178" s="20"/>
      <c r="V178" s="20"/>
      <c r="W178" s="20"/>
      <c r="X178" s="20"/>
      <c r="Y178" s="20"/>
      <c r="Z178" s="20"/>
      <c r="AA178" s="20"/>
      <c r="AB178" s="20"/>
      <c r="AC178" s="20"/>
    </row>
    <row r="179" spans="2:29" s="4" customFormat="1" ht="15" hidden="1" customHeight="1" x14ac:dyDescent="0.25">
      <c r="B179" s="79"/>
      <c r="C179" s="80">
        <v>152</v>
      </c>
      <c r="D179" s="80"/>
      <c r="E179" s="88"/>
      <c r="F179" s="88"/>
      <c r="G179" s="88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131"/>
      <c r="U179" s="20"/>
      <c r="V179" s="20"/>
      <c r="W179" s="20"/>
      <c r="X179" s="20"/>
      <c r="Y179" s="20"/>
      <c r="Z179" s="20"/>
      <c r="AA179" s="20"/>
      <c r="AB179" s="20"/>
      <c r="AC179" s="20"/>
    </row>
    <row r="180" spans="2:29" s="4" customFormat="1" ht="15" hidden="1" customHeight="1" x14ac:dyDescent="0.25">
      <c r="B180" s="79"/>
      <c r="C180" s="80">
        <v>153</v>
      </c>
      <c r="D180" s="80"/>
      <c r="E180" s="88"/>
      <c r="F180" s="88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131"/>
      <c r="U180" s="20"/>
      <c r="V180" s="20"/>
      <c r="W180" s="20"/>
      <c r="X180" s="20"/>
      <c r="Y180" s="20"/>
      <c r="Z180" s="20"/>
      <c r="AA180" s="20"/>
      <c r="AB180" s="20"/>
      <c r="AC180" s="20"/>
    </row>
    <row r="181" spans="2:29" s="4" customFormat="1" ht="15" hidden="1" customHeight="1" x14ac:dyDescent="0.25">
      <c r="B181" s="79"/>
      <c r="C181" s="80">
        <v>154</v>
      </c>
      <c r="D181" s="80"/>
      <c r="E181" s="88"/>
      <c r="F181" s="88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131"/>
      <c r="U181" s="20"/>
      <c r="V181" s="20"/>
      <c r="W181" s="20"/>
      <c r="X181" s="20"/>
      <c r="Y181" s="20"/>
      <c r="Z181" s="20"/>
      <c r="AA181" s="20"/>
      <c r="AB181" s="20"/>
      <c r="AC181" s="20"/>
    </row>
    <row r="182" spans="2:29" s="4" customFormat="1" ht="15" hidden="1" customHeight="1" x14ac:dyDescent="0.25">
      <c r="B182" s="79"/>
      <c r="C182" s="80">
        <v>155</v>
      </c>
      <c r="D182" s="80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131"/>
      <c r="U182" s="20"/>
      <c r="V182" s="20"/>
      <c r="W182" s="20"/>
      <c r="X182" s="20"/>
      <c r="Y182" s="20"/>
      <c r="Z182" s="20"/>
      <c r="AA182" s="20"/>
      <c r="AB182" s="20"/>
      <c r="AC182" s="20"/>
    </row>
    <row r="183" spans="2:29" s="4" customFormat="1" ht="15" hidden="1" customHeight="1" x14ac:dyDescent="0.25">
      <c r="B183" s="79"/>
      <c r="C183" s="80">
        <v>156</v>
      </c>
      <c r="D183" s="80"/>
      <c r="E183" s="88"/>
      <c r="F183" s="88"/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131"/>
      <c r="U183" s="20"/>
      <c r="V183" s="20"/>
      <c r="W183" s="20"/>
      <c r="X183" s="20"/>
      <c r="Y183" s="20"/>
      <c r="Z183" s="20"/>
      <c r="AA183" s="20"/>
      <c r="AB183" s="20"/>
      <c r="AC183" s="20"/>
    </row>
    <row r="184" spans="2:29" s="4" customFormat="1" ht="15" hidden="1" customHeight="1" x14ac:dyDescent="0.25">
      <c r="B184" s="79"/>
      <c r="C184" s="80">
        <v>157</v>
      </c>
      <c r="D184" s="80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131"/>
      <c r="U184" s="20"/>
      <c r="V184" s="20"/>
      <c r="W184" s="20"/>
      <c r="X184" s="20"/>
      <c r="Y184" s="20"/>
      <c r="Z184" s="20"/>
      <c r="AA184" s="20"/>
      <c r="AB184" s="20"/>
      <c r="AC184" s="20"/>
    </row>
    <row r="185" spans="2:29" s="4" customFormat="1" ht="15" hidden="1" customHeight="1" x14ac:dyDescent="0.25">
      <c r="B185" s="79"/>
      <c r="C185" s="80">
        <v>158</v>
      </c>
      <c r="D185" s="80"/>
      <c r="E185" s="88"/>
      <c r="F185" s="88"/>
      <c r="G185" s="88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131"/>
      <c r="U185" s="20"/>
      <c r="V185" s="20"/>
      <c r="W185" s="20"/>
      <c r="X185" s="20"/>
      <c r="Y185" s="20"/>
      <c r="Z185" s="20"/>
      <c r="AA185" s="20"/>
      <c r="AB185" s="20"/>
      <c r="AC185" s="20"/>
    </row>
    <row r="186" spans="2:29" s="4" customFormat="1" ht="15" hidden="1" customHeight="1" x14ac:dyDescent="0.25">
      <c r="B186" s="79"/>
      <c r="C186" s="80">
        <v>159</v>
      </c>
      <c r="D186" s="80"/>
      <c r="E186" s="88"/>
      <c r="F186" s="88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131"/>
      <c r="U186" s="20"/>
      <c r="V186" s="20"/>
      <c r="W186" s="20"/>
      <c r="X186" s="20"/>
      <c r="Y186" s="20"/>
      <c r="Z186" s="20"/>
      <c r="AA186" s="20"/>
      <c r="AB186" s="20"/>
      <c r="AC186" s="20"/>
    </row>
    <row r="187" spans="2:29" s="4" customFormat="1" ht="15" hidden="1" customHeight="1" x14ac:dyDescent="0.25">
      <c r="B187" s="79"/>
      <c r="C187" s="80">
        <v>160</v>
      </c>
      <c r="D187" s="80"/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131"/>
      <c r="U187" s="20"/>
      <c r="V187" s="20"/>
      <c r="W187" s="20"/>
      <c r="X187" s="20"/>
      <c r="Y187" s="20"/>
      <c r="Z187" s="20"/>
      <c r="AA187" s="20"/>
      <c r="AB187" s="20"/>
      <c r="AC187" s="20"/>
    </row>
    <row r="188" spans="2:29" s="4" customFormat="1" ht="15" hidden="1" customHeight="1" x14ac:dyDescent="0.25">
      <c r="B188" s="79"/>
      <c r="C188" s="80">
        <v>161</v>
      </c>
      <c r="D188" s="80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131"/>
      <c r="U188" s="20"/>
      <c r="V188" s="20"/>
      <c r="W188" s="20"/>
      <c r="X188" s="20"/>
      <c r="Y188" s="20"/>
      <c r="Z188" s="20"/>
      <c r="AA188" s="20"/>
      <c r="AB188" s="20"/>
      <c r="AC188" s="20"/>
    </row>
    <row r="189" spans="2:29" s="4" customFormat="1" ht="15" hidden="1" customHeight="1" x14ac:dyDescent="0.25">
      <c r="B189" s="79"/>
      <c r="C189" s="80">
        <v>162</v>
      </c>
      <c r="D189" s="80"/>
      <c r="E189" s="88"/>
      <c r="F189" s="88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131"/>
      <c r="U189" s="20"/>
      <c r="V189" s="20"/>
      <c r="W189" s="20"/>
      <c r="X189" s="20"/>
      <c r="Y189" s="20"/>
      <c r="Z189" s="20"/>
      <c r="AA189" s="20"/>
      <c r="AB189" s="20"/>
      <c r="AC189" s="20"/>
    </row>
    <row r="190" spans="2:29" s="4" customFormat="1" ht="15" hidden="1" customHeight="1" x14ac:dyDescent="0.25">
      <c r="B190" s="79"/>
      <c r="C190" s="80">
        <v>163</v>
      </c>
      <c r="D190" s="80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131"/>
      <c r="U190" s="20"/>
      <c r="V190" s="20"/>
      <c r="W190" s="20"/>
      <c r="X190" s="20"/>
      <c r="Y190" s="20"/>
      <c r="Z190" s="20"/>
      <c r="AA190" s="20"/>
      <c r="AB190" s="20"/>
      <c r="AC190" s="20"/>
    </row>
    <row r="191" spans="2:29" s="4" customFormat="1" ht="15" hidden="1" customHeight="1" x14ac:dyDescent="0.25">
      <c r="B191" s="79"/>
      <c r="C191" s="80">
        <v>164</v>
      </c>
      <c r="D191" s="80"/>
      <c r="E191" s="88"/>
      <c r="F191" s="88"/>
      <c r="G191" s="88"/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131"/>
      <c r="U191" s="20"/>
      <c r="V191" s="20"/>
      <c r="W191" s="20"/>
      <c r="X191" s="20"/>
      <c r="Y191" s="20"/>
      <c r="Z191" s="20"/>
      <c r="AA191" s="20"/>
      <c r="AB191" s="20"/>
      <c r="AC191" s="20"/>
    </row>
    <row r="192" spans="2:29" s="4" customFormat="1" ht="15" hidden="1" customHeight="1" x14ac:dyDescent="0.25">
      <c r="B192" s="79"/>
      <c r="C192" s="80">
        <v>165</v>
      </c>
      <c r="D192" s="80"/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131"/>
      <c r="U192" s="20"/>
      <c r="V192" s="20"/>
      <c r="W192" s="20"/>
      <c r="X192" s="20"/>
      <c r="Y192" s="20"/>
      <c r="Z192" s="20"/>
      <c r="AA192" s="20"/>
      <c r="AB192" s="20"/>
      <c r="AC192" s="20"/>
    </row>
    <row r="193" spans="2:29" s="4" customFormat="1" ht="15" hidden="1" customHeight="1" x14ac:dyDescent="0.25">
      <c r="B193" s="79"/>
      <c r="C193" s="80">
        <v>166</v>
      </c>
      <c r="D193" s="80"/>
      <c r="E193" s="88"/>
      <c r="F193" s="88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131"/>
      <c r="U193" s="20"/>
      <c r="V193" s="20"/>
      <c r="W193" s="20"/>
      <c r="X193" s="20"/>
      <c r="Y193" s="20"/>
      <c r="Z193" s="20"/>
      <c r="AA193" s="20"/>
      <c r="AB193" s="20"/>
      <c r="AC193" s="20"/>
    </row>
    <row r="194" spans="2:29" s="4" customFormat="1" ht="15" hidden="1" customHeight="1" x14ac:dyDescent="0.25">
      <c r="B194" s="79"/>
      <c r="C194" s="80">
        <v>167</v>
      </c>
      <c r="D194" s="80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131"/>
      <c r="U194" s="20"/>
      <c r="V194" s="20"/>
      <c r="W194" s="20"/>
      <c r="X194" s="20"/>
      <c r="Y194" s="20"/>
      <c r="Z194" s="20"/>
      <c r="AA194" s="20"/>
      <c r="AB194" s="20"/>
      <c r="AC194" s="20"/>
    </row>
    <row r="195" spans="2:29" s="4" customFormat="1" ht="15" hidden="1" customHeight="1" x14ac:dyDescent="0.25">
      <c r="B195" s="79"/>
      <c r="C195" s="80">
        <v>168</v>
      </c>
      <c r="D195" s="80"/>
      <c r="E195" s="88"/>
      <c r="F195" s="88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131"/>
      <c r="U195" s="20"/>
      <c r="V195" s="20"/>
      <c r="W195" s="20"/>
      <c r="X195" s="20"/>
      <c r="Y195" s="20"/>
      <c r="Z195" s="20"/>
      <c r="AA195" s="20"/>
      <c r="AB195" s="20"/>
      <c r="AC195" s="20"/>
    </row>
    <row r="196" spans="2:29" s="4" customFormat="1" ht="15" hidden="1" customHeight="1" x14ac:dyDescent="0.25">
      <c r="B196" s="79"/>
      <c r="C196" s="80">
        <v>169</v>
      </c>
      <c r="D196" s="80"/>
      <c r="E196" s="88"/>
      <c r="F196" s="88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131"/>
      <c r="U196" s="20"/>
      <c r="V196" s="20"/>
      <c r="W196" s="20"/>
      <c r="X196" s="20"/>
      <c r="Y196" s="20"/>
      <c r="Z196" s="20"/>
      <c r="AA196" s="20"/>
      <c r="AB196" s="20"/>
      <c r="AC196" s="20"/>
    </row>
    <row r="197" spans="2:29" s="4" customFormat="1" ht="15" hidden="1" customHeight="1" x14ac:dyDescent="0.25">
      <c r="B197" s="79"/>
      <c r="C197" s="80">
        <v>170</v>
      </c>
      <c r="D197" s="80"/>
      <c r="E197" s="88"/>
      <c r="F197" s="88"/>
      <c r="G197" s="88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131"/>
      <c r="U197" s="20"/>
      <c r="V197" s="20"/>
      <c r="W197" s="20"/>
      <c r="X197" s="20"/>
      <c r="Y197" s="20"/>
      <c r="Z197" s="20"/>
      <c r="AA197" s="20"/>
      <c r="AB197" s="20"/>
      <c r="AC197" s="20"/>
    </row>
    <row r="198" spans="2:29" s="4" customFormat="1" ht="15" hidden="1" customHeight="1" x14ac:dyDescent="0.25">
      <c r="B198" s="79"/>
      <c r="C198" s="80">
        <v>171</v>
      </c>
      <c r="D198" s="80"/>
      <c r="E198" s="88"/>
      <c r="F198" s="88"/>
      <c r="G198" s="88"/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131"/>
      <c r="U198" s="20"/>
      <c r="V198" s="20"/>
      <c r="W198" s="20"/>
      <c r="X198" s="20"/>
      <c r="Y198" s="20"/>
      <c r="Z198" s="20"/>
      <c r="AA198" s="20"/>
      <c r="AB198" s="20"/>
      <c r="AC198" s="20"/>
    </row>
    <row r="199" spans="2:29" s="4" customFormat="1" ht="15" hidden="1" customHeight="1" x14ac:dyDescent="0.25">
      <c r="B199" s="79"/>
      <c r="C199" s="80">
        <v>172</v>
      </c>
      <c r="D199" s="80"/>
      <c r="E199" s="88"/>
      <c r="F199" s="88"/>
      <c r="G199" s="88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131"/>
      <c r="U199" s="20"/>
      <c r="V199" s="20"/>
      <c r="W199" s="20"/>
      <c r="X199" s="20"/>
      <c r="Y199" s="20"/>
      <c r="Z199" s="20"/>
      <c r="AA199" s="20"/>
      <c r="AB199" s="20"/>
      <c r="AC199" s="20"/>
    </row>
    <row r="200" spans="2:29" s="4" customFormat="1" ht="15" hidden="1" customHeight="1" x14ac:dyDescent="0.25">
      <c r="B200" s="79"/>
      <c r="C200" s="80">
        <v>173</v>
      </c>
      <c r="D200" s="80"/>
      <c r="E200" s="88"/>
      <c r="F200" s="88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131"/>
      <c r="U200" s="20"/>
      <c r="V200" s="20"/>
      <c r="W200" s="20"/>
      <c r="X200" s="20"/>
      <c r="Y200" s="20"/>
      <c r="Z200" s="20"/>
      <c r="AA200" s="20"/>
      <c r="AB200" s="20"/>
      <c r="AC200" s="20"/>
    </row>
    <row r="201" spans="2:29" s="4" customFormat="1" ht="15" hidden="1" customHeight="1" x14ac:dyDescent="0.25">
      <c r="B201" s="79"/>
      <c r="C201" s="80">
        <v>174</v>
      </c>
      <c r="D201" s="80"/>
      <c r="E201" s="88"/>
      <c r="F201" s="88"/>
      <c r="G201" s="88"/>
      <c r="H201" s="88"/>
      <c r="I201" s="88"/>
      <c r="J201" s="88"/>
      <c r="K201" s="88"/>
      <c r="L201" s="88"/>
      <c r="M201" s="88"/>
      <c r="N201" s="88"/>
      <c r="O201" s="88"/>
      <c r="P201" s="88"/>
      <c r="Q201" s="88"/>
      <c r="R201" s="88"/>
      <c r="S201" s="88"/>
      <c r="T201" s="131"/>
      <c r="U201" s="20"/>
      <c r="V201" s="20"/>
      <c r="W201" s="20"/>
      <c r="X201" s="20"/>
      <c r="Y201" s="20"/>
      <c r="Z201" s="20"/>
      <c r="AA201" s="20"/>
      <c r="AB201" s="20"/>
      <c r="AC201" s="20"/>
    </row>
    <row r="202" spans="2:29" s="4" customFormat="1" ht="15" hidden="1" customHeight="1" x14ac:dyDescent="0.25">
      <c r="B202" s="79"/>
      <c r="C202" s="80">
        <v>175</v>
      </c>
      <c r="D202" s="80"/>
      <c r="E202" s="88"/>
      <c r="F202" s="88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131"/>
      <c r="U202" s="20"/>
      <c r="V202" s="20"/>
      <c r="W202" s="20"/>
      <c r="X202" s="20"/>
      <c r="Y202" s="20"/>
      <c r="Z202" s="20"/>
      <c r="AA202" s="20"/>
      <c r="AB202" s="20"/>
      <c r="AC202" s="20"/>
    </row>
    <row r="203" spans="2:29" s="4" customFormat="1" ht="15" hidden="1" customHeight="1" x14ac:dyDescent="0.25">
      <c r="B203" s="79"/>
      <c r="C203" s="80">
        <v>176</v>
      </c>
      <c r="D203" s="80"/>
      <c r="E203" s="88"/>
      <c r="F203" s="88"/>
      <c r="G203" s="88"/>
      <c r="H203" s="88"/>
      <c r="I203" s="88"/>
      <c r="J203" s="88"/>
      <c r="K203" s="88"/>
      <c r="L203" s="88"/>
      <c r="M203" s="88"/>
      <c r="N203" s="88"/>
      <c r="O203" s="88"/>
      <c r="P203" s="88"/>
      <c r="Q203" s="88"/>
      <c r="R203" s="88"/>
      <c r="S203" s="88"/>
      <c r="T203" s="131"/>
      <c r="U203" s="20"/>
      <c r="V203" s="20"/>
      <c r="W203" s="20"/>
      <c r="X203" s="20"/>
      <c r="Y203" s="20"/>
      <c r="Z203" s="20"/>
      <c r="AA203" s="20"/>
      <c r="AB203" s="20"/>
      <c r="AC203" s="20"/>
    </row>
    <row r="204" spans="2:29" s="4" customFormat="1" ht="15" hidden="1" customHeight="1" x14ac:dyDescent="0.25">
      <c r="B204" s="79"/>
      <c r="C204" s="80">
        <v>177</v>
      </c>
      <c r="D204" s="80"/>
      <c r="E204" s="88"/>
      <c r="F204" s="88"/>
      <c r="G204" s="88"/>
      <c r="H204" s="88"/>
      <c r="I204" s="88"/>
      <c r="J204" s="88"/>
      <c r="K204" s="88"/>
      <c r="L204" s="88"/>
      <c r="M204" s="88"/>
      <c r="N204" s="88"/>
      <c r="O204" s="88"/>
      <c r="P204" s="88"/>
      <c r="Q204" s="88"/>
      <c r="R204" s="88"/>
      <c r="S204" s="88"/>
      <c r="T204" s="131"/>
      <c r="U204" s="20"/>
      <c r="V204" s="20"/>
      <c r="W204" s="20"/>
      <c r="X204" s="20"/>
      <c r="Y204" s="20"/>
      <c r="Z204" s="20"/>
      <c r="AA204" s="20"/>
      <c r="AB204" s="20"/>
      <c r="AC204" s="20"/>
    </row>
    <row r="205" spans="2:29" s="4" customFormat="1" ht="15" hidden="1" customHeight="1" x14ac:dyDescent="0.25">
      <c r="B205" s="79"/>
      <c r="C205" s="80">
        <v>178</v>
      </c>
      <c r="D205" s="80"/>
      <c r="E205" s="88"/>
      <c r="F205" s="88"/>
      <c r="G205" s="88"/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88"/>
      <c r="S205" s="88"/>
      <c r="T205" s="131"/>
      <c r="U205" s="20"/>
      <c r="V205" s="20"/>
      <c r="W205" s="20"/>
      <c r="X205" s="20"/>
      <c r="Y205" s="20"/>
      <c r="Z205" s="20"/>
      <c r="AA205" s="20"/>
      <c r="AB205" s="20"/>
      <c r="AC205" s="20"/>
    </row>
    <row r="206" spans="2:29" s="4" customFormat="1" ht="15" hidden="1" customHeight="1" x14ac:dyDescent="0.25">
      <c r="B206" s="79"/>
      <c r="C206" s="80">
        <v>179</v>
      </c>
      <c r="D206" s="80"/>
      <c r="E206" s="88"/>
      <c r="F206" s="88"/>
      <c r="G206" s="88"/>
      <c r="H206" s="88"/>
      <c r="I206" s="88"/>
      <c r="J206" s="88"/>
      <c r="K206" s="88"/>
      <c r="L206" s="88"/>
      <c r="M206" s="88"/>
      <c r="N206" s="88"/>
      <c r="O206" s="88"/>
      <c r="P206" s="88"/>
      <c r="Q206" s="88"/>
      <c r="R206" s="88"/>
      <c r="S206" s="88"/>
      <c r="T206" s="131"/>
      <c r="U206" s="20"/>
      <c r="V206" s="20"/>
      <c r="W206" s="20"/>
      <c r="X206" s="20"/>
      <c r="Y206" s="20"/>
      <c r="Z206" s="20"/>
      <c r="AA206" s="20"/>
      <c r="AB206" s="20"/>
      <c r="AC206" s="20"/>
    </row>
    <row r="207" spans="2:29" s="4" customFormat="1" ht="15" hidden="1" customHeight="1" x14ac:dyDescent="0.25">
      <c r="B207" s="79"/>
      <c r="C207" s="80">
        <v>180</v>
      </c>
      <c r="D207" s="80"/>
      <c r="E207" s="88"/>
      <c r="F207" s="88"/>
      <c r="G207" s="88"/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88"/>
      <c r="S207" s="88"/>
      <c r="T207" s="131"/>
      <c r="U207" s="20"/>
      <c r="V207" s="20"/>
      <c r="W207" s="20"/>
      <c r="X207" s="20"/>
      <c r="Y207" s="20"/>
      <c r="Z207" s="20"/>
      <c r="AA207" s="20"/>
      <c r="AB207" s="20"/>
      <c r="AC207" s="20"/>
    </row>
    <row r="208" spans="2:29" s="4" customFormat="1" ht="15" hidden="1" customHeight="1" x14ac:dyDescent="0.25">
      <c r="B208" s="79"/>
      <c r="C208" s="80">
        <v>181</v>
      </c>
      <c r="D208" s="80"/>
      <c r="E208" s="88"/>
      <c r="F208" s="88"/>
      <c r="G208" s="88"/>
      <c r="H208" s="88"/>
      <c r="I208" s="88"/>
      <c r="J208" s="88"/>
      <c r="K208" s="88"/>
      <c r="L208" s="88"/>
      <c r="M208" s="88"/>
      <c r="N208" s="88"/>
      <c r="O208" s="88"/>
      <c r="P208" s="88"/>
      <c r="Q208" s="88"/>
      <c r="R208" s="88"/>
      <c r="S208" s="88"/>
      <c r="T208" s="131"/>
      <c r="U208" s="20"/>
      <c r="V208" s="20"/>
      <c r="W208" s="20"/>
      <c r="X208" s="20"/>
      <c r="Y208" s="20"/>
      <c r="Z208" s="20"/>
      <c r="AA208" s="20"/>
      <c r="AB208" s="20"/>
      <c r="AC208" s="20"/>
    </row>
    <row r="209" spans="2:29" s="4" customFormat="1" ht="15" hidden="1" customHeight="1" x14ac:dyDescent="0.25">
      <c r="B209" s="79"/>
      <c r="C209" s="80">
        <v>182</v>
      </c>
      <c r="D209" s="80"/>
      <c r="E209" s="88"/>
      <c r="F209" s="88"/>
      <c r="G209" s="88"/>
      <c r="H209" s="88"/>
      <c r="I209" s="88"/>
      <c r="J209" s="88"/>
      <c r="K209" s="88"/>
      <c r="L209" s="88"/>
      <c r="M209" s="88"/>
      <c r="N209" s="88"/>
      <c r="O209" s="88"/>
      <c r="P209" s="88"/>
      <c r="Q209" s="88"/>
      <c r="R209" s="88"/>
      <c r="S209" s="88"/>
      <c r="T209" s="131"/>
      <c r="U209" s="20"/>
      <c r="V209" s="20"/>
      <c r="W209" s="20"/>
      <c r="X209" s="20"/>
      <c r="Y209" s="20"/>
      <c r="Z209" s="20"/>
      <c r="AA209" s="20"/>
      <c r="AB209" s="20"/>
      <c r="AC209" s="20"/>
    </row>
    <row r="210" spans="2:29" s="4" customFormat="1" ht="15" hidden="1" customHeight="1" x14ac:dyDescent="0.25">
      <c r="B210" s="79"/>
      <c r="C210" s="80">
        <v>183</v>
      </c>
      <c r="D210" s="80"/>
      <c r="E210" s="88"/>
      <c r="F210" s="88"/>
      <c r="G210" s="88"/>
      <c r="H210" s="88"/>
      <c r="I210" s="88"/>
      <c r="J210" s="88"/>
      <c r="K210" s="88"/>
      <c r="L210" s="88"/>
      <c r="M210" s="88"/>
      <c r="N210" s="88"/>
      <c r="O210" s="88"/>
      <c r="P210" s="88"/>
      <c r="Q210" s="88"/>
      <c r="R210" s="88"/>
      <c r="S210" s="88"/>
      <c r="T210" s="131"/>
      <c r="U210" s="20"/>
      <c r="V210" s="20"/>
      <c r="W210" s="20"/>
      <c r="X210" s="20"/>
      <c r="Y210" s="20"/>
      <c r="Z210" s="20"/>
      <c r="AA210" s="20"/>
      <c r="AB210" s="20"/>
      <c r="AC210" s="20"/>
    </row>
    <row r="211" spans="2:29" s="4" customFormat="1" ht="15" hidden="1" customHeight="1" x14ac:dyDescent="0.25">
      <c r="B211" s="79"/>
      <c r="C211" s="80">
        <v>184</v>
      </c>
      <c r="D211" s="80"/>
      <c r="E211" s="88"/>
      <c r="F211" s="88"/>
      <c r="G211" s="88"/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88"/>
      <c r="S211" s="88"/>
      <c r="T211" s="131"/>
      <c r="U211" s="20"/>
      <c r="V211" s="20"/>
      <c r="W211" s="20"/>
      <c r="X211" s="20"/>
      <c r="Y211" s="20"/>
      <c r="Z211" s="20"/>
      <c r="AA211" s="20"/>
      <c r="AB211" s="20"/>
      <c r="AC211" s="20"/>
    </row>
    <row r="212" spans="2:29" s="4" customFormat="1" ht="15" hidden="1" customHeight="1" x14ac:dyDescent="0.25">
      <c r="B212" s="79"/>
      <c r="C212" s="80">
        <v>185</v>
      </c>
      <c r="D212" s="80"/>
      <c r="E212" s="88"/>
      <c r="F212" s="88"/>
      <c r="G212" s="88"/>
      <c r="H212" s="88"/>
      <c r="I212" s="88"/>
      <c r="J212" s="88"/>
      <c r="K212" s="88"/>
      <c r="L212" s="88"/>
      <c r="M212" s="88"/>
      <c r="N212" s="88"/>
      <c r="O212" s="88"/>
      <c r="P212" s="88"/>
      <c r="Q212" s="88"/>
      <c r="R212" s="88"/>
      <c r="S212" s="88"/>
      <c r="T212" s="131"/>
      <c r="U212" s="20"/>
      <c r="V212" s="20"/>
      <c r="W212" s="20"/>
      <c r="X212" s="20"/>
      <c r="Y212" s="20"/>
      <c r="Z212" s="20"/>
      <c r="AA212" s="20"/>
      <c r="AB212" s="20"/>
      <c r="AC212" s="20"/>
    </row>
    <row r="213" spans="2:29" s="4" customFormat="1" ht="15" hidden="1" customHeight="1" x14ac:dyDescent="0.25">
      <c r="B213" s="79"/>
      <c r="C213" s="80">
        <v>186</v>
      </c>
      <c r="D213" s="80"/>
      <c r="E213" s="88"/>
      <c r="F213" s="88"/>
      <c r="G213" s="88"/>
      <c r="H213" s="88"/>
      <c r="I213" s="88"/>
      <c r="J213" s="88"/>
      <c r="K213" s="88"/>
      <c r="L213" s="88"/>
      <c r="M213" s="88"/>
      <c r="N213" s="88"/>
      <c r="O213" s="88"/>
      <c r="P213" s="88"/>
      <c r="Q213" s="88"/>
      <c r="R213" s="88"/>
      <c r="S213" s="88"/>
      <c r="T213" s="131"/>
      <c r="U213" s="20"/>
      <c r="V213" s="20"/>
      <c r="W213" s="20"/>
      <c r="X213" s="20"/>
      <c r="Y213" s="20"/>
      <c r="Z213" s="20"/>
      <c r="AA213" s="20"/>
      <c r="AB213" s="20"/>
      <c r="AC213" s="20"/>
    </row>
    <row r="214" spans="2:29" s="4" customFormat="1" ht="15" hidden="1" customHeight="1" x14ac:dyDescent="0.25">
      <c r="B214" s="79"/>
      <c r="C214" s="80">
        <v>187</v>
      </c>
      <c r="D214" s="80"/>
      <c r="E214" s="88"/>
      <c r="F214" s="88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131"/>
      <c r="U214" s="20"/>
      <c r="V214" s="20"/>
      <c r="W214" s="20"/>
      <c r="X214" s="20"/>
      <c r="Y214" s="20"/>
      <c r="Z214" s="20"/>
      <c r="AA214" s="20"/>
      <c r="AB214" s="20"/>
      <c r="AC214" s="20"/>
    </row>
    <row r="215" spans="2:29" s="4" customFormat="1" ht="15" hidden="1" customHeight="1" x14ac:dyDescent="0.25">
      <c r="B215" s="79"/>
      <c r="C215" s="80">
        <v>188</v>
      </c>
      <c r="D215" s="80"/>
      <c r="E215" s="88"/>
      <c r="F215" s="88"/>
      <c r="G215" s="88"/>
      <c r="H215" s="88"/>
      <c r="I215" s="88"/>
      <c r="J215" s="88"/>
      <c r="K215" s="88"/>
      <c r="L215" s="88"/>
      <c r="M215" s="88"/>
      <c r="N215" s="88"/>
      <c r="O215" s="88"/>
      <c r="P215" s="88"/>
      <c r="Q215" s="88"/>
      <c r="R215" s="88"/>
      <c r="S215" s="88"/>
      <c r="T215" s="131"/>
      <c r="U215" s="20"/>
      <c r="V215" s="20"/>
      <c r="W215" s="20"/>
      <c r="X215" s="20"/>
      <c r="Y215" s="20"/>
      <c r="Z215" s="20"/>
      <c r="AA215" s="20"/>
      <c r="AB215" s="20"/>
      <c r="AC215" s="20"/>
    </row>
    <row r="216" spans="2:29" s="4" customFormat="1" ht="15" hidden="1" customHeight="1" x14ac:dyDescent="0.25">
      <c r="B216" s="79"/>
      <c r="C216" s="80">
        <v>189</v>
      </c>
      <c r="D216" s="80"/>
      <c r="E216" s="88"/>
      <c r="F216" s="88"/>
      <c r="G216" s="88"/>
      <c r="H216" s="88"/>
      <c r="I216" s="88"/>
      <c r="J216" s="88"/>
      <c r="K216" s="88"/>
      <c r="L216" s="88"/>
      <c r="M216" s="88"/>
      <c r="N216" s="88"/>
      <c r="O216" s="88"/>
      <c r="P216" s="88"/>
      <c r="Q216" s="88"/>
      <c r="R216" s="88"/>
      <c r="S216" s="88"/>
      <c r="T216" s="131"/>
      <c r="U216" s="20"/>
      <c r="V216" s="20"/>
      <c r="W216" s="20"/>
      <c r="X216" s="20"/>
      <c r="Y216" s="20"/>
      <c r="Z216" s="20"/>
      <c r="AA216" s="20"/>
      <c r="AB216" s="20"/>
      <c r="AC216" s="20"/>
    </row>
    <row r="217" spans="2:29" s="4" customFormat="1" ht="15" hidden="1" customHeight="1" x14ac:dyDescent="0.25">
      <c r="B217" s="79"/>
      <c r="C217" s="80">
        <v>190</v>
      </c>
      <c r="D217" s="80"/>
      <c r="E217" s="88"/>
      <c r="F217" s="88"/>
      <c r="G217" s="88"/>
      <c r="H217" s="88"/>
      <c r="I217" s="88"/>
      <c r="J217" s="88"/>
      <c r="K217" s="88"/>
      <c r="L217" s="88"/>
      <c r="M217" s="88"/>
      <c r="N217" s="88"/>
      <c r="O217" s="88"/>
      <c r="P217" s="88"/>
      <c r="Q217" s="88"/>
      <c r="R217" s="88"/>
      <c r="S217" s="88"/>
      <c r="T217" s="131"/>
      <c r="U217" s="20"/>
      <c r="V217" s="20"/>
      <c r="W217" s="20"/>
      <c r="X217" s="20"/>
      <c r="Y217" s="20"/>
      <c r="Z217" s="20"/>
      <c r="AA217" s="20"/>
      <c r="AB217" s="20"/>
      <c r="AC217" s="20"/>
    </row>
    <row r="218" spans="2:29" s="4" customFormat="1" ht="15" hidden="1" customHeight="1" x14ac:dyDescent="0.25">
      <c r="B218" s="79"/>
      <c r="C218" s="80">
        <v>191</v>
      </c>
      <c r="D218" s="80"/>
      <c r="E218" s="88"/>
      <c r="F218" s="88"/>
      <c r="G218" s="88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131"/>
      <c r="U218" s="20"/>
      <c r="V218" s="20"/>
      <c r="W218" s="20"/>
      <c r="X218" s="20"/>
      <c r="Y218" s="20"/>
      <c r="Z218" s="20"/>
      <c r="AA218" s="20"/>
      <c r="AB218" s="20"/>
      <c r="AC218" s="20"/>
    </row>
    <row r="219" spans="2:29" s="4" customFormat="1" ht="15" hidden="1" customHeight="1" x14ac:dyDescent="0.25">
      <c r="B219" s="79"/>
      <c r="C219" s="80">
        <v>192</v>
      </c>
      <c r="D219" s="80"/>
      <c r="E219" s="88"/>
      <c r="F219" s="88"/>
      <c r="G219" s="88"/>
      <c r="H219" s="88"/>
      <c r="I219" s="88"/>
      <c r="J219" s="88"/>
      <c r="K219" s="88"/>
      <c r="L219" s="88"/>
      <c r="M219" s="88"/>
      <c r="N219" s="88"/>
      <c r="O219" s="88"/>
      <c r="P219" s="88"/>
      <c r="Q219" s="88"/>
      <c r="R219" s="88"/>
      <c r="S219" s="88"/>
      <c r="T219" s="131"/>
      <c r="U219" s="20"/>
      <c r="V219" s="20"/>
      <c r="W219" s="20"/>
      <c r="X219" s="20"/>
      <c r="Y219" s="20"/>
      <c r="Z219" s="20"/>
      <c r="AA219" s="20"/>
      <c r="AB219" s="20"/>
      <c r="AC219" s="20"/>
    </row>
    <row r="220" spans="2:29" s="4" customFormat="1" ht="15" hidden="1" customHeight="1" x14ac:dyDescent="0.25">
      <c r="B220" s="79"/>
      <c r="C220" s="80">
        <v>193</v>
      </c>
      <c r="D220" s="80"/>
      <c r="E220" s="88"/>
      <c r="F220" s="88"/>
      <c r="G220" s="88"/>
      <c r="H220" s="88"/>
      <c r="I220" s="88"/>
      <c r="J220" s="88"/>
      <c r="K220" s="88"/>
      <c r="L220" s="88"/>
      <c r="M220" s="88"/>
      <c r="N220" s="88"/>
      <c r="O220" s="88"/>
      <c r="P220" s="88"/>
      <c r="Q220" s="88"/>
      <c r="R220" s="88"/>
      <c r="S220" s="88"/>
      <c r="T220" s="131"/>
      <c r="U220" s="20"/>
      <c r="V220" s="20"/>
      <c r="W220" s="20"/>
      <c r="X220" s="20"/>
      <c r="Y220" s="20"/>
      <c r="Z220" s="20"/>
      <c r="AA220" s="20"/>
      <c r="AB220" s="20"/>
      <c r="AC220" s="20"/>
    </row>
    <row r="221" spans="2:29" s="4" customFormat="1" ht="15" hidden="1" customHeight="1" x14ac:dyDescent="0.25">
      <c r="B221" s="79"/>
      <c r="C221" s="80">
        <v>194</v>
      </c>
      <c r="D221" s="80"/>
      <c r="E221" s="88"/>
      <c r="F221" s="88"/>
      <c r="G221" s="88"/>
      <c r="H221" s="88"/>
      <c r="I221" s="88"/>
      <c r="J221" s="88"/>
      <c r="K221" s="88"/>
      <c r="L221" s="88"/>
      <c r="M221" s="88"/>
      <c r="N221" s="88"/>
      <c r="O221" s="88"/>
      <c r="P221" s="88"/>
      <c r="Q221" s="88"/>
      <c r="R221" s="88"/>
      <c r="S221" s="88"/>
      <c r="T221" s="131"/>
      <c r="U221" s="20"/>
      <c r="V221" s="20"/>
      <c r="W221" s="20"/>
      <c r="X221" s="20"/>
      <c r="Y221" s="20"/>
      <c r="Z221" s="20"/>
      <c r="AA221" s="20"/>
      <c r="AB221" s="20"/>
      <c r="AC221" s="20"/>
    </row>
    <row r="222" spans="2:29" s="4" customFormat="1" ht="15" hidden="1" customHeight="1" x14ac:dyDescent="0.25">
      <c r="B222" s="79"/>
      <c r="C222" s="80">
        <v>195</v>
      </c>
      <c r="D222" s="80"/>
      <c r="E222" s="88"/>
      <c r="F222" s="88"/>
      <c r="G222" s="88"/>
      <c r="H222" s="88"/>
      <c r="I222" s="88"/>
      <c r="J222" s="88"/>
      <c r="K222" s="88"/>
      <c r="L222" s="88"/>
      <c r="M222" s="88"/>
      <c r="N222" s="88"/>
      <c r="O222" s="88"/>
      <c r="P222" s="88"/>
      <c r="Q222" s="88"/>
      <c r="R222" s="88"/>
      <c r="S222" s="88"/>
      <c r="T222" s="131"/>
      <c r="U222" s="20"/>
      <c r="V222" s="20"/>
      <c r="W222" s="20"/>
      <c r="X222" s="20"/>
      <c r="Y222" s="20"/>
      <c r="Z222" s="20"/>
      <c r="AA222" s="20"/>
      <c r="AB222" s="20"/>
      <c r="AC222" s="20"/>
    </row>
    <row r="223" spans="2:29" s="4" customFormat="1" ht="15" hidden="1" customHeight="1" x14ac:dyDescent="0.25">
      <c r="B223" s="79"/>
      <c r="C223" s="80">
        <v>196</v>
      </c>
      <c r="D223" s="80"/>
      <c r="E223" s="88"/>
      <c r="F223" s="88"/>
      <c r="G223" s="88"/>
      <c r="H223" s="88"/>
      <c r="I223" s="88"/>
      <c r="J223" s="88"/>
      <c r="K223" s="88"/>
      <c r="L223" s="88"/>
      <c r="M223" s="88"/>
      <c r="N223" s="88"/>
      <c r="O223" s="88"/>
      <c r="P223" s="88"/>
      <c r="Q223" s="88"/>
      <c r="R223" s="88"/>
      <c r="S223" s="88"/>
      <c r="T223" s="131"/>
      <c r="U223" s="20"/>
      <c r="V223" s="20"/>
      <c r="W223" s="20"/>
      <c r="X223" s="20"/>
      <c r="Y223" s="20"/>
      <c r="Z223" s="20"/>
      <c r="AA223" s="20"/>
      <c r="AB223" s="20"/>
      <c r="AC223" s="20"/>
    </row>
    <row r="224" spans="2:29" s="4" customFormat="1" ht="15" hidden="1" customHeight="1" x14ac:dyDescent="0.25">
      <c r="B224" s="79"/>
      <c r="C224" s="80">
        <v>197</v>
      </c>
      <c r="D224" s="80"/>
      <c r="E224" s="88"/>
      <c r="F224" s="88"/>
      <c r="G224" s="88"/>
      <c r="H224" s="88"/>
      <c r="I224" s="88"/>
      <c r="J224" s="88"/>
      <c r="K224" s="88"/>
      <c r="L224" s="88"/>
      <c r="M224" s="88"/>
      <c r="N224" s="88"/>
      <c r="O224" s="88"/>
      <c r="P224" s="88"/>
      <c r="Q224" s="88"/>
      <c r="R224" s="88"/>
      <c r="S224" s="88"/>
      <c r="T224" s="131"/>
      <c r="U224" s="20"/>
      <c r="V224" s="20"/>
      <c r="W224" s="20"/>
      <c r="X224" s="20"/>
      <c r="Y224" s="20"/>
      <c r="Z224" s="20"/>
      <c r="AA224" s="20"/>
      <c r="AB224" s="20"/>
      <c r="AC224" s="20"/>
    </row>
    <row r="225" spans="1:29" s="4" customFormat="1" ht="15" hidden="1" customHeight="1" x14ac:dyDescent="0.25">
      <c r="B225" s="79"/>
      <c r="C225" s="80">
        <v>198</v>
      </c>
      <c r="D225" s="80"/>
      <c r="E225" s="88"/>
      <c r="F225" s="88"/>
      <c r="G225" s="88"/>
      <c r="H225" s="88"/>
      <c r="I225" s="88"/>
      <c r="J225" s="88"/>
      <c r="K225" s="88"/>
      <c r="L225" s="88"/>
      <c r="M225" s="88"/>
      <c r="N225" s="88"/>
      <c r="O225" s="88"/>
      <c r="P225" s="88"/>
      <c r="Q225" s="88"/>
      <c r="R225" s="88"/>
      <c r="S225" s="88"/>
      <c r="T225" s="131"/>
      <c r="U225" s="20"/>
      <c r="V225" s="20"/>
      <c r="W225" s="20"/>
      <c r="X225" s="20"/>
      <c r="Y225" s="20"/>
      <c r="Z225" s="20"/>
      <c r="AA225" s="20"/>
      <c r="AB225" s="20"/>
      <c r="AC225" s="20"/>
    </row>
    <row r="226" spans="1:29" s="4" customFormat="1" ht="15" hidden="1" customHeight="1" x14ac:dyDescent="0.25">
      <c r="B226" s="79"/>
      <c r="C226" s="80">
        <v>199</v>
      </c>
      <c r="D226" s="80"/>
      <c r="E226" s="88"/>
      <c r="F226" s="88"/>
      <c r="G226" s="88"/>
      <c r="H226" s="88"/>
      <c r="I226" s="88"/>
      <c r="J226" s="88"/>
      <c r="K226" s="88"/>
      <c r="L226" s="88"/>
      <c r="M226" s="88"/>
      <c r="N226" s="88"/>
      <c r="O226" s="88"/>
      <c r="P226" s="88"/>
      <c r="Q226" s="88"/>
      <c r="R226" s="88"/>
      <c r="S226" s="88"/>
      <c r="T226" s="131"/>
      <c r="U226" s="20"/>
      <c r="V226" s="20"/>
      <c r="W226" s="20"/>
      <c r="X226" s="20"/>
      <c r="Y226" s="20"/>
      <c r="Z226" s="20"/>
      <c r="AA226" s="20"/>
      <c r="AB226" s="20"/>
      <c r="AC226" s="20"/>
    </row>
    <row r="227" spans="1:29" s="4" customFormat="1" ht="15" hidden="1" customHeight="1" thickBot="1" x14ac:dyDescent="0.3">
      <c r="B227" s="136"/>
      <c r="C227" s="106">
        <v>200</v>
      </c>
      <c r="D227" s="106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134"/>
      <c r="U227" s="20"/>
      <c r="V227" s="20"/>
      <c r="W227" s="20"/>
      <c r="X227" s="20"/>
      <c r="Y227" s="20"/>
      <c r="Z227" s="20"/>
      <c r="AA227" s="20"/>
      <c r="AB227" s="20"/>
      <c r="AC227" s="20"/>
    </row>
    <row r="228" spans="1:29" ht="15.75" thickBot="1" x14ac:dyDescent="0.3">
      <c r="A228" s="11"/>
      <c r="B228" s="26"/>
      <c r="C228" s="27"/>
      <c r="D228" s="27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9"/>
      <c r="U228" s="12"/>
      <c r="V228" s="12"/>
      <c r="W228" s="2"/>
      <c r="X228" s="2"/>
      <c r="Y228" s="2"/>
      <c r="Z228" s="2"/>
      <c r="AA228" s="2"/>
      <c r="AB228" s="2"/>
      <c r="AC228" s="2"/>
    </row>
    <row r="229" spans="1:29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</row>
    <row r="230" spans="1:29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</row>
    <row r="231" spans="1:29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</row>
    <row r="232" spans="1:29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</row>
    <row r="233" spans="1:29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</row>
    <row r="234" spans="1:29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</row>
    <row r="235" spans="1:29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</row>
    <row r="236" spans="1:29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</row>
    <row r="237" spans="1:29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</row>
    <row r="238" spans="1:29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</row>
    <row r="239" spans="1:29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</row>
    <row r="240" spans="1:29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</row>
    <row r="241" spans="1:22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</row>
    <row r="242" spans="1:22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</row>
    <row r="243" spans="1:22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</row>
    <row r="244" spans="1:22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</row>
    <row r="245" spans="1:22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</row>
    <row r="246" spans="1:22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</row>
    <row r="247" spans="1:22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</row>
    <row r="248" spans="1:22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</row>
    <row r="249" spans="1:22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</row>
    <row r="250" spans="1:22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</row>
  </sheetData>
  <sheetProtection password="853C" sheet="1" objects="1" scenarios="1" selectLockedCells="1"/>
  <mergeCells count="36">
    <mergeCell ref="C7:C8"/>
    <mergeCell ref="B21:T21"/>
    <mergeCell ref="B22:T22"/>
    <mergeCell ref="E18:G18"/>
    <mergeCell ref="C18:C20"/>
    <mergeCell ref="E19:G19"/>
    <mergeCell ref="E20:G20"/>
    <mergeCell ref="I16:S17"/>
    <mergeCell ref="L15:S15"/>
    <mergeCell ref="I18:S19"/>
    <mergeCell ref="I20:S20"/>
    <mergeCell ref="C10:C16"/>
    <mergeCell ref="E12:F12"/>
    <mergeCell ref="E13:F13"/>
    <mergeCell ref="E14:F14"/>
    <mergeCell ref="E15:F15"/>
    <mergeCell ref="E16:F16"/>
    <mergeCell ref="L12:S12"/>
    <mergeCell ref="L13:S13"/>
    <mergeCell ref="L14:S14"/>
    <mergeCell ref="I11:K11"/>
    <mergeCell ref="C3:C4"/>
    <mergeCell ref="E3:E4"/>
    <mergeCell ref="G3:G4"/>
    <mergeCell ref="I3:J3"/>
    <mergeCell ref="L3:M3"/>
    <mergeCell ref="E8:E9"/>
    <mergeCell ref="L11:S11"/>
    <mergeCell ref="R3:S3"/>
    <mergeCell ref="I7:J7"/>
    <mergeCell ref="L7:M7"/>
    <mergeCell ref="E10:F10"/>
    <mergeCell ref="E11:F11"/>
    <mergeCell ref="R7:S9"/>
    <mergeCell ref="O7:P7"/>
    <mergeCell ref="O3:P3"/>
  </mergeCells>
  <conditionalFormatting sqref="D18:D20">
    <cfRule type="cellIs" dxfId="8" priority="6" operator="equal">
      <formula>$E$73</formula>
    </cfRule>
    <cfRule type="cellIs" dxfId="7" priority="8" operator="equal">
      <formula>$E$72</formula>
    </cfRule>
  </conditionalFormatting>
  <conditionalFormatting sqref="E77">
    <cfRule type="cellIs" dxfId="6" priority="7" operator="equal">
      <formula>$E$73</formula>
    </cfRule>
  </conditionalFormatting>
  <conditionalFormatting sqref="E19:G19">
    <cfRule type="cellIs" dxfId="2" priority="2" operator="equal">
      <formula>$G$75</formula>
    </cfRule>
  </conditionalFormatting>
  <conditionalFormatting sqref="E20">
    <cfRule type="cellIs" dxfId="0" priority="1" operator="equal">
      <formula>$G$76</formula>
    </cfRule>
  </conditionalFormatting>
  <dataValidations count="5">
    <dataValidation type="list" allowBlank="1" showInputMessage="1" showErrorMessage="1" sqref="G8">
      <formula1>$C$24:$C$25</formula1>
    </dataValidation>
    <dataValidation type="list" allowBlank="1" showInputMessage="1" showErrorMessage="1" sqref="E5">
      <formula1>$C$27:$C$227</formula1>
    </dataValidation>
    <dataValidation type="list" allowBlank="1" showInputMessage="1" showErrorMessage="1" sqref="C5">
      <formula1>$C$51:$C$227</formula1>
    </dataValidation>
    <dataValidation type="list" allowBlank="1" showInputMessage="1" showErrorMessage="1" sqref="G5">
      <formula1>$C$27:$C$75</formula1>
    </dataValidation>
    <dataValidation type="list" allowBlank="1" showInputMessage="1" showErrorMessage="1" sqref="C9">
      <formula1>$C$27:$C$51</formula1>
    </dataValidation>
  </dataValidations>
  <pageMargins left="0.7" right="0.7" top="0.75" bottom="0.75" header="0.3" footer="0.3"/>
  <pageSetup paperSize="9" orientation="portrait" r:id="rId1"/>
  <ignoredErrors>
    <ignoredError sqref="O38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" operator="containsText" id="{3D4A6595-4BC4-4C27-AE06-53DD62DF6A24}">
            <xm:f>NOT(ISERROR(SEARCH($G$73,E18)))</xm:f>
            <xm:f>$G$73</xm:f>
            <x14:dxf>
              <font>
                <b/>
                <i val="0"/>
                <color rgb="FF00B050"/>
              </font>
            </x14:dxf>
          </x14:cfRule>
          <x14:cfRule type="containsText" priority="5" operator="containsText" id="{39EF429B-D477-457D-8803-9D68EB28BFDF}">
            <xm:f>NOT(ISERROR(SEARCH($G$72,E18)))</xm:f>
            <xm:f>$G$72</xm:f>
            <x14:dxf>
              <font>
                <b/>
                <i val="0"/>
                <color rgb="FFC00000"/>
              </font>
            </x14:dxf>
          </x14:cfRule>
          <xm:sqref>E18:E20</xm:sqref>
        </x14:conditionalFormatting>
        <x14:conditionalFormatting xmlns:xm="http://schemas.microsoft.com/office/excel/2006/main">
          <x14:cfRule type="containsText" priority="3" operator="containsText" id="{78EB7B0E-A2AF-4617-BAB8-60ABA34389EB}">
            <xm:f>NOT(ISERROR(SEARCH($G$74,E19)))</xm:f>
            <xm:f>$G$74</xm:f>
            <x14:dxf>
              <font>
                <b/>
                <i val="0"/>
                <color rgb="FFC00000"/>
              </font>
            </x14:dxf>
          </x14:cfRule>
          <xm:sqref>E19:G19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Company>TOSHIBA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thenobodies80</dc:creator>
  <cp:lastModifiedBy>thenobodies80</cp:lastModifiedBy>
  <dcterms:created xsi:type="dcterms:W3CDTF">2011-08-10T22:58:03Z</dcterms:created>
  <dcterms:modified xsi:type="dcterms:W3CDTF">2011-12-04T19:27:44Z</dcterms:modified>
</cp:coreProperties>
</file>