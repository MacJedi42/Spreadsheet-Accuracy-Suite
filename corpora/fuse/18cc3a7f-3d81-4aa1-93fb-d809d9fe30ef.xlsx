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285" windowWidth="14805" windowHeight="7830"/>
  </bookViews>
  <sheets>
    <sheet name="Sheet1" sheetId="1" r:id="rId1"/>
    <sheet name="Sheet2" sheetId="2" r:id="rId2"/>
    <sheet name="Sheet3" sheetId="3" r:id="rId3"/>
  </sheets>
  <definedNames>
    <definedName name="_xlnm.Print_Area" localSheetId="0">Sheet1!$A$1:$DM$191</definedName>
  </definedNames>
  <calcPr calcId="145621"/>
</workbook>
</file>

<file path=xl/calcChain.xml><?xml version="1.0" encoding="utf-8"?>
<calcChain xmlns="http://schemas.openxmlformats.org/spreadsheetml/2006/main">
  <c r="AM2" i="1" l="1"/>
  <c r="AM3" i="1"/>
  <c r="AM4" i="1"/>
  <c r="AM5" i="1"/>
  <c r="AM6" i="1"/>
  <c r="AM7" i="1"/>
  <c r="AM8" i="1"/>
  <c r="AM9" i="1"/>
  <c r="AM10" i="1"/>
  <c r="AM11" i="1"/>
  <c r="AM12" i="1"/>
  <c r="AM13" i="1"/>
  <c r="AM14" i="1"/>
  <c r="AM15" i="1"/>
  <c r="AM16" i="1"/>
  <c r="AM17" i="1"/>
  <c r="AM18" i="1"/>
  <c r="AM19" i="1"/>
  <c r="AM20" i="1"/>
  <c r="AM21" i="1"/>
  <c r="AM22" i="1"/>
  <c r="AM23" i="1"/>
  <c r="AM24" i="1"/>
  <c r="AM25" i="1"/>
  <c r="AM26" i="1"/>
  <c r="AM27" i="1"/>
  <c r="AM28" i="1"/>
  <c r="AM29" i="1"/>
  <c r="AM30" i="1"/>
  <c r="AM32" i="1"/>
  <c r="AM33" i="1"/>
  <c r="AM34" i="1"/>
  <c r="AM35" i="1"/>
  <c r="AM36" i="1"/>
  <c r="AM37" i="1"/>
  <c r="AM38" i="1"/>
  <c r="AM39" i="1"/>
  <c r="AM40" i="1"/>
  <c r="AM41" i="1"/>
  <c r="AO42" i="1"/>
  <c r="AM43" i="1"/>
  <c r="AM44" i="1"/>
  <c r="AM45" i="1"/>
  <c r="AM46" i="1"/>
  <c r="AM47" i="1"/>
  <c r="AM48" i="1"/>
  <c r="AM49" i="1"/>
  <c r="DK49" i="1" s="1"/>
  <c r="AM50" i="1"/>
  <c r="AM51" i="1"/>
  <c r="DK51" i="1" s="1"/>
  <c r="AM52" i="1"/>
  <c r="AM53" i="1"/>
  <c r="DK53" i="1" s="1"/>
  <c r="AM54" i="1"/>
  <c r="AM55" i="1"/>
  <c r="DK55" i="1" s="1"/>
  <c r="AM56" i="1"/>
  <c r="AM57" i="1"/>
  <c r="AM58" i="1"/>
  <c r="AM59" i="1"/>
  <c r="DK59" i="1" s="1"/>
  <c r="AM60" i="1"/>
  <c r="AM61" i="1"/>
  <c r="DK61" i="1" s="1"/>
  <c r="AM62" i="1"/>
  <c r="AM63" i="1"/>
  <c r="DK63" i="1" s="1"/>
  <c r="AM64" i="1"/>
  <c r="AM65" i="1"/>
  <c r="AM66" i="1"/>
  <c r="AM67" i="1"/>
  <c r="DK67" i="1" s="1"/>
  <c r="AM68" i="1"/>
  <c r="AM69" i="1"/>
  <c r="DK69" i="1" s="1"/>
  <c r="AM70" i="1"/>
  <c r="AM71" i="1"/>
  <c r="DK71" i="1" s="1"/>
  <c r="AM72" i="1"/>
  <c r="AM73" i="1"/>
  <c r="DK73" i="1" s="1"/>
  <c r="AM74" i="1"/>
  <c r="AM75" i="1"/>
  <c r="DK75" i="1" s="1"/>
  <c r="AM76" i="1"/>
  <c r="AM77" i="1"/>
  <c r="DK77" i="1" s="1"/>
  <c r="AM78" i="1"/>
  <c r="AM79" i="1"/>
  <c r="AM80" i="1"/>
  <c r="AM81" i="1"/>
  <c r="DK81" i="1" s="1"/>
  <c r="AM82" i="1"/>
  <c r="AM83" i="1"/>
  <c r="DK83" i="1" s="1"/>
  <c r="AM84" i="1"/>
  <c r="AM85" i="1"/>
  <c r="DK85" i="1" s="1"/>
  <c r="AM86" i="1"/>
  <c r="AM87" i="1"/>
  <c r="DK87" i="1" s="1"/>
  <c r="AM88" i="1"/>
  <c r="AM89" i="1"/>
  <c r="DK89" i="1" s="1"/>
  <c r="AM90" i="1"/>
  <c r="AM91" i="1"/>
  <c r="DK91" i="1" s="1"/>
  <c r="AM92" i="1"/>
  <c r="AM93" i="1"/>
  <c r="DK93" i="1" s="1"/>
  <c r="AM94" i="1"/>
  <c r="AM95" i="1"/>
  <c r="DK95" i="1" s="1"/>
  <c r="AM96" i="1"/>
  <c r="AM97" i="1"/>
  <c r="DK97" i="1" s="1"/>
  <c r="AM98" i="1"/>
  <c r="AM99" i="1"/>
  <c r="DK99" i="1" s="1"/>
  <c r="AM100" i="1"/>
  <c r="AM101" i="1"/>
  <c r="DK101" i="1" s="1"/>
  <c r="AM102" i="1"/>
  <c r="AM103" i="1"/>
  <c r="DK103" i="1" s="1"/>
  <c r="AM104" i="1"/>
  <c r="AM105" i="1"/>
  <c r="DK105" i="1" s="1"/>
  <c r="AM106" i="1"/>
  <c r="AM107" i="1"/>
  <c r="AM108" i="1"/>
  <c r="AM109" i="1"/>
  <c r="DK109" i="1" s="1"/>
  <c r="AM110" i="1"/>
  <c r="AM111" i="1"/>
  <c r="DK111" i="1" s="1"/>
  <c r="AM112" i="1"/>
  <c r="AM113" i="1"/>
  <c r="AM114" i="1"/>
  <c r="AM115" i="1"/>
  <c r="AM116" i="1"/>
  <c r="AM117" i="1"/>
  <c r="DK117" i="1" s="1"/>
  <c r="AM118" i="1"/>
  <c r="AM119" i="1"/>
  <c r="DK119" i="1" s="1"/>
  <c r="AM120" i="1"/>
  <c r="AM121" i="1"/>
  <c r="DK121" i="1" s="1"/>
  <c r="AM122" i="1"/>
  <c r="AM123" i="1"/>
  <c r="DK123" i="1" s="1"/>
  <c r="AM124" i="1"/>
  <c r="AM125" i="1"/>
  <c r="DK125" i="1" s="1"/>
  <c r="AM126" i="1"/>
  <c r="AM127" i="1"/>
  <c r="DK127" i="1" s="1"/>
  <c r="AM128" i="1"/>
  <c r="AM129" i="1"/>
  <c r="AM130" i="1"/>
  <c r="AM131" i="1"/>
  <c r="DK131" i="1" s="1"/>
  <c r="AM132" i="1"/>
  <c r="AM133" i="1"/>
  <c r="AM134" i="1"/>
  <c r="AM135" i="1"/>
  <c r="DK135" i="1" s="1"/>
  <c r="AM136" i="1"/>
  <c r="AM137" i="1"/>
  <c r="AM138" i="1"/>
  <c r="AM139" i="1"/>
  <c r="DK139" i="1" s="1"/>
  <c r="AM140" i="1"/>
  <c r="AM141" i="1"/>
  <c r="DK141" i="1" s="1"/>
  <c r="AM142" i="1"/>
  <c r="AM143" i="1"/>
  <c r="DK143" i="1" s="1"/>
  <c r="AM144" i="1"/>
  <c r="AM145" i="1"/>
  <c r="DK145" i="1" s="1"/>
  <c r="AM146" i="1"/>
  <c r="AM147" i="1"/>
  <c r="DK147" i="1" s="1"/>
  <c r="AM148" i="1"/>
  <c r="AM149" i="1"/>
  <c r="DK149" i="1" s="1"/>
  <c r="AM150" i="1"/>
  <c r="AM151" i="1"/>
  <c r="AM152" i="1"/>
  <c r="AM153" i="1"/>
  <c r="AM154" i="1"/>
  <c r="AM155" i="1"/>
  <c r="DK155" i="1" s="1"/>
  <c r="AM156" i="1"/>
  <c r="AM157" i="1"/>
  <c r="AM158" i="1"/>
  <c r="AM159" i="1"/>
  <c r="AM160" i="1"/>
  <c r="AM161" i="1"/>
  <c r="AM162" i="1"/>
  <c r="AM163" i="1"/>
  <c r="AM164" i="1"/>
  <c r="AM165" i="1"/>
  <c r="DK165" i="1" s="1"/>
  <c r="AM166" i="1"/>
  <c r="AM167" i="1"/>
  <c r="AM168" i="1"/>
  <c r="AM169" i="1"/>
  <c r="DK169" i="1" s="1"/>
  <c r="AM170" i="1"/>
  <c r="AM171" i="1"/>
  <c r="DK171" i="1" s="1"/>
  <c r="AM172" i="1"/>
  <c r="AM173" i="1"/>
  <c r="AM174" i="1"/>
  <c r="AM175" i="1"/>
  <c r="AM176" i="1"/>
  <c r="AM177" i="1"/>
  <c r="AM178" i="1"/>
  <c r="AM179" i="1"/>
  <c r="AM180" i="1"/>
  <c r="AM181" i="1"/>
  <c r="AM182" i="1"/>
  <c r="AM183" i="1"/>
  <c r="AM184" i="1"/>
  <c r="AM185" i="1"/>
  <c r="AM186" i="1"/>
  <c r="AM187" i="1"/>
  <c r="DK187" i="1" s="1"/>
  <c r="AM188" i="1"/>
  <c r="AM189" i="1"/>
  <c r="AM190" i="1"/>
  <c r="AM191" i="1"/>
  <c r="DK191" i="1" s="1"/>
  <c r="AU3" i="1"/>
  <c r="BC3" i="1"/>
  <c r="DK3" i="1" s="1"/>
  <c r="AU5" i="1"/>
  <c r="AU23" i="1"/>
  <c r="DK23" i="1" s="1"/>
  <c r="AU26" i="1"/>
  <c r="AU27" i="1"/>
  <c r="BC27" i="1"/>
  <c r="AU30" i="1"/>
  <c r="BC30" i="1"/>
  <c r="AU33" i="1"/>
  <c r="AU34" i="1"/>
  <c r="AU35" i="1"/>
  <c r="AU37" i="1"/>
  <c r="BC37" i="1"/>
  <c r="AU39" i="1"/>
  <c r="AU43" i="1"/>
  <c r="AU45" i="1"/>
  <c r="BC45" i="1"/>
  <c r="AU47" i="1"/>
  <c r="BC47" i="1"/>
  <c r="AU56" i="1"/>
  <c r="AU57" i="1"/>
  <c r="BC57" i="1"/>
  <c r="AU58" i="1"/>
  <c r="BC58" i="1"/>
  <c r="AU60" i="1"/>
  <c r="AU62" i="1"/>
  <c r="AU65" i="1"/>
  <c r="AU66" i="1"/>
  <c r="BC66" i="1"/>
  <c r="AU68" i="1"/>
  <c r="AU76" i="1"/>
  <c r="BC76" i="1"/>
  <c r="AU78" i="1"/>
  <c r="AU79" i="1"/>
  <c r="AU82" i="1"/>
  <c r="AU88" i="1"/>
  <c r="AU96" i="1"/>
  <c r="BC96" i="1"/>
  <c r="AU98" i="1"/>
  <c r="AU100" i="1"/>
  <c r="AU107" i="1"/>
  <c r="AU113" i="1"/>
  <c r="BC113" i="1"/>
  <c r="AU115" i="1"/>
  <c r="AU120" i="1"/>
  <c r="BC120" i="1"/>
  <c r="AU124" i="1"/>
  <c r="AU126" i="1"/>
  <c r="AU129" i="1"/>
  <c r="AU132" i="1"/>
  <c r="BC132" i="1"/>
  <c r="AU133" i="1"/>
  <c r="AU137" i="1"/>
  <c r="AU140" i="1"/>
  <c r="AU146" i="1"/>
  <c r="BC146" i="1"/>
  <c r="AU148" i="1"/>
  <c r="BC148" i="1"/>
  <c r="AU151" i="1"/>
  <c r="AU153" i="1"/>
  <c r="BC153" i="1"/>
  <c r="AU157" i="1"/>
  <c r="BC157" i="1"/>
  <c r="AU158" i="1"/>
  <c r="BC158" i="1"/>
  <c r="AU159" i="1"/>
  <c r="BC159" i="1"/>
  <c r="AU161" i="1"/>
  <c r="BC161" i="1"/>
  <c r="AU163" i="1"/>
  <c r="BC163" i="1"/>
  <c r="AU164" i="1"/>
  <c r="AU167" i="1"/>
  <c r="AU175" i="1"/>
  <c r="AU176" i="1"/>
  <c r="DK176" i="1" s="1"/>
  <c r="AU178" i="1"/>
  <c r="BC178" i="1"/>
  <c r="AU183" i="1"/>
  <c r="AU184" i="1"/>
  <c r="DK184" i="1" s="1"/>
  <c r="BC184" i="1"/>
  <c r="AU186" i="1"/>
  <c r="BC186" i="1"/>
  <c r="AU189" i="1"/>
  <c r="BC189" i="1"/>
  <c r="BK27" i="1"/>
  <c r="BK45" i="1"/>
  <c r="BK57" i="1"/>
  <c r="BK58" i="1"/>
  <c r="BK66" i="1"/>
  <c r="BK76" i="1"/>
  <c r="BK146" i="1"/>
  <c r="BK148" i="1"/>
  <c r="BK157" i="1"/>
  <c r="BK161" i="1"/>
  <c r="BK178" i="1"/>
  <c r="BK184" i="1"/>
  <c r="BK189" i="1"/>
  <c r="BS45" i="1"/>
  <c r="BS57" i="1"/>
  <c r="BS66" i="1"/>
  <c r="BS157" i="1"/>
  <c r="BS161" i="1"/>
  <c r="BS178" i="1"/>
  <c r="CA45" i="1"/>
  <c r="CA57" i="1"/>
  <c r="CA157" i="1"/>
  <c r="CA161" i="1"/>
  <c r="CI45" i="1"/>
  <c r="CI57" i="1"/>
  <c r="CI161" i="1"/>
  <c r="CQ45" i="1"/>
  <c r="CQ57" i="1"/>
  <c r="CQ161" i="1"/>
  <c r="CY57" i="1"/>
  <c r="DK2" i="1"/>
  <c r="DK4" i="1"/>
  <c r="DK5" i="1"/>
  <c r="DK6" i="1"/>
  <c r="DK7" i="1"/>
  <c r="DK8" i="1"/>
  <c r="DK9" i="1"/>
  <c r="DK10" i="1"/>
  <c r="DK11" i="1"/>
  <c r="DK12" i="1"/>
  <c r="DK13" i="1"/>
  <c r="DK14" i="1"/>
  <c r="DK15" i="1"/>
  <c r="DK16" i="1"/>
  <c r="DK17" i="1"/>
  <c r="DK18" i="1"/>
  <c r="DK19" i="1"/>
  <c r="DK20" i="1"/>
  <c r="DK21" i="1"/>
  <c r="DK22" i="1"/>
  <c r="DK24" i="1"/>
  <c r="DK25" i="1"/>
  <c r="DK26" i="1"/>
  <c r="DK28" i="1"/>
  <c r="DK29" i="1"/>
  <c r="DK30" i="1"/>
  <c r="DK32" i="1"/>
  <c r="DK33" i="1"/>
  <c r="DK34" i="1"/>
  <c r="DK35" i="1"/>
  <c r="DK36" i="1"/>
  <c r="DK37" i="1"/>
  <c r="DK38" i="1"/>
  <c r="DK39" i="1"/>
  <c r="DK40" i="1"/>
  <c r="DK41" i="1"/>
  <c r="DK44" i="1"/>
  <c r="DK46" i="1"/>
  <c r="DK48" i="1"/>
  <c r="DL50" i="1"/>
  <c r="DK52" i="1"/>
  <c r="DK54" i="1"/>
  <c r="DK56" i="1"/>
  <c r="DG57" i="1"/>
  <c r="DK58" i="1"/>
  <c r="DK60" i="1"/>
  <c r="DK62" i="1"/>
  <c r="DK64" i="1"/>
  <c r="DK66" i="1"/>
  <c r="DK68" i="1"/>
  <c r="DK70" i="1"/>
  <c r="DK72" i="1"/>
  <c r="DK74" i="1"/>
  <c r="DK76" i="1"/>
  <c r="DK78" i="1"/>
  <c r="DK80" i="1"/>
  <c r="DK82" i="1"/>
  <c r="DK84" i="1"/>
  <c r="DK86" i="1"/>
  <c r="DK88" i="1"/>
  <c r="DK90" i="1"/>
  <c r="DK92" i="1"/>
  <c r="DK94" i="1"/>
  <c r="DK96" i="1"/>
  <c r="DK98" i="1"/>
  <c r="DK100" i="1"/>
  <c r="DK102" i="1"/>
  <c r="DK104" i="1"/>
  <c r="DK106" i="1"/>
  <c r="DK108" i="1"/>
  <c r="DK110" i="1"/>
  <c r="DK112" i="1"/>
  <c r="DK114" i="1"/>
  <c r="DK116" i="1"/>
  <c r="DK118" i="1"/>
  <c r="DK120" i="1"/>
  <c r="DK122" i="1"/>
  <c r="DK124" i="1"/>
  <c r="DK126" i="1"/>
  <c r="DK128" i="1"/>
  <c r="DK130" i="1"/>
  <c r="DK132" i="1"/>
  <c r="DK134" i="1"/>
  <c r="DK136" i="1"/>
  <c r="DK138" i="1"/>
  <c r="DK140" i="1"/>
  <c r="DK142" i="1"/>
  <c r="DK144" i="1"/>
  <c r="DK146" i="1"/>
  <c r="DK148" i="1"/>
  <c r="DK150" i="1"/>
  <c r="DK152" i="1"/>
  <c r="DK154" i="1"/>
  <c r="DK156" i="1"/>
  <c r="DK158" i="1"/>
  <c r="DK160" i="1"/>
  <c r="DK162" i="1"/>
  <c r="DK164" i="1"/>
  <c r="DK166" i="1"/>
  <c r="DK168" i="1"/>
  <c r="DK170" i="1"/>
  <c r="DK173" i="1"/>
  <c r="DK174" i="1"/>
  <c r="DK175" i="1"/>
  <c r="DK177" i="1"/>
  <c r="DK179" i="1"/>
  <c r="DK180" i="1"/>
  <c r="DK181" i="1"/>
  <c r="DK182" i="1"/>
  <c r="DK183" i="1"/>
  <c r="DK186" i="1"/>
  <c r="DK188" i="1"/>
  <c r="DK190" i="1"/>
  <c r="DK178" i="1" l="1"/>
  <c r="DK27" i="1"/>
  <c r="DK189" i="1"/>
  <c r="DK167" i="1"/>
  <c r="DK163" i="1"/>
  <c r="DK161" i="1"/>
  <c r="DK159" i="1"/>
  <c r="DK157" i="1"/>
  <c r="DK153" i="1"/>
  <c r="DK151" i="1"/>
  <c r="DK137" i="1"/>
  <c r="DK133" i="1"/>
  <c r="DK129" i="1"/>
  <c r="DK115" i="1"/>
  <c r="DK113" i="1"/>
  <c r="DK107" i="1"/>
  <c r="DK79" i="1"/>
  <c r="DK65" i="1"/>
  <c r="DK47" i="1"/>
  <c r="DK45" i="1"/>
  <c r="DK43" i="1"/>
  <c r="DK57" i="1"/>
  <c r="DK192" i="1" s="1"/>
  <c r="DM3" i="1"/>
  <c r="DM4" i="1"/>
  <c r="DM5" i="1"/>
  <c r="DM6" i="1"/>
  <c r="DM7" i="1"/>
  <c r="DM8" i="1"/>
  <c r="DM9" i="1"/>
  <c r="DM10" i="1"/>
  <c r="DM11" i="1"/>
  <c r="DM12" i="1"/>
  <c r="DM13" i="1"/>
  <c r="DM14" i="1"/>
  <c r="DM15" i="1"/>
  <c r="DM16" i="1"/>
  <c r="DM17" i="1"/>
  <c r="DM18" i="1"/>
  <c r="DM19" i="1"/>
  <c r="DM20" i="1"/>
  <c r="DM21" i="1"/>
  <c r="DM22" i="1"/>
  <c r="DM23" i="1"/>
  <c r="DM24" i="1"/>
  <c r="DM25" i="1"/>
  <c r="DM26" i="1"/>
  <c r="DM27" i="1"/>
  <c r="DM28" i="1"/>
  <c r="DM29" i="1"/>
  <c r="DM30" i="1"/>
  <c r="DM31" i="1"/>
  <c r="DM32" i="1"/>
  <c r="DM33" i="1"/>
  <c r="DM34" i="1"/>
  <c r="DM35" i="1"/>
  <c r="DM36" i="1"/>
  <c r="DM37" i="1"/>
  <c r="DM38" i="1"/>
  <c r="DM39" i="1"/>
  <c r="DM40" i="1"/>
  <c r="DM41" i="1"/>
  <c r="DM42" i="1"/>
  <c r="DM43" i="1"/>
  <c r="DM44" i="1"/>
  <c r="DM45" i="1"/>
  <c r="DM46" i="1"/>
  <c r="DM47" i="1"/>
  <c r="DM48" i="1"/>
  <c r="DM49" i="1"/>
  <c r="DM50" i="1"/>
  <c r="DM51" i="1"/>
  <c r="DM52" i="1"/>
  <c r="DM53" i="1"/>
  <c r="DM54" i="1"/>
  <c r="DM55" i="1"/>
  <c r="DM56" i="1"/>
  <c r="DM57" i="1"/>
  <c r="DM58" i="1"/>
  <c r="DM59" i="1"/>
  <c r="DM60" i="1"/>
  <c r="DM61" i="1"/>
  <c r="DM62" i="1"/>
  <c r="DM63" i="1"/>
  <c r="DM64" i="1"/>
  <c r="DM65" i="1"/>
  <c r="DM66" i="1"/>
  <c r="DM67" i="1"/>
  <c r="DM68" i="1"/>
  <c r="DM69" i="1"/>
  <c r="DM70" i="1"/>
  <c r="DM71" i="1"/>
  <c r="DM72" i="1"/>
  <c r="DM73" i="1"/>
  <c r="DM74" i="1"/>
  <c r="DM75" i="1"/>
  <c r="DM76" i="1"/>
  <c r="DM77" i="1"/>
  <c r="DM78" i="1"/>
  <c r="DM79" i="1"/>
  <c r="DM80" i="1"/>
  <c r="DM81" i="1"/>
  <c r="DM82" i="1"/>
  <c r="DM83" i="1"/>
  <c r="DM84" i="1"/>
  <c r="DM85" i="1"/>
  <c r="DM86" i="1"/>
  <c r="DM87" i="1"/>
  <c r="DM88" i="1"/>
  <c r="DM89" i="1"/>
  <c r="DM90" i="1"/>
  <c r="DM91" i="1"/>
  <c r="DM92" i="1"/>
  <c r="DM93" i="1"/>
  <c r="DM94" i="1"/>
  <c r="DM95" i="1"/>
  <c r="DM96" i="1"/>
  <c r="DM97" i="1"/>
  <c r="DM98" i="1"/>
  <c r="DM99" i="1"/>
  <c r="DM100" i="1"/>
  <c r="DM101" i="1"/>
  <c r="DM102" i="1"/>
  <c r="DM103" i="1"/>
  <c r="DM104" i="1"/>
  <c r="DM105" i="1"/>
  <c r="DM106" i="1"/>
  <c r="DM107" i="1"/>
  <c r="DM108" i="1"/>
  <c r="DM109" i="1"/>
  <c r="DM110" i="1"/>
  <c r="DM111" i="1"/>
  <c r="DM112" i="1"/>
  <c r="DM113" i="1"/>
  <c r="DM114" i="1"/>
  <c r="DM115" i="1"/>
  <c r="DM116" i="1"/>
  <c r="DM117" i="1"/>
  <c r="DM118" i="1"/>
  <c r="DM119" i="1"/>
  <c r="DM120" i="1"/>
  <c r="DM121" i="1"/>
  <c r="DM122" i="1"/>
  <c r="DM123" i="1"/>
  <c r="DM124" i="1"/>
  <c r="DM125" i="1"/>
  <c r="DM126" i="1"/>
  <c r="DM127" i="1"/>
  <c r="DM128" i="1"/>
  <c r="DM129" i="1"/>
  <c r="DM130" i="1"/>
  <c r="DM131" i="1"/>
  <c r="DM132" i="1"/>
  <c r="DM133" i="1"/>
  <c r="DM134" i="1"/>
  <c r="DM135" i="1"/>
  <c r="DM136" i="1"/>
  <c r="DM137" i="1"/>
  <c r="DM138" i="1"/>
  <c r="DM139" i="1"/>
  <c r="DM140" i="1"/>
  <c r="DM141" i="1"/>
  <c r="DM142" i="1"/>
  <c r="DM143" i="1"/>
  <c r="DM144" i="1"/>
  <c r="DM145" i="1"/>
  <c r="DM146" i="1"/>
  <c r="DM147" i="1"/>
  <c r="DM148" i="1"/>
  <c r="DM149" i="1"/>
  <c r="DM150" i="1"/>
  <c r="DM151" i="1"/>
  <c r="DM152" i="1"/>
  <c r="DM153" i="1"/>
  <c r="DM154" i="1"/>
  <c r="DM155" i="1"/>
  <c r="DM156" i="1"/>
  <c r="DM157" i="1"/>
  <c r="DM158" i="1"/>
  <c r="DM159" i="1"/>
  <c r="DM160" i="1"/>
  <c r="DM161" i="1"/>
  <c r="DM162" i="1"/>
  <c r="DM163" i="1"/>
  <c r="DM164" i="1"/>
  <c r="DM165" i="1"/>
  <c r="DM166" i="1"/>
  <c r="DM167" i="1"/>
  <c r="DM168" i="1"/>
  <c r="DM169" i="1"/>
  <c r="DM170" i="1"/>
  <c r="DM171" i="1"/>
  <c r="DM172" i="1"/>
  <c r="DM173" i="1"/>
  <c r="DM174" i="1"/>
  <c r="DM175" i="1"/>
  <c r="DM176" i="1"/>
  <c r="DM177" i="1"/>
  <c r="DM178" i="1"/>
  <c r="DM179" i="1"/>
  <c r="DM180" i="1"/>
  <c r="DM181" i="1"/>
  <c r="DM182" i="1"/>
  <c r="DM183" i="1"/>
  <c r="DM184" i="1"/>
  <c r="DM185" i="1"/>
  <c r="DM186" i="1"/>
  <c r="DM187" i="1"/>
  <c r="DM188" i="1"/>
  <c r="DM189" i="1"/>
  <c r="DM190" i="1"/>
  <c r="DM191" i="1"/>
  <c r="DM2" i="1"/>
</calcChain>
</file>

<file path=xl/comments1.xml><?xml version="1.0" encoding="utf-8"?>
<comments xmlns="http://schemas.openxmlformats.org/spreadsheetml/2006/main">
  <authors>
    <author>Author</author>
  </authors>
  <commentList>
    <comment ref="BC94" authorId="0">
      <text>
        <r>
          <rPr>
            <b/>
            <sz val="9"/>
            <color indexed="81"/>
            <rFont val="Tahoma"/>
            <family val="2"/>
          </rPr>
          <t>Author:</t>
        </r>
        <r>
          <rPr>
            <sz val="9"/>
            <color indexed="81"/>
            <rFont val="Tahoma"/>
            <family val="2"/>
          </rPr>
          <t xml:space="preserve">
Need annual salaries.</t>
        </r>
      </text>
    </comment>
  </commentList>
</comments>
</file>

<file path=xl/sharedStrings.xml><?xml version="1.0" encoding="utf-8"?>
<sst xmlns="http://schemas.openxmlformats.org/spreadsheetml/2006/main" count="17569" uniqueCount="4387">
  <si>
    <t>Agency name</t>
  </si>
  <si>
    <t>Address</t>
  </si>
  <si>
    <t>City</t>
  </si>
  <si>
    <t>ZIP code</t>
  </si>
  <si>
    <t>County</t>
  </si>
  <si>
    <t>Phone number</t>
  </si>
  <si>
    <t>Fax number</t>
  </si>
  <si>
    <t>Tax ID number</t>
  </si>
  <si>
    <t>CEO Name</t>
  </si>
  <si>
    <t>Title</t>
  </si>
  <si>
    <t>E-mail</t>
  </si>
  <si>
    <t>CFO name</t>
  </si>
  <si>
    <t>Contact name</t>
  </si>
  <si>
    <t>Rank</t>
  </si>
  <si>
    <t>Cell phone number</t>
  </si>
  <si>
    <t>Did your agency receive funding from the Attorney General's 2010-2011 Drug Use Prevention Grant?</t>
  </si>
  <si>
    <t>2010-2011 grant number</t>
  </si>
  <si>
    <t>Program description</t>
  </si>
  <si>
    <t>Number of elementary schools</t>
  </si>
  <si>
    <t>Prescription Drug</t>
  </si>
  <si>
    <t>Number of students</t>
  </si>
  <si>
    <t>Number of middle schools</t>
  </si>
  <si>
    <t>Number of high schools</t>
  </si>
  <si>
    <t>Peace officer rank 1</t>
  </si>
  <si>
    <t>Peace officer name 1</t>
  </si>
  <si>
    <t>Peace officer salary 1</t>
  </si>
  <si>
    <t>Percent of time spent on drug use prevention 1</t>
  </si>
  <si>
    <t>Pay for drug use prevention work 1</t>
  </si>
  <si>
    <t>Eligible pay 1</t>
  </si>
  <si>
    <t>Peace officer rank 2</t>
  </si>
  <si>
    <t>Peace officer name 2</t>
  </si>
  <si>
    <t>Peace officer salary 2</t>
  </si>
  <si>
    <t>Percent of time spent on drug use prevention 2</t>
  </si>
  <si>
    <t>Pay for drug use prevention work 2</t>
  </si>
  <si>
    <t>Eligible pay 2</t>
  </si>
  <si>
    <t>Peace officer rank 3</t>
  </si>
  <si>
    <t>Peace officer name 3</t>
  </si>
  <si>
    <t>Peace officer salary 3</t>
  </si>
  <si>
    <t>Percent of time spent on drug use prevention 3</t>
  </si>
  <si>
    <t>Pay for drug use prevention work 3</t>
  </si>
  <si>
    <t>Eligible pay 3</t>
  </si>
  <si>
    <t>Peace officer rank 4</t>
  </si>
  <si>
    <t>Peace officer name 4</t>
  </si>
  <si>
    <t>Peace officer salary 4</t>
  </si>
  <si>
    <t>Percent of time spent on drug use prevention 4</t>
  </si>
  <si>
    <t>Pay for drug use prevention work 4</t>
  </si>
  <si>
    <t>Eligible pay 4</t>
  </si>
  <si>
    <t>Peace officer rank 5</t>
  </si>
  <si>
    <t>Peace officer name 5</t>
  </si>
  <si>
    <t>Peace officer salary 5</t>
  </si>
  <si>
    <t>Percent of time spent on drug use prevention 5</t>
  </si>
  <si>
    <t>Pay for drug use prevention work 5</t>
  </si>
  <si>
    <t>Eligible pay 5</t>
  </si>
  <si>
    <t>Peace officer rank 6</t>
  </si>
  <si>
    <t>Peace officer name 6</t>
  </si>
  <si>
    <t>Peace officer salary 6</t>
  </si>
  <si>
    <t>Percent of time spent on drug use prevention 6</t>
  </si>
  <si>
    <t>Pay for drug use prevention work 6</t>
  </si>
  <si>
    <t>Eligible pay 6</t>
  </si>
  <si>
    <t>Peace officer rank 7</t>
  </si>
  <si>
    <t>Peace officer name 7</t>
  </si>
  <si>
    <t>Peace officer salary 7</t>
  </si>
  <si>
    <t>Percent of time spent on drug use prevention 7</t>
  </si>
  <si>
    <t>Pay for drug use prevention work 7</t>
  </si>
  <si>
    <t>Eligible pay 7</t>
  </si>
  <si>
    <t>Peace officer rank 8</t>
  </si>
  <si>
    <t>Peace officer name 8</t>
  </si>
  <si>
    <t>Peace officer salary 8</t>
  </si>
  <si>
    <t>Percent of time spent on drug use prevention 8</t>
  </si>
  <si>
    <t>Pay for drug use prevention work 8</t>
  </si>
  <si>
    <t>Eligible pay 8</t>
  </si>
  <si>
    <t>Peace officer rank 9</t>
  </si>
  <si>
    <t>Peace officer name 9</t>
  </si>
  <si>
    <t>Peace officer salary 9</t>
  </si>
  <si>
    <t>Percent of time spent on drug use prevention 9</t>
  </si>
  <si>
    <t>Pay for drug use prevention work 9</t>
  </si>
  <si>
    <t>Eligible pay 9</t>
  </si>
  <si>
    <t>Peace officer rank 10</t>
  </si>
  <si>
    <t>Peace officer name 10</t>
  </si>
  <si>
    <t>Peace officer salary 10</t>
  </si>
  <si>
    <t>Percent of time spent on drug use prevention 10</t>
  </si>
  <si>
    <t>Pay for drug use prevention work 10</t>
  </si>
  <si>
    <t>Eligible pay 10</t>
  </si>
  <si>
    <t>Peace officer name 11</t>
  </si>
  <si>
    <t>Eligible pay 11</t>
  </si>
  <si>
    <t>Peace Officer Type 1</t>
  </si>
  <si>
    <t>Total amount requested</t>
  </si>
  <si>
    <t>Peace Officer Type 2</t>
  </si>
  <si>
    <t>Peace Officer Type 3</t>
  </si>
  <si>
    <t>Peace Officer Type 4</t>
  </si>
  <si>
    <t>Peace Officer Type 5</t>
  </si>
  <si>
    <t>Peace Officer Type 6</t>
  </si>
  <si>
    <t>Athens County Sheriff's Office</t>
  </si>
  <si>
    <t>13 W. Washington Street</t>
  </si>
  <si>
    <t>Athens</t>
  </si>
  <si>
    <t>45701</t>
  </si>
  <si>
    <t>Athens County</t>
  </si>
  <si>
    <t>(740) 592-3269</t>
  </si>
  <si>
    <t>(740) 593-3673</t>
  </si>
  <si>
    <t>31-6400063</t>
  </si>
  <si>
    <t>Patrick Kelly</t>
  </si>
  <si>
    <t>Sheriff</t>
  </si>
  <si>
    <t>sheriffkelly@athenssheriff.com</t>
  </si>
  <si>
    <t>Vicki Marshall</t>
  </si>
  <si>
    <t>vmarshall@athenssheriff.com</t>
  </si>
  <si>
    <t>Jimmy Childs</t>
  </si>
  <si>
    <t>Deputy Sheriff</t>
  </si>
  <si>
    <t/>
  </si>
  <si>
    <t>jchilds@athenssheriff.com</t>
  </si>
  <si>
    <t>Yes</t>
  </si>
  <si>
    <t>2012DUP</t>
  </si>
  <si>
    <t>Deputy Childs is Dare cerified and will be teaching the 10 week Dare Curriculum, Dare OTC RX abuse curriculum and portions of the Discover Film program to Athens County 6th grade students in four different school districts.</t>
  </si>
  <si>
    <t>4</t>
  </si>
  <si>
    <t>Deputy Childs will be teaching the Dare OTC RX Abuse curriculum and Discover Films program which also covers a section on street drugs and has videos to Athens County  students.</t>
  </si>
  <si>
    <t>1</t>
  </si>
  <si>
    <t>Deputy</t>
  </si>
  <si>
    <t>22526.50</t>
  </si>
  <si>
    <t>11263.25</t>
  </si>
  <si>
    <t>Both</t>
  </si>
  <si>
    <t>11,263.25</t>
  </si>
  <si>
    <t>Madison County Sheriff's Office</t>
  </si>
  <si>
    <t>London</t>
  </si>
  <si>
    <t>43140</t>
  </si>
  <si>
    <t>Madison County</t>
  </si>
  <si>
    <t>(740) 852-1332</t>
  </si>
  <si>
    <t>(740) 852-7125</t>
  </si>
  <si>
    <t>31-6400075</t>
  </si>
  <si>
    <t>James P. Sabin</t>
  </si>
  <si>
    <t>sabin@madisonsheriff.org</t>
  </si>
  <si>
    <t>Jennifer Hunter</t>
  </si>
  <si>
    <t>(740) 852-9717</t>
  </si>
  <si>
    <t>Chris Carter</t>
  </si>
  <si>
    <t>Sergeant</t>
  </si>
  <si>
    <t>carter@madisonsheriff.org</t>
  </si>
  <si>
    <t>2010DUP49-1049</t>
  </si>
  <si>
    <t>The Madison County Sheriff's Office exclusively, provides the standard DARE program to all school districts in Madison County. This next year will be our 24nd consecutive year. The 10 week program is provided to all middle school students, in Madison County. Deputy Braithwaite is assigned and in addition, conduct events such as dances, picnics and educational programs of DARE theme during non-school times.
The success of this program is seen daily and there is no end in sight based on the overwhelming support of this rural community.</t>
  </si>
  <si>
    <t>8</t>
  </si>
  <si>
    <t>5</t>
  </si>
  <si>
    <t>0</t>
  </si>
  <si>
    <t>Roberta Braithwaite</t>
  </si>
  <si>
    <t>$42,510</t>
  </si>
  <si>
    <t>$21,255</t>
  </si>
  <si>
    <t>DARE</t>
  </si>
  <si>
    <t>Bainbridge Township Police Department</t>
  </si>
  <si>
    <t>8353 Bainbridge Road</t>
  </si>
  <si>
    <t>Chagrin Falls</t>
  </si>
  <si>
    <t>44023</t>
  </si>
  <si>
    <t>Geauga County</t>
  </si>
  <si>
    <t>(440) 543-8252</t>
  </si>
  <si>
    <t>(440) 543-4797</t>
  </si>
  <si>
    <t>34-6000176</t>
  </si>
  <si>
    <t>Chief</t>
  </si>
  <si>
    <t>chief@pd.bainbridgetwp.com</t>
  </si>
  <si>
    <t>Roberta Nichols</t>
  </si>
  <si>
    <t>(440) 543-9871</t>
  </si>
  <si>
    <t>clerk@bainbridgetwp.com</t>
  </si>
  <si>
    <t>Brian C. Reardon</t>
  </si>
  <si>
    <t>Patrolman</t>
  </si>
  <si>
    <t>breardon70@yahoo.com</t>
  </si>
  <si>
    <t>If awarded the 2012-2013 Drug Use Prevention Grant, Ptl. Reardon will continue to instruct the Ten (10) week DARE Program at the Kenston Intermediate School and the Keepin It Real Program at the Kenston Middle School. By June of 2012 Ptl. Reardon will have completed DARE instruction with every Fifth and Eighth Grade student at the above schools. This would not have been possible without the funding provided by the Drug Use Prevention Grant. Ptl. Reardon will also continue to work closely with students at the Kenston High School with the on going Prom Promise and Your Life Your Choice programs.</t>
  </si>
  <si>
    <t>Because of the on going need for drug prevention education in our schools the Bainbridge Police Department will implement the Prescription Drug Abuse prevention program at the Kenston Intermediate School as part of the DARE Core Curriculum and at the Kenston Intermediate School and Kenston High School. Each student will be given the provided workbooks and needed materials to be properly educated in the DARE OTC/RX Drug Abuse program. The above programs will also be implemented during each schools Red Ribon Week and as a source of on going drug education throughout the school year. This will not only take place during formal DARE education sessions but will also be included during multiple police panel discussions that will take place at the Kenston Middle School and Kenston High School.</t>
  </si>
  <si>
    <t>500</t>
  </si>
  <si>
    <t>$35,000.00</t>
  </si>
  <si>
    <t>$17,500.00</t>
  </si>
  <si>
    <t>Toledo Police Department</t>
  </si>
  <si>
    <t>525 N. Erie</t>
  </si>
  <si>
    <t>Toledo</t>
  </si>
  <si>
    <t>43604</t>
  </si>
  <si>
    <t>Lucas County</t>
  </si>
  <si>
    <t>(419) 245-3224</t>
  </si>
  <si>
    <t>(419) 936-2402</t>
  </si>
  <si>
    <t>34-6401447</t>
  </si>
  <si>
    <t>Derrick Diggs</t>
  </si>
  <si>
    <t>(419) 245-3200</t>
  </si>
  <si>
    <t>derrick.diggs@toledo.oh.gov</t>
  </si>
  <si>
    <t>Louise Eggert</t>
  </si>
  <si>
    <t>(419) 245-3203</t>
  </si>
  <si>
    <t>louise.egger@toledo.oh.gov</t>
  </si>
  <si>
    <t>George Kral</t>
  </si>
  <si>
    <t>Captain</t>
  </si>
  <si>
    <t>george.kral@toledo.oh.gov</t>
  </si>
  <si>
    <t>No</t>
  </si>
  <si>
    <t>The Toledo Police Department program presentation will be designed to the specific needs of the community and the audience being addressed. The program will include SRO's conducting presentation regarding the prevention of drug use with the topics to be discussed including: drug trends, social influences, drug use effects, making the right choice, and the effects of drug use on those associated with you (friends, family, etc.). In addition to the formal presentations, SRO's will conduct individualized counseling and guidance for students based upon the individual student's needs.</t>
  </si>
  <si>
    <t>The Toledo Police Department will conduct a formal presentation to the students regarding the increasing occurence of prescription drug abuse. The presentation will include current factual data regarding occurence, effects, legal penalties, etc. The presentation will then be opened up to a question and answer / open discussion format to address additional needs of the students. The presentations will be followed up with individual counseling based upon the student's needs ensuring student athletes are targeted.</t>
  </si>
  <si>
    <t>2</t>
  </si>
  <si>
    <t>7</t>
  </si>
  <si>
    <t>Michael Habbe</t>
  </si>
  <si>
    <t>29214.64</t>
  </si>
  <si>
    <t>14607.32</t>
  </si>
  <si>
    <t>Amy Shaner</t>
  </si>
  <si>
    <t>William Michalski</t>
  </si>
  <si>
    <t>Johnny Taylor</t>
  </si>
  <si>
    <t>Phillip Carroll</t>
  </si>
  <si>
    <t>Penelope Halcomb</t>
  </si>
  <si>
    <t>Abraham Cruz</t>
  </si>
  <si>
    <t>Aaron Wizgen</t>
  </si>
  <si>
    <t>SRO</t>
  </si>
  <si>
    <t>116858.56</t>
  </si>
  <si>
    <t>Portsmouth Police Department</t>
  </si>
  <si>
    <t>728 Second Street</t>
  </si>
  <si>
    <t>Portsmouth</t>
  </si>
  <si>
    <t>45662</t>
  </si>
  <si>
    <t>Scioto County</t>
  </si>
  <si>
    <t>(740) 354-5538</t>
  </si>
  <si>
    <t>(740) 353-6973</t>
  </si>
  <si>
    <t>316400238</t>
  </si>
  <si>
    <t>Robert Ware</t>
  </si>
  <si>
    <t>rware@portsmouthohiopolice.com</t>
  </si>
  <si>
    <t>Trent Williams</t>
  </si>
  <si>
    <t>(740) 354-3737</t>
  </si>
  <si>
    <t>portsmouthfinancedepartment@zoomnet.net</t>
  </si>
  <si>
    <t>Laura Davis</t>
  </si>
  <si>
    <t>(740) 357-9673</t>
  </si>
  <si>
    <t>ldavis@portsmouthohiopolice.com</t>
  </si>
  <si>
    <t>2010DPU73-2210</t>
  </si>
  <si>
    <t>One DARE certified officer will present the Core Curriculum to 5th Graders in the Portsmouth City School District and the Sciotoville Community School District.  The DARE program for K-second grades and third-fourth grades will be taught in these same two school districts.  Drug Use Prevention presentations will be given at the local public Head Start Program. The Officer will include Prescription Drug Abuse education to all his presentations in the classroom and outside of the classroom.  
The Certified School Resource Officer will present AT LEAST two Drug Abuse Prevention presentations.  He will also be active in several Drug Abuse Prevention Actitivies such as Red Ribbon Week.  He will mentor students one-on-one regarding drug abuse prevention.  He will include Prescription Drug Abuse prevention in his activities and presentations.</t>
  </si>
  <si>
    <t>3</t>
  </si>
  <si>
    <t>The DARE Officer will use the DARE OTC/Rx Drug Abuse Program for his activities.
The SRO will use parts of the DARE OTC/Rx Drug Abuse Program for his activities, but will include other Grant Manager approved prevention materials.  The SRO will be a part of a local community group called the Scioto County Drug Action Team who's focus is Prescription Drug Abuse Prevention.  He will be part of a local effort to provide Prescription Drug Abuse Prevention education to high school aged students with the assitance of "SOLACE" who is a local group of family and friends who have been directly affected by someone else's Prescription Drug Abuse.</t>
  </si>
  <si>
    <t>Joe Shupert</t>
  </si>
  <si>
    <t>45365</t>
  </si>
  <si>
    <t>11341.25</t>
  </si>
  <si>
    <t>5670.53</t>
  </si>
  <si>
    <t>Corey Sommers</t>
  </si>
  <si>
    <t>34023.75</t>
  </si>
  <si>
    <t>17011.88</t>
  </si>
  <si>
    <t>22682.41</t>
  </si>
  <si>
    <t>Harrison County Sheriff's Office</t>
  </si>
  <si>
    <t>Cadiz</t>
  </si>
  <si>
    <t>43907</t>
  </si>
  <si>
    <t>Harrison County</t>
  </si>
  <si>
    <t>(740) 942-2197</t>
  </si>
  <si>
    <t>(740) 942-3295</t>
  </si>
  <si>
    <t>34-6001338</t>
  </si>
  <si>
    <t>harrisoncountysheriff@frontier.com</t>
  </si>
  <si>
    <t>Brandi Burton</t>
  </si>
  <si>
    <t>(740) 942-2198</t>
  </si>
  <si>
    <t>Eric Wilson</t>
  </si>
  <si>
    <t>deputyericdare@yahoo.com</t>
  </si>
  <si>
    <t>Sgt. Eric Wilson will be presenting the Elementary DARE lesson at Harrison North and East Elementary School, as well as the Middle School curriculum at Harrison Central Junior High School. Sgt. Wilson also provides one on one student counseling. Deputy R.A. Brooks, School Resource Officer for Harrison Central High School and Junior High will provide several school assemblies (Prom Promise, Mock Accident, Distracted Driving, and Drug Awareness) as well as provide one on one student counseling.</t>
  </si>
  <si>
    <t>Two</t>
  </si>
  <si>
    <t>Both officers will provide RX/OTC programs at their schools. Sgt. Wilson utilizes the “D.A.R.E. OTC/Rx Drug Abuse Program” to both Elementary and Middle School Students. Deputy Brooks works with local pharmacists in developing presentations, incorporating them as speakers as well as seeking commercial speakers to aid him in his educational efforts.</t>
  </si>
  <si>
    <t>One</t>
  </si>
  <si>
    <t>22,046.40</t>
  </si>
  <si>
    <t>11,023.20</t>
  </si>
  <si>
    <t>R.A. Brooks</t>
  </si>
  <si>
    <t>19,555.20</t>
  </si>
  <si>
    <t>9777.60</t>
  </si>
  <si>
    <t>20,800.80</t>
  </si>
  <si>
    <t>Clinton County Sheriff's Office</t>
  </si>
  <si>
    <t>1645 Davids Drive</t>
  </si>
  <si>
    <t>Wilmington</t>
  </si>
  <si>
    <t>45177</t>
  </si>
  <si>
    <t>Clinton County</t>
  </si>
  <si>
    <t>(937) 382-1611</t>
  </si>
  <si>
    <t>(937) 382-7530</t>
  </si>
  <si>
    <t>31-6000427</t>
  </si>
  <si>
    <t>Ralph D. Fizer, Jr.</t>
  </si>
  <si>
    <t>rfizerjr@clintonsheriff.com</t>
  </si>
  <si>
    <t>Terence Habermel</t>
  </si>
  <si>
    <t>(937) 382-2250</t>
  </si>
  <si>
    <t>Brian L. Prickett</t>
  </si>
  <si>
    <t>Chief Deputy</t>
  </si>
  <si>
    <t>blprickett@clintonsheriff.com</t>
  </si>
  <si>
    <t>2011DUP14-1014</t>
  </si>
  <si>
    <t>The Clinton County Sheriff's Office D.A.R.E. program services all of the school districts located in Clinton County.  The D.A.R.E. Officer will be teaching the Elementary and Middle School, Keepin it Real Program, the two Bulling Supplements and the D.A.R.E. OTC/Rx Drug abuse program to the 7 elementary and 3 middle schools.</t>
  </si>
  <si>
    <t>Connie Roberts</t>
  </si>
  <si>
    <t>$26,660.40</t>
  </si>
  <si>
    <t>$13,330.20</t>
  </si>
  <si>
    <t>Medina County Sheriff's Office</t>
  </si>
  <si>
    <t>555 Independence Dr.</t>
  </si>
  <si>
    <t>Medina</t>
  </si>
  <si>
    <t>44256</t>
  </si>
  <si>
    <t>Medina County</t>
  </si>
  <si>
    <t>(330) 725-0028</t>
  </si>
  <si>
    <t>(330) 764-8123</t>
  </si>
  <si>
    <t>34-6001851</t>
  </si>
  <si>
    <t>Neil F. Hassinger</t>
  </si>
  <si>
    <t>nhassinger@medinaco.org</t>
  </si>
  <si>
    <t>Scott Miller</t>
  </si>
  <si>
    <t>(330) 722-9204</t>
  </si>
  <si>
    <t>smiller@medinaco.org</t>
  </si>
  <si>
    <t>Dean C. Lesak</t>
  </si>
  <si>
    <t>Lieutenant</t>
  </si>
  <si>
    <t>(330) 764-3620</t>
  </si>
  <si>
    <t>dlesak@medinaco.org</t>
  </si>
  <si>
    <t>2011DUP52-1052</t>
  </si>
  <si>
    <t>Our agency currently has three deputies assigned to three local school districts within our county. They work within the capicity of DARE/SRO deputies. Depending on which school district it is, DARE is taught to kindergarten, first, third, fifth, sixth, seventh, ninth and tenth grades. Our deputies teach other courses and participate in school related activities throughout the school year. Some of these courses that are being taught are internet safety issues, drug prevention talks to the PTO, teaching and addressing bullying, participating in B.I.O.N.I.C. Night, Red Ribbon week, Prom Promise, S.A.D.D. and attend drug abuse and the Washington D.C. filed trips.</t>
  </si>
  <si>
    <t>Each DARE deputy in all three of the local school districts will teach the DARE OTC/RX Drug Abuse Program at the elementary school levels. One school district will further teach this at the middle school and high school levels. The deputy will instruct the students about the dangers of using and/or abusing prescription and/or over the counter drugs. This will include every day medications such as cold medicines. The dangers of "huffing" will also be taught. As with the standard DARE program, the OTC/RX program will continued to be reinforced throughout the school year.</t>
  </si>
  <si>
    <t>Sharon Centner</t>
  </si>
  <si>
    <t>$45,065.16</t>
  </si>
  <si>
    <t>$22,532.58</t>
  </si>
  <si>
    <t>Tracy Easterday</t>
  </si>
  <si>
    <t>$38,123.46</t>
  </si>
  <si>
    <t>$19,061.73</t>
  </si>
  <si>
    <t>David Pries</t>
  </si>
  <si>
    <t>$64,126.89</t>
  </si>
  <si>
    <t>45318</t>
  </si>
  <si>
    <t>Miami County</t>
  </si>
  <si>
    <t>(937) 473-2102</t>
  </si>
  <si>
    <t>(937) 473-3853</t>
  </si>
  <si>
    <t>31-6001039</t>
  </si>
  <si>
    <t>covingtonpdchief@bizwoh.rr.com</t>
  </si>
  <si>
    <t>(937) 473-3420</t>
  </si>
  <si>
    <t>villageofcovington@bizwoh.rr.com</t>
  </si>
  <si>
    <t>2010DUP55-2133</t>
  </si>
  <si>
    <t>Our drug prevention training is conducted by Ptl. Steve Blei. Officer Blei is a NASRO certified School Resource Officer and conducts many different classes geared towards the prevention of drug abuse. Officer blei spends 15 to 20 hours a month between all three school, using methods suggested by NASRO, to prevent the use of drugs and alcohol by our students.</t>
  </si>
  <si>
    <t>We are currently working in conjunction with the Miamicounty Sheriffs office to place prescription take back boxes in our city hall, as well as instructional programs offered by Officer Blei in our schools.</t>
  </si>
  <si>
    <t>8303.36</t>
  </si>
  <si>
    <t>4151.68</t>
  </si>
  <si>
    <t>Gallia County Sheriff's Office</t>
  </si>
  <si>
    <t>18 Locust Street</t>
  </si>
  <si>
    <t>Gallipolis</t>
  </si>
  <si>
    <t>45631</t>
  </si>
  <si>
    <t>Gallia County</t>
  </si>
  <si>
    <t>(740) 446-0734</t>
  </si>
  <si>
    <t>(740) 441-2933</t>
  </si>
  <si>
    <t>31-6400068</t>
  </si>
  <si>
    <t>Joseph R Browning</t>
  </si>
  <si>
    <t>jbrowning@gallianet.net</t>
  </si>
  <si>
    <t>Heather Casto</t>
  </si>
  <si>
    <t>hcasto@gallianet.net</t>
  </si>
  <si>
    <t>Richard Grau</t>
  </si>
  <si>
    <t>(740) 446-4614</t>
  </si>
  <si>
    <t>rgrau@gallianet.net</t>
  </si>
  <si>
    <t>2011DUP27-2027</t>
  </si>
  <si>
    <t>The Gallia County Sheriff’s Office will provide a deputy sheriff to reach out in each of the Gallia County Local School districts elementary, middle and high schools on a rotational basis. The Sheriff’s Office has obtained training for the deputy assigned to this task as an SRO and will require that anti-drug programs be presented in each school. These programs will be coordinated with school staff. Current anti-bullying and anti-substance abuse programs will be enhanced to reach more at risk youth.  The Sheriff’s office would like to participate in out of school programs for the youth as well.  The Sheriff’s deputy will spend at least ½ of his 4o hr. week in these schools. The interaction gained from talking and teaching students and staff will greatly assist us in the goal of reducing drug abuse and overdose problems in our community.</t>
  </si>
  <si>
    <t>The Gallia County Sheriff’s Office will use the safety pup drug abuse and education material for the elementary and middle school age children. We will coordinate with FACTS (Family Addiction Treatment Services) to present programs to the High school level students including special programs.  Students will be able to participate in events, training and strategies for reducing prescription pill abuse in our community.  The sheriff also plans on coordinating with other agencies to bring training to teaching staff throughout the school district and county.  If DARE/OTC/Rx is made available to SRO’s, the sheriff will bring those programs in as well.  While coordinating with school staff, the deputy assigned to this task will be required to be available to consult with staff and students in formal and informal group and one on one meetings to counsel students having issues with drug abuse.</t>
  </si>
  <si>
    <t>Jimmy Spears</t>
  </si>
  <si>
    <t>20941.44</t>
  </si>
  <si>
    <t>10470.72</t>
  </si>
  <si>
    <t>$10,470.72</t>
  </si>
  <si>
    <t>108 W Court Street</t>
  </si>
  <si>
    <t>Woodsfield</t>
  </si>
  <si>
    <t>43793</t>
  </si>
  <si>
    <t>Monroe County</t>
  </si>
  <si>
    <t>(740) 472-1612</t>
  </si>
  <si>
    <t>(740) 472-5132</t>
  </si>
  <si>
    <t>34-6001918</t>
  </si>
  <si>
    <t>chuck.black@monroesheriff.com</t>
  </si>
  <si>
    <t>(740) 472-0873</t>
  </si>
  <si>
    <t>monroecountyauditor@yahoo.com</t>
  </si>
  <si>
    <t>Vicki D. English</t>
  </si>
  <si>
    <t>mcso@gmn4u.com</t>
  </si>
  <si>
    <t>2011DUP56-1056</t>
  </si>
  <si>
    <t>I, Deputy Joe Kress will be instructing the Drug Use Prevention Pprogram. I have just completed my D.A.R.E training at Virginia Beach. I am currently a D.A.R.E/SRO/ K-9 handler. I have knowledge of drugs, including perscription drugs and the problems with students using or trying them. I feel by instructing the students, I will be able to help their outlook on the problem. With our schools being in a rural area, there is nothing to do to keep kids busy. I hope we receive this grant so we can get started putting the students lives on the right track. Not all students will be helped but the ones that do is great progress. Being able to say you helped a few makes the program worth teaching.
Thank You,
Joe Kress</t>
  </si>
  <si>
    <t>Joe will teaching the standard 10 week, 10 lession program that is pescribed by the DARE Association of Ohio.  This will also include lesson the the DARE OTC/RX Drug Abuse.  Monroe County receieved a RX Drug Grant in 2011 in the amount of $10,000. This grant was utilized in serveral suituations to stop OTC/RX Drug traffic.</t>
  </si>
  <si>
    <t>Joseph Kress</t>
  </si>
  <si>
    <t>15901.60</t>
  </si>
  <si>
    <t>7950.80</t>
  </si>
  <si>
    <t>$ 7,950.80</t>
  </si>
  <si>
    <t>44138</t>
  </si>
  <si>
    <t>Cuyahoga County</t>
  </si>
  <si>
    <t>Patrol Officer</t>
  </si>
  <si>
    <t>Portage County Sheriff's Office</t>
  </si>
  <si>
    <t>8240 Infirmary Rd.</t>
  </si>
  <si>
    <t>Ravenna</t>
  </si>
  <si>
    <t>44266</t>
  </si>
  <si>
    <t>Portage County</t>
  </si>
  <si>
    <t>(330) 678-7012</t>
  </si>
  <si>
    <t>(330) 297-3887</t>
  </si>
  <si>
    <t>34-6002242</t>
  </si>
  <si>
    <t>David W. Doak</t>
  </si>
  <si>
    <t>(330) 297-3682</t>
  </si>
  <si>
    <t>ddoak@portageco.com</t>
  </si>
  <si>
    <t>Ronald K. Rost</t>
  </si>
  <si>
    <t>(330) 298-3031</t>
  </si>
  <si>
    <t>rrost@portageco.com</t>
  </si>
  <si>
    <t>Susan Hillegas</t>
  </si>
  <si>
    <t>Detective</t>
  </si>
  <si>
    <t>shillegas@portageco.com</t>
  </si>
  <si>
    <t>2011DUP67-1067</t>
  </si>
  <si>
    <t>We will send two officers to the Ohio DARE School, revising our D.U.P. program and using a new 5th grade curriculum.  The three current officers will receive the updates at the conference.
Detectives Burns &amp; Scherer will be SRO officers. Detectives Hillegas, Scherer, and new officers will teach the middle and high school program, focusing on mentoring and counseling students on peer pressure and drug and alcohol abuse.
Since the Chardon incident we have had several copycat threats.  We will continue to have officers in the schools talking to students and staff.
We will also continue with safety town, kindergarten gun safety program, and D.U.P. in elementary, middle, and high schools.</t>
  </si>
  <si>
    <t>To Be Determined</t>
  </si>
  <si>
    <t>15,300</t>
  </si>
  <si>
    <t>7,650</t>
  </si>
  <si>
    <t>25,500</t>
  </si>
  <si>
    <t>12,750</t>
  </si>
  <si>
    <t>40,800</t>
  </si>
  <si>
    <t>20,400</t>
  </si>
  <si>
    <t>Bedford Police Department</t>
  </si>
  <si>
    <t>165 Center Road</t>
  </si>
  <si>
    <t>Bedford</t>
  </si>
  <si>
    <t>44146</t>
  </si>
  <si>
    <t>(440) 232-1234</t>
  </si>
  <si>
    <t>(440) 232-4371</t>
  </si>
  <si>
    <t>A-17728085</t>
  </si>
  <si>
    <t>Gregory A. Duber</t>
  </si>
  <si>
    <t>chiefofpolice@bedfordoh.gov</t>
  </si>
  <si>
    <t>Frank Gambosi</t>
  </si>
  <si>
    <t>(440) 232-1600</t>
  </si>
  <si>
    <t>fgambosi@bedfordoh.gov</t>
  </si>
  <si>
    <t>gduber@bedfordoh.gov</t>
  </si>
  <si>
    <t>2011DUP18-2090</t>
  </si>
  <si>
    <t>The ten week DARE program is presented at Holy Spirit Academy to twenty students. The Drug Abuse Prevention presentation is conducted at the high school to fit in with the health curriculum. Approximately 130 students are presented to at the high school</t>
  </si>
  <si>
    <t>Included in the drug prevention presentation at the high school level is a section on prescription and other the counter (OTC) drugs.</t>
  </si>
  <si>
    <t>Keith Collins</t>
  </si>
  <si>
    <t>16250</t>
  </si>
  <si>
    <t>$8,125</t>
  </si>
  <si>
    <t>New Lexington</t>
  </si>
  <si>
    <t>43764</t>
  </si>
  <si>
    <t>Perry County</t>
  </si>
  <si>
    <t>(740) 342-4123</t>
  </si>
  <si>
    <t>(740) 342-2394</t>
  </si>
  <si>
    <t>31-6400082</t>
  </si>
  <si>
    <t>William R. Barker</t>
  </si>
  <si>
    <t>perrycountysheriffsoffice@rrohio.com</t>
  </si>
  <si>
    <t>Teresa Stevenson</t>
  </si>
  <si>
    <t>(740) 342-2074</t>
  </si>
  <si>
    <t>auditortersa@hotmail.com</t>
  </si>
  <si>
    <t>The School Resource Officer assigned to the Southern Local School District will integrate drug prevention programming within the curriculum of the Southern Local School District.  One of the assigned duties of the SRO includes working with school counselors and principals to implement a safety, violence, and drug abuse prevention program seamlessly K-12.  This programming will be presented to elementary school students in a partnership with the elementary guidance counselor.  The high school curriculum will be based on the SRO curriculum and be presented to the students in small groups and school wide assemblies.  The small group instruction with students will focus on making appropriate social choices regarding building self-esteem, friendship skills, bullying prevention, and life skills in grades Kindergarten through Grade 6.  These will be planned in twenty minute engaging mini-lessons in classrooms about making good choices.  The School Resource Officer will partner with the Guidance Counselor to include the drug prevention program within these lessons in the appropriate grade levels.  At the high school level the lessons will focus on grades 7 and 8 in small group settings and in grades 9-12 school wide events.</t>
  </si>
  <si>
    <t>The drug abuse prevention program will be based on the School Resource Officer and DARE programming.   The officer's presence in the school will enhance the community partnerships.   The direct instruction and positive relationship building with the officer will teach the students about making healthy lifestyle choices through mini lessons in grades 7 and 8. Programming in grades 9-12 that is schoolwide will include red-ribbon week and prom promise.  The SRO will also do mini counseling sessions on an as needed basis with individuals or small groups of students to further strengthen the programming in grades k-12</t>
  </si>
  <si>
    <t>Kevin Page</t>
  </si>
  <si>
    <t>7256.00</t>
  </si>
  <si>
    <t>3628.00</t>
  </si>
  <si>
    <t>Hillsboro</t>
  </si>
  <si>
    <t>45133</t>
  </si>
  <si>
    <t>Highland County</t>
  </si>
  <si>
    <t>(937) 840-6263</t>
  </si>
  <si>
    <t>(937) 840-6241</t>
  </si>
  <si>
    <t>31-6000059</t>
  </si>
  <si>
    <t>rward@highlandcoso.com</t>
  </si>
  <si>
    <t>Jacquiline Barrera</t>
  </si>
  <si>
    <t>jacquiebarrera@yahoo.com</t>
  </si>
  <si>
    <t>2010DUP36-1036</t>
  </si>
  <si>
    <t>The Highland Co Sheriff's Office maintains a full DARE curriculum in all five school districts of our county.  Grant funding is crucial to our program's continuation due to massive budget cuts to our office.  
Our DARE Officer teaches the standard 10-week curriculum and uses patrol/detective deputies to assist in promoting seatbelt usage/traffic safety.  
Our DARE sponsors dances and youth activities in efforts of drug prevention and education to the youth/parents of county citizens.  Our DARE sponsors DAREfest, August, 2012; DARE Golf Outing, June, 2012; educational booths:  2012 Highland Co. Fair and 2012 Festival of Bells.</t>
  </si>
  <si>
    <t>DARE Rx/OTC Program.</t>
  </si>
  <si>
    <t>36816.00</t>
  </si>
  <si>
    <t>18,408.00</t>
  </si>
  <si>
    <t>$18,408.00</t>
  </si>
  <si>
    <t>Erie County Sheriff's Office</t>
  </si>
  <si>
    <t>2800 Columbus Ave.</t>
  </si>
  <si>
    <t>Sandusky</t>
  </si>
  <si>
    <t>44870</t>
  </si>
  <si>
    <t>Erie County</t>
  </si>
  <si>
    <t>(419) 625-7951</t>
  </si>
  <si>
    <t>(419) 627-7547</t>
  </si>
  <si>
    <t>34-6400428</t>
  </si>
  <si>
    <t>Terry M. Lyons</t>
  </si>
  <si>
    <t>tlyons@eriecounty.oh.gov</t>
  </si>
  <si>
    <t>swestcott@eriecounty.oh.gov</t>
  </si>
  <si>
    <t>Roberta A. Wiedle</t>
  </si>
  <si>
    <t>rwiedle@eriecounty.oh.gov</t>
  </si>
  <si>
    <t>2011DUP22-1022</t>
  </si>
  <si>
    <t>Deputy Chad Henderson is the DARE Officer for the Erie County Sheriff's Office 2012-2013 program.  The DARE Program consists of one (1) eight (8) hour day each week for a seventeen (17) week period.  The DARE Program is taught at two (2) different school districts, for a total of a thirty-four (34) week period combined, or two hundred seventy-two (272) hours.</t>
  </si>
  <si>
    <t>Chad Henderson</t>
  </si>
  <si>
    <t>6598.38</t>
  </si>
  <si>
    <t>3299.19</t>
  </si>
  <si>
    <t>19 N. Canal St.</t>
  </si>
  <si>
    <t>Newton Falls</t>
  </si>
  <si>
    <t>44444</t>
  </si>
  <si>
    <t>Trumbull County</t>
  </si>
  <si>
    <t>(330) 872-5757</t>
  </si>
  <si>
    <t>(330) 872-1208</t>
  </si>
  <si>
    <t>34-6002022</t>
  </si>
  <si>
    <t>John Kuivila</t>
  </si>
  <si>
    <t>jkuivilanfpd@gmail.com</t>
  </si>
  <si>
    <t>Tracy Reimbold</t>
  </si>
  <si>
    <t>(330) 872-1010</t>
  </si>
  <si>
    <t>financedirector@ci.newtonfalls.oh.us</t>
  </si>
  <si>
    <t>Sheri Bailey Jervis</t>
  </si>
  <si>
    <t>Officer</t>
  </si>
  <si>
    <t>sbaileynfpd@gmail.com</t>
  </si>
  <si>
    <t>2011DUP78-2253</t>
  </si>
  <si>
    <t>General Educations classes provided using the information from the Attorney Generals Office and materials provided by the National Child Safety Council. The target will be drug use prevention, safety, after school safety, bullying, texting and sexting. General patrols will be provided of all three public schools along with student assistance and the gathering of general intelligence for the department.</t>
  </si>
  <si>
    <t>The Newton Falls Police Department has put a significant amount of time and training into learning more about the prescription drug abuse problem. Our community is facing a huge problem with prescription drug over-doses. We are continuously working to provide more information and training that can be passed onto the school aged children within the community.</t>
  </si>
  <si>
    <t>11775.00</t>
  </si>
  <si>
    <t>Marietta Police Department</t>
  </si>
  <si>
    <t>301 Putnam Street</t>
  </si>
  <si>
    <t>Marietta</t>
  </si>
  <si>
    <t>45750</t>
  </si>
  <si>
    <t>Washington County</t>
  </si>
  <si>
    <t>(740) 376-2007</t>
  </si>
  <si>
    <t>(740) 373-3742</t>
  </si>
  <si>
    <t>316400232</t>
  </si>
  <si>
    <t>Brett L. McKitrick</t>
  </si>
  <si>
    <t>brettmckitrick@mariettaoh.net</t>
  </si>
  <si>
    <t>Sherri J. Hess</t>
  </si>
  <si>
    <t>(740) 373-0473</t>
  </si>
  <si>
    <t>sherrihess@mariettaoh.net</t>
  </si>
  <si>
    <t>George P. Gragan</t>
  </si>
  <si>
    <t>Officer</t>
  </si>
  <si>
    <t>patgragan@mariettaoh.net</t>
  </si>
  <si>
    <t>2011DUP84-2245</t>
  </si>
  <si>
    <t>The DARE elementary curriculum will be presented in the four elementary schools in the Marietta City Schools system. The DARE middle school curriculum will be presented at the Marietta Middle School/</t>
  </si>
  <si>
    <t>15,941.12</t>
  </si>
  <si>
    <t>7970.56</t>
  </si>
  <si>
    <t>Geauga County Sheriff's Office</t>
  </si>
  <si>
    <t>12450 Merritt Road</t>
  </si>
  <si>
    <t>Chardon</t>
  </si>
  <si>
    <t>44024</t>
  </si>
  <si>
    <t>(440) 279-2070</t>
  </si>
  <si>
    <t>(440) 286-3251</t>
  </si>
  <si>
    <t>34-6001208</t>
  </si>
  <si>
    <t>Daniel C. McClelland</t>
  </si>
  <si>
    <t>(440) 279-2068</t>
  </si>
  <si>
    <t>dmcclelland@co.geauga.oh.us</t>
  </si>
  <si>
    <t>Chris Kenndey</t>
  </si>
  <si>
    <t>(410) 279-2064</t>
  </si>
  <si>
    <t>ckennedy@co.geauga.oh.us</t>
  </si>
  <si>
    <t>Jeffrey Powers</t>
  </si>
  <si>
    <t>jpowers@co.geauga.oh.us</t>
  </si>
  <si>
    <t>2011DUP28-1028</t>
  </si>
  <si>
    <t>The Geauga County Sheriff’s Office will be instructing the standard 10 week elementary and middle school D.A.R.E. programs.  These will be instructed by Deputies Roy Lundstrom and Jim Hudson.  Both Deputies are D.A.R.E. certified for instructing both the elementary and middle school D.A.R.E.  programs.  Deputies Lundstrom and Hudson have also stayed up to date with local ATOD trends to provide the most current information for instruction.</t>
  </si>
  <si>
    <t>Deputy</t>
  </si>
  <si>
    <t>Roy Lundstrom</t>
  </si>
  <si>
    <t>44,218.51</t>
  </si>
  <si>
    <t>22,109.25</t>
  </si>
  <si>
    <t>Jim Hudson</t>
  </si>
  <si>
    <t>37,731.40</t>
  </si>
  <si>
    <t>18,865.70</t>
  </si>
  <si>
    <t>$40,974.95</t>
  </si>
  <si>
    <t>Wood County Sheriff's Office</t>
  </si>
  <si>
    <t>1960 E. Gypsy Lane Rd.</t>
  </si>
  <si>
    <t>Bowling Green</t>
  </si>
  <si>
    <t>43402</t>
  </si>
  <si>
    <t>Wood County</t>
  </si>
  <si>
    <t>(419) 354-9348</t>
  </si>
  <si>
    <t>(419) 373-6526</t>
  </si>
  <si>
    <t>34-6401607</t>
  </si>
  <si>
    <t>Mark Wasylyshyn</t>
  </si>
  <si>
    <t>(419) 354-9008</t>
  </si>
  <si>
    <t>mwasylyshyn@co.wood.oh.us</t>
  </si>
  <si>
    <t>Lenny Vidra</t>
  </si>
  <si>
    <t>(419) 354-9005</t>
  </si>
  <si>
    <t>lvidra@co.wood.oh.us</t>
  </si>
  <si>
    <t>Eric Reynolds</t>
  </si>
  <si>
    <t>ereynolds@co.wood.oh.us</t>
  </si>
  <si>
    <t>2011DUP87-1087</t>
  </si>
  <si>
    <t>The program will provide DARE K-4 curriculum throughout our ten elementary schools within six school districts.  The DARE "CORE" curriculum will be instructed to the last elementary or first middle school grade level students.  A public culmination will complete this curriculum.  Our three middle schools within our service area  students will be instructed with the DARE "Keeping it Real" curriculum.  A "CORE" class will also be taught at our local vocational school to handicapped students.  When not in the classroom deputies will be available to teach legal aspects, safe driving, bullying etc.. to high school students and be available for students and staff at lunch and recess and act as a mentor/role model to students.</t>
  </si>
  <si>
    <t>The program will include what is safe to touch/eat to grades K-4 to include medication in our elementary grades.  Elementary "Core" and also Middle School "Keeping it Real" prescription medication safety will be taught in conjunction with those curriculums.</t>
  </si>
  <si>
    <t>Greg Johns</t>
  </si>
  <si>
    <t>$44,928</t>
  </si>
  <si>
    <t>$22,464</t>
  </si>
  <si>
    <t>Brian Bonnough</t>
  </si>
  <si>
    <t>$43,555</t>
  </si>
  <si>
    <t>$21,777</t>
  </si>
  <si>
    <t>Rod Smith</t>
  </si>
  <si>
    <t>$22,318</t>
  </si>
  <si>
    <t>$11,159</t>
  </si>
  <si>
    <t>$77,177</t>
  </si>
  <si>
    <t>Morgan County Sheriff's Office</t>
  </si>
  <si>
    <t>37 East Main Street</t>
  </si>
  <si>
    <t>McConnelsville</t>
  </si>
  <si>
    <t>43756</t>
  </si>
  <si>
    <t>Morgan County</t>
  </si>
  <si>
    <t>(740) 962-4044</t>
  </si>
  <si>
    <t>(740) 962-4035</t>
  </si>
  <si>
    <t>31-6400078</t>
  </si>
  <si>
    <t>brad.bond@morgancounty-oh.gov</t>
  </si>
  <si>
    <t>Alicia Medley</t>
  </si>
  <si>
    <t>alicia.medley@morgancounty-oh.gov</t>
  </si>
  <si>
    <t>Brad Bond</t>
  </si>
  <si>
    <t>2011DUP 58-105</t>
  </si>
  <si>
    <t>Lieuntenat Brad Bond is a certified D.A.R.E. Officer and will be conducting the Ten-week, Dare, Core Curriculum to all fifth graders in Morgan County.</t>
  </si>
  <si>
    <t>Lieuntenat Brad Bond is a certified D.A.R.E. Officer and will be conducting the Ten-week, Dare, Core Curriculum to all fifth graders in Morgan County. He will include the "D.A.R.E. OTC/Rx, Prescription Drug Abuse Program along with the standard Dare curriculum. This information will be included in the Mid-Year and Final reports.</t>
  </si>
  <si>
    <t>28,844.25</t>
  </si>
  <si>
    <t>14,422.12</t>
  </si>
  <si>
    <t>14.422.12</t>
  </si>
  <si>
    <t>Tipp City Police Department</t>
  </si>
  <si>
    <t>260 S. Garber Drive</t>
  </si>
  <si>
    <t>Tipp City</t>
  </si>
  <si>
    <t>45371</t>
  </si>
  <si>
    <t>(937) 667-3112</t>
  </si>
  <si>
    <t>(937) 667-7529</t>
  </si>
  <si>
    <t>310792424</t>
  </si>
  <si>
    <t>Thomas N. Davidson</t>
  </si>
  <si>
    <t>davidsont@tippcity.net</t>
  </si>
  <si>
    <t>John Green</t>
  </si>
  <si>
    <t>(937) 667-8424</t>
  </si>
  <si>
    <t>greenj@tippcity.net</t>
  </si>
  <si>
    <t>Daniel Rittenhouse</t>
  </si>
  <si>
    <t>rittenhoused@tippcity.net</t>
  </si>
  <si>
    <t>2010DUP55-2241</t>
  </si>
  <si>
    <t>Officer Rittenhouse will present the 10-week DARE curriculum and related activities within the Tipp City School District. Officer Rittenhouse will present the elementary level DARE program to approximately 300 students and will spend additional time beyond the core curriculum counseling individual students and meeting with parents and school staff about drug related concenrs and preventive measures.</t>
  </si>
  <si>
    <t>Officer Rittenhouse will teach the DARE OTC/Rx Drug Abuse Program as an integral part of the core DARE curriculum in those portions most applicable. Officer Rittenhouse will also conduct a separate DARE OTC/Rx Drug Abuse class to specifically address the issue with the students.</t>
  </si>
  <si>
    <t>$42,922.88</t>
  </si>
  <si>
    <t>$21,461.44</t>
  </si>
  <si>
    <t>$ 21,461.44</t>
  </si>
  <si>
    <t>Fairfield Police Department</t>
  </si>
  <si>
    <t>5230 Pleasant Avenue</t>
  </si>
  <si>
    <t>Fairfield</t>
  </si>
  <si>
    <t>45014</t>
  </si>
  <si>
    <t>Butler County</t>
  </si>
  <si>
    <t>(513) 829-8201</t>
  </si>
  <si>
    <t>(513) 867-6018</t>
  </si>
  <si>
    <t>31-06006598</t>
  </si>
  <si>
    <t>Michael J. Dickey</t>
  </si>
  <si>
    <t>(513) 867-6015</t>
  </si>
  <si>
    <t>mdickey@fairfield-city.org</t>
  </si>
  <si>
    <t>Mary Hopton</t>
  </si>
  <si>
    <t>(513) 896-8100</t>
  </si>
  <si>
    <t>mhopton@fairfield-city.org</t>
  </si>
  <si>
    <t>Officer Gregg Lamb will be teaching the standard 10-week D.A.R.E. curriculum (once each semester) during the 2012-2013 school year at Fairfield Intermediate School.  The remaining time each semester will be spent at the three elementary schools (West, South and Central) presenting drug use prevention programs.</t>
  </si>
  <si>
    <t>Gregg Lamb</t>
  </si>
  <si>
    <t>53,196</t>
  </si>
  <si>
    <t>26,598</t>
  </si>
  <si>
    <t>$26,598</t>
  </si>
  <si>
    <t>Upper Arlington Division Of Police</t>
  </si>
  <si>
    <t>3600 Tremont Road</t>
  </si>
  <si>
    <t>Upper Arlington</t>
  </si>
  <si>
    <t>43221</t>
  </si>
  <si>
    <t>Franklin County</t>
  </si>
  <si>
    <t>(614) 583-5150</t>
  </si>
  <si>
    <t>(614) 437-8616</t>
  </si>
  <si>
    <t>31-6400239</t>
  </si>
  <si>
    <t>Brian Quinn</t>
  </si>
  <si>
    <t>(614) 583-5192</t>
  </si>
  <si>
    <t>bquinn@uaoh.net</t>
  </si>
  <si>
    <t>Cathe Armstrong</t>
  </si>
  <si>
    <t>(614) 583-5282</t>
  </si>
  <si>
    <t>carmstrong@uaoh.net</t>
  </si>
  <si>
    <t>Scott Metcalf</t>
  </si>
  <si>
    <t>(614) 583-5196</t>
  </si>
  <si>
    <t>smetcalf@uaoh.net</t>
  </si>
  <si>
    <t>2010DUP25-2089</t>
  </si>
  <si>
    <t>During the school year Officers Galli and Metcalf present The elementary and middle school D.A.R.E. programs to all of our public schools. Officer Metcalf is full time presenting an 11 week D.A.R.E. program to 4 public elementary (and 2 Catholic schools even though these are not funded by the grant)schools.He also presents a 10 day Keepin' it REAL program at 1 middle school every quarter (and at both Catholic schools also). Officer Galli is partime presenting a 10 week D.A.R.E. program at 1 elementary school and a 10 day Keepin' it REAL program at our other middle school every quarter.</t>
  </si>
  <si>
    <t>Officers Galli and Metcalf include OTC/RX Drug Abuse presentations at both levels in their curriculums.</t>
  </si>
  <si>
    <t>58,050</t>
  </si>
  <si>
    <t>29,025</t>
  </si>
  <si>
    <t>Heather Galli</t>
  </si>
  <si>
    <t>19,350</t>
  </si>
  <si>
    <t>9,675</t>
  </si>
  <si>
    <t>38,700</t>
  </si>
  <si>
    <t>113 North Market Street</t>
  </si>
  <si>
    <t>Van Wrt</t>
  </si>
  <si>
    <t>45891</t>
  </si>
  <si>
    <t>Van Wert County</t>
  </si>
  <si>
    <t>(419) 238-3866</t>
  </si>
  <si>
    <t>(419) 238-9531</t>
  </si>
  <si>
    <t>34 640 1507</t>
  </si>
  <si>
    <t>Stan D. Owens</t>
  </si>
  <si>
    <t>sowens@vanwertcountysheriff.com</t>
  </si>
  <si>
    <t>Nancy Dixon</t>
  </si>
  <si>
    <t>(419) 238-0842</t>
  </si>
  <si>
    <t>auditor@vanwertcounty.org</t>
  </si>
  <si>
    <t>Keith Allen</t>
  </si>
  <si>
    <t>kallen@vanwertcountysheriff.com</t>
  </si>
  <si>
    <t>2011DUP81-1081</t>
  </si>
  <si>
    <t>Will conduct the 10 week Elementary program at Crestview and Lincolnview, will conduct the junior high program REAL in Crestview, Lincolnview and Marsh Foundation School. Will conduct K to 4 programs in Crestview and Lincolnview. Will Also conduct the D.A.R.E. Rx and Otc Abuse program in Both elementary and junior high.</t>
  </si>
  <si>
    <t>Plan on conducting the RX and OTC Drug Abuse program in either the 5th or 6th grade of each elementary and also 7th or 8th grade in the Junior High. Consisting of two lessons</t>
  </si>
  <si>
    <t>Chief  Deputy</t>
  </si>
  <si>
    <t>30,415.94</t>
  </si>
  <si>
    <t>15,207.64</t>
  </si>
  <si>
    <t>$15,207.64</t>
  </si>
  <si>
    <t>Milford Police Department</t>
  </si>
  <si>
    <t>745 Center Street</t>
  </si>
  <si>
    <t>Milford</t>
  </si>
  <si>
    <t>45150</t>
  </si>
  <si>
    <t>Clermont County</t>
  </si>
  <si>
    <t>(513) 248-5084</t>
  </si>
  <si>
    <t>(513) 248-5089</t>
  </si>
  <si>
    <t>31-6001071</t>
  </si>
  <si>
    <t>Jamey Mills</t>
  </si>
  <si>
    <t>jmills@milfordohio.org</t>
  </si>
  <si>
    <t>Dan Burke</t>
  </si>
  <si>
    <t>(513) 248-5083</t>
  </si>
  <si>
    <t>dburke@milfordohio.org</t>
  </si>
  <si>
    <t>Megan Bovenzi</t>
  </si>
  <si>
    <t>mbovenzi@milfordohio.org</t>
  </si>
  <si>
    <t>2011DUP13-2181</t>
  </si>
  <si>
    <t>The Milford Police Department is committed to the development and perpetuation of programs designed to prevent juvenile delinquency and provide a positive connection between juveniles and law enforcement. The D.A.R.E./School Liaison Program provides a forum through which students, parents, faculty, and law enforcement officers become acquainted and, as a result, earn a mutual respect. Officer Megan Bovenzi teaches the DARE Curriculum at Pattison Elementary one day a week.  The Milford Police Department is also a member of The Coalition for a Drug Free Milford Miami Township.</t>
  </si>
  <si>
    <t>The Milford Police Department recognizes the harm of prescription drugs and is committed to educating DARE students of those hazards.  Officer Megan Bovenzi will teach the D.A.R.E. OTC/Rx Drug Abuse Program.   The Milford Police Department also conducts two Drug Take Back programs annually to safely dispose of prescription drugs.</t>
  </si>
  <si>
    <t>$9,987</t>
  </si>
  <si>
    <t>$4,994.00</t>
  </si>
  <si>
    <t>$4,994</t>
  </si>
  <si>
    <t>Maumee Police Division</t>
  </si>
  <si>
    <t>109 E. Dudley St.</t>
  </si>
  <si>
    <t>Maumee</t>
  </si>
  <si>
    <t>43537</t>
  </si>
  <si>
    <t>(419) 897-7027</t>
  </si>
  <si>
    <t>(419) 897-7019</t>
  </si>
  <si>
    <t>34-6400847</t>
  </si>
  <si>
    <t>Robert Zink</t>
  </si>
  <si>
    <t>(419) 897-7021</t>
  </si>
  <si>
    <t>zink-bob@maumee.org</t>
  </si>
  <si>
    <t>Linda Wilker</t>
  </si>
  <si>
    <t>(419) 897-7111</t>
  </si>
  <si>
    <t>wilker-linda@maumee.org</t>
  </si>
  <si>
    <t>Jillian Urbanski</t>
  </si>
  <si>
    <t>urbanski-jillian@maumee.org</t>
  </si>
  <si>
    <t>2010DUP48-2238</t>
  </si>
  <si>
    <t>DARE Officer Urbanski will be conducting the 10 week elementary curriculum plus Rx/OTC supplement for fifth graders.  She will also be teaching the 10 lesson middle school Keepin' it Real curriculum plus Rx/OTC supplement to the seventh graders.  She also teaches the First Grade curriculum at Safety City in the summer months, as well as participates in prom promise and red riboon week within the city schools.</t>
  </si>
  <si>
    <t>I will be teaching the DARE OTC/Rx Drug Abuse Program supplements to the elementary and middle school curriculums.</t>
  </si>
  <si>
    <t>250</t>
  </si>
  <si>
    <t>35244</t>
  </si>
  <si>
    <t>17622</t>
  </si>
  <si>
    <t>17622.00</t>
  </si>
  <si>
    <t>Struthers Police Department</t>
  </si>
  <si>
    <t>6 Elm Street</t>
  </si>
  <si>
    <t>Struthers</t>
  </si>
  <si>
    <t>44471</t>
  </si>
  <si>
    <t>Mahoning County</t>
  </si>
  <si>
    <t>(330) 755-9849</t>
  </si>
  <si>
    <t>(330) 755-0540</t>
  </si>
  <si>
    <t>34-6002753</t>
  </si>
  <si>
    <t>R. T. Roddy</t>
  </si>
  <si>
    <t>policechief@cityofstruthers.com</t>
  </si>
  <si>
    <t>Tina Morell</t>
  </si>
  <si>
    <t>(330) 755-2181</t>
  </si>
  <si>
    <t>auditor@cityofstruthers.com</t>
  </si>
  <si>
    <t>Chief of Police</t>
  </si>
  <si>
    <t>2010DUP50-2207</t>
  </si>
  <si>
    <t>The School Resource Officer, D. J. Aldish has been in place for 3 years working in each of the district's three schools. There are various programs of drug use prevention education that has been instructed at all grade levels.  This education includes: Drugs and the effects and punishment, Drinking and driving and the consequences in law studies, Peer pressure, Prom promise, Drug awareness issues for elementary school students as well as middle school students.</t>
  </si>
  <si>
    <t>The S.R.O. will develop and administer education based on reliable teaching guides to create a cirriculum to serve the trends prevalent in the schools as well the community. This will be based on knowledge obtained in the community as well as from the students. The education will focus on education and then prevention of prescription drug abuse, focusing on the student's role in the education and prevention.</t>
  </si>
  <si>
    <t>Danny J. Aldish</t>
  </si>
  <si>
    <t>$10,296</t>
  </si>
  <si>
    <t>$5,148</t>
  </si>
  <si>
    <t>Willowick Police Department</t>
  </si>
  <si>
    <t>30435 Lakeshore Blvd.</t>
  </si>
  <si>
    <t>Willowick</t>
  </si>
  <si>
    <t>44095</t>
  </si>
  <si>
    <t>Lake County</t>
  </si>
  <si>
    <t>(440) 585-1234</t>
  </si>
  <si>
    <t>(440) 585-3770</t>
  </si>
  <si>
    <t>34-6003088</t>
  </si>
  <si>
    <t>Michael T. Lazor</t>
  </si>
  <si>
    <t>mlazor@cityofwillowick.com</t>
  </si>
  <si>
    <t>Cheryl Benedict</t>
  </si>
  <si>
    <t>(440) 585-3700</t>
  </si>
  <si>
    <t>cbenedict@cityofwillowick.com</t>
  </si>
  <si>
    <t>Carol J. Ice</t>
  </si>
  <si>
    <t>cice@cityofwillowick.com</t>
  </si>
  <si>
    <t>2010DUP43-2223</t>
  </si>
  <si>
    <t>The standard 10 week DARE curriculum will be offered to approximately 150 fifth grade students at Royalview Elementary School in the City of Willowick.  Instruction will also be offered regarding the issue of anti-bullying.  Sgt. Carol Ice will be giving this instruction twice a week for blocks of 4 1/2 hours each.  There will also be a graduation ceremony for the students, parents and staff moderated by Sgt. Ice.</t>
  </si>
  <si>
    <t>The supplemental DARE OTC/Rx Drug Abuse Program lessons will be used for the prevention education on prescription drug abuse.  These lessons will be included in the lesson plan with the core curriculum.</t>
  </si>
  <si>
    <t>4,802.30</t>
  </si>
  <si>
    <t>$2,401.15</t>
  </si>
  <si>
    <t>Auglaize County Sheriff's Office</t>
  </si>
  <si>
    <t>Wapakoneta</t>
  </si>
  <si>
    <t>45895</t>
  </si>
  <si>
    <t>Auglaize County</t>
  </si>
  <si>
    <t>(419) 739-6565</t>
  </si>
  <si>
    <t>(419) 739-6566</t>
  </si>
  <si>
    <t>34-6400073</t>
  </si>
  <si>
    <t>asolomon@auglaizecounty.org</t>
  </si>
  <si>
    <t>Janet Schuler</t>
  </si>
  <si>
    <t>(419) 739-6705</t>
  </si>
  <si>
    <t>jschuler@auglaizecounty.org</t>
  </si>
  <si>
    <t>Samuel Blank</t>
  </si>
  <si>
    <t>sblank@auglaizecounty.org</t>
  </si>
  <si>
    <t>2010 DUP-1006</t>
  </si>
  <si>
    <t>During the 2012 and 2013 I will act as the Dare Deputy for every school in Auglaize County and also take on School Resource obligations.  I plan on receiving the new dare elementary curriculum training this summer on “Keepin it Real” which I plan on replacing that with the current curriculum.  Along with teaching the standard dare program to the 5th and 6th graders I continually meet specific needs of the school by putting on specialized programs dealing with internet safety and technology safety with emphasis on “Sexting.
I am continuously requested to do different educational and safety programs in Auglaize County upon request.</t>
  </si>
  <si>
    <t>9</t>
  </si>
  <si>
    <t>I will continue to use and teach from the supplemental RX/OTC workbooks that I have implemented into my standard 5th grade curriculum since the RX/OTC books release.   I along with other member of the Auglaize County Sheriff s Office have instructed RX/OTC awareness classes in the community which now are offering a drug take back program</t>
  </si>
  <si>
    <t>Samuel Blank</t>
  </si>
  <si>
    <t>42400.08</t>
  </si>
  <si>
    <t>21200.04</t>
  </si>
  <si>
    <t>Marysville Police Department</t>
  </si>
  <si>
    <t>125 E 6th Street</t>
  </si>
  <si>
    <t>Marysville</t>
  </si>
  <si>
    <t>43040</t>
  </si>
  <si>
    <t>Union County</t>
  </si>
  <si>
    <t>(937) 642-3900</t>
  </si>
  <si>
    <t>(937) 642-8439</t>
  </si>
  <si>
    <t>31-6400719</t>
  </si>
  <si>
    <t>Floyd Golden</t>
  </si>
  <si>
    <t>fgolden@marysvilleohio.org</t>
  </si>
  <si>
    <t>Jenny Chavarria</t>
  </si>
  <si>
    <t>(937) 645-1030</t>
  </si>
  <si>
    <t>jchavarria@marysvilleohio.org</t>
  </si>
  <si>
    <t>Joshua Dillahunt</t>
  </si>
  <si>
    <t>Police Officer</t>
  </si>
  <si>
    <t>jdillahunt@marysvilleohio.org</t>
  </si>
  <si>
    <t>2011DUP80-2126</t>
  </si>
  <si>
    <t>Standard 10 week D.A.R.E. Program to 5th and 7th graders.</t>
  </si>
  <si>
    <t>D.A.R.E. OTL/RX Drug Abuse Program to 5th Graders.</t>
  </si>
  <si>
    <t>354</t>
  </si>
  <si>
    <t>17503.20</t>
  </si>
  <si>
    <t>8751.60</t>
  </si>
  <si>
    <t>Ashtabula City Police Department</t>
  </si>
  <si>
    <t>110 W 44th St.</t>
  </si>
  <si>
    <t>Ashtabula</t>
  </si>
  <si>
    <t>44004</t>
  </si>
  <si>
    <t>Ashtabula County</t>
  </si>
  <si>
    <t>(440) 992-7156</t>
  </si>
  <si>
    <t>(440) 998-5068</t>
  </si>
  <si>
    <t>43-6000125</t>
  </si>
  <si>
    <t>Robert D. Stell</t>
  </si>
  <si>
    <t>rstell@cityofashtabula.com</t>
  </si>
  <si>
    <t>Karen S. Jury</t>
  </si>
  <si>
    <t>(440) 992-7139</t>
  </si>
  <si>
    <t>karenj@suite224.net</t>
  </si>
  <si>
    <t>John Rubesich</t>
  </si>
  <si>
    <t>Superintendent</t>
  </si>
  <si>
    <t>(440) 576-9023</t>
  </si>
  <si>
    <t>john.rubesich@neomin.org</t>
  </si>
  <si>
    <t>327</t>
  </si>
  <si>
    <t>Patrolman Bradek will act as an SRO for the Building Bridges school program which addresses the needs of those children in Ashtabula County in danger of dropping out of high school and those children with severe emotional and behavioral disorders.She has served the school since August 2011 and will continue for the upcoming school year. She has received her training as promulgated by the Ohio Resource Officers Association but the materials have not yet been delivered, however she will provide direct classroom instruction this year and next on drug abuse, bullying, and prescription drug abuse prevention.</t>
  </si>
  <si>
    <t>Officer Bradek has received the training and will present the prescription drug abuse prevention program as described by the Ohio Resource Officers Association.</t>
  </si>
  <si>
    <t>16</t>
  </si>
  <si>
    <t>Pamela Bradek</t>
  </si>
  <si>
    <t>44101</t>
  </si>
  <si>
    <t>22050</t>
  </si>
  <si>
    <t>Ashland County Sheriff's Office</t>
  </si>
  <si>
    <t>1205 E. Main St.</t>
  </si>
  <si>
    <t>Ashland</t>
  </si>
  <si>
    <t>44805</t>
  </si>
  <si>
    <t>Ashland County</t>
  </si>
  <si>
    <t>(419) 289-3911</t>
  </si>
  <si>
    <t>(419) 281-2060</t>
  </si>
  <si>
    <t>346000-122</t>
  </si>
  <si>
    <t>E. Wayne Risner</t>
  </si>
  <si>
    <t>sheriff@ashlandcounty.org</t>
  </si>
  <si>
    <t>Phil Leibolt</t>
  </si>
  <si>
    <t>(419) 282-4235</t>
  </si>
  <si>
    <t>auditor@ashlandcounty.org</t>
  </si>
  <si>
    <t>Angie Hamilton</t>
  </si>
  <si>
    <t>dare@ashlandcounty.org</t>
  </si>
  <si>
    <t>031003</t>
  </si>
  <si>
    <t>The drug use prevention program will be taught in Ashland County School Districts; including but not limited to: Hillsdale, Black River, Loudonville, and Mapleton by Deputy Angie Hamilton and possibly Deputy Massie if funding is awarded through this grant. Both officers are certified to teach the DARE Program; in addtion, Deputy Hamilton will be an acting SRO Officer.</t>
  </si>
  <si>
    <t>DARE Rx/OTC</t>
  </si>
  <si>
    <t>42929.00</t>
  </si>
  <si>
    <t>21464.50</t>
  </si>
  <si>
    <t>Charles Massie</t>
  </si>
  <si>
    <t>10</t>
  </si>
  <si>
    <t>4428.10</t>
  </si>
  <si>
    <t>2214.05</t>
  </si>
  <si>
    <t>23678.55</t>
  </si>
  <si>
    <t>4420 King Road</t>
  </si>
  <si>
    <t>Sylvania</t>
  </si>
  <si>
    <t>43560</t>
  </si>
  <si>
    <t>(419) 882-2055</t>
  </si>
  <si>
    <t>(419) 885-1116</t>
  </si>
  <si>
    <t>34-6401390</t>
  </si>
  <si>
    <t>Robert Boehme</t>
  </si>
  <si>
    <t>rboehme@sylvaniatownshippolice.com</t>
  </si>
  <si>
    <t>David Simko</t>
  </si>
  <si>
    <t>(419) 517-5557</t>
  </si>
  <si>
    <t>djsimko@bex.net</t>
  </si>
  <si>
    <t>Clarence Whalen</t>
  </si>
  <si>
    <t>(419) 720-3006</t>
  </si>
  <si>
    <t>cwhalen@sylvaniatownshippolice.com</t>
  </si>
  <si>
    <t>2010DUP48-2110</t>
  </si>
  <si>
    <t>We will teach the standard D.A.R.E. elementary curriculum to fifth graders at Central Elementary, Hillview Elementary, Stranahan Elementary, and Whiteford Elementary. WE will also teach the new D.A.R.E. middle school curriculum to the seventh grade students at Arbor Hills Junior High and Timberstone Jr. High.</t>
  </si>
  <si>
    <t>We will teach th D.A.R.E. OTC/RX Drug Abuse Program curriculum to the fifth graders at each of our 4 elementary schools, Central Elementary, Hillview Elementary, Stranahan Elementary, and Whiteford Elementary and also to the seventh graders at our 2 Middle schools, Arbor Hills Junior High and Timberstone Junior High.</t>
  </si>
  <si>
    <t>N/A</t>
  </si>
  <si>
    <t>Robert Snow</t>
  </si>
  <si>
    <t>$24311.04</t>
  </si>
  <si>
    <t>$12155.52</t>
  </si>
  <si>
    <t>Dan Krajicek</t>
  </si>
  <si>
    <t>$15194.40</t>
  </si>
  <si>
    <t>$7597.20</t>
  </si>
  <si>
    <t>Jeff Matuszewski</t>
  </si>
  <si>
    <t>$6077.76</t>
  </si>
  <si>
    <t>$3038.88</t>
  </si>
  <si>
    <t>$22791.60</t>
  </si>
  <si>
    <t>Lucas County Sheriff's Office</t>
  </si>
  <si>
    <t>1622 Spielbusch Ave.</t>
  </si>
  <si>
    <t>(419) 213-4823</t>
  </si>
  <si>
    <t>(419) 213-2002</t>
  </si>
  <si>
    <t>34-6400806</t>
  </si>
  <si>
    <t>James A. Telb</t>
  </si>
  <si>
    <t>(419) 213-4908</t>
  </si>
  <si>
    <t>jtelb@co.lucas.oh.us</t>
  </si>
  <si>
    <t>Kevin Helminski</t>
  </si>
  <si>
    <t>khelmin@co.lucas.oh.us</t>
  </si>
  <si>
    <t>Brett Warner</t>
  </si>
  <si>
    <t>(419) 213-4377</t>
  </si>
  <si>
    <t>bwarner@co.lucas.oh.us</t>
  </si>
  <si>
    <t>2010DUP48-1048</t>
  </si>
  <si>
    <t>The Lucas County Sheriff's Office presents a standard DARE coe cirriculum including DARE approved enhancement lessons such as RX/OTC, Bullying, and Role Model lessons to fifth grad students in Lucas County.  LCSO also presents the Standard Middle School DARE curriculum to seventh graders in Lucas County.  In addition to the core curriculum and JH follow-up curriculum, LCOS presents DARE approved elementary visits to K-4 students in Lucas County including Stranger Danger and Safety presentations.</t>
  </si>
  <si>
    <t>12</t>
  </si>
  <si>
    <t>The Lucas County Sheriff's Office presents a standard DARE coe cirriculum including DARE approved enhancement lessons such as OTC/RX.</t>
  </si>
  <si>
    <t>44720</t>
  </si>
  <si>
    <t>22360</t>
  </si>
  <si>
    <t>Strongsville Police Department</t>
  </si>
  <si>
    <t>18688 Royalton Road</t>
  </si>
  <si>
    <t>Strongsville</t>
  </si>
  <si>
    <t>44136</t>
  </si>
  <si>
    <t>(440) 580-3257</t>
  </si>
  <si>
    <t>(440) 238-1642</t>
  </si>
  <si>
    <t>34-6002757</t>
  </si>
  <si>
    <t>Charles Goss</t>
  </si>
  <si>
    <t>(440) 580-3231</t>
  </si>
  <si>
    <t>charles.goss@strongsville.org</t>
  </si>
  <si>
    <t>(440) 580-3127</t>
  </si>
  <si>
    <t>joseph.dubovec@strongsville.org</t>
  </si>
  <si>
    <t>Marie McManus</t>
  </si>
  <si>
    <t>Youth Program Coordinator</t>
  </si>
  <si>
    <t>marie.mcmanus@strongsville.org</t>
  </si>
  <si>
    <t>2010DUP 193</t>
  </si>
  <si>
    <t>Our Strongsville Police Department Officers employ both the 17 week D.A.R.E. Curriculum in elementary school as well as the 10 week D.A.R.E.Curriculum in the middle schools.  Officers are assigned to the schools for the entire academic years.  Prior to the start of the school year and during holiday breaks, the officers prepare lessons, graduation ceremonies and other events such as special "D.A.R.E. Days", Celebration Dances, Halloween Dances, organize and participate in D.A.R.E. Role Model/Mentor Programs and participate in many other school and community events.  During the summer months, the officers attend a refresher D.A.R.E. training at the National and State level.  Strongsville D.A.R.E. is city wide to include all the public schools.  Currently formal D.A.R.E. classes are held for 6th graders at (8) public elementary schools and for 8th graders at (2) public middle schools.  Officers in the program insure time to be avaiable to each of the schools to assist with youths who are recognized as potentially at risk.  We also have a S.R.O. who is assigned to the high school the enire year.  He is available for one-on-one meeting with student and/or staff with drug use prevention issues that occur. The SRO has a Office at the High School where he prepares his drug use prevention education presentations and organizes different events.</t>
  </si>
  <si>
    <t>Our DARE Officers will be employing the "OTC/Rx Drug Abuse offical program".  They have received offical training on this program and therefore it will be the program used for prescription drug education.  Our School Resource Officer will employ prescription drugs training that he is currently in the process of creating from the "OTC/Rx Drug Abuse Official Program".</t>
  </si>
  <si>
    <t>Don Poney</t>
  </si>
  <si>
    <t>67,975.00</t>
  </si>
  <si>
    <t>33,987.50</t>
  </si>
  <si>
    <t>Marianna Hansen</t>
  </si>
  <si>
    <t>16,993.75</t>
  </si>
  <si>
    <t>Christopher Koenig</t>
  </si>
  <si>
    <t>8,496.88</t>
  </si>
  <si>
    <t>$59,478.13</t>
  </si>
  <si>
    <t>Versailles</t>
  </si>
  <si>
    <t>45380</t>
  </si>
  <si>
    <t>Darke County</t>
  </si>
  <si>
    <t>(937) 526-3712</t>
  </si>
  <si>
    <t>(937) 526-5622</t>
  </si>
  <si>
    <t>34-6401515</t>
  </si>
  <si>
    <t>markhumphreys@versaillesohio.cc</t>
  </si>
  <si>
    <t>Mary Ann Gump</t>
  </si>
  <si>
    <t>(937) 526-4191</t>
  </si>
  <si>
    <t>maryanngump@versaillesohio.cc</t>
  </si>
  <si>
    <t>Brian Pricer</t>
  </si>
  <si>
    <t>The Versailles Police Dept and Officer Brian Pricer will be utilizing the D.A.R.E. Program along with D.A.R.E. OTC/Rx Drug Abuse Program to provide a 10 week curriculum in reducing alcohol, marijuana, and tobacco use among our adolescent students, while building a strong communication and decision making skills that support drug free values. Officer Brian Pricer teaches the D.A.R.E. Program to 5th grade students one day a week for 10 weeks valuing his teaching time at approximately 20%</t>
  </si>
  <si>
    <t>RXOTC</t>
  </si>
  <si>
    <t>$8,523.84</t>
  </si>
  <si>
    <t>$4,261.92</t>
  </si>
  <si>
    <t>320 W Central Ave.</t>
  </si>
  <si>
    <t>Springboro</t>
  </si>
  <si>
    <t>45066</t>
  </si>
  <si>
    <t>Warren County</t>
  </si>
  <si>
    <t>(937) 748-0611</t>
  </si>
  <si>
    <t>(937) 738-3214</t>
  </si>
  <si>
    <t>31-6001086</t>
  </si>
  <si>
    <t>Jeffrey Kruithoff</t>
  </si>
  <si>
    <t>(937) 748-4370</t>
  </si>
  <si>
    <t>chief@cityofspringboro.com</t>
  </si>
  <si>
    <t>Robyn Brown</t>
  </si>
  <si>
    <t>(937) 748-4353</t>
  </si>
  <si>
    <t>robyn@cityofspringboro.com</t>
  </si>
  <si>
    <t>Donald Wilson</t>
  </si>
  <si>
    <t>(937) 748-4372</t>
  </si>
  <si>
    <t>dwilson@springboro.org</t>
  </si>
  <si>
    <t>2010DUP83-2263</t>
  </si>
  <si>
    <t>The City of Springboro/Springboro Community School District will continue to offer the DARE program for the students of the school district.  DARE is currently taught as visitation in the 2nd (4 weeks) and 4th grades (5 weeks).  The core DARE curriculum is taught in the 6th grade and the Jr High Keepin' It Real curriculum taught in the 7th grade.  There will be NO changes in the grade levels instructed for the 2012-2013 school year.  This also includes drug &amp; alcohol counceling at the JH &amp; HS and special events as served by my role as a SRO.</t>
  </si>
  <si>
    <t>Prescription drug awareness is started as early as 2nd grade and is continued into 4th grade (as a introduction).  The DARE OTC/RX 2 day supplemental curriculum is taught in the 6th grade during the core curriculum instruction.  This is further supplemented in the 7th grade during the Keepin' It Real sessions.  This also includes drug &amp; alcohol counceling at the JH &amp; HS and special events as served by my role as a SRO.</t>
  </si>
  <si>
    <t>67186.08</t>
  </si>
  <si>
    <t>33593.04</t>
  </si>
  <si>
    <t>Perkins Township Police Department</t>
  </si>
  <si>
    <t>2800 Columbus Avenue</t>
  </si>
  <si>
    <t>(419) 627-0824</t>
  </si>
  <si>
    <t>(419) 627-8027</t>
  </si>
  <si>
    <t>346401058</t>
  </si>
  <si>
    <t>Kenneth Klamar</t>
  </si>
  <si>
    <t>(419) 627-8024</t>
  </si>
  <si>
    <t>kklamar@perkinstownship.com</t>
  </si>
  <si>
    <t>Diane Schaefer</t>
  </si>
  <si>
    <t>(419) 609-1431</t>
  </si>
  <si>
    <t>dianes@perkinstownship.com</t>
  </si>
  <si>
    <t>Robb Parthemore</t>
  </si>
  <si>
    <t>Assistant Chief</t>
  </si>
  <si>
    <t>rparthemore@perkinstownship.com</t>
  </si>
  <si>
    <t>2010dup21-2242</t>
  </si>
  <si>
    <t>The Perkins Township Police Department has two School Resource Officers who are also D.A.R.E. officers. They teach a multitude of anti drug programs and other school/safety related programs throughout the year. They teach a seveteen week D.A.R.E. program in the 6th and 3rd grades. Each SRO is assigned to school buildings and are assigned to teach thier own programs.</t>
  </si>
  <si>
    <t>The program Perkins Township Police Department will include D.A.R.E. OTC/Rx Drug Abuse program along with multiple other drug abuse prevention programs. Other programs included will be the seventeen week D.A.R.E. program, drug identification and effects, street drugs, Effects of drug abuse on teens and families, and other courses throughout the year.</t>
  </si>
  <si>
    <t>Dan McLaughlin</t>
  </si>
  <si>
    <t>37280.88</t>
  </si>
  <si>
    <t>18640.44</t>
  </si>
  <si>
    <t>Tonya Corbin</t>
  </si>
  <si>
    <t>32294.08</t>
  </si>
  <si>
    <t>16147.04</t>
  </si>
  <si>
    <t>34787.48</t>
  </si>
  <si>
    <t>Westerville Division of Police</t>
  </si>
  <si>
    <t>29 South State Street</t>
  </si>
  <si>
    <t>Westerville</t>
  </si>
  <si>
    <t>43081</t>
  </si>
  <si>
    <t>(614) 901-6450</t>
  </si>
  <si>
    <t>(614) 901-6453</t>
  </si>
  <si>
    <t>31-6401113</t>
  </si>
  <si>
    <t>Joseph A. Morbitzer</t>
  </si>
  <si>
    <t>(614) 901-6469</t>
  </si>
  <si>
    <t>joseph.morbitzer@westerville.org</t>
  </si>
  <si>
    <t>LeAnn Shortland</t>
  </si>
  <si>
    <t>(614) 901-6446</t>
  </si>
  <si>
    <t>lee.shortland@westerville.org</t>
  </si>
  <si>
    <t>Daniel A. Pignatelli</t>
  </si>
  <si>
    <t>(614) 901-6489</t>
  </si>
  <si>
    <t>daniel.pignatelli@westerville.org</t>
  </si>
  <si>
    <t>2011DUP25-2172</t>
  </si>
  <si>
    <t>Officer Daniel Pignatelli and Officer Carrie O'Neil are full-time D.A.R.E. Officers for the Westerville Division of Police. They both teach the standard 10 week D.A.R.E. Elementary Program as well as additional lessons such as Over-the-Counter and Prescription Medication Abuse, Online Safety, and Bullying.</t>
  </si>
  <si>
    <t>11</t>
  </si>
  <si>
    <t>Officer Daniel Pignatelli and Officer Carrie O'Neil will teach the D.A.R.E. OTC/Rx Drug Abuse Program. Both Officers have received D.A.R.E. booklets for this particular lesson.</t>
  </si>
  <si>
    <t>52,503.36</t>
  </si>
  <si>
    <t>26,251.68</t>
  </si>
  <si>
    <t>Carrie A. O'Neil</t>
  </si>
  <si>
    <t>Pickerington</t>
  </si>
  <si>
    <t>43147</t>
  </si>
  <si>
    <t>Fairfield County</t>
  </si>
  <si>
    <t>(614) 575-6911</t>
  </si>
  <si>
    <t>(614) 575-6219</t>
  </si>
  <si>
    <t>31-6400856</t>
  </si>
  <si>
    <t>Michael D. Taylor</t>
  </si>
  <si>
    <t>mtaylor@pickerington.net</t>
  </si>
  <si>
    <t>Chris Schornack</t>
  </si>
  <si>
    <t>(614) 837-3974</t>
  </si>
  <si>
    <t>cschornack@pickerington.net</t>
  </si>
  <si>
    <t>Matt Delp</t>
  </si>
  <si>
    <t>Commander</t>
  </si>
  <si>
    <t>mdelp@pickerington.net</t>
  </si>
  <si>
    <t>2011DUP23-2124</t>
  </si>
  <si>
    <t>Although DARE was canceled in the Pickerington Local School District, we began teaching the DARE curriculum before school at the three middle schools in the district.  This is a voluntary program, but has had tremendous response. We are also making classes available to children and adults during the summer months through the City of Pickerington Parks and Recreation Department.  The students are given a modified DARE (four hour) class, and adults learn drug recognition, how to identify the signs of drug use, and steps to take if they suspect their child is using drugs.</t>
  </si>
  <si>
    <t>We will be offering a prescription drug abuse program in the Pickerington Local School District Junior Highs (2).  The program will incorporate  the DARE OTC/Rx Drug Abuse Program and local sources such as video's prepared by the Fairfield County Opiate Abuse Task Force, and Tyler's Light.</t>
  </si>
  <si>
    <t>Dan Simcox</t>
  </si>
  <si>
    <t>16,837.60</t>
  </si>
  <si>
    <t>$ 8,418.80</t>
  </si>
  <si>
    <t>Abe Haroon</t>
  </si>
  <si>
    <t>6,735.04</t>
  </si>
  <si>
    <t>$ 3,367.52</t>
  </si>
  <si>
    <t>$11,786.32</t>
  </si>
  <si>
    <t>7240 E. Main Street</t>
  </si>
  <si>
    <t>Reynoldsburg</t>
  </si>
  <si>
    <t>43068</t>
  </si>
  <si>
    <t>(614) 866-6622</t>
  </si>
  <si>
    <t>(614) 322-6926</t>
  </si>
  <si>
    <t>31-6400909</t>
  </si>
  <si>
    <t>Dave Suciu</t>
  </si>
  <si>
    <t>dsuciu@reypd.com</t>
  </si>
  <si>
    <t>Richard Harris</t>
  </si>
  <si>
    <t>(614) 322-6801</t>
  </si>
  <si>
    <t>rharris@ci.reynoldsburg.oh.us</t>
  </si>
  <si>
    <t>Scott Manny</t>
  </si>
  <si>
    <t>(614) 322-6937</t>
  </si>
  <si>
    <t>smanny@columbus.rr.com</t>
  </si>
  <si>
    <t>2011DUP25-2276</t>
  </si>
  <si>
    <t>During the 2012/2013 school year, Reynoldsburg Police Officer Scott Manny plans to instruct the standard 10-week elementary Drug Abuse Resistance Education (D.A.R.E.) Program curriculum to approx. 450 5th grade students at four schools within the Reynoldsburg City Public School district (Hannah Ashton Middle School, Waggoner Road Middle School, Summit Road Elementary School, and Baldwin Road STEM School).</t>
  </si>
  <si>
    <t>During the 2012/2013 school year, Reynoldsburg Police Officer Scott Manny plans to teach the D.A.R.E. OTC/Rx Drug Abuse lesson to all 5th grade students within the Reynoldsburg City Public Schools.</t>
  </si>
  <si>
    <t>18,226.00</t>
  </si>
  <si>
    <t>$9,113.00</t>
  </si>
  <si>
    <t>Centerville</t>
  </si>
  <si>
    <t>45459</t>
  </si>
  <si>
    <t>Greene County</t>
  </si>
  <si>
    <t>(937) 848-3479</t>
  </si>
  <si>
    <t>(937) 848-5188</t>
  </si>
  <si>
    <t>31-6000605</t>
  </si>
  <si>
    <t>llotspaih@sugarcreektownship.com</t>
  </si>
  <si>
    <t>Ted Hodson</t>
  </si>
  <si>
    <t>(937) 848-8426</t>
  </si>
  <si>
    <t>thodson@sugarcreektownship.com</t>
  </si>
  <si>
    <t>James K. Deaton</t>
  </si>
  <si>
    <t>jdeaton@sugarcreektownship.com</t>
  </si>
  <si>
    <t>Our program is called the "GUIDE" program.  This is for 8th graders to have lesson plans presented by our SRO Officer.  We have an assembly at the beginning of the year to give out T-shirts.  We have people come and talk to the students.  At that age they are real interested in the information and we receive 100% participation.</t>
  </si>
  <si>
    <t>Shiloh Colon</t>
  </si>
  <si>
    <t>5046.50</t>
  </si>
  <si>
    <t>2523.25</t>
  </si>
  <si>
    <t>$2523.25</t>
  </si>
  <si>
    <t>Rittman Police Department</t>
  </si>
  <si>
    <t>Rittman</t>
  </si>
  <si>
    <t>44270</t>
  </si>
  <si>
    <t>Wayne County</t>
  </si>
  <si>
    <t>(330) 925-8040</t>
  </si>
  <si>
    <t>(330) 925-6646</t>
  </si>
  <si>
    <t>34-6002308</t>
  </si>
  <si>
    <t>Mike Burg</t>
  </si>
  <si>
    <t>mburg@rittman.com</t>
  </si>
  <si>
    <t>Barb Rissland</t>
  </si>
  <si>
    <t>(330) 925-2045</t>
  </si>
  <si>
    <t>brissland@rittman.com</t>
  </si>
  <si>
    <t>Howard R. McComas II</t>
  </si>
  <si>
    <t>hmccomas@rittman.com</t>
  </si>
  <si>
    <t>2010DUP85-2257</t>
  </si>
  <si>
    <t>I plan on using the New "Keeping it Real" Lessons unless they are not ready. If they are not ready I will be using the current D.A.R.E. lesson plans.</t>
  </si>
  <si>
    <t>I will be using the D.A.R.E. OTC/Rx Drug Abuse Program for the 2012-2013 School year.</t>
  </si>
  <si>
    <t>Howard R McComas II</t>
  </si>
  <si>
    <t>$1,851.25</t>
  </si>
  <si>
    <t>$994.63</t>
  </si>
  <si>
    <t>Beavercreek Police Department</t>
  </si>
  <si>
    <t>1388 Research Park Drive</t>
  </si>
  <si>
    <t>Beavercreek</t>
  </si>
  <si>
    <t>45432</t>
  </si>
  <si>
    <t>(937) 426-1225</t>
  </si>
  <si>
    <t>(937) 431-2342</t>
  </si>
  <si>
    <t>31-0973149</t>
  </si>
  <si>
    <t>eversd@police.ci.beavercreek.oh.us</t>
  </si>
  <si>
    <t>Bill Kucera</t>
  </si>
  <si>
    <t>(937) 427-5511</t>
  </si>
  <si>
    <t>Kucera@ci.beavercreek.oh.us</t>
  </si>
  <si>
    <t>Donald Cole</t>
  </si>
  <si>
    <t>coled@police.ci.beavercreek.oh.us</t>
  </si>
  <si>
    <t>2011DUP29-2233</t>
  </si>
  <si>
    <t>Officer Cole will teach the standard 10-week DARE curriculum along with the DARE-approved supplemental lessons on bullying, prescription drugs/OTC, and the high school role models.</t>
  </si>
  <si>
    <t>Officer Cole will teach the DARE OTC/RX lesson with the approved supplemental handouts as provided by the Ohio Attorney General.</t>
  </si>
  <si>
    <t>Donald B. Cole</t>
  </si>
  <si>
    <t>$51,324</t>
  </si>
  <si>
    <t>$25,662</t>
  </si>
  <si>
    <t>75 East Main Street</t>
  </si>
  <si>
    <t>East Palestine</t>
  </si>
  <si>
    <t>44413</t>
  </si>
  <si>
    <t>Columbiana County</t>
  </si>
  <si>
    <t>(330) 426-4341</t>
  </si>
  <si>
    <t>(330) 426-4343</t>
  </si>
  <si>
    <t>346000911</t>
  </si>
  <si>
    <t>Peter J. Monteleone</t>
  </si>
  <si>
    <t>monteleone600@yahoo.com</t>
  </si>
  <si>
    <t>Traci Thompson</t>
  </si>
  <si>
    <t>(330) 426-4367</t>
  </si>
  <si>
    <t>ep-finance@comcast.net</t>
  </si>
  <si>
    <t>Brian C. Moore</t>
  </si>
  <si>
    <t>epov3@yahoo.com</t>
  </si>
  <si>
    <t>2011DUP15-2159</t>
  </si>
  <si>
    <t>Ptl. Moore will present the D.A.R.E OTC and Rx Drug abuse Program as a lesson in the D.A.R.E curriculum.</t>
  </si>
  <si>
    <t>2,539.20</t>
  </si>
  <si>
    <t>1,269.60</t>
  </si>
  <si>
    <t>1,269.60</t>
  </si>
  <si>
    <t>113 East Market Street</t>
  </si>
  <si>
    <t>43160</t>
  </si>
  <si>
    <t>Fayette County</t>
  </si>
  <si>
    <t>(740) 335-6170</t>
  </si>
  <si>
    <t>(740) 333-3589</t>
  </si>
  <si>
    <t>316000096</t>
  </si>
  <si>
    <t>Vernon P. Stanforth</t>
  </si>
  <si>
    <t>sheriffstanforth@faycoso.com</t>
  </si>
  <si>
    <t>Michael D. Smith</t>
  </si>
  <si>
    <t>(740) 335-6461</t>
  </si>
  <si>
    <t>auditor@fayette-co-oh.com</t>
  </si>
  <si>
    <t>Jodi D. Kelley</t>
  </si>
  <si>
    <t>jodikelley@faycoso.com</t>
  </si>
  <si>
    <t>24-1024</t>
  </si>
  <si>
    <t>Cpl. Dennis R. Cotner will teach the standard 10-week D.A.R.E. curriculum for nine (9) months out of the year in the Miami Trace Local Schools district.</t>
  </si>
  <si>
    <t>Dennis Cotner</t>
  </si>
  <si>
    <t>35552</t>
  </si>
  <si>
    <t>17776</t>
  </si>
  <si>
    <t>Troy Police Department</t>
  </si>
  <si>
    <t>124 E. Main St.</t>
  </si>
  <si>
    <t>Troy</t>
  </si>
  <si>
    <t>45373</t>
  </si>
  <si>
    <t>(937) 339-7525</t>
  </si>
  <si>
    <t>(937) 339-1468</t>
  </si>
  <si>
    <t>31-1293703</t>
  </si>
  <si>
    <t>Charles C. Phelps</t>
  </si>
  <si>
    <t>charles.phelps@troyohio.gov</t>
  </si>
  <si>
    <t>John A. Stickel</t>
  </si>
  <si>
    <t>(937) 335-2224</t>
  </si>
  <si>
    <t>john.stickel@troyohio.gov</t>
  </si>
  <si>
    <t>Kirt Wright</t>
  </si>
  <si>
    <t>kirt.wright@troyohio.gov</t>
  </si>
  <si>
    <t>2010 DUP-42</t>
  </si>
  <si>
    <t>The drug abuse prevention program that is currently being taught in the City of Troy is the standard 10 week DARE curriculum. Officer Kirt Wright is teaching the DARE curriculum in our six elementary schools. Officer Madigan teaches the Keeping it Real curriculum at the Troy Jr. High School. Officer Fellers teaches drug prevention at the Troy High School in various classes. All three Officers teach various classes in addition to there standard classes on drug prevention for all ages. It has also been taught to the staff of the Troy City Schools so that they can be aware of what types of drugs to look for as well as the symptoms the students may display.</t>
  </si>
  <si>
    <t>6</t>
  </si>
  <si>
    <t>In reference to prescription drug abuse prevention Officer Kirt Wright the DARE officer has placed his order for the DARE OTC/Rx Drug Abuse Program and is awaiting his materials. Officer Fellers and Officer Madigan have already been teaching various classes on prescription drug abuse with the students as well as Troy Jr. High and Troy High School staff members. They have been teaching the students of the dangers of prescription drug abuse as well as other drugs. The staff have been taught and shown what kinds of pills are commonly abused and what to look for in students who may be abusing prescription medications.</t>
  </si>
  <si>
    <t>47190.08</t>
  </si>
  <si>
    <t>23595.04</t>
  </si>
  <si>
    <t>Chris Madigan</t>
  </si>
  <si>
    <t>Brandon Fellers</t>
  </si>
  <si>
    <t>70785.12</t>
  </si>
  <si>
    <t>Lancaster Police Department</t>
  </si>
  <si>
    <t>130 S. Broad St.</t>
  </si>
  <si>
    <t>Lancaster</t>
  </si>
  <si>
    <t>43130</t>
  </si>
  <si>
    <t>(740) 687-6680</t>
  </si>
  <si>
    <t>(740) 687-6687</t>
  </si>
  <si>
    <t>31-6400230</t>
  </si>
  <si>
    <t>David W. Bailey</t>
  </si>
  <si>
    <t>dbailey@ci.lancaster.oh.us</t>
  </si>
  <si>
    <t>Daniel A. Patten</t>
  </si>
  <si>
    <t>dpatten@ci.lancaster.oh.us</t>
  </si>
  <si>
    <t>2010DUP23-2108</t>
  </si>
  <si>
    <t>Officers Caton and Marshall are both certified D.A.R.E. officers and will present the D.A.R.E. Elementary Curriculum in all eight public elementary schools within our jurisdiction.</t>
  </si>
  <si>
    <t>Officers Caton and Marshall will teach the “D.A.R.E. OTC/Rx Drug Abuse Program” in all eight city public elementary schools within our jurisdiction.</t>
  </si>
  <si>
    <t>Chris M. Caton</t>
  </si>
  <si>
    <t>$57,262.40</t>
  </si>
  <si>
    <t>$28,631.20</t>
  </si>
  <si>
    <t>James R. Marshall</t>
  </si>
  <si>
    <t>Delaware</t>
  </si>
  <si>
    <t>43015</t>
  </si>
  <si>
    <t>Delaware County</t>
  </si>
  <si>
    <t>(740) 203-1100</t>
  </si>
  <si>
    <t>(740) 203-1198</t>
  </si>
  <si>
    <t>31-6400225</t>
  </si>
  <si>
    <t>Russell Martin</t>
  </si>
  <si>
    <t>rmartin@delawareohio.net</t>
  </si>
  <si>
    <t>Dean Steltzer</t>
  </si>
  <si>
    <t>(740) 203-1200</t>
  </si>
  <si>
    <t>dsteltzer@delawareohio.net</t>
  </si>
  <si>
    <t>rglazer@delawareohio.net</t>
  </si>
  <si>
    <t>2011DUP21-2162</t>
  </si>
  <si>
    <t>Officer Rodney Glazer and Officer Nicholas Strasser will present the DARE Elementary curriculum to 5th grade students in the Delaware City Schools.
Officer Glazer will present GREAT Middle School curriculum to 6th grade students in Delaware City Schools and meth awareness and abuse to 10th grade students. Officer Strasser will present alcohol awareness and abuse to 8th grade students.</t>
  </si>
  <si>
    <t>Officer Glazer will present the DARE OTC/Rx Drug Abuse program to 8th grade students in the Delaware City Schools.</t>
  </si>
  <si>
    <t>Rodney Glazer</t>
  </si>
  <si>
    <t>35,193.60</t>
  </si>
  <si>
    <t>17,596.80</t>
  </si>
  <si>
    <t>Nicholas Strasser</t>
  </si>
  <si>
    <t>Lima Police Department</t>
  </si>
  <si>
    <t>117 E. Market St.</t>
  </si>
  <si>
    <t>Lima</t>
  </si>
  <si>
    <t>45801</t>
  </si>
  <si>
    <t>Allen County</t>
  </si>
  <si>
    <t>(419) 227-4444</t>
  </si>
  <si>
    <t>(419) 221-5123</t>
  </si>
  <si>
    <t>34-6400789</t>
  </si>
  <si>
    <t>Kevin J. Martin</t>
  </si>
  <si>
    <t>(419) 221-5270</t>
  </si>
  <si>
    <t>kevin.martin@cityhall.lima.oh.us</t>
  </si>
  <si>
    <t>Steve Cleaves</t>
  </si>
  <si>
    <t>(419) 221-5272</t>
  </si>
  <si>
    <t>steve.cleaves@cityhall.lima.oh.us</t>
  </si>
  <si>
    <t>Beverly Leary</t>
  </si>
  <si>
    <t>(419) 221-5261</t>
  </si>
  <si>
    <t>beverly.leary@cityhall.lima.oh.us</t>
  </si>
  <si>
    <t>2010DUP02-2203</t>
  </si>
  <si>
    <t>The Lima Police Department will be instructing the 10 week DARE Core Program Curriculum in the Lima City School's 6 elementary buildings, with instruction by DARE/SRO Officer Dave Vastano.  Vastano will also be instructing the 16 week radKIDS program with DARE components in all LCS elementary classrooms.  The DARE K-4 and radKIDS will be used through the LPD"S Safety City, for field trips of area public schools to Safety City.  LPD Summer Safety City Academy, in conjunction with LCS's will utilize DARE 
K-4 and radKIDS.</t>
  </si>
  <si>
    <t>The LPD will be instructing the DARE OTC/Rx Drug Abuse Program. this will be as an additional block to the 10 week DARE Core Curriculum in the Lima City School's 6 Elementary Schools.  This will be instructed by Officer Dave Vastano.</t>
  </si>
  <si>
    <t>Dave Vastano</t>
  </si>
  <si>
    <t>49,379</t>
  </si>
  <si>
    <t>24,690</t>
  </si>
  <si>
    <t>Columbus</t>
  </si>
  <si>
    <t>Smithville Police Department</t>
  </si>
  <si>
    <t>517 West Main Street, P.O. Box 517</t>
  </si>
  <si>
    <t>Smithville</t>
  </si>
  <si>
    <t>44677</t>
  </si>
  <si>
    <t>(330) 669-3471</t>
  </si>
  <si>
    <t>(330) 669-3470</t>
  </si>
  <si>
    <t>340936251</t>
  </si>
  <si>
    <t>Charles Ellis</t>
  </si>
  <si>
    <t>chiefellis@sssnet.com</t>
  </si>
  <si>
    <t>Donna Steiner</t>
  </si>
  <si>
    <t>(330) 669-2311</t>
  </si>
  <si>
    <t>smithvillevh@sssnet.com</t>
  </si>
  <si>
    <t>Joshua Miller</t>
  </si>
  <si>
    <t>ptlmiller@sssnet.com</t>
  </si>
  <si>
    <t>2011DUP85-2120</t>
  </si>
  <si>
    <t>The Smithville Police Department employs a School Resource Officer who is involved in drug prevention programs.  The officer assists the schools with Red Ribbon Week, Prom Promise, mock accident presentation prior to prom, Carteen, Stranger Danger Program and provides classroom instruction on the identification, effects, and laws involving drugs. The officer’s presence and interaction with students and staff act as a deterrent for drug activity.  The officer investigates drug complaints and coordinates drug sweeps through the two school districts.  When drugs are found, the officer makes referrals to necessary agencies such as prosecutor’s office, children services, or drug counseling services</t>
  </si>
  <si>
    <t>The officer will use the D.A.R.E. OTC/Rx Drug Abuse Program in the local schools for prscription drug abuse prevention.</t>
  </si>
  <si>
    <t>$7,342.50</t>
  </si>
  <si>
    <t>$3,671.25</t>
  </si>
  <si>
    <t>$3671.25</t>
  </si>
  <si>
    <t>44514</t>
  </si>
  <si>
    <t>(330) 757-8033</t>
  </si>
  <si>
    <t>(330) 757-1152</t>
  </si>
  <si>
    <t>34-6002232</t>
  </si>
  <si>
    <t>BGOODIN@ZOOMINTERNET.NET</t>
  </si>
  <si>
    <t>TJ5IVEO@ZOOMINTERNET.NET</t>
  </si>
  <si>
    <t>2010DUP-502136</t>
  </si>
  <si>
    <t>THE ORIGINAL 17 WEEK DARE PROGRAM AS WELL AS THE CURRENT 10 WEEK PROGRAM ARE COMBINED AND PRESENTED TO THE FIFTH GRADE STUDENTS.  ADDITIONAL MEETINGS AND TALKS ARE PRESENTED TO THE MIDDLE SCHOOL STUDENT AS WELL AS THE HIGH SCHOOL STUDENTS.  THE DARE INSTRUCTOR ALSO CONDUCTS INDIVIDUAL SPEAKING ENGANGEMENTS FOR CUMMUNITY ORGANIZATIONS THROUGHOUT THE YEAR.</t>
  </si>
  <si>
    <t>SINCE THE RX PROGRAM CAME AND AND I DID GET CERTIFIED IN IT, I HAVE BEEN PRESENTING IT TO THE ELEMENTARY CLASSES.  IT IS VERY INFORMATIVE FOR THE STUDENTS AND I INSIST THAT THEY TAKE THE BOOKLETS AND THEIR AQUIRED KNOWLEDGE FROM THE CLASS AND DISCUSS IT WITH THEIR PARENTS AND EDUCATE THEM AS WELL.  LOTS OF POSITIVE FEEDBACK.</t>
  </si>
  <si>
    <t>Tom Johnson</t>
  </si>
  <si>
    <t>$15,624.00</t>
  </si>
  <si>
    <t>$7,812.50</t>
  </si>
  <si>
    <t>Enon</t>
  </si>
  <si>
    <t>45323</t>
  </si>
  <si>
    <t>Clark County</t>
  </si>
  <si>
    <t>(937) 864-7870</t>
  </si>
  <si>
    <t>(937) 864-5644</t>
  </si>
  <si>
    <t>31-6009905</t>
  </si>
  <si>
    <t>Troy Callahan</t>
  </si>
  <si>
    <t>(937) 864-5577</t>
  </si>
  <si>
    <t>tcallahan@enonohio.com</t>
  </si>
  <si>
    <t>Debbie Maurer</t>
  </si>
  <si>
    <t>dmaurer@enonohio.com</t>
  </si>
  <si>
    <t>Anthony Risley</t>
  </si>
  <si>
    <t>trisley1@gmail.com</t>
  </si>
  <si>
    <t>2011DUP12-2248</t>
  </si>
  <si>
    <t>WE teach in 2 schools Enon Elementary k-4 DARE Elementary curriculum along with cyber bullying/bullying harassment and DARE OTC/RX Drug. Indian Valley Middle School 5-8 grades DARE Keeping it real curriculum with cyber bullying /bullying harassment and DARE OTC/RX Drug.</t>
  </si>
  <si>
    <t>one</t>
  </si>
  <si>
    <t>$22,620</t>
  </si>
  <si>
    <t>$11,310.00</t>
  </si>
  <si>
    <t>Butler County Sheriff's Office</t>
  </si>
  <si>
    <t>705 Hanover Street</t>
  </si>
  <si>
    <t>Hamilton</t>
  </si>
  <si>
    <t>45011</t>
  </si>
  <si>
    <t>(513) 785-1085</t>
  </si>
  <si>
    <t>(513) 785-1040</t>
  </si>
  <si>
    <t>31-6000061</t>
  </si>
  <si>
    <t>Richard K. Jones</t>
  </si>
  <si>
    <t>(513) 785-1008</t>
  </si>
  <si>
    <t>pstroup@butlersheriff.org</t>
  </si>
  <si>
    <t>Vickie Jo Barger</t>
  </si>
  <si>
    <t>VBarger@butlersheriff.org</t>
  </si>
  <si>
    <t>Doug Hale</t>
  </si>
  <si>
    <t>(513) 755-7211</t>
  </si>
  <si>
    <t>doug.hale@lakotaonline.com</t>
  </si>
  <si>
    <t>2011DUP09-1009</t>
  </si>
  <si>
    <t>Deputy Hale conducts presentations in Health classes and assemblies regarding effects of alcohol and what he personally deals with at school.  He leads into issues of driving while under the influence of drugs/alcohol and the meeting with the families of someone who has died in a car crash.  He covers family issues with alcohol abuse in the home and problems that are caused with marriages and domestic violence.  The students typically ask questions about parties and who is allowed to provide alcohol.  We talk a great deal about "Parents who host".  They also discuss court proceedings and what to expect</t>
  </si>
  <si>
    <t>Deputy Hale will cover the Prescription Drug Abuse Prevention through discussions with the students as part of the Prom Promise as well as assemblies and Health classes.  The students will learn to identify the “party” environment where these drugs may be introduced and the effects of these drugs.  He will explain how kids get access to these drugs.  The drug topics will be ADD or ADHD medication, pain medication and over the counter items.  (Basically anything found in a medicine cabinet.)  This will be an open forum where students can freely ask questions and exchange ideas.</t>
  </si>
  <si>
    <t>14,960.50</t>
  </si>
  <si>
    <t>7,480.25</t>
  </si>
  <si>
    <t>North Canton Police Department</t>
  </si>
  <si>
    <t>145 N. Main Street</t>
  </si>
  <si>
    <t>North Canton</t>
  </si>
  <si>
    <t>Stark County</t>
  </si>
  <si>
    <t>(330) 499-5911</t>
  </si>
  <si>
    <t>(330) 966-3731</t>
  </si>
  <si>
    <t>34-6002037</t>
  </si>
  <si>
    <t>Stephan B. Wilder</t>
  </si>
  <si>
    <t>swilder@northcantonpolice.org</t>
  </si>
  <si>
    <t>Karen Alger</t>
  </si>
  <si>
    <t>(330) 499-3466</t>
  </si>
  <si>
    <t>Karen@northcantonohio.com</t>
  </si>
  <si>
    <t>jharnack@northcantonpolice.org</t>
  </si>
  <si>
    <t>2010UP76-2109</t>
  </si>
  <si>
    <t>The North Canton Police Department has three trained and certified School Resource Officers actively engaged in the North Canton City Schools. They have provided  comprehensive drug education, prevention and counseling programs in the elementary, middle, and high school enviornments. They have developed drug prevetion education and information powerpoint presentations for students, parents and faculty.Demands for SRO intervention for individual and family counseling has seen an increase regarding the misuse of prescription drugs and more recently bath salts. Each year they present to an 800 +/- freshman class the above information regarding thier safety on the use, misuse, school and legal issues involving legal or illegal drugs. This effort is well recognized by the school and city community. They attend a school assembly in each school.</t>
  </si>
  <si>
    <t>James T. Harnack</t>
  </si>
  <si>
    <t>$13176.80</t>
  </si>
  <si>
    <t>$6588.40</t>
  </si>
  <si>
    <t>Patrolman</t>
  </si>
  <si>
    <t>Matthew R. Rahde</t>
  </si>
  <si>
    <t>Randolph J. Manse</t>
  </si>
  <si>
    <t>$7906.08</t>
  </si>
  <si>
    <t>$3953.04</t>
  </si>
  <si>
    <t>$17,129.84</t>
  </si>
  <si>
    <t>45324</t>
  </si>
  <si>
    <t>(937) 754-3067</t>
  </si>
  <si>
    <t>(937) 754-3004</t>
  </si>
  <si>
    <t>31-6001510</t>
  </si>
  <si>
    <t>TERRY.BARLOW@CI.FAIRBORN.OH.US</t>
  </si>
  <si>
    <t>(937) 754-3005</t>
  </si>
  <si>
    <t>RANDY.GROVES@CI.FAIRBORN.OH.US</t>
  </si>
  <si>
    <t>DAN.ARWOOD@CI.FAIRBORN.OH.US</t>
  </si>
  <si>
    <t>2010DUP29-2231</t>
  </si>
  <si>
    <t>THE FAIRBORN POLICE DEPARTMENT HAS TAUGHT THE 5TH GRADE DARE PROGRAM CONTINUOUSLY SINCE THE EARLY 1990S.  THIS IS THE KEYSTONE OF FAIRBORN’S DRUG USE PREVENTION PROGRAM. THE GUIDE PROGRAM FOR ALL 8TH GRADERS TAKES ITS EDUCATIONAL FRAMEWORK DIRECTLY FROM THE US DEPARTMENT OF HEALTH’S CENTER FOR SUBSTANCE ABUSE PREVENTION.  AT THE HIGH SCHOOL, A LAW ENFORCEMENT CLASS IS TAUGHT WHICH FOCUSES NOT ONLY ON HEALTH ISSUES WITH REGARDS TO DRUG USAGE, BUT ALSO ON THE LEGAL RISKS AS WELL. OFFICER BILL TITLEY WILL BE THE PRIMARY INSTRUCTOR FOR THE LISTED COURSES.</t>
  </si>
  <si>
    <t>THE FAIRBORN POLICE DEPARTMENT WILL BE IMPLEMENTING THE DARE OTC/Rx PROGRAM IN ADDITION TO THE DARE CURRICULUM IN THE 2012-2013 PROGRAM. THE TARGETED GRADES WILL BE 5TH, 8TH, AND 12TH. TRAINING WILL ALSO BE PROVIDED AT THE SUMMER DARE CAMP AND DURING THE SWEET CORN FESTIVAL. OFFICER BILL TITLEY WILL BE THE PRIMARY INSTRUCTOR FOR THESE COURSES.</t>
  </si>
  <si>
    <t>47378.28</t>
  </si>
  <si>
    <t>23689.14</t>
  </si>
  <si>
    <t>Ontario</t>
  </si>
  <si>
    <t>44906</t>
  </si>
  <si>
    <t>Richland County</t>
  </si>
  <si>
    <t>(419) 529-2115</t>
  </si>
  <si>
    <t>(419) 529-6213</t>
  </si>
  <si>
    <t>34-6004502</t>
  </si>
  <si>
    <t>Rodney Smith</t>
  </si>
  <si>
    <t>(419) 529-3007</t>
  </si>
  <si>
    <t>rsmith@ontarioohiopolice.com</t>
  </si>
  <si>
    <t>Jane Hammond</t>
  </si>
  <si>
    <t>(419) 529-2397</t>
  </si>
  <si>
    <t>jhammond@ontarioohio.org</t>
  </si>
  <si>
    <t>Adam Gongwer</t>
  </si>
  <si>
    <t>agongwer@ontarioohiopolice.com</t>
  </si>
  <si>
    <t>2010DUP70-2256</t>
  </si>
  <si>
    <t>I will present the D.A.R.E. OTC/Rx Drug Abuse Program to the 5th grade students, 8th Grade health classes (both semesters), and the 9th/10th Grade Health classes (both semesters).</t>
  </si>
  <si>
    <t>Wells Township Police Department</t>
  </si>
  <si>
    <t>409 Prospect Street</t>
  </si>
  <si>
    <t>Brilliant</t>
  </si>
  <si>
    <t>43913</t>
  </si>
  <si>
    <t>Jefferson County</t>
  </si>
  <si>
    <t>(740) 598-9602</t>
  </si>
  <si>
    <t>(740) 598-3617</t>
  </si>
  <si>
    <t>34-6003029</t>
  </si>
  <si>
    <t>John Ingram</t>
  </si>
  <si>
    <t>wells7901@yahoo.com</t>
  </si>
  <si>
    <t>Joseph Matthews</t>
  </si>
  <si>
    <t>wellstrustees@yahoo.com</t>
  </si>
  <si>
    <t>Sean Norman</t>
  </si>
  <si>
    <t>seancnorman@hotmail.com</t>
  </si>
  <si>
    <t>2011DUP41-2265</t>
  </si>
  <si>
    <t>D.A.R.E. curriculum to be presented throughout the school year for the following...
2nd grade (20 weeks), 4th grade (20 weeks), 5th grade (27 weeks), 8th grade (36 weeks).  Additional classroom time will be added for the OTC/RX program.</t>
  </si>
  <si>
    <t>D.A.R.E. OTC/Rx Drug Abuse Program will be included as part of the curriculum.</t>
  </si>
  <si>
    <t>22620</t>
  </si>
  <si>
    <t>11310</t>
  </si>
  <si>
    <t>Shelby County Sheriff's Office</t>
  </si>
  <si>
    <t>555 Gearhart Rd</t>
  </si>
  <si>
    <t>Sidney</t>
  </si>
  <si>
    <t>Shelby County</t>
  </si>
  <si>
    <t>(937) 498-1111</t>
  </si>
  <si>
    <t>(937) 498-8832</t>
  </si>
  <si>
    <t>75-1075</t>
  </si>
  <si>
    <t>John R. Lenhart</t>
  </si>
  <si>
    <t>(937) 498-7833</t>
  </si>
  <si>
    <t>john.lenhart@shelbycountysheriff.com</t>
  </si>
  <si>
    <t>Lori Opperman</t>
  </si>
  <si>
    <t>(937) 494-2107</t>
  </si>
  <si>
    <t>lori.opperman@shelbycountysheriff.com</t>
  </si>
  <si>
    <t>Jim Frye</t>
  </si>
  <si>
    <t>(937) 494-2117</t>
  </si>
  <si>
    <t>jim.frye@shelbycountysheriff.com</t>
  </si>
  <si>
    <t>2010DUP75-1075</t>
  </si>
  <si>
    <t>The Shelby County Sheriff’s Office runs a standard 10 week DARE program that includes subjects such as: prescription drug abuse prevention, internet safety, crime prevention, gun safety, seatbelt safety, and bullying. The program services eight (8) school districts with one deputy providing the classes. The Shelby County DARE officer also serves as a school resource for the elementary schools in the county on an as needed basis. The DARE officer is used routinely as a resource for teacher in-services, bus driver in-services, and for the general public for drug education and crime prevention purposes.</t>
  </si>
  <si>
    <t>The Shelby County Sheriff’s Office will conduct an over the counter and prescription drug abuse program in accordance with DARE standards that will be added to the existing DARE program. This will also allow the DARE officer to conduct public education sessions as needed on this subject. The DARE officer will also continue to participate with prescription drug drop-off days and public information dissemination.</t>
  </si>
  <si>
    <t>Ed Garrett</t>
  </si>
  <si>
    <t>49,171.20</t>
  </si>
  <si>
    <t>24,585.60</t>
  </si>
  <si>
    <t>Bill Booth</t>
  </si>
  <si>
    <t>12,292.80</t>
  </si>
  <si>
    <t>6,146.40</t>
  </si>
  <si>
    <t>30,732.00</t>
  </si>
  <si>
    <t>44503</t>
  </si>
  <si>
    <t>(330) 480-5000</t>
  </si>
  <si>
    <t>(330) 480-5088</t>
  </si>
  <si>
    <t>3460017771</t>
  </si>
  <si>
    <t>(330) 480-5020</t>
  </si>
  <si>
    <t>rwellington@mahoningcountyoh.gov</t>
  </si>
  <si>
    <t>(330) 740-2010</t>
  </si>
  <si>
    <t>msciortino@mahoningcountyoh.gov</t>
  </si>
  <si>
    <t>(330) 480-5023</t>
  </si>
  <si>
    <t>mgilboy@mahoningcountyoh.gov</t>
  </si>
  <si>
    <t>2011DUP50-1050</t>
  </si>
  <si>
    <t>FOR THE 2012-2013 SCHOOL YEAR, DEPUTY GREG TAILLON WILL BE TEACHING THE STANDARD 10 WEEK DRUG USE PREVENTION PROGRAM AT THE ELEMENTARY AND MIDDLE SCHOOL LEVELS. IN ADDITION THE "TAR WARS" ANTI-SMOKING PROGRAM WILL ALSO BE TAUGHT. A BULLYING PROGRAM IS TAUGHT AT KINDERGARTEN, 3RD, 5TH AND 7TH GRADE LEVELS AND OVER THE COUNTER DRUG PROGRAM IS TAUGHT IN THE MIDDLE SCHOOL.  ALCOHOL AWARENESS IS INSTRUCTED AT THE 10TH GRADE LEVEL AT THE HIGHT SCHOOL. DEP. TAILLON IS THE LAW ENFORCEMENT LIAISON TO MADD AND USES PART OF THE "VICTIMS IMPACT PANEL" PROGRAM TO ALSO EDUCATE AT THE HIGH SCHOOL LEVEL.  HE ALSO USES THE FATAL VISION GOGGLE IN CLASS TO DEMONSTRATE THE VISUAL EFFECTS AT DIFFERENT LEVELS OF IMPAIRMENT.</t>
  </si>
  <si>
    <t>THE D.A.R.E. OTC/RX DRUG ABUSE PROGRAM WILL BE TAUGHT BY DEP. TAILLON.</t>
  </si>
  <si>
    <t>31766.36</t>
  </si>
  <si>
    <t>15883.18</t>
  </si>
  <si>
    <t>Springdale Police Department</t>
  </si>
  <si>
    <t>12105 Lawnview Ave.</t>
  </si>
  <si>
    <t>Springdale</t>
  </si>
  <si>
    <t>45246</t>
  </si>
  <si>
    <t>Hamilton County</t>
  </si>
  <si>
    <t>(513) 346-5760</t>
  </si>
  <si>
    <t>(513) 346-5795</t>
  </si>
  <si>
    <t>31-6010111</t>
  </si>
  <si>
    <t>Michael Mathis</t>
  </si>
  <si>
    <t>(513) 346-5785</t>
  </si>
  <si>
    <t>mmathis@springdale.org</t>
  </si>
  <si>
    <t>Jeff Williams</t>
  </si>
  <si>
    <t>(513) 346-5720</t>
  </si>
  <si>
    <t>jwilliams@springdale.org</t>
  </si>
  <si>
    <t>Marsha Bemmes-Hoctor</t>
  </si>
  <si>
    <t>Polic Officer</t>
  </si>
  <si>
    <t>(513) 346-5774</t>
  </si>
  <si>
    <t>mbemmes@springdale.org</t>
  </si>
  <si>
    <t>2011DUP31-2230</t>
  </si>
  <si>
    <t>Officer Bemmes-Hoctor will teach the fifth grade DARE Core elementary classes and Pre-K thru fourth grade visitation lessons at the Springdale Elementary School and the Heritage Hill Elementary School in the Princeton City School District. Officer Bemmes-Hoctor also serves in the capacity of School Resource Officer for those two public elementary schools. She is a total liason between the police department and school system.</t>
  </si>
  <si>
    <t>Officer Bemmes-Hoctor will incorporate a perscription drug abuse lesson in with her Core DARE curriculum, mostly likely using the D.A.R.E. OTC/Rx Drug Abuse program curriculum currently established by DARE. Annually, Officer Bemmes-Hoctor will coordinate with the department Community Service Officer to make sure that information about prescription drug abuse reaches the entire Springdale Community. This can take place through the department block watch program, community citizen's police academy and/or annual "Drug Take Back Days" in conjunction with the DEA.</t>
  </si>
  <si>
    <t>35921</t>
  </si>
  <si>
    <t>17,961</t>
  </si>
  <si>
    <t>17,961.00</t>
  </si>
  <si>
    <t>Westlake Police Department</t>
  </si>
  <si>
    <t>Westlake</t>
  </si>
  <si>
    <t>44145</t>
  </si>
  <si>
    <t>(440) 871-3311</t>
  </si>
  <si>
    <t>(440) 835-6444</t>
  </si>
  <si>
    <t>34-6003057</t>
  </si>
  <si>
    <t>Richard A. Walling</t>
  </si>
  <si>
    <t>(440) 835-6428</t>
  </si>
  <si>
    <t>westlakepdchief@yahoo.com</t>
  </si>
  <si>
    <t>Prashant Shah</t>
  </si>
  <si>
    <t>(440) 617-4250</t>
  </si>
  <si>
    <t>pshah@cityofwestlake.org</t>
  </si>
  <si>
    <t>Kenneth Delfing</t>
  </si>
  <si>
    <t>delfing@wlak.org</t>
  </si>
  <si>
    <t>2011DUP18-2222</t>
  </si>
  <si>
    <t>DARE began in Westlake in the fall of 1991. The Westlake Police Department has four certified DARE and or School Resource Officers. Together, they instruct all 3rd, 5th, 7th, and 10th graders in all Westlake Schools. A DARE/SRO (Officer Delfing) is assiged to our Middle School. A SRO (Officer Fortkamp) is assigned to our High School. DARE/SRO Officer McCoy is assigned to our Intermediate School and along with Officer Cook instructs the core DARE program and prescription drug safety to all 5th graders in Westlake Schools along with safety, seatbelt safety, prescription drug safety, and Eddie Eagle gun safety program to 3rd graders.</t>
  </si>
  <si>
    <t>DARE Officers/SROs provide lessons concerning safety, stranger safety, Rx, OTC vs. other drugs and poisons with 3rd graders. They provide lessons including dangers and effects of certain drugs (including Rx and OTC drugs) and how to get out of harmful situations with the 5th graders. The 7th graders are instructed in decision making and work specifically on strategies to avoid risky situations and how to deal with pressures from others including dangers of OTC and Rx drugs. The 10th graders are instructed in recognizing signs and symptoms of drug use amongst their friends as well as the dangers of drinking and driving and prescription drug usage.</t>
  </si>
  <si>
    <t>52,783.50</t>
  </si>
  <si>
    <t>26,391.75</t>
  </si>
  <si>
    <t>Roseanna McCoy</t>
  </si>
  <si>
    <t>35,189.00</t>
  </si>
  <si>
    <t>17,594.50</t>
  </si>
  <si>
    <t>Scott Fortkamp</t>
  </si>
  <si>
    <t>8,797.25</t>
  </si>
  <si>
    <t>Keenan Cook</t>
  </si>
  <si>
    <t>79,175.25</t>
  </si>
  <si>
    <t>Ontario Police Department</t>
  </si>
  <si>
    <t>I am both SRO and DARE officer. Funds will be used to present: the DARE program to 5th Grade Students; Safety Town (drug/alcohol topics) to Kindergartners; class presentations including enforcement of drug and alcohol laws to Middle and High School, use of “Drunk Goggles” in health classes (OVI awareness); individual student counseling on drugs/alcohol use; Homecoming/Prom class OVI presentations to JR’s and SR’s; Mock Crash, Drug/Alcohol Assembly to all HS students at beginning of year; prep time for instructional time, and Law Enforcement Career presentations to various classes including drug/alcohol enforcement/under-age consumption.</t>
  </si>
  <si>
    <t>$5954</t>
  </si>
  <si>
    <t>$2977</t>
  </si>
  <si>
    <t>Stow Police Department</t>
  </si>
  <si>
    <t>3800 Darrow Road</t>
  </si>
  <si>
    <t>Stow</t>
  </si>
  <si>
    <t>44224</t>
  </si>
  <si>
    <t>Summit County</t>
  </si>
  <si>
    <t>(330) 689-5700</t>
  </si>
  <si>
    <t>(330) 689-5799</t>
  </si>
  <si>
    <t>34-6002740</t>
  </si>
  <si>
    <t>ldirker@stow.oh.us</t>
  </si>
  <si>
    <t>John Baranek</t>
  </si>
  <si>
    <t>(330) 689-2830</t>
  </si>
  <si>
    <t>jbaranek@stow.oh.us</t>
  </si>
  <si>
    <t>(330) 689-5733</t>
  </si>
  <si>
    <t>jbarker@stow.oh.us</t>
  </si>
  <si>
    <t>2011DUP77-2228</t>
  </si>
  <si>
    <t>Officer Barker will teach the ten week standard DARE curriculum with three supplemant lessons for a total of thirten lessons to all eighteen, sixth grade class rooms. Officer Barker also assist with SRO duties at Stow-Munroe Falls High School with Officer Barry Smith. Officer Smith's daily functions includes coaching and counseling students, in small groups, one-on-one, and informal talks during the booking process, about the dangers and consequences of using drugs and alchohol. Also, during Homecoming week , and Prom season, he will again work with Student Council, and parents to create programs that deliver a safe and sober message. Officer will be speaking in classrooms to high-risk students to reinforce the dangers and complications of drugs.</t>
  </si>
  <si>
    <t>All sixth grade classes will receieve the DARE OTC/Rx Drug Abuse Program curriculum by Officer Barker. SRO Smith will be creating or borrowing a Prescription drug abuse prevention education lesson plan and presenting to at-risk students, small groups, and one-on-one as needed.</t>
  </si>
  <si>
    <t>James Barker</t>
  </si>
  <si>
    <t>21592.00</t>
  </si>
  <si>
    <t>10,796.00</t>
  </si>
  <si>
    <t>Barry Smith</t>
  </si>
  <si>
    <t>24,677.00</t>
  </si>
  <si>
    <t>12,338.00</t>
  </si>
  <si>
    <t>23,134.00</t>
  </si>
  <si>
    <t>Perry Township Police Department</t>
  </si>
  <si>
    <t>622 Genoa Rd. SW</t>
  </si>
  <si>
    <t>Massillon</t>
  </si>
  <si>
    <t>44646</t>
  </si>
  <si>
    <t>(330) 478-5121</t>
  </si>
  <si>
    <t>(330) 478-3504</t>
  </si>
  <si>
    <t>34-6002190</t>
  </si>
  <si>
    <t>Michael T. Pomesky</t>
  </si>
  <si>
    <t>(330) 478-3510</t>
  </si>
  <si>
    <t>mpomesky@perrypolice.com</t>
  </si>
  <si>
    <t>Joe Schlegel</t>
  </si>
  <si>
    <t>(330) 833-2141</t>
  </si>
  <si>
    <t>jcs37@sssnet.com</t>
  </si>
  <si>
    <t>2011DUP76-2218</t>
  </si>
  <si>
    <t>Officer Watson teaches the standard 10-week DARE Curriculum .  In the just say no program he conducts an introduction to DARE.  He also conducts an age appropriate refresher with 9th graders.  The department and Ofc. Watson hold a PRIDE program during the summer months to reinforce making good choices and decisions regarding the use of alcohol, drugs, and peer pressure which is paid for with department funds, donations, and funds from 5th Grade participants.  Ofc. Watson is active in SADD, TI and other drug use prevention functions in our local schools.  In addition to all the above Ofc. Watson is involved with students one on one to mentor them.
Ofc. Barrett is actively in the classroom with our Junior's and Senior's promoting drug and alcohol use prevention.  In addition to the classroom time, Ofc. Barrett spends a substantial amount of time with interaction between parents and children to get them on the right track for our youth engaged in  this type of activity.  Ofc. Barrett also spends time assisting with our DARE program too.  Ofc. Barrett spends time during our prom season to bring in programs discouraging alcohol and drug use for our teens.  He has pared with Stark County Safe Communities and the Stark County OVI Task Force for these programs as well.</t>
  </si>
  <si>
    <t>Ofc. Watson conducts age appropriate prescription drug abuse prevention starting with the third grade.  He educated them on poison control, uses props, and color/article recognition to educate children on what to avoid.  In the 6th Grade, Ofc. Watson goes over an in depth power point, a book and covers worksheets and videos with the kids.  7th Grade kids have a pre/post test with videos and lecture.
Ofc. Barrett includes a prescription drug abuse prevention component in each program he teaches.  Now more than ever with the increase in cocern with this area he is focusing on it.  In addition to these critical components, Ofc. Barret avails himself for one on one counseling with the youth.  Ofc. Barrett also covers these topics during appropriate times of the season (dances, when students get a license, etc...  Ofc. Barrett also covers the ORC with students to let them know what to expect.</t>
  </si>
  <si>
    <t>William Watson</t>
  </si>
  <si>
    <t>40,152.32</t>
  </si>
  <si>
    <t>20,076.16</t>
  </si>
  <si>
    <t>Benjamin Barrett</t>
  </si>
  <si>
    <t>14545.44</t>
  </si>
  <si>
    <t>7272.72</t>
  </si>
  <si>
    <t>$27,348.88</t>
  </si>
  <si>
    <t>Rocky River Police Department</t>
  </si>
  <si>
    <t>Rocky River</t>
  </si>
  <si>
    <t>44116</t>
  </si>
  <si>
    <t>(440) 895-2588</t>
  </si>
  <si>
    <t>(440) 895-2636</t>
  </si>
  <si>
    <t>513186064</t>
  </si>
  <si>
    <t>Kelly Stillman</t>
  </si>
  <si>
    <t>(440) 331-1234</t>
  </si>
  <si>
    <t>chiefstillman@rrcity.com</t>
  </si>
  <si>
    <t>Michael Thomas</t>
  </si>
  <si>
    <t>(440) 331-0600</t>
  </si>
  <si>
    <t>mthomas@rrcity.com</t>
  </si>
  <si>
    <t>Tracey Hill</t>
  </si>
  <si>
    <t>thill@rrcity.com</t>
  </si>
  <si>
    <t>2011DUP18-2235</t>
  </si>
  <si>
    <t>Officer Hill
-Standard 10 week DARE curriculum taught to, approximately 300 Kensington Elementary 5th graders, and approximately 300 Rocky River Middle School 7th graders.  Additional programs taught include prescription drug abuse, internet safety/sexting/cyberbullying.  Also run the Rocky River Community Diversion Program to divert first time drug/alcohol offenders from juvenile court and into appropriate treatment/counseling.
Officer Bernhardt (School Resource Officer)
-Full time assignment to the Rocky River High School.  Programs include: prescription pill abuse, suicide prevention, alcohol and drug awareness, internet safety/sexting/cyberbullying.  Programs taught to all students from 9th to 12th grade, totaling approximately 900 students.</t>
  </si>
  <si>
    <t>Both Officer Hill and SRO Bernhardt will teach the standard DARE OTC/RX Drug Abuse Program to all students.  We also participate and promote at the public schools the Prescription Drop Off box (Operation Medicine Cabinet) through the D.E.A. located in the Rocky River Police Department lobby.  We also partcipate in the National Prescription Drug Take Back Day.</t>
  </si>
  <si>
    <t>68,777.38</t>
  </si>
  <si>
    <t>34,388.69</t>
  </si>
  <si>
    <t>Michael Bernhardt</t>
  </si>
  <si>
    <t>1000 Market St.</t>
  </si>
  <si>
    <t>Reading</t>
  </si>
  <si>
    <t>45215</t>
  </si>
  <si>
    <t>(513) 733-4122</t>
  </si>
  <si>
    <t>(513) 842-1687</t>
  </si>
  <si>
    <t>31-6000057</t>
  </si>
  <si>
    <t>Scott Snow</t>
  </si>
  <si>
    <t>ssnow@readingohio.org</t>
  </si>
  <si>
    <t>Nancy Stall</t>
  </si>
  <si>
    <t>(513) 733-5768</t>
  </si>
  <si>
    <t>nstall@readingohio.org</t>
  </si>
  <si>
    <t>2010-DUP31-210</t>
  </si>
  <si>
    <t>Dare/SRO certified Officer Rick Ellsion will present the standard 10 week 5th grade DARE curriculum during the 2012-2013 school year.  Additionally, he will provide one-on-one counseling and classroom talks concerning drug use for those grades not included in the DARE program.</t>
  </si>
  <si>
    <t>Dare/SRO certified Officer Rick Ellsion will present the standard DARE OTC/RX Drug Abuse program during the 2012-2013 school year.  Additionally, he will provide one-on-one counseling and classroom talks concerning OTC/RX drug use for those grades not included in the DARE program.</t>
  </si>
  <si>
    <t>Rick Ellison</t>
  </si>
  <si>
    <t>15464</t>
  </si>
  <si>
    <t>7732.00</t>
  </si>
  <si>
    <t>Miamisburg Police Department</t>
  </si>
  <si>
    <t>10 North First Street</t>
  </si>
  <si>
    <t>Miamisburg</t>
  </si>
  <si>
    <t>45342</t>
  </si>
  <si>
    <t>Montgomery County</t>
  </si>
  <si>
    <t>(937) 847-6600</t>
  </si>
  <si>
    <t>(937) 847-6571</t>
  </si>
  <si>
    <t>31-6000140</t>
  </si>
  <si>
    <t>John P. Sedlak</t>
  </si>
  <si>
    <t>john.sedlak@cityofmiamisburg.com</t>
  </si>
  <si>
    <t>George S. Perrine</t>
  </si>
  <si>
    <t>(937) 847-3303</t>
  </si>
  <si>
    <t>george.perrine@cityofmiamisburg.com</t>
  </si>
  <si>
    <t>Douglas M. Sharritts</t>
  </si>
  <si>
    <t>(937) 847-6610</t>
  </si>
  <si>
    <t>doug.sharritts@cityofmiamisburg.com</t>
  </si>
  <si>
    <t>2011DUP57-2262</t>
  </si>
  <si>
    <t>Officer Sharritts (DARE Officer) will teach the DARE Elementary curriculum to the following seven Miamisburg elementary schools: Bear, Kinder, Mark Twain, Mound, Bauer, Medlar View, and Chance.  Officer Sharritts will teach the DARE Middle School curriculum to the 7th grade students at the Miamisburg Middle School. In addition, Officer Sharritts will teach the V.E.G.A. curriculum to the 6th grade students and the Choices and Consequences curriculum to the 8th grade students at the Miamisburg Middle School. These programs will touch the lives of approximately 1,700 students within the Miamisburg Public School system during the 2012-2013 school year.  Officer Sharritts is available at all of the Miamisburg Public Schools (Elementary, Middle School, and High School) during the school year to mentor and counsel the students on drug/alcohol prevention.
Officer Copsey (School Resource Officer) will occupy an office at the Miamisburg High School throughout the entire 2012-2013 school year.  Officer Copsey is the co-ordinator of the  SADD/Pride Program at the high school, plans and presents the annual Prom Mock Crash Program, and instructs programs with parent groups on alcohol/drug prevention.  Officer Copsey is available to all of the Miamisburg Public Schools (Elementary, Middle School, and High School) during the school year to mentor and counsel the students on drug/alcohol prevention.</t>
  </si>
  <si>
    <t>Officer Sharritts will teach the DARE Elementary OTC/Rx Supplemental Lesson (Be Safe with Over-the-Counter and Prescription Medicines) to all of the 5th grade students and the DARE Middle School OTC/Rx Supplemental Lesson (Be Safe with Over-the-Counter and Prescription Medicines) to all of the 7th grade students.
Officer Copsey and his SADD/Pride group will conduct a week long OTC/Rx Awareness/Prevention program at the Miamisburg High School.</t>
  </si>
  <si>
    <t>Doug Sharritts</t>
  </si>
  <si>
    <t>$44,450.00</t>
  </si>
  <si>
    <t>$22,225.00</t>
  </si>
  <si>
    <t>Ryan Copsey</t>
  </si>
  <si>
    <t>$15,875.00</t>
  </si>
  <si>
    <t>$7,937.00</t>
  </si>
  <si>
    <t>$30,162.00</t>
  </si>
  <si>
    <t>Sidney Police Department</t>
  </si>
  <si>
    <t>234 W. Court St.</t>
  </si>
  <si>
    <t>(937) 498-2351</t>
  </si>
  <si>
    <t>(937) 498-8129</t>
  </si>
  <si>
    <t>34-6401348</t>
  </si>
  <si>
    <t>kgessler@sidneyoh.com</t>
  </si>
  <si>
    <t>Ginger Adams</t>
  </si>
  <si>
    <t>(937) 498-8194</t>
  </si>
  <si>
    <t>gadams@sidneyoh.com</t>
  </si>
  <si>
    <t>Jerry Tangeman</t>
  </si>
  <si>
    <t>(937) 498-8126</t>
  </si>
  <si>
    <t>jtangeman@sidneyoh.com</t>
  </si>
  <si>
    <t>2011DUP75-2153</t>
  </si>
  <si>
    <t>The standard nine week D.A.R.E. curriculum is taught to the students as well as four additional supplemental lessons on Prescription Drugs, Gangs, and Role Models. The program ends up being thirteen weeks long. The standard D.A.R.E. curriculum for gardes Kindergarten through four grade is also taught.</t>
  </si>
  <si>
    <t>As I have stated above I do teach the D.A.R.E. OTC/RX Drug Abuse Program to the fifth graders. I have been teaching this program for as long as I have been in D.A.R.E. which has been for the last four years. I plan on continuing this program every year that I teach D.A.R.E.</t>
  </si>
  <si>
    <t>Valerie Leigeber</t>
  </si>
  <si>
    <t>40,631.00</t>
  </si>
  <si>
    <t>20,316.00</t>
  </si>
  <si>
    <t>Brecksville Police Department</t>
  </si>
  <si>
    <t>Brecksville</t>
  </si>
  <si>
    <t>44141</t>
  </si>
  <si>
    <t>(440) 526-8900</t>
  </si>
  <si>
    <t>(440) 546-2002</t>
  </si>
  <si>
    <t>34-6000-322</t>
  </si>
  <si>
    <t>Richard E. Mannarino</t>
  </si>
  <si>
    <t>rmannarino@brecksville.oh.us</t>
  </si>
  <si>
    <t>Virginia Price</t>
  </si>
  <si>
    <t>(440) 526-4351</t>
  </si>
  <si>
    <t>vprice@brecksville.oh.us</t>
  </si>
  <si>
    <t>John Chrisopulos</t>
  </si>
  <si>
    <t>jchrisopulos@brecksville.oh.us</t>
  </si>
  <si>
    <t>2011dup18-2093</t>
  </si>
  <si>
    <t>Certified D.A.R.E Officer John Chrisopulos will instruct the D.A.R.E. program to K-5 and 7th grade students in the Brecksville-Broadview Heights City School District. Students in the 7th grade will receive instruction from the D.A.R.E. Keeping It REAL program. Students in the 5th grade will receive instruction from the D.A.R.E. core program. Students in the K-4 grades with received instruction from the D.A.R.E. visitation program.</t>
  </si>
  <si>
    <t>D.A.R.E. Officer John Chrisopulos will Instruct the D.A.R.E. OTC/Rx Abuse program to the 5th and 7th grades of the Brecksville-Broadview Heights City School District.</t>
  </si>
  <si>
    <t>$41,715.60</t>
  </si>
  <si>
    <t>$20,857.80</t>
  </si>
  <si>
    <t>Monroe Police Department</t>
  </si>
  <si>
    <t>233 South Main Street</t>
  </si>
  <si>
    <t>Monroe</t>
  </si>
  <si>
    <t>45050</t>
  </si>
  <si>
    <t>(513) 539-9234</t>
  </si>
  <si>
    <t>(513) 539-6205</t>
  </si>
  <si>
    <t>31-6001706</t>
  </si>
  <si>
    <t>Gregory C. Homer</t>
  </si>
  <si>
    <t>homerg@monroeohio.org</t>
  </si>
  <si>
    <t>Kacey Waggaman</t>
  </si>
  <si>
    <t>(513) 539-7374</t>
  </si>
  <si>
    <t>waggaman@cityofmonroe.org</t>
  </si>
  <si>
    <t>Brett Kahny</t>
  </si>
  <si>
    <t>kahnyb@monroeohio.org</t>
  </si>
  <si>
    <t>2011DUP09-2270</t>
  </si>
  <si>
    <t>SRO/DARE Officer Brett Kahny has been a DARE Officer for 7 years.  He has been presenting the DARE program at the Monroe Local Schools during this time.  The Monroe area population is growing rapidly, faster than the Police Department and the School District can keep up financially.  The Monroe School District has been adding another 6th grade class every two years.  The 6th grade is our primary target age during our program presentations.  PO Kahny continues to expand his DARE message, in an abbreviated manner, to the elementary and carrying the abbreviated program into the high school.  The popularity of the program and its message with teachers, parents, students, and school administration has caused the Police Department to continue to grow the program in the schools.  The assistance of the Drug Use Prevention Program Grant guarantees that this popular and successful program will continue to operate in the Monroe Local Schools.   PO Brett Kahny is a one-man show at the schools.  Brett is on-site, in any one of the buildings, during school time operation.  He plans his programs, does his scheduling, and orders his supplies, all while at the school.  Brett works all the football and basketball games at the school.  It is not unusual for his old students to talk to him about their real life experiences and how his DARE class assisted them in coping with the situation.  This year while PO Kahny was working the Prom one of the students, from his first DARE class, thanked him for the positive effect DARE has had on his life.  This student also told Officer Kahny to not stop presenting the program.  Wow! Visible real life results are, in my opinion the best measure of a prevention program.  If it were not for the continued assistance of the Drug Use Prevention Program Grant I am not sure this program would keep expanding in its existence.  Bret now has an abbreviated program in the Jr. &amp; Sr. high classes.  He does mock crash, Mock DUI trial, prom promise at prom time.  He works with the high school students in a safe prom/graduation program. These programs could not be continued without the drug use prevention grant.</t>
  </si>
  <si>
    <t>Officer Kahny plans on teaching the DARE OTC/Rx Drug Abuse Program along with his standard DARE program.</t>
  </si>
  <si>
    <t>28,226</t>
  </si>
  <si>
    <t>14,113</t>
  </si>
  <si>
    <t>Huron Police Department</t>
  </si>
  <si>
    <t>417 Main Street</t>
  </si>
  <si>
    <t>Huron</t>
  </si>
  <si>
    <t>44839</t>
  </si>
  <si>
    <t>(419) 433-5000</t>
  </si>
  <si>
    <t>34-6400671</t>
  </si>
  <si>
    <t>Robert J. Lippert</t>
  </si>
  <si>
    <t>rlippert@cityofhuron.org</t>
  </si>
  <si>
    <t>Catherine Ramey</t>
  </si>
  <si>
    <t>cramey@cityofhuron.org</t>
  </si>
  <si>
    <t>Keith Lobsinger</t>
  </si>
  <si>
    <t>klobsinger@cityofhuron.org</t>
  </si>
  <si>
    <t>2011DUP22-2196</t>
  </si>
  <si>
    <t>If awarded funding, the Huron Police Department will continue its' commitment to educate our city school children on the dangers of drug use. Officer Keith Lobsinger, our current School Resource Officer, will take over as the only DARE Instructor. Officer Lobsinger will teach the standard DARE cirriculum to elementary aged school children and the "Keepin' It Real" cirriculum to middle and high school aged shcool children. In addition to these teahcings and the other activities that coincide with the teaching, Officer Lobsinger will present the School Resource Officer Drug Use Prevention Program. These programs are an invaluable asset to the Huron Police Department as we subscribe to the Community Oriented Policing Law Enforcement model. It is vitally important to the success of our youth that the message on the dangers of drugs and other pitfalls of youth are taught to them by a police officer in school.</t>
  </si>
  <si>
    <t>If awarded funding, the Huron Police Department will commit Officer Lobsinger, in addition to the aforementioned cirriculum, to teach the DARE ORC/Rx Drug Abuse Program. Officer Lobsinger, being assigned as the School Resource Officer, is already in the schools on a full-time basis, therefore, the Huron Police Department will only increase and reaffirm its' commitment to Drug Abuse Prevention by committing to this new cirriculum.</t>
  </si>
  <si>
    <t>41,818.08</t>
  </si>
  <si>
    <t>20,909.04</t>
  </si>
  <si>
    <t>Genoa Township Police Department</t>
  </si>
  <si>
    <t>7049 Big Walnut Road</t>
  </si>
  <si>
    <t>Galena</t>
  </si>
  <si>
    <t>43021</t>
  </si>
  <si>
    <t>(614) 568-2060</t>
  </si>
  <si>
    <t>(614) 568-2091</t>
  </si>
  <si>
    <t>31 - 6402784</t>
  </si>
  <si>
    <t>Robert E. Taylor</t>
  </si>
  <si>
    <t>RTaylor@genoatwp.com</t>
  </si>
  <si>
    <t>Patrick Myers</t>
  </si>
  <si>
    <t>(614) 895-1126</t>
  </si>
  <si>
    <t>PMyers@genoatwp.com</t>
  </si>
  <si>
    <t>Ron Thompson</t>
  </si>
  <si>
    <t>RThompson@genoatwp.com</t>
  </si>
  <si>
    <t>The Genoa Township Police Department D.A.R.E. program seeks to provide children with the information and skills needed to live drug and violence free lives.  Our goal is to continue this valuable resource, equipping them with the tools that will enable them to avoid negative influences and instead allow them to focus on their strengths and potential to overcome peer pressure and the use of gateway substances. 
Through our D.A.R.E. partnership with schools we desire to continue building positive relationships between law enforcement, students, teachers, parents and community members.</t>
  </si>
  <si>
    <t>Currently, the D.A.R.E. officer teaches the OTC/Rx Drug Abuse Program as part of the required curriculum. Additionally, the department's School Resource Officers are attempting to work with the each other as well as the health teachers at his/her respective school to develop a class for students on the dangers and risks of abusing prescription medication.</t>
  </si>
  <si>
    <t>Matt Messbarger</t>
  </si>
  <si>
    <t>$3,537.93</t>
  </si>
  <si>
    <t>$1,768.00</t>
  </si>
  <si>
    <t>2080 SR 303</t>
  </si>
  <si>
    <t>Streetsboro</t>
  </si>
  <si>
    <t>44241</t>
  </si>
  <si>
    <t>(330) 626-4976</t>
  </si>
  <si>
    <t>(330) 626-5239</t>
  </si>
  <si>
    <t>34-6002746</t>
  </si>
  <si>
    <t>Roy E. Mosley III</t>
  </si>
  <si>
    <t>rmosley@streetsboropolice.com</t>
  </si>
  <si>
    <t>Ted Gordon</t>
  </si>
  <si>
    <t>(330) 626-4942</t>
  </si>
  <si>
    <t>tgordon@cityofstreetsboro.com</t>
  </si>
  <si>
    <t>Jason K. Fogleman</t>
  </si>
  <si>
    <t>jfogleman@streetsboropolice.com</t>
  </si>
  <si>
    <t>2010DUP67-2224</t>
  </si>
  <si>
    <t>Officer Fogleman will be instructing the DARE core program.  Officer Fogleman will also function as the SRO and related activities.  At the middle and high school levels the drug prevention program will include classroom discussions, informal group interactions, one-one counseling and school assemblies.  Idea is to have these activities around the time that key/major school events are going to take place.</t>
  </si>
  <si>
    <t>The prescription drug abuse prevention program to be used will be the "DARE OTC/Rx Drug Abuse Program".  Plans are to present it at the middle school along with a bullying program and then at the high school in conjunction with the DARE Meth program.  Both presentations will be conducted in the school's health classes.</t>
  </si>
  <si>
    <t>$48,256</t>
  </si>
  <si>
    <t>$24,128</t>
  </si>
  <si>
    <t>10711 Main Street POB 463</t>
  </si>
  <si>
    <t>New Middletown</t>
  </si>
  <si>
    <t>44442</t>
  </si>
  <si>
    <t>(330) 542-2846</t>
  </si>
  <si>
    <t>(330) 542-2239</t>
  </si>
  <si>
    <t>34-1096496</t>
  </si>
  <si>
    <t>Vincent D'Egidio</t>
  </si>
  <si>
    <t>newmiddletownpd@comcast.net</t>
  </si>
  <si>
    <t>Carl Flitcraft</t>
  </si>
  <si>
    <t>villageofnewmiddletown@comcast.net</t>
  </si>
  <si>
    <t>Kenneth Goist</t>
  </si>
  <si>
    <t>sgtgoist@comcast.net</t>
  </si>
  <si>
    <t>2011DUP50-2251</t>
  </si>
  <si>
    <t>SRO Sgt Goist will conduct drug education programs througout the school year.  Programs will be in class health and science and assemblies.  Programs will encompass awareness, Say No to Drugs, Red Ribbon Week activities and local speakers who have used drug and the effects of drugs.  Grade levels will be focused on 5th - 12th grade.  The programs are specific to our communities drug problem.  Visual aids and printed materials  with complement the activities.</t>
  </si>
  <si>
    <t>Precription Drug abuse informational sessions wil be taught by the SRO.  The program will be a local program specific to our community that has experienced 4 prescription deaths in 2011.  The Dept will participtae in the DEA National Drug Take Back initiatives.  Sessions will focus on abuse of prescription drugs, and will be supplemented throughoutthe year by articles inthe school newspaper and take home materials.  Informational sessions will focus on all grade levels.</t>
  </si>
  <si>
    <t>1425.78</t>
  </si>
  <si>
    <t>7127.39</t>
  </si>
  <si>
    <t>Bowling Green Police Division</t>
  </si>
  <si>
    <t>175 West Wooster St.</t>
  </si>
  <si>
    <t>(419) 352-8775</t>
  </si>
  <si>
    <t>(419) 353-6491</t>
  </si>
  <si>
    <t>34-6400148</t>
  </si>
  <si>
    <t>Bradford M. Conner</t>
  </si>
  <si>
    <t>bconner@bgohio.org</t>
  </si>
  <si>
    <t>Brian Bushong</t>
  </si>
  <si>
    <t>(419) 354-6208</t>
  </si>
  <si>
    <t>bbushong@bgohio.org</t>
  </si>
  <si>
    <t>Noah A. Hetrick</t>
  </si>
  <si>
    <t>Major</t>
  </si>
  <si>
    <t>thetrick@bgohio.org</t>
  </si>
  <si>
    <t>2011DUP87-2240</t>
  </si>
  <si>
    <t>The D.A.R.E. program is instructed by Officer Robin Short within each of the Public schools in the City of Bowling Green. The program has a positive impact on Bowling Green Youth.  Each 5th grade student eagerly anticipate the start of the DARE program at their school.  Students that may normally have difficulty turning in assignments will complete their D.A.R.E. workbooks so they may participate in graduation, the highlight of their 5th grade school year. In the middle School and High school, Officer Short presents the EZ PLUS and Bobcat PLUS programs respectively. Each program compliments and reinforces the D.A.R.E. curriculumn provided in the elementary schools.</t>
  </si>
  <si>
    <t>Robin Short</t>
  </si>
  <si>
    <t>$43,430.40</t>
  </si>
  <si>
    <t>$21,715.20</t>
  </si>
  <si>
    <t>Forest Park Police Department</t>
  </si>
  <si>
    <t>1203 West Kemper</t>
  </si>
  <si>
    <t>Cincinnati</t>
  </si>
  <si>
    <t>45240</t>
  </si>
  <si>
    <t>(513) 595-5220</t>
  </si>
  <si>
    <t>(513) 595-5290</t>
  </si>
  <si>
    <t>31-6014977</t>
  </si>
  <si>
    <t>Phillip Cannon</t>
  </si>
  <si>
    <t>phillipc@forestpark.org</t>
  </si>
  <si>
    <t>Harlita Robinson</t>
  </si>
  <si>
    <t>(513) 595-5210</t>
  </si>
  <si>
    <t>hrobinson@forestpark.org</t>
  </si>
  <si>
    <t>Krista Schmidt</t>
  </si>
  <si>
    <t>kristas@forestpark.org</t>
  </si>
  <si>
    <t>2010DUP31-2134</t>
  </si>
  <si>
    <t>DARE/SRO Officer Schmidt will instruct the Winton Woods Intermediate School's 5th grade students with the 10 week standard curriculum and instruct the 3rd grade at Winton Woods Elementary School.  SRO Vada Harris will be providing Prom Safety, Drug Prevention, Anti Violence, Peer Pressure and Internet Safety presentations for the Winton Woods High School.  Both the DARE Officer and SRO will continue to participate in the mentoring program.  Both Officers will also provide parent education programs to assist their children with talking openly about decision making techniques to stay away from drugs and violence.</t>
  </si>
  <si>
    <t>Officer Schmidt will instruct Winton Woods Interemediate students and Winton Woods Elementary students with the  DARE OTC/Rx Drug Abuse Program curriculum. SRO Officer Vada Harris will instruct and present over the counter drug dangers to Winton Woods High School students.  It is our goal to increase awareness of the dangers of these drugs.</t>
  </si>
  <si>
    <t>48,244.56</t>
  </si>
  <si>
    <t>24,122.28</t>
  </si>
  <si>
    <t>Vada Harris</t>
  </si>
  <si>
    <t>18,608.61</t>
  </si>
  <si>
    <t>9,304.31</t>
  </si>
  <si>
    <t>33,426.59</t>
  </si>
  <si>
    <t>Xenia Police Division</t>
  </si>
  <si>
    <t>Xenia</t>
  </si>
  <si>
    <t>45385</t>
  </si>
  <si>
    <t>(937) 376-7200</t>
  </si>
  <si>
    <t>(937) 372-8014</t>
  </si>
  <si>
    <t>31-6000133</t>
  </si>
  <si>
    <t>Donald R. Person</t>
  </si>
  <si>
    <t>(937) 376-7220</t>
  </si>
  <si>
    <t>rperson@ci.xenia.oh.us</t>
  </si>
  <si>
    <t>(937) 376-7222</t>
  </si>
  <si>
    <t>dpazynski@ci.xenia.oh.us</t>
  </si>
  <si>
    <t>Harold Matheson</t>
  </si>
  <si>
    <t>(937) 376-7317</t>
  </si>
  <si>
    <t>hmatheson@ci.xenia.oh.us</t>
  </si>
  <si>
    <t>2010DUP29-2277</t>
  </si>
  <si>
    <t>The Xenia Police Division, Officer Harold Matheson, will present the Standard 10 week D.A.R.E. Elementary Curriculum along with the D.A.R.E. OTC/RX Drug Abuse Program.</t>
  </si>
  <si>
    <t>The Xenia Police Division, Officer Harold Matheson, will present the  D.A.R.E. OTC/RX Drug Abuse Program along with the Standard 10 week D.A.R.E. Elementary Curriculum.</t>
  </si>
  <si>
    <t>46,207.20</t>
  </si>
  <si>
    <t>23,103.60</t>
  </si>
  <si>
    <t>3475 E. South Range Rd.</t>
  </si>
  <si>
    <t>New Springfiled</t>
  </si>
  <si>
    <t>44443</t>
  </si>
  <si>
    <t>(330) 542-2377</t>
  </si>
  <si>
    <t>(330) 542-9642</t>
  </si>
  <si>
    <t>34-6002712</t>
  </si>
  <si>
    <t>spdchief@zoominternet.net</t>
  </si>
  <si>
    <t>Patti Gibson</t>
  </si>
  <si>
    <t>pgibsonspetwpclerk@yahoo.com</t>
  </si>
  <si>
    <t>spd512@zoominternet.net</t>
  </si>
  <si>
    <t>2010DUP50-2151</t>
  </si>
  <si>
    <t>5th grade and 7th grade D.A.R.E curriculum including suplemental bullying and prescription drug abuse prevention classes.  9th grade health classes prescription drug, illegal drugs, and alcohol prevention classes.</t>
  </si>
  <si>
    <t>5th grade and 7th grade D.A.R.E. OTC/RX Drug Abuse Programs.</t>
  </si>
  <si>
    <t>Lt.</t>
  </si>
  <si>
    <t>Raymond L. Fellows</t>
  </si>
  <si>
    <t>$13,486.60</t>
  </si>
  <si>
    <t>$6,743.30</t>
  </si>
  <si>
    <t>Austintown Township Police District</t>
  </si>
  <si>
    <t>92 Ohltown Road</t>
  </si>
  <si>
    <t>Youngstown</t>
  </si>
  <si>
    <t>44515</t>
  </si>
  <si>
    <t>(330) 270-5115</t>
  </si>
  <si>
    <t>(330) 799-9723</t>
  </si>
  <si>
    <t>34-6000160</t>
  </si>
  <si>
    <t>Robert Gavalier</t>
  </si>
  <si>
    <t>(330) 270-5122</t>
  </si>
  <si>
    <t>rgavalier@austintowntwp.com</t>
  </si>
  <si>
    <t>Michael Dockry</t>
  </si>
  <si>
    <t>(330) 792-8584</t>
  </si>
  <si>
    <t>falcon@austintowntwp.com</t>
  </si>
  <si>
    <t>Jeffrey M. Toth</t>
  </si>
  <si>
    <t>Detective Sergeant</t>
  </si>
  <si>
    <t>dareofficertoth@austintowntwp.com</t>
  </si>
  <si>
    <t>2011DUP50-2244</t>
  </si>
  <si>
    <t>The Austintown Township Police Department will proudly be beginning its 13th year teaching the D.A.R.E. program to children in our school district with just over 5,000 students.  D.A.R.E. Officer Toth has been provided the elementary curriculum to kindergarten, first and third grades and the core curriculum to the 5th graders. Toth is also planning to begin teaching the new 5th grade "keepin it REAL" in the fall of 2012. In addition the 7th graders recieve the middle school "keepin it REAL" 10 lesson curriculum.  A modified D.A.R.E. high school curriculum is taught to the 10th graders during their health classses.  Also mutiple pre-schools and other childrens group as well as Summer Safety School is provided in our community focusing on safety and drug prevention. Austintown Local School District now has open enrollment with neighboring communities for other children living outside of Austintown to receive D.A.R.E.  This repetative contact with children attending our schools is important for reinforcing a drug and violence free life style focused good decision making skills, obeying rules and laws and developing respect for each other.</t>
  </si>
  <si>
    <t>From the inception of D.A.R.E. providing RX-OTC prevention lessons, Officer Toth has taught the 5th graders and 7th graders utilizing the power point and R/X-OTC workbooks which are appropriate for each age. In addition a special R/X-OTC has been developed using the D.A.R.E. R/X-OTC abuse prevention video for teens in high school with a focus OVI law consequences for teen drivers.  Also in elementary schools, first and third grade receive the D.A.R.E. lesson comparing drugs that are medicine to drugs that are not medicine with a focus on the dangers of the wrong use of R/X-OTC medicine and the importance of reading the directions on the label or asking a trusted adult before taking their own medicine.  In 2009, the Austintown Police Department, under the direction of the D.A.R.E. Officer, was one of the first agencies in the state to begin R/X-OTC drug take program on a regular monthly schedule.  In 2011, it was expanded to include a drug take back box located inside the police station where residents can properly dispose of unused,expired R/X-OTC meds for incineration.  D.A.R.E. students are also taught about this program and the proper disposal procedures so they can teach/notify their parents to bring the meds to the police station rather than placing meds in the garbage or flushing down the drain polluting our water supply.</t>
  </si>
  <si>
    <t>Jeffrey M. Toth</t>
  </si>
  <si>
    <t>$59,050</t>
  </si>
  <si>
    <t>$29,525.00</t>
  </si>
  <si>
    <t>Ottawa Hills Police Department</t>
  </si>
  <si>
    <t>2125 Richards Rd</t>
  </si>
  <si>
    <t>43606</t>
  </si>
  <si>
    <t>(419) 531-4211</t>
  </si>
  <si>
    <t>(419) 531-3214</t>
  </si>
  <si>
    <t>34-6401027</t>
  </si>
  <si>
    <t>John D. Wenzlick</t>
  </si>
  <si>
    <t>wenzlickj@ottawahills.org</t>
  </si>
  <si>
    <t>Chris A. Sargent</t>
  </si>
  <si>
    <t>sargentc@ottawahills.org</t>
  </si>
  <si>
    <t>2011DUP28-2165</t>
  </si>
  <si>
    <t>Officer Chris A. Sargent will be instructing the standard D.A.R.E. curriculum to the four 6th grade classes at the Ottawa Hills Elementary School.</t>
  </si>
  <si>
    <t>Officer Chris A. Sargent will be instructing the D.A.R.E. OTC/Rx Drug Abuse Program to the four 6th grade classes at the Ottawa Hills Elementary School.</t>
  </si>
  <si>
    <t>$14050.40</t>
  </si>
  <si>
    <t>$7,025.20</t>
  </si>
  <si>
    <t>Girard Police Department</t>
  </si>
  <si>
    <t>Girard</t>
  </si>
  <si>
    <t>44420</t>
  </si>
  <si>
    <t>(330) 545-0211</t>
  </si>
  <si>
    <t>(330) 545-4563</t>
  </si>
  <si>
    <t>346001227</t>
  </si>
  <si>
    <t>Jeffrey Palmer</t>
  </si>
  <si>
    <t>jpalmer@cityofgirard.com</t>
  </si>
  <si>
    <t>Sam Zirafi</t>
  </si>
  <si>
    <t>(330) 545-6843</t>
  </si>
  <si>
    <t>szirafi@cityofgirard.com</t>
  </si>
  <si>
    <t>Rich Bzinak</t>
  </si>
  <si>
    <t>jpalmer@cityofgiard.com</t>
  </si>
  <si>
    <t>2011DUP78-2143</t>
  </si>
  <si>
    <t>The Girard Police Department will continue to use a drug use prevention program that is heavily based upon the DARE Program. Capt.J.Norman is a DARE trained/former SRO and has trained current SRO Ptl.S.Strain to teach same. Capt.Norman supervises the program and concentrates his time on the athletic programs as he is a coach. Ptl.Strain will conduct most of the classroom programs.</t>
  </si>
  <si>
    <t>Prescription drug abuse prevention was incorporated into our DARE Program years ago when Capt.Norman was SRO. Our school system does have problems with prescription/OTC drug abuse amoung students and has been included in our drug abuse program at an increased/intensified rate.</t>
  </si>
  <si>
    <t>John Norman</t>
  </si>
  <si>
    <t>4018.53</t>
  </si>
  <si>
    <t>2009.28</t>
  </si>
  <si>
    <t>Scott Strain</t>
  </si>
  <si>
    <t>3405.48</t>
  </si>
  <si>
    <t>1702.74</t>
  </si>
  <si>
    <t>$3,712.02</t>
  </si>
  <si>
    <t>New Albany Police Department</t>
  </si>
  <si>
    <t>New Albany</t>
  </si>
  <si>
    <t>43054</t>
  </si>
  <si>
    <t>(614) 855-1234</t>
  </si>
  <si>
    <t>(614) 855-2885</t>
  </si>
  <si>
    <t>31-0649470</t>
  </si>
  <si>
    <t>Mark Chaney</t>
  </si>
  <si>
    <t>mchaney@newalbanypolice.org</t>
  </si>
  <si>
    <t>James Nicholson</t>
  </si>
  <si>
    <t>(614) 855-3913</t>
  </si>
  <si>
    <t>jnicholson@newalbanyohio.org</t>
  </si>
  <si>
    <t>Yvette Nguyen</t>
  </si>
  <si>
    <t>ynguyen@newalbanypolice.org</t>
  </si>
  <si>
    <t>2011DUP25-2128</t>
  </si>
  <si>
    <t>If awarded funding through the Drug Use Preventive Program, the New Albany Police Department will continue to instruct the D.A.R.E. curriculum to the local school district’s fifth, seventh, and, a new addition, tenth grade students during the 20112-2013 school year. The D.A.R.E. program provides an additional protective factor against drugs and violence that parents, teachers, and law enforcement professionals can expand upon. This program opens the lines of communication about life topics that may not be discussed in the normal school and home setting.  Students learn life development skills relating to positive decision making while viewing law enforcement in a positive light.</t>
  </si>
  <si>
    <t>Among teenagers, the abuse of prescription and over the counter (OTC) drugs exceeds the abuse of many other illicit drugs.  Within our own school district, School Resource Officers have found themselves investigating reports of prescription and OTC abuse by the student body. Prescription and OTC drugs are readily available within the confines of our homes giving potential abusers easy access. One way to combat this increasing trend is to educate our youth; The D.A.R.E. RX ad OTC curriculum will used in conjunction with the standard D.A.R.E. curriculum to provide yet another protective factor for our youth</t>
  </si>
  <si>
    <t>Kristopher Daniels</t>
  </si>
  <si>
    <t>33820.80</t>
  </si>
  <si>
    <t>16910.40</t>
  </si>
  <si>
    <t>Jefferson County Sheriff's Office</t>
  </si>
  <si>
    <t>16001 State Route #7</t>
  </si>
  <si>
    <t>Steubenville</t>
  </si>
  <si>
    <t>43952</t>
  </si>
  <si>
    <t>(740) 283-8600</t>
  </si>
  <si>
    <t>(740) 283-8652</t>
  </si>
  <si>
    <t>346001501</t>
  </si>
  <si>
    <t>Fred J. Abdalla</t>
  </si>
  <si>
    <t>jeffersoncounty88@yahoo.com</t>
  </si>
  <si>
    <t>Vickie Winski</t>
  </si>
  <si>
    <t>(740) 283-8511</t>
  </si>
  <si>
    <t>John Parker</t>
  </si>
  <si>
    <t>2010DUP41-2076</t>
  </si>
  <si>
    <t>The School Resource Officers will present the School Resource Officer Drug Use Prevention program. Which provides students from kindergarten through high school with the skills necessary to recognize and resist pressures to experiment with drugs and to avoid gangs and violence. Lessons emphasize self-esteem, decision making, interpersonal communications skills, the consequences of drug abuse, conflict resolution and positive alternatives to substance abuse.</t>
  </si>
  <si>
    <t>Scott Renforth</t>
  </si>
  <si>
    <t>24,234</t>
  </si>
  <si>
    <t>12,117</t>
  </si>
  <si>
    <t>Scott Polen</t>
  </si>
  <si>
    <t>Dave Dargo</t>
  </si>
  <si>
    <t>24,458</t>
  </si>
  <si>
    <t>12,229</t>
  </si>
  <si>
    <t>Dave Wojtas</t>
  </si>
  <si>
    <t>23,934</t>
  </si>
  <si>
    <t>11,967</t>
  </si>
  <si>
    <t>48,430.00</t>
  </si>
  <si>
    <t>Vandalia Division of Police</t>
  </si>
  <si>
    <t>Vandalia</t>
  </si>
  <si>
    <t>45377</t>
  </si>
  <si>
    <t>(937) 898-5868</t>
  </si>
  <si>
    <t>(937) 898-5040</t>
  </si>
  <si>
    <t>31-6005905</t>
  </si>
  <si>
    <t>dknight@vandaliaohio.org</t>
  </si>
  <si>
    <t>Bridgette Leiter</t>
  </si>
  <si>
    <t>(937) 415-2270</t>
  </si>
  <si>
    <t>2010dup57-2176</t>
  </si>
  <si>
    <t>Holly Estepp</t>
  </si>
  <si>
    <t>Monroeville Police Department</t>
  </si>
  <si>
    <t>9 Monroe Street</t>
  </si>
  <si>
    <t>Monroeville</t>
  </si>
  <si>
    <t>44847</t>
  </si>
  <si>
    <t>Huron County</t>
  </si>
  <si>
    <t>(419) 465-2474</t>
  </si>
  <si>
    <t>34-6400924</t>
  </si>
  <si>
    <t>lyons@monroevillepolice.com</t>
  </si>
  <si>
    <t>Bonnie Beck</t>
  </si>
  <si>
    <t>(419) 465-2922</t>
  </si>
  <si>
    <t>2011DUP39-2185</t>
  </si>
  <si>
    <t>Through the use of the Monroeville Police Department's certified D.A.R.E. officer. The Village of Monroeville proposes to make personal contact with elementary and middle school students of the Monroeville School system, educate them on the dangers of drug abuse and provide avenues of combating it's spread.</t>
  </si>
  <si>
    <t>Frank Gleason</t>
  </si>
  <si>
    <t>4000</t>
  </si>
  <si>
    <t>2000</t>
  </si>
  <si>
    <t>Grove City Division of Police</t>
  </si>
  <si>
    <t>3360 Park St.</t>
  </si>
  <si>
    <t>Grove City</t>
  </si>
  <si>
    <t>43123</t>
  </si>
  <si>
    <t>(614) 277-1710</t>
  </si>
  <si>
    <t>(614) 277-1717</t>
  </si>
  <si>
    <t>31-6400-527</t>
  </si>
  <si>
    <t>Steven R. Robinette</t>
  </si>
  <si>
    <t>(614) 277-1701</t>
  </si>
  <si>
    <t>srobinette@grovecityohio.gov</t>
  </si>
  <si>
    <t>Michael Turner</t>
  </si>
  <si>
    <t>(614) 277-3026</t>
  </si>
  <si>
    <t>mturner@grovecityohio.gov</t>
  </si>
  <si>
    <t>Rick Hardy</t>
  </si>
  <si>
    <t>(614) 277-1740</t>
  </si>
  <si>
    <t>rhardy@grovecityohio.gov</t>
  </si>
  <si>
    <t>2011DUP25-2267</t>
  </si>
  <si>
    <t>Officer Hutchinson and Officer Writsel are using the standard 10-week D.A.R.E. curriculum.</t>
  </si>
  <si>
    <t>Officer Hutchinson and Officer Writsel are teaching the D.A.R.E. OTC/Rx Drug Abuse Program.</t>
  </si>
  <si>
    <t>Misty Hutchinson</t>
  </si>
  <si>
    <t>$58,734</t>
  </si>
  <si>
    <t>$29,367</t>
  </si>
  <si>
    <t>Matt Writsel</t>
  </si>
  <si>
    <t>30 N. Diamond St.</t>
  </si>
  <si>
    <t>Mansfield</t>
  </si>
  <si>
    <t>44902</t>
  </si>
  <si>
    <t>(419) 755-9725</t>
  </si>
  <si>
    <t>(419) 755-9447</t>
  </si>
  <si>
    <t>34-6001795</t>
  </si>
  <si>
    <t>Dino Sgambellone</t>
  </si>
  <si>
    <t>(419) 755-9753</t>
  </si>
  <si>
    <t>dsgambellone@ci.mansfield.oh.us</t>
  </si>
  <si>
    <t>Linn Steward</t>
  </si>
  <si>
    <t>(419) 755-9775</t>
  </si>
  <si>
    <t>lsteward@ci.mansfield.oh.us</t>
  </si>
  <si>
    <t>Tobie Smith</t>
  </si>
  <si>
    <t>Deputy Chief</t>
  </si>
  <si>
    <t>(419) 755-9743</t>
  </si>
  <si>
    <t>tsmith@ci.mansfield.oh.us</t>
  </si>
  <si>
    <t>70-2182</t>
  </si>
  <si>
    <t>The D.A.R.E. Officer (Shay) will be teaching the standard D.A.R.E. elementary curriculum to 6th grade and the D.A.R.E. middle school curriculum to 8th grade.  The SRO (Vanausdle) will be conducting Prom Promise, assisting with the coordination and planning of the Annual Mock Crash (aimed at preventing prom and graduation season tragedies for all juniors and seniors), and doing classroom presentations on Drug Awareness and Prevention on current trends in the community.  Presently those trends are marijuana, alcohol, heroin, and prexription drugs.  The SRO will also be available for one on one consultations.</t>
  </si>
  <si>
    <t>The D.A.R.E. Officer will be teaching the "D.A.R.E. OTC/Rx Drug Abuse Program." The SRO will be doing classroom presentations on Prescription Drug Abuse Awareness and Prevention.</t>
  </si>
  <si>
    <t>Jack Shay</t>
  </si>
  <si>
    <t>39,849</t>
  </si>
  <si>
    <t>19,924.50</t>
  </si>
  <si>
    <t>Todd Vanausdle</t>
  </si>
  <si>
    <t>26,566</t>
  </si>
  <si>
    <t>13,283</t>
  </si>
  <si>
    <t>33,207.50</t>
  </si>
  <si>
    <t>Wintersville Police Department</t>
  </si>
  <si>
    <t>200 Grove Street</t>
  </si>
  <si>
    <t>Wintersville</t>
  </si>
  <si>
    <t>43953</t>
  </si>
  <si>
    <t>(740) 264-5507</t>
  </si>
  <si>
    <t>(740) 264-5534</t>
  </si>
  <si>
    <t>34-6004 204</t>
  </si>
  <si>
    <t>Edward P. Laman</t>
  </si>
  <si>
    <t>chieflaman@yahoo.com</t>
  </si>
  <si>
    <t>Michael Payne</t>
  </si>
  <si>
    <t>(740) 264-2339</t>
  </si>
  <si>
    <t>mpayne@egcc.edu</t>
  </si>
  <si>
    <t>Arthur L. Fowler Jr.</t>
  </si>
  <si>
    <t>officerartdare@yahoo.com</t>
  </si>
  <si>
    <t>2011DUP41-2092</t>
  </si>
  <si>
    <t>The Officer would teach the standard ten (10) week D.A.R.E. curriculum and would teach two (2) other drug use prevention programs that would be tailored to our community</t>
  </si>
  <si>
    <t>The D.A.R.E. Officer will teach parts of the D.A.R.E. OTC/Rx Drug Abuse Program in conjunction with the information that is tailored to our specific area and problems.  The D.A.R.E. Officer will also hold a Prescription Drug take back day to assist in getting old/unused RX Drugs out of the hands of children.</t>
  </si>
  <si>
    <t>$8,686.00</t>
  </si>
  <si>
    <t>$4,343.00</t>
  </si>
  <si>
    <t>30 Park Ave.</t>
  </si>
  <si>
    <t>Dayton</t>
  </si>
  <si>
    <t>45419</t>
  </si>
  <si>
    <t>(937) 298-2122</t>
  </si>
  <si>
    <t>(937) 297-2907</t>
  </si>
  <si>
    <t>316000137</t>
  </si>
  <si>
    <t>Aledxander P. Bebris</t>
  </si>
  <si>
    <t>bebris@oakwood.oh.us</t>
  </si>
  <si>
    <t>Cindy Stafford</t>
  </si>
  <si>
    <t>(937) 298-0402</t>
  </si>
  <si>
    <t>stafford@oakwood.oh.us</t>
  </si>
  <si>
    <t>Randy Baldridge</t>
  </si>
  <si>
    <t>baldridge@oakwood.oh.us</t>
  </si>
  <si>
    <t>2012DUP57-2221</t>
  </si>
  <si>
    <t>State standard DARE curriculum.</t>
  </si>
  <si>
    <t>Gail Schmidt</t>
  </si>
  <si>
    <t>$21,663</t>
  </si>
  <si>
    <t>$10,831</t>
  </si>
  <si>
    <t>Fremont Police Department</t>
  </si>
  <si>
    <t>1141 W. State Street</t>
  </si>
  <si>
    <t>Fremont</t>
  </si>
  <si>
    <t>43420</t>
  </si>
  <si>
    <t>Sandusky County</t>
  </si>
  <si>
    <t>(419) 332-6464</t>
  </si>
  <si>
    <t>(419) 334-1579</t>
  </si>
  <si>
    <t>34-6400-534</t>
  </si>
  <si>
    <t>Timothy K. Wiersma</t>
  </si>
  <si>
    <t>twiersma@fremontohio.org</t>
  </si>
  <si>
    <t>John Laurer</t>
  </si>
  <si>
    <t>(419) 334-3867</t>
  </si>
  <si>
    <t>jlaurer@fremontohio.org</t>
  </si>
  <si>
    <t>Roger Oddo</t>
  </si>
  <si>
    <t>roddo@fremontohio.org</t>
  </si>
  <si>
    <t>2011DUP72-2155</t>
  </si>
  <si>
    <t>9 Week DARE Program to 6th Grade Students.</t>
  </si>
  <si>
    <t>In addition to the 9 Week DARE program we include a lession on illegal drugs and perscription drugs.  We have a power point presention showing the students pictures of popular street drugs and perscription pills that are abused.  We talked about the street names for these drugs and the harmful effects of these drugs.</t>
  </si>
  <si>
    <t>704.00</t>
  </si>
  <si>
    <t>352.00</t>
  </si>
  <si>
    <t>Detective Sgt.</t>
  </si>
  <si>
    <t>Dean Bliss</t>
  </si>
  <si>
    <t>541.00</t>
  </si>
  <si>
    <t>270.00</t>
  </si>
  <si>
    <t>Jacob Scully</t>
  </si>
  <si>
    <t>449.00</t>
  </si>
  <si>
    <t>224.00</t>
  </si>
  <si>
    <t>Robert Halbisen</t>
  </si>
  <si>
    <t>491.00</t>
  </si>
  <si>
    <t>245.00</t>
  </si>
  <si>
    <t>1091.00</t>
  </si>
  <si>
    <t>Springfield Police Division</t>
  </si>
  <si>
    <t>130 N. Fountain Ave.</t>
  </si>
  <si>
    <t>Springfield</t>
  </si>
  <si>
    <t>45502</t>
  </si>
  <si>
    <t>(937) 324-7720</t>
  </si>
  <si>
    <t>(937) 328-3420</t>
  </si>
  <si>
    <t>31-73-06960K</t>
  </si>
  <si>
    <t>Stephen P. Moody</t>
  </si>
  <si>
    <t>smoody@ci.springfield.oh.us</t>
  </si>
  <si>
    <t>Mark Beckdahl</t>
  </si>
  <si>
    <t>(937) 324-7309</t>
  </si>
  <si>
    <t>mbeckdahl@ci.springfield.oh.us</t>
  </si>
  <si>
    <t>Tom Zawada</t>
  </si>
  <si>
    <t>(937) 324-7691</t>
  </si>
  <si>
    <t>tzawada@ci.springfield.oh.us</t>
  </si>
  <si>
    <t>2011DUP12-2177</t>
  </si>
  <si>
    <t>Officers Ashcraft and Embry will be teaching the standard 10-week DARE curriculum and the 10-day DARE “Keepin’ it Real” curriculum. Officers Belcher and Hoying are assigned as a School Resource Officers. Officer Belcher is assigned to the high school and will instruct on Methamphetamine effects and prevention, as well as “Prom Promise”. Officer Hoying will instruct middle school children on choices and consequences regarding drug and alcohol use, the effects of marijuana use and its gateway affect towards other addictive substances.</t>
  </si>
  <si>
    <t>Officers Hoying and Belcher are assigned as School Resource Officers. Officer Hoying is assigned to Middle Schools and Officer Belcher is assigned to the High School. Both SROs attended instructional classes in 2011 provided by the Ohio Attorney General’s Office. They attended “Rx Abuse in Ohio –The scope of the problem” and “Prescription Drug Abuse and Diversion Education”. Both officers have developed lesson plans pertaining to Prescription Drug Abuse prevention.</t>
  </si>
  <si>
    <t>Natheon Ashcraft</t>
  </si>
  <si>
    <t>$41,074.80</t>
  </si>
  <si>
    <t>$20,537.40</t>
  </si>
  <si>
    <t>Delana Embry</t>
  </si>
  <si>
    <t>Philip Belcher</t>
  </si>
  <si>
    <t>$27,383.20</t>
  </si>
  <si>
    <t>$13,691.60</t>
  </si>
  <si>
    <t>$68,458.00</t>
  </si>
  <si>
    <t>5900 McPicken Drive</t>
  </si>
  <si>
    <t>(513) 248-3721</t>
  </si>
  <si>
    <t>(513) 248-3720</t>
  </si>
  <si>
    <t>316000588</t>
  </si>
  <si>
    <t>Steven Bailey</t>
  </si>
  <si>
    <t>steven.bailey@miamitwpoh.gov</t>
  </si>
  <si>
    <t>Eric Ferry</t>
  </si>
  <si>
    <t>(513) 248-3725</t>
  </si>
  <si>
    <t>eric.ferry@miamitwpoh.gov</t>
  </si>
  <si>
    <t>Albert Fatute</t>
  </si>
  <si>
    <t>al.fatute@miamitwpoh.gov</t>
  </si>
  <si>
    <t>2011DUP13-2250</t>
  </si>
  <si>
    <t>Officer Petrocelli will be teaching the core curriculum to fifth graders in five schools.  In addition to the core he will be covering two weeks of bullying. He will also be instructing the DARE first grade vistitaion to five elmementary schools.  The DARE junior high program will also be instructed by Officer Petrocelli</t>
  </si>
  <si>
    <t>Officer Petrocelli will be instructing the DARE OTC/RX Drug Abuse program into the core classes.</t>
  </si>
  <si>
    <t>Kevin Petrocelli</t>
  </si>
  <si>
    <t>53697</t>
  </si>
  <si>
    <t>26848.00</t>
  </si>
  <si>
    <t>Brewster Police Department</t>
  </si>
  <si>
    <t>Brewster</t>
  </si>
  <si>
    <t>44613</t>
  </si>
  <si>
    <t>(330) 767-3191</t>
  </si>
  <si>
    <t>(330) 767-0200</t>
  </si>
  <si>
    <t>34-6000325</t>
  </si>
  <si>
    <t>(330) 767-3180</t>
  </si>
  <si>
    <t>brewster@sssnet.com</t>
  </si>
  <si>
    <t>K. Kris King</t>
  </si>
  <si>
    <t>(330) 767-4214</t>
  </si>
  <si>
    <t>vgbrewster@sssnet.com</t>
  </si>
  <si>
    <t>Denise L. Rossiter</t>
  </si>
  <si>
    <t>(330) 704-5710</t>
  </si>
  <si>
    <t>dross703@yahoo.com</t>
  </si>
  <si>
    <t>2010DUP762118</t>
  </si>
  <si>
    <t>I have been instructing the D.A.R.E. program for 12 years for the Fairless School district and during that time, I have also spoke to boy/girl scouts, church groups and on occassions when needed, helped with the program for "Dangers of Drinking on Prom Night" at the High School with the Local fire departments.</t>
  </si>
  <si>
    <t>2080.00</t>
  </si>
  <si>
    <t>1040.00</t>
  </si>
  <si>
    <t>Broadview Heights Police Department</t>
  </si>
  <si>
    <t>44147</t>
  </si>
  <si>
    <t>(440) 526-5400</t>
  </si>
  <si>
    <t>(440) 526-2165</t>
  </si>
  <si>
    <t>34-6000339</t>
  </si>
  <si>
    <t>Michael L. Vizer</t>
  </si>
  <si>
    <t>braodviewheightsdp@cox.net</t>
  </si>
  <si>
    <t>Molly Regan</t>
  </si>
  <si>
    <t>(440) 526-4357</t>
  </si>
  <si>
    <t>Terry Hutchinson</t>
  </si>
  <si>
    <t>Administrative Assistant</t>
  </si>
  <si>
    <t>braodviewheightspd@cox.net</t>
  </si>
  <si>
    <t>2011DUP18-2125</t>
  </si>
  <si>
    <t>If funding is awarded our presence will continue at the same optimum level.  Our DARE officer will be able to spend his on-duty time in the schools throughout the school year as well as attend the extra curricular activities that provide the program with additional exposure.</t>
  </si>
  <si>
    <t>The DARE program offered in our school system includes the OTC/Rx Drug Abuse Program and is currently a regular part of our curriculum.  We will continue to offer this program to all students enrolled in the school system.</t>
  </si>
  <si>
    <t>Jose Garcia</t>
  </si>
  <si>
    <t>50,791.00</t>
  </si>
  <si>
    <t>25,395.00</t>
  </si>
  <si>
    <t>25,395.75</t>
  </si>
  <si>
    <t>Wauseon Police Department</t>
  </si>
  <si>
    <t>Wauseon</t>
  </si>
  <si>
    <t>43567</t>
  </si>
  <si>
    <t>Fulton County</t>
  </si>
  <si>
    <t>(419) 337-2946</t>
  </si>
  <si>
    <t>(419) 335-3527</t>
  </si>
  <si>
    <t>34-6401558</t>
  </si>
  <si>
    <t>Keith C. Torbet</t>
  </si>
  <si>
    <t>policechief@cityofwauseon.com</t>
  </si>
  <si>
    <t>Jon Schamp</t>
  </si>
  <si>
    <t>(419) 335-9022</t>
  </si>
  <si>
    <t>finance@cityofwauseon.com</t>
  </si>
  <si>
    <t>Mat McDonough</t>
  </si>
  <si>
    <t>wpd2693@wauseonpd.com</t>
  </si>
  <si>
    <t>This grant will be utilized to cover the cost of our School Resource Officer during the four weeks that he performs drug abuse education to each of the schools. The SRO currently does drug prevention talks in two of the four schools. We this grant we could expand that to all four schools ranging from pre-k to high school.</t>
  </si>
  <si>
    <t>We currently have incorporated perscription drug abuse and misuse in all of our drug awareness talks. We also currently partner with the DEA and area coalitions for the semi annual drug take back initiative. Our last push took over 50lbs of unused, expired prescriptions off the streets.</t>
  </si>
  <si>
    <t>$6442.80</t>
  </si>
  <si>
    <t>$3,221.40</t>
  </si>
  <si>
    <t>111 Water St.</t>
  </si>
  <si>
    <t>(440) 286-6123</t>
  </si>
  <si>
    <t>(440) 286-2680</t>
  </si>
  <si>
    <t>34-6000586</t>
  </si>
  <si>
    <t>Timothy McKenna</t>
  </si>
  <si>
    <t>tmckenna@chardon.cc</t>
  </si>
  <si>
    <t>Jeffrey Smock</t>
  </si>
  <si>
    <t>finance@chardon.cc</t>
  </si>
  <si>
    <t>Matthew DeLisa</t>
  </si>
  <si>
    <t>mdelisa@oh.rr.com</t>
  </si>
  <si>
    <t>2011DUP28-2271</t>
  </si>
  <si>
    <t>We offer the standard ten (10) week D.A.R.E. curriculum in our schools.  The middle school curriculum is taught.  The number of hours to complete the middle school program averages 120 hrs. over nine (9) months.</t>
  </si>
  <si>
    <t>Included in the D.A.R.E. program is a class that provides information about prescription drug abuse prevention (OTC/Rx Drug Abuse).</t>
  </si>
  <si>
    <t>$3,489.60</t>
  </si>
  <si>
    <t>$1,744.80</t>
  </si>
  <si>
    <t>Jackson Township Police Department</t>
  </si>
  <si>
    <t>(330) 830-6264</t>
  </si>
  <si>
    <t>(330) 830-6266</t>
  </si>
  <si>
    <t>346001495</t>
  </si>
  <si>
    <t>(330) 834-3960</t>
  </si>
  <si>
    <t>chiefzink@jtpd.com</t>
  </si>
  <si>
    <t>Randy Gonzales</t>
  </si>
  <si>
    <t>(330) 832-5886</t>
  </si>
  <si>
    <t>agonzalez@jacksontwp.com</t>
  </si>
  <si>
    <t>ltmitchell@jtpd.com</t>
  </si>
  <si>
    <t>2011dup76-2103</t>
  </si>
  <si>
    <t>The grant will give additional financial support that can be used for additional manpower to assist our school resource officer in the following programs. The funding will enhance our pre and post prom programs that are currently offered in the high school. We would be able to implement an aggressive prescription abuse recognition program in our middle school. The department has invested time and money in training our sole school resource officer in the recognition and preventative programs as it relates to prescription abuse. The funding would assist in implementing a drug awareness program in our elementary schools.</t>
  </si>
  <si>
    <t>David Trubisky</t>
  </si>
  <si>
    <t>19,656.58</t>
  </si>
  <si>
    <t>9828.29</t>
  </si>
  <si>
    <t>$9828.29</t>
  </si>
  <si>
    <t>Goshen Police District</t>
  </si>
  <si>
    <t>Salem</t>
  </si>
  <si>
    <t>44460</t>
  </si>
  <si>
    <t>(330) 332-1235</t>
  </si>
  <si>
    <t>(330) 332-3411</t>
  </si>
  <si>
    <t>34-6001262</t>
  </si>
  <si>
    <t>smcdaniel@goshenpd.com</t>
  </si>
  <si>
    <t>Thomas Knoedler</t>
  </si>
  <si>
    <t>tom@goshenfo.com</t>
  </si>
  <si>
    <t>Juvenile Detective</t>
  </si>
  <si>
    <t>ccrider@goshenpd.com</t>
  </si>
  <si>
    <t>2011DUP50-2275</t>
  </si>
  <si>
    <t>The utilization of a police officer in our local school district, West Branch Local Schools, is of great value to our police department, Goshen Police, and the school district.  With these funds we are able to place a police officer, Det. Crider, in the school district during the entire school year.  Our officer's duties include being the SRO (certified) and D.A.R.E. Officer (certified).  He also speaks with many students throughout the year in each of the four buildings in reference to drugs and alcohol.  This is done in classroom settings and also one on one situations as he is in the school each day of the school year.  Det. Crider will be teaching the Elementary Curriculum in each of the elementaries.  Each fifth grade class will be taught (10 week classes) Also the curriculum for several other grade levels in the elementaries.  He will also give presentations to the Middle School grade level's on drug use in the classroom setting. It will be a daily goal to keep drugs out of our schools and educate the students on the negative effects of drugs.</t>
  </si>
  <si>
    <t>Three</t>
  </si>
  <si>
    <t>Det. Crider will teach the D.A.R.E. OTC/Rx Drug Abuse curriculum (certified) in the Middle School and any other grade level possible.</t>
  </si>
  <si>
    <t>Craig Crider</t>
  </si>
  <si>
    <t>17,331.60</t>
  </si>
  <si>
    <t>8,665.80</t>
  </si>
  <si>
    <t>$8,665.80</t>
  </si>
  <si>
    <t>Stark County Sheriff's Office</t>
  </si>
  <si>
    <t>4500 Atlantic Blvd. NE</t>
  </si>
  <si>
    <t>Canton</t>
  </si>
  <si>
    <t>44705</t>
  </si>
  <si>
    <t>(330) 430-3800</t>
  </si>
  <si>
    <t>(330) 430-3844</t>
  </si>
  <si>
    <t>34-6002718</t>
  </si>
  <si>
    <t>Timothy A. Swanson</t>
  </si>
  <si>
    <t>(330) 430-3801</t>
  </si>
  <si>
    <t>swanson@starksheriff.org</t>
  </si>
  <si>
    <t>Linda K. Steiner</t>
  </si>
  <si>
    <t>(330) 430-3886</t>
  </si>
  <si>
    <t>lindas@starksheriff.org</t>
  </si>
  <si>
    <t>Rick A. Perez</t>
  </si>
  <si>
    <t>(330) 430-3802</t>
  </si>
  <si>
    <t>124@starksheriff.org</t>
  </si>
  <si>
    <t>2010DUP76-1076</t>
  </si>
  <si>
    <t>Deputy Bogunovich will be the D.A.R.E./SRO Officer assigned to the Marlington Local School District.  She will spend half of her full-time schedule conducting drug resistance education programs.  Officer Bogunovich has been D.A.R.E. certified and will conduct D.A.R.E. programs, over the counter drug training, internet safety and bullying.   This officer will mentor students during Prom season, pep rallies, Homecoming, etc.  Students asserting signs of drug/alcohol abuse will receive one-on-one counseling.  Identified high-risk children will receive special mentoring sessions to reduce the risk of drug usage.  Deputy Bogunovich will log activities and contacts made with students and parents throughout the year.</t>
  </si>
  <si>
    <t>Over the County drug training and Brain Power will be taught in the Elementary, Middle and High Schools.  This covers lessons on drugs in the cupboard and how drugs affect the brain.  Deputy Bogunovich will also be using “One Simple Decision”, which is virtual training that simulates impaired driving with an arrest consequence scene.  It changes behaviors by allowing students to “Live Through” the consequences of their choices.  Vision goggles will also be used with students showing them what impaired drivers see while under the influence of drugs or alcohol.  Distracting games also show students they can’t multi-task while driving.</t>
  </si>
  <si>
    <t>Melissa Bogunovich</t>
  </si>
  <si>
    <t>22768.80</t>
  </si>
  <si>
    <t>11384.40</t>
  </si>
  <si>
    <t>$11,384.40</t>
  </si>
  <si>
    <t>(937) 521-2105</t>
  </si>
  <si>
    <t>(937) 328-2664</t>
  </si>
  <si>
    <t>316000132</t>
  </si>
  <si>
    <t>(937) 521-2053</t>
  </si>
  <si>
    <t>SHERIFF@CLARKCOUNTYOHIO.GOV</t>
  </si>
  <si>
    <t>(937) 521-2054</t>
  </si>
  <si>
    <t>PUNDERWOOD@CLARKCOUNTYOHIO.GOV</t>
  </si>
  <si>
    <t>SCULTICE@CLARKCOUNTYOHIO.GOV</t>
  </si>
  <si>
    <t>WE TEACH ALL 5TH GRADE COUNTY SCHOOLS THE DARE PROGRAM AS WELL AS SEVERAL SCHOOLS THE 7TH GRADE PROGRAM.  WE ALSO TEACH IN SEVERAL THIRD GRADE DARE PROGRAMS.  WE ALSO DO WEEK LONG PROGRAMS AT THE HIGH SCHOOL LEVEL IN ALL SCHOOLS.  WE ALSO START THE RELATIONSHIP AT OUR SAFETY VILLAGE FOR ELEMENTARY STUDENTS DURING THE SUMMER</t>
  </si>
  <si>
    <t>WE TEACH THE DARE OTC/RX IN ALL SCHOOLS, THE 5TH GRADE AS WELL AS 7TH GRADE AND IN HIGH SCHOOL</t>
  </si>
  <si>
    <t>46321</t>
  </si>
  <si>
    <t>23160</t>
  </si>
  <si>
    <t>44234</t>
  </si>
  <si>
    <t>22117</t>
  </si>
  <si>
    <t>45277</t>
  </si>
  <si>
    <t>Glendale Police Department</t>
  </si>
  <si>
    <t>301 E. Sharon Rd.</t>
  </si>
  <si>
    <t>Glendale</t>
  </si>
  <si>
    <t>(513) 771-7645</t>
  </si>
  <si>
    <t>(513) 771-7306</t>
  </si>
  <si>
    <t>31-6001048</t>
  </si>
  <si>
    <t>Dave Warman</t>
  </si>
  <si>
    <t>(513) 771-7882</t>
  </si>
  <si>
    <t>ltwarman@msn.com</t>
  </si>
  <si>
    <t>John Earls</t>
  </si>
  <si>
    <t>(513) 771-7200</t>
  </si>
  <si>
    <t>johngearls@aol.com</t>
  </si>
  <si>
    <t>David R. LeCompte</t>
  </si>
  <si>
    <t>ltlecompte@hotmail.com</t>
  </si>
  <si>
    <t>2011DUP31-2113</t>
  </si>
  <si>
    <t>The Glendale Police Department continues to be an active participant in Ohio's DARE program.  Sgt. M. Craig Walsh will continue to present the standard 10 week DARE Elementary curriculum.  In addition to the classroom hours, Sgt. Walsh will conduct a culmination event and will have weekly interactions with students, teachers and staff.</t>
  </si>
  <si>
    <t>M.Craig Walsh</t>
  </si>
  <si>
    <t>$3,402</t>
  </si>
  <si>
    <t>$1,701</t>
  </si>
  <si>
    <t>Loveland Police Division</t>
  </si>
  <si>
    <t>126 S. Lebanon Rd.</t>
  </si>
  <si>
    <t>Loveland</t>
  </si>
  <si>
    <t>45140</t>
  </si>
  <si>
    <t>(513) 583-3000</t>
  </si>
  <si>
    <t>(513) 583-3011</t>
  </si>
  <si>
    <t>316001067</t>
  </si>
  <si>
    <t>Tim Sabransky</t>
  </si>
  <si>
    <t>tsabransky@safety-center.org</t>
  </si>
  <si>
    <t>Ron Roemer</t>
  </si>
  <si>
    <t>(513) 683-0150</t>
  </si>
  <si>
    <t>rroemer@lovelandoh.com</t>
  </si>
  <si>
    <t>Fred Barnes</t>
  </si>
  <si>
    <t>fbarnes@safety-center.org</t>
  </si>
  <si>
    <t>2011DUP31-2123</t>
  </si>
  <si>
    <t>Officer Fred Barnes, the SRO for Loveland Schools will provide the programs. His units of instructions include alcohol awareness and prevention which includes role play and use of the Fatal Vision goggles. The curriculum is a mix of lecture, group discussion and activities such as mock arrest, traffic stops and other police interaction. The curriculum also includes discussion around drugs and the consequences including effect on future college plans or employment. The curriculum also includes discussion of bullying and peer pressure and how they relate to potential drug and alcohol use. Time spent with students also includes one on one time with the SRO outside of the classroom discussing alcohol and drug related issues.</t>
  </si>
  <si>
    <t>Officer Fred Barnes, the SRO for Loveland Schools will present the program concerning prescription drug abuse. The program includes instruction on the most common types of prescription drug abuse and discussion about the abuse of these drugs even though they may be legally obtained under the proper circumstances and some may even be considered safe. The issue of peer pressure is also discussed in this program as one way that kids are exposed to prescription drugs and their abuse. Time spent with students also includes one on one time with the SRO outside of the classroom discussing alcohol and drug related issues.</t>
  </si>
  <si>
    <t>6406.80</t>
  </si>
  <si>
    <t>3203.40</t>
  </si>
  <si>
    <t>Harrison Police Department</t>
  </si>
  <si>
    <t>311 Harrison Avenue</t>
  </si>
  <si>
    <t>Harrison</t>
  </si>
  <si>
    <t>45030</t>
  </si>
  <si>
    <t>(513) 367-3715</t>
  </si>
  <si>
    <t>(513) 367-3713</t>
  </si>
  <si>
    <t>31-6000141</t>
  </si>
  <si>
    <t>Charles R. Lindsey</t>
  </si>
  <si>
    <t>clindsey@harrisonohio.gov</t>
  </si>
  <si>
    <t>Angel Burton</t>
  </si>
  <si>
    <t>(513) 367-3732</t>
  </si>
  <si>
    <t>aburton@harrisonohio.gov</t>
  </si>
  <si>
    <t>2010DUP 312195</t>
  </si>
  <si>
    <t>The Harrison Police Department has been teaching the DARE Program in the Southwest Local School District Elementary schools since 1992.  One OPOTA certified instructor, Patrol Officer Joe Willig, is assigned full time to DARE duties for 9 months each calendar year.  Our local DARE Program teaches the standard DARE cirriculum to all 6th grade students and K-4 students at our public elementary schools.  The department has no summer DARE component.  We have taken advantage of the previous grants you have offered to supplement this very worthy program.  The city accepts all certified assurances and will comply with all state and federal requirements.  The Mayor and Council of the City of Harrison support this grant application.</t>
  </si>
  <si>
    <t>four (4)</t>
  </si>
  <si>
    <t>The DARE prescription drug abuse prevention program component will include: difference between OTC and prescription medicines, how to read medicine labels, how medicines react in body versus non-medicine reactions, warning labels concerning mixing prescription medicines with alcohol or other substances and proper use of medicine as prescribed by physician. The program goal is to teach the safe use of medicines and importance of reading labels and making good health choices. Officer
Joe Willig is an OPOTA certified RX/OTC Instructor in this topic material.</t>
  </si>
  <si>
    <t>Joe Willig</t>
  </si>
  <si>
    <t>$37,739.52</t>
  </si>
  <si>
    <t>$18,869.76</t>
  </si>
  <si>
    <t>44333</t>
  </si>
  <si>
    <t>(330) 670-4330</t>
  </si>
  <si>
    <t>(330) 670-4326</t>
  </si>
  <si>
    <t>34-0899583</t>
  </si>
  <si>
    <t>(330) 670-4300</t>
  </si>
  <si>
    <t>WALSHK@CI.FAIRLAWN.OH.US</t>
  </si>
  <si>
    <t>(330) 668-9526</t>
  </si>
  <si>
    <t>BERTSCHP@CI.FAIRLAWN.OH.US</t>
  </si>
  <si>
    <t>ZAGARS@CI.FAIRLAWN.OH.US</t>
  </si>
  <si>
    <t>2010DUP77-2105</t>
  </si>
  <si>
    <t>THE STANDARD 10 WEEK DARE CURRICULUM IS TAUGHT BY OFFICER STEVE ZAGAR TO 6TH, 8TH, AND HIGH SCHOOL (9TH - 12TH) STUDENTS.  ADDITIONALLY, FIVE WEEKS ARE TAUGHT TO 1ST AND 3RD GRADE LEVELS.</t>
  </si>
  <si>
    <t>ONE (1)</t>
  </si>
  <si>
    <t>THE BASIC DARE PROGRAM IS PROVIDED TO THE FOLLOWING GRADE LEVELS: 1ST, 3RD, 6TH, 8TH AND HIGH SCHOOL (9-12).  ADDITIONALLY, STUDENTS ARE INSTRUCTED ON PROPER RESPONSE TO PRESCRIPTION DRUG ABUSE.  THE FAIRLAWN DARE PROGRAM IS COMMITED TO ITS COMMUNITY AND THE STUDENT POPULATION IT SERVES TO BETTER PROVIDE YOUNG PEOPLE WITH LIFE SKILLS NECESSARY TO MAKE POSITIVE DECISIONS AND CHOICES IN THEIR EVERYDAY LIVES.</t>
  </si>
  <si>
    <t>16,589.01</t>
  </si>
  <si>
    <t>$8,294.51</t>
  </si>
  <si>
    <t>Union County Sheriff's Office</t>
  </si>
  <si>
    <t>221 West Fifth St.</t>
  </si>
  <si>
    <t>(937) 645-4125</t>
  </si>
  <si>
    <t>(934) 645-4170</t>
  </si>
  <si>
    <t>316400087</t>
  </si>
  <si>
    <t>Malcum J."Jamie" Patton</t>
  </si>
  <si>
    <t>jpatton@co.union.oh.us</t>
  </si>
  <si>
    <t>Barbara Sattler</t>
  </si>
  <si>
    <t>(937) 645-4102</t>
  </si>
  <si>
    <t>bsattler@co.union.oh.us</t>
  </si>
  <si>
    <t>Bonnie Armbruster</t>
  </si>
  <si>
    <t>Grant/Fiscal Coordinator</t>
  </si>
  <si>
    <t>barmbruster@co.union.oh.us</t>
  </si>
  <si>
    <t>2011DUP80-1080</t>
  </si>
  <si>
    <t>One certified D.A.R.E. deputy will teach the Core D.A.R.E. curriculum at two (2) Union County elementary schools in Fairbanks Local School District and North Union Local School District. Our D.A.R.E. instructor is also a certified Crime Prevention Specialist (CPS) and has many year's experience teaching D.A.R.E. Between classes the D.A.R.E. deputy does Q&amp;A and mentoring. The Deputy plans a Special Graduation Ceremony for each D.A.R.E. class. During the summer, at the Sheriff’s booth at two county fairs she presents drug prevention materials and information to students and parents. She also coordinates a D.A.R.E. Day at the Union County Fair.</t>
  </si>
  <si>
    <t>Union County Sheriff's Office D.A.R.E. Deputy will teach "D.A.R.E. OTC/Rx Drug Abuse Program" in two Union County elementary schools in Fairbanks Local School District and North Union Local School District. She will provide evidence-based instruction regarding the dangers of prescription drugs, avoidance and prevention techniques.</t>
  </si>
  <si>
    <t>Kim Zacharias</t>
  </si>
  <si>
    <t>9600.70</t>
  </si>
  <si>
    <t>4800.35</t>
  </si>
  <si>
    <t>$4800.35</t>
  </si>
  <si>
    <t>Perrysburg Police Division</t>
  </si>
  <si>
    <t>330 Walnut Street</t>
  </si>
  <si>
    <t>Perrysburg</t>
  </si>
  <si>
    <t>43551</t>
  </si>
  <si>
    <t>(419) 872-8001</t>
  </si>
  <si>
    <t>(419) 872-8081</t>
  </si>
  <si>
    <t>34-6401069</t>
  </si>
  <si>
    <t>Daniel O. Paez</t>
  </si>
  <si>
    <t>dpaez@ci.perrysburg.oh.us</t>
  </si>
  <si>
    <t>David Creps</t>
  </si>
  <si>
    <t>(419) 872-8032</t>
  </si>
  <si>
    <t>davidcreps@ci.perrysburg.oh.us</t>
  </si>
  <si>
    <t>Quinn Crosby</t>
  </si>
  <si>
    <t>qcrosby@ci.perrysburg.oh.us</t>
  </si>
  <si>
    <t>2011DUP87-2247</t>
  </si>
  <si>
    <t>Standard 10 week DARE curriculum will be taught by DARE Officer Quinn Crosby.</t>
  </si>
  <si>
    <t>The "DARE OTC/Rx Drug Abuse Program" will be taught by DARE Officer Quinn Crosby.</t>
  </si>
  <si>
    <t>$9,289.28</t>
  </si>
  <si>
    <t>$4644.64</t>
  </si>
  <si>
    <t>44143</t>
  </si>
  <si>
    <t>(440) 461-1234</t>
  </si>
  <si>
    <t>(440) 684-0454</t>
  </si>
  <si>
    <t>34-6001844</t>
  </si>
  <si>
    <t>POLICE@MAYFIELDVILLAGE.COM</t>
  </si>
  <si>
    <t>(440) 461-2210</t>
  </si>
  <si>
    <t>RWYNNE@MAYFIELDVILLAGE.COM</t>
  </si>
  <si>
    <t>2011DUP18-2091</t>
  </si>
  <si>
    <t>Ptl. William Annandono will be the instructor for the 2012/2013 DARE Program at Center Elementary School. Ptl. Annandono is also the School Resource Officer at Mayfield High School and will address and instruct students of the dangers of "Spice/K2 &amp; Bath Salts" and other harmful drugs.</t>
  </si>
  <si>
    <t>William L. Annandono</t>
  </si>
  <si>
    <t>11,036.56</t>
  </si>
  <si>
    <t>$5,518.28</t>
  </si>
  <si>
    <t>Canfield Police Department</t>
  </si>
  <si>
    <t>104 Lisbon Street</t>
  </si>
  <si>
    <t>Canfield</t>
  </si>
  <si>
    <t>44406</t>
  </si>
  <si>
    <t>(330) 533-4903</t>
  </si>
  <si>
    <t>(330) 533-0741</t>
  </si>
  <si>
    <t>34-6000501</t>
  </si>
  <si>
    <t>Charles Colucci</t>
  </si>
  <si>
    <t>ccolucci@ci.canfield.oh.us</t>
  </si>
  <si>
    <t>Sandra Mayberry</t>
  </si>
  <si>
    <t>(330) 533-1101</t>
  </si>
  <si>
    <t>smayberry@ci.canfield.oh.us</t>
  </si>
  <si>
    <t>Scott Weamer</t>
  </si>
  <si>
    <t>Asst. Chief of Police</t>
  </si>
  <si>
    <t>sweamer@ci.canfield.oh.us</t>
  </si>
  <si>
    <t>2010DUP50-2154</t>
  </si>
  <si>
    <t>The Canfield Police Department drug prevention education program will incorporate the DARE curriculum, as well as a customized curriculum.
The Fifth and Seventh grade DARE curricula will be taught by Officer Lasky.  This involves 45 man-hours for Fifth and 50 man-hours for Seventh grade.
The customized drug prevention education program will consist of Officer Garstka teaching  Canfield Middle School (Eighth grade – 18 man-hours), Canfield High School (Ninth – 8 man-hours, Tenth – 45 man-hours, and Twelfth – 19.5 man-hours grades), and Officer Young teaching  Mahoning County Career and Technical Center (Eleventh – 36 man-hours and Twelfth – 9 man-hours grades).</t>
  </si>
  <si>
    <t>Both the DARE curriculum and the customized drug use prevention program currently address the issue of prescription drug abuse.  In addition to the DARE OTC/Rx Drug Abuse Program, the 9th grade curriculum (Lesson 2) and the 10th grade curriculum (Lessons 1, 2, and 3) currently address prescription drug abuse.
The 8th and 12th grade curricula will be modified to include discussion of prescription drug abuse for the 2012-2013 school year.</t>
  </si>
  <si>
    <t>Paul Lasky</t>
  </si>
  <si>
    <t>2658.82</t>
  </si>
  <si>
    <t>1329.41</t>
  </si>
  <si>
    <t>Steve Garstka</t>
  </si>
  <si>
    <t>2062.55</t>
  </si>
  <si>
    <t>1031.28</t>
  </si>
  <si>
    <t>Aaron Young</t>
  </si>
  <si>
    <t>1024.16</t>
  </si>
  <si>
    <t>512.08</t>
  </si>
  <si>
    <t>2872.77</t>
  </si>
  <si>
    <t>Wellington Police Department</t>
  </si>
  <si>
    <t>117 Willard Memorial Square</t>
  </si>
  <si>
    <t>Wellington</t>
  </si>
  <si>
    <t>44090</t>
  </si>
  <si>
    <t>Lorain County</t>
  </si>
  <si>
    <t>(440) 647-2244</t>
  </si>
  <si>
    <t>(440) 647-3641</t>
  </si>
  <si>
    <t>34-6003027</t>
  </si>
  <si>
    <t>Steve Rollins</t>
  </si>
  <si>
    <t>Chiefrollins@villageofwellington.com</t>
  </si>
  <si>
    <t>Karen Shaw</t>
  </si>
  <si>
    <t>(440) 647-4626</t>
  </si>
  <si>
    <t>KLShaw@glwb.net</t>
  </si>
  <si>
    <t>Joseph Davidson</t>
  </si>
  <si>
    <t>JDavidson@villageofwellington.com</t>
  </si>
  <si>
    <t>2011DUP47-2211</t>
  </si>
  <si>
    <t>Ptl. J. Davidson will teach the 10 week DARE Core curriculum program to the Wellington McCormick Middle School 5th grade.</t>
  </si>
  <si>
    <t>Ptl. J. Davidson will teach the DARE OTC/Rx Drug Abuse Program to the Wellington McCormick Middle School 5th grade.</t>
  </si>
  <si>
    <t>Joseph R. Davidson</t>
  </si>
  <si>
    <t>1,841.22</t>
  </si>
  <si>
    <t>920.61</t>
  </si>
  <si>
    <t>Brook Park</t>
  </si>
  <si>
    <t>44142</t>
  </si>
  <si>
    <t>(216) 433-1239</t>
  </si>
  <si>
    <t>(216) 362-3222</t>
  </si>
  <si>
    <t>34-6000348</t>
  </si>
  <si>
    <t>James Foster</t>
  </si>
  <si>
    <t>jfoster@cityofbrookpark.com</t>
  </si>
  <si>
    <t>Greg Cingle</t>
  </si>
  <si>
    <t>(216) 433-1300</t>
  </si>
  <si>
    <t>gcingle@cityofbrookpark.com</t>
  </si>
  <si>
    <t>Thomas Dickel</t>
  </si>
  <si>
    <t>tdickel@cityofbrookpark.com</t>
  </si>
  <si>
    <t>2010DUP18-2107</t>
  </si>
  <si>
    <t>The Brook Park Police will conduct the DARE elementary program for 6th grade, the 4th grade DARE progrram and the 2nd grade DARE program.</t>
  </si>
  <si>
    <t>The Brook Park DARE Officer plans to conduct the DARE OTC/Rx Drug Abuse Program at the middle school.</t>
  </si>
  <si>
    <t>65000</t>
  </si>
  <si>
    <t>34500</t>
  </si>
  <si>
    <t>Wooster City Police Department</t>
  </si>
  <si>
    <t>201 W. North Streeet</t>
  </si>
  <si>
    <t>Wooster</t>
  </si>
  <si>
    <t>44691</t>
  </si>
  <si>
    <t>(330) 287-5720</t>
  </si>
  <si>
    <t>(330) 287-5787</t>
  </si>
  <si>
    <t>34-6003129</t>
  </si>
  <si>
    <t>Matt Fisher</t>
  </si>
  <si>
    <t>mfisher@woosteroh.com</t>
  </si>
  <si>
    <t>Andrei Dordea</t>
  </si>
  <si>
    <t>(330) 263-5225</t>
  </si>
  <si>
    <t>adordea@woosteroh.com</t>
  </si>
  <si>
    <t>Ken Linz</t>
  </si>
  <si>
    <t>klinz@woosteroh.com</t>
  </si>
  <si>
    <t>Patrolman Ken Linz will be the police department liaison for the D.A.R.E. Program and the School Resource Office drug prevention program in the Wooster City School District.  Office Linz will work extensively in all four elementary schools, the middle school, and the high school to educate students and staff on the negative effects of drugs.  The intended outcome of the program will be to reduce drug and alcohol abuse within our student population.</t>
  </si>
  <si>
    <t>The Wooster Police Department, the Wooster City Schools, and various local agencies (MRDD, STEPS at Liberty Center, etc.)will partner to offer educational programs that make students aware of the negative effects of prescription drug abuse.  Patrolman Ken Linz will direct this program and bring in educational components into his D.A.R.E. OTC/Rx Drug Abuse Program.  This will be a grades Kg - 12 initiative so that all students understand the negative effects of prescription drug abuse.</t>
  </si>
  <si>
    <t>15,241</t>
  </si>
  <si>
    <t>7,620.50</t>
  </si>
  <si>
    <t>Warren County Sheriff's Office</t>
  </si>
  <si>
    <t>550 Justice Dr.</t>
  </si>
  <si>
    <t>Lebanon</t>
  </si>
  <si>
    <t>45036</t>
  </si>
  <si>
    <t>(513) 695-1280</t>
  </si>
  <si>
    <t>(513) 695-1286</t>
  </si>
  <si>
    <t>31-60000-58W</t>
  </si>
  <si>
    <t>Larry Sims</t>
  </si>
  <si>
    <t>(513) 695-1282</t>
  </si>
  <si>
    <t>Larry.Sims@wcsooh.org</t>
  </si>
  <si>
    <t>Lisa Dickerson</t>
  </si>
  <si>
    <t>(513) 695-2327</t>
  </si>
  <si>
    <t>Lisa.Dickerson@wcsooh.org</t>
  </si>
  <si>
    <t>Eric Johnson</t>
  </si>
  <si>
    <t>Lieutenant Eric Johnson</t>
  </si>
  <si>
    <t>(513) 695-1996</t>
  </si>
  <si>
    <t>Eric.Johnson@wcsooh.org</t>
  </si>
  <si>
    <t>2011DUP83-1083</t>
  </si>
  <si>
    <t>Even with the economic hardships of many police and sheriff’s offices in the state, Warren County Sheriff’s Office has been and will continue to be a supporter of the DARE program. This grant allows the sheriff’s office to continue our support and operate our DARE program. Deputy McGlothlin and Deputy Dunaway are full- time DARE instructors. The standard 10 week program will be taught.</t>
  </si>
  <si>
    <t>Our DARE instructors will teach the D.A.R.E. OTC/Rx Drug Abuse Program.</t>
  </si>
  <si>
    <t>Benny Dunaway</t>
  </si>
  <si>
    <t>$45302.40</t>
  </si>
  <si>
    <t>$22651.20</t>
  </si>
  <si>
    <t>Fairfield Township Police Department</t>
  </si>
  <si>
    <t>6485 Vonnie Vale Court</t>
  </si>
  <si>
    <t>(513) 887-4406</t>
  </si>
  <si>
    <t>(513) 887-4407</t>
  </si>
  <si>
    <t>31-6000572</t>
  </si>
  <si>
    <t>Richard J. St.John</t>
  </si>
  <si>
    <t>(513) 785-4179</t>
  </si>
  <si>
    <t>rstjohn@fairfieldtwp.org</t>
  </si>
  <si>
    <t>Nancy Bock</t>
  </si>
  <si>
    <t>(513) 785-2290</t>
  </si>
  <si>
    <t>nbock@fairfieldtwp.org</t>
  </si>
  <si>
    <t>2010DUP09-2098</t>
  </si>
  <si>
    <t>Sgt. Vernon F. Shobe will teach the elementary portion (Grades K thru 4) of the D.A.R.E. curriculum at Fairfield North and Fairfield East Elementary Schools, and will also initiate the G.R.E.A.T. program training to the same students.  Fairfield North and Fairfield East are part of the Fairfield City School District; Fairfield Central Elementary, Fairfield South Elementary, and Fairfield West Elemtary are located in the City of Fairfield.  Fairfield Intermediate (5th Grade) is also located in the City of Fairfeld.</t>
  </si>
  <si>
    <t>Vernon F. Shobe</t>
  </si>
  <si>
    <t>$25366</t>
  </si>
  <si>
    <t>$12683</t>
  </si>
  <si>
    <t>Twinsburg Police Department</t>
  </si>
  <si>
    <t>10075 Ravenna Road</t>
  </si>
  <si>
    <t>Twinsburg</t>
  </si>
  <si>
    <t>44087</t>
  </si>
  <si>
    <t>(330) 425-1234</t>
  </si>
  <si>
    <t>(330) 963-6434</t>
  </si>
  <si>
    <t>346004070</t>
  </si>
  <si>
    <t>Christopher J. Noga</t>
  </si>
  <si>
    <t>cnoga@twinsburg.oh.us</t>
  </si>
  <si>
    <t>Karen Howse</t>
  </si>
  <si>
    <t>(330) 425-7161</t>
  </si>
  <si>
    <t>khowse@twinsburg.oh.us</t>
  </si>
  <si>
    <t>Michael M. Nakata</t>
  </si>
  <si>
    <t>(330) 963-6246</t>
  </si>
  <si>
    <t>mnakata@twinsburg.oh.us</t>
  </si>
  <si>
    <t>2011DUP77-2096</t>
  </si>
  <si>
    <t>There will be two programs conducted by officers from the City of Twinsburg.  The D.A.R.E. program will be taught by Officer Brian Steele who will become a certified D.A.R.E. officer in the fall of 2012.  He will teach the standard 10-week D.A.R.E. curriculum in the second semester of the 2012-2013 school year.  The other program will be taught by Officer Ronald Fruscella who is currently the district wide SRO for the City of Twinsburg.  He will teach a formal program in the high school throughout the school year as well as continue to instruct and mentor on an individual basis and as guest speaker in classes throughout the year.</t>
  </si>
  <si>
    <t>The prescription drug abuse prevention project will be taught in the high school by our SRO, Ronald Fruscella.  The topics covered will be taught formally in the high school health class.  The lessons and plans will be used in conjuction with the Medic videos and discuss the myths of teen prescription drug abuse, the science of addiction, types of prescribed medication that can become addictive, the effects of addiction, making smart choices, and the roles that parents play in this destructive behavior.  In addition, he will be instructing other drug and alcohol related courses throughout the year as well as give presentations at assemblies.  In addition. the SRO will visit with students and administrators from the other schools within the district.</t>
  </si>
  <si>
    <t>Brian Steele</t>
  </si>
  <si>
    <t>7440</t>
  </si>
  <si>
    <t>3,720.00</t>
  </si>
  <si>
    <t>Ronald Fruscella</t>
  </si>
  <si>
    <t>28919</t>
  </si>
  <si>
    <t>14560.00</t>
  </si>
  <si>
    <t>18280.00</t>
  </si>
  <si>
    <t>Norton Police Department</t>
  </si>
  <si>
    <t>4060 Columbia Woods Dr.</t>
  </si>
  <si>
    <t>Norton</t>
  </si>
  <si>
    <t>44203</t>
  </si>
  <si>
    <t>(330) 825-2491</t>
  </si>
  <si>
    <t>(330) 825-8060</t>
  </si>
  <si>
    <t>34-6006430</t>
  </si>
  <si>
    <t>Thad Hete</t>
  </si>
  <si>
    <t>chiefhete@cityofnorton.org</t>
  </si>
  <si>
    <t>John Moss</t>
  </si>
  <si>
    <t>(330) 706-0084</t>
  </si>
  <si>
    <t>johnm@cityofnorton.org</t>
  </si>
  <si>
    <t>John Dalessandro</t>
  </si>
  <si>
    <t>johnd@cityofnorton.org</t>
  </si>
  <si>
    <t>DUP 097</t>
  </si>
  <si>
    <t>Sgt. Dalessandro will teach the 10 week D.A.R.E. curriculum in the Norton Middle School.  All 5th grade students who participate in the D.A.R.E program will receive a certificate.  Sgt. Dalessandro and Ptl. Lane will provide SRO assistance to all Norton City Schools as needed.  Sgt. Dalessandro and Ptl. Lane will handle drug and alcohol issues in the schools as they arise.  Sgt. Dalessandro will attend and speak at assemblies in the schools as requested.</t>
  </si>
  <si>
    <t>Sgt. Dalessandro and Ptl. Lane will teach the D.A.R.E. OTC/Rx Drug Abuse Program in conjunction with the D.A.R.E. curriculum at the Middle School level.</t>
  </si>
  <si>
    <t>John A. Dalessandro</t>
  </si>
  <si>
    <t>$13,474</t>
  </si>
  <si>
    <t>$6,737</t>
  </si>
  <si>
    <t>Larry Lane</t>
  </si>
  <si>
    <t>$8,936</t>
  </si>
  <si>
    <t>$4468</t>
  </si>
  <si>
    <t>$11,205</t>
  </si>
  <si>
    <t>44124</t>
  </si>
  <si>
    <t>(216) 831-1424</t>
  </si>
  <si>
    <t>(216) 831-0175</t>
  </si>
  <si>
    <t>34-6002182</t>
  </si>
  <si>
    <t>(216) 896-6118</t>
  </si>
  <si>
    <t>policechief@pepperpike.org</t>
  </si>
  <si>
    <t>Richard Bain</t>
  </si>
  <si>
    <t>(216) 896-6126</t>
  </si>
  <si>
    <t>Todd Bennett</t>
  </si>
  <si>
    <t>School Resource Officer</t>
  </si>
  <si>
    <t>tbennett@orangecsd.org</t>
  </si>
  <si>
    <t>2011DUP18-2135</t>
  </si>
  <si>
    <t>Officer Todd Bennett will present the School Resource Officer Drug Use Prevention program. The SRO spends a lot of time performing interventions with students regarding drug and alcohol abuse/issues. The student interventions sometimes become a weekly meeting with the student and/or the parent. The design is to assist with providing help to the student and their family. The SRO frequents the Orange High School Health classes and it is part of the class curriculum for the SRO to present an alcohol/drug abuse lesson plan. The SRO also helps during the health projects that are created during this time period. The SRO also frequents the Law classroom at OHS to discuss the legal consequences regarding drugs and alcohol.</t>
  </si>
  <si>
    <t>The SRO currently addresses the prescription drug abuse in the health classes. Next school year the SRO will increase the duration of the presentation inside the health classes and will include an ER doctor as a guest speaker. The SRO currently addresses this issue with the PTA, and other parent organizations, as the most common avenue where the prescriptions come from is the parents, and grandparents.</t>
  </si>
  <si>
    <t>16,827.25</t>
  </si>
  <si>
    <t>8,413.63</t>
  </si>
  <si>
    <t>Lakewood Police Department</t>
  </si>
  <si>
    <t>12650 Detroit Ave.</t>
  </si>
  <si>
    <t>Lakewood</t>
  </si>
  <si>
    <t>44107</t>
  </si>
  <si>
    <t>(216) 529-6750</t>
  </si>
  <si>
    <t>34-6001633</t>
  </si>
  <si>
    <t>tim.malley@lakewoodoh.net</t>
  </si>
  <si>
    <t>Jennifer Pae</t>
  </si>
  <si>
    <t>(216) 529-6092</t>
  </si>
  <si>
    <t>Jennifer.Pae@lakewoodoh.net</t>
  </si>
  <si>
    <t>2011DUP18-2115</t>
  </si>
  <si>
    <t>Officers George Rasch and David Acklin will both teach the standard DARE curriculum in our elementary and middle schools.</t>
  </si>
  <si>
    <t>Officers George Rasch and David Acklin will teach the DARE OTC/Rx Drug Abuse Program.</t>
  </si>
  <si>
    <t>George Rasch</t>
  </si>
  <si>
    <t>48571</t>
  </si>
  <si>
    <t>24285</t>
  </si>
  <si>
    <t>David Acklin</t>
  </si>
  <si>
    <t>48570.00</t>
  </si>
  <si>
    <t>Vienna Township Police Department</t>
  </si>
  <si>
    <t>848 Youngstown Kingsville Road</t>
  </si>
  <si>
    <t>Vienna</t>
  </si>
  <si>
    <t>44473</t>
  </si>
  <si>
    <t>(330) 856-4421</t>
  </si>
  <si>
    <t>(330) 856-4498</t>
  </si>
  <si>
    <t>34-6002946</t>
  </si>
  <si>
    <t>Andrew Pecchio</t>
  </si>
  <si>
    <t>apecchio@viennapd.com</t>
  </si>
  <si>
    <t>Vicki Anzur</t>
  </si>
  <si>
    <t>(330) 394-1728</t>
  </si>
  <si>
    <t>Brian Darbey</t>
  </si>
  <si>
    <t>Supervisor</t>
  </si>
  <si>
    <t>bdarbey@viennapd.com</t>
  </si>
  <si>
    <t>2012DUP78-2183</t>
  </si>
  <si>
    <t>The Vienna Township Police Department would like to continue the DARE program that started in the 2009-2010 school year at the Mathews Local School District.  Officer Theresa (Hunter) Hartman is a certified DARE Officer and has been teaching in the schools since the 2010 school year.  The program is proving to be very beneficial and we have received positive feedback from officials and students throughout the district as well as the community. Officer Hartman teaches the standard 10 week curriculums to Elementary and Middle School Students and also uses the 20 study print for the lower elementary grades.  She also speaks to the children about Prescription Drug Abuse and any other drug related topics that relate to the students. Also if approved and funded Officer Hartman would present to the students using booklets from the Foundation for a Drug Free World Organization.</t>
  </si>
  <si>
    <t>If awarded funding, Officer Hartman will provide OTC/Rx Drug Abuse Programs for Elementary and Middle School students, who are located at the High School, by using the provided workbooks.  She will also speak to the students at the High School level about the dangers of OTC/RX abuse if approved by using the Foundation For a Drug Free World booklets entitled, "The Truth About Drugs/Prescription Drug Abuse".</t>
  </si>
  <si>
    <t>Theresa Hartman</t>
  </si>
  <si>
    <t>10,000</t>
  </si>
  <si>
    <t>5,000</t>
  </si>
  <si>
    <t>28 N Paint Street</t>
  </si>
  <si>
    <t>Chillicothe</t>
  </si>
  <si>
    <t>45601</t>
  </si>
  <si>
    <t>Ross County</t>
  </si>
  <si>
    <t>(740) 773-1191</t>
  </si>
  <si>
    <t>(740) 773-1248</t>
  </si>
  <si>
    <t>31-6400-221</t>
  </si>
  <si>
    <t>Roger Moore</t>
  </si>
  <si>
    <t>julesp@roadrunner.com</t>
  </si>
  <si>
    <t>Julie Preston</t>
  </si>
  <si>
    <t>DARE Officer</t>
  </si>
  <si>
    <t>(740) 701-0039</t>
  </si>
  <si>
    <t>2010DUP71-2259</t>
  </si>
  <si>
    <t>Officer Julie Preston teaches the Elementary DARE Curriculum. Officer Sandra Murray teaches the Junior High Curriculum. Both Officers participate in the schools in providing many other programs as well. Officer Preston participates in the Prom Promise programs as well as counseling kids on their use of drugs and alcohol and preventing bullying. Officer Murray participates in the prevention of bullying programs at the junior high level as well. Officer Preston also participates in the local Safety Town.</t>
  </si>
  <si>
    <t>Officer Preston and Officer Murray are both trained in the OTC/Rx program and will be implementing it accordingly to the Elementary, Junior High, and Highschool areas.</t>
  </si>
  <si>
    <t>39,848.40</t>
  </si>
  <si>
    <t>19,924.20</t>
  </si>
  <si>
    <t>Sandra Murray</t>
  </si>
  <si>
    <t>13,282.80</t>
  </si>
  <si>
    <t>6,641.40</t>
  </si>
  <si>
    <t>26,565.60</t>
  </si>
  <si>
    <t>(937) 440-6085</t>
  </si>
  <si>
    <t>(937) 440-3524</t>
  </si>
  <si>
    <t>31-6000055</t>
  </si>
  <si>
    <t>Charles Cox</t>
  </si>
  <si>
    <t>adminassist@miamicountyso.com</t>
  </si>
  <si>
    <t>Mathew Gearhardt</t>
  </si>
  <si>
    <t>(937) 440-5925</t>
  </si>
  <si>
    <t>auditor@co.miami.oh.us</t>
  </si>
  <si>
    <t>Jamie McGlinch</t>
  </si>
  <si>
    <t>mcglinch.jamie@miamicountyso.com</t>
  </si>
  <si>
    <t>2011DUP55-1015</t>
  </si>
  <si>
    <t>Deputies Todd Cooper and Eric Harnish will be instructing our drug use prevention program at the 5 respective school districts. Instruction in the elementary schools will center around red ribbon week (drug prevention week) with accompanying presentations. Middle and High School instruction will center on “Drug &amp; Danger” ( a look at various drugs and effects on the body &amp; also peer pressure’s effect), “Drug Identification” for High School which will include videos and power point presentations. “Drug’s &amp; Alcohol” which is a follow-up program to Drug ID, but with the dangers of how alcohol abuse can lead to drug abuse. This presentations also utilizes  videos and power point. Programs at the High School level also are presented to coincide with Homecoming and Prom weekends.</t>
  </si>
  <si>
    <t>Miami County Sheriff’s Office with two School Resource Officers assigned to 5 county school districts provide drug education to students, teachers, and parents. The curriculum used by these Deputies, for drug education, targets school children for grades 4-12. The curriculum used has several different levels of education, with one on particular aimed at Prescription Drug Abuse. Deputies often partner of with school health classes for a period of time, and with Prescription Drugs being the easiest drug for our youth to obtain, emphasis is placed on this topic. Classes are done with the utilization of powerpoint presentations, followed up with videos, and handouts</t>
  </si>
  <si>
    <t>Todd Cooper</t>
  </si>
  <si>
    <t>$10,545.60</t>
  </si>
  <si>
    <t>$5,272.80</t>
  </si>
  <si>
    <t>Eric Harnish</t>
  </si>
  <si>
    <t>Uhrichsville Police Department</t>
  </si>
  <si>
    <t>305 E. 2nd St.</t>
  </si>
  <si>
    <t>Uhrichsville</t>
  </si>
  <si>
    <t>44683</t>
  </si>
  <si>
    <t>Tuscarawas County</t>
  </si>
  <si>
    <t>(740) 922-1212</t>
  </si>
  <si>
    <t>(740) 922-6720</t>
  </si>
  <si>
    <t>34-6002867</t>
  </si>
  <si>
    <t>chiefbeal@roadrunner.com</t>
  </si>
  <si>
    <t>Jody Dunlap, City Auditor</t>
  </si>
  <si>
    <t>(740) 922-9344</t>
  </si>
  <si>
    <t>Brandon McCray</t>
  </si>
  <si>
    <t>ptlmccray@roadrunner.com</t>
  </si>
  <si>
    <t>2011DUP79-2269</t>
  </si>
  <si>
    <t>Ptl. McCray will be teaching the standard 10-week D.A.R.E. curriculum to the Claymont Intermediate School entire 5th grade class.</t>
  </si>
  <si>
    <t>Ptl. McCray will be teaching the D.A.R.E. OTC/Rx Drug Abuse Program in addition to the standard 10-week D.A.R.E. curriculum to the Claymont Intermediate School entire 5th grade class.</t>
  </si>
  <si>
    <t>$4,180</t>
  </si>
  <si>
    <t>$2,090</t>
  </si>
  <si>
    <t>Brunswick Division of Police</t>
  </si>
  <si>
    <t>4095 Center Road</t>
  </si>
  <si>
    <t>Brunswick</t>
  </si>
  <si>
    <t>44212</t>
  </si>
  <si>
    <t>(330) 225-9111</t>
  </si>
  <si>
    <t>(330) 225-6002</t>
  </si>
  <si>
    <t>346006433</t>
  </si>
  <si>
    <t>Carl Deforest</t>
  </si>
  <si>
    <t>cdeforest@brunswick.oh.us</t>
  </si>
  <si>
    <t>Todd Fisher</t>
  </si>
  <si>
    <t>(330) 225-9144</t>
  </si>
  <si>
    <t>tfisher@brunswick.oh.us</t>
  </si>
  <si>
    <t>Brian Ohlin</t>
  </si>
  <si>
    <t>bohlin@brunswick.oh.us</t>
  </si>
  <si>
    <t>2010DUP52-2180</t>
  </si>
  <si>
    <t>The Brunswick Division of Police certified DARE/ SRO Officers will continue to provide drug use prevention education programs that may include but not limited to, school assembly, classroom presentations on drug use prevention topics, Red Ribbon,  and Specific DARE curriculum individual drug prevention topics and approved topics.. We will continue to provide direct one on one student mentoring counseling and guidance throughout our district during the grant period.  It is our intention to continue our drug prevention programs in our school district providing the best quality education and information to our students.</t>
  </si>
  <si>
    <t>The Brunswick Division of Police three (4) certified DARE/SRO Officers Duane Kuehn, Stefan Karthan, Doug Laino and Jerome T. Klue will continue to provide drug use prevention education programs that may include but not limited to, school assembly, classroom presentations on RX-OTC, established drug use prevention programs and or Specific RX-OTC curriculum individual drug prevention RX-OTC topics and approved Ohio Attorney General programs.  It is our intention to continue our drug prevention programs in our school district providing the best quality education and information to our students.</t>
  </si>
  <si>
    <t>Duane Kuehn</t>
  </si>
  <si>
    <t>$15,336.00</t>
  </si>
  <si>
    <t>$7683.00</t>
  </si>
  <si>
    <t>Doug Laino</t>
  </si>
  <si>
    <t>Stefan Karthan</t>
  </si>
  <si>
    <t>Jerome T. Klue</t>
  </si>
  <si>
    <t>$1009.05</t>
  </si>
  <si>
    <t>504.56</t>
  </si>
  <si>
    <t>$23,553.56</t>
  </si>
  <si>
    <t>Hancock County Sheriff's Office</t>
  </si>
  <si>
    <t>200 W. Crawford St.</t>
  </si>
  <si>
    <t>Findlay</t>
  </si>
  <si>
    <t>45840</t>
  </si>
  <si>
    <t>Hancock County</t>
  </si>
  <si>
    <t>(419) 424-7097</t>
  </si>
  <si>
    <t>(419) 424-7078</t>
  </si>
  <si>
    <t>34-6400608</t>
  </si>
  <si>
    <t>Michael E. Heldman</t>
  </si>
  <si>
    <t>meheldman@co.hancock.oh.us</t>
  </si>
  <si>
    <t>Charity A. Rauschenberg</t>
  </si>
  <si>
    <t>(419) 424-7041</t>
  </si>
  <si>
    <t>carauschenberg@co.hancock.oh.us</t>
  </si>
  <si>
    <t>Michael R. McGuire</t>
  </si>
  <si>
    <t>2011-DUP32-103</t>
  </si>
  <si>
    <t>Deputy Mike McGuire will present a drug prevention use program.  The program will be from the National Institue on Drug Abuse (NIDA).</t>
  </si>
  <si>
    <t>Deputy McGuire will utilize the NIDA's Research Report Series on Prescription Drugs: Abuse and Addiction and tailor the information to the age of students he is addressing.</t>
  </si>
  <si>
    <t>23535.00</t>
  </si>
  <si>
    <t>11767.50</t>
  </si>
  <si>
    <t>Blue Ash</t>
  </si>
  <si>
    <t>45242</t>
  </si>
  <si>
    <t>(513) 745-8555</t>
  </si>
  <si>
    <t>(513) 745-8574</t>
  </si>
  <si>
    <t>31-6007293</t>
  </si>
  <si>
    <t>Chris Wallace</t>
  </si>
  <si>
    <t>cwallace@blueash.com</t>
  </si>
  <si>
    <t>(513) 745-8500</t>
  </si>
  <si>
    <t>spoppe@blueash.com</t>
  </si>
  <si>
    <t>Stephen Schueler</t>
  </si>
  <si>
    <t>(513) 745-8571</t>
  </si>
  <si>
    <t>sschueler@blueash.com</t>
  </si>
  <si>
    <t>2010DUP 31-214</t>
  </si>
  <si>
    <t>Officer Elizabeth Roach (D.A.R.E. Class 63) will be presenting a D.A.R.E.-based program.
Using the D.A.R.E. curriculum as a guide, Officer Roach will be instructing groups of 100 students.  Officer Roach has taken the D.A.R.E. format and modified it to be more easily utilized in larger groups, as requested by the school's teachers and administrators.  Tobacco, alcohol, drugs, and other lessons have been maintained, including many of the activities in the D.A.R.E. workbook.  Online safety and cyber-bullying classes have been added to meet the needs of the school.  Both were designed around the iKeep Safe information provided during D.A.R.E. training.</t>
  </si>
  <si>
    <t>The D.A.R.E. OTC/Rx Drug Abuse program will be included in the curriculum in 2013.  It will be modified to fit the school's need of presentation to larger groups of 100 students.
Additionally, this information will be offered to the school district as an option for parental education sessions.</t>
  </si>
  <si>
    <t>Elizabeth Roach</t>
  </si>
  <si>
    <t>$13,746.47</t>
  </si>
  <si>
    <t>$6,873.24</t>
  </si>
  <si>
    <t>Dublin Division of Police</t>
  </si>
  <si>
    <t>Dublin</t>
  </si>
  <si>
    <t>(614) 410-4800</t>
  </si>
  <si>
    <t>(614) 761-6535</t>
  </si>
  <si>
    <t>31-6400452</t>
  </si>
  <si>
    <t>Heinz von Eckartsberg</t>
  </si>
  <si>
    <t>(614) 410-4801</t>
  </si>
  <si>
    <t>hvoneckartsberg@dublin.oh.us</t>
  </si>
  <si>
    <t>Steve Sova</t>
  </si>
  <si>
    <t>(614) 410-4400</t>
  </si>
  <si>
    <t>ssova@dublin.oh.us</t>
  </si>
  <si>
    <t>Michael McCaskey</t>
  </si>
  <si>
    <t>(614) 718-8286</t>
  </si>
  <si>
    <t>mmccaskey@dublin.oh.us</t>
  </si>
  <si>
    <t>2010DUP25-2172</t>
  </si>
  <si>
    <t>The Dublin Police conduct a comprehensive D.A.R.E. Program, in the Dublin schools. The program is taught at the fifth, seventh and tenth grade levels. It has been strongly supported in Dublin for 23 years. Each SRO is responsible for implementing the D.A.R.E Program within their respective schools. In addition to classes, each is responsible for lesson plans, training materials, scheduling, promoting the program and coordinating activities. SROs assigned to the Community Education Unit are deeply involved in the Dublin Community. SROs participate in community education projects relating to personal safety, self-defense, stranger abduction prevention, teen driver and Internet safety.</t>
  </si>
  <si>
    <t>Bruce McKenna</t>
  </si>
  <si>
    <t>$60,776.00</t>
  </si>
  <si>
    <t>$30,388.00</t>
  </si>
  <si>
    <t>$16,207.00</t>
  </si>
  <si>
    <t>$8,104.00</t>
  </si>
  <si>
    <t>Brian Nimmo</t>
  </si>
  <si>
    <t>Sara Hall</t>
  </si>
  <si>
    <t>$17,017.00</t>
  </si>
  <si>
    <t>$8,509.00</t>
  </si>
  <si>
    <t>Charles Rudy</t>
  </si>
  <si>
    <t>$17,827.00</t>
  </si>
  <si>
    <t>$8,914.00</t>
  </si>
  <si>
    <t>Jeff Hall</t>
  </si>
  <si>
    <t>Kathy Evans</t>
  </si>
  <si>
    <t>$14,586.00</t>
  </si>
  <si>
    <t>$7,293.00</t>
  </si>
  <si>
    <t>Jason Murphy</t>
  </si>
  <si>
    <t>$87,469.00</t>
  </si>
  <si>
    <t>416 W. Market Street</t>
  </si>
  <si>
    <t>Baltimore</t>
  </si>
  <si>
    <t>43105</t>
  </si>
  <si>
    <t>(740) 862-4205</t>
  </si>
  <si>
    <t>(740) 862-9328</t>
  </si>
  <si>
    <t>31-6400279</t>
  </si>
  <si>
    <t>Michael Tussey</t>
  </si>
  <si>
    <t>(740) 808-1475</t>
  </si>
  <si>
    <t>mtussey@baltimoreohio.org</t>
  </si>
  <si>
    <t>Florence Welker</t>
  </si>
  <si>
    <t>(740) 862-4491</t>
  </si>
  <si>
    <t>fwelker@baltimoreohio.org</t>
  </si>
  <si>
    <t>Jason Harget</t>
  </si>
  <si>
    <t>School Resource/D.A.R.E Officer</t>
  </si>
  <si>
    <t>(740) 808-5040</t>
  </si>
  <si>
    <t>hargetj@libertyunion.org</t>
  </si>
  <si>
    <t>2011DUP23-2234</t>
  </si>
  <si>
    <t>The Baltimore Police Department continues to utilize several sources to educate and decrease underage alcohol and drug abuse. Officer Harget is the D.A.R.E and the School Resource Officer. Officer Harget also is the coordinator for the S.C.A.L.E program which brings guest speakers to the schools and talks about life changing experiences from drug and alcohol abuse. Students interact with the guest speakers and Officer Harget during these events. During the summer months Officer Harget also is the coordinator for conducting alcohol and tobacco compliance checks with local businesses. Officer Harget is also the coordinator for D.A.R.E events such as pool parties,camps, games etc. for D.A.R.E Students during the summer.</t>
  </si>
  <si>
    <t>The Baltimore Police Department understands the serious issues when it comes to prescription drug abuse. Officer Harget has already implemented classes for the elementary school on prescription drug prevention. Officer Harget would like to add the prescription drug prevention to the current D.A.R.E 6th grade program and also add the program to the middle school and high school.Students see family and friends taking prescription drugs everyday so they assume the drugs are safe.</t>
  </si>
  <si>
    <t>Jason D. Harget</t>
  </si>
  <si>
    <t>$24,810</t>
  </si>
  <si>
    <t>$12,405.05</t>
  </si>
  <si>
    <t>Solon</t>
  </si>
  <si>
    <t>44139</t>
  </si>
  <si>
    <t>(440) 248-1234</t>
  </si>
  <si>
    <t>(440) 248-6751</t>
  </si>
  <si>
    <t>34-600-2686</t>
  </si>
  <si>
    <t>Christopher P. Viland</t>
  </si>
  <si>
    <t>CViland@solonohio.org</t>
  </si>
  <si>
    <t>Dennis Kennedy</t>
  </si>
  <si>
    <t>(440) 248-1155</t>
  </si>
  <si>
    <t>DKennedy@solonohio.org</t>
  </si>
  <si>
    <t>Joann Felton</t>
  </si>
  <si>
    <t>Ptl./DARE Officer</t>
  </si>
  <si>
    <t>Jfelton@solonohio.org</t>
  </si>
  <si>
    <t>2010DUP18-2139</t>
  </si>
  <si>
    <t>I will instruct full time the D.A.R.E. core curriculum to all 6th students attending Orchard Middle School. Also I will be instructing the “Keepin’ it R.E.A.L” Middle School curriculum to all 7th grade students attending Solon Middle School.  The D.A.R.E.  Kindergarten through Second grade curriculum will also be instructed to 4 other Solon public schools.  One lesson to 16 Kindergarten classes.  Four lessons to 16 first grade classes. Three lessons to 16 second grade classes.  Theses elementary visitations are not included in the numbers below.  If included the total elementary schools would be 5 with approximately 1,200 students instructed.</t>
  </si>
  <si>
    <t>The D.A.R.E. OTC/RX Drug Abuse Program will be instructed to all 6th and 7th grade students attending the Solon public schools.</t>
  </si>
  <si>
    <t>Joann</t>
  </si>
  <si>
    <t>55,883.00</t>
  </si>
  <si>
    <t>$27,941.00</t>
  </si>
  <si>
    <t>27,941.00</t>
  </si>
  <si>
    <t>6635 Maplewood Ave.</t>
  </si>
  <si>
    <t>Sylvania</t>
  </si>
  <si>
    <t>(567) 455-0794</t>
  </si>
  <si>
    <t>(419) 885-6352</t>
  </si>
  <si>
    <t>34-6401391</t>
  </si>
  <si>
    <t>William Rhodus</t>
  </si>
  <si>
    <t>(419) 885-8911</t>
  </si>
  <si>
    <t>819@sylvaniapolice.com</t>
  </si>
  <si>
    <t>Scott Smith</t>
  </si>
  <si>
    <t>(419) 885-8934</t>
  </si>
  <si>
    <t>city.finance@cityofsylvania.com</t>
  </si>
  <si>
    <t>Justin Music</t>
  </si>
  <si>
    <t>Sergeant</t>
  </si>
  <si>
    <t>851@sylvaniapolice.com</t>
  </si>
  <si>
    <t>2010DUP48-2142</t>
  </si>
  <si>
    <t>Our agency will present the D.A.R.E. curriculum as well as other programs to all schools in the City of Sylvania.  Officers also have informal interactions with students to help guide them to make good choices.  Programs begin in preschool and continue through high school.</t>
  </si>
  <si>
    <t>Officers will use the D.A.R.E. OTC/Rx Drug Abuse curriculum to present to the grade school and middle school students.  Officers will develop a program to meet the needs of our community to be used for our high school students.</t>
  </si>
  <si>
    <t>Scott Hendricks</t>
  </si>
  <si>
    <t>57,325</t>
  </si>
  <si>
    <t>28,663</t>
  </si>
  <si>
    <t>Robert Roe</t>
  </si>
  <si>
    <t>21,023</t>
  </si>
  <si>
    <t>10,512</t>
  </si>
  <si>
    <t>Phil Gallup</t>
  </si>
  <si>
    <t>10,230</t>
  </si>
  <si>
    <t>5115</t>
  </si>
  <si>
    <t>$44,290</t>
  </si>
  <si>
    <t>Colerain Police Department</t>
  </si>
  <si>
    <t>45251</t>
  </si>
  <si>
    <t>(513) 385-7504</t>
  </si>
  <si>
    <t>(513) 245-6603</t>
  </si>
  <si>
    <t>JA-316000567G</t>
  </si>
  <si>
    <t>Daniel P. Meloy</t>
  </si>
  <si>
    <t>dmeloy@coleraintwp.org</t>
  </si>
  <si>
    <t>Heather Harlow</t>
  </si>
  <si>
    <t>(513) 385-7500</t>
  </si>
  <si>
    <t>hharlow@coleraintwp.org</t>
  </si>
  <si>
    <t>Angela Meyer</t>
  </si>
  <si>
    <t>ameyer@coleraintwp.org</t>
  </si>
  <si>
    <t>2010DUP31-2198</t>
  </si>
  <si>
    <t>The Colerain Police Department will instruct the D.A.R.E. program.  Officer Pat Quinn and Lt. Angela Meyer are both certified D.A.R.E. instuctors.  We have 2 public elementary schools we are assigned to. School Resource Officer Keyonia Lumpkins will teach the "Driving Angels" program with D.A.R.E. Officer Pat Quinn. The Driving program engages students in consequences of drinking and driving, texting while driving and overall responsiblility of having a license. The "Driving Angels" program was approved in our last grant request.</t>
  </si>
  <si>
    <t>D.A.R.E. Officers will teach the D.A.R.E. OTC/Rx Drug Abuse Program.. officer Pat Quinn and Lt. Meyer are both certified D.A.R.E. instructors.</t>
  </si>
  <si>
    <t>$8313</t>
  </si>
  <si>
    <t>$4156.50</t>
  </si>
  <si>
    <t>Pat Quinn</t>
  </si>
  <si>
    <t>$10494</t>
  </si>
  <si>
    <t>$5247.00</t>
  </si>
  <si>
    <t>Keyonia Lumpkins</t>
  </si>
  <si>
    <t>$1967</t>
  </si>
  <si>
    <t>$983.50</t>
  </si>
  <si>
    <t>$10387.00</t>
  </si>
  <si>
    <t>Sharonville Police Department</t>
  </si>
  <si>
    <t>10900 Reading Road</t>
  </si>
  <si>
    <t>Sharonville</t>
  </si>
  <si>
    <t>45241</t>
  </si>
  <si>
    <t>(513) 563-1147</t>
  </si>
  <si>
    <t>(513) 563-7321</t>
  </si>
  <si>
    <t>31-6001083</t>
  </si>
  <si>
    <t>MIchael G. Schappa</t>
  </si>
  <si>
    <t>mschappa@cityofsharonville.com</t>
  </si>
  <si>
    <t>Mark Piepmeier</t>
  </si>
  <si>
    <t>(513) 563-0617</t>
  </si>
  <si>
    <t>mpiepmeier@cityofsharonville.com</t>
  </si>
  <si>
    <t>Mark Preuss</t>
  </si>
  <si>
    <t>mpreuss@cityofsharonville.com</t>
  </si>
  <si>
    <t>2011dup31-2173</t>
  </si>
  <si>
    <t>The standard 10-week DARE curriculum is taught to the fifth grade classes.  The 2 OTC/Prescription Drug classes will also be incorporated into the curriculum.  DARE classes are taught to the lower grades at the teachers' request and as time permits.</t>
  </si>
  <si>
    <t>The DARE OTC/Rx Drug Abuse Program will be taught to the fifth grade classes.</t>
  </si>
  <si>
    <t>Cheryl Price</t>
  </si>
  <si>
    <t>2758.08</t>
  </si>
  <si>
    <t>1379.04</t>
  </si>
  <si>
    <t>Ross County Sheriff's Office</t>
  </si>
  <si>
    <t>28 North Paint Street</t>
  </si>
  <si>
    <t>(740) 773-1186</t>
  </si>
  <si>
    <t>31-6400085</t>
  </si>
  <si>
    <t>Stephen Neal</t>
  </si>
  <si>
    <t>(740) 702-3080</t>
  </si>
  <si>
    <t>rossaud@bright.net</t>
  </si>
  <si>
    <t>dare@rosssheriff.com</t>
  </si>
  <si>
    <t>2011DUP71-1071</t>
  </si>
  <si>
    <t>I will instruct the 10 Week DARE Curriculum to Elementaries, 10 Lesson KeepinIt Real to the Jr.Highs and the 8-10 lessons of the DARE High School Curriculum.  I will also instruct all High Schools with two lessons on Dangers of Drinking and Driving.</t>
  </si>
  <si>
    <t>I will use the D.A.R.E. OTC/Rx Drug Abuse Program.</t>
  </si>
  <si>
    <t>Richard E. Groves</t>
  </si>
  <si>
    <t>$28,104.96</t>
  </si>
  <si>
    <t>$14,052.48</t>
  </si>
  <si>
    <t>(440) 442-1221</t>
  </si>
  <si>
    <t>(440) 473-1943</t>
  </si>
  <si>
    <t>34-6001377</t>
  </si>
  <si>
    <t>(440) 442-7405</t>
  </si>
  <si>
    <t>hhpolice@neohio.twcbc.com</t>
  </si>
  <si>
    <t>2011DUP18-2095</t>
  </si>
  <si>
    <t>The D.A.R.E. program taught at Millridge Elementary follows the same guidelines as in the past.  The program for 5th grade uses the D.A.R.E. 10 week curriculum with added lessons on "Bullying Prevention" and "R/X and Prescription Drug". The students are provided with D.A.R.E. workbooks, rulers, pens and pencils.  The total program covers 16 weeks and includes a graduation ceremony where the best D.A.R.E. essay is read to the audience.  This year Millridge will have graduated 141 5th graders.  They are  recognized with certificates of achievement for their efforts.  In addition to the 5th grade curriculum, the D.A.R.E. K thru 4 curriculum is taught to another 400 students.  This runs consecutively with the 16 weeks.  The D.A.R.E. Internet Safety Curriculum is also taught to 3rd and 4th graders.  For this class we use the Internet Safety Curriculum as well as video presentations from www.netsmartz.org.  The Highland Heights D.A.R.E. Program has been in place since 1991.</t>
  </si>
  <si>
    <t>R/X and Prescription Drug class is alos taught. The D.A.R.E. Officer also speaks to other parent groups regarding Internet Safety Bullying and Drug and Alcohol Abuse.</t>
  </si>
  <si>
    <t>541</t>
  </si>
  <si>
    <t>Patrick J. Hopkins</t>
  </si>
  <si>
    <t>7,242.00</t>
  </si>
  <si>
    <t>3,621.28</t>
  </si>
  <si>
    <t>$ 3,621.28</t>
  </si>
  <si>
    <t>Columbiana Police Department</t>
  </si>
  <si>
    <t>28 S. Vine St.</t>
  </si>
  <si>
    <t>Columbiana</t>
  </si>
  <si>
    <t>44408</t>
  </si>
  <si>
    <t>(330) 482-9292</t>
  </si>
  <si>
    <t>(330) 482-6203</t>
  </si>
  <si>
    <t>346000744</t>
  </si>
  <si>
    <t>Timothy Gladis</t>
  </si>
  <si>
    <t>chief@columbianapd.org</t>
  </si>
  <si>
    <t>Michael Harold</t>
  </si>
  <si>
    <t>(330) 482-2173</t>
  </si>
  <si>
    <t>colfin@cityofcolumbiana.org</t>
  </si>
  <si>
    <t>Wade Boley</t>
  </si>
  <si>
    <t>202@columbianapd.org</t>
  </si>
  <si>
    <t>2011DUP15-2099</t>
  </si>
  <si>
    <t>FY 2012-2013 Det. Boley will serve as DARE/SRO officer and will provide the following drug use prevention programming;  Det. will conduct elementary D.A.R.E. curriculum to all elementary students during Red Ribbon Week.  At the middle school level Det. Boley will conduct the 10 week D.A.R.E core curriculum as well as four extra weeks of supplemental programing to include bullying prevention and prescription medication curriculum.  At the high school level Det. Boley will conduct a bi-level approach of prevention/education and enforcement/ eradication by way of establishing informational forums for the students during lunch and via the public access cable channel that is produced by students at the public school and eradication strategies by way of the utilization of special drug detecting operations.  Det. Boley also distributes drug prevention material during summer hours by way of personal contact at city parks and other community events.  Det. Boley is also assigned to a county wide Alcohol and Drug Abuse prevention team which strategies and conducts a large community event to promote drug/alcohol prevention.</t>
  </si>
  <si>
    <t>Det. Boley will conduct prescription drug abuse prevention in all three schools FY 2012-2013.  In the elementary age appropriate curriculum will be presented during Red Ribbon Week.  In the middle school D.A.R.E OTC/Rx drug abuse programming has already been implemented into the program FY 2011-2012 and will be continued FY 2012-2013.  At the high School level two training seminars will be conducted; a teacher in-service for identifying and educating prescription drug abuse specifically for teachers and a district wide forum whereby parents and educators will be presented with OTC/Rx drug abuse prevention education and material.</t>
  </si>
  <si>
    <t>10562.24</t>
  </si>
  <si>
    <t>5281.12</t>
  </si>
  <si>
    <t>Brooklyn City Police Department</t>
  </si>
  <si>
    <t>7619 Memphis Avenue</t>
  </si>
  <si>
    <t>Brooklyn</t>
  </si>
  <si>
    <t>44144</t>
  </si>
  <si>
    <t>(216) 749-1234</t>
  </si>
  <si>
    <t>(216) 746-2168</t>
  </si>
  <si>
    <t>346000347</t>
  </si>
  <si>
    <t>Scott Mielke</t>
  </si>
  <si>
    <t>(216) 635-4243</t>
  </si>
  <si>
    <t>smielke@brooklynohio.gov</t>
  </si>
  <si>
    <t>Jennifer Esarey</t>
  </si>
  <si>
    <t>(216) 351-2133</t>
  </si>
  <si>
    <t>jesarey@brooklynohio.gov</t>
  </si>
  <si>
    <t>Cindy Eschweiler</t>
  </si>
  <si>
    <t>(216) 635-4242</t>
  </si>
  <si>
    <t>ceschweiler@brooklynohio.gov</t>
  </si>
  <si>
    <t>18-2140</t>
  </si>
  <si>
    <t>Officers will present the standard 10-week D.A.R.E. curriculum in a classroom setting. Two additional lessons will be presented on current drug trends. The program will be presented at the Elementary and Middle School level in the traditional classroom format. High School students will be addressed in assembly, small groups, and on an individual basis as determined by school staff. Students will be taught skills to resist drug, tobacco, and alcohol use. They will be taught how drugs and alcohol influences decision making and the precipitating effect its use has on incidences of violence.</t>
  </si>
  <si>
    <t>Officers will utilize the D.A.R.E. supplemental lesson on over the counter and prescription medication. The students will be instructed on the appropriateness of prescribed medications and the health risks associated with their use and abuse. Students will complete in class assignments designed to reinforce the lesson and participate in small and large group discussions.</t>
  </si>
  <si>
    <t>Mark Murphey</t>
  </si>
  <si>
    <t>19391.42</t>
  </si>
  <si>
    <t>9695.71</t>
  </si>
  <si>
    <t>22221.26</t>
  </si>
  <si>
    <t>11110.63</t>
  </si>
  <si>
    <t>20806.34</t>
  </si>
  <si>
    <t>202 Fairview Street</t>
  </si>
  <si>
    <t>Sugarcreek</t>
  </si>
  <si>
    <t>44681</t>
  </si>
  <si>
    <t>(330) 852-2212</t>
  </si>
  <si>
    <t>(330) 852-2944</t>
  </si>
  <si>
    <t>34-6002764</t>
  </si>
  <si>
    <t>Kevin N. Kaser</t>
  </si>
  <si>
    <t>kksugarpd@neohio.twcbc.com</t>
  </si>
  <si>
    <t>Becky Crilow</t>
  </si>
  <si>
    <t>Mark E. Nathan</t>
  </si>
  <si>
    <t>mnsugarpd@neohio.twcbc.com</t>
  </si>
  <si>
    <t>2011DUP79-2192</t>
  </si>
  <si>
    <t>Dear Sir or Madam:
 I am Staff Sergeant Mark E. Nathan. Each year we have received this terrific grant, it has enabled this department, specifically this officer, to provide guidance and valuable information to our future; The children of Garaway School District. Each day I am able to interact with the children to provide open lines of communication as well as teaching drug educational programs as in Operation street smart, Red Ribbon week, Teen rodeo driving, The truth about drugs, Peer pressure and Bullying as it leads to unsafe and drug enviornments to name a few. I have been able to contuct weekly drug education meetings from individuals to small groups, which provides terrific direct contact. With this grant I have also been able to keep our entire department engaged in school activity with an extra presence during lunch periods and the prom. From the first day where I contuct drug education assembly to all high school students to drug dog sweeps, this department is committed to reduce and or eliminate drug use and abuse in the Garaway School District. Thank you  for the State of Ohio commitment to the children of this community.</t>
  </si>
  <si>
    <t>As discussed above, part of the drug education has been understanding what prescription drugs are and the potential of abuse. I have conducted several education sessions with the 2nd, 3rd, 5th and 6th, 10th through 12th  grades so they may have an understanding of what presciption drugs are about. I have also discussed the potential to use and abuse these type of drugs to the listed groups. Some of our  discussions have been from abusing presciptive medications, including cough syrup. There was also a open discussion on abusing medication that is provided for animals in the home, which proved very valuable. Part of the education will be having the children of Garaway understand the broad range of presciption medications as provided in the street smart programs and through the programs of OPOTA and the State of Ohio. These programs will continue as well as adding educators from the local ER Hospital to provide a closer and more direct insight on the effects of Presciption drug abuse and use.</t>
  </si>
  <si>
    <t>$ 20180.16</t>
  </si>
  <si>
    <t>$ 10.090.08</t>
  </si>
  <si>
    <t>$10,090.08</t>
  </si>
  <si>
    <t>10150 Montgomery Rd.</t>
  </si>
  <si>
    <t>Montgomery</t>
  </si>
  <si>
    <t>(513) 985-1600</t>
  </si>
  <si>
    <t>(513) 985-0870</t>
  </si>
  <si>
    <t>31-6001072</t>
  </si>
  <si>
    <t>(513) 985-1602</t>
  </si>
  <si>
    <t>dsimpson@ci.montgomery.oh.us</t>
  </si>
  <si>
    <t>Jim Hanson</t>
  </si>
  <si>
    <t>(513) 891-2424</t>
  </si>
  <si>
    <t>jhanson@ci.montgomery.oh.us</t>
  </si>
  <si>
    <t>Jerry Beitman</t>
  </si>
  <si>
    <t>(513) 985-1609</t>
  </si>
  <si>
    <t>gbeitman@ci.montgomery.oh.us</t>
  </si>
  <si>
    <t>2011DUP-2237</t>
  </si>
  <si>
    <t>The Montgomery Police Department is committed to the youth of our community and the prevention of drug usage.  To that end, the department employs one fulltime Drug Abuse Resistance Education (D.A.R.E.) officer and a fulltime School Resource Officer (S.R.O.) to work within the Sycamore Community School District.  Both of these officers have the experience, qualifications and energy to be successful in these assignments.  
During the 2012 – 2013 school year, D.A.R.E. officer, Pat Giblin, will teach drug use prevention to five assemblies sixth grade students at the Edwin H. Greene Intermediate School.  Officer Giblin will conduct D.A.R.E. visitations with the kindergarten, first grade, second grade and fourth grade students at Montgomery Elementary School.  He also will teach drug use prevention to seventh grade students at Sycamore Junior High School.  Officer Giblin will reach over a thousand students through these interactions.  
S.R.O. Paul Payne will utilize a drug use prevention curriculum that has been approved by the Ohio School Resource Officer’s Association to instruct students at the Sycamore High School.  Officer Payne will commit at least five percent of his time to this endeavor.  At this time it is unknown how many students Officer Payne will impact.  During the 2011 – 2012 school year, Officer Payne reached out to approximately 175 students through drug use prevention classroom instruction.</t>
  </si>
  <si>
    <t>D.A.R.E. Officer Pat Giblin is certified to teach the "D.A.R.E OTC/Rx Drug Abuse Program.  He will instruct approximately 200 sixth grade students at the Edwin H. Greene School.</t>
  </si>
  <si>
    <t>Pat Giblin</t>
  </si>
  <si>
    <t>17721</t>
  </si>
  <si>
    <t>8860</t>
  </si>
  <si>
    <t>Paul Payne</t>
  </si>
  <si>
    <t>177</t>
  </si>
  <si>
    <t>9037</t>
  </si>
  <si>
    <t>Van Wert Police Department</t>
  </si>
  <si>
    <t>515 E. Main St., PO Box 467</t>
  </si>
  <si>
    <t>Van Wert</t>
  </si>
  <si>
    <t>(419) 238-2462</t>
  </si>
  <si>
    <t>(419) 238-2860</t>
  </si>
  <si>
    <t>34-6401506</t>
  </si>
  <si>
    <t>Joel W. Hammond</t>
  </si>
  <si>
    <t>(419) 238-1993</t>
  </si>
  <si>
    <t>jhammond@vanwert.org</t>
  </si>
  <si>
    <t>Martha Balyeat</t>
  </si>
  <si>
    <t>(419) 238-6976</t>
  </si>
  <si>
    <t>mbalyeat@vanwert.org</t>
  </si>
  <si>
    <t>Greg Blackmore</t>
  </si>
  <si>
    <t>gblackmore@vanwert.org</t>
  </si>
  <si>
    <t>2011DUP81-2273</t>
  </si>
  <si>
    <t>Officer Greg Blackmore will be instructing the 5th grade DARE Curriculum to approximately 150 grade students at Goedde Elementary School in Van Wert Ohio.
Officer Blackmore will also be instructing the 7th grade DARE Keeping It REAL Curriculum to approximately 150 7th grade students at Van Wert Middle School.
Also Officer Blackmore does drug prevention talks with children and parents at the DARE Camps and other DARE events that he does for the kids throughout the year.</t>
  </si>
  <si>
    <t>Officer Greg Blackmore will be incorporating the DARE RX Over The Counter program at Goedde Elementary School in Van Wert Ohio for approximately 15o 5th grade students and also at the Van Wert Middle School for approximately 150 7th grade students. Officer Blackmore will also be adding the RX OTC Program at his Parent Awareness classes that he holds several times through out the year.</t>
  </si>
  <si>
    <t>Gregory S. Blackmore</t>
  </si>
  <si>
    <t>11500.00</t>
  </si>
  <si>
    <t>5750.00</t>
  </si>
  <si>
    <t>Maple Heights Police Department</t>
  </si>
  <si>
    <t>5373 Lee Rd.</t>
  </si>
  <si>
    <t>Maple Heights</t>
  </si>
  <si>
    <t>44137</t>
  </si>
  <si>
    <t>(216) 662-5884</t>
  </si>
  <si>
    <t>(216) 662-5883</t>
  </si>
  <si>
    <t>34-6001809</t>
  </si>
  <si>
    <t>Richard Maracz</t>
  </si>
  <si>
    <t>(216) 587-9610</t>
  </si>
  <si>
    <t>MaraczR142@mhpd-ohio.com</t>
  </si>
  <si>
    <t>Eric Dean</t>
  </si>
  <si>
    <t>(216) 587-9018</t>
  </si>
  <si>
    <t>edean@mapleheightsohio.com</t>
  </si>
  <si>
    <t>James Kracker</t>
  </si>
  <si>
    <t>(216) 587-9644</t>
  </si>
  <si>
    <t>KrackerJ159@mhpd-ohio.com</t>
  </si>
  <si>
    <t>2010DUP18-2117</t>
  </si>
  <si>
    <t>Officer Christopher Swope instructs the Drug Abuse Resistance Education (D.A.R.E.) program to fifth graders at Barack Obama Elementary School of the Maple Heights City school district. The 2012 – 2013 school year will be his fifth tour as a D.A.R.E. Instructor. Besides instructing the fifth graders in the ten week D.A.R.E. program, the remainder of the elementary level students in Maple Heights receive instruction by Officer Swope in various subjects including, but not limited to: how to resist drugs. The Ohio Drug Use Prevention Grant has been helpful in ensuring that both of these important programs are delivered each school year.</t>
  </si>
  <si>
    <t>Officer Christopher Swope will again instruct Elementary and Middle School students in the Maple Heights City school district with the O.T.C. / Rx Drug Abuse Program, using materials and lessons plans from the State Attorney General’s Office. This material and lessons were found to be highly relevant as there have been increasing reports of misuse of prescription drugs by students resulting in injuries to themselves. It is important to make them aware of the seriousness of misuse and abuse and to prevent harm.</t>
  </si>
  <si>
    <t>Christopher Swope</t>
  </si>
  <si>
    <t>30,947.39</t>
  </si>
  <si>
    <t>15,473.69</t>
  </si>
  <si>
    <t>44321</t>
  </si>
  <si>
    <t>(330) 666-4218</t>
  </si>
  <si>
    <t>(330) 666-0783</t>
  </si>
  <si>
    <t>34-6000779</t>
  </si>
  <si>
    <t>mmier@copley.oh.us</t>
  </si>
  <si>
    <t>(330) 666-1853</t>
  </si>
  <si>
    <t>jmarshall@copley.oh.us</t>
  </si>
  <si>
    <t>dscott@copley.oh.us</t>
  </si>
  <si>
    <t>2011DUP77-2201</t>
  </si>
  <si>
    <t>D.A.R.E. OFFICERS WILL BE TEACHING D.A.R.E. PROGRAM FOR 5 WEEK PERIOD TO 1ST AND 3RD GRADES IN BOTH ELEM. SCHOOLS WE WILL BE TEACHING THE KEEPIN IT REAL D.A.R.E. PROGRAM FOR A TEN WEEK PERIOD FOR BOTH THE MIDDLE SCHOOL 6TH GRADES AND THE MIDDLE SCHOOL 8TH GRADES.THE LESSONS ON BULLYING AND PRESCRIPTION DRUGS WILL BE INCLUDED IN THE 10 WEEK CURRICULUM.WE WILL THEN FINISH THE D.A.R.E. PROGRAM WITH A 6TH GRADE D.A.R.E DAY/GRADUATION.</t>
  </si>
  <si>
    <t>D.A.R.E OFFICERS WILL BE INTRODUCING THE D.A.R.E. OTC/RX DRUG ABUSE PROGRAM USING THE D.A.R.E. MATERIALS AVAILABLE TO OUR 6TH AND 8TH GRADES IN THE MIDDLE SCHOOL.</t>
  </si>
  <si>
    <t>9580.50</t>
  </si>
  <si>
    <t>4790.25</t>
  </si>
  <si>
    <t>3193.50</t>
  </si>
  <si>
    <t>1596.75</t>
  </si>
  <si>
    <t>6387.00</t>
  </si>
  <si>
    <t>Warren Police Department</t>
  </si>
  <si>
    <t>Warren</t>
  </si>
  <si>
    <t>44483</t>
  </si>
  <si>
    <t>(330) 841-2537</t>
  </si>
  <si>
    <t>(330) 841-2532</t>
  </si>
  <si>
    <t>34-6002974</t>
  </si>
  <si>
    <t>Timothy A. Bowers</t>
  </si>
  <si>
    <t>(330) 841-2535</t>
  </si>
  <si>
    <t>tbowers@warren.org</t>
  </si>
  <si>
    <t>David Griffing</t>
  </si>
  <si>
    <t>(330) 841-2577</t>
  </si>
  <si>
    <t>dgriffing@warren.org</t>
  </si>
  <si>
    <t>Joseph R. Marhulik</t>
  </si>
  <si>
    <t>jmarhulik@warren.org</t>
  </si>
  <si>
    <t>2010DUP78-2156</t>
  </si>
  <si>
    <t>Drug use among students is a serious problem. The Warren Police Department in conjunction with the Warren Police School Resource Officers will coordinate with the Warren City Schools Associate Superintendent and the Supervisor of Community Outreach and Grant Development. The program will focus on prevention, early awareness and intervention. The activities will include drug prevention and awareness presentations to classes and target groups.</t>
  </si>
  <si>
    <t>Timothy A. Brown</t>
  </si>
  <si>
    <t>16,950</t>
  </si>
  <si>
    <t>$8,475</t>
  </si>
  <si>
    <t>Frank Tempesta</t>
  </si>
  <si>
    <t>22,600</t>
  </si>
  <si>
    <t>$11,300</t>
  </si>
  <si>
    <t>$19,775</t>
  </si>
  <si>
    <t>Lorain County Sheriff's Office</t>
  </si>
  <si>
    <t>9896 Murray Ridge Road</t>
  </si>
  <si>
    <t>Elyria</t>
  </si>
  <si>
    <t>44035</t>
  </si>
  <si>
    <t>(440) 329-3702</t>
  </si>
  <si>
    <t>(440) 329-3792</t>
  </si>
  <si>
    <t>34-6001704</t>
  </si>
  <si>
    <t>Phil R. Stammitti</t>
  </si>
  <si>
    <t>(440) 329-3701</t>
  </si>
  <si>
    <t>prs@loraincountysheriff.com</t>
  </si>
  <si>
    <t>Vicki Kosco</t>
  </si>
  <si>
    <t>(440) 329-3714</t>
  </si>
  <si>
    <t>koscov@loraincountysheriff.com</t>
  </si>
  <si>
    <t>Joseph Greiner</t>
  </si>
  <si>
    <t>(440) 329-3800</t>
  </si>
  <si>
    <t>jgreiner@loraincountysheriff.com</t>
  </si>
  <si>
    <t>2010DUP47-1047</t>
  </si>
  <si>
    <t>The Lorain County Sheriff's Office D.A.R.E. Program consists of one full-time Deputy.  The program is taught to 5th grade students.  Ten academic lessons cover the effects of alcohol, tobacco and drugs.  The program also covers friendship foundation, peer pressure, bullying, ways to be in charge, and making healthy choices.  Middle school and high school lessons are taught using the D.A.R.E. America and Keeping It Real format.  Lessons include the provided curriculum as well as bullying, peer pressure, internet, social media and texting safety and prescription drug abuse.  Our D.A.R.E. program is administered by a certified S.R.O./D.A.R.E. Officer.</t>
  </si>
  <si>
    <t>The Lorain County Sheriff's D.A.R.E. Officer will teach the D.A.R.E. OTC/RX Drug Abuse Program during the 2012/2013 School Year.</t>
  </si>
  <si>
    <t>47,134.88</t>
  </si>
  <si>
    <t>23,567.44</t>
  </si>
  <si>
    <t>203 North Market St.</t>
  </si>
  <si>
    <t>Lisbon</t>
  </si>
  <si>
    <t>44432</t>
  </si>
  <si>
    <t>(330) 424-7810</t>
  </si>
  <si>
    <t>(330) 424-7209</t>
  </si>
  <si>
    <t>34-6001685</t>
  </si>
  <si>
    <t>John Higgins</t>
  </si>
  <si>
    <t>Tracey Wonner</t>
  </si>
  <si>
    <t>(330) 424-5503</t>
  </si>
  <si>
    <t>clerk@lisbonvillage.com</t>
  </si>
  <si>
    <t>Sharmian Daub</t>
  </si>
  <si>
    <t>shardaub@yahoo.com</t>
  </si>
  <si>
    <t>2011DUP15-2111</t>
  </si>
  <si>
    <t>Ptl. Sharmian Daub will teach DARE in the Lisbon School District.  She will teach the new Keepin' it Real (kir) Elementary curriculum to the 5th graders.  Also, the standard DARE curriculum will be taught in grades K-4th.  Keepin' It Real will be taught to the 7th graders and the standard high school curriculum will be taught in 8th grade.  Sgt. John Hancock will teach the new Keepin' it Real (kir)Elementary curriculum to the 5th graders in the Leetonia School District.</t>
  </si>
  <si>
    <t>Ptl. Sharmian Daub will teach the DARE OTC/Rx Drug Abuse Program to the 8th grade students and the 5th grade students at the Lisbon School District.  Sgt. John Hancock will also teach the DARE OTC/Rx Drug Abuse Program the the 5th graders at the Leetonia School District.</t>
  </si>
  <si>
    <t>$7468.00</t>
  </si>
  <si>
    <t>$3734.00</t>
  </si>
  <si>
    <t>John Hancock</t>
  </si>
  <si>
    <t>$1487.00</t>
  </si>
  <si>
    <t>$743.50</t>
  </si>
  <si>
    <t>$4477.50</t>
  </si>
  <si>
    <t>27243 Lorain Rd.</t>
  </si>
  <si>
    <t>44070</t>
  </si>
  <si>
    <t>(440) 777-3535</t>
  </si>
  <si>
    <t>(440) 777-9189</t>
  </si>
  <si>
    <t>34-6002048</t>
  </si>
  <si>
    <t>Jamie Gallagher</t>
  </si>
  <si>
    <t>gallagherj@north-olmsted.com</t>
  </si>
  <si>
    <t>Carrie Copfer</t>
  </si>
  <si>
    <t>(444) 777-8000</t>
  </si>
  <si>
    <t>copferc@north-olmsted.com</t>
  </si>
  <si>
    <t>James Carbone</t>
  </si>
  <si>
    <t>waddells@north-olmsted.com</t>
  </si>
  <si>
    <t>2011DUP18-2131</t>
  </si>
  <si>
    <t>James Carbone is a full time School Resource Officer in multiple North Olmsted Public schools. In addition to teaching 16 Health Classes, 16 Government Classes and counseling drug and alcohol related at risk students, he will continue providing safe alternatives and prevention messages to alcohol and drug use by using RED Ribbon Week, SADD, Mocktail Parties and Tailgate Parties before home football games. He provides Homecoming Week Activities that show safe and fun alternatives to not using drugs and alcohol.  He will continue his involvement with After Prom and providing a drug and alcohol free place to go after prom.</t>
  </si>
  <si>
    <t>James Carbone is a participant with the Westshore Youth Leaders. Meetings are held with middle and high school students concerning addiction problems with prescription medications and possible solutions.  Leadership training is provided to the students to help deliver the message of addiction to prescription medication. Westshore Leaders in conjunction with the SRO and School administrators will conduct informational meetings with parents and students regarding abuse of prescription medication. Parents will be introduced to the North Olmsted Police permanent prescription drop-off program initiated in March 2012 to help safely dispose of unused prescription medications and reduce student’s exposure to prescriptions.</t>
  </si>
  <si>
    <t>James Carbone</t>
  </si>
  <si>
    <t>46098</t>
  </si>
  <si>
    <t>23049</t>
  </si>
  <si>
    <t>$23,049</t>
  </si>
  <si>
    <t>(440) 951-1400</t>
  </si>
  <si>
    <t>(440) 951-7781</t>
  </si>
  <si>
    <t>34-6000897</t>
  </si>
  <si>
    <t>lreik@eastlakepd.org</t>
  </si>
  <si>
    <t>(440) 951-1416</t>
  </si>
  <si>
    <t>MSLOCUM@EASTLAKEOH.COM</t>
  </si>
  <si>
    <t>rtanner@eastlakepd.org</t>
  </si>
  <si>
    <t>2011DUP43-2170</t>
  </si>
  <si>
    <t>The Eastlake Police Department conducts the D.A.R.E. Program at 3 Elementary and 1 Middle Schools. We have three(3) certified officers that instruct the program in addition to their primary duties. We also instruct the G.R.E.A.T. Program at the same schools. The G.R.E.A.T. Program is a violence/drug/ gang prevention program that covers and reinforces the principals that are instructed in the D.A.R.E.Program. We instruct these programs to approximately 500 students per year.
  The Department also presents several prevention programs at the high school. These include alcohol/drug awareness, such as prom Promise, Mock Crash. This year we will be adding the OTC/RX program.
  We conduct a multi facited approach to educating the youth of our community to the dangers and hazards of drugs, violence, and other issues that occure in our area. We stay current in the latest and best methods to instruct our programs. We accomplish this by attending training including the annual D.A.R.E. Re-Trainer.</t>
  </si>
  <si>
    <t>The Eastlake Police Department like numerous other agencies have seen a drastic increase in the number of cases involving the abuse of the over the counter medication and perscription drugs.
  Our Department is addressing this issue by utilizing an approach that includes strong enforcement and education that deals with this issue. We will utilize the D.A.R.E. ORC/RX Program at all levels as the eduction portion.
  We currently have one(1) Officer certified inthe program. The other two(2) officers will attempted to be trained this year. 
  The program will be presented at all levels (Elementary, Middle, High) schools. We also plan on reinforcing the information given to the students by hosting the adult portion of the program at PTO/PTA meetings thru out the city. We are currently looking into presenting the program to various groups within the city such as blockwatch, PAL, Civic organizations. 
  We also currently employ a program in conjunction with numerous other agencies in Lake County that places disposal containers in the lobby of the agency. This gives the residents a proper place to dispose of their old medications and prescription medications. 
  These steps and working together hopefully will reduce the number of incidents involving the abuse of over the counter/prescription medications</t>
  </si>
  <si>
    <t>8,596.79</t>
  </si>
  <si>
    <t>4,298.37</t>
  </si>
  <si>
    <t>8,587.90</t>
  </si>
  <si>
    <t>4,293.95</t>
  </si>
  <si>
    <t>8,498.67</t>
  </si>
  <si>
    <t>4,249.34</t>
  </si>
  <si>
    <t>12,841.66</t>
  </si>
  <si>
    <t>Doylestown Police Department</t>
  </si>
  <si>
    <t>20 S. Portage St.</t>
  </si>
  <si>
    <t>Doylestown</t>
  </si>
  <si>
    <t>44230</t>
  </si>
  <si>
    <t>(330) 658-6582</t>
  </si>
  <si>
    <t>(330) 658-6586</t>
  </si>
  <si>
    <t>34-6000873</t>
  </si>
  <si>
    <t>Brian J. Dressler</t>
  </si>
  <si>
    <t>chief@doylestown.com</t>
  </si>
  <si>
    <t>Ann Youngblood</t>
  </si>
  <si>
    <t>(330) 658-2181</t>
  </si>
  <si>
    <t>ann@doylestown.com</t>
  </si>
  <si>
    <t>Shannon Gerber</t>
  </si>
  <si>
    <t>officergerber@doylestown.com</t>
  </si>
  <si>
    <t>2011DUP85-2112</t>
  </si>
  <si>
    <t>Officer Shannon Gerber has been instructing the D.A.R.E. program throughout our school year, and has been serving as our School Resource Officer. Thus far Officer Gerber has handled 161 incidents occurring within our School buildings, and has taught 209 D.A.R.E. lessons. Officer Gerber has completed the D.A.R.E. “Be Safe with Over the Counter and Prescription Medicines” to our 5th and 7th Grade students. Officer Gerber’s primary responsibilities include; educating our youth on the dangers of  drinking and driving, drug and alcohol abstinence programs, mentoring our youth to live above the influence, provide one-on-one counseling, and act as a liaison from our Schools to our Police Department. In the summer months Officer Gerber will serve on our local Care Coalition, instruct at Safety Town and develop youth outreach programs for the community.</t>
  </si>
  <si>
    <t>Officer Gerber has completed the D.A.R.E. “Be safe with over the counter and prescription medicines” to our 7th and 5th Grade students. Officer Gerber has also taught our teachers and staff at the High School and Middle School on “Current Drug Trends” including Over-the-counter and Prescription Medications. Officer Gerber will continue teaching our youth, teachers, and community on the dangers of OTC and Rx abuse.</t>
  </si>
  <si>
    <t>34,171.28</t>
  </si>
  <si>
    <t>17,085.64</t>
  </si>
  <si>
    <t>$17,085.64</t>
  </si>
  <si>
    <t>44505</t>
  </si>
  <si>
    <t>(330) 759-1315</t>
  </si>
  <si>
    <t>(330) 759-8477</t>
  </si>
  <si>
    <t>34-6001676</t>
  </si>
  <si>
    <t>RTISONE@LIBERTYTWP.COM</t>
  </si>
  <si>
    <t>TMELORO@LIBERTYTWP.COM</t>
  </si>
  <si>
    <t>MSHUSTER@LIBERTYTWP.COM</t>
  </si>
  <si>
    <t>2010DUP7802152</t>
  </si>
  <si>
    <t>OFFICER SHUSTER WILL BE INSTRUCTING THE STANDARD 10-WEEK D.A.R.E. CURRICULUM TO THE FIFTH GRADERS OF W.S. GUY MIDDLE SCHOOL.  THIS WILL COVER DRUG ABUSE EDUCATION, PROBLEM SOLVING SKILLS, AND BULLYING AND INTERNET SAFETY.</t>
  </si>
  <si>
    <t>IF FUNDING IS AWARDED, OFFICER SHUSTER WILL INSTRUCT STUDENTS OF LIBERTY LOCAL SCHOOLS ON OVER THE COUNTER AND PRESCRIPTION DRUG ABUSE PREVENTION.</t>
  </si>
  <si>
    <t>468</t>
  </si>
  <si>
    <t>$13,750</t>
  </si>
  <si>
    <t>$6,875</t>
  </si>
  <si>
    <t>Summit County Sheriff's Office</t>
  </si>
  <si>
    <t>53 University Ave.</t>
  </si>
  <si>
    <t>Akron</t>
  </si>
  <si>
    <t>44308</t>
  </si>
  <si>
    <t>(330) 643-2150</t>
  </si>
  <si>
    <t>(330) 434-2701</t>
  </si>
  <si>
    <t>346002767</t>
  </si>
  <si>
    <t>Drew Alexander</t>
  </si>
  <si>
    <t>(330) 643-2111</t>
  </si>
  <si>
    <t>dalexander@sheriff.summitoh.net</t>
  </si>
  <si>
    <t>Pamela Murray</t>
  </si>
  <si>
    <t>pmurray@sheriff.summitoh.net</t>
  </si>
  <si>
    <t>Mike Walsh</t>
  </si>
  <si>
    <t>(330) 643-2147</t>
  </si>
  <si>
    <t>mwalsh@sheriff.summitoh.net</t>
  </si>
  <si>
    <t>2011DUP77-1077</t>
  </si>
  <si>
    <t>Currently the SCSO has three officers teaching the D.A.R.E.Curriculum full time, and up to three additional officers assigned part time.  We choose to use the D.A.R.E. Program as its main drug prevention curriculum.  D.A.R.E. is the nation's largest drug prevention program and the primary focus of the 5th grade curriculum is to develop the capacities needed to enable students to take charge of thier lives with particular emphasis on substance use and abuse.  Students will understand the many consequences of using alcohol, tobacco, and marijuana.  Students will also learn about the risks involved in the misuse and abuse of Rx and OTC medication.  Through the development and use of communication and resistance skill, students will learn to make positive, quality of life decisions about substance use and the other harmful behaviors.  In addition the 5th grade D.A.R.E. curriculum, the Summit County Sheriff's Office delivers the 8th grade D.A.R.E. Middle School curriculum.  8th grade students will examine and understand the dangers involved with Rx and OTC drugs.  In addition, topics include internet safety, methamphetamine and synthetic drug awarness, and violence identification and discussion.</t>
  </si>
  <si>
    <t>The Summit County Sheriff's Office currently uses the D.A.R.E. 5th and 8th grade Rx and OTC curriculum with students in Summit County.  Students learn about the safe use of prescription (Rx) and over the counter (OTC) medicines.  Students will learn to read and understand Rx and OTC drug facts labels and recognize potential dangers involved in the misuse and abuse of these medicines.  Through classroom involment and communication with the officers, students will be able to develop the skills necessary to know and understand the potential dangers involved wirh Rx and OTC medications.</t>
  </si>
  <si>
    <t>Leigh Burdette</t>
  </si>
  <si>
    <t>37,222.48</t>
  </si>
  <si>
    <t>18,611.24</t>
  </si>
  <si>
    <t>Dave Andrews</t>
  </si>
  <si>
    <t>Mike Beers</t>
  </si>
  <si>
    <t>Mark Carroll</t>
  </si>
  <si>
    <t>21,578.66</t>
  </si>
  <si>
    <t>10,789.33</t>
  </si>
  <si>
    <t>Kelly Kuhn</t>
  </si>
  <si>
    <t>12,515.90</t>
  </si>
  <si>
    <t>6,257.95</t>
  </si>
  <si>
    <t>83,670.33</t>
  </si>
  <si>
    <t>28000 Wolf Rd.</t>
  </si>
  <si>
    <t>44140</t>
  </si>
  <si>
    <t>(440) 899-3463</t>
  </si>
  <si>
    <t>(440) 899-3478</t>
  </si>
  <si>
    <t>34-6000207</t>
  </si>
  <si>
    <t>David Wright</t>
  </si>
  <si>
    <t>(440) 899-3461</t>
  </si>
  <si>
    <t>dwright@cityofbayvillage.com</t>
  </si>
  <si>
    <t>Steve Presley</t>
  </si>
  <si>
    <t>(440) 899-3432</t>
  </si>
  <si>
    <t>spresley@cityofbayvillage.com</t>
  </si>
  <si>
    <t>Darren Ingham</t>
  </si>
  <si>
    <t>dingham@cityofbayvillage.com</t>
  </si>
  <si>
    <t>2010DUP18-2161</t>
  </si>
  <si>
    <t>The standard D.A.R.E. program is taught in the Bay Village School District.  This includes the 10 week Elementary curriculum which is taught in the 5th grade.  The 10 week Middle School program is taught in the 7th grade.  These programs reach over 450 students in our district.  The D.A.R.E. curriculum is taught to kindergarteners, 2nd graders and 4th graders in the Bay Village School District.  In addition to the D.A.R.E. program, there is a great deal of officer/student interaction during school, primarily during the lunch periods.  The Bay Village D.A.R.E. program reaches students from pre-kindergarten through High School.</t>
  </si>
  <si>
    <t>The standard D.A.R.E. OTC/Rx Drug Abuse Program program  will be taught in the Bay Village School District.  This will include the standard Elementary and Middle School OTC/Rx Drug Abuse program curriculum which will be taught in the 5th and 8th grade.  This program reach over 900 students in our district.</t>
  </si>
  <si>
    <t>62065</t>
  </si>
  <si>
    <t>31032</t>
  </si>
  <si>
    <t>11 N. College St.</t>
  </si>
  <si>
    <t>(740) 592-3315</t>
  </si>
  <si>
    <t>(740) 593-3358</t>
  </si>
  <si>
    <t>31-6400218</t>
  </si>
  <si>
    <t>Thomas Pyle</t>
  </si>
  <si>
    <t>tpyle@ci.athens.oh.us</t>
  </si>
  <si>
    <t>Kathleen Hecht</t>
  </si>
  <si>
    <t>(740) 592-3336</t>
  </si>
  <si>
    <t>khecht@ci.athens.oh.us</t>
  </si>
  <si>
    <t>Richard Crossen</t>
  </si>
  <si>
    <t>recrossen@ci.athens.oh.us</t>
  </si>
  <si>
    <t>2011DUP05-2178</t>
  </si>
  <si>
    <t>The Athens Police Department will be utilizing the grant to help fund the D.A.R.E. (Drug Abuse Resistance Education) Officer.  The officer will be in 4 elementary schools and 1 middle school.  The program will teach the core curriculum in the 6th grade and additionally the officer will teach 5 D.A.R.E. lessons in 4th grade and 4 D.A.R.E. lessons in 2nd grade.  Due to time constraints only 5 D.A.R.E. lessons are presented to the 8th graders and 5 lessons on life skills and decision making, etc. will be presented to the 7th graders.</t>
  </si>
  <si>
    <t>The D.A.R.E. Officer presents to the supplemental D.A.R.E. lessons on Prescription (Rx) and Over-The-Counter (OTC) Drug Abuse.  All 5th graders in the 4 elementary schools are given the two lesson presentation.</t>
  </si>
  <si>
    <t>41496</t>
  </si>
  <si>
    <t>20748</t>
  </si>
  <si>
    <t>Canal Fulton</t>
  </si>
  <si>
    <t>44614</t>
  </si>
  <si>
    <t>(330) 854-2926</t>
  </si>
  <si>
    <t>(330) 854-0618</t>
  </si>
  <si>
    <t>34-6000498</t>
  </si>
  <si>
    <t>Doug Swartz</t>
  </si>
  <si>
    <t>dswartz@cityofcanalfulton-oh.gov</t>
  </si>
  <si>
    <t>James Goffe</t>
  </si>
  <si>
    <t>(330) 854-2225</t>
  </si>
  <si>
    <t>jgoffe@cityofcanalfulton-oh.gov</t>
  </si>
  <si>
    <t>Melissa Kosco</t>
  </si>
  <si>
    <t>mkosco@cityofcanalfulton-oh.gov</t>
  </si>
  <si>
    <t>76-2094</t>
  </si>
  <si>
    <t>Officer Kosco - will be teaching 10 week DARE Curriculum - Elementary
Officer Kosco will be teaching multiple drug awareness programs at different schools in this area
Officer Kosco will be teaching 10 week KIR Junior High
Officer Kosco will be teacching DARE OTC/RX Drug Program
Officer Kosco will be teaching a special class on inhalants</t>
  </si>
  <si>
    <t>Officer Kosco will be teaching from DARE and Ohio Crime Prevention several drug abuse prevention programs, including new training and in formation on inhalants and bath salts.</t>
  </si>
  <si>
    <t>$7684.50</t>
  </si>
  <si>
    <t>$3842.25</t>
  </si>
  <si>
    <t>Olmsted Township</t>
  </si>
  <si>
    <t>26900 Cook Road</t>
  </si>
  <si>
    <t>(440) 235-3335</t>
  </si>
  <si>
    <t>(440) 235-2311</t>
  </si>
  <si>
    <t>34-6002098</t>
  </si>
  <si>
    <t>John W. Minek</t>
  </si>
  <si>
    <t>chiefminek@olmstedtownship.org</t>
  </si>
  <si>
    <t>Dan Faust</t>
  </si>
  <si>
    <t>(440) 235-3099</t>
  </si>
  <si>
    <t>Jacqueline Ketterer</t>
  </si>
  <si>
    <t>Patrolwoman</t>
  </si>
  <si>
    <t>ptlketterer@olmstedtownship.org</t>
  </si>
  <si>
    <t>2010DUP039</t>
  </si>
  <si>
    <t>Olmsted Township will provide a full-time School Resource Officer to the Olmsted Falls School District. Most of the school(s) (High School, Early Childhood Center, Middle School) are located in Olmsted Township. The intermediate School is located in Olmsted Falls, and the Township SRO will perform duties at that location also.The SRO will conduct numerous OPOTC Drug Use Prevention Programs and DARE Programs such as; Drug Prevention, Bullying, Sexting, and act as a point of contact/mentor for students. The SRO will serve two (2) communities (Olmsted Township and Olmsted Falls). The Olmsted Falls Police Department will not be able to continue the program for 2012-2013. The Olmsted Township Police Department's Officer, (Ketterer) is a certified DARE/SRO officer. The Olmsted Township Police Department will only be able to dedicate a full-time SRO to the Olmsted Falls School District with the assistance of this grant.</t>
  </si>
  <si>
    <t>$54,608</t>
  </si>
  <si>
    <t>$27,304</t>
  </si>
  <si>
    <t>Hamilton County Sheriff's Office</t>
  </si>
  <si>
    <t>1000 Sycamore St.</t>
  </si>
  <si>
    <t>45202</t>
  </si>
  <si>
    <t>(513) 946-6400</t>
  </si>
  <si>
    <t>(513) 946-6402</t>
  </si>
  <si>
    <t>31-6000063</t>
  </si>
  <si>
    <t>(513) 946-6411</t>
  </si>
  <si>
    <t>Connie Bernard</t>
  </si>
  <si>
    <t>(513) 946-6407</t>
  </si>
  <si>
    <t>Jay Schmitt</t>
  </si>
  <si>
    <t>Corporal</t>
  </si>
  <si>
    <t>(513) 595-7480</t>
  </si>
  <si>
    <t>JSchmitt@sheriff.hamilton-co.org</t>
  </si>
  <si>
    <t>2011DUP31-1031</t>
  </si>
  <si>
    <t>The Hamilton County Sherff's Office has 6 Dare Officer's That are assigned to Different schools across Hamilton County with a total of 11 public schools. The normal Dare curriculum is being taught by all the officer's and some modifications for 1 school. The Dare Officer are as listed  1.Cpl. Jay Schmitt 2.CPl Kristie Fritz
3. Sgt Barb Stuckey 4.Lt. Dan Reid 5. P/O Paul Hicks  6.P/O Larry Henderson</t>
  </si>
  <si>
    <t>$3,666.00</t>
  </si>
  <si>
    <t>$1,833.00</t>
  </si>
  <si>
    <t>Barb Stuckey</t>
  </si>
  <si>
    <t>$2,637.00</t>
  </si>
  <si>
    <t>$1,318.00</t>
  </si>
  <si>
    <t>Kristie Fritz</t>
  </si>
  <si>
    <t>$608.00</t>
  </si>
  <si>
    <t>$304.00</t>
  </si>
  <si>
    <t>Paul Hicks</t>
  </si>
  <si>
    <t>$2,855.00</t>
  </si>
  <si>
    <t>$1,427.00</t>
  </si>
  <si>
    <t>Larry Henderson</t>
  </si>
  <si>
    <t>$3,978.00</t>
  </si>
  <si>
    <t>$1,989.00</t>
  </si>
  <si>
    <t>$6,871.00</t>
  </si>
  <si>
    <t>Mason Police Department</t>
  </si>
  <si>
    <t>6000 Mason-Montgomery Road</t>
  </si>
  <si>
    <t>Mason</t>
  </si>
  <si>
    <t>45040</t>
  </si>
  <si>
    <t>(513) 229-8560</t>
  </si>
  <si>
    <t>(513) 229-8561</t>
  </si>
  <si>
    <t>31-6001070</t>
  </si>
  <si>
    <t>Ron Ferrell</t>
  </si>
  <si>
    <t>rferrell@masonoh.org</t>
  </si>
  <si>
    <t>Joe Reigelsperger</t>
  </si>
  <si>
    <t>(513) 229-8500</t>
  </si>
  <si>
    <t>jreigelsperger@masonoh.org</t>
  </si>
  <si>
    <t>Ryan Tanner</t>
  </si>
  <si>
    <t>rtanner@masonoh.org</t>
  </si>
  <si>
    <t>2010DUP83-2274</t>
  </si>
  <si>
    <t>Officer Ryan Tanner will conduct the D.A.R.E. curriculum as well as additional lessons on Rx/OTC, Inhalants and Synthetic Drugs.  It is estimated that 800 students in the Mason City Schools will be a part of this program.</t>
  </si>
  <si>
    <t>I will be presenting the D.A.R.E. supplemental Rx/OTC lesson to each class of D.A.R.E. students.</t>
  </si>
  <si>
    <t>$52,878.93</t>
  </si>
  <si>
    <t>$26,439.47</t>
  </si>
  <si>
    <t>Trotwood</t>
  </si>
  <si>
    <t>45426</t>
  </si>
  <si>
    <t>(937) 837-7771</t>
  </si>
  <si>
    <t>(937) 837-9851</t>
  </si>
  <si>
    <t>31-6001090</t>
  </si>
  <si>
    <t>(937) 854-7202</t>
  </si>
  <si>
    <t>qpope@trotwood.org</t>
  </si>
  <si>
    <t>Pat Shively</t>
  </si>
  <si>
    <t>(937) 854-7208</t>
  </si>
  <si>
    <t>pshively@trotwood.org</t>
  </si>
  <si>
    <t>John Porter</t>
  </si>
  <si>
    <t>(937) 854-7203</t>
  </si>
  <si>
    <t>jporter@trotwood.org</t>
  </si>
  <si>
    <t>The City of Trotwood will be instructing the 10-week D.A.R.E. program and the SRO Drug Use Prevention Program. This will include Red Ribbon Week Events, Prom Promise, and classroom presentations and counseling with students who are at risk of abusing drugs. Additionally, we have developed a summer youth program called “Hope for Teens” for those at-risk teens who need a helping hand to guide them down the right path in life. This program we be effective September 2013-September 2014. The officer who will be heading the D.A.R.E and SRO program will be committed to the City of Trotwood schools full-time. There will be only one officer for this position due to budget and staff constraints. The position has not been posted yet due to determining the funds the department has available to establish the programs back into our schools. But once funding is determined, an officer will be appointed to be the School Resource Officer/D.A.R.E Officer.</t>
  </si>
  <si>
    <t>The City of Trotwood will be sponsoring the “D.A.R.E. OTC/Rx Drug Abuse Program.” Additionally, facts will be shown on the everyday rise of teens abusing prescription drugs, how to drug-proof homes, and how to properly dispose of medications. Once determining the funds available, the position will be posted for officers who are interested in becoming the new SRO and D.A.R.E Officer.</t>
  </si>
  <si>
    <t>21,075.60</t>
  </si>
  <si>
    <t>10,537.80</t>
  </si>
  <si>
    <t>3613 Stetzer Rd.</t>
  </si>
  <si>
    <t>Bucyrus</t>
  </si>
  <si>
    <t>44820</t>
  </si>
  <si>
    <t>Crawford County</t>
  </si>
  <si>
    <t>(419) 562-7906</t>
  </si>
  <si>
    <t>(419) 562-7912</t>
  </si>
  <si>
    <t>34-6400345</t>
  </si>
  <si>
    <t>Ronny J. Shawber</t>
  </si>
  <si>
    <t>rjs1701@crawfordcountysheriffohio.com</t>
  </si>
  <si>
    <t>Alisha Shade</t>
  </si>
  <si>
    <t>ccso1704@crawfordcountysheriffohio.com</t>
  </si>
  <si>
    <t>Chris Martin</t>
  </si>
  <si>
    <t>deputymartinccso@yahoo.com</t>
  </si>
  <si>
    <t>2010DUP17-1017</t>
  </si>
  <si>
    <t>The Crawford Co. Sheriff's Office will be entering it's 22nd year of presenting the D.A.R.E. program to multiple school districts in our county. The program continues to instruct the D.A.R.E. curriculum and supplemental lessons with outstanding support from the schools and communities. The students continue to get excited to recieve the D.A.R.E. program and see a Deputy walk into their School.</t>
  </si>
  <si>
    <t>Deputy Martin instructs the D.A.R.E. curriculum and the OTC/Rx Abuse supplemental lessons to all 6th grade students in the program. The prescription drug abuse awareness is also inserted into the 4th grade program that is instructed in the schools.</t>
  </si>
  <si>
    <t>Christopher S. Martin</t>
  </si>
  <si>
    <t>34,363.80</t>
  </si>
  <si>
    <t>$17,181.90</t>
  </si>
  <si>
    <t>Allen County Sheriff's Office</t>
  </si>
  <si>
    <t>333  N. Main Street</t>
  </si>
  <si>
    <t>Lima</t>
  </si>
  <si>
    <t>(419) 227-3535</t>
  </si>
  <si>
    <t>(419) 227-2004</t>
  </si>
  <si>
    <t>34-6400019</t>
  </si>
  <si>
    <t>Samuel A. Crish</t>
  </si>
  <si>
    <t>(419) 993-1400</t>
  </si>
  <si>
    <t>crish@acso-oh.us</t>
  </si>
  <si>
    <t>Jessica Andrews</t>
  </si>
  <si>
    <t>(419) 223-8570</t>
  </si>
  <si>
    <t>andrews@acso-oh.us</t>
  </si>
  <si>
    <t>Matthew B. Treglia</t>
  </si>
  <si>
    <t>treglia@acso-oh.us</t>
  </si>
  <si>
    <t>2011DUP02-1002</t>
  </si>
  <si>
    <t>In the 2012 - 2013 school year investigators with the ALlen COunty Sheriff's Office will be attending many Allen County Schools in attempt to make students and teachers more informed on illegal narcotics and the health affects that it could have on the body.  Investigators primary focus will be to make grade school thru high school aged kids more aware of the resent drug trends that they will be facing in the attempt to curve peer pressures about using illicit drugs.  The grant will allow us to teach the kids to understand the affects and the danger of using illegal drugs.  In these talks the children and students get to see the actually drugs first hand and effects are explained thru photogrpahs and power point.  Investigators recently attended the School Resourse Officer Traning which will help theme in several situation while speaking with students and teachers on the common drugs used in todays society.</t>
  </si>
  <si>
    <t>Due to the recent influx on the use and abuse of prescription medications.  Investiagtors will be speaking with students in length on how prescription medications are high addictive and are unsafe when not prescribe by a physician.</t>
  </si>
  <si>
    <t>29733.60</t>
  </si>
  <si>
    <t>14866.80</t>
  </si>
  <si>
    <t>22266.40</t>
  </si>
  <si>
    <t>11133.20</t>
  </si>
  <si>
    <t>22110.40</t>
  </si>
  <si>
    <t>11055.20</t>
  </si>
  <si>
    <t>37055.20</t>
  </si>
  <si>
    <t>333 N. Main St.</t>
  </si>
  <si>
    <t>Mike White</t>
  </si>
  <si>
    <t>whitem@acso-oh.us</t>
  </si>
  <si>
    <t>DEPUTY MIKE WHITE WILL TEACH THE STANDARD TEN WEEK DARE CIRRCULUM.  HE WILL CONDUCT OR HELP WITH FOUR DARE SUMMER CAMPS.  HE WILL OFFER CHILD PHOTO / DNA INDENTIFICATION CARDS AS WELL AS CONDUCT DRUG TALKS TO VARIOUS BUSINESS OR ORGANIZATIONS THROUGHOUT THE COMMUNITY.</t>
  </si>
  <si>
    <t>DEPUTY WHITE WILL TEACH THE DARE OT/RX DRUG ABUSE PROGRAM IN SCHOOLS.</t>
  </si>
  <si>
    <t>39686.40</t>
  </si>
  <si>
    <t>19843.20</t>
  </si>
  <si>
    <t>45231</t>
  </si>
  <si>
    <t>(513) 729-1300</t>
  </si>
  <si>
    <t>(513) 729-1278</t>
  </si>
  <si>
    <t>31-6000601</t>
  </si>
  <si>
    <t>David Heimpold</t>
  </si>
  <si>
    <t>dheimpold@springfieldtwp.org</t>
  </si>
  <si>
    <t>Dorothy Carter</t>
  </si>
  <si>
    <t>(513) 522-1410</t>
  </si>
  <si>
    <t>dcarter@springfieldtwp.org</t>
  </si>
  <si>
    <t>Kenneth Klayer</t>
  </si>
  <si>
    <t>kklayer@springfieldtwp.org</t>
  </si>
  <si>
    <t>2010DUP31-2243</t>
  </si>
  <si>
    <t>The DARE program impacts students, school staff, and the community by providing information and decision making skills regarding the use of drugs and their effects.  The decision making skills learned in DARE can be used in many areas of their lives.  Officer Kenneth Klayer presents the core curriculum and “Keeping It Real” program to elementary and middle school students.  SRO’s Kevin Taylor and Adam Roether work at Mt. Healthy School and provide classroom lectures about substance abuse and related topics: date rape, prom promise, etc.  SRO Rami Khayo provides the same services to Finneytown High School and Middle School.</t>
  </si>
  <si>
    <t>DARE RX/OTC Program</t>
  </si>
  <si>
    <t>$35,850</t>
  </si>
  <si>
    <t>$17,925</t>
  </si>
  <si>
    <t>Rami Khayo</t>
  </si>
  <si>
    <t>$10,215</t>
  </si>
  <si>
    <t>$5,108</t>
  </si>
  <si>
    <t>Kevin Taylor</t>
  </si>
  <si>
    <t>Adam Roether</t>
  </si>
  <si>
    <t>$33,249</t>
  </si>
  <si>
    <t>600 Island Rd.</t>
  </si>
  <si>
    <t>Circleville</t>
  </si>
  <si>
    <t>43113</t>
  </si>
  <si>
    <t>Pickaway County</t>
  </si>
  <si>
    <t>(740) 477-6000</t>
  </si>
  <si>
    <t>(740) 474-1798</t>
  </si>
  <si>
    <t>31-1308420</t>
  </si>
  <si>
    <t>dradcliff@peckawaysheriff.com</t>
  </si>
  <si>
    <t>Melissa Tootle</t>
  </si>
  <si>
    <t>mtootle@pickawaysheriff.com</t>
  </si>
  <si>
    <t>Carlos D. Thomas Jr.</t>
  </si>
  <si>
    <t>dthomas@pickawaysheriff.com</t>
  </si>
  <si>
    <t>2010DUP65-1065</t>
  </si>
  <si>
    <t>The Pickaway County Sheriff's Office provides the D.A.R.E. program in both 5th and 7th grades in all four school districts in Pickaway County.  We have a very strong and lasting relationship with the schools in our county. The Sheriff's Office also provides educational programs throughout the summer.</t>
  </si>
  <si>
    <t>The Pickaway County D.A.R.E. program has implemented the new(Be Safe with over-the-counter and prescription medicines) curriculum in both 5th and 7th grades.</t>
  </si>
  <si>
    <t>35,842.56</t>
  </si>
  <si>
    <t>17,921.28</t>
  </si>
  <si>
    <t>Franklin County Sheriff's Office</t>
  </si>
  <si>
    <t>410 South High Street</t>
  </si>
  <si>
    <t>43215</t>
  </si>
  <si>
    <t>(614) 525-6746</t>
  </si>
  <si>
    <t>(614) 525-3560</t>
  </si>
  <si>
    <t>31-6400067</t>
  </si>
  <si>
    <t>Zach Scott</t>
  </si>
  <si>
    <t>(614) 525-4183</t>
  </si>
  <si>
    <t>zxscott@franklincountyohio.gov</t>
  </si>
  <si>
    <t>David Masterson</t>
  </si>
  <si>
    <t>dmmaster@franklincountyohio.gov</t>
  </si>
  <si>
    <t>Charley Brown</t>
  </si>
  <si>
    <t>(614) 525-4507</t>
  </si>
  <si>
    <t>clbrown@franklincountyohio.gov</t>
  </si>
  <si>
    <t>2010DUP25-1025</t>
  </si>
  <si>
    <t>The Franklin County Sheriff’s Office, Community Relations unit, will continue teaching the D.A.R.E. program to public schools pending approval of the 2012-2013 Drug Use Prevention Program Grant.  The Sheriff’s Office will teach the standard elementary school 10-week D.A.R.E. curriculum in the 5th grade, and teach the standard middle school 10-day D.A.R.E. curriculum in the 7th grade.  Personnel will be trained in the new “Keepin’ it Real” curriculum for elementary schools in the summer of 2012.  This will complete the curriculum change for both elementary and middle school programs.  All personnel will also be teaching the “D.A.R.E. OTC/Rx Drug Abuse Program”.  The following eleven (11) deputies will be responsible for instructing the program and are all D.A.R.E. instructor certified in both the 5th and 7th grade curriculums:
Charley Brown
Amy Boesch
Shawn Boyd
Tony Casper
Tony Fabbro
Jessica Gabriel
Sherard Pollard
Jason Ronk
Scott Tipton
Joe Vince
Laura Worthington</t>
  </si>
  <si>
    <t>39,644.80</t>
  </si>
  <si>
    <t>19,822.40</t>
  </si>
  <si>
    <t>Amy Boesch</t>
  </si>
  <si>
    <t>58,190.08</t>
  </si>
  <si>
    <t>29,095.04</t>
  </si>
  <si>
    <t>Shawn Boyd</t>
  </si>
  <si>
    <t>Tony Casper</t>
  </si>
  <si>
    <t>55,677.44</t>
  </si>
  <si>
    <t>27,838.72</t>
  </si>
  <si>
    <t>Antonio Fabbro</t>
  </si>
  <si>
    <t>Jessica Gabriel</t>
  </si>
  <si>
    <t>42,215.68</t>
  </si>
  <si>
    <t>21,107.84</t>
  </si>
  <si>
    <t>Sherard Pollard</t>
  </si>
  <si>
    <t>Jason Ronk (Vacant)</t>
  </si>
  <si>
    <t>43,212.00</t>
  </si>
  <si>
    <t>21,606.00</t>
  </si>
  <si>
    <t>Scott Tipton</t>
  </si>
  <si>
    <t>Joe Vince</t>
  </si>
  <si>
    <t>Laura Worthington</t>
  </si>
  <si>
    <t>$292,783.92</t>
  </si>
  <si>
    <t>Cleveland Division of Police</t>
  </si>
  <si>
    <t>1300 Ontario Street</t>
  </si>
  <si>
    <t>Cleveland</t>
  </si>
  <si>
    <t>44113</t>
  </si>
  <si>
    <t>(216) 623-5126</t>
  </si>
  <si>
    <t>(216) 623-5853</t>
  </si>
  <si>
    <t>346000646</t>
  </si>
  <si>
    <t>Michael McGrath</t>
  </si>
  <si>
    <t>(216) 623-5005</t>
  </si>
  <si>
    <t>MMcGrath@city.cleveland.oh.us</t>
  </si>
  <si>
    <t>(216) 623-5580</t>
  </si>
  <si>
    <t>RKilbane@city.cleveland.oh.us</t>
  </si>
  <si>
    <t>Dawn Fritz</t>
  </si>
  <si>
    <t>DFritz@city.cleveland.oh.us</t>
  </si>
  <si>
    <t>2011DUP18-2102</t>
  </si>
  <si>
    <t>D.A.R.E. Officers in the Cleveland Division of Police will teach the standard 10-week D.A.R.E. curriculum to approximately 1,240 5th grade students of the Cleveland Metropolitan School District (CMSD).  The two certified D.A.R.E. instructors (Thomas Normile and Richard Decembly) will be assigned to the DARE program full-time from September 1, 2012 through June 30, 2013 either teaching or preparing lesson plans or completing paperwork.  They will spend the month of August, 2012 working with the schools to determine a schedule for classes and preparing for the classes.</t>
  </si>
  <si>
    <t>Our certified D.A.R.E. officers will teach the D.A.R.E. OTC/Rx Drug Abuse Program.</t>
  </si>
  <si>
    <t>Thomas Normile</t>
  </si>
  <si>
    <t>46098.10</t>
  </si>
  <si>
    <t>23049.05</t>
  </si>
  <si>
    <t>Richard Decembly</t>
  </si>
  <si>
    <t>46,098.10</t>
  </si>
  <si>
    <t>Mercer County Sheriff's Office</t>
  </si>
  <si>
    <t>4835 State Route 29</t>
  </si>
  <si>
    <t>Celina</t>
  </si>
  <si>
    <t>45822</t>
  </si>
  <si>
    <t>Mercer County</t>
  </si>
  <si>
    <t>(419) 586-7724</t>
  </si>
  <si>
    <t>(419) 586-2234</t>
  </si>
  <si>
    <t>34-6400877</t>
  </si>
  <si>
    <t>Jeff Grey</t>
  </si>
  <si>
    <t>jeff.grey@mercercountysheriff.org</t>
  </si>
  <si>
    <t>Randy Grapner</t>
  </si>
  <si>
    <t>(419) 586-6402</t>
  </si>
  <si>
    <t>Connie Rinderle</t>
  </si>
  <si>
    <t>connie.rinderle@mercercountysheriff.org</t>
  </si>
  <si>
    <t>2010DUP54-1054</t>
  </si>
  <si>
    <t>The standard 10-week D.A.R.E. curriculum will be taught to elementary students.</t>
  </si>
  <si>
    <t>The D.A.R.E. OTC/Rx Drug Abuse curriculum will be taught to elementary studuents.</t>
  </si>
  <si>
    <t>Suellyn Miller</t>
  </si>
  <si>
    <t>12,600.72</t>
  </si>
  <si>
    <t>6,300.36</t>
  </si>
  <si>
    <t>$6,300.36</t>
  </si>
  <si>
    <t>25 West Jefferson St.</t>
  </si>
  <si>
    <t>Jefferson</t>
  </si>
  <si>
    <t>44047</t>
  </si>
  <si>
    <t>(440) 576-9046</t>
  </si>
  <si>
    <t>(440) 576-5915</t>
  </si>
  <si>
    <t>34-6000128</t>
  </si>
  <si>
    <t>(440) 756-9046</t>
  </si>
  <si>
    <t>sheriff@ashtabulacounty.us</t>
  </si>
  <si>
    <t>Dawn Cragon</t>
  </si>
  <si>
    <t>treasurer@ashtabulacounty.us</t>
  </si>
  <si>
    <t>Alex Geordan</t>
  </si>
  <si>
    <t>(440) 293-6488</t>
  </si>
  <si>
    <t>alex.geordan@neomin.org</t>
  </si>
  <si>
    <t>SRO will present the standard curriculumb as per his training in all classrooms during the 2012-2013 school year.</t>
  </si>
  <si>
    <t>Officer wiil present standard program, In addition one on one counseling, small group sessions, crisis response traning. Is a former memeber of NASRO and received his training in 2001. Presenting all areas of ATOD prevention and intervention including but not limited to OTC/Rx misuse in all classrooms in all grades through the year.</t>
  </si>
  <si>
    <t>Cary Johnson</t>
  </si>
  <si>
    <t>32,000</t>
  </si>
  <si>
    <t>16,000</t>
  </si>
  <si>
    <t>Steubenville Police Department</t>
  </si>
  <si>
    <t>115 S. Third Street</t>
  </si>
  <si>
    <t>(740) 283-6000</t>
  </si>
  <si>
    <t>(740) 283-6030</t>
  </si>
  <si>
    <t>34-6002729</t>
  </si>
  <si>
    <t>William McCafferty</t>
  </si>
  <si>
    <t>bmccafferty@cityofsteubenville.us</t>
  </si>
  <si>
    <t>Cathy Davison</t>
  </si>
  <si>
    <t>cdavison@ciytofsteubenville.us</t>
  </si>
  <si>
    <t>Jean-Philippe Rigaud</t>
  </si>
  <si>
    <t>(740) 632-7012</t>
  </si>
  <si>
    <t>jrigaud@cityofsteubenville.us</t>
  </si>
  <si>
    <t>2010DUP41-2184</t>
  </si>
  <si>
    <t>Steubenville Police uses the standard D.A.R.E curriculum for 5-6 grade. This 10 week program is offered to all the elementary schools in Steubenville. Officer Rigaud is the D.A.R.E. officer who instructs the classes in the schools, both public and private schools. Other programs are also offered using the D.A.R.E. curriculum for various programs in the 1-4 grades as well as the 7-8 grades upon request.</t>
  </si>
  <si>
    <t>9,151</t>
  </si>
  <si>
    <t>4,575</t>
  </si>
  <si>
    <t>Montville Police Department</t>
  </si>
  <si>
    <t>6665 Wadsworth Rd.</t>
  </si>
  <si>
    <t>(330) 725-8314</t>
  </si>
  <si>
    <t>(330) 725-0171</t>
  </si>
  <si>
    <t>34-600-1929</t>
  </si>
  <si>
    <t>Terry Grice</t>
  </si>
  <si>
    <t>tgrice@montvilletwp.org</t>
  </si>
  <si>
    <t>Mary Pawlowski</t>
  </si>
  <si>
    <t>(330) 725-8313</t>
  </si>
  <si>
    <t>mpawlowski@montvilletwp.org</t>
  </si>
  <si>
    <t>2011DUP52-2205</t>
  </si>
  <si>
    <t>Officer David Pinkas will be teaching the standard 10 week D.A.R.E. curriculum at the Montville Twp. public elementary schools.  This will be in addition to teaching about the danger of drugs and alcohol in reference to driving at Medina High School during their scheduled health class.  The dangers of drug use will also be discussed during assemblies at the remaining elementary schools and middle school for grades other than 5th.  Officer Pinkas will be conducting anti-bullying classes in all seven elementary schools.  In addition, he will be conducting a variety of other anti-drug related classes to the elementary grades.</t>
  </si>
  <si>
    <t>The Montville Police Department will teach the D.A.R.E. OTC/Rx program at the Montville Twp. public elementary schools.  An additional assembly will be used on the dangers of prescription and OTC drugs for grades other than 5th grade.  The dangers of abusing prescription and OTC drugs will be discussed during the class conducted at the high school.  OTC/Rx drug abuse prevention will be emphasized during the after-school program for students conducted by this department.</t>
  </si>
  <si>
    <t>David Pinkas</t>
  </si>
  <si>
    <t>40185.60</t>
  </si>
  <si>
    <t>20092.80</t>
  </si>
  <si>
    <t>20,092.80</t>
  </si>
  <si>
    <t>Beaver Police Department</t>
  </si>
  <si>
    <t>North Lima</t>
  </si>
  <si>
    <t>44452</t>
  </si>
  <si>
    <t>(330) 549-5338</t>
  </si>
  <si>
    <t>(330) 549-9357</t>
  </si>
  <si>
    <t>34-6000216</t>
  </si>
  <si>
    <t>cnfrost@beavertwp-oh.gov</t>
  </si>
  <si>
    <t>(330) 549-3993</t>
  </si>
  <si>
    <t>rrlotze@beavertwp-oh.gov</t>
  </si>
  <si>
    <t>bkhartman@beavertwp-oh.gov</t>
  </si>
  <si>
    <t>2011DUP50-2114</t>
  </si>
  <si>
    <t>SRO Hartman will be instructing the standard 10-week D.A.R.E. curriculum and will present a SRO Drug Use Prevention program. In addition, he serves as the agencies Juvenile Detective year-round and speaks to students daily about drug and alcohol usage. SRO Hartman has Operation Street Smart Training.</t>
  </si>
  <si>
    <t>OTC/Rx Abuse Program - also inhalants, spice, bath salts and various synthetic drugs are instructed in the high school. A modified OTC/Rx Abuse Program is instructed in the elementary grades.</t>
  </si>
  <si>
    <t>$26,655.20</t>
  </si>
  <si>
    <t>$13,327.60</t>
  </si>
  <si>
    <t>14860 North State Street</t>
  </si>
  <si>
    <t>Middlefield</t>
  </si>
  <si>
    <t>44062</t>
  </si>
  <si>
    <t>(440) 632-5225</t>
  </si>
  <si>
    <t>(440) 632-9615</t>
  </si>
  <si>
    <t>346001881</t>
  </si>
  <si>
    <t>jtucholski@middlefieldpolice.com</t>
  </si>
  <si>
    <t>Tiffany Mekeel</t>
  </si>
  <si>
    <t>(440) 632-5248</t>
  </si>
  <si>
    <t>tmekeel@middlefieldohio.com</t>
  </si>
  <si>
    <t>Joe Tucholski</t>
  </si>
  <si>
    <t>Staff Sergeant</t>
  </si>
  <si>
    <t>2011DUP28-2174</t>
  </si>
  <si>
    <t>Patrolman brandon gray will conduct and instruct the DARE program at the Cardinal Intermediate and Cardinal Middle Schools, grades 5 and 6. Alcohol Awareness will be instructed at Cardinal High School for grades 9-12.</t>
  </si>
  <si>
    <t>Brandon Gray</t>
  </si>
  <si>
    <t>$7949.76</t>
  </si>
  <si>
    <t>$3974.88</t>
  </si>
  <si>
    <t>39 Spring Street</t>
  </si>
  <si>
    <t>43080</t>
  </si>
  <si>
    <t>Licking County</t>
  </si>
  <si>
    <t>(740) 892-2211</t>
  </si>
  <si>
    <t>(740) 892-3433</t>
  </si>
  <si>
    <t>316401049</t>
  </si>
  <si>
    <t>Clifford R. Bigler</t>
  </si>
  <si>
    <t>cbigler@laca.org</t>
  </si>
  <si>
    <t>Anna C. Flaherty</t>
  </si>
  <si>
    <t>(740) 892-2841</t>
  </si>
  <si>
    <t>villageofutica@yahoo.com</t>
  </si>
  <si>
    <t>Clifford Ray Bigler</t>
  </si>
  <si>
    <t>(740) 501-4812</t>
  </si>
  <si>
    <t>210DUP45-2164</t>
  </si>
  <si>
    <t>Chief Clifford R. Bigler will present the standard DARE Elementary Curriculum to the 6th Grade classes at Utica Elementary. Chief Clifford R. Bigler will also provide one on one counciling, handling incidents on a case by case basis for students and staff within Utica Junior High School as well as Utica High School. As in the past, our department will provide safety/support services for these schools to ensure a safe, well rounded learning environment.</t>
  </si>
  <si>
    <t>Utica Elementary</t>
  </si>
  <si>
    <t>Chief Clifford R. Bigler will be conducting the DARE OTC/Rx Drug Abuse Program, providing information and much needed facts about over the counter and prescription drugs. Chief Bigler will provide coverage of the program and it's information within the classroom as well as assemblies as the District allows.</t>
  </si>
  <si>
    <t>19,661.40</t>
  </si>
  <si>
    <t>9,830.70</t>
  </si>
  <si>
    <t>Heath</t>
  </si>
  <si>
    <t>43056</t>
  </si>
  <si>
    <t>(740) 522-2141</t>
  </si>
  <si>
    <t>(740) 522-6365</t>
  </si>
  <si>
    <t>31-6402414</t>
  </si>
  <si>
    <t>Tony Shepherd</t>
  </si>
  <si>
    <t>policechief@heathohio.gov</t>
  </si>
  <si>
    <t>policechief@heath.gov</t>
  </si>
  <si>
    <t>(740) 404-7850</t>
  </si>
  <si>
    <t>pbroseus1973@windstream.net</t>
  </si>
  <si>
    <t>45-2272</t>
  </si>
  <si>
    <t>Ptl,.Parry Broseus will teach the 2nd grade, 4th grade, 6th grade ,7th grade D.A.R.E. Program at the Heath City Schools and Blessed Sacrament Schools,and St Francis Desales school He will teach the 2nd,4th,and 5th grade curriculum. He will also teach the 9th grade Curriclum at the Heath High School. The high school, also recieves schooling, in Meth abuse and bulling.At the Heath Middle school The studenstb in grade 6 recieves training infirearm safety. The Heath Middle School 6th,7th,andn 8th grades recieve training in bullying prevention.There are requests from the schools to talk about sexting and cyber bullying.Ptl. Parry Broseus is asked to talk on differant safety matters and does so when requested.</t>
  </si>
  <si>
    <t>The Blessed Sacrament 6th grade recieves traing in Perscription drug abuse, the Heath High school also recieves training in Perscription drug abuse</t>
  </si>
  <si>
    <t>Parry Broseus</t>
  </si>
  <si>
    <t>11,547.00</t>
  </si>
  <si>
    <t>5,773.00</t>
  </si>
  <si>
    <t>Warrensville Heights</t>
  </si>
  <si>
    <t>44128</t>
  </si>
  <si>
    <t>(216) 581-1234</t>
  </si>
  <si>
    <t>(216) 587-6556</t>
  </si>
  <si>
    <t>34-6002992</t>
  </si>
  <si>
    <t>William Jelenic</t>
  </si>
  <si>
    <t>Bjelenic@cityofwarrensville.com</t>
  </si>
  <si>
    <t>Irene Crowell</t>
  </si>
  <si>
    <t>(216) 587-1116</t>
  </si>
  <si>
    <t>Icrowell@cityofwarrensville.com</t>
  </si>
  <si>
    <t>Parris Johnson</t>
  </si>
  <si>
    <t>Pjohnson@cityofwarrensville.com</t>
  </si>
  <si>
    <t>2011DUP18-2138</t>
  </si>
  <si>
    <t>Officer Johnson who is a certified DARE,GREAT &amp; SRO will present the program. During the school year Officer Johnson will work full time in the schools presenting the D.A.R.E program to grades K-8th. This totals about 1,500 students that will attend D.A.R.E classes in our city this year. Officer Johnson also speaks at various school assemblies through out the year on the subject of drug prevention and bullying. Johnson also conducts small group 1-on-1 counseling sessions as needed, with all students in the district. During the spring vacation, Johnson conducts a basketball camp and heads a "say no to drugs" basketball league during the summer months. Officer Johnson also speaks to teens at the high school during prom season about the dangers of drug and drinking and driving.</t>
  </si>
  <si>
    <t>Parris Johhnson</t>
  </si>
  <si>
    <t>45,084</t>
  </si>
  <si>
    <t>22,542</t>
  </si>
  <si>
    <t>Piqua Police Department</t>
  </si>
  <si>
    <t>100 N. Wayne St.</t>
  </si>
  <si>
    <t>Piqua</t>
  </si>
  <si>
    <t>45356</t>
  </si>
  <si>
    <t>(937) 778-2027</t>
  </si>
  <si>
    <t>(937) 778-4006</t>
  </si>
  <si>
    <t>31-6000136</t>
  </si>
  <si>
    <t>Bruce A. Jamison</t>
  </si>
  <si>
    <t>bjamison@piquaoh.org</t>
  </si>
  <si>
    <t>Cynthia Holtzapple</t>
  </si>
  <si>
    <t>(937) 778-2070</t>
  </si>
  <si>
    <t>choltzapple@piquaoh.org</t>
  </si>
  <si>
    <t>2010DUP55-2179</t>
  </si>
  <si>
    <t>Officers of the Piqua Police Department teach the standard DARE curriculum to fifth-grade classrooms of the Piqua City School District.  We only use officers properly certified by DARE-Ohio.  We present additional DARE material to the published DARE curriculum, but present the standard curriculum in accordance with all DARE guidelines.</t>
  </si>
  <si>
    <t>Officers of the Piqua Police Department teach the "D.A.R.E. OTC/Rx Drug Abuse Program" to the fifth-grade classrooms of the Piqua City School District.  We only use officers properly certified and updated by DARE-Ohio.</t>
  </si>
  <si>
    <t>Jerry Fogt</t>
  </si>
  <si>
    <t>$32,583</t>
  </si>
  <si>
    <t>$16,292</t>
  </si>
  <si>
    <t>43031</t>
  </si>
  <si>
    <t>(740) 967-0911</t>
  </si>
  <si>
    <t>(740) 967-6415</t>
  </si>
  <si>
    <t>316014548</t>
  </si>
  <si>
    <t>dcorbin@villageofjohnstown.org</t>
  </si>
  <si>
    <t>(740) 967-3177</t>
  </si>
  <si>
    <t>lheiser@villageofjohnstown.org</t>
  </si>
  <si>
    <t>dup452208</t>
  </si>
  <si>
    <t>THIS DRUG PREVENTION PROGRAM OFFERS A UNIQUE APPROACH TO LEARNING ABOUT SUBSTANCE ABUSE AS IT FOCUSES ON STUDENT DIRECTED ACTIVITIES.  THE ACTIVITIES ALLOW STUDENTS TO EXPLORE THE DANGERS OF SUBSTANCE ABUSE AND GET DIRECTLY INVOLVED IN THE PREVENTION PROCESS. PREVENTION OCCURS BEST DRUG-BY-DRUG, BECAUSE KNOWLEDGE OF THE ADVERSE CONSEQUESNCES OF ONE DRUG WILL NOT NECESSARILY GENERALIZE TO THE USE OF OTHER DRUGS.  STUDENTS' BELIEFS AND ATTITUDES ARE SPECIFIC TO EACH DRUG.</t>
  </si>
  <si>
    <t>THIS DRUG PREVENTION PROGRAM OFFERS A UNIQUE APPROACH TO LEARNING ABOUT SUBSTANCE ABUSE PARTICULARLY PRESCRIPTION DRUGS, SINCE THEY ARE VERY POPULAR AMONG THIS AGE GROUP AND EASY FOR THEM TO GET THEIR HANDS ON. THE ACTIVITIES ALLOW STUDENTS TO EXPLORE THE DANGERS OF SUBSTANCE ABUSE AND GET DIRECTLY INVOLVED IN THE PREVENTION PROCESS. PREVENTION OCCURS BEST DRUG-BY-DRUG, BECAUSE KNOWLEDGE OF THE ADVERSE CONSEQUESNCES OF ONE DRUG WILL NOT NECESSARILY GENERALIZE TO THE USE OF OTHER DRUGS.  STUDENTS' BELIEFS AND ATTITUDES ARE SPECIFIC TO EACH DRUG.</t>
  </si>
  <si>
    <t>10457.20</t>
  </si>
  <si>
    <t>5228.60</t>
  </si>
  <si>
    <t>Brimfield Township Police Department</t>
  </si>
  <si>
    <t>Kent</t>
  </si>
  <si>
    <t>44240</t>
  </si>
  <si>
    <t>(330) 673-7716</t>
  </si>
  <si>
    <t>(330) 678-7644</t>
  </si>
  <si>
    <t>34‐6000335</t>
  </si>
  <si>
    <t>David Oliver</t>
  </si>
  <si>
    <t>(330) 678-7716</t>
  </si>
  <si>
    <t>BPD1401@neo.rr.com</t>
  </si>
  <si>
    <t>John Dalziel</t>
  </si>
  <si>
    <t>(330) 678-0739</t>
  </si>
  <si>
    <t>dalzielagency@aim.com</t>
  </si>
  <si>
    <t>Christopher Adkins</t>
  </si>
  <si>
    <t>BPD1418@neo.rr.com</t>
  </si>
  <si>
    <t>2011DUP67‐2129</t>
  </si>
  <si>
    <t>The Brimfield Police Dare Officer teaches the standard 10 week curriculum to the 4th grade students. We also teach a shorter version of the curriculum to kindergarteners. In 2011, the Dare Officer and School Resource officer hosted bully prevention, personal protection for 6th graders, OVI awareness, OVI affects on the body, 3rd grade seat belt safety, and drug, alcohol and tobacco awareness programs. The SRO is a K9 officer assigned to the Field schools full time and uses the K9 for drug prevention and enforcement. The School Resource Officer is the police department liaison and teaches many classes that incorporate Dare principles.</t>
  </si>
  <si>
    <t>In the 2012-2013 school year, the Dare OTC/Rx Drug Abuse program will be added to the Dare officer lesson plans.  The Dare OTC/Rx Drug Abuse program will be incorporated into the 4th grade Dare program.  The program will be extended for an additional time frame, or the OTC/Rx curriculum will be incorporated in the 10 week Dare program.  The decision for extension or incorporation will be based on Dare officer schedules and school officials' decisions.</t>
  </si>
  <si>
    <t>David Knarr</t>
  </si>
  <si>
    <t>42398.72</t>
  </si>
  <si>
    <t>21199.36</t>
  </si>
  <si>
    <t>Russell Diehl</t>
  </si>
  <si>
    <t>21577.03</t>
  </si>
  <si>
    <t>10788.52</t>
  </si>
  <si>
    <t>31987.88</t>
  </si>
  <si>
    <t>Berea Police Department</t>
  </si>
  <si>
    <t>17 Berea Commons</t>
  </si>
  <si>
    <t>Berea</t>
  </si>
  <si>
    <t>44017</t>
  </si>
  <si>
    <t>(440) 826-5870</t>
  </si>
  <si>
    <t>(440) 826-1377</t>
  </si>
  <si>
    <t>34-6000246</t>
  </si>
  <si>
    <t>Mark Schultz</t>
  </si>
  <si>
    <t>(440) 826-5837</t>
  </si>
  <si>
    <t>mschultz@bereapolice.org</t>
  </si>
  <si>
    <t>Dana Kavander, CPA</t>
  </si>
  <si>
    <t>(440) 826-5889</t>
  </si>
  <si>
    <t>dkaudnder@cityofberea.org</t>
  </si>
  <si>
    <t>Robert Lages</t>
  </si>
  <si>
    <t>rlages@bereapolice.org</t>
  </si>
  <si>
    <t>2011dup18-2258</t>
  </si>
  <si>
    <t>Instruct drug prevention programs at the high school, middle school, and elementary school. In addition, take a proactive stance with students in each facility in the area of drug counseling and one on one drug interdiction.</t>
  </si>
  <si>
    <t>Curriculum – Prescription drug abuse 
Definition
    Prescription drug abuse is the intentional use of a medication without a prescription; in a way other than as prescribed; or for the experience or feeling it causes.
                             In class presentation. 
1.      Inform students of the dangers of prescription drug abuse and outline statistics. 
A.    Prescription drug abuse is on the rise with teenager's 
B.     Prescription drugs are specific to specific problems (can cause death) if taken recreationally.  
C.     In many cases, causes dependency and addiction. Physical and Psychological. 
D.    prescription and over-the-counter medications abuse is one of the most abused drugs by high school students (NIDA, National Institute on Drug Abuse). 
             Some reasons why high school students abuse prescription drugs.
1.	Misconceptions about their safety.
A.	Doctor prescribed therefore it MUST be safe (This is FALSE). The drug is specific to a specific problem. Side effects include death, addiction, and prosecution. 
B.	Increasing availability. Doctors are prescribing more medications than ever before. The drugs are more available to family, friends, and co-workers.
C.	Prescription drugs can be used for a variety of problems (counter anxiety, pain relief, and to get high.) 
D.	To fit in. (Other students are doing it, why shouldn’t I ?)
Activities Proposed to School administration for prescription drug abuse prevention. 
1.      Hold assembly in the auditorium to address the dangers of prescription drug abuse. 
2.      Disseminate information to students regarding the dangers of prescription abuse.  
3.      Hold meetings with counselors and other support personal to identify at risk students. 
4.      Discuss with teaching staff the challenges students face with prescription drug use.  
5.      Counsel and educate students one on one regarding prescription drug abuse. 
If you are addicted or are using prescription drugs, there is help.
1.	You can confide in a school counselor who will keep your conversation private and direct you to help. 
2.	Call 216-241-3400 Local help line for addiction. (Write number on the black board !)
Other areas of Help and Prevention
Start an Exercise program. Exercise makes you feel better !
Choose to eat healthy
Choose your friends wisely ! Stay away from people who abuse drugs !
Consider your future…. Family, college, friends ! ! ( 3 Great reasons to stay away from prescription drugs !)</t>
  </si>
  <si>
    <t>18,061.75</t>
  </si>
  <si>
    <t>9,030.87</t>
  </si>
  <si>
    <t>44130</t>
  </si>
  <si>
    <t>(440) 243-1234</t>
  </si>
  <si>
    <t>(440) 243-0221</t>
  </si>
  <si>
    <t>346001879</t>
  </si>
  <si>
    <t>Jason Stewart, CPA</t>
  </si>
  <si>
    <t>(440) 234-8989</t>
  </si>
  <si>
    <t>blavdareman@msn.com</t>
  </si>
  <si>
    <t>2011DUP18-2188</t>
  </si>
  <si>
    <t>This officer is a certified DARE instructor. This officer teaches the DARE curriculum to approximately 400 students in Kindergarten, Second, and Fourth grades at Big Creek Elementary.</t>
  </si>
  <si>
    <t>This officer will teach the prescription drug abuse prevention program that is appropriate for each particular age group. I will use the "DARE OTC/Rx Drug Abuse Program" as well as a lesson appropriate for grades K-4 titled "Drugs:Helpful or Harmful". I will also utilize the DARE website to obtain updated information on prescription drug usage and I will share this information with the students.</t>
  </si>
  <si>
    <t>Brent Lavinder</t>
  </si>
  <si>
    <t>$5137</t>
  </si>
  <si>
    <t>$2568</t>
  </si>
  <si>
    <t>Willoughby Police Department</t>
  </si>
  <si>
    <t>36700 Euclid Avenue</t>
  </si>
  <si>
    <t>Willoughby</t>
  </si>
  <si>
    <t>44094</t>
  </si>
  <si>
    <t>(440) 953-4212</t>
  </si>
  <si>
    <t>(440) 953-4273</t>
  </si>
  <si>
    <t>34-6003087</t>
  </si>
  <si>
    <t>Conrad A. Straube</t>
  </si>
  <si>
    <t>cstraube@willoughbypolice.com</t>
  </si>
  <si>
    <t>Raymond Rogowski</t>
  </si>
  <si>
    <t>(440) 953-4333</t>
  </si>
  <si>
    <t>rrogowski@willoughbyohio.com</t>
  </si>
  <si>
    <t>Cheryl Thomas</t>
  </si>
  <si>
    <t>(440) 953-4229</t>
  </si>
  <si>
    <t>cthomas@willoughbypolice.com</t>
  </si>
  <si>
    <t>2011DUP43-2217</t>
  </si>
  <si>
    <t>The Drug Use Prevention officers will spend their time as follows: standard 10 week D.A.R.E. curriculum, plus 4 supplementary lessons, i.e. Bullying I and II, Methamphetamine, and Role Models.  Graduation ceremony, 2nd Grade DARE curriculum, Prom Promise, Mixers and Shakers, Meet the Teacher Night, Parent's Night.  Officer Kerzisnik will be teaching in the health classes to high school students.</t>
  </si>
  <si>
    <t>The Drug Use Prevention officers' lessons will include the D.A.R.E. Prescription Lesson along with information from the U.S. National Library of Science.  They will teach the following facts: Most people take medicines only for the reasons their doctors prescribe them.  But an estimated 20% of people in the United States have used prescribed drugs for non-medical reasons.  This is prescription drug abuse.  It is a serious and growing problem.  Abusing some prescription drugs can lead to addiction.  You can develop an addiction to: Narcotics, Sedatives and Tranquilizers, and Stimulants.  The availability of drugs is probably one reason why there is an increase in this type of drug abuse.  Doctors are prescribing more drugs for more health problems than ever before.</t>
  </si>
  <si>
    <t>Ken Jordan</t>
  </si>
  <si>
    <t>8055</t>
  </si>
  <si>
    <t>4027</t>
  </si>
  <si>
    <t>Peter Huth</t>
  </si>
  <si>
    <t>8011</t>
  </si>
  <si>
    <t>Tim Kerzisnik</t>
  </si>
  <si>
    <t>7762</t>
  </si>
  <si>
    <t>3881</t>
  </si>
  <si>
    <t>11935</t>
  </si>
  <si>
    <t>Jackson Police Department</t>
  </si>
  <si>
    <t>Jackson</t>
  </si>
  <si>
    <t>45640</t>
  </si>
  <si>
    <t>Jackson County</t>
  </si>
  <si>
    <t>(740) 286-4131</t>
  </si>
  <si>
    <t>(740) 286-4357</t>
  </si>
  <si>
    <t>316400229</t>
  </si>
  <si>
    <t>Carl Eisnaugle</t>
  </si>
  <si>
    <t>ceisnaugle@gmail.com</t>
  </si>
  <si>
    <t>Brett Reed</t>
  </si>
  <si>
    <t>(740) 286-2423</t>
  </si>
  <si>
    <t>breed@jacksonohio.us</t>
  </si>
  <si>
    <t>Thomas Aldrich</t>
  </si>
  <si>
    <t>baldrich@jcs.k12.oh.us</t>
  </si>
  <si>
    <t>The Jackson Police Department will be conducting drug use prevention education activities to approximately 2,755 students in the Jackson City School District located in Jackson County.  Project implementation will occur from September 1, 2012 to August 31, 2013.   The various components of the project will consist of Red Ribbon week celebrations for all schools, prom promise program activities and drug abuse prevention activities to include prescription drug abuse prevention education. Program activities will be planned and implemented by one School Resource Officer.  The project will service all kindergarten through twelve grade students in the City of Jackson, Ohio.</t>
  </si>
  <si>
    <t>Prescription drug prevention project will consist of the implementation of lessons obtained from the Ohio School Resource Officer Association Organization.  The prescription drug prevention lessons will be provided to all high school and middle school students in the City of Jackson.</t>
  </si>
  <si>
    <t>14470.56</t>
  </si>
  <si>
    <t>7235.28</t>
  </si>
  <si>
    <t>Oregon Police Division</t>
  </si>
  <si>
    <t>5330 Seaman Rd.</t>
  </si>
  <si>
    <t>Oregon</t>
  </si>
  <si>
    <t>43616</t>
  </si>
  <si>
    <t>(419) 698-7062</t>
  </si>
  <si>
    <t>(419) 698-7006</t>
  </si>
  <si>
    <t>346407705</t>
  </si>
  <si>
    <t>Micheal Navarre</t>
  </si>
  <si>
    <t>mnavarre@oregonohio.org</t>
  </si>
  <si>
    <t>Kathleen Hufford</t>
  </si>
  <si>
    <t>(719) 698-7030</t>
  </si>
  <si>
    <t>khufford@oregonohio.org</t>
  </si>
  <si>
    <t>Tony Castillo</t>
  </si>
  <si>
    <t>(419) 698-7180</t>
  </si>
  <si>
    <t>tcastillo@oregonohio.org</t>
  </si>
  <si>
    <t>2010DUP482239</t>
  </si>
  <si>
    <t>Oregon Police will teach the ten week DARE cirriculum to all of our 5th grade students.  We will also teach the early education DARE program to all K-4th grade students.  We will teach middle school students "The Truth About Drugs".  We will teach High School Students the "Fatal Vision" program and components of "The Truth About Drugs".  Officers will also participate in Red Ribbon Week activities.</t>
  </si>
  <si>
    <t>Oregon Police Division will teach the DARE OTC/Rx Drug Abuse Program to 5th grade students.  We will also teach components of the "The Truth About Drugs" program covering Over the Counter and Prescription Drug Use Prevention at the middle school and high school.</t>
  </si>
  <si>
    <t>Sara Shaw</t>
  </si>
  <si>
    <t>$6,038</t>
  </si>
  <si>
    <t>$3,019</t>
  </si>
  <si>
    <t>Mark Potter</t>
  </si>
  <si>
    <t>$3,622</t>
  </si>
  <si>
    <t>$1,811</t>
  </si>
  <si>
    <t>Tim McLeod</t>
  </si>
  <si>
    <t>$1,207</t>
  </si>
  <si>
    <t>$603</t>
  </si>
  <si>
    <t>$5,433.00</t>
  </si>
  <si>
    <t>309 Fourth Street</t>
  </si>
  <si>
    <t>(740) 376-7070</t>
  </si>
  <si>
    <t>(740) 373-6108</t>
  </si>
  <si>
    <t>316400089</t>
  </si>
  <si>
    <t>Larry Mincks, Sr.</t>
  </si>
  <si>
    <t>(740) 516-3990</t>
  </si>
  <si>
    <t>sheriff.mincks@wcso84.us</t>
  </si>
  <si>
    <t>Jena Casto</t>
  </si>
  <si>
    <t>(740) 373-6634</t>
  </si>
  <si>
    <t>jena.casto@wcso84.us</t>
  </si>
  <si>
    <t>Michelle Richards</t>
  </si>
  <si>
    <t>Det.</t>
  </si>
  <si>
    <t>(740) 516-3306</t>
  </si>
  <si>
    <t>michelle.richards@wcso84.us</t>
  </si>
  <si>
    <t>2011DUP84-1084</t>
  </si>
  <si>
    <t>Deputy C. Brockmeier will be providing the DARE curriculum to either the 5th or 6th grade class in all four districts in Washington County.</t>
  </si>
  <si>
    <t>We would like to request funding for additional Peace officers to provide a specifically designed program to the community regarding prescription drugs.</t>
  </si>
  <si>
    <t>Craig Brockmeier</t>
  </si>
  <si>
    <t>4877</t>
  </si>
  <si>
    <t>2438</t>
  </si>
  <si>
    <t>Mark Warden</t>
  </si>
  <si>
    <t>654</t>
  </si>
  <si>
    <t>Beth Mayle</t>
  </si>
  <si>
    <t>234</t>
  </si>
  <si>
    <t>Carrie Smithberger</t>
  </si>
  <si>
    <t>Brian Schuck</t>
  </si>
  <si>
    <t>270.50</t>
  </si>
  <si>
    <t>3519.50</t>
  </si>
  <si>
    <t>West Union</t>
  </si>
  <si>
    <t>45693</t>
  </si>
  <si>
    <t>Adams County</t>
  </si>
  <si>
    <t>(937) 544-2314</t>
  </si>
  <si>
    <t>(937) 544-6201</t>
  </si>
  <si>
    <t>31-6400062</t>
  </si>
  <si>
    <t>Kimmy Rogers</t>
  </si>
  <si>
    <t>KimmyRogers57@yahoo.com</t>
  </si>
  <si>
    <t>Melody Myers</t>
  </si>
  <si>
    <t>mmyers_1953@yahoo.com</t>
  </si>
  <si>
    <t>Jonathan Sheeley</t>
  </si>
  <si>
    <t>(937) 205-2708</t>
  </si>
  <si>
    <t>jmsheeley@yahoo.com</t>
  </si>
  <si>
    <t>2010DUP01-1001</t>
  </si>
  <si>
    <t>Deputy Jonathan Sheeley will be teaching the standard 10-week D.A.R.E curriculum in all of the Elemetary Schools in Adams County.</t>
  </si>
  <si>
    <t>Deputy Jonathan Sheeley will be teaching the D.A.R.E OTC/Rx Drug Abuse program in all of the Elemetary Schools in Adams County.</t>
  </si>
  <si>
    <t>26,850</t>
  </si>
  <si>
    <t>13,425</t>
  </si>
  <si>
    <t>Waterville Township Police Department</t>
  </si>
  <si>
    <t>8245 Farnsworth Road, Suite B</t>
  </si>
  <si>
    <t>Waterville</t>
  </si>
  <si>
    <t>43566</t>
  </si>
  <si>
    <t>(419) 878-9991</t>
  </si>
  <si>
    <t>(419) 878-9992</t>
  </si>
  <si>
    <t>34-6401552</t>
  </si>
  <si>
    <t>Mike Wilkinson</t>
  </si>
  <si>
    <t>Kay Robertson</t>
  </si>
  <si>
    <t>(419) 878-4746</t>
  </si>
  <si>
    <t>Jeffrey M. Graham</t>
  </si>
  <si>
    <t>(419) 654-0944</t>
  </si>
  <si>
    <t>4jkids@buckeye-express.com</t>
  </si>
  <si>
    <t>2011DUP28-2212</t>
  </si>
  <si>
    <t>The total budget amount of salary is based on 608 hours of classroom time during the school year for one D.A.R.E. Officer. The D.A.R.E. Officer spends his 608 hours instructing D.A.R.E. in the Anthony Wayne School District. This year that will include teaching the elementary program to the 15 fifth grade classes and the junior high program to all the 8th grade students during their health classes.</t>
  </si>
  <si>
    <t>The Waterville Township D.A.R.E. Program has addressed the issue of prescription drug abuse for years, but have not yet used the "D.A.R.E. OTC/Rx Drug Abuse Program". In the 2011-2012 school year we had ordered the materials but never recieved them. This year we will implement the "D.A.R.E. OTC/Rx Drug Abuse Program" as part of our D.A.R.E. Program.</t>
  </si>
  <si>
    <t>9393.60</t>
  </si>
  <si>
    <t>4696.80</t>
  </si>
  <si>
    <t>4696.8</t>
  </si>
  <si>
    <t>Norwalk Police Department</t>
  </si>
  <si>
    <t>37 North Linwood Avenue</t>
  </si>
  <si>
    <t>Norwalk</t>
  </si>
  <si>
    <t>44857</t>
  </si>
  <si>
    <t>(419) 663-6780</t>
  </si>
  <si>
    <t>(419) 668-1086</t>
  </si>
  <si>
    <t>34-6400994</t>
  </si>
  <si>
    <t>David W. Light</t>
  </si>
  <si>
    <t>dlight@norwalkohiopolice.com</t>
  </si>
  <si>
    <t>Diane Eschen</t>
  </si>
  <si>
    <t>(419) 663-6700</t>
  </si>
  <si>
    <t>norfin@accnorwalk.com</t>
  </si>
  <si>
    <t>David P. Pigman</t>
  </si>
  <si>
    <t>dpigman@norwalkohiopolice.com</t>
  </si>
  <si>
    <t>2011DUP39-2197</t>
  </si>
  <si>
    <t>Detective Sergeant Pigman will be instructing the D.A.R.E. 10 week and OTC/RX programs. Drug use prevention is taught during the Norwalk Police Department Safety Town Program.  The Norwalk Police Department A.L.I.V.E. course will be taught to all freshman and an assembly will be presented to all high school and middle school students.</t>
  </si>
  <si>
    <t>D.A.R.E. 10 week and OTC/RX curriculum will be taught to all 5th grade students.  All 9th grade students will receive the Norwalk Police A.L.I.V.E. program designed by Sgt. Pigman. It includes video interviews with young local addicts who attended NHS and SPH.  It stresses the importance of making good decisions and being able to avoid pressure from others using the words from locals who failed to do so and have suffered or died. NPD Safety Town has been teaching drug abuse prevention to children entering into kindergarten for the past 46 years.  We will continue to do so in 2012-2013.  Drug abuse prevention is taught to many other groups of children by request by the Norwalk Police Department.</t>
  </si>
  <si>
    <t>David Pigman</t>
  </si>
  <si>
    <t>$27,976</t>
  </si>
  <si>
    <t>$13,988</t>
  </si>
  <si>
    <t>$13,988.00</t>
  </si>
  <si>
    <t>120 N. Seventh St.</t>
  </si>
  <si>
    <t>Upper Sandusky</t>
  </si>
  <si>
    <t>43351</t>
  </si>
  <si>
    <t>Wyandot County</t>
  </si>
  <si>
    <t>(419) 294-2324</t>
  </si>
  <si>
    <t>(419) 294-6765</t>
  </si>
  <si>
    <t>34-6401485</t>
  </si>
  <si>
    <t>David M. Olds</t>
  </si>
  <si>
    <t>chiefolds@uppersanduskypolice.org</t>
  </si>
  <si>
    <t>Carolyn Frederick</t>
  </si>
  <si>
    <t>(419) 294-3988</t>
  </si>
  <si>
    <t>Andrew Ruse</t>
  </si>
  <si>
    <t>aruse@uppersanduskypolice.org</t>
  </si>
  <si>
    <t>88-2226</t>
  </si>
  <si>
    <t>The program Drug and Alcohol Awareness will be presented to both middle school and high school students. One on One mentoring about the dangers of drug/alcohol use as well as presentations. Presentations will be made to the sixth grade and to the entire high school student body that encompasses the physical, social, and legal ramifications of illegal drug/alcohol use. The program looks to continue to provide information to students about drug and alcohol so they can make informed, positive choices to avoid the dangers of drug and alcohol use.</t>
  </si>
  <si>
    <t>11138.40</t>
  </si>
  <si>
    <t>5569.20</t>
  </si>
  <si>
    <t>5569.00</t>
  </si>
  <si>
    <t>Oxford Police Department</t>
  </si>
  <si>
    <t>11 S. Poplar St.</t>
  </si>
  <si>
    <t>Oxford</t>
  </si>
  <si>
    <t>45056</t>
  </si>
  <si>
    <t>(513) 524-5247</t>
  </si>
  <si>
    <t>(513) 524-9111</t>
  </si>
  <si>
    <t>316001080</t>
  </si>
  <si>
    <t>Robert Holzworth</t>
  </si>
  <si>
    <t>(513) 524-5245</t>
  </si>
  <si>
    <t>bholzworth@cityofoxford.org</t>
  </si>
  <si>
    <t>Joseph Newlin</t>
  </si>
  <si>
    <t>(513) 524-5200</t>
  </si>
  <si>
    <t>jnewlin@cityofoxford.org</t>
  </si>
  <si>
    <t>Amy Gabbard</t>
  </si>
  <si>
    <t>agabbard@cityofoxford.org</t>
  </si>
  <si>
    <t>In Oxford, just like countless American cities, underage consumption of alcohol is pervasive, and the number of underage consumers continues to be a major challenge for local authorities (school and police).  Drug prevention education was always a priority to our school resource officers, but unfortunately, due to funding constraints, our SRO program, which was active at all school levels for over 10 years, was cancelled three years ago.  This grant will help fund a SRO program and allow proven drug education strategies to once again impact Oxford youth, namely: holding multiple assemblies, conducting class presentations, and mentoring “at risk” students.</t>
  </si>
  <si>
    <t>According to the February 11, 2011 issue of the Hamilton Journal-News, the statistics are grim surrounding Ohio’s prescription drug abuse problem: four accidental drug overdose deaths a day; 40 percent of the state’s 1,373 overdose deaths in 2009 attributed to pain relievers; and one in four high school kids using prescription drugs without a prescription at some point.  To help prevent prescription drug abuse, the Oxford Police Department (OPD) will continue to participate in drug take back initiatives and if funded, OPD’s School Resource Officer will coordinate programming and resources to ensure the health and safety of our Oxford youth.</t>
  </si>
  <si>
    <t>Jim Squance</t>
  </si>
  <si>
    <t>7688</t>
  </si>
  <si>
    <t>3844</t>
  </si>
  <si>
    <t>Adams County Sheriff's Office</t>
  </si>
  <si>
    <t>Ashtabula County Sheriff's Office</t>
  </si>
  <si>
    <t>Athens City Police Department</t>
  </si>
  <si>
    <t>Blue Ash Police Department</t>
  </si>
  <si>
    <t>Brook Park Police Department</t>
  </si>
  <si>
    <t>Canal Fulton Police Department</t>
  </si>
  <si>
    <t>Chardon Police Department</t>
  </si>
  <si>
    <t>Chillicothe Police Department</t>
  </si>
  <si>
    <t>Bay Village Police Department</t>
  </si>
  <si>
    <t>Springboro Police Department</t>
  </si>
  <si>
    <t>Sylvania Police Division</t>
  </si>
  <si>
    <t>Clark County Sheriff's Office</t>
  </si>
  <si>
    <t>Copley Police Department</t>
  </si>
  <si>
    <t>Covington Police Department</t>
  </si>
  <si>
    <t>Crawford County Sheriff's Office</t>
  </si>
  <si>
    <t>Delaware Police Department</t>
  </si>
  <si>
    <t>East Palestine Police Department</t>
  </si>
  <si>
    <t>Eastlake Police Department</t>
  </si>
  <si>
    <t>Enon Police Department</t>
  </si>
  <si>
    <t>Fairborn Police Department</t>
  </si>
  <si>
    <t>Fairlawn Police Department</t>
  </si>
  <si>
    <t>Fayette County Sheriff's Office</t>
  </si>
  <si>
    <t>Heath Police Department</t>
  </si>
  <si>
    <t>Highland County Sheriff's Office</t>
  </si>
  <si>
    <t>Highland Heights Police Department</t>
  </si>
  <si>
    <t>Johnstown Police Department</t>
  </si>
  <si>
    <t>Liberty Township Police Department</t>
  </si>
  <si>
    <t>Lisbon Police Department</t>
  </si>
  <si>
    <t>Mahoning County Sheriff's Office</t>
  </si>
  <si>
    <t>Mansfield Police Department</t>
  </si>
  <si>
    <t>Mayfield Village Police Department</t>
  </si>
  <si>
    <t>Miami County Sheriff's Office</t>
  </si>
  <si>
    <t>Miami Township Police Department</t>
  </si>
  <si>
    <t>Middleburg Heights Police Department</t>
  </si>
  <si>
    <t>Middlefield Police Department</t>
  </si>
  <si>
    <t>Monroe County Sheriff's Office</t>
  </si>
  <si>
    <t>Montgomery Police Department</t>
  </si>
  <si>
    <t>New Middletown Police Department</t>
  </si>
  <si>
    <t>Newton Falls Police Department</t>
  </si>
  <si>
    <t>North Olmsted Police Department</t>
  </si>
  <si>
    <t>Oakwood Public Safety Department</t>
  </si>
  <si>
    <t>Olmsted Township Police Department</t>
  </si>
  <si>
    <t>Pepper Pike Police Department</t>
  </si>
  <si>
    <t>Perry County Sheriff's Office</t>
  </si>
  <si>
    <t>Pickaway County Sheriff's Office</t>
  </si>
  <si>
    <t>Pickerington Police Department</t>
  </si>
  <si>
    <t>Poland Township Police Department</t>
  </si>
  <si>
    <t>Reading Police Department</t>
  </si>
  <si>
    <t>Reynoldsburg Police Department</t>
  </si>
  <si>
    <t>Solon Police Department</t>
  </si>
  <si>
    <t>Springfield Township Police Department</t>
  </si>
  <si>
    <t>Streetsboro Police Department</t>
  </si>
  <si>
    <t>Sugarcreek Police Department</t>
  </si>
  <si>
    <t>Sugarcreek Township Police Department</t>
  </si>
  <si>
    <t>Sylvania Township Police Department</t>
  </si>
  <si>
    <t>Trotwood Police Department</t>
  </si>
  <si>
    <t>Upper Sandusky Police Department</t>
  </si>
  <si>
    <t>Van Wert County Sheriff's Office</t>
  </si>
  <si>
    <t>Versailles Police Department</t>
  </si>
  <si>
    <t>Utica Police Department</t>
  </si>
  <si>
    <t>Baltimore Police Department</t>
  </si>
  <si>
    <t>Warrensville Heights Police Department</t>
  </si>
  <si>
    <t>Washington County Sheriff's Office</t>
  </si>
  <si>
    <t>110 W. Main Street</t>
  </si>
  <si>
    <t>1051 Dearbaugh Ave.</t>
  </si>
  <si>
    <t>601 W South Range Rd.</t>
  </si>
  <si>
    <t>4343 Cooper Rd.</t>
  </si>
  <si>
    <t>9069 Brecksville Rd.</t>
  </si>
  <si>
    <t>145 W. 1st St.</t>
  </si>
  <si>
    <t>1287 Tallmadge Rd.</t>
  </si>
  <si>
    <t>9543 Broadview Rd. #19</t>
  </si>
  <si>
    <t>17401 Holland Rd.</t>
  </si>
  <si>
    <t>1165 Locust Street</t>
  </si>
  <si>
    <t>120 North Founatain Avenue</t>
  </si>
  <si>
    <t>4200 Springdale Rd.</t>
  </si>
  <si>
    <t>1280 Sunset Drive</t>
  </si>
  <si>
    <t>1 S. High Street</t>
  </si>
  <si>
    <t>70 North Union St</t>
  </si>
  <si>
    <t>6565 Commerce Pkwy.</t>
  </si>
  <si>
    <t>35150 Lakeshore Boulevard.</t>
  </si>
  <si>
    <t>363 E Main St.</t>
  </si>
  <si>
    <t>70 W. Hebble Avenue</t>
  </si>
  <si>
    <t>3487 S. Smith Road</t>
  </si>
  <si>
    <t>100 N. Market St.</t>
  </si>
  <si>
    <t>14003 W. South Range Road</t>
  </si>
  <si>
    <t>114 Court St.</t>
  </si>
  <si>
    <t>1287 Hebron Rd.</t>
  </si>
  <si>
    <t>130 Homestead Ave.</t>
  </si>
  <si>
    <t>5827 Highland Road</t>
  </si>
  <si>
    <t>199 Portsmouth St.</t>
  </si>
  <si>
    <t>7383 Fulton Drive</t>
  </si>
  <si>
    <t>599 S. Main St.</t>
  </si>
  <si>
    <t>1315 Churchill Hubbard Road</t>
  </si>
  <si>
    <t>P.O. Box 558</t>
  </si>
  <si>
    <t>110 Fifth Avenue</t>
  </si>
  <si>
    <t>620 SOM Center Road</t>
  </si>
  <si>
    <t>201 W. Main St</t>
  </si>
  <si>
    <t>15850 Bagley Rd.</t>
  </si>
  <si>
    <t>50 Village Hall Rd.</t>
  </si>
  <si>
    <t>555 Stumbo Rd.</t>
  </si>
  <si>
    <t>28000 Shaker Boulevard</t>
  </si>
  <si>
    <t>110 W. Brown St. / P.O. Box 107</t>
  </si>
  <si>
    <t>1311 Refugee Rd.</t>
  </si>
  <si>
    <t>3339 Dobbins Road</t>
  </si>
  <si>
    <t>33 E Ohio Ave.</t>
  </si>
  <si>
    <t>21012 Hilliard Blvd.</t>
  </si>
  <si>
    <t>33000 Solon Rd.</t>
  </si>
  <si>
    <t>1130 Compton Rd.</t>
  </si>
  <si>
    <t>4398 Clyo Rd.</t>
  </si>
  <si>
    <t>3035 Olive Rd.</t>
  </si>
  <si>
    <t>245 Bohanan Dr.</t>
  </si>
  <si>
    <t>6 South Center St.</t>
  </si>
  <si>
    <t>141 South St. SE</t>
  </si>
  <si>
    <t>4301 Warrensville Center Road</t>
  </si>
  <si>
    <t>230 Clinton St.</t>
  </si>
  <si>
    <t>27300 Hilliard Blvd.</t>
  </si>
  <si>
    <t>101 N. Detroit St.</t>
  </si>
  <si>
    <t>Broadview Heights</t>
  </si>
  <si>
    <t>Bay Village</t>
  </si>
  <si>
    <t>Copley</t>
  </si>
  <si>
    <t>Covington</t>
  </si>
  <si>
    <t>Eastlake</t>
  </si>
  <si>
    <t>Fairborn</t>
  </si>
  <si>
    <t>Fairlawn</t>
  </si>
  <si>
    <t>Washington Court House</t>
  </si>
  <si>
    <t>Highland Heights</t>
  </si>
  <si>
    <t>Johnstown</t>
  </si>
  <si>
    <t>Mayfield Village</t>
  </si>
  <si>
    <t>Middleburg Heights</t>
  </si>
  <si>
    <t>North Olmsted</t>
  </si>
  <si>
    <t>Pepper Pike</t>
  </si>
  <si>
    <t>Poland</t>
  </si>
  <si>
    <t>Utica</t>
  </si>
  <si>
    <t>William R. Johnson</t>
  </si>
  <si>
    <t>Allen F. Solomon</t>
  </si>
  <si>
    <t>Jon Bokovitz</t>
  </si>
  <si>
    <t>Carl N. Frost</t>
  </si>
  <si>
    <t>Dennis Evers</t>
  </si>
  <si>
    <t>Galvin Fowler</t>
  </si>
  <si>
    <t>Gene A. Kelly</t>
  </si>
  <si>
    <t>Michael Mier</t>
  </si>
  <si>
    <t>Lee Harmon</t>
  </si>
  <si>
    <t>Lawrence Reik</t>
  </si>
  <si>
    <t>Terry Barlow</t>
  </si>
  <si>
    <t>Kenneth A. Walsh</t>
  </si>
  <si>
    <t>Steve McDaniel</t>
  </si>
  <si>
    <t>Simon L. Leis. Jr.</t>
  </si>
  <si>
    <t>Ronald J. Myers</t>
  </si>
  <si>
    <t>Ronald D. Ward</t>
  </si>
  <si>
    <t>James J. Cook</t>
  </si>
  <si>
    <t>Dave Zink</t>
  </si>
  <si>
    <t>Don Corbin</t>
  </si>
  <si>
    <t>Timothy J. Malley</t>
  </si>
  <si>
    <t>Richard Tisone</t>
  </si>
  <si>
    <t>Randall A. Wellington</t>
  </si>
  <si>
    <t>Richard A. Edelman</t>
  </si>
  <si>
    <t>John Maddox</t>
  </si>
  <si>
    <t>Joseph A. Tucholski</t>
  </si>
  <si>
    <t>Charles R. Black, Jr.</t>
  </si>
  <si>
    <t>Gary M. Lyons</t>
  </si>
  <si>
    <t>Don Simpson</t>
  </si>
  <si>
    <t>Thomas C. Jenkins, Sr.</t>
  </si>
  <si>
    <t>Jack Crivel</t>
  </si>
  <si>
    <t>Dwight E. Radcliff</t>
  </si>
  <si>
    <t>Brian Goodin</t>
  </si>
  <si>
    <t>George W. Lavender, Jr.</t>
  </si>
  <si>
    <t>Kevin M. Gessler, Sr.</t>
  </si>
  <si>
    <t>Matthew R. Mohn</t>
  </si>
  <si>
    <t>Louis Dirker Jr.</t>
  </si>
  <si>
    <t>Quincy Pope, Sr.</t>
  </si>
  <si>
    <t>Vince Beal</t>
  </si>
  <si>
    <t>Mark E. Humphreys</t>
  </si>
  <si>
    <t>Richard R. Lotze</t>
  </si>
  <si>
    <t>Sherry Poppe</t>
  </si>
  <si>
    <t>Pam Underwood</t>
  </si>
  <si>
    <t>Rose Kilbane</t>
  </si>
  <si>
    <t>Janice Marshall</t>
  </si>
  <si>
    <t>Carmen Siefring</t>
  </si>
  <si>
    <t>Mike Slocum</t>
  </si>
  <si>
    <t>Steven D. Westcott</t>
  </si>
  <si>
    <t>Randy Groves</t>
  </si>
  <si>
    <t>Patricia M. Bertsch</t>
  </si>
  <si>
    <t>Anthony Ianiro</t>
  </si>
  <si>
    <t>Larry Heiser</t>
  </si>
  <si>
    <t>Tony Meloro</t>
  </si>
  <si>
    <t>Michael V. Sciortino</t>
  </si>
  <si>
    <t>Ron Wynne</t>
  </si>
  <si>
    <t>Pandora J. Neuhart</t>
  </si>
  <si>
    <t>Joseph Granito</t>
  </si>
  <si>
    <t>Joseph Dubovec</t>
  </si>
  <si>
    <t>David Pazynski</t>
  </si>
  <si>
    <t>Brian K. Hartman</t>
  </si>
  <si>
    <t>Scott Cultice</t>
  </si>
  <si>
    <t>Duane Scott</t>
  </si>
  <si>
    <t>Rod Glazer</t>
  </si>
  <si>
    <t>Ralph E. Tanner, Jr.</t>
  </si>
  <si>
    <t>Dan Arwood</t>
  </si>
  <si>
    <t>Steve Zagar</t>
  </si>
  <si>
    <t>Rick Mitchell</t>
  </si>
  <si>
    <t>Michael Shuster</t>
  </si>
  <si>
    <t>Mary Pat Gilboy</t>
  </si>
  <si>
    <t>Richard Edelman</t>
  </si>
  <si>
    <t>Ms.</t>
  </si>
  <si>
    <t>Matt Treglia</t>
  </si>
  <si>
    <t>Brent Goff</t>
  </si>
  <si>
    <t>Blei</t>
  </si>
  <si>
    <t>Ralph Tanner</t>
  </si>
  <si>
    <t>Bill Titley</t>
  </si>
  <si>
    <t>Bobby Stroop</t>
  </si>
  <si>
    <t>Chris Cooperrider</t>
  </si>
  <si>
    <t>Michael Schuster</t>
  </si>
  <si>
    <t>Greg Tallion</t>
  </si>
  <si>
    <t>Investigator</t>
  </si>
  <si>
    <t>Chad Lauck</t>
  </si>
  <si>
    <t>Sarah Shendy</t>
  </si>
  <si>
    <t>Warren Clayton</t>
  </si>
  <si>
    <t>Don McGlothlin</t>
  </si>
  <si>
    <t>Ryan McKinney</t>
  </si>
  <si>
    <t>Richard Isabella</t>
  </si>
  <si>
    <t>Jim Knally</t>
  </si>
  <si>
    <t>RECALC</t>
  </si>
  <si>
    <t>RECALC 2</t>
  </si>
  <si>
    <t>RECALC 3</t>
  </si>
  <si>
    <t>RECALC 4</t>
  </si>
  <si>
    <t>RECALC 5</t>
  </si>
  <si>
    <t>RECALC 6</t>
  </si>
  <si>
    <t>RECALC 7</t>
  </si>
  <si>
    <t>RECALC 8</t>
  </si>
  <si>
    <t>RECALC 9</t>
  </si>
  <si>
    <t>RECALC 10</t>
  </si>
  <si>
    <t>RECALC TOTAL</t>
  </si>
  <si>
    <t>State certified Deputies Roy Lundstrom and Jim Hudson have been trained in the D.A.R.E. Over the Counter / Prescription Abuse curriculum. Both Deputies will provide the supplementary training to all schools as part of the D.A.R.E. program in addition to instructing the standard ten week elementary and middle school course of study.</t>
  </si>
  <si>
    <t>Fairfield Township D.A.R.E. officer Sgt. Vernon Shobe will teach the D.A.R.E. OTC/RX Drug Abuse Program as provided by the D.A.R.E. program as part of his curriculum.</t>
  </si>
  <si>
    <r>
      <t>Steubenville Police Department will be offering the D.A.R.E. “ BE SAFE with OTC and Rx “ program. Since being certified to teach this curriculum in February, 2008, Officer Rigaud has presented this program yearly to 1-4 grades and 7-8</t>
    </r>
    <r>
      <rPr>
        <vertAlign val="superscript"/>
        <sz val="11"/>
        <color theme="1"/>
        <rFont val="Calibri"/>
        <family val="2"/>
        <scheme val="minor"/>
      </rPr>
      <t>th</t>
    </r>
    <r>
      <rPr>
        <sz val="11"/>
        <color theme="1"/>
        <rFont val="Calibri"/>
        <family val="2"/>
        <scheme val="minor"/>
      </rPr>
      <t xml:space="preserve"> graders in the public schools of Steubenville. Officer Rigaud will continue such presentations to the school groupings as well as incorporate the lessons in the 5</t>
    </r>
    <r>
      <rPr>
        <vertAlign val="superscript"/>
        <sz val="11"/>
        <color theme="1"/>
        <rFont val="Calibri"/>
        <family val="2"/>
        <scheme val="minor"/>
      </rPr>
      <t>th</t>
    </r>
    <r>
      <rPr>
        <sz val="11"/>
        <color theme="1"/>
        <rFont val="Calibri"/>
        <family val="2"/>
        <scheme val="minor"/>
      </rPr>
      <t xml:space="preserve"> grade classes.</t>
    </r>
  </si>
  <si>
    <t>Sgt. Walsh will present the D.A.R.E. OTC/Prescription Drug Abuse Program at Glendale Elementary School during the next school (grant) year.  Sgt. Walsh will present the two elementary level lessons which focus on the safe use of prescription medication, including teaching students and parents how to read drug fact labels and the differences between over the counter and prescription medications.  This will be incorporated into the program at the end of the standard D.A.R.E. curriculum.</t>
  </si>
  <si>
    <t>Deputy Dennis R. Cotner will teach the D.A.R.E. OTC/Rx Drug Abuse Program curriculum and will include it on the Mid-Year and Final reports as required by the grant.</t>
  </si>
  <si>
    <t>The OTC/Rx Drug Abuse will be new for our students this year and I do plan on incorporating it into my lessons. With more prescription abuse on the rise in the schools, I plan on teaching, which I have already done when time allows, spoke to students the dangers of prescription drugs. This will give us as D.A.R.E. instructors more time with our students with the up and coming problems with this epidemic we are seeing within our schools. As I has said before in the Grant paperwork, this will be a great speach to incorporate into the Prom Night Drinking and Driving speach</t>
  </si>
  <si>
    <r>
      <t>Our department will utilize the D.A.R.E OTC/Rx Drug Abuse Program and curriculum to teach students the dangers of using other peoples over the counter medicine as well as the dangers of using manufactured drugs such as crack, marijuana, meth and others. The program will be implemented into the district starting with the 8</t>
    </r>
    <r>
      <rPr>
        <vertAlign val="superscript"/>
        <sz val="11"/>
        <color theme="1"/>
        <rFont val="Calibri"/>
        <family val="2"/>
        <scheme val="minor"/>
      </rPr>
      <t>th</t>
    </r>
    <r>
      <rPr>
        <sz val="11"/>
        <color theme="1"/>
        <rFont val="Calibri"/>
        <family val="2"/>
        <scheme val="minor"/>
      </rPr>
      <t xml:space="preserve"> thru 12</t>
    </r>
    <r>
      <rPr>
        <vertAlign val="superscript"/>
        <sz val="11"/>
        <color theme="1"/>
        <rFont val="Calibri"/>
        <family val="2"/>
        <scheme val="minor"/>
      </rPr>
      <t>th</t>
    </r>
    <r>
      <rPr>
        <sz val="11"/>
        <color theme="1"/>
        <rFont val="Calibri"/>
        <family val="2"/>
        <scheme val="minor"/>
      </rPr>
      <t xml:space="preserve"> grade students, seeing as through they are the at the age were they are most likely to use or try these types of drugs. The program will be especially of importance to the high school age students during prom season. </t>
    </r>
  </si>
  <si>
    <r>
      <t>The Portage County Sheriff's Office speaks to kindergarteners each year on gun and Halloween safety.  During this talk prescription drug safety is also discussed.</t>
    </r>
    <r>
      <rPr>
        <sz val="11"/>
        <color theme="1"/>
        <rFont val="Calibri"/>
        <family val="2"/>
        <scheme val="minor"/>
      </rPr>
      <t xml:space="preserve">  During the summer safety town week the officers talk to the four and five year olds about prescription drugs. The officers use the extra lesson DARE OTC/Rx Drug Abuse Program for the 5th graders.  When the three new officers are trained they will be presenting the DARE OTC/Rx program to the middle and high school students.</t>
    </r>
  </si>
  <si>
    <t>The Erie County Sheriff's Office will use the D.A.R.E. OTC/Rx Drug Abuse Program along with the Standard D.A.R.E. Program for the 2012-2013 year.  Thank you.</t>
  </si>
  <si>
    <t>Through the use of the Monroeville Police Department's certified D.A.R.E. Officer, the Village of Monroeville proposes to make personal contact with elementary and middle school students of the Monroeville School system, educate them on the dangers of drug abuse and provide means of combating it's spread. In addition, we will instruct the students of the dangers of prescription drug abuse. Also, the identification, reporting methods and procedures for handling illegal prescription drugs that they might come in contact with.</t>
  </si>
  <si>
    <t>I have taught the new DARE OTC Rx curriculum for the 2011/12 school year and will continue to do so for the 2012/13 school year and beyond. DARE has provided an excellent work book for the 5th graders to follow. This work book addresses many points regarding prescription drugs such as how to read a prescription label and how important it is to follow the Doctors instructions when taking these mediations, and many other valuable facts with regards to prescription drugs.</t>
  </si>
  <si>
    <t xml:space="preserve">This department will be using a Dangers of Rx Abuse program that is designed to address the problems our schools have expressed about the trend of using prescription medication of others and abuse of their own script after a trafficking issue arose over this school year. The program will be an educational attempt to inform students on the dangers of using prescription drugs and abusing their own prescriptions. This is an Awareness style program that will use One on One mentoring for those who are at risk and the use of presentations for the students noted in the grant application. </t>
  </si>
  <si>
    <t>Per our conversation all of the DARE Officer’s From the Hamilton County Sheriff’s Office will be teaching the OTC/Rx Drug Abuse Program for the year of 2012/2013.</t>
  </si>
  <si>
    <r>
      <t xml:space="preserve">The Oakwood Public Safety Department will be instructing the </t>
    </r>
    <r>
      <rPr>
        <sz val="11"/>
        <color theme="1"/>
        <rFont val="Calibri"/>
        <family val="2"/>
        <scheme val="minor"/>
      </rPr>
      <t>D.A.R.E. OTC/Rx Drug Abuse Program as part of our agency’s D.A.R.E. instruction in the schools.</t>
    </r>
  </si>
  <si>
    <t>Sugarcreek Twp Police will produce a brochure for the 8th graders to take home to their parents.  We also touch base on letting them know not to try anyone else's prescription.  Class discussion on the subject is part of the curriculum.</t>
  </si>
  <si>
    <t xml:space="preserve">The prescription drug abuse prevention program I currently teach in the Marietta City School system is designed around the prescription drugs that are widely abused in our local area. The dangers of the abuse of prescription drugs are explained and the legal consequences are given for using, sharing or selling these drugs. The information used is obtained mostly from N.I.D.A. (National Institute of Drug Abuse), Montoring the Future survey information, DARE documentation and local sources (Drug Task Force).  </t>
  </si>
  <si>
    <t>Officer Greg Lamb will be teaching the DARE OTC/Rx Drug Abuse Program as part of the core fifth-grade program at Fairfield Intermediate School.  He also incorporates this program into the third- and fourth-grade programs at Fairfield Central, South, and West Elementary Schools.</t>
  </si>
  <si>
    <t>The Olmsted Township Police Department D.A.R.E. /SRO Officer will instruct the D.A.R.E. OTC/Rx Drug Abuse Program curriculum during the 2012-2013 school year(s) for the Olmsted Falls School District if awarded the Drug Use Prevention Grant. Additionally, the D.A.R.E. /SRO Officer will provide the program for two (2) communities, Olmsted Township and Olmsted Falls.</t>
  </si>
  <si>
    <t xml:space="preserve">1. All Dublin SRO/DARE Officers have delivered annually, at the prescribed grade levels, the official DARE Supplemental OTC/RX Curriculum since it became available.  The delivery of these lessons will be completed in full for the 2012-2013 school year.  2. All Dublin high school level SRO/DARE Officers have also incorporated significant prescription drug abuse prevention information into the high school curriculum delivered at all 3 high schools.  This is in addition to the basic curriculum content required by DARE.  3. Officers in the Community Education Unit of the Dublin Division of Police also support the annual DEA National Drug Take-Back Event.  Dublin partners with community stakeholders including Ohio Health for this event.  Officers conduct related community education activities during the event.     </t>
  </si>
  <si>
    <t>Another area of the North Canton Police Department's SRO's  drug education, prevention, and counseling efforts specifically addresses the use and misuse of prescription drugs. They explain that prescription drugs are the second most commonly abused category of drugs, behind marijuana and ahead of cocaine, heroin, methamphetamine and other drugs. We share the information gathered by The National Institutes of Health estimates that nearly 20 percent of people in the United States have used prescription drugs for non-medical reasons. Prescription drug abuse is generally the same between men and women, except among 12 to 17 year olds. In this age group, research conducted by the National Institute on Drug Abuse found that females are more likely to use psychotherapeutic drugs for non-medical purposes. Research has also shown that women in general are more likely to use narcotic pain relievers and tranquilizers for non-medical purposes.Teens are also abusing other prescription drugs, including painkillers and depressants.The message the SRO's try to get people to understand is that drug addiction is a biological, pathological process that alters how the brain functions. Prolonged drug use changes the brain in fundamental and long-lasting ways. These long-lasting changes are a major component of the addiction itself.</t>
  </si>
  <si>
    <t>Kevin Hoying</t>
  </si>
  <si>
    <t>We use the DARE program and will include the D.A.R.E. OTC/ Rx Drug Abuse Program.</t>
  </si>
  <si>
    <t>Euclid Police Department</t>
  </si>
  <si>
    <t>545 East 222nd Street</t>
  </si>
  <si>
    <t>Euclid</t>
  </si>
  <si>
    <t>44123</t>
  </si>
  <si>
    <t>(216) 731-1234</t>
  </si>
  <si>
    <t>(216) 289-8543</t>
  </si>
  <si>
    <t>34-6000965</t>
  </si>
  <si>
    <t>Thomas Brickman</t>
  </si>
  <si>
    <t>(216) 289-8393</t>
  </si>
  <si>
    <t>tbrickman@cityofeuclid.com</t>
  </si>
  <si>
    <t>Jim Savage</t>
  </si>
  <si>
    <t>(216) 289-8431</t>
  </si>
  <si>
    <t>jsavage@cityofeuclid.com</t>
  </si>
  <si>
    <t>Edward Bonchak</t>
  </si>
  <si>
    <t>(440) 251-1218</t>
  </si>
  <si>
    <t>eucliddare@yahoo.com</t>
  </si>
  <si>
    <t>Ptl. Ed Bonchak who is certified in the D.A.R.E. Elementary and Middle School Programs will be instructing D.A.R.E. as part of his School Resource Officer duties. Ptl. Bonchak will use the standard 10 week D.A.R.E. curriculum, as well as a marijuana awareness and prevention program at the high school. The D.A.R.E. OTC/RX program will be instructed at the middle school level when time permits.</t>
  </si>
  <si>
    <t>Ptl. Ed Bonchak will offer the D.A.R.E. OTC/RX Drug Abuse Program to middle school aged youth. In addition, Ptl. Bonchak will counsel middle and high school youth through the City of Euclid's Diversion Program on the dangers of prescription abuse. As a Community Policing Officer, Ptl. Bonchak will meet with PTU's and Neighborhood Associations regarding prescription abuse.</t>
  </si>
  <si>
    <t>Ed Bonchak</t>
  </si>
  <si>
    <t>Mayfield Heights Police</t>
  </si>
  <si>
    <t>6154 Mayfield Road</t>
  </si>
  <si>
    <t>Mayfield Heights</t>
  </si>
  <si>
    <t>(440) 442-2323</t>
  </si>
  <si>
    <t>(440) 442-5589</t>
  </si>
  <si>
    <t>34-6001842</t>
  </si>
  <si>
    <t>Joseph M. Donnelly</t>
  </si>
  <si>
    <t>(440) 442-1685</t>
  </si>
  <si>
    <t>josephdonnelly@mayfieldheights.org</t>
  </si>
  <si>
    <t>Robertr Tribby</t>
  </si>
  <si>
    <t>(440) 442-2626</t>
  </si>
  <si>
    <t>roberttribby@mayfieldheights.org</t>
  </si>
  <si>
    <t>Steve Ondercin</t>
  </si>
  <si>
    <t>steveondercin@mayfieldheights.org</t>
  </si>
  <si>
    <t>2010DUP18-2169</t>
  </si>
  <si>
    <t>We will have one officer, Sgt. David Anderson, teaching the 10 week D.A.R.E curriculum.  We will also have two (2) SRO, James Steffey and Alvin Schmitt, in the Mayfield Middle school (grades 6 thru 8).  They will be teaching how tho make good sound and healthy choices in life.  They will also emphasize the hoe unacceptable bullying is and will not be tolerated.  Our SRO act as school security against any imminent threats and also as liasons between parent, the school and police department.</t>
  </si>
  <si>
    <t>We will be offering the D.A.R.E OTC/Rx drug abuse program.  This is a growing problem in our community as well as others.  We want to teach the dangers of Rx. abuse and help these young people make health choices in their futures.  These life skills will play an important part in their fute decisions in life.</t>
  </si>
  <si>
    <t>David Anderson</t>
  </si>
  <si>
    <t>100</t>
  </si>
  <si>
    <t>Sp. Ptlm</t>
  </si>
  <si>
    <t>Alvin Schmitt</t>
  </si>
  <si>
    <t>19.93</t>
  </si>
  <si>
    <t>17,697.84</t>
  </si>
  <si>
    <t>8,848.92</t>
  </si>
  <si>
    <t>James Steffey</t>
  </si>
  <si>
    <t>35.16</t>
  </si>
  <si>
    <t>40</t>
  </si>
  <si>
    <t>20,814.72</t>
  </si>
  <si>
    <t>10,407.36</t>
  </si>
  <si>
    <t>Willard Police Department</t>
  </si>
  <si>
    <t>631 South Myrtle Avenue</t>
  </si>
  <si>
    <t>Willard</t>
  </si>
  <si>
    <t>44890</t>
  </si>
  <si>
    <t>(419) 933-2561</t>
  </si>
  <si>
    <t>(419) 935-2804</t>
  </si>
  <si>
    <t>34-6401592</t>
  </si>
  <si>
    <t>Mark Holden</t>
  </si>
  <si>
    <t>mholden@willard-oh.com</t>
  </si>
  <si>
    <t>Jody Wagoner</t>
  </si>
  <si>
    <t>(419) 933-2581</t>
  </si>
  <si>
    <t>findirector@willard-oh.com</t>
  </si>
  <si>
    <t>2011DUP-39-221</t>
  </si>
  <si>
    <t>I have Officer Brian Slone assigned to my School System.  Ofc. Slone's official duties consist of acting as a School Resource Officer and DARE Instructor.  He is assigned full time to the school.  He instructs DARE to the 6th grade every year.  In addition to DARE, he instructs several classes a year in the prevention of prescription drug abuse as well as other sources of abuse such as alcohol and other drugs to the high school classes</t>
  </si>
  <si>
    <t>In addition to Ofc. Slone conducting the DARE program, he instructs several classes a year in the prevention of prescription drug abuse as well as other sources of abuse such as alcohol and other drugs to the high school classes.  Every Middle and High School class receives instruction in the dangers of prescription drug abuse.</t>
  </si>
  <si>
    <t>Brian K. Slone</t>
  </si>
  <si>
    <t>308 Miami Street</t>
  </si>
  <si>
    <t>Urbana</t>
  </si>
  <si>
    <t>43078</t>
  </si>
  <si>
    <t>Champaign County</t>
  </si>
  <si>
    <t>(937) 484-6091</t>
  </si>
  <si>
    <t>(937) 652-3622</t>
  </si>
  <si>
    <t>34-6400283</t>
  </si>
  <si>
    <t>Matthew R. Melvin</t>
  </si>
  <si>
    <t>(937) 484-1930</t>
  </si>
  <si>
    <t>mmelvin@co.champaign.oh.us</t>
  </si>
  <si>
    <t>Sarah L. Marsh</t>
  </si>
  <si>
    <t>(937) 484-1932</t>
  </si>
  <si>
    <t>smarsh@co.champaign.oh.us</t>
  </si>
  <si>
    <t>Phil McMahill</t>
  </si>
  <si>
    <t>pmcmahill@co.champaign.oh.us</t>
  </si>
  <si>
    <t>2010DUP11-2106</t>
  </si>
  <si>
    <t>Deputy McMahill will be instructing the Core DARE curriculum in the elementary and middle school systems in our county.  He will not only provide instruction in the classroom to promote and educate the students but he has promoted this through self esteem building and education skills during the school year by using the core values and instruction and completing this in an outdoor setting and a physical/mental challenge course used by the county school in an adjoining county.  He will also offer guidance and information to the county's youth by education at the county 4-H camp and fair.</t>
  </si>
  <si>
    <t>70</t>
  </si>
  <si>
    <t>Chief Doug Knight</t>
  </si>
  <si>
    <t>The drug use prevention grant helps provide all schools within the City of Vandalia-Bulter School Districkt the standard 10 week program, D.A.R.E. curriculumn to every 5th grad studnet in the district. Officer Holly Estepp will be the sole instructor for the program. I will also conduct a day long class on alcohol abuse at the Senior High School.</t>
  </si>
  <si>
    <t>The drug use prevention project will be conducted by Officer Holly Estepp. She will include the D.A.R.E. OTC/Rx Drug Abuse program lessons to the 5th grade curriculum. Officer Estepp will also offer the program to the middle schools and high school and emphasize the importance of these lessons in relationship to the epidemic of prescription abuse that we are having nationwide.</t>
  </si>
  <si>
    <t>Defiance County Sheriff's Office</t>
  </si>
  <si>
    <t>113 Biede Ave.</t>
  </si>
  <si>
    <t>Defiance</t>
  </si>
  <si>
    <t>43512</t>
  </si>
  <si>
    <t>Defiance County</t>
  </si>
  <si>
    <t>(419) 784-1155</t>
  </si>
  <si>
    <t>(419) 784-1592</t>
  </si>
  <si>
    <t>34-6400373</t>
  </si>
  <si>
    <t>David J. Westrick</t>
  </si>
  <si>
    <t>Pam Stephens</t>
  </si>
  <si>
    <t>Jim Hall</t>
  </si>
  <si>
    <t>darehall@defiance-county.com</t>
  </si>
  <si>
    <t>2011DUP20-1020</t>
  </si>
  <si>
    <t>The Defiance County Sheriff's Office employs (1) one full time deputy to coordinate the D.A.R.E. Program for the entire city &amp; county. Deputy Hall dedicates over 1440+ hours per calandar school yearfor the D.A.R.E. Program. This office in the past 9 years has expanded programing into the summer months to augment the school year cirriculm. Summer activities include a D.A.R.E. Summer Camp for grades 3rd - 7th. This camp also includes area Jr. High &amp; High school students as camp leaders as well as other adults and parents. Camper enrollment has been 200+. 4 of these camps are avaiable through out the summer months.</t>
  </si>
  <si>
    <t>This officer is currently and has been using the D.A.R.E. OTC/RX Drug Abuse Class since it's inception.</t>
  </si>
  <si>
    <t>100%</t>
  </si>
  <si>
    <t>Champaign County Sheriff's Office</t>
  </si>
  <si>
    <t>School Resource Officers will lecture to students that Prescription drug abuse means taking a prescription medication that is not prescribed for you, or taking it for reasons or in dosages other than as prescribed. Abuse of prescription drugs can produce serious health effects, including addiction. Officers will make students aware of the commonly abused classes of prescription medications which include opioids, barbiturates, and stimulants. Opioids include hydrocodone (Vicodin®), oxycodone (OxyContin®), propoxyphene (Darvon®), hydromorphone (Dilaudid®), meperidine (Demerol®), and diphenoxylate (Lomotil®).  Barbiturates such as pentobarbital sodium (Nembutal®), and benzodiazepines such as diazepam (Valium®) and alprazolam (Xanax®). Stimulants include dextroamphetamine (Dexedrine®), methylphenidate (Ritalin® and Concerta®), and amphetamines (Adderall®). Students will also learn that long-term use of opioids or central nervous system depressants can lead to physical dependence and addiction. School Resource Officers will stress to students that Opioids can produce drowsiness, constipation and, depending on amount taken, can depress breathing. Central nervous system depressants (barbiturates) slow down brain function; if combined with other medications that cause drowsiness or with alcohol, heart rate and respiration can slow down dangerously. Taken repeatedly or in high doses, stimulants can cause anxiety, paranoia, dangerously high body temperatures, irregular heartbeat, or seizures.</t>
  </si>
  <si>
    <t>Ward</t>
  </si>
  <si>
    <t>Lyons</t>
  </si>
  <si>
    <t>Kuivila</t>
  </si>
  <si>
    <t>McKitrick</t>
  </si>
  <si>
    <t>McClelland</t>
  </si>
  <si>
    <t>Wasylyshyn</t>
  </si>
  <si>
    <t>Jenkins</t>
  </si>
  <si>
    <t>Davidson</t>
  </si>
  <si>
    <t>Dickey</t>
  </si>
  <si>
    <t>Quinn</t>
  </si>
  <si>
    <t>Owens</t>
  </si>
  <si>
    <t>Mills</t>
  </si>
  <si>
    <t>Zink</t>
  </si>
  <si>
    <t>Roddy</t>
  </si>
  <si>
    <t>Lazor</t>
  </si>
  <si>
    <t>Solomon</t>
  </si>
  <si>
    <t>Golden</t>
  </si>
  <si>
    <t>Stell</t>
  </si>
  <si>
    <t>Risner</t>
  </si>
  <si>
    <t>Boehme</t>
  </si>
  <si>
    <t>Telb</t>
  </si>
  <si>
    <t>Goss</t>
  </si>
  <si>
    <t>Humphreys</t>
  </si>
  <si>
    <t>Kruithoff</t>
  </si>
  <si>
    <t>Klamar</t>
  </si>
  <si>
    <t>Morbitzer</t>
  </si>
  <si>
    <t>Taylor</t>
  </si>
  <si>
    <t>Suciu</t>
  </si>
  <si>
    <t>Deaton</t>
  </si>
  <si>
    <t>Burg</t>
  </si>
  <si>
    <t>Evers</t>
  </si>
  <si>
    <t>Monteleone</t>
  </si>
  <si>
    <t>Stanforth</t>
  </si>
  <si>
    <t>Phelps</t>
  </si>
  <si>
    <t>Bailey</t>
  </si>
  <si>
    <t>Martin</t>
  </si>
  <si>
    <t>Ellis</t>
  </si>
  <si>
    <t>Goodin</t>
  </si>
  <si>
    <t>Callahan</t>
  </si>
  <si>
    <t>Jones</t>
  </si>
  <si>
    <t>Wilder</t>
  </si>
  <si>
    <t>Barlow</t>
  </si>
  <si>
    <t>Ingram</t>
  </si>
  <si>
    <t>Lenhart</t>
  </si>
  <si>
    <t>Mathis</t>
  </si>
  <si>
    <t>Walling</t>
  </si>
  <si>
    <t>Smith</t>
  </si>
  <si>
    <t>Dirker</t>
  </si>
  <si>
    <t>Pomesky</t>
  </si>
  <si>
    <t>Stillman</t>
  </si>
  <si>
    <t>Snow</t>
  </si>
  <si>
    <t>Sedlak</t>
  </si>
  <si>
    <t>Gessler</t>
  </si>
  <si>
    <t>Mannarino</t>
  </si>
  <si>
    <t>Homer</t>
  </si>
  <si>
    <t>Lippert</t>
  </si>
  <si>
    <t>Mosley</t>
  </si>
  <si>
    <t>D'Egidio</t>
  </si>
  <si>
    <t>Conner</t>
  </si>
  <si>
    <t>Fowler</t>
  </si>
  <si>
    <t>Cannon</t>
  </si>
  <si>
    <t>Person</t>
  </si>
  <si>
    <t>Mohn</t>
  </si>
  <si>
    <t>Gavalier</t>
  </si>
  <si>
    <t>Wenzlick</t>
  </si>
  <si>
    <t>Palmer</t>
  </si>
  <si>
    <t>Chaney</t>
  </si>
  <si>
    <t>Abdalla</t>
  </si>
  <si>
    <t>Robinette</t>
  </si>
  <si>
    <t>Sgambellone</t>
  </si>
  <si>
    <t>Laman</t>
  </si>
  <si>
    <t>Bebris</t>
  </si>
  <si>
    <t>Wiersma</t>
  </si>
  <si>
    <t>Moody</t>
  </si>
  <si>
    <t>Vizer</t>
  </si>
  <si>
    <t>Torbet</t>
  </si>
  <si>
    <t>McKenna</t>
  </si>
  <si>
    <t>McDaniel</t>
  </si>
  <si>
    <t>Swanson</t>
  </si>
  <si>
    <t>Kelly</t>
  </si>
  <si>
    <t>Warman</t>
  </si>
  <si>
    <t>Sabransky</t>
  </si>
  <si>
    <t>Lindsey</t>
  </si>
  <si>
    <t>Walsh</t>
  </si>
  <si>
    <t>Patton</t>
  </si>
  <si>
    <t>Paez</t>
  </si>
  <si>
    <t>Edelman</t>
  </si>
  <si>
    <t>Colucci</t>
  </si>
  <si>
    <t>Rollins</t>
  </si>
  <si>
    <t>Foster</t>
  </si>
  <si>
    <t>Fisher</t>
  </si>
  <si>
    <t>Sims</t>
  </si>
  <si>
    <t>St.John</t>
  </si>
  <si>
    <t>Noga</t>
  </si>
  <si>
    <t>Hete</t>
  </si>
  <si>
    <t>Crivel</t>
  </si>
  <si>
    <t>Malley</t>
  </si>
  <si>
    <t>Pecchio</t>
  </si>
  <si>
    <t>Moore</t>
  </si>
  <si>
    <t>Cox</t>
  </si>
  <si>
    <t>Beal</t>
  </si>
  <si>
    <t>Deforest</t>
  </si>
  <si>
    <t>Heldman</t>
  </si>
  <si>
    <t>Wallace</t>
  </si>
  <si>
    <t>Von Eckartsbert</t>
  </si>
  <si>
    <t>Tussey</t>
  </si>
  <si>
    <t>Viland</t>
  </si>
  <si>
    <t>Rhodus</t>
  </si>
  <si>
    <t>Meloy</t>
  </si>
  <si>
    <t>Schappa</t>
  </si>
  <si>
    <t>Lavender</t>
  </si>
  <si>
    <t>Cook</t>
  </si>
  <si>
    <t>Gladis</t>
  </si>
  <si>
    <t>Mielke</t>
  </si>
  <si>
    <t>Kaser</t>
  </si>
  <si>
    <t>Simpson</t>
  </si>
  <si>
    <t>Hammond</t>
  </si>
  <si>
    <t>Maracz</t>
  </si>
  <si>
    <t>Mier</t>
  </si>
  <si>
    <t>Bowers</t>
  </si>
  <si>
    <t>Stammitti</t>
  </si>
  <si>
    <t>Higgins</t>
  </si>
  <si>
    <t>Gallagher</t>
  </si>
  <si>
    <t>Reik</t>
  </si>
  <si>
    <t>Dressler</t>
  </si>
  <si>
    <t>Tisone</t>
  </si>
  <si>
    <t>Alexander</t>
  </si>
  <si>
    <t>Wright</t>
  </si>
  <si>
    <t>Pyle</t>
  </si>
  <si>
    <t>Swartz</t>
  </si>
  <si>
    <t>Minek</t>
  </si>
  <si>
    <t>Leis</t>
  </si>
  <si>
    <t>Ferrell</t>
  </si>
  <si>
    <t>Pope</t>
  </si>
  <si>
    <t>Shawber</t>
  </si>
  <si>
    <t>Crish</t>
  </si>
  <si>
    <t>Heimpold</t>
  </si>
  <si>
    <t>Radcliff</t>
  </si>
  <si>
    <t>Scott</t>
  </si>
  <si>
    <t>McGrath</t>
  </si>
  <si>
    <t>Grey</t>
  </si>
  <si>
    <t>Johnson</t>
  </si>
  <si>
    <t>McCafferty</t>
  </si>
  <si>
    <t>Grice</t>
  </si>
  <si>
    <t>Frost</t>
  </si>
  <si>
    <t>Tucholski</t>
  </si>
  <si>
    <t>Bigler</t>
  </si>
  <si>
    <t>Shepherd</t>
  </si>
  <si>
    <t>Jelenic</t>
  </si>
  <si>
    <t>Jamison</t>
  </si>
  <si>
    <t>Corbin</t>
  </si>
  <si>
    <t>Oliver</t>
  </si>
  <si>
    <t>Schultz</t>
  </si>
  <si>
    <t>Maddox</t>
  </si>
  <si>
    <t>Straube</t>
  </si>
  <si>
    <t>Eisnaugle</t>
  </si>
  <si>
    <t>Navarre</t>
  </si>
  <si>
    <t>Mincks</t>
  </si>
  <si>
    <t>Rogers</t>
  </si>
  <si>
    <t>Wilkinson</t>
  </si>
  <si>
    <t>Light</t>
  </si>
  <si>
    <t>Olds</t>
  </si>
  <si>
    <t>Sabin</t>
  </si>
  <si>
    <t>Bokovitz</t>
  </si>
  <si>
    <t>Diggs</t>
  </si>
  <si>
    <t>Ware</t>
  </si>
  <si>
    <t>Myers</t>
  </si>
  <si>
    <t>Fizer</t>
  </si>
  <si>
    <t>Hassinger</t>
  </si>
  <si>
    <t>Harmon</t>
  </si>
  <si>
    <t>Browning</t>
  </si>
  <si>
    <t>Black</t>
  </si>
  <si>
    <t>Doak</t>
  </si>
  <si>
    <t>Duber</t>
  </si>
  <si>
    <t>Barker</t>
  </si>
  <si>
    <t>Holzworth</t>
  </si>
  <si>
    <t>Brickman</t>
  </si>
  <si>
    <t>Donnelly</t>
  </si>
  <si>
    <t>Holden</t>
  </si>
  <si>
    <t>Melvin</t>
  </si>
  <si>
    <t>Knight</t>
  </si>
  <si>
    <t>Westrick</t>
  </si>
  <si>
    <t>The Warren Police Department participates with Alliance for Substance Abuse Prevention through the Trumbull County Mental Health and Recovery Board.  I am going to meet with the Associate Superintendent of the Warren City Schools.  They have a Curriculum Specialist prepare a lesson.  The School Resource Officers then presents the lesson to target groups selected by the Associate Superintendent.  The lesson will include Operation: Empty Medicine Cabinet, early awareness, drug identification and intervention.</t>
  </si>
  <si>
    <t>We have plans to implement the current lessons to the program in the next school year in conjunction with the current curriculum .  With the cooperation of the schools, we are planning to initiate parent meetings to present the information to them to better educate the parents to the dangers and signs of abuse.  Along with this, making presentations to civic organizations and clubs. With a strong 4-H bas in the county, we will cooperate with the county extension agency to facilitate instruction to the junior leaders not only to educate them but to promote role models in the community.   </t>
  </si>
  <si>
    <t>The Madison County Sheriff’s Office uses the D.A.R.E. OTC/Rx Drug program in all of the schools in Madison County.  This program is taught by Deputy Roberta Braithwaite who was trained last year.  Deputy Braithwaite is and will be instructing the D.A.R.E. OTC/Rx Drug program in both the Elementary  as well as the Middle School.  Several weeks have been added to both the Elem Core program and the Middle School program to accomplish this.</t>
  </si>
  <si>
    <t>AWARD AMOUNT</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</si>
</sst>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6" formatCode="&quot;$&quot;#,##0_);[Red]\(&quot;$&quot;#,##0\)"/>
    <numFmt numFmtId="8" formatCode="&quot;$&quot;#,##0.00_);[Red]\(&quot;$&quot;#,##0.00\)"/>
    <numFmt numFmtId="44" formatCode="_(&quot;$&quot;* #,##0.00_);_(&quot;$&quot;* \(#,##0.00\);_(&quot;$&quot;* &quot;-&quot;??_);_(@_)"/>
    <numFmt numFmtId="164" formatCode="&quot;$&quot;#,##0.00"/>
  </numFmts>
  <fonts count="8" x14ac:knownFonts="1">
    <font>
      <sz val="11"/>
      <color theme="1"/>
      <name val="Calibri"/>
      <family val="2"/>
      <scheme val="minor"/>
    </font>
    <font>
      <sz val="11"/>
      <color theme="1"/>
      <name val="Calibri"/>
      <family val="2"/>
    </font>
    <font>
      <vertAlign val="superscript"/>
      <sz val="11"/>
      <color theme="1"/>
      <name val="Calibri"/>
      <family val="2"/>
      <scheme val="minor"/>
    </font>
    <font>
      <sz val="10"/>
      <color theme="1"/>
      <name val="Tahoma"/>
      <family val="2"/>
    </font>
    <font>
      <sz val="11"/>
      <name val="Calibri"/>
      <family val="2"/>
    </font>
    <font>
      <sz val="11"/>
      <name val="Calibri"/>
      <family val="2"/>
      <scheme val="minor"/>
    </font>
    <font>
      <sz val="9"/>
      <color indexed="81"/>
      <name val="Tahoma"/>
      <family val="2"/>
    </font>
    <font>
      <b/>
      <sz val="9"/>
      <color indexed="81"/>
      <name val="Tahoma"/>
      <family val="2"/>
    </font>
  </fonts>
  <fills count="6">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0" tint="-0.499984740745262"/>
        <bgColor indexed="64"/>
      </patternFill>
    </fill>
    <fill>
      <patternFill patternType="solid">
        <fgColor theme="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64">
    <xf numFmtId="0" fontId="0" fillId="0" borderId="0" xfId="0"/>
    <xf numFmtId="0" fontId="0" fillId="0" borderId="0" xfId="0" applyFont="1" applyAlignment="1">
      <alignment wrapText="1"/>
    </xf>
    <xf numFmtId="0" fontId="0" fillId="0" borderId="0" xfId="0" applyFont="1"/>
    <xf numFmtId="0" fontId="0" fillId="3" borderId="1" xfId="0" applyFont="1" applyFill="1" applyBorder="1"/>
    <xf numFmtId="0" fontId="0" fillId="4" borderId="0" xfId="0" applyFont="1" applyFill="1"/>
    <xf numFmtId="4" fontId="0" fillId="3" borderId="1" xfId="0" applyNumberFormat="1" applyFont="1" applyFill="1" applyBorder="1"/>
    <xf numFmtId="0" fontId="0" fillId="2" borderId="0" xfId="0" applyFont="1" applyFill="1"/>
    <xf numFmtId="0" fontId="0" fillId="5" borderId="1" xfId="0" applyFont="1" applyFill="1" applyBorder="1"/>
    <xf numFmtId="164" fontId="0" fillId="5" borderId="1" xfId="0" applyNumberFormat="1" applyFont="1" applyFill="1" applyBorder="1"/>
    <xf numFmtId="0" fontId="0" fillId="5" borderId="0" xfId="0" applyFont="1" applyFill="1"/>
    <xf numFmtId="164" fontId="0" fillId="5" borderId="0" xfId="0" applyNumberFormat="1" applyFont="1" applyFill="1"/>
    <xf numFmtId="8" fontId="0" fillId="5" borderId="1" xfId="0" applyNumberFormat="1" applyFont="1" applyFill="1" applyBorder="1"/>
    <xf numFmtId="4" fontId="0" fillId="5" borderId="1" xfId="0" applyNumberFormat="1" applyFont="1" applyFill="1" applyBorder="1"/>
    <xf numFmtId="3" fontId="0" fillId="5" borderId="1" xfId="0" applyNumberFormat="1" applyFont="1" applyFill="1" applyBorder="1"/>
    <xf numFmtId="6" fontId="0" fillId="5" borderId="1" xfId="0" applyNumberFormat="1" applyFont="1" applyFill="1" applyBorder="1"/>
    <xf numFmtId="0" fontId="0" fillId="0" borderId="1" xfId="0" applyFont="1" applyBorder="1"/>
    <xf numFmtId="0" fontId="0" fillId="0" borderId="1" xfId="0" applyFont="1" applyBorder="1" applyAlignment="1">
      <alignment wrapText="1"/>
    </xf>
    <xf numFmtId="1" fontId="0" fillId="0" borderId="1" xfId="0" applyNumberFormat="1" applyFont="1" applyBorder="1"/>
    <xf numFmtId="44" fontId="0" fillId="0" borderId="1" xfId="0" applyNumberFormat="1" applyFont="1" applyBorder="1"/>
    <xf numFmtId="0" fontId="0" fillId="2" borderId="1" xfId="0" applyFont="1" applyFill="1" applyBorder="1" applyAlignment="1">
      <alignment wrapText="1"/>
    </xf>
    <xf numFmtId="8" fontId="0" fillId="0" borderId="1" xfId="0" applyNumberFormat="1" applyFont="1" applyBorder="1"/>
    <xf numFmtId="6" fontId="0" fillId="0" borderId="1" xfId="0" applyNumberFormat="1" applyFont="1" applyBorder="1"/>
    <xf numFmtId="0" fontId="0" fillId="5" borderId="1" xfId="0" applyFont="1" applyFill="1" applyBorder="1" applyAlignment="1">
      <alignment wrapText="1"/>
    </xf>
    <xf numFmtId="0" fontId="0" fillId="0" borderId="1" xfId="0" applyFont="1" applyBorder="1" applyAlignment="1">
      <alignment vertical="center" wrapText="1"/>
    </xf>
    <xf numFmtId="0" fontId="0" fillId="0" borderId="1" xfId="0" applyFont="1" applyBorder="1" applyAlignment="1">
      <alignment horizontal="justify" vertical="center"/>
    </xf>
    <xf numFmtId="0" fontId="3" fillId="0" borderId="1" xfId="0" applyFont="1" applyBorder="1" applyAlignment="1">
      <alignment vertical="center"/>
    </xf>
    <xf numFmtId="0" fontId="0" fillId="0" borderId="1" xfId="0" applyBorder="1" applyAlignment="1">
      <alignment wrapText="1"/>
    </xf>
    <xf numFmtId="0" fontId="5" fillId="0" borderId="1" xfId="0" applyFont="1" applyBorder="1" applyAlignment="1">
      <alignment wrapText="1"/>
    </xf>
    <xf numFmtId="0" fontId="0" fillId="2" borderId="1" xfId="0" applyFont="1" applyFill="1" applyBorder="1"/>
    <xf numFmtId="0" fontId="1" fillId="0" borderId="1" xfId="0" applyFont="1" applyBorder="1" applyAlignment="1">
      <alignment horizontal="left" wrapText="1"/>
    </xf>
    <xf numFmtId="0" fontId="1" fillId="0" borderId="1" xfId="0" applyFont="1" applyBorder="1" applyAlignment="1">
      <alignment wrapText="1"/>
    </xf>
    <xf numFmtId="1" fontId="0" fillId="5" borderId="1" xfId="0" applyNumberFormat="1" applyFont="1" applyFill="1" applyBorder="1"/>
    <xf numFmtId="44" fontId="0" fillId="5" borderId="1" xfId="0" applyNumberFormat="1" applyFont="1" applyFill="1" applyBorder="1"/>
    <xf numFmtId="0" fontId="0" fillId="0" borderId="1" xfId="0" applyBorder="1"/>
    <xf numFmtId="0" fontId="0" fillId="2" borderId="1" xfId="0" applyFill="1" applyBorder="1"/>
    <xf numFmtId="1" fontId="0" fillId="0" borderId="1" xfId="0" applyNumberFormat="1" applyFont="1" applyFill="1" applyBorder="1"/>
    <xf numFmtId="0" fontId="0" fillId="0" borderId="1" xfId="0" applyFill="1" applyBorder="1"/>
    <xf numFmtId="0" fontId="5" fillId="0" borderId="1" xfId="0" applyFont="1" applyBorder="1" applyAlignment="1">
      <alignment vertical="center" wrapText="1"/>
    </xf>
    <xf numFmtId="4" fontId="0" fillId="3" borderId="2" xfId="0" applyNumberFormat="1" applyFont="1" applyFill="1" applyBorder="1"/>
    <xf numFmtId="0" fontId="0" fillId="3" borderId="1" xfId="0" applyFill="1" applyBorder="1"/>
    <xf numFmtId="164" fontId="0" fillId="0" borderId="0" xfId="0" applyNumberFormat="1" applyFont="1"/>
    <xf numFmtId="0" fontId="4" fillId="0" borderId="1" xfId="0" applyFont="1" applyBorder="1" applyAlignment="1">
      <alignment horizontal="left" wrapText="1"/>
    </xf>
    <xf numFmtId="0" fontId="4" fillId="0" borderId="1" xfId="0" applyFont="1" applyBorder="1" applyAlignment="1">
      <alignment wrapText="1"/>
    </xf>
    <xf numFmtId="0" fontId="0" fillId="0" borderId="3" xfId="0" applyFont="1" applyBorder="1"/>
    <xf numFmtId="0" fontId="0" fillId="0" borderId="4" xfId="0" applyFont="1" applyBorder="1"/>
    <xf numFmtId="0" fontId="0" fillId="0" borderId="4" xfId="0" applyFont="1" applyBorder="1" applyAlignment="1">
      <alignment wrapText="1"/>
    </xf>
    <xf numFmtId="0" fontId="0" fillId="3" borderId="4" xfId="0" applyFont="1" applyFill="1" applyBorder="1"/>
    <xf numFmtId="0" fontId="0" fillId="5" borderId="4" xfId="0" applyFont="1" applyFill="1" applyBorder="1"/>
    <xf numFmtId="164" fontId="0" fillId="5" borderId="4" xfId="0" applyNumberFormat="1" applyFont="1" applyFill="1" applyBorder="1"/>
    <xf numFmtId="164" fontId="0" fillId="5" borderId="5" xfId="0" applyNumberFormat="1" applyFont="1" applyFill="1" applyBorder="1"/>
    <xf numFmtId="0" fontId="0" fillId="0" borderId="6" xfId="0" applyFont="1" applyBorder="1"/>
    <xf numFmtId="164" fontId="0" fillId="0" borderId="7" xfId="0" applyNumberFormat="1" applyFont="1" applyBorder="1"/>
    <xf numFmtId="0" fontId="0" fillId="0" borderId="6" xfId="0" applyBorder="1"/>
    <xf numFmtId="0" fontId="0" fillId="5" borderId="6" xfId="0" applyFont="1" applyFill="1" applyBorder="1"/>
    <xf numFmtId="0" fontId="0" fillId="0" borderId="8" xfId="0" applyFont="1" applyBorder="1"/>
    <xf numFmtId="0" fontId="0" fillId="0" borderId="9" xfId="0" applyFont="1" applyBorder="1"/>
    <xf numFmtId="0" fontId="0" fillId="0" borderId="9" xfId="0" applyFont="1" applyBorder="1" applyAlignment="1">
      <alignment wrapText="1"/>
    </xf>
    <xf numFmtId="1" fontId="0" fillId="0" borderId="9" xfId="0" applyNumberFormat="1" applyFont="1" applyBorder="1"/>
    <xf numFmtId="44" fontId="0" fillId="0" borderId="9" xfId="0" applyNumberFormat="1" applyFont="1" applyBorder="1"/>
    <xf numFmtId="0" fontId="0" fillId="3" borderId="9" xfId="0" applyFont="1" applyFill="1" applyBorder="1"/>
    <xf numFmtId="0" fontId="0" fillId="5" borderId="9" xfId="0" applyFont="1" applyFill="1" applyBorder="1"/>
    <xf numFmtId="164" fontId="0" fillId="5" borderId="9" xfId="0" applyNumberFormat="1" applyFont="1" applyFill="1" applyBorder="1"/>
    <xf numFmtId="4" fontId="0" fillId="3" borderId="9" xfId="0" applyNumberFormat="1" applyFont="1" applyFill="1" applyBorder="1"/>
    <xf numFmtId="164" fontId="0" fillId="0" borderId="10" xfId="0" applyNumberFormat="1" applyFont="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DM192"/>
  <sheetViews>
    <sheetView tabSelected="1" zoomScaleNormal="100" workbookViewId="0">
      <pane ySplit="1" topLeftCell="A2" activePane="bottomLeft" state="frozen"/>
      <selection pane="bottomLeft" activeCell="DM75" sqref="DM75"/>
    </sheetView>
  </sheetViews>
  <sheetFormatPr defaultRowHeight="17.25" customHeight="1" x14ac:dyDescent="0.25"/>
  <cols>
    <col min="1" max="1" width="37.42578125" style="2" customWidth="1"/>
    <col min="2" max="2" width="32.28515625" style="2" hidden="1" customWidth="1"/>
    <col min="3" max="3" width="11.42578125" style="2" hidden="1" customWidth="1"/>
    <col min="4" max="4" width="9.140625" style="2" hidden="1" customWidth="1"/>
    <col min="5" max="5" width="8.28515625" style="2" hidden="1" customWidth="1"/>
    <col min="6" max="8" width="9.140625" style="2" hidden="1" customWidth="1"/>
    <col min="9" max="10" width="24" style="2" hidden="1" customWidth="1"/>
    <col min="11" max="13" width="9.140625" style="2" hidden="1" customWidth="1"/>
    <col min="14" max="14" width="31.5703125" style="2" hidden="1" customWidth="1"/>
    <col min="15" max="16" width="9.140625" style="2" hidden="1" customWidth="1"/>
    <col min="17" max="17" width="22.5703125" style="2" hidden="1" customWidth="1"/>
    <col min="18" max="23" width="9.140625" style="2" hidden="1" customWidth="1"/>
    <col min="24" max="24" width="78.85546875" style="1" hidden="1" customWidth="1"/>
    <col min="25" max="25" width="9.140625" style="2" hidden="1" customWidth="1"/>
    <col min="26" max="26" width="88" style="1" hidden="1" customWidth="1"/>
    <col min="27" max="33" width="9.140625" style="2" hidden="1" customWidth="1"/>
    <col min="34" max="34" width="0" style="2" hidden="1" customWidth="1"/>
    <col min="35" max="35" width="21.85546875" style="2" hidden="1" customWidth="1"/>
    <col min="36" max="36" width="0" style="2" hidden="1" customWidth="1"/>
    <col min="37" max="38" width="9.140625" style="2" hidden="1" customWidth="1"/>
    <col min="39" max="39" width="0" style="2" hidden="1" customWidth="1"/>
    <col min="40" max="42" width="9.140625" style="9" hidden="1" customWidth="1"/>
    <col min="43" max="43" width="10.140625" style="10" hidden="1" customWidth="1"/>
    <col min="44" max="46" width="9.140625" style="9" hidden="1" customWidth="1"/>
    <col min="47" max="47" width="9" style="2" hidden="1" customWidth="1"/>
    <col min="48" max="50" width="9.140625" style="9" hidden="1" customWidth="1"/>
    <col min="51" max="51" width="10.140625" style="10" hidden="1" customWidth="1"/>
    <col min="52" max="54" width="9.140625" style="9" hidden="1" customWidth="1"/>
    <col min="55" max="55" width="0" style="2" hidden="1" customWidth="1"/>
    <col min="56" max="58" width="9.140625" style="9" hidden="1" customWidth="1"/>
    <col min="59" max="59" width="10.85546875" style="9" hidden="1" customWidth="1"/>
    <col min="60" max="62" width="9.140625" style="9" hidden="1" customWidth="1"/>
    <col min="63" max="63" width="0" style="2" hidden="1" customWidth="1"/>
    <col min="64" max="66" width="9.140625" style="9" hidden="1" customWidth="1"/>
    <col min="67" max="67" width="10.85546875" style="10" hidden="1" customWidth="1"/>
    <col min="68" max="70" width="9.140625" style="9" hidden="1" customWidth="1"/>
    <col min="71" max="71" width="0" style="2" hidden="1" customWidth="1"/>
    <col min="72" max="74" width="9.140625" style="9" hidden="1" customWidth="1"/>
    <col min="75" max="75" width="10.85546875" style="10" hidden="1" customWidth="1"/>
    <col min="76" max="78" width="9.140625" style="9" hidden="1" customWidth="1"/>
    <col min="79" max="79" width="0" style="2" hidden="1" customWidth="1"/>
    <col min="80" max="82" width="9.140625" style="9" hidden="1" customWidth="1"/>
    <col min="83" max="83" width="10.140625" style="10" hidden="1" customWidth="1"/>
    <col min="84" max="86" width="9.140625" style="9" hidden="1" customWidth="1"/>
    <col min="87" max="87" width="0" style="2" hidden="1" customWidth="1"/>
    <col min="88" max="90" width="9.140625" style="9" hidden="1" customWidth="1"/>
    <col min="91" max="91" width="10.140625" style="10" hidden="1" customWidth="1"/>
    <col min="92" max="94" width="9.140625" style="9" hidden="1" customWidth="1"/>
    <col min="95" max="95" width="0" style="2" hidden="1" customWidth="1"/>
    <col min="96" max="98" width="9.140625" style="9" hidden="1" customWidth="1"/>
    <col min="99" max="99" width="10.140625" style="9" hidden="1" customWidth="1"/>
    <col min="100" max="102" width="9.140625" style="9" hidden="1" customWidth="1"/>
    <col min="103" max="103" width="0" style="2" hidden="1" customWidth="1"/>
    <col min="104" max="106" width="9.140625" style="9" hidden="1" customWidth="1"/>
    <col min="107" max="107" width="10.140625" style="9" hidden="1" customWidth="1"/>
    <col min="108" max="110" width="9.140625" style="9" hidden="1" customWidth="1"/>
    <col min="111" max="111" width="0" style="2" hidden="1" customWidth="1"/>
    <col min="112" max="113" width="9.140625" style="9" hidden="1" customWidth="1"/>
    <col min="114" max="114" width="0" style="9" hidden="1" customWidth="1"/>
    <col min="115" max="115" width="13.7109375" style="2" hidden="1" customWidth="1"/>
    <col min="116" max="116" width="0" style="2" hidden="1" customWidth="1"/>
    <col min="117" max="117" width="16.5703125" style="40" bestFit="1" customWidth="1"/>
    <col min="118" max="16384" width="9.140625" style="2"/>
  </cols>
  <sheetData>
    <row r="1" spans="1:117" ht="17.25" customHeight="1" x14ac:dyDescent="0.25">
      <c r="A1" s="43" t="s">
        <v>0</v>
      </c>
      <c r="B1" s="44" t="s">
        <v>1</v>
      </c>
      <c r="C1" s="44" t="s">
        <v>2</v>
      </c>
      <c r="D1" s="44" t="s">
        <v>3</v>
      </c>
      <c r="E1" s="44" t="s">
        <v>4</v>
      </c>
      <c r="F1" s="44" t="s">
        <v>5</v>
      </c>
      <c r="G1" s="44" t="s">
        <v>6</v>
      </c>
      <c r="H1" s="44" t="s">
        <v>7</v>
      </c>
      <c r="I1" s="44" t="s">
        <v>8</v>
      </c>
      <c r="J1" s="44"/>
      <c r="K1" s="44" t="s">
        <v>9</v>
      </c>
      <c r="L1" s="44" t="s">
        <v>5</v>
      </c>
      <c r="M1" s="44" t="s">
        <v>10</v>
      </c>
      <c r="N1" s="44" t="s">
        <v>11</v>
      </c>
      <c r="O1" s="44" t="s">
        <v>5</v>
      </c>
      <c r="P1" s="44" t="s">
        <v>10</v>
      </c>
      <c r="Q1" s="44" t="s">
        <v>12</v>
      </c>
      <c r="R1" s="44" t="s">
        <v>13</v>
      </c>
      <c r="S1" s="44" t="s">
        <v>5</v>
      </c>
      <c r="T1" s="44" t="s">
        <v>14</v>
      </c>
      <c r="U1" s="44" t="s">
        <v>10</v>
      </c>
      <c r="V1" s="44" t="s">
        <v>15</v>
      </c>
      <c r="W1" s="44" t="s">
        <v>16</v>
      </c>
      <c r="X1" s="45" t="s">
        <v>17</v>
      </c>
      <c r="Y1" s="44" t="s">
        <v>18</v>
      </c>
      <c r="Z1" s="45" t="s">
        <v>19</v>
      </c>
      <c r="AA1" s="44" t="s">
        <v>20</v>
      </c>
      <c r="AB1" s="44" t="s">
        <v>21</v>
      </c>
      <c r="AC1" s="44" t="s">
        <v>20</v>
      </c>
      <c r="AD1" s="44" t="s">
        <v>22</v>
      </c>
      <c r="AE1" s="44" t="s">
        <v>20</v>
      </c>
      <c r="AF1" s="44" t="s">
        <v>85</v>
      </c>
      <c r="AG1" s="44" t="s">
        <v>23</v>
      </c>
      <c r="AH1" s="44" t="s">
        <v>24</v>
      </c>
      <c r="AI1" s="44" t="s">
        <v>25</v>
      </c>
      <c r="AJ1" s="44" t="s">
        <v>26</v>
      </c>
      <c r="AK1" s="44" t="s">
        <v>27</v>
      </c>
      <c r="AL1" s="44" t="s">
        <v>28</v>
      </c>
      <c r="AM1" s="46" t="s">
        <v>4065</v>
      </c>
      <c r="AN1" s="47" t="s">
        <v>87</v>
      </c>
      <c r="AO1" s="47" t="s">
        <v>29</v>
      </c>
      <c r="AP1" s="47" t="s">
        <v>30</v>
      </c>
      <c r="AQ1" s="48" t="s">
        <v>31</v>
      </c>
      <c r="AR1" s="47" t="s">
        <v>32</v>
      </c>
      <c r="AS1" s="47" t="s">
        <v>33</v>
      </c>
      <c r="AT1" s="47" t="s">
        <v>34</v>
      </c>
      <c r="AU1" s="46" t="s">
        <v>4066</v>
      </c>
      <c r="AV1" s="47" t="s">
        <v>88</v>
      </c>
      <c r="AW1" s="47" t="s">
        <v>35</v>
      </c>
      <c r="AX1" s="47" t="s">
        <v>36</v>
      </c>
      <c r="AY1" s="48" t="s">
        <v>37</v>
      </c>
      <c r="AZ1" s="47" t="s">
        <v>38</v>
      </c>
      <c r="BA1" s="47" t="s">
        <v>39</v>
      </c>
      <c r="BB1" s="47" t="s">
        <v>40</v>
      </c>
      <c r="BC1" s="46" t="s">
        <v>4067</v>
      </c>
      <c r="BD1" s="47" t="s">
        <v>89</v>
      </c>
      <c r="BE1" s="47" t="s">
        <v>41</v>
      </c>
      <c r="BF1" s="47" t="s">
        <v>42</v>
      </c>
      <c r="BG1" s="47" t="s">
        <v>43</v>
      </c>
      <c r="BH1" s="47" t="s">
        <v>44</v>
      </c>
      <c r="BI1" s="47" t="s">
        <v>45</v>
      </c>
      <c r="BJ1" s="47" t="s">
        <v>46</v>
      </c>
      <c r="BK1" s="46" t="s">
        <v>4068</v>
      </c>
      <c r="BL1" s="47" t="s">
        <v>90</v>
      </c>
      <c r="BM1" s="47" t="s">
        <v>47</v>
      </c>
      <c r="BN1" s="47" t="s">
        <v>48</v>
      </c>
      <c r="BO1" s="48" t="s">
        <v>49</v>
      </c>
      <c r="BP1" s="47" t="s">
        <v>50</v>
      </c>
      <c r="BQ1" s="47" t="s">
        <v>51</v>
      </c>
      <c r="BR1" s="47" t="s">
        <v>52</v>
      </c>
      <c r="BS1" s="46" t="s">
        <v>4069</v>
      </c>
      <c r="BT1" s="47" t="s">
        <v>91</v>
      </c>
      <c r="BU1" s="47" t="s">
        <v>53</v>
      </c>
      <c r="BV1" s="47" t="s">
        <v>54</v>
      </c>
      <c r="BW1" s="48" t="s">
        <v>55</v>
      </c>
      <c r="BX1" s="47" t="s">
        <v>56</v>
      </c>
      <c r="BY1" s="47" t="s">
        <v>57</v>
      </c>
      <c r="BZ1" s="47" t="s">
        <v>58</v>
      </c>
      <c r="CA1" s="46" t="s">
        <v>4070</v>
      </c>
      <c r="CB1" s="47"/>
      <c r="CC1" s="47" t="s">
        <v>59</v>
      </c>
      <c r="CD1" s="47" t="s">
        <v>60</v>
      </c>
      <c r="CE1" s="48" t="s">
        <v>61</v>
      </c>
      <c r="CF1" s="47" t="s">
        <v>62</v>
      </c>
      <c r="CG1" s="47" t="s">
        <v>63</v>
      </c>
      <c r="CH1" s="47" t="s">
        <v>64</v>
      </c>
      <c r="CI1" s="46" t="s">
        <v>4071</v>
      </c>
      <c r="CJ1" s="47"/>
      <c r="CK1" s="47" t="s">
        <v>65</v>
      </c>
      <c r="CL1" s="47" t="s">
        <v>66</v>
      </c>
      <c r="CM1" s="48" t="s">
        <v>67</v>
      </c>
      <c r="CN1" s="47" t="s">
        <v>68</v>
      </c>
      <c r="CO1" s="47" t="s">
        <v>69</v>
      </c>
      <c r="CP1" s="47" t="s">
        <v>70</v>
      </c>
      <c r="CQ1" s="46" t="s">
        <v>4072</v>
      </c>
      <c r="CR1" s="47"/>
      <c r="CS1" s="47" t="s">
        <v>71</v>
      </c>
      <c r="CT1" s="47" t="s">
        <v>72</v>
      </c>
      <c r="CU1" s="47" t="s">
        <v>73</v>
      </c>
      <c r="CV1" s="47" t="s">
        <v>74</v>
      </c>
      <c r="CW1" s="47" t="s">
        <v>75</v>
      </c>
      <c r="CX1" s="47" t="s">
        <v>76</v>
      </c>
      <c r="CY1" s="46" t="s">
        <v>4073</v>
      </c>
      <c r="CZ1" s="47"/>
      <c r="DA1" s="47" t="s">
        <v>77</v>
      </c>
      <c r="DB1" s="47" t="s">
        <v>78</v>
      </c>
      <c r="DC1" s="47" t="s">
        <v>79</v>
      </c>
      <c r="DD1" s="47" t="s">
        <v>80</v>
      </c>
      <c r="DE1" s="47" t="s">
        <v>81</v>
      </c>
      <c r="DF1" s="47" t="s">
        <v>82</v>
      </c>
      <c r="DG1" s="46" t="s">
        <v>4074</v>
      </c>
      <c r="DH1" s="47"/>
      <c r="DI1" s="47" t="s">
        <v>83</v>
      </c>
      <c r="DJ1" s="47" t="s">
        <v>84</v>
      </c>
      <c r="DK1" s="46" t="s">
        <v>4075</v>
      </c>
      <c r="DL1" s="44" t="s">
        <v>86</v>
      </c>
      <c r="DM1" s="49" t="s">
        <v>4386</v>
      </c>
    </row>
    <row r="2" spans="1:117" ht="17.25" customHeight="1" x14ac:dyDescent="0.25">
      <c r="A2" s="50" t="s">
        <v>3845</v>
      </c>
      <c r="B2" s="15" t="s">
        <v>3908</v>
      </c>
      <c r="C2" s="15" t="s">
        <v>3749</v>
      </c>
      <c r="D2" s="15" t="s">
        <v>3750</v>
      </c>
      <c r="E2" s="15" t="s">
        <v>3751</v>
      </c>
      <c r="F2" s="15" t="s">
        <v>3752</v>
      </c>
      <c r="G2" s="15" t="s">
        <v>3753</v>
      </c>
      <c r="H2" s="15" t="s">
        <v>3754</v>
      </c>
      <c r="I2" s="15" t="s">
        <v>3755</v>
      </c>
      <c r="J2" s="15" t="s">
        <v>4359</v>
      </c>
      <c r="K2" s="15" t="s">
        <v>101</v>
      </c>
      <c r="L2" s="15" t="s">
        <v>3752</v>
      </c>
      <c r="M2" s="15" t="s">
        <v>3756</v>
      </c>
      <c r="N2" s="15" t="s">
        <v>3757</v>
      </c>
      <c r="O2" s="15" t="s">
        <v>3752</v>
      </c>
      <c r="P2" s="15" t="s">
        <v>3758</v>
      </c>
      <c r="Q2" s="15" t="s">
        <v>3759</v>
      </c>
      <c r="R2" s="15" t="s">
        <v>115</v>
      </c>
      <c r="S2" s="15" t="s">
        <v>3760</v>
      </c>
      <c r="T2" s="15" t="s">
        <v>107</v>
      </c>
      <c r="U2" s="15" t="s">
        <v>3761</v>
      </c>
      <c r="V2" s="15" t="s">
        <v>109</v>
      </c>
      <c r="W2" s="15" t="s">
        <v>3762</v>
      </c>
      <c r="X2" s="16" t="s">
        <v>3763</v>
      </c>
      <c r="Y2" s="15" t="s">
        <v>112</v>
      </c>
      <c r="Z2" s="16" t="s">
        <v>3764</v>
      </c>
      <c r="AA2" s="17">
        <v>407</v>
      </c>
      <c r="AB2" s="17">
        <v>0</v>
      </c>
      <c r="AC2" s="17">
        <v>0</v>
      </c>
      <c r="AD2" s="17">
        <v>0</v>
      </c>
      <c r="AE2" s="17">
        <v>0</v>
      </c>
      <c r="AF2" s="15" t="s">
        <v>142</v>
      </c>
      <c r="AG2" s="15" t="s">
        <v>115</v>
      </c>
      <c r="AH2" s="15" t="s">
        <v>3759</v>
      </c>
      <c r="AI2" s="18">
        <v>35800</v>
      </c>
      <c r="AJ2" s="15">
        <v>0.75</v>
      </c>
      <c r="AK2" s="15" t="s">
        <v>3765</v>
      </c>
      <c r="AL2" s="15" t="s">
        <v>3766</v>
      </c>
      <c r="AM2" s="3">
        <f>(AI2*AJ2)/2</f>
        <v>13425</v>
      </c>
      <c r="AN2" s="7" t="s">
        <v>107</v>
      </c>
      <c r="AO2" s="7" t="s">
        <v>107</v>
      </c>
      <c r="AP2" s="7" t="s">
        <v>107</v>
      </c>
      <c r="AQ2" s="8" t="s">
        <v>107</v>
      </c>
      <c r="AR2" s="7" t="s">
        <v>107</v>
      </c>
      <c r="AS2" s="7" t="s">
        <v>107</v>
      </c>
      <c r="AT2" s="7" t="s">
        <v>107</v>
      </c>
      <c r="AU2" s="3"/>
      <c r="AV2" s="7" t="s">
        <v>107</v>
      </c>
      <c r="AW2" s="7" t="s">
        <v>107</v>
      </c>
      <c r="AX2" s="7" t="s">
        <v>107</v>
      </c>
      <c r="AY2" s="8" t="s">
        <v>107</v>
      </c>
      <c r="AZ2" s="7" t="s">
        <v>107</v>
      </c>
      <c r="BA2" s="7" t="s">
        <v>107</v>
      </c>
      <c r="BB2" s="7" t="s">
        <v>107</v>
      </c>
      <c r="BC2" s="3"/>
      <c r="BD2" s="7" t="s">
        <v>107</v>
      </c>
      <c r="BE2" s="7" t="s">
        <v>107</v>
      </c>
      <c r="BF2" s="7" t="s">
        <v>107</v>
      </c>
      <c r="BG2" s="7" t="s">
        <v>107</v>
      </c>
      <c r="BH2" s="7" t="s">
        <v>107</v>
      </c>
      <c r="BI2" s="7" t="s">
        <v>107</v>
      </c>
      <c r="BJ2" s="7" t="s">
        <v>107</v>
      </c>
      <c r="BK2" s="3"/>
      <c r="BL2" s="7" t="s">
        <v>107</v>
      </c>
      <c r="BM2" s="7" t="s">
        <v>107</v>
      </c>
      <c r="BN2" s="7" t="s">
        <v>107</v>
      </c>
      <c r="BO2" s="8" t="s">
        <v>107</v>
      </c>
      <c r="BP2" s="7" t="s">
        <v>107</v>
      </c>
      <c r="BQ2" s="7" t="s">
        <v>107</v>
      </c>
      <c r="BR2" s="7" t="s">
        <v>107</v>
      </c>
      <c r="BS2" s="3"/>
      <c r="BT2" s="7" t="s">
        <v>107</v>
      </c>
      <c r="BU2" s="7" t="s">
        <v>107</v>
      </c>
      <c r="BV2" s="7" t="s">
        <v>107</v>
      </c>
      <c r="BW2" s="8" t="s">
        <v>107</v>
      </c>
      <c r="BX2" s="7" t="s">
        <v>107</v>
      </c>
      <c r="BY2" s="7" t="s">
        <v>107</v>
      </c>
      <c r="BZ2" s="7" t="s">
        <v>107</v>
      </c>
      <c r="CA2" s="3"/>
      <c r="CB2" s="7"/>
      <c r="CC2" s="7" t="s">
        <v>107</v>
      </c>
      <c r="CD2" s="7" t="s">
        <v>107</v>
      </c>
      <c r="CE2" s="8" t="s">
        <v>107</v>
      </c>
      <c r="CF2" s="7" t="s">
        <v>107</v>
      </c>
      <c r="CG2" s="7" t="s">
        <v>107</v>
      </c>
      <c r="CH2" s="7" t="s">
        <v>107</v>
      </c>
      <c r="CI2" s="3"/>
      <c r="CJ2" s="7"/>
      <c r="CK2" s="7" t="s">
        <v>107</v>
      </c>
      <c r="CL2" s="7" t="s">
        <v>107</v>
      </c>
      <c r="CM2" s="8" t="s">
        <v>107</v>
      </c>
      <c r="CN2" s="7" t="s">
        <v>107</v>
      </c>
      <c r="CO2" s="7" t="s">
        <v>107</v>
      </c>
      <c r="CP2" s="7" t="s">
        <v>107</v>
      </c>
      <c r="CQ2" s="3"/>
      <c r="CR2" s="7"/>
      <c r="CS2" s="7" t="s">
        <v>107</v>
      </c>
      <c r="CT2" s="7" t="s">
        <v>107</v>
      </c>
      <c r="CU2" s="7" t="s">
        <v>107</v>
      </c>
      <c r="CV2" s="7" t="s">
        <v>107</v>
      </c>
      <c r="CW2" s="7" t="s">
        <v>107</v>
      </c>
      <c r="CX2" s="7" t="s">
        <v>107</v>
      </c>
      <c r="CY2" s="3"/>
      <c r="CZ2" s="7"/>
      <c r="DA2" s="7" t="s">
        <v>107</v>
      </c>
      <c r="DB2" s="7" t="s">
        <v>107</v>
      </c>
      <c r="DC2" s="7" t="s">
        <v>107</v>
      </c>
      <c r="DD2" s="7" t="s">
        <v>107</v>
      </c>
      <c r="DE2" s="7" t="s">
        <v>107</v>
      </c>
      <c r="DF2" s="7" t="s">
        <v>107</v>
      </c>
      <c r="DG2" s="3"/>
      <c r="DH2" s="7"/>
      <c r="DI2" s="7" t="s">
        <v>107</v>
      </c>
      <c r="DJ2" s="7" t="s">
        <v>107</v>
      </c>
      <c r="DK2" s="3">
        <f>AM2</f>
        <v>13425</v>
      </c>
      <c r="DL2" s="15" t="s">
        <v>3766</v>
      </c>
      <c r="DM2" s="51">
        <f>DL2*0.95</f>
        <v>12753.75</v>
      </c>
    </row>
    <row r="3" spans="1:117" ht="17.25" customHeight="1" x14ac:dyDescent="0.25">
      <c r="A3" s="50" t="s">
        <v>3276</v>
      </c>
      <c r="B3" s="15" t="s">
        <v>3277</v>
      </c>
      <c r="C3" s="15" t="s">
        <v>3278</v>
      </c>
      <c r="D3" s="15" t="s">
        <v>1173</v>
      </c>
      <c r="E3" s="15" t="s">
        <v>1174</v>
      </c>
      <c r="F3" s="15" t="s">
        <v>3279</v>
      </c>
      <c r="G3" s="15" t="s">
        <v>3280</v>
      </c>
      <c r="H3" s="15" t="s">
        <v>3281</v>
      </c>
      <c r="I3" s="15" t="s">
        <v>3282</v>
      </c>
      <c r="J3" s="15" t="s">
        <v>4336</v>
      </c>
      <c r="K3" s="15" t="s">
        <v>101</v>
      </c>
      <c r="L3" s="15" t="s">
        <v>3283</v>
      </c>
      <c r="M3" s="15" t="s">
        <v>3284</v>
      </c>
      <c r="N3" s="15" t="s">
        <v>3285</v>
      </c>
      <c r="O3" s="15" t="s">
        <v>3286</v>
      </c>
      <c r="P3" s="15" t="s">
        <v>3287</v>
      </c>
      <c r="Q3" s="15" t="s">
        <v>3288</v>
      </c>
      <c r="R3" s="15" t="s">
        <v>282</v>
      </c>
      <c r="S3" s="15" t="s">
        <v>3279</v>
      </c>
      <c r="T3" s="15" t="s">
        <v>107</v>
      </c>
      <c r="U3" s="15" t="s">
        <v>3289</v>
      </c>
      <c r="V3" s="15" t="s">
        <v>109</v>
      </c>
      <c r="W3" s="15" t="s">
        <v>3290</v>
      </c>
      <c r="X3" s="16" t="s">
        <v>3291</v>
      </c>
      <c r="Y3" s="15" t="s">
        <v>969</v>
      </c>
      <c r="Z3" s="16" t="s">
        <v>3292</v>
      </c>
      <c r="AA3" s="17">
        <v>1100</v>
      </c>
      <c r="AB3" s="17">
        <v>0</v>
      </c>
      <c r="AC3" s="17">
        <v>0</v>
      </c>
      <c r="AD3" s="17">
        <v>0</v>
      </c>
      <c r="AE3" s="17">
        <v>0</v>
      </c>
      <c r="AF3" s="15" t="s">
        <v>107</v>
      </c>
      <c r="AG3" s="15" t="s">
        <v>282</v>
      </c>
      <c r="AH3" s="15" t="s">
        <v>4048</v>
      </c>
      <c r="AI3" s="18">
        <v>59467.199999999997</v>
      </c>
      <c r="AJ3" s="15">
        <v>0.5</v>
      </c>
      <c r="AK3" s="15" t="s">
        <v>3293</v>
      </c>
      <c r="AL3" s="15" t="s">
        <v>3294</v>
      </c>
      <c r="AM3" s="3">
        <f>(AI3*AJ3)/2</f>
        <v>14866.8</v>
      </c>
      <c r="AN3" s="7" t="s">
        <v>107</v>
      </c>
      <c r="AO3" s="7" t="s">
        <v>4057</v>
      </c>
      <c r="AP3" s="7" t="s">
        <v>4058</v>
      </c>
      <c r="AQ3" s="8">
        <v>44532.800000000003</v>
      </c>
      <c r="AR3" s="7">
        <v>0.5</v>
      </c>
      <c r="AS3" s="7" t="s">
        <v>3295</v>
      </c>
      <c r="AT3" s="7" t="s">
        <v>3296</v>
      </c>
      <c r="AU3" s="3">
        <f>(AQ3*AR3)/2</f>
        <v>11133.2</v>
      </c>
      <c r="AV3" s="7" t="s">
        <v>107</v>
      </c>
      <c r="AW3" s="7" t="s">
        <v>4057</v>
      </c>
      <c r="AX3" s="7" t="s">
        <v>4062</v>
      </c>
      <c r="AY3" s="8">
        <v>44220.800000000003</v>
      </c>
      <c r="AZ3" s="7">
        <v>0.5</v>
      </c>
      <c r="BA3" s="7" t="s">
        <v>3297</v>
      </c>
      <c r="BB3" s="7" t="s">
        <v>3298</v>
      </c>
      <c r="BC3" s="3">
        <f>(AY3*AZ3)/2</f>
        <v>11055.2</v>
      </c>
      <c r="BD3" s="7" t="s">
        <v>107</v>
      </c>
      <c r="BE3" s="7" t="s">
        <v>107</v>
      </c>
      <c r="BF3" s="7" t="s">
        <v>107</v>
      </c>
      <c r="BG3" s="7" t="s">
        <v>107</v>
      </c>
      <c r="BH3" s="7" t="s">
        <v>107</v>
      </c>
      <c r="BI3" s="7" t="s">
        <v>107</v>
      </c>
      <c r="BJ3" s="7" t="s">
        <v>107</v>
      </c>
      <c r="BK3" s="3"/>
      <c r="BL3" s="7" t="s">
        <v>107</v>
      </c>
      <c r="BM3" s="7" t="s">
        <v>107</v>
      </c>
      <c r="BN3" s="7" t="s">
        <v>107</v>
      </c>
      <c r="BO3" s="8" t="s">
        <v>107</v>
      </c>
      <c r="BP3" s="7" t="s">
        <v>107</v>
      </c>
      <c r="BQ3" s="7" t="s">
        <v>107</v>
      </c>
      <c r="BR3" s="7" t="s">
        <v>107</v>
      </c>
      <c r="BS3" s="3"/>
      <c r="BT3" s="7" t="s">
        <v>107</v>
      </c>
      <c r="BU3" s="7" t="s">
        <v>107</v>
      </c>
      <c r="BV3" s="7" t="s">
        <v>107</v>
      </c>
      <c r="BW3" s="8" t="s">
        <v>107</v>
      </c>
      <c r="BX3" s="7" t="s">
        <v>107</v>
      </c>
      <c r="BY3" s="7" t="s">
        <v>107</v>
      </c>
      <c r="BZ3" s="7" t="s">
        <v>107</v>
      </c>
      <c r="CA3" s="3"/>
      <c r="CB3" s="7"/>
      <c r="CC3" s="7" t="s">
        <v>107</v>
      </c>
      <c r="CD3" s="7" t="s">
        <v>107</v>
      </c>
      <c r="CE3" s="8" t="s">
        <v>107</v>
      </c>
      <c r="CF3" s="7" t="s">
        <v>107</v>
      </c>
      <c r="CG3" s="7" t="s">
        <v>107</v>
      </c>
      <c r="CH3" s="7" t="s">
        <v>107</v>
      </c>
      <c r="CI3" s="3"/>
      <c r="CJ3" s="7"/>
      <c r="CK3" s="7" t="s">
        <v>107</v>
      </c>
      <c r="CL3" s="7" t="s">
        <v>107</v>
      </c>
      <c r="CM3" s="8" t="s">
        <v>107</v>
      </c>
      <c r="CN3" s="7" t="s">
        <v>107</v>
      </c>
      <c r="CO3" s="7" t="s">
        <v>107</v>
      </c>
      <c r="CP3" s="7" t="s">
        <v>107</v>
      </c>
      <c r="CQ3" s="3"/>
      <c r="CR3" s="7"/>
      <c r="CS3" s="7" t="s">
        <v>107</v>
      </c>
      <c r="CT3" s="7" t="s">
        <v>107</v>
      </c>
      <c r="CU3" s="7" t="s">
        <v>107</v>
      </c>
      <c r="CV3" s="7" t="s">
        <v>107</v>
      </c>
      <c r="CW3" s="7" t="s">
        <v>107</v>
      </c>
      <c r="CX3" s="7" t="s">
        <v>107</v>
      </c>
      <c r="CY3" s="3"/>
      <c r="CZ3" s="7"/>
      <c r="DA3" s="7" t="s">
        <v>107</v>
      </c>
      <c r="DB3" s="7" t="s">
        <v>107</v>
      </c>
      <c r="DC3" s="7" t="s">
        <v>107</v>
      </c>
      <c r="DD3" s="7" t="s">
        <v>107</v>
      </c>
      <c r="DE3" s="7" t="s">
        <v>107</v>
      </c>
      <c r="DF3" s="7" t="s">
        <v>107</v>
      </c>
      <c r="DG3" s="3"/>
      <c r="DH3" s="7"/>
      <c r="DI3" s="7" t="s">
        <v>107</v>
      </c>
      <c r="DJ3" s="7" t="s">
        <v>107</v>
      </c>
      <c r="DK3" s="3">
        <f>BC3+AU3+AM3</f>
        <v>37055.199999999997</v>
      </c>
      <c r="DL3" s="15" t="s">
        <v>3299</v>
      </c>
      <c r="DM3" s="51">
        <f>DL3*0.95</f>
        <v>35202.439999999995</v>
      </c>
    </row>
    <row r="4" spans="1:117" ht="17.25" customHeight="1" x14ac:dyDescent="0.25">
      <c r="A4" s="50" t="s">
        <v>3276</v>
      </c>
      <c r="B4" s="15" t="s">
        <v>3300</v>
      </c>
      <c r="C4" s="15" t="s">
        <v>3278</v>
      </c>
      <c r="D4" s="15" t="s">
        <v>1173</v>
      </c>
      <c r="E4" s="15" t="s">
        <v>1174</v>
      </c>
      <c r="F4" s="15" t="s">
        <v>3279</v>
      </c>
      <c r="G4" s="15" t="s">
        <v>3280</v>
      </c>
      <c r="H4" s="15" t="s">
        <v>3281</v>
      </c>
      <c r="I4" s="15" t="s">
        <v>3282</v>
      </c>
      <c r="J4" s="15" t="s">
        <v>4336</v>
      </c>
      <c r="K4" s="15" t="s">
        <v>101</v>
      </c>
      <c r="L4" s="15" t="s">
        <v>3283</v>
      </c>
      <c r="M4" s="15" t="s">
        <v>3284</v>
      </c>
      <c r="N4" s="15" t="s">
        <v>3285</v>
      </c>
      <c r="O4" s="15" t="s">
        <v>3286</v>
      </c>
      <c r="P4" s="15" t="s">
        <v>3287</v>
      </c>
      <c r="Q4" s="15" t="s">
        <v>3301</v>
      </c>
      <c r="R4" s="15" t="s">
        <v>503</v>
      </c>
      <c r="S4" s="15" t="s">
        <v>3279</v>
      </c>
      <c r="T4" s="15" t="s">
        <v>107</v>
      </c>
      <c r="U4" s="15" t="s">
        <v>3302</v>
      </c>
      <c r="V4" s="15" t="s">
        <v>109</v>
      </c>
      <c r="W4" s="15" t="s">
        <v>3290</v>
      </c>
      <c r="X4" s="16" t="s">
        <v>3303</v>
      </c>
      <c r="Y4" s="15" t="s">
        <v>969</v>
      </c>
      <c r="Z4" s="16" t="s">
        <v>3304</v>
      </c>
      <c r="AA4" s="17">
        <v>1100</v>
      </c>
      <c r="AB4" s="17">
        <v>0</v>
      </c>
      <c r="AC4" s="17">
        <v>0</v>
      </c>
      <c r="AD4" s="17">
        <v>0</v>
      </c>
      <c r="AE4" s="17">
        <v>0</v>
      </c>
      <c r="AF4" s="15" t="s">
        <v>142</v>
      </c>
      <c r="AG4" s="15" t="s">
        <v>115</v>
      </c>
      <c r="AH4" s="15" t="s">
        <v>3301</v>
      </c>
      <c r="AI4" s="18">
        <v>39686.400000000001</v>
      </c>
      <c r="AJ4" s="15">
        <v>1</v>
      </c>
      <c r="AK4" s="15" t="s">
        <v>3305</v>
      </c>
      <c r="AL4" s="15" t="s">
        <v>3306</v>
      </c>
      <c r="AM4" s="3">
        <f>(AI4*AJ4)/2</f>
        <v>19843.2</v>
      </c>
      <c r="AN4" s="7" t="s">
        <v>107</v>
      </c>
      <c r="AO4" s="7" t="s">
        <v>107</v>
      </c>
      <c r="AP4" s="7" t="s">
        <v>107</v>
      </c>
      <c r="AQ4" s="8" t="s">
        <v>107</v>
      </c>
      <c r="AR4" s="7" t="s">
        <v>107</v>
      </c>
      <c r="AS4" s="7" t="s">
        <v>107</v>
      </c>
      <c r="AT4" s="7" t="s">
        <v>107</v>
      </c>
      <c r="AU4" s="3"/>
      <c r="AV4" s="7" t="s">
        <v>107</v>
      </c>
      <c r="AW4" s="7" t="s">
        <v>107</v>
      </c>
      <c r="AX4" s="7" t="s">
        <v>107</v>
      </c>
      <c r="AY4" s="8" t="s">
        <v>107</v>
      </c>
      <c r="AZ4" s="7" t="s">
        <v>107</v>
      </c>
      <c r="BA4" s="7" t="s">
        <v>107</v>
      </c>
      <c r="BB4" s="7" t="s">
        <v>107</v>
      </c>
      <c r="BC4" s="3"/>
      <c r="BD4" s="7" t="s">
        <v>107</v>
      </c>
      <c r="BE4" s="7" t="s">
        <v>107</v>
      </c>
      <c r="BF4" s="7" t="s">
        <v>107</v>
      </c>
      <c r="BG4" s="7" t="s">
        <v>107</v>
      </c>
      <c r="BH4" s="7" t="s">
        <v>107</v>
      </c>
      <c r="BI4" s="7" t="s">
        <v>107</v>
      </c>
      <c r="BJ4" s="7" t="s">
        <v>107</v>
      </c>
      <c r="BK4" s="3"/>
      <c r="BL4" s="7" t="s">
        <v>107</v>
      </c>
      <c r="BM4" s="7" t="s">
        <v>107</v>
      </c>
      <c r="BN4" s="7" t="s">
        <v>107</v>
      </c>
      <c r="BO4" s="8" t="s">
        <v>107</v>
      </c>
      <c r="BP4" s="7" t="s">
        <v>107</v>
      </c>
      <c r="BQ4" s="7" t="s">
        <v>107</v>
      </c>
      <c r="BR4" s="7" t="s">
        <v>107</v>
      </c>
      <c r="BS4" s="3"/>
      <c r="BT4" s="7" t="s">
        <v>107</v>
      </c>
      <c r="BU4" s="7" t="s">
        <v>107</v>
      </c>
      <c r="BV4" s="7" t="s">
        <v>107</v>
      </c>
      <c r="BW4" s="8" t="s">
        <v>107</v>
      </c>
      <c r="BX4" s="7" t="s">
        <v>107</v>
      </c>
      <c r="BY4" s="7" t="s">
        <v>107</v>
      </c>
      <c r="BZ4" s="7" t="s">
        <v>107</v>
      </c>
      <c r="CA4" s="3"/>
      <c r="CB4" s="7"/>
      <c r="CC4" s="7" t="s">
        <v>107</v>
      </c>
      <c r="CD4" s="7" t="s">
        <v>107</v>
      </c>
      <c r="CE4" s="8" t="s">
        <v>107</v>
      </c>
      <c r="CF4" s="7" t="s">
        <v>107</v>
      </c>
      <c r="CG4" s="7" t="s">
        <v>107</v>
      </c>
      <c r="CH4" s="7" t="s">
        <v>107</v>
      </c>
      <c r="CI4" s="3"/>
      <c r="CJ4" s="7"/>
      <c r="CK4" s="7" t="s">
        <v>107</v>
      </c>
      <c r="CL4" s="7" t="s">
        <v>107</v>
      </c>
      <c r="CM4" s="8" t="s">
        <v>107</v>
      </c>
      <c r="CN4" s="7" t="s">
        <v>107</v>
      </c>
      <c r="CO4" s="7" t="s">
        <v>107</v>
      </c>
      <c r="CP4" s="7" t="s">
        <v>107</v>
      </c>
      <c r="CQ4" s="3"/>
      <c r="CR4" s="7"/>
      <c r="CS4" s="7" t="s">
        <v>107</v>
      </c>
      <c r="CT4" s="7" t="s">
        <v>107</v>
      </c>
      <c r="CU4" s="7" t="s">
        <v>107</v>
      </c>
      <c r="CV4" s="7" t="s">
        <v>107</v>
      </c>
      <c r="CW4" s="7" t="s">
        <v>107</v>
      </c>
      <c r="CX4" s="7" t="s">
        <v>107</v>
      </c>
      <c r="CY4" s="3"/>
      <c r="CZ4" s="7"/>
      <c r="DA4" s="7" t="s">
        <v>107</v>
      </c>
      <c r="DB4" s="7" t="s">
        <v>107</v>
      </c>
      <c r="DC4" s="7" t="s">
        <v>107</v>
      </c>
      <c r="DD4" s="7" t="s">
        <v>107</v>
      </c>
      <c r="DE4" s="7" t="s">
        <v>107</v>
      </c>
      <c r="DF4" s="7" t="s">
        <v>107</v>
      </c>
      <c r="DG4" s="3"/>
      <c r="DH4" s="7"/>
      <c r="DI4" s="7" t="s">
        <v>107</v>
      </c>
      <c r="DJ4" s="7" t="s">
        <v>107</v>
      </c>
      <c r="DK4" s="3">
        <f>AM4</f>
        <v>19843.2</v>
      </c>
      <c r="DL4" s="15" t="s">
        <v>3306</v>
      </c>
      <c r="DM4" s="51">
        <f>DL4*0.95</f>
        <v>18851.04</v>
      </c>
    </row>
    <row r="5" spans="1:117" ht="17.25" customHeight="1" x14ac:dyDescent="0.25">
      <c r="A5" s="50" t="s">
        <v>793</v>
      </c>
      <c r="B5" s="15" t="s">
        <v>794</v>
      </c>
      <c r="C5" s="15" t="s">
        <v>795</v>
      </c>
      <c r="D5" s="15" t="s">
        <v>796</v>
      </c>
      <c r="E5" s="15" t="s">
        <v>797</v>
      </c>
      <c r="F5" s="15" t="s">
        <v>798</v>
      </c>
      <c r="G5" s="15" t="s">
        <v>799</v>
      </c>
      <c r="H5" s="15" t="s">
        <v>800</v>
      </c>
      <c r="I5" s="15" t="s">
        <v>801</v>
      </c>
      <c r="J5" s="15" t="s">
        <v>4219</v>
      </c>
      <c r="K5" s="15" t="s">
        <v>101</v>
      </c>
      <c r="L5" s="15" t="s">
        <v>798</v>
      </c>
      <c r="M5" s="15" t="s">
        <v>802</v>
      </c>
      <c r="N5" s="15" t="s">
        <v>803</v>
      </c>
      <c r="O5" s="15" t="s">
        <v>804</v>
      </c>
      <c r="P5" s="15" t="s">
        <v>805</v>
      </c>
      <c r="Q5" s="15" t="s">
        <v>806</v>
      </c>
      <c r="R5" s="15" t="s">
        <v>115</v>
      </c>
      <c r="S5" s="15" t="s">
        <v>798</v>
      </c>
      <c r="T5" s="15" t="s">
        <v>107</v>
      </c>
      <c r="U5" s="15" t="s">
        <v>807</v>
      </c>
      <c r="V5" s="15" t="s">
        <v>109</v>
      </c>
      <c r="W5" s="15" t="s">
        <v>808</v>
      </c>
      <c r="X5" s="16" t="s">
        <v>809</v>
      </c>
      <c r="Y5" s="15" t="s">
        <v>216</v>
      </c>
      <c r="Z5" s="16" t="s">
        <v>810</v>
      </c>
      <c r="AA5" s="17">
        <v>1400</v>
      </c>
      <c r="AB5" s="17">
        <v>3</v>
      </c>
      <c r="AC5" s="17">
        <v>1000</v>
      </c>
      <c r="AD5" s="17">
        <v>3</v>
      </c>
      <c r="AE5" s="17">
        <v>2300</v>
      </c>
      <c r="AF5" s="15" t="s">
        <v>118</v>
      </c>
      <c r="AG5" s="15" t="s">
        <v>503</v>
      </c>
      <c r="AH5" s="15" t="s">
        <v>806</v>
      </c>
      <c r="AI5" s="18">
        <v>42929</v>
      </c>
      <c r="AJ5" s="15">
        <v>1</v>
      </c>
      <c r="AK5" s="15" t="s">
        <v>811</v>
      </c>
      <c r="AL5" s="15" t="s">
        <v>812</v>
      </c>
      <c r="AM5" s="3">
        <f>(AI5*AJ5)/2</f>
        <v>21464.5</v>
      </c>
      <c r="AN5" s="7" t="s">
        <v>142</v>
      </c>
      <c r="AO5" s="7" t="s">
        <v>503</v>
      </c>
      <c r="AP5" s="7" t="s">
        <v>813</v>
      </c>
      <c r="AQ5" s="8">
        <v>44281</v>
      </c>
      <c r="AR5" s="7">
        <v>0.1</v>
      </c>
      <c r="AS5" s="7" t="s">
        <v>815</v>
      </c>
      <c r="AT5" s="7" t="s">
        <v>816</v>
      </c>
      <c r="AU5" s="3">
        <f>(AQ5*AR5)/2</f>
        <v>2214.0500000000002</v>
      </c>
      <c r="AV5" s="7" t="s">
        <v>107</v>
      </c>
      <c r="AW5" s="7" t="s">
        <v>107</v>
      </c>
      <c r="AX5" s="7" t="s">
        <v>107</v>
      </c>
      <c r="AY5" s="8" t="s">
        <v>107</v>
      </c>
      <c r="AZ5" s="7" t="s">
        <v>107</v>
      </c>
      <c r="BA5" s="7" t="s">
        <v>107</v>
      </c>
      <c r="BB5" s="7" t="s">
        <v>107</v>
      </c>
      <c r="BC5" s="3"/>
      <c r="BD5" s="7" t="s">
        <v>107</v>
      </c>
      <c r="BE5" s="7" t="s">
        <v>107</v>
      </c>
      <c r="BF5" s="7" t="s">
        <v>107</v>
      </c>
      <c r="BG5" s="7" t="s">
        <v>107</v>
      </c>
      <c r="BH5" s="7" t="s">
        <v>107</v>
      </c>
      <c r="BI5" s="7" t="s">
        <v>107</v>
      </c>
      <c r="BJ5" s="7" t="s">
        <v>107</v>
      </c>
      <c r="BK5" s="3"/>
      <c r="BL5" s="7" t="s">
        <v>107</v>
      </c>
      <c r="BM5" s="7" t="s">
        <v>107</v>
      </c>
      <c r="BN5" s="7" t="s">
        <v>107</v>
      </c>
      <c r="BO5" s="8" t="s">
        <v>107</v>
      </c>
      <c r="BP5" s="7" t="s">
        <v>107</v>
      </c>
      <c r="BQ5" s="7" t="s">
        <v>107</v>
      </c>
      <c r="BR5" s="7" t="s">
        <v>107</v>
      </c>
      <c r="BS5" s="3"/>
      <c r="BT5" s="7" t="s">
        <v>107</v>
      </c>
      <c r="BU5" s="7" t="s">
        <v>107</v>
      </c>
      <c r="BV5" s="7" t="s">
        <v>107</v>
      </c>
      <c r="BW5" s="8" t="s">
        <v>107</v>
      </c>
      <c r="BX5" s="7" t="s">
        <v>107</v>
      </c>
      <c r="BY5" s="7" t="s">
        <v>107</v>
      </c>
      <c r="BZ5" s="7" t="s">
        <v>107</v>
      </c>
      <c r="CA5" s="3"/>
      <c r="CB5" s="7"/>
      <c r="CC5" s="7" t="s">
        <v>107</v>
      </c>
      <c r="CD5" s="7" t="s">
        <v>107</v>
      </c>
      <c r="CE5" s="8" t="s">
        <v>107</v>
      </c>
      <c r="CF5" s="7" t="s">
        <v>107</v>
      </c>
      <c r="CG5" s="7" t="s">
        <v>107</v>
      </c>
      <c r="CH5" s="7" t="s">
        <v>107</v>
      </c>
      <c r="CI5" s="3"/>
      <c r="CJ5" s="7"/>
      <c r="CK5" s="7" t="s">
        <v>107</v>
      </c>
      <c r="CL5" s="7" t="s">
        <v>107</v>
      </c>
      <c r="CM5" s="8" t="s">
        <v>107</v>
      </c>
      <c r="CN5" s="7" t="s">
        <v>107</v>
      </c>
      <c r="CO5" s="7" t="s">
        <v>107</v>
      </c>
      <c r="CP5" s="7" t="s">
        <v>107</v>
      </c>
      <c r="CQ5" s="3"/>
      <c r="CR5" s="7"/>
      <c r="CS5" s="7" t="s">
        <v>107</v>
      </c>
      <c r="CT5" s="7" t="s">
        <v>107</v>
      </c>
      <c r="CU5" s="7" t="s">
        <v>107</v>
      </c>
      <c r="CV5" s="7" t="s">
        <v>107</v>
      </c>
      <c r="CW5" s="7" t="s">
        <v>107</v>
      </c>
      <c r="CX5" s="7" t="s">
        <v>107</v>
      </c>
      <c r="CY5" s="3"/>
      <c r="CZ5" s="7"/>
      <c r="DA5" s="7" t="s">
        <v>107</v>
      </c>
      <c r="DB5" s="7" t="s">
        <v>107</v>
      </c>
      <c r="DC5" s="7" t="s">
        <v>107</v>
      </c>
      <c r="DD5" s="7" t="s">
        <v>107</v>
      </c>
      <c r="DE5" s="7" t="s">
        <v>107</v>
      </c>
      <c r="DF5" s="7" t="s">
        <v>107</v>
      </c>
      <c r="DG5" s="3"/>
      <c r="DH5" s="7"/>
      <c r="DI5" s="7" t="s">
        <v>107</v>
      </c>
      <c r="DJ5" s="7" t="s">
        <v>107</v>
      </c>
      <c r="DK5" s="3">
        <f>AU5+AM5</f>
        <v>23678.55</v>
      </c>
      <c r="DL5" s="15" t="s">
        <v>817</v>
      </c>
      <c r="DM5" s="51">
        <f>DL5*0.95</f>
        <v>22494.622499999998</v>
      </c>
    </row>
    <row r="6" spans="1:117" ht="17.25" customHeight="1" x14ac:dyDescent="0.25">
      <c r="A6" s="50" t="s">
        <v>769</v>
      </c>
      <c r="B6" s="15" t="s">
        <v>770</v>
      </c>
      <c r="C6" s="15" t="s">
        <v>771</v>
      </c>
      <c r="D6" s="15" t="s">
        <v>772</v>
      </c>
      <c r="E6" s="15" t="s">
        <v>773</v>
      </c>
      <c r="F6" s="15" t="s">
        <v>774</v>
      </c>
      <c r="G6" s="15" t="s">
        <v>775</v>
      </c>
      <c r="H6" s="15" t="s">
        <v>776</v>
      </c>
      <c r="I6" s="15" t="s">
        <v>777</v>
      </c>
      <c r="J6" s="15" t="s">
        <v>4218</v>
      </c>
      <c r="K6" s="15" t="s">
        <v>151</v>
      </c>
      <c r="L6" s="15" t="s">
        <v>774</v>
      </c>
      <c r="M6" s="15" t="s">
        <v>778</v>
      </c>
      <c r="N6" s="15" t="s">
        <v>779</v>
      </c>
      <c r="O6" s="15" t="s">
        <v>780</v>
      </c>
      <c r="P6" s="15" t="s">
        <v>781</v>
      </c>
      <c r="Q6" s="15" t="s">
        <v>782</v>
      </c>
      <c r="R6" s="15" t="s">
        <v>783</v>
      </c>
      <c r="S6" s="15" t="s">
        <v>784</v>
      </c>
      <c r="T6" s="15" t="s">
        <v>107</v>
      </c>
      <c r="U6" s="15" t="s">
        <v>785</v>
      </c>
      <c r="V6" s="15" t="s">
        <v>109</v>
      </c>
      <c r="W6" s="15" t="s">
        <v>786</v>
      </c>
      <c r="X6" s="16" t="s">
        <v>787</v>
      </c>
      <c r="Y6" s="15" t="s">
        <v>114</v>
      </c>
      <c r="Z6" s="16" t="s">
        <v>788</v>
      </c>
      <c r="AA6" s="17">
        <v>38</v>
      </c>
      <c r="AB6" s="17">
        <v>1</v>
      </c>
      <c r="AC6" s="17">
        <v>19</v>
      </c>
      <c r="AD6" s="17">
        <v>1</v>
      </c>
      <c r="AE6" s="17">
        <v>16</v>
      </c>
      <c r="AF6" s="15" t="s">
        <v>196</v>
      </c>
      <c r="AG6" s="15" t="s">
        <v>157</v>
      </c>
      <c r="AH6" s="15" t="s">
        <v>790</v>
      </c>
      <c r="AI6" s="18">
        <v>44101</v>
      </c>
      <c r="AJ6" s="15">
        <v>1</v>
      </c>
      <c r="AK6" s="15" t="s">
        <v>791</v>
      </c>
      <c r="AL6" s="15" t="s">
        <v>792</v>
      </c>
      <c r="AM6" s="3">
        <f>(AI6*AJ6)/2</f>
        <v>22050.5</v>
      </c>
      <c r="AN6" s="7" t="s">
        <v>107</v>
      </c>
      <c r="AO6" s="7" t="s">
        <v>107</v>
      </c>
      <c r="AP6" s="7" t="s">
        <v>107</v>
      </c>
      <c r="AQ6" s="8" t="s">
        <v>107</v>
      </c>
      <c r="AR6" s="7" t="s">
        <v>107</v>
      </c>
      <c r="AS6" s="7" t="s">
        <v>107</v>
      </c>
      <c r="AT6" s="7" t="s">
        <v>107</v>
      </c>
      <c r="AU6" s="3"/>
      <c r="AV6" s="7" t="s">
        <v>107</v>
      </c>
      <c r="AW6" s="7" t="s">
        <v>107</v>
      </c>
      <c r="AX6" s="7" t="s">
        <v>107</v>
      </c>
      <c r="AY6" s="8" t="s">
        <v>107</v>
      </c>
      <c r="AZ6" s="7" t="s">
        <v>107</v>
      </c>
      <c r="BA6" s="7" t="s">
        <v>107</v>
      </c>
      <c r="BB6" s="7" t="s">
        <v>107</v>
      </c>
      <c r="BC6" s="3"/>
      <c r="BD6" s="7" t="s">
        <v>107</v>
      </c>
      <c r="BE6" s="7" t="s">
        <v>107</v>
      </c>
      <c r="BF6" s="7" t="s">
        <v>107</v>
      </c>
      <c r="BG6" s="7" t="s">
        <v>107</v>
      </c>
      <c r="BH6" s="7" t="s">
        <v>107</v>
      </c>
      <c r="BI6" s="7" t="s">
        <v>107</v>
      </c>
      <c r="BJ6" s="7" t="s">
        <v>107</v>
      </c>
      <c r="BK6" s="3"/>
      <c r="BL6" s="7" t="s">
        <v>107</v>
      </c>
      <c r="BM6" s="7" t="s">
        <v>107</v>
      </c>
      <c r="BN6" s="7" t="s">
        <v>107</v>
      </c>
      <c r="BO6" s="8" t="s">
        <v>107</v>
      </c>
      <c r="BP6" s="7" t="s">
        <v>107</v>
      </c>
      <c r="BQ6" s="7" t="s">
        <v>107</v>
      </c>
      <c r="BR6" s="7" t="s">
        <v>107</v>
      </c>
      <c r="BS6" s="3"/>
      <c r="BT6" s="7" t="s">
        <v>107</v>
      </c>
      <c r="BU6" s="7" t="s">
        <v>107</v>
      </c>
      <c r="BV6" s="7" t="s">
        <v>107</v>
      </c>
      <c r="BW6" s="8" t="s">
        <v>107</v>
      </c>
      <c r="BX6" s="7" t="s">
        <v>107</v>
      </c>
      <c r="BY6" s="7" t="s">
        <v>107</v>
      </c>
      <c r="BZ6" s="7" t="s">
        <v>107</v>
      </c>
      <c r="CA6" s="3"/>
      <c r="CB6" s="7"/>
      <c r="CC6" s="7" t="s">
        <v>107</v>
      </c>
      <c r="CD6" s="7" t="s">
        <v>107</v>
      </c>
      <c r="CE6" s="8" t="s">
        <v>107</v>
      </c>
      <c r="CF6" s="7" t="s">
        <v>107</v>
      </c>
      <c r="CG6" s="7" t="s">
        <v>107</v>
      </c>
      <c r="CH6" s="7" t="s">
        <v>107</v>
      </c>
      <c r="CI6" s="3"/>
      <c r="CJ6" s="7"/>
      <c r="CK6" s="7" t="s">
        <v>107</v>
      </c>
      <c r="CL6" s="7" t="s">
        <v>107</v>
      </c>
      <c r="CM6" s="8" t="s">
        <v>107</v>
      </c>
      <c r="CN6" s="7" t="s">
        <v>107</v>
      </c>
      <c r="CO6" s="7" t="s">
        <v>107</v>
      </c>
      <c r="CP6" s="7" t="s">
        <v>107</v>
      </c>
      <c r="CQ6" s="3"/>
      <c r="CR6" s="7"/>
      <c r="CS6" s="7" t="s">
        <v>107</v>
      </c>
      <c r="CT6" s="7" t="s">
        <v>107</v>
      </c>
      <c r="CU6" s="7" t="s">
        <v>107</v>
      </c>
      <c r="CV6" s="7" t="s">
        <v>107</v>
      </c>
      <c r="CW6" s="7" t="s">
        <v>107</v>
      </c>
      <c r="CX6" s="7" t="s">
        <v>107</v>
      </c>
      <c r="CY6" s="3"/>
      <c r="CZ6" s="7"/>
      <c r="DA6" s="7" t="s">
        <v>107</v>
      </c>
      <c r="DB6" s="7" t="s">
        <v>107</v>
      </c>
      <c r="DC6" s="7" t="s">
        <v>107</v>
      </c>
      <c r="DD6" s="7" t="s">
        <v>107</v>
      </c>
      <c r="DE6" s="7" t="s">
        <v>107</v>
      </c>
      <c r="DF6" s="7" t="s">
        <v>107</v>
      </c>
      <c r="DG6" s="3"/>
      <c r="DH6" s="7"/>
      <c r="DI6" s="7" t="s">
        <v>107</v>
      </c>
      <c r="DJ6" s="7" t="s">
        <v>107</v>
      </c>
      <c r="DK6" s="3">
        <f>AM6</f>
        <v>22050.5</v>
      </c>
      <c r="DL6" s="15" t="s">
        <v>792</v>
      </c>
      <c r="DM6" s="51">
        <f>DL6*0.95</f>
        <v>20947.5</v>
      </c>
    </row>
    <row r="7" spans="1:117" ht="17.25" customHeight="1" x14ac:dyDescent="0.25">
      <c r="A7" s="50" t="s">
        <v>3846</v>
      </c>
      <c r="B7" s="15" t="s">
        <v>3426</v>
      </c>
      <c r="C7" s="15" t="s">
        <v>3427</v>
      </c>
      <c r="D7" s="15" t="s">
        <v>3428</v>
      </c>
      <c r="E7" s="15" t="s">
        <v>773</v>
      </c>
      <c r="F7" s="15" t="s">
        <v>3429</v>
      </c>
      <c r="G7" s="15" t="s">
        <v>3430</v>
      </c>
      <c r="H7" s="15" t="s">
        <v>3431</v>
      </c>
      <c r="I7" s="15" t="s">
        <v>3978</v>
      </c>
      <c r="J7" s="15" t="s">
        <v>4342</v>
      </c>
      <c r="K7" s="15" t="s">
        <v>101</v>
      </c>
      <c r="L7" s="15" t="s">
        <v>3432</v>
      </c>
      <c r="M7" s="15" t="s">
        <v>3433</v>
      </c>
      <c r="N7" s="15" t="s">
        <v>3434</v>
      </c>
      <c r="O7" s="15" t="s">
        <v>3429</v>
      </c>
      <c r="P7" s="15" t="s">
        <v>3435</v>
      </c>
      <c r="Q7" s="15" t="s">
        <v>3436</v>
      </c>
      <c r="R7" s="15" t="s">
        <v>783</v>
      </c>
      <c r="S7" s="15" t="s">
        <v>3437</v>
      </c>
      <c r="T7" s="15" t="s">
        <v>107</v>
      </c>
      <c r="U7" s="15" t="s">
        <v>3438</v>
      </c>
      <c r="V7" s="15" t="s">
        <v>181</v>
      </c>
      <c r="W7" s="15" t="s">
        <v>107</v>
      </c>
      <c r="X7" s="16" t="s">
        <v>3439</v>
      </c>
      <c r="Y7" s="15" t="s">
        <v>114</v>
      </c>
      <c r="Z7" s="16" t="s">
        <v>3440</v>
      </c>
      <c r="AA7" s="17">
        <v>487</v>
      </c>
      <c r="AB7" s="17">
        <v>1</v>
      </c>
      <c r="AC7" s="17">
        <v>417</v>
      </c>
      <c r="AD7" s="17">
        <v>1</v>
      </c>
      <c r="AE7" s="17">
        <v>458</v>
      </c>
      <c r="AF7" s="15" t="s">
        <v>196</v>
      </c>
      <c r="AG7" s="15" t="s">
        <v>132</v>
      </c>
      <c r="AH7" s="15" t="s">
        <v>3441</v>
      </c>
      <c r="AI7" s="18">
        <v>32000</v>
      </c>
      <c r="AJ7" s="15">
        <v>1</v>
      </c>
      <c r="AK7" s="15" t="s">
        <v>3442</v>
      </c>
      <c r="AL7" s="15" t="s">
        <v>3443</v>
      </c>
      <c r="AM7" s="3">
        <f>(AI7*AJ7)/2</f>
        <v>16000</v>
      </c>
      <c r="AN7" s="7" t="s">
        <v>107</v>
      </c>
      <c r="AO7" s="7" t="s">
        <v>107</v>
      </c>
      <c r="AP7" s="7" t="s">
        <v>107</v>
      </c>
      <c r="AQ7" s="8" t="s">
        <v>107</v>
      </c>
      <c r="AR7" s="7" t="s">
        <v>107</v>
      </c>
      <c r="AS7" s="7" t="s">
        <v>107</v>
      </c>
      <c r="AT7" s="7" t="s">
        <v>107</v>
      </c>
      <c r="AU7" s="3"/>
      <c r="AV7" s="7" t="s">
        <v>107</v>
      </c>
      <c r="AW7" s="7" t="s">
        <v>107</v>
      </c>
      <c r="AX7" s="7" t="s">
        <v>107</v>
      </c>
      <c r="AY7" s="8" t="s">
        <v>107</v>
      </c>
      <c r="AZ7" s="7" t="s">
        <v>107</v>
      </c>
      <c r="BA7" s="7" t="s">
        <v>107</v>
      </c>
      <c r="BB7" s="7" t="s">
        <v>107</v>
      </c>
      <c r="BC7" s="3"/>
      <c r="BD7" s="7" t="s">
        <v>107</v>
      </c>
      <c r="BE7" s="7" t="s">
        <v>107</v>
      </c>
      <c r="BF7" s="7" t="s">
        <v>107</v>
      </c>
      <c r="BG7" s="7" t="s">
        <v>107</v>
      </c>
      <c r="BH7" s="7" t="s">
        <v>107</v>
      </c>
      <c r="BI7" s="7" t="s">
        <v>107</v>
      </c>
      <c r="BJ7" s="7" t="s">
        <v>107</v>
      </c>
      <c r="BK7" s="3"/>
      <c r="BL7" s="7" t="s">
        <v>107</v>
      </c>
      <c r="BM7" s="7" t="s">
        <v>107</v>
      </c>
      <c r="BN7" s="7" t="s">
        <v>107</v>
      </c>
      <c r="BO7" s="8" t="s">
        <v>107</v>
      </c>
      <c r="BP7" s="7" t="s">
        <v>107</v>
      </c>
      <c r="BQ7" s="7" t="s">
        <v>107</v>
      </c>
      <c r="BR7" s="7" t="s">
        <v>107</v>
      </c>
      <c r="BS7" s="3"/>
      <c r="BT7" s="7" t="s">
        <v>107</v>
      </c>
      <c r="BU7" s="7" t="s">
        <v>107</v>
      </c>
      <c r="BV7" s="7" t="s">
        <v>107</v>
      </c>
      <c r="BW7" s="8" t="s">
        <v>107</v>
      </c>
      <c r="BX7" s="7" t="s">
        <v>107</v>
      </c>
      <c r="BY7" s="7" t="s">
        <v>107</v>
      </c>
      <c r="BZ7" s="7" t="s">
        <v>107</v>
      </c>
      <c r="CA7" s="3"/>
      <c r="CB7" s="7"/>
      <c r="CC7" s="7" t="s">
        <v>107</v>
      </c>
      <c r="CD7" s="7" t="s">
        <v>107</v>
      </c>
      <c r="CE7" s="8" t="s">
        <v>107</v>
      </c>
      <c r="CF7" s="7" t="s">
        <v>107</v>
      </c>
      <c r="CG7" s="7" t="s">
        <v>107</v>
      </c>
      <c r="CH7" s="7" t="s">
        <v>107</v>
      </c>
      <c r="CI7" s="3"/>
      <c r="CJ7" s="7"/>
      <c r="CK7" s="7" t="s">
        <v>107</v>
      </c>
      <c r="CL7" s="7" t="s">
        <v>107</v>
      </c>
      <c r="CM7" s="8" t="s">
        <v>107</v>
      </c>
      <c r="CN7" s="7" t="s">
        <v>107</v>
      </c>
      <c r="CO7" s="7" t="s">
        <v>107</v>
      </c>
      <c r="CP7" s="7" t="s">
        <v>107</v>
      </c>
      <c r="CQ7" s="3"/>
      <c r="CR7" s="7"/>
      <c r="CS7" s="7" t="s">
        <v>107</v>
      </c>
      <c r="CT7" s="7" t="s">
        <v>107</v>
      </c>
      <c r="CU7" s="7" t="s">
        <v>107</v>
      </c>
      <c r="CV7" s="7" t="s">
        <v>107</v>
      </c>
      <c r="CW7" s="7" t="s">
        <v>107</v>
      </c>
      <c r="CX7" s="7" t="s">
        <v>107</v>
      </c>
      <c r="CY7" s="3"/>
      <c r="CZ7" s="7"/>
      <c r="DA7" s="7" t="s">
        <v>107</v>
      </c>
      <c r="DB7" s="7" t="s">
        <v>107</v>
      </c>
      <c r="DC7" s="7" t="s">
        <v>107</v>
      </c>
      <c r="DD7" s="7" t="s">
        <v>107</v>
      </c>
      <c r="DE7" s="7" t="s">
        <v>107</v>
      </c>
      <c r="DF7" s="7" t="s">
        <v>107</v>
      </c>
      <c r="DG7" s="3"/>
      <c r="DH7" s="7"/>
      <c r="DI7" s="7" t="s">
        <v>107</v>
      </c>
      <c r="DJ7" s="7" t="s">
        <v>107</v>
      </c>
      <c r="DK7" s="3">
        <f>AM7</f>
        <v>16000</v>
      </c>
      <c r="DL7" s="15" t="s">
        <v>3443</v>
      </c>
      <c r="DM7" s="51">
        <f>DL7*0.95</f>
        <v>15200</v>
      </c>
    </row>
    <row r="8" spans="1:117" ht="17.25" customHeight="1" x14ac:dyDescent="0.25">
      <c r="A8" s="50" t="s">
        <v>3847</v>
      </c>
      <c r="B8" s="15" t="s">
        <v>3142</v>
      </c>
      <c r="C8" s="15" t="s">
        <v>94</v>
      </c>
      <c r="D8" s="15" t="s">
        <v>95</v>
      </c>
      <c r="E8" s="15" t="s">
        <v>96</v>
      </c>
      <c r="F8" s="15" t="s">
        <v>3143</v>
      </c>
      <c r="G8" s="15" t="s">
        <v>3144</v>
      </c>
      <c r="H8" s="15" t="s">
        <v>3145</v>
      </c>
      <c r="I8" s="15" t="s">
        <v>3146</v>
      </c>
      <c r="J8" s="15" t="s">
        <v>4329</v>
      </c>
      <c r="K8" s="15" t="s">
        <v>151</v>
      </c>
      <c r="L8" s="15" t="s">
        <v>3143</v>
      </c>
      <c r="M8" s="15" t="s">
        <v>3147</v>
      </c>
      <c r="N8" s="15" t="s">
        <v>3148</v>
      </c>
      <c r="O8" s="15" t="s">
        <v>3149</v>
      </c>
      <c r="P8" s="15" t="s">
        <v>3150</v>
      </c>
      <c r="Q8" s="15" t="s">
        <v>3151</v>
      </c>
      <c r="R8" s="15" t="s">
        <v>352</v>
      </c>
      <c r="S8" s="15" t="s">
        <v>3143</v>
      </c>
      <c r="T8" s="15" t="s">
        <v>107</v>
      </c>
      <c r="U8" s="15" t="s">
        <v>3152</v>
      </c>
      <c r="V8" s="15" t="s">
        <v>109</v>
      </c>
      <c r="W8" s="15" t="s">
        <v>3153</v>
      </c>
      <c r="X8" s="16" t="s">
        <v>3154</v>
      </c>
      <c r="Y8" s="15" t="s">
        <v>112</v>
      </c>
      <c r="Z8" s="16" t="s">
        <v>3155</v>
      </c>
      <c r="AA8" s="17">
        <v>845</v>
      </c>
      <c r="AB8" s="17">
        <v>1</v>
      </c>
      <c r="AC8" s="17">
        <v>410</v>
      </c>
      <c r="AD8" s="17">
        <v>0</v>
      </c>
      <c r="AE8" s="17">
        <v>0</v>
      </c>
      <c r="AF8" s="15" t="s">
        <v>142</v>
      </c>
      <c r="AG8" s="15" t="s">
        <v>352</v>
      </c>
      <c r="AH8" s="15" t="s">
        <v>3151</v>
      </c>
      <c r="AI8" s="18">
        <v>55328</v>
      </c>
      <c r="AJ8" s="15">
        <v>0.75</v>
      </c>
      <c r="AK8" s="15" t="s">
        <v>3156</v>
      </c>
      <c r="AL8" s="15" t="s">
        <v>3157</v>
      </c>
      <c r="AM8" s="3">
        <f>(AI8*AJ8)/2</f>
        <v>20748</v>
      </c>
      <c r="AN8" s="7" t="s">
        <v>107</v>
      </c>
      <c r="AO8" s="7" t="s">
        <v>107</v>
      </c>
      <c r="AP8" s="7" t="s">
        <v>107</v>
      </c>
      <c r="AQ8" s="8" t="s">
        <v>107</v>
      </c>
      <c r="AR8" s="7" t="s">
        <v>107</v>
      </c>
      <c r="AS8" s="7" t="s">
        <v>107</v>
      </c>
      <c r="AT8" s="7" t="s">
        <v>107</v>
      </c>
      <c r="AU8" s="3"/>
      <c r="AV8" s="7" t="s">
        <v>107</v>
      </c>
      <c r="AW8" s="7" t="s">
        <v>107</v>
      </c>
      <c r="AX8" s="7" t="s">
        <v>107</v>
      </c>
      <c r="AY8" s="8" t="s">
        <v>107</v>
      </c>
      <c r="AZ8" s="7" t="s">
        <v>107</v>
      </c>
      <c r="BA8" s="7" t="s">
        <v>107</v>
      </c>
      <c r="BB8" s="7" t="s">
        <v>107</v>
      </c>
      <c r="BC8" s="3"/>
      <c r="BD8" s="7" t="s">
        <v>107</v>
      </c>
      <c r="BE8" s="7" t="s">
        <v>107</v>
      </c>
      <c r="BF8" s="7" t="s">
        <v>107</v>
      </c>
      <c r="BG8" s="7" t="s">
        <v>107</v>
      </c>
      <c r="BH8" s="7" t="s">
        <v>107</v>
      </c>
      <c r="BI8" s="7" t="s">
        <v>107</v>
      </c>
      <c r="BJ8" s="7" t="s">
        <v>107</v>
      </c>
      <c r="BK8" s="3"/>
      <c r="BL8" s="7" t="s">
        <v>107</v>
      </c>
      <c r="BM8" s="7" t="s">
        <v>107</v>
      </c>
      <c r="BN8" s="7" t="s">
        <v>107</v>
      </c>
      <c r="BO8" s="8" t="s">
        <v>107</v>
      </c>
      <c r="BP8" s="7" t="s">
        <v>107</v>
      </c>
      <c r="BQ8" s="7" t="s">
        <v>107</v>
      </c>
      <c r="BR8" s="7" t="s">
        <v>107</v>
      </c>
      <c r="BS8" s="3"/>
      <c r="BT8" s="7" t="s">
        <v>107</v>
      </c>
      <c r="BU8" s="7" t="s">
        <v>107</v>
      </c>
      <c r="BV8" s="7" t="s">
        <v>107</v>
      </c>
      <c r="BW8" s="8" t="s">
        <v>107</v>
      </c>
      <c r="BX8" s="7" t="s">
        <v>107</v>
      </c>
      <c r="BY8" s="7" t="s">
        <v>107</v>
      </c>
      <c r="BZ8" s="7" t="s">
        <v>107</v>
      </c>
      <c r="CA8" s="3"/>
      <c r="CB8" s="7"/>
      <c r="CC8" s="7" t="s">
        <v>107</v>
      </c>
      <c r="CD8" s="7" t="s">
        <v>107</v>
      </c>
      <c r="CE8" s="8" t="s">
        <v>107</v>
      </c>
      <c r="CF8" s="7" t="s">
        <v>107</v>
      </c>
      <c r="CG8" s="7" t="s">
        <v>107</v>
      </c>
      <c r="CH8" s="7" t="s">
        <v>107</v>
      </c>
      <c r="CI8" s="3"/>
      <c r="CJ8" s="7"/>
      <c r="CK8" s="7" t="s">
        <v>107</v>
      </c>
      <c r="CL8" s="7" t="s">
        <v>107</v>
      </c>
      <c r="CM8" s="8" t="s">
        <v>107</v>
      </c>
      <c r="CN8" s="7" t="s">
        <v>107</v>
      </c>
      <c r="CO8" s="7" t="s">
        <v>107</v>
      </c>
      <c r="CP8" s="7" t="s">
        <v>107</v>
      </c>
      <c r="CQ8" s="3"/>
      <c r="CR8" s="7"/>
      <c r="CS8" s="7" t="s">
        <v>107</v>
      </c>
      <c r="CT8" s="7" t="s">
        <v>107</v>
      </c>
      <c r="CU8" s="7" t="s">
        <v>107</v>
      </c>
      <c r="CV8" s="7" t="s">
        <v>107</v>
      </c>
      <c r="CW8" s="7" t="s">
        <v>107</v>
      </c>
      <c r="CX8" s="7" t="s">
        <v>107</v>
      </c>
      <c r="CY8" s="3"/>
      <c r="CZ8" s="7"/>
      <c r="DA8" s="7" t="s">
        <v>107</v>
      </c>
      <c r="DB8" s="7" t="s">
        <v>107</v>
      </c>
      <c r="DC8" s="7" t="s">
        <v>107</v>
      </c>
      <c r="DD8" s="7" t="s">
        <v>107</v>
      </c>
      <c r="DE8" s="7" t="s">
        <v>107</v>
      </c>
      <c r="DF8" s="7" t="s">
        <v>107</v>
      </c>
      <c r="DG8" s="3"/>
      <c r="DH8" s="7"/>
      <c r="DI8" s="7" t="s">
        <v>107</v>
      </c>
      <c r="DJ8" s="7" t="s">
        <v>107</v>
      </c>
      <c r="DK8" s="3">
        <f>AM8</f>
        <v>20748</v>
      </c>
      <c r="DL8" s="15" t="s">
        <v>3157</v>
      </c>
      <c r="DM8" s="51">
        <f>DL8*0.95</f>
        <v>19710.599999999999</v>
      </c>
    </row>
    <row r="9" spans="1:117" ht="17.25" customHeight="1" x14ac:dyDescent="0.25">
      <c r="A9" s="50" t="s">
        <v>92</v>
      </c>
      <c r="B9" s="15" t="s">
        <v>93</v>
      </c>
      <c r="C9" s="15" t="s">
        <v>94</v>
      </c>
      <c r="D9" s="15" t="s">
        <v>95</v>
      </c>
      <c r="E9" s="15" t="s">
        <v>96</v>
      </c>
      <c r="F9" s="15" t="s">
        <v>97</v>
      </c>
      <c r="G9" s="15" t="s">
        <v>98</v>
      </c>
      <c r="H9" s="15" t="s">
        <v>99</v>
      </c>
      <c r="I9" s="15" t="s">
        <v>100</v>
      </c>
      <c r="J9" s="15" t="s">
        <v>4280</v>
      </c>
      <c r="K9" s="15" t="s">
        <v>101</v>
      </c>
      <c r="L9" s="15" t="s">
        <v>97</v>
      </c>
      <c r="M9" s="15" t="s">
        <v>102</v>
      </c>
      <c r="N9" s="15" t="s">
        <v>103</v>
      </c>
      <c r="O9" s="15" t="s">
        <v>97</v>
      </c>
      <c r="P9" s="15" t="s">
        <v>104</v>
      </c>
      <c r="Q9" s="15" t="s">
        <v>105</v>
      </c>
      <c r="R9" s="15" t="s">
        <v>106</v>
      </c>
      <c r="S9" s="15" t="s">
        <v>97</v>
      </c>
      <c r="T9" s="15" t="s">
        <v>107</v>
      </c>
      <c r="U9" s="15" t="s">
        <v>108</v>
      </c>
      <c r="V9" s="15" t="s">
        <v>109</v>
      </c>
      <c r="W9" s="15" t="s">
        <v>110</v>
      </c>
      <c r="X9" s="16" t="s">
        <v>111</v>
      </c>
      <c r="Y9" s="15" t="s">
        <v>112</v>
      </c>
      <c r="Z9" s="16" t="s">
        <v>113</v>
      </c>
      <c r="AA9" s="17">
        <v>260</v>
      </c>
      <c r="AB9" s="17">
        <v>1</v>
      </c>
      <c r="AC9" s="17">
        <v>130</v>
      </c>
      <c r="AD9" s="17">
        <v>0</v>
      </c>
      <c r="AE9" s="17">
        <v>0</v>
      </c>
      <c r="AF9" s="15" t="s">
        <v>118</v>
      </c>
      <c r="AG9" s="15" t="s">
        <v>115</v>
      </c>
      <c r="AH9" s="15" t="s">
        <v>105</v>
      </c>
      <c r="AI9" s="18">
        <v>45053</v>
      </c>
      <c r="AJ9" s="15">
        <v>0.5</v>
      </c>
      <c r="AK9" s="15" t="s">
        <v>116</v>
      </c>
      <c r="AL9" s="15" t="s">
        <v>117</v>
      </c>
      <c r="AM9" s="3">
        <f>(AI9*AJ9)/2</f>
        <v>11263.25</v>
      </c>
      <c r="AN9" s="7" t="s">
        <v>107</v>
      </c>
      <c r="AO9" s="7" t="s">
        <v>107</v>
      </c>
      <c r="AP9" s="7" t="s">
        <v>107</v>
      </c>
      <c r="AQ9" s="8" t="s">
        <v>107</v>
      </c>
      <c r="AR9" s="7" t="s">
        <v>107</v>
      </c>
      <c r="AS9" s="7" t="s">
        <v>107</v>
      </c>
      <c r="AT9" s="7" t="s">
        <v>107</v>
      </c>
      <c r="AU9" s="3"/>
      <c r="AV9" s="7" t="s">
        <v>107</v>
      </c>
      <c r="AW9" s="7" t="s">
        <v>107</v>
      </c>
      <c r="AX9" s="7" t="s">
        <v>107</v>
      </c>
      <c r="AY9" s="8" t="s">
        <v>107</v>
      </c>
      <c r="AZ9" s="7" t="s">
        <v>107</v>
      </c>
      <c r="BA9" s="7" t="s">
        <v>107</v>
      </c>
      <c r="BB9" s="7" t="s">
        <v>107</v>
      </c>
      <c r="BC9" s="3"/>
      <c r="BD9" s="7" t="s">
        <v>107</v>
      </c>
      <c r="BE9" s="7" t="s">
        <v>107</v>
      </c>
      <c r="BF9" s="7" t="s">
        <v>107</v>
      </c>
      <c r="BG9" s="7" t="s">
        <v>107</v>
      </c>
      <c r="BH9" s="7" t="s">
        <v>107</v>
      </c>
      <c r="BI9" s="7" t="s">
        <v>107</v>
      </c>
      <c r="BJ9" s="7" t="s">
        <v>107</v>
      </c>
      <c r="BK9" s="3"/>
      <c r="BL9" s="7" t="s">
        <v>107</v>
      </c>
      <c r="BM9" s="7" t="s">
        <v>107</v>
      </c>
      <c r="BN9" s="7" t="s">
        <v>107</v>
      </c>
      <c r="BO9" s="8" t="s">
        <v>107</v>
      </c>
      <c r="BP9" s="7" t="s">
        <v>107</v>
      </c>
      <c r="BQ9" s="7" t="s">
        <v>107</v>
      </c>
      <c r="BR9" s="7" t="s">
        <v>107</v>
      </c>
      <c r="BS9" s="3"/>
      <c r="BT9" s="7" t="s">
        <v>107</v>
      </c>
      <c r="BU9" s="7" t="s">
        <v>107</v>
      </c>
      <c r="BV9" s="7" t="s">
        <v>107</v>
      </c>
      <c r="BW9" s="8" t="s">
        <v>107</v>
      </c>
      <c r="BX9" s="7" t="s">
        <v>107</v>
      </c>
      <c r="BY9" s="7" t="s">
        <v>107</v>
      </c>
      <c r="BZ9" s="7" t="s">
        <v>107</v>
      </c>
      <c r="CA9" s="3"/>
      <c r="CB9" s="7"/>
      <c r="CC9" s="7" t="s">
        <v>107</v>
      </c>
      <c r="CD9" s="7" t="s">
        <v>107</v>
      </c>
      <c r="CE9" s="8" t="s">
        <v>107</v>
      </c>
      <c r="CF9" s="7" t="s">
        <v>107</v>
      </c>
      <c r="CG9" s="7" t="s">
        <v>107</v>
      </c>
      <c r="CH9" s="7" t="s">
        <v>107</v>
      </c>
      <c r="CI9" s="3"/>
      <c r="CJ9" s="7"/>
      <c r="CK9" s="7" t="s">
        <v>107</v>
      </c>
      <c r="CL9" s="7" t="s">
        <v>107</v>
      </c>
      <c r="CM9" s="8" t="s">
        <v>107</v>
      </c>
      <c r="CN9" s="7" t="s">
        <v>107</v>
      </c>
      <c r="CO9" s="7" t="s">
        <v>107</v>
      </c>
      <c r="CP9" s="7" t="s">
        <v>107</v>
      </c>
      <c r="CQ9" s="3"/>
      <c r="CR9" s="7"/>
      <c r="CS9" s="7" t="s">
        <v>107</v>
      </c>
      <c r="CT9" s="7" t="s">
        <v>107</v>
      </c>
      <c r="CU9" s="7" t="s">
        <v>107</v>
      </c>
      <c r="CV9" s="7" t="s">
        <v>107</v>
      </c>
      <c r="CW9" s="7" t="s">
        <v>107</v>
      </c>
      <c r="CX9" s="7" t="s">
        <v>107</v>
      </c>
      <c r="CY9" s="3"/>
      <c r="CZ9" s="7"/>
      <c r="DA9" s="7" t="s">
        <v>107</v>
      </c>
      <c r="DB9" s="7" t="s">
        <v>107</v>
      </c>
      <c r="DC9" s="7" t="s">
        <v>107</v>
      </c>
      <c r="DD9" s="7" t="s">
        <v>107</v>
      </c>
      <c r="DE9" s="7" t="s">
        <v>107</v>
      </c>
      <c r="DF9" s="7" t="s">
        <v>107</v>
      </c>
      <c r="DG9" s="3"/>
      <c r="DH9" s="7"/>
      <c r="DI9" s="7" t="s">
        <v>107</v>
      </c>
      <c r="DJ9" s="7" t="s">
        <v>107</v>
      </c>
      <c r="DK9" s="3">
        <f>AM9</f>
        <v>11263.25</v>
      </c>
      <c r="DL9" s="15" t="s">
        <v>119</v>
      </c>
      <c r="DM9" s="51">
        <f>DL9*0.95</f>
        <v>10700.0875</v>
      </c>
    </row>
    <row r="10" spans="1:117" ht="17.25" customHeight="1" x14ac:dyDescent="0.25">
      <c r="A10" s="50" t="s">
        <v>727</v>
      </c>
      <c r="B10" s="15" t="s">
        <v>3909</v>
      </c>
      <c r="C10" s="15" t="s">
        <v>728</v>
      </c>
      <c r="D10" s="15" t="s">
        <v>729</v>
      </c>
      <c r="E10" s="15" t="s">
        <v>730</v>
      </c>
      <c r="F10" s="15" t="s">
        <v>731</v>
      </c>
      <c r="G10" s="15" t="s">
        <v>732</v>
      </c>
      <c r="H10" s="15" t="s">
        <v>733</v>
      </c>
      <c r="I10" s="15" t="s">
        <v>3979</v>
      </c>
      <c r="J10" s="15" t="s">
        <v>4216</v>
      </c>
      <c r="K10" s="15" t="s">
        <v>101</v>
      </c>
      <c r="L10" s="15" t="s">
        <v>731</v>
      </c>
      <c r="M10" s="15" t="s">
        <v>734</v>
      </c>
      <c r="N10" s="15" t="s">
        <v>735</v>
      </c>
      <c r="O10" s="15" t="s">
        <v>736</v>
      </c>
      <c r="P10" s="15" t="s">
        <v>737</v>
      </c>
      <c r="Q10" s="15" t="s">
        <v>738</v>
      </c>
      <c r="R10" s="15" t="s">
        <v>115</v>
      </c>
      <c r="S10" s="15" t="s">
        <v>731</v>
      </c>
      <c r="T10" s="15" t="s">
        <v>107</v>
      </c>
      <c r="U10" s="15" t="s">
        <v>739</v>
      </c>
      <c r="V10" s="15" t="s">
        <v>109</v>
      </c>
      <c r="W10" s="15" t="s">
        <v>740</v>
      </c>
      <c r="X10" s="16" t="s">
        <v>741</v>
      </c>
      <c r="Y10" s="15" t="s">
        <v>742</v>
      </c>
      <c r="Z10" s="16" t="s">
        <v>743</v>
      </c>
      <c r="AA10" s="17">
        <v>3500</v>
      </c>
      <c r="AB10" s="17">
        <v>8</v>
      </c>
      <c r="AC10" s="17">
        <v>2170</v>
      </c>
      <c r="AD10" s="17">
        <v>7</v>
      </c>
      <c r="AE10" s="17">
        <v>3315</v>
      </c>
      <c r="AF10" s="15" t="s">
        <v>118</v>
      </c>
      <c r="AG10" s="15" t="s">
        <v>115</v>
      </c>
      <c r="AH10" s="15" t="s">
        <v>744</v>
      </c>
      <c r="AI10" s="18">
        <v>47112</v>
      </c>
      <c r="AJ10" s="15">
        <v>0.9</v>
      </c>
      <c r="AK10" s="15" t="s">
        <v>745</v>
      </c>
      <c r="AL10" s="15" t="s">
        <v>746</v>
      </c>
      <c r="AM10" s="3">
        <f>(AI10*AJ10)/2</f>
        <v>21200.400000000001</v>
      </c>
      <c r="AN10" s="7" t="s">
        <v>107</v>
      </c>
      <c r="AO10" s="7" t="s">
        <v>107</v>
      </c>
      <c r="AP10" s="7" t="s">
        <v>107</v>
      </c>
      <c r="AQ10" s="8" t="s">
        <v>107</v>
      </c>
      <c r="AR10" s="7" t="s">
        <v>107</v>
      </c>
      <c r="AS10" s="7" t="s">
        <v>107</v>
      </c>
      <c r="AT10" s="7" t="s">
        <v>107</v>
      </c>
      <c r="AU10" s="3"/>
      <c r="AV10" s="7" t="s">
        <v>107</v>
      </c>
      <c r="AW10" s="7" t="s">
        <v>107</v>
      </c>
      <c r="AX10" s="7" t="s">
        <v>107</v>
      </c>
      <c r="AY10" s="8" t="s">
        <v>107</v>
      </c>
      <c r="AZ10" s="7" t="s">
        <v>107</v>
      </c>
      <c r="BA10" s="7" t="s">
        <v>107</v>
      </c>
      <c r="BB10" s="7" t="s">
        <v>107</v>
      </c>
      <c r="BC10" s="3"/>
      <c r="BD10" s="7" t="s">
        <v>107</v>
      </c>
      <c r="BE10" s="7" t="s">
        <v>107</v>
      </c>
      <c r="BF10" s="7" t="s">
        <v>107</v>
      </c>
      <c r="BG10" s="7" t="s">
        <v>107</v>
      </c>
      <c r="BH10" s="7" t="s">
        <v>107</v>
      </c>
      <c r="BI10" s="7" t="s">
        <v>107</v>
      </c>
      <c r="BJ10" s="7" t="s">
        <v>107</v>
      </c>
      <c r="BK10" s="3"/>
      <c r="BL10" s="7" t="s">
        <v>107</v>
      </c>
      <c r="BM10" s="7" t="s">
        <v>107</v>
      </c>
      <c r="BN10" s="7" t="s">
        <v>107</v>
      </c>
      <c r="BO10" s="8" t="s">
        <v>107</v>
      </c>
      <c r="BP10" s="7" t="s">
        <v>107</v>
      </c>
      <c r="BQ10" s="7" t="s">
        <v>107</v>
      </c>
      <c r="BR10" s="7" t="s">
        <v>107</v>
      </c>
      <c r="BS10" s="3"/>
      <c r="BT10" s="7" t="s">
        <v>107</v>
      </c>
      <c r="BU10" s="7" t="s">
        <v>107</v>
      </c>
      <c r="BV10" s="7" t="s">
        <v>107</v>
      </c>
      <c r="BW10" s="8" t="s">
        <v>107</v>
      </c>
      <c r="BX10" s="7" t="s">
        <v>107</v>
      </c>
      <c r="BY10" s="7" t="s">
        <v>107</v>
      </c>
      <c r="BZ10" s="7" t="s">
        <v>107</v>
      </c>
      <c r="CA10" s="3"/>
      <c r="CB10" s="7"/>
      <c r="CC10" s="7" t="s">
        <v>107</v>
      </c>
      <c r="CD10" s="7" t="s">
        <v>107</v>
      </c>
      <c r="CE10" s="8" t="s">
        <v>107</v>
      </c>
      <c r="CF10" s="7" t="s">
        <v>107</v>
      </c>
      <c r="CG10" s="7" t="s">
        <v>107</v>
      </c>
      <c r="CH10" s="7" t="s">
        <v>107</v>
      </c>
      <c r="CI10" s="3"/>
      <c r="CJ10" s="7"/>
      <c r="CK10" s="7" t="s">
        <v>107</v>
      </c>
      <c r="CL10" s="7" t="s">
        <v>107</v>
      </c>
      <c r="CM10" s="8" t="s">
        <v>107</v>
      </c>
      <c r="CN10" s="7" t="s">
        <v>107</v>
      </c>
      <c r="CO10" s="7" t="s">
        <v>107</v>
      </c>
      <c r="CP10" s="7" t="s">
        <v>107</v>
      </c>
      <c r="CQ10" s="3"/>
      <c r="CR10" s="7"/>
      <c r="CS10" s="7" t="s">
        <v>107</v>
      </c>
      <c r="CT10" s="7" t="s">
        <v>107</v>
      </c>
      <c r="CU10" s="7" t="s">
        <v>107</v>
      </c>
      <c r="CV10" s="7" t="s">
        <v>107</v>
      </c>
      <c r="CW10" s="7" t="s">
        <v>107</v>
      </c>
      <c r="CX10" s="7" t="s">
        <v>107</v>
      </c>
      <c r="CY10" s="3"/>
      <c r="CZ10" s="7"/>
      <c r="DA10" s="7" t="s">
        <v>107</v>
      </c>
      <c r="DB10" s="7" t="s">
        <v>107</v>
      </c>
      <c r="DC10" s="7" t="s">
        <v>107</v>
      </c>
      <c r="DD10" s="7" t="s">
        <v>107</v>
      </c>
      <c r="DE10" s="7" t="s">
        <v>107</v>
      </c>
      <c r="DF10" s="7" t="s">
        <v>107</v>
      </c>
      <c r="DG10" s="3"/>
      <c r="DH10" s="7"/>
      <c r="DI10" s="7" t="s">
        <v>107</v>
      </c>
      <c r="DJ10" s="7" t="s">
        <v>107</v>
      </c>
      <c r="DK10" s="3">
        <f>AM10</f>
        <v>21200.400000000001</v>
      </c>
      <c r="DL10" s="15" t="s">
        <v>746</v>
      </c>
      <c r="DM10" s="51">
        <f>DL10*0.95</f>
        <v>20140.038</v>
      </c>
    </row>
    <row r="11" spans="1:117" ht="17.25" customHeight="1" x14ac:dyDescent="0.25">
      <c r="A11" s="50" t="s">
        <v>1744</v>
      </c>
      <c r="B11" s="15" t="s">
        <v>1745</v>
      </c>
      <c r="C11" s="15" t="s">
        <v>1746</v>
      </c>
      <c r="D11" s="15" t="s">
        <v>1747</v>
      </c>
      <c r="E11" s="15" t="s">
        <v>691</v>
      </c>
      <c r="F11" s="15" t="s">
        <v>1748</v>
      </c>
      <c r="G11" s="15" t="s">
        <v>1749</v>
      </c>
      <c r="H11" s="15" t="s">
        <v>1750</v>
      </c>
      <c r="I11" s="15" t="s">
        <v>1751</v>
      </c>
      <c r="J11" s="15" t="s">
        <v>4264</v>
      </c>
      <c r="K11" s="15" t="s">
        <v>151</v>
      </c>
      <c r="L11" s="15" t="s">
        <v>1752</v>
      </c>
      <c r="M11" s="15" t="s">
        <v>1753</v>
      </c>
      <c r="N11" s="15" t="s">
        <v>1754</v>
      </c>
      <c r="O11" s="15" t="s">
        <v>1755</v>
      </c>
      <c r="P11" s="15" t="s">
        <v>1756</v>
      </c>
      <c r="Q11" s="15" t="s">
        <v>1757</v>
      </c>
      <c r="R11" s="15" t="s">
        <v>1758</v>
      </c>
      <c r="S11" s="15" t="s">
        <v>1748</v>
      </c>
      <c r="T11" s="15" t="s">
        <v>107</v>
      </c>
      <c r="U11" s="15" t="s">
        <v>1759</v>
      </c>
      <c r="V11" s="15" t="s">
        <v>109</v>
      </c>
      <c r="W11" s="15" t="s">
        <v>1760</v>
      </c>
      <c r="X11" s="16" t="s">
        <v>1761</v>
      </c>
      <c r="Y11" s="15" t="s">
        <v>137</v>
      </c>
      <c r="Z11" s="16" t="s">
        <v>1762</v>
      </c>
      <c r="AA11" s="17">
        <v>1707</v>
      </c>
      <c r="AB11" s="17">
        <v>1</v>
      </c>
      <c r="AC11" s="17">
        <v>434</v>
      </c>
      <c r="AD11" s="17">
        <v>1</v>
      </c>
      <c r="AE11" s="17">
        <v>444</v>
      </c>
      <c r="AF11" s="15" t="s">
        <v>142</v>
      </c>
      <c r="AG11" s="15" t="s">
        <v>132</v>
      </c>
      <c r="AH11" s="15" t="s">
        <v>1763</v>
      </c>
      <c r="AI11" s="18">
        <v>59050</v>
      </c>
      <c r="AJ11" s="15">
        <v>1</v>
      </c>
      <c r="AK11" s="15" t="s">
        <v>1764</v>
      </c>
      <c r="AL11" s="15" t="s">
        <v>1765</v>
      </c>
      <c r="AM11" s="3">
        <f>(AI11*AJ11)/2</f>
        <v>29525</v>
      </c>
      <c r="AN11" s="7" t="s">
        <v>107</v>
      </c>
      <c r="AO11" s="7" t="s">
        <v>107</v>
      </c>
      <c r="AP11" s="7" t="s">
        <v>107</v>
      </c>
      <c r="AQ11" s="8" t="s">
        <v>107</v>
      </c>
      <c r="AR11" s="7" t="s">
        <v>107</v>
      </c>
      <c r="AS11" s="7" t="s">
        <v>107</v>
      </c>
      <c r="AT11" s="7" t="s">
        <v>107</v>
      </c>
      <c r="AU11" s="3"/>
      <c r="AV11" s="7" t="s">
        <v>107</v>
      </c>
      <c r="AW11" s="7" t="s">
        <v>107</v>
      </c>
      <c r="AX11" s="7" t="s">
        <v>107</v>
      </c>
      <c r="AY11" s="8" t="s">
        <v>107</v>
      </c>
      <c r="AZ11" s="7" t="s">
        <v>107</v>
      </c>
      <c r="BA11" s="7" t="s">
        <v>107</v>
      </c>
      <c r="BB11" s="7" t="s">
        <v>107</v>
      </c>
      <c r="BC11" s="3"/>
      <c r="BD11" s="7" t="s">
        <v>107</v>
      </c>
      <c r="BE11" s="7" t="s">
        <v>107</v>
      </c>
      <c r="BF11" s="7" t="s">
        <v>107</v>
      </c>
      <c r="BG11" s="7" t="s">
        <v>107</v>
      </c>
      <c r="BH11" s="7" t="s">
        <v>107</v>
      </c>
      <c r="BI11" s="7" t="s">
        <v>107</v>
      </c>
      <c r="BJ11" s="7" t="s">
        <v>107</v>
      </c>
      <c r="BK11" s="3"/>
      <c r="BL11" s="7" t="s">
        <v>107</v>
      </c>
      <c r="BM11" s="7" t="s">
        <v>107</v>
      </c>
      <c r="BN11" s="7" t="s">
        <v>107</v>
      </c>
      <c r="BO11" s="8" t="s">
        <v>107</v>
      </c>
      <c r="BP11" s="7" t="s">
        <v>107</v>
      </c>
      <c r="BQ11" s="7" t="s">
        <v>107</v>
      </c>
      <c r="BR11" s="7" t="s">
        <v>107</v>
      </c>
      <c r="BS11" s="3"/>
      <c r="BT11" s="7" t="s">
        <v>107</v>
      </c>
      <c r="BU11" s="7" t="s">
        <v>107</v>
      </c>
      <c r="BV11" s="7" t="s">
        <v>107</v>
      </c>
      <c r="BW11" s="8" t="s">
        <v>107</v>
      </c>
      <c r="BX11" s="7" t="s">
        <v>107</v>
      </c>
      <c r="BY11" s="7" t="s">
        <v>107</v>
      </c>
      <c r="BZ11" s="7" t="s">
        <v>107</v>
      </c>
      <c r="CA11" s="3"/>
      <c r="CB11" s="7"/>
      <c r="CC11" s="7" t="s">
        <v>107</v>
      </c>
      <c r="CD11" s="7" t="s">
        <v>107</v>
      </c>
      <c r="CE11" s="8" t="s">
        <v>107</v>
      </c>
      <c r="CF11" s="7" t="s">
        <v>107</v>
      </c>
      <c r="CG11" s="7" t="s">
        <v>107</v>
      </c>
      <c r="CH11" s="7" t="s">
        <v>107</v>
      </c>
      <c r="CI11" s="3"/>
      <c r="CJ11" s="7"/>
      <c r="CK11" s="7" t="s">
        <v>107</v>
      </c>
      <c r="CL11" s="7" t="s">
        <v>107</v>
      </c>
      <c r="CM11" s="8" t="s">
        <v>107</v>
      </c>
      <c r="CN11" s="7" t="s">
        <v>107</v>
      </c>
      <c r="CO11" s="7" t="s">
        <v>107</v>
      </c>
      <c r="CP11" s="7" t="s">
        <v>107</v>
      </c>
      <c r="CQ11" s="3"/>
      <c r="CR11" s="7"/>
      <c r="CS11" s="7" t="s">
        <v>107</v>
      </c>
      <c r="CT11" s="7" t="s">
        <v>107</v>
      </c>
      <c r="CU11" s="7" t="s">
        <v>107</v>
      </c>
      <c r="CV11" s="7" t="s">
        <v>107</v>
      </c>
      <c r="CW11" s="7" t="s">
        <v>107</v>
      </c>
      <c r="CX11" s="7" t="s">
        <v>107</v>
      </c>
      <c r="CY11" s="3"/>
      <c r="CZ11" s="7"/>
      <c r="DA11" s="7" t="s">
        <v>107</v>
      </c>
      <c r="DB11" s="7" t="s">
        <v>107</v>
      </c>
      <c r="DC11" s="7" t="s">
        <v>107</v>
      </c>
      <c r="DD11" s="7" t="s">
        <v>107</v>
      </c>
      <c r="DE11" s="7" t="s">
        <v>107</v>
      </c>
      <c r="DF11" s="7" t="s">
        <v>107</v>
      </c>
      <c r="DG11" s="3"/>
      <c r="DH11" s="7"/>
      <c r="DI11" s="7" t="s">
        <v>107</v>
      </c>
      <c r="DJ11" s="7" t="s">
        <v>107</v>
      </c>
      <c r="DK11" s="3">
        <f>AM11</f>
        <v>29525</v>
      </c>
      <c r="DL11" s="15" t="s">
        <v>1765</v>
      </c>
      <c r="DM11" s="51">
        <f>DL11*0.95</f>
        <v>28048.75</v>
      </c>
    </row>
    <row r="12" spans="1:117" ht="17.25" customHeight="1" x14ac:dyDescent="0.25">
      <c r="A12" s="50" t="s">
        <v>143</v>
      </c>
      <c r="B12" s="15" t="s">
        <v>144</v>
      </c>
      <c r="C12" s="15" t="s">
        <v>145</v>
      </c>
      <c r="D12" s="15" t="s">
        <v>146</v>
      </c>
      <c r="E12" s="15" t="s">
        <v>147</v>
      </c>
      <c r="F12" s="15" t="s">
        <v>148</v>
      </c>
      <c r="G12" s="15" t="s">
        <v>149</v>
      </c>
      <c r="H12" s="15" t="s">
        <v>150</v>
      </c>
      <c r="I12" s="15" t="s">
        <v>3980</v>
      </c>
      <c r="J12" s="15" t="s">
        <v>4364</v>
      </c>
      <c r="K12" s="15" t="s">
        <v>151</v>
      </c>
      <c r="L12" s="15" t="s">
        <v>148</v>
      </c>
      <c r="M12" s="15" t="s">
        <v>152</v>
      </c>
      <c r="N12" s="15" t="s">
        <v>153</v>
      </c>
      <c r="O12" s="15" t="s">
        <v>154</v>
      </c>
      <c r="P12" s="15" t="s">
        <v>155</v>
      </c>
      <c r="Q12" s="15" t="s">
        <v>156</v>
      </c>
      <c r="R12" s="15" t="s">
        <v>157</v>
      </c>
      <c r="S12" s="15" t="s">
        <v>148</v>
      </c>
      <c r="T12" s="15" t="s">
        <v>107</v>
      </c>
      <c r="U12" s="15" t="s">
        <v>158</v>
      </c>
      <c r="V12" s="15" t="s">
        <v>109</v>
      </c>
      <c r="W12" s="15" t="s">
        <v>107</v>
      </c>
      <c r="X12" s="16" t="s">
        <v>159</v>
      </c>
      <c r="Y12" s="15" t="s">
        <v>114</v>
      </c>
      <c r="Z12" s="16" t="s">
        <v>160</v>
      </c>
      <c r="AA12" s="17">
        <v>500</v>
      </c>
      <c r="AB12" s="17">
        <v>1</v>
      </c>
      <c r="AC12" s="17">
        <v>810</v>
      </c>
      <c r="AD12" s="17">
        <v>1</v>
      </c>
      <c r="AE12" s="17">
        <v>1100</v>
      </c>
      <c r="AF12" s="15" t="s">
        <v>142</v>
      </c>
      <c r="AG12" s="15" t="s">
        <v>157</v>
      </c>
      <c r="AH12" s="15" t="s">
        <v>156</v>
      </c>
      <c r="AI12" s="18">
        <v>70000</v>
      </c>
      <c r="AJ12" s="15">
        <v>0.5</v>
      </c>
      <c r="AK12" s="15" t="s">
        <v>162</v>
      </c>
      <c r="AL12" s="15" t="s">
        <v>163</v>
      </c>
      <c r="AM12" s="3">
        <f>(AI12*AJ12)/2</f>
        <v>17500</v>
      </c>
      <c r="AN12" s="7" t="s">
        <v>107</v>
      </c>
      <c r="AO12" s="7" t="s">
        <v>107</v>
      </c>
      <c r="AP12" s="7" t="s">
        <v>107</v>
      </c>
      <c r="AQ12" s="8" t="s">
        <v>107</v>
      </c>
      <c r="AR12" s="7" t="s">
        <v>107</v>
      </c>
      <c r="AS12" s="7" t="s">
        <v>107</v>
      </c>
      <c r="AT12" s="7" t="s">
        <v>107</v>
      </c>
      <c r="AU12" s="3"/>
      <c r="AV12" s="7" t="s">
        <v>107</v>
      </c>
      <c r="AW12" s="7" t="s">
        <v>107</v>
      </c>
      <c r="AX12" s="7" t="s">
        <v>107</v>
      </c>
      <c r="AY12" s="8" t="s">
        <v>107</v>
      </c>
      <c r="AZ12" s="7" t="s">
        <v>107</v>
      </c>
      <c r="BA12" s="7" t="s">
        <v>107</v>
      </c>
      <c r="BB12" s="7" t="s">
        <v>107</v>
      </c>
      <c r="BC12" s="3"/>
      <c r="BD12" s="7" t="s">
        <v>107</v>
      </c>
      <c r="BE12" s="7" t="s">
        <v>107</v>
      </c>
      <c r="BF12" s="7" t="s">
        <v>107</v>
      </c>
      <c r="BG12" s="7" t="s">
        <v>107</v>
      </c>
      <c r="BH12" s="7" t="s">
        <v>107</v>
      </c>
      <c r="BI12" s="7" t="s">
        <v>107</v>
      </c>
      <c r="BJ12" s="7" t="s">
        <v>107</v>
      </c>
      <c r="BK12" s="3"/>
      <c r="BL12" s="7" t="s">
        <v>107</v>
      </c>
      <c r="BM12" s="7" t="s">
        <v>107</v>
      </c>
      <c r="BN12" s="7" t="s">
        <v>107</v>
      </c>
      <c r="BO12" s="8" t="s">
        <v>107</v>
      </c>
      <c r="BP12" s="7" t="s">
        <v>107</v>
      </c>
      <c r="BQ12" s="7" t="s">
        <v>107</v>
      </c>
      <c r="BR12" s="7" t="s">
        <v>107</v>
      </c>
      <c r="BS12" s="3"/>
      <c r="BT12" s="7" t="s">
        <v>107</v>
      </c>
      <c r="BU12" s="7" t="s">
        <v>107</v>
      </c>
      <c r="BV12" s="7" t="s">
        <v>107</v>
      </c>
      <c r="BW12" s="8" t="s">
        <v>107</v>
      </c>
      <c r="BX12" s="7" t="s">
        <v>107</v>
      </c>
      <c r="BY12" s="7" t="s">
        <v>107</v>
      </c>
      <c r="BZ12" s="7" t="s">
        <v>107</v>
      </c>
      <c r="CA12" s="3"/>
      <c r="CB12" s="7"/>
      <c r="CC12" s="7" t="s">
        <v>107</v>
      </c>
      <c r="CD12" s="7" t="s">
        <v>107</v>
      </c>
      <c r="CE12" s="8" t="s">
        <v>107</v>
      </c>
      <c r="CF12" s="7" t="s">
        <v>107</v>
      </c>
      <c r="CG12" s="7" t="s">
        <v>107</v>
      </c>
      <c r="CH12" s="7" t="s">
        <v>107</v>
      </c>
      <c r="CI12" s="3"/>
      <c r="CJ12" s="7"/>
      <c r="CK12" s="7" t="s">
        <v>107</v>
      </c>
      <c r="CL12" s="7" t="s">
        <v>107</v>
      </c>
      <c r="CM12" s="8" t="s">
        <v>107</v>
      </c>
      <c r="CN12" s="7" t="s">
        <v>107</v>
      </c>
      <c r="CO12" s="7" t="s">
        <v>107</v>
      </c>
      <c r="CP12" s="7" t="s">
        <v>107</v>
      </c>
      <c r="CQ12" s="3"/>
      <c r="CR12" s="7"/>
      <c r="CS12" s="7" t="s">
        <v>107</v>
      </c>
      <c r="CT12" s="7" t="s">
        <v>107</v>
      </c>
      <c r="CU12" s="7" t="s">
        <v>107</v>
      </c>
      <c r="CV12" s="7" t="s">
        <v>107</v>
      </c>
      <c r="CW12" s="7" t="s">
        <v>107</v>
      </c>
      <c r="CX12" s="7" t="s">
        <v>107</v>
      </c>
      <c r="CY12" s="3"/>
      <c r="CZ12" s="7"/>
      <c r="DA12" s="7" t="s">
        <v>107</v>
      </c>
      <c r="DB12" s="7" t="s">
        <v>107</v>
      </c>
      <c r="DC12" s="7" t="s">
        <v>107</v>
      </c>
      <c r="DD12" s="7" t="s">
        <v>107</v>
      </c>
      <c r="DE12" s="7" t="s">
        <v>107</v>
      </c>
      <c r="DF12" s="7" t="s">
        <v>107</v>
      </c>
      <c r="DG12" s="3"/>
      <c r="DH12" s="7"/>
      <c r="DI12" s="7" t="s">
        <v>107</v>
      </c>
      <c r="DJ12" s="7" t="s">
        <v>107</v>
      </c>
      <c r="DK12" s="3">
        <f>AM12</f>
        <v>17500</v>
      </c>
      <c r="DL12" s="15" t="s">
        <v>163</v>
      </c>
      <c r="DM12" s="51">
        <f>DL12*0.95</f>
        <v>16625</v>
      </c>
    </row>
    <row r="13" spans="1:117" ht="17.25" customHeight="1" x14ac:dyDescent="0.25">
      <c r="A13" s="50" t="s">
        <v>3905</v>
      </c>
      <c r="B13" s="15" t="s">
        <v>2679</v>
      </c>
      <c r="C13" s="15" t="s">
        <v>2680</v>
      </c>
      <c r="D13" s="15" t="s">
        <v>2681</v>
      </c>
      <c r="E13" s="15" t="s">
        <v>976</v>
      </c>
      <c r="F13" s="15" t="s">
        <v>2682</v>
      </c>
      <c r="G13" s="15" t="s">
        <v>2683</v>
      </c>
      <c r="H13" s="15" t="s">
        <v>2684</v>
      </c>
      <c r="I13" s="15" t="s">
        <v>2685</v>
      </c>
      <c r="J13" s="15" t="s">
        <v>4306</v>
      </c>
      <c r="K13" s="15" t="s">
        <v>151</v>
      </c>
      <c r="L13" s="15" t="s">
        <v>2686</v>
      </c>
      <c r="M13" s="15" t="s">
        <v>2687</v>
      </c>
      <c r="N13" s="15" t="s">
        <v>2688</v>
      </c>
      <c r="O13" s="15" t="s">
        <v>2689</v>
      </c>
      <c r="P13" s="15" t="s">
        <v>2690</v>
      </c>
      <c r="Q13" s="15" t="s">
        <v>2691</v>
      </c>
      <c r="R13" s="15" t="s">
        <v>2692</v>
      </c>
      <c r="S13" s="15" t="s">
        <v>2693</v>
      </c>
      <c r="T13" s="15" t="s">
        <v>107</v>
      </c>
      <c r="U13" s="15" t="s">
        <v>2694</v>
      </c>
      <c r="V13" s="15" t="s">
        <v>109</v>
      </c>
      <c r="W13" s="15" t="s">
        <v>2695</v>
      </c>
      <c r="X13" s="16" t="s">
        <v>2696</v>
      </c>
      <c r="Y13" s="15" t="s">
        <v>114</v>
      </c>
      <c r="Z13" s="16" t="s">
        <v>2697</v>
      </c>
      <c r="AA13" s="17">
        <v>485</v>
      </c>
      <c r="AB13" s="17">
        <v>1</v>
      </c>
      <c r="AC13" s="17">
        <v>465</v>
      </c>
      <c r="AD13" s="17">
        <v>1</v>
      </c>
      <c r="AE13" s="17">
        <v>440</v>
      </c>
      <c r="AF13" s="15" t="s">
        <v>118</v>
      </c>
      <c r="AG13" s="15" t="s">
        <v>480</v>
      </c>
      <c r="AH13" s="15" t="s">
        <v>2698</v>
      </c>
      <c r="AI13" s="21">
        <v>35443</v>
      </c>
      <c r="AJ13" s="15">
        <v>0.7</v>
      </c>
      <c r="AK13" s="15" t="s">
        <v>2699</v>
      </c>
      <c r="AL13" s="15" t="s">
        <v>2700</v>
      </c>
      <c r="AM13" s="3">
        <f>(AI13*AJ13)/2</f>
        <v>12405.05</v>
      </c>
      <c r="AN13" s="7" t="s">
        <v>107</v>
      </c>
      <c r="AO13" s="7" t="s">
        <v>107</v>
      </c>
      <c r="AP13" s="7" t="s">
        <v>107</v>
      </c>
      <c r="AQ13" s="8" t="s">
        <v>107</v>
      </c>
      <c r="AR13" s="7" t="s">
        <v>107</v>
      </c>
      <c r="AS13" s="7" t="s">
        <v>107</v>
      </c>
      <c r="AT13" s="7" t="s">
        <v>107</v>
      </c>
      <c r="AU13" s="3"/>
      <c r="AV13" s="7" t="s">
        <v>107</v>
      </c>
      <c r="AW13" s="7" t="s">
        <v>107</v>
      </c>
      <c r="AX13" s="7" t="s">
        <v>107</v>
      </c>
      <c r="AY13" s="8" t="s">
        <v>107</v>
      </c>
      <c r="AZ13" s="7" t="s">
        <v>107</v>
      </c>
      <c r="BA13" s="7" t="s">
        <v>107</v>
      </c>
      <c r="BB13" s="7" t="s">
        <v>107</v>
      </c>
      <c r="BC13" s="3"/>
      <c r="BD13" s="7" t="s">
        <v>107</v>
      </c>
      <c r="BE13" s="7" t="s">
        <v>107</v>
      </c>
      <c r="BF13" s="7" t="s">
        <v>107</v>
      </c>
      <c r="BG13" s="7" t="s">
        <v>107</v>
      </c>
      <c r="BH13" s="7" t="s">
        <v>107</v>
      </c>
      <c r="BI13" s="7" t="s">
        <v>107</v>
      </c>
      <c r="BJ13" s="7" t="s">
        <v>107</v>
      </c>
      <c r="BK13" s="3"/>
      <c r="BL13" s="7" t="s">
        <v>107</v>
      </c>
      <c r="BM13" s="7" t="s">
        <v>107</v>
      </c>
      <c r="BN13" s="7" t="s">
        <v>107</v>
      </c>
      <c r="BO13" s="8" t="s">
        <v>107</v>
      </c>
      <c r="BP13" s="7" t="s">
        <v>107</v>
      </c>
      <c r="BQ13" s="7" t="s">
        <v>107</v>
      </c>
      <c r="BR13" s="7" t="s">
        <v>107</v>
      </c>
      <c r="BS13" s="3"/>
      <c r="BT13" s="7" t="s">
        <v>107</v>
      </c>
      <c r="BU13" s="7" t="s">
        <v>107</v>
      </c>
      <c r="BV13" s="7" t="s">
        <v>107</v>
      </c>
      <c r="BW13" s="8" t="s">
        <v>107</v>
      </c>
      <c r="BX13" s="7" t="s">
        <v>107</v>
      </c>
      <c r="BY13" s="7" t="s">
        <v>107</v>
      </c>
      <c r="BZ13" s="7" t="s">
        <v>107</v>
      </c>
      <c r="CA13" s="3"/>
      <c r="CB13" s="7"/>
      <c r="CC13" s="7" t="s">
        <v>107</v>
      </c>
      <c r="CD13" s="7" t="s">
        <v>107</v>
      </c>
      <c r="CE13" s="8" t="s">
        <v>107</v>
      </c>
      <c r="CF13" s="7" t="s">
        <v>107</v>
      </c>
      <c r="CG13" s="7" t="s">
        <v>107</v>
      </c>
      <c r="CH13" s="7" t="s">
        <v>107</v>
      </c>
      <c r="CI13" s="3"/>
      <c r="CJ13" s="7"/>
      <c r="CK13" s="7" t="s">
        <v>107</v>
      </c>
      <c r="CL13" s="7" t="s">
        <v>107</v>
      </c>
      <c r="CM13" s="8" t="s">
        <v>107</v>
      </c>
      <c r="CN13" s="7" t="s">
        <v>107</v>
      </c>
      <c r="CO13" s="7" t="s">
        <v>107</v>
      </c>
      <c r="CP13" s="7" t="s">
        <v>107</v>
      </c>
      <c r="CQ13" s="3"/>
      <c r="CR13" s="7"/>
      <c r="CS13" s="7" t="s">
        <v>107</v>
      </c>
      <c r="CT13" s="7" t="s">
        <v>107</v>
      </c>
      <c r="CU13" s="7" t="s">
        <v>107</v>
      </c>
      <c r="CV13" s="7" t="s">
        <v>107</v>
      </c>
      <c r="CW13" s="7" t="s">
        <v>107</v>
      </c>
      <c r="CX13" s="7" t="s">
        <v>107</v>
      </c>
      <c r="CY13" s="3"/>
      <c r="CZ13" s="7"/>
      <c r="DA13" s="7" t="s">
        <v>107</v>
      </c>
      <c r="DB13" s="7" t="s">
        <v>107</v>
      </c>
      <c r="DC13" s="7" t="s">
        <v>107</v>
      </c>
      <c r="DD13" s="7" t="s">
        <v>107</v>
      </c>
      <c r="DE13" s="7" t="s">
        <v>107</v>
      </c>
      <c r="DF13" s="7" t="s">
        <v>107</v>
      </c>
      <c r="DG13" s="3"/>
      <c r="DH13" s="7"/>
      <c r="DI13" s="7" t="s">
        <v>107</v>
      </c>
      <c r="DJ13" s="7" t="s">
        <v>107</v>
      </c>
      <c r="DK13" s="5">
        <f>AM13</f>
        <v>12405.05</v>
      </c>
      <c r="DL13" s="15" t="s">
        <v>2700</v>
      </c>
      <c r="DM13" s="51">
        <f>DL13*0.95</f>
        <v>11784.797499999999</v>
      </c>
    </row>
    <row r="14" spans="1:117" ht="17.25" customHeight="1" x14ac:dyDescent="0.25">
      <c r="A14" s="50" t="s">
        <v>3853</v>
      </c>
      <c r="B14" s="15" t="s">
        <v>3124</v>
      </c>
      <c r="C14" s="15" t="s">
        <v>3963</v>
      </c>
      <c r="D14" s="15" t="s">
        <v>3125</v>
      </c>
      <c r="E14" s="15" t="s">
        <v>351</v>
      </c>
      <c r="F14" s="15" t="s">
        <v>3126</v>
      </c>
      <c r="G14" s="15" t="s">
        <v>3127</v>
      </c>
      <c r="H14" s="15" t="s">
        <v>3128</v>
      </c>
      <c r="I14" s="15" t="s">
        <v>3129</v>
      </c>
      <c r="J14" s="15" t="s">
        <v>4328</v>
      </c>
      <c r="K14" s="15" t="s">
        <v>151</v>
      </c>
      <c r="L14" s="15" t="s">
        <v>3130</v>
      </c>
      <c r="M14" s="15" t="s">
        <v>3131</v>
      </c>
      <c r="N14" s="15" t="s">
        <v>3132</v>
      </c>
      <c r="O14" s="15" t="s">
        <v>3133</v>
      </c>
      <c r="P14" s="15" t="s">
        <v>3134</v>
      </c>
      <c r="Q14" s="15" t="s">
        <v>3135</v>
      </c>
      <c r="R14" s="15" t="s">
        <v>480</v>
      </c>
      <c r="S14" s="15" t="s">
        <v>3126</v>
      </c>
      <c r="T14" s="15" t="s">
        <v>107</v>
      </c>
      <c r="U14" s="15" t="s">
        <v>3136</v>
      </c>
      <c r="V14" s="15" t="s">
        <v>109</v>
      </c>
      <c r="W14" s="15" t="s">
        <v>3137</v>
      </c>
      <c r="X14" s="16" t="s">
        <v>3138</v>
      </c>
      <c r="Y14" s="15" t="s">
        <v>184</v>
      </c>
      <c r="Z14" s="16" t="s">
        <v>3139</v>
      </c>
      <c r="AA14" s="17">
        <v>900</v>
      </c>
      <c r="AB14" s="17">
        <v>1</v>
      </c>
      <c r="AC14" s="17">
        <v>850</v>
      </c>
      <c r="AD14" s="17">
        <v>1</v>
      </c>
      <c r="AE14" s="17">
        <v>800</v>
      </c>
      <c r="AF14" s="15" t="s">
        <v>142</v>
      </c>
      <c r="AG14" s="15" t="s">
        <v>480</v>
      </c>
      <c r="AH14" s="15" t="s">
        <v>3135</v>
      </c>
      <c r="AI14" s="18">
        <v>62065</v>
      </c>
      <c r="AJ14" s="15">
        <v>1</v>
      </c>
      <c r="AK14" s="15" t="s">
        <v>3140</v>
      </c>
      <c r="AL14" s="15" t="s">
        <v>3141</v>
      </c>
      <c r="AM14" s="3">
        <f>(AI14*AJ14)/2</f>
        <v>31032.5</v>
      </c>
      <c r="AN14" s="7" t="s">
        <v>107</v>
      </c>
      <c r="AO14" s="7" t="s">
        <v>107</v>
      </c>
      <c r="AP14" s="7" t="s">
        <v>107</v>
      </c>
      <c r="AQ14" s="8" t="s">
        <v>107</v>
      </c>
      <c r="AR14" s="7" t="s">
        <v>107</v>
      </c>
      <c r="AS14" s="7" t="s">
        <v>107</v>
      </c>
      <c r="AT14" s="7" t="s">
        <v>107</v>
      </c>
      <c r="AU14" s="3"/>
      <c r="AV14" s="7" t="s">
        <v>107</v>
      </c>
      <c r="AW14" s="7" t="s">
        <v>107</v>
      </c>
      <c r="AX14" s="7" t="s">
        <v>107</v>
      </c>
      <c r="AY14" s="8" t="s">
        <v>107</v>
      </c>
      <c r="AZ14" s="7" t="s">
        <v>107</v>
      </c>
      <c r="BA14" s="7" t="s">
        <v>107</v>
      </c>
      <c r="BB14" s="7" t="s">
        <v>107</v>
      </c>
      <c r="BC14" s="3"/>
      <c r="BD14" s="7" t="s">
        <v>107</v>
      </c>
      <c r="BE14" s="7" t="s">
        <v>107</v>
      </c>
      <c r="BF14" s="7" t="s">
        <v>107</v>
      </c>
      <c r="BG14" s="7" t="s">
        <v>107</v>
      </c>
      <c r="BH14" s="7" t="s">
        <v>107</v>
      </c>
      <c r="BI14" s="7" t="s">
        <v>107</v>
      </c>
      <c r="BJ14" s="7" t="s">
        <v>107</v>
      </c>
      <c r="BK14" s="3"/>
      <c r="BL14" s="7" t="s">
        <v>107</v>
      </c>
      <c r="BM14" s="7" t="s">
        <v>107</v>
      </c>
      <c r="BN14" s="7" t="s">
        <v>107</v>
      </c>
      <c r="BO14" s="8" t="s">
        <v>107</v>
      </c>
      <c r="BP14" s="7" t="s">
        <v>107</v>
      </c>
      <c r="BQ14" s="7" t="s">
        <v>107</v>
      </c>
      <c r="BR14" s="7" t="s">
        <v>107</v>
      </c>
      <c r="BS14" s="3"/>
      <c r="BT14" s="7" t="s">
        <v>107</v>
      </c>
      <c r="BU14" s="7" t="s">
        <v>107</v>
      </c>
      <c r="BV14" s="7" t="s">
        <v>107</v>
      </c>
      <c r="BW14" s="8" t="s">
        <v>107</v>
      </c>
      <c r="BX14" s="7" t="s">
        <v>107</v>
      </c>
      <c r="BY14" s="7" t="s">
        <v>107</v>
      </c>
      <c r="BZ14" s="7" t="s">
        <v>107</v>
      </c>
      <c r="CA14" s="3"/>
      <c r="CB14" s="7"/>
      <c r="CC14" s="7" t="s">
        <v>107</v>
      </c>
      <c r="CD14" s="7" t="s">
        <v>107</v>
      </c>
      <c r="CE14" s="8" t="s">
        <v>107</v>
      </c>
      <c r="CF14" s="7" t="s">
        <v>107</v>
      </c>
      <c r="CG14" s="7" t="s">
        <v>107</v>
      </c>
      <c r="CH14" s="7" t="s">
        <v>107</v>
      </c>
      <c r="CI14" s="3"/>
      <c r="CJ14" s="7"/>
      <c r="CK14" s="7" t="s">
        <v>107</v>
      </c>
      <c r="CL14" s="7" t="s">
        <v>107</v>
      </c>
      <c r="CM14" s="8" t="s">
        <v>107</v>
      </c>
      <c r="CN14" s="7" t="s">
        <v>107</v>
      </c>
      <c r="CO14" s="7" t="s">
        <v>107</v>
      </c>
      <c r="CP14" s="7" t="s">
        <v>107</v>
      </c>
      <c r="CQ14" s="3"/>
      <c r="CR14" s="7"/>
      <c r="CS14" s="7" t="s">
        <v>107</v>
      </c>
      <c r="CT14" s="7" t="s">
        <v>107</v>
      </c>
      <c r="CU14" s="7" t="s">
        <v>107</v>
      </c>
      <c r="CV14" s="7" t="s">
        <v>107</v>
      </c>
      <c r="CW14" s="7" t="s">
        <v>107</v>
      </c>
      <c r="CX14" s="7" t="s">
        <v>107</v>
      </c>
      <c r="CY14" s="3"/>
      <c r="CZ14" s="7"/>
      <c r="DA14" s="7" t="s">
        <v>107</v>
      </c>
      <c r="DB14" s="7" t="s">
        <v>107</v>
      </c>
      <c r="DC14" s="7" t="s">
        <v>107</v>
      </c>
      <c r="DD14" s="7" t="s">
        <v>107</v>
      </c>
      <c r="DE14" s="7" t="s">
        <v>107</v>
      </c>
      <c r="DF14" s="7" t="s">
        <v>107</v>
      </c>
      <c r="DG14" s="3"/>
      <c r="DH14" s="7"/>
      <c r="DI14" s="7" t="s">
        <v>107</v>
      </c>
      <c r="DJ14" s="7" t="s">
        <v>107</v>
      </c>
      <c r="DK14" s="3">
        <f>AM14</f>
        <v>31032.5</v>
      </c>
      <c r="DL14" s="15" t="s">
        <v>3141</v>
      </c>
      <c r="DM14" s="51">
        <f>DL14*0.95</f>
        <v>29480.399999999998</v>
      </c>
    </row>
    <row r="15" spans="1:117" ht="17.25" customHeight="1" x14ac:dyDescent="0.25">
      <c r="A15" s="50" t="s">
        <v>3477</v>
      </c>
      <c r="B15" s="15" t="s">
        <v>3910</v>
      </c>
      <c r="C15" s="15" t="s">
        <v>3478</v>
      </c>
      <c r="D15" s="15" t="s">
        <v>3479</v>
      </c>
      <c r="E15" s="15" t="s">
        <v>691</v>
      </c>
      <c r="F15" s="15" t="s">
        <v>3480</v>
      </c>
      <c r="G15" s="15" t="s">
        <v>3481</v>
      </c>
      <c r="H15" s="15" t="s">
        <v>3482</v>
      </c>
      <c r="I15" s="15" t="s">
        <v>3981</v>
      </c>
      <c r="J15" s="15" t="s">
        <v>4345</v>
      </c>
      <c r="K15" s="15" t="s">
        <v>151</v>
      </c>
      <c r="L15" s="15" t="s">
        <v>3480</v>
      </c>
      <c r="M15" s="15" t="s">
        <v>3483</v>
      </c>
      <c r="N15" s="15" t="s">
        <v>4017</v>
      </c>
      <c r="O15" s="15" t="s">
        <v>3484</v>
      </c>
      <c r="P15" s="15" t="s">
        <v>3485</v>
      </c>
      <c r="Q15" s="15" t="s">
        <v>4036</v>
      </c>
      <c r="R15" s="15" t="s">
        <v>3201</v>
      </c>
      <c r="S15" s="15" t="s">
        <v>3480</v>
      </c>
      <c r="T15" s="15" t="s">
        <v>107</v>
      </c>
      <c r="U15" s="15" t="s">
        <v>3486</v>
      </c>
      <c r="V15" s="15" t="s">
        <v>109</v>
      </c>
      <c r="W15" s="15" t="s">
        <v>3487</v>
      </c>
      <c r="X15" s="16" t="s">
        <v>3488</v>
      </c>
      <c r="Y15" s="15" t="s">
        <v>114</v>
      </c>
      <c r="Z15" s="16" t="s">
        <v>3489</v>
      </c>
      <c r="AA15" s="17">
        <v>378</v>
      </c>
      <c r="AB15" s="17">
        <v>1</v>
      </c>
      <c r="AC15" s="17">
        <v>404</v>
      </c>
      <c r="AD15" s="17">
        <v>1</v>
      </c>
      <c r="AE15" s="17">
        <v>367</v>
      </c>
      <c r="AF15" s="15" t="s">
        <v>118</v>
      </c>
      <c r="AG15" s="15" t="s">
        <v>3201</v>
      </c>
      <c r="AH15" s="15" t="s">
        <v>4036</v>
      </c>
      <c r="AI15" s="18">
        <v>53310.400000000001</v>
      </c>
      <c r="AJ15" s="15">
        <v>0.5</v>
      </c>
      <c r="AK15" s="15" t="s">
        <v>3490</v>
      </c>
      <c r="AL15" s="15" t="s">
        <v>3491</v>
      </c>
      <c r="AM15" s="3">
        <f>(AI15*AJ15)/2</f>
        <v>13327.6</v>
      </c>
      <c r="AN15" s="7" t="s">
        <v>107</v>
      </c>
      <c r="AO15" s="7" t="s">
        <v>107</v>
      </c>
      <c r="AP15" s="7" t="s">
        <v>107</v>
      </c>
      <c r="AQ15" s="8" t="s">
        <v>107</v>
      </c>
      <c r="AR15" s="7" t="s">
        <v>107</v>
      </c>
      <c r="AS15" s="7" t="s">
        <v>107</v>
      </c>
      <c r="AT15" s="7" t="s">
        <v>107</v>
      </c>
      <c r="AU15" s="3"/>
      <c r="AV15" s="7" t="s">
        <v>107</v>
      </c>
      <c r="AW15" s="7" t="s">
        <v>107</v>
      </c>
      <c r="AX15" s="7" t="s">
        <v>107</v>
      </c>
      <c r="AY15" s="8" t="s">
        <v>107</v>
      </c>
      <c r="AZ15" s="7" t="s">
        <v>107</v>
      </c>
      <c r="BA15" s="7" t="s">
        <v>107</v>
      </c>
      <c r="BB15" s="7" t="s">
        <v>107</v>
      </c>
      <c r="BC15" s="3"/>
      <c r="BD15" s="7" t="s">
        <v>107</v>
      </c>
      <c r="BE15" s="7" t="s">
        <v>107</v>
      </c>
      <c r="BF15" s="7" t="s">
        <v>107</v>
      </c>
      <c r="BG15" s="7" t="s">
        <v>107</v>
      </c>
      <c r="BH15" s="7" t="s">
        <v>107</v>
      </c>
      <c r="BI15" s="7" t="s">
        <v>107</v>
      </c>
      <c r="BJ15" s="7" t="s">
        <v>107</v>
      </c>
      <c r="BK15" s="3"/>
      <c r="BL15" s="7" t="s">
        <v>107</v>
      </c>
      <c r="BM15" s="7" t="s">
        <v>107</v>
      </c>
      <c r="BN15" s="7" t="s">
        <v>107</v>
      </c>
      <c r="BO15" s="8" t="s">
        <v>107</v>
      </c>
      <c r="BP15" s="7" t="s">
        <v>107</v>
      </c>
      <c r="BQ15" s="7" t="s">
        <v>107</v>
      </c>
      <c r="BR15" s="7" t="s">
        <v>107</v>
      </c>
      <c r="BS15" s="3"/>
      <c r="BT15" s="7" t="s">
        <v>107</v>
      </c>
      <c r="BU15" s="7" t="s">
        <v>107</v>
      </c>
      <c r="BV15" s="7" t="s">
        <v>107</v>
      </c>
      <c r="BW15" s="8" t="s">
        <v>107</v>
      </c>
      <c r="BX15" s="7" t="s">
        <v>107</v>
      </c>
      <c r="BY15" s="7" t="s">
        <v>107</v>
      </c>
      <c r="BZ15" s="7" t="s">
        <v>107</v>
      </c>
      <c r="CA15" s="3"/>
      <c r="CB15" s="7"/>
      <c r="CC15" s="7" t="s">
        <v>107</v>
      </c>
      <c r="CD15" s="7" t="s">
        <v>107</v>
      </c>
      <c r="CE15" s="8" t="s">
        <v>107</v>
      </c>
      <c r="CF15" s="7" t="s">
        <v>107</v>
      </c>
      <c r="CG15" s="7" t="s">
        <v>107</v>
      </c>
      <c r="CH15" s="7" t="s">
        <v>107</v>
      </c>
      <c r="CI15" s="3"/>
      <c r="CJ15" s="7"/>
      <c r="CK15" s="7" t="s">
        <v>107</v>
      </c>
      <c r="CL15" s="7" t="s">
        <v>107</v>
      </c>
      <c r="CM15" s="8" t="s">
        <v>107</v>
      </c>
      <c r="CN15" s="7" t="s">
        <v>107</v>
      </c>
      <c r="CO15" s="7" t="s">
        <v>107</v>
      </c>
      <c r="CP15" s="7" t="s">
        <v>107</v>
      </c>
      <c r="CQ15" s="3"/>
      <c r="CR15" s="7"/>
      <c r="CS15" s="7" t="s">
        <v>107</v>
      </c>
      <c r="CT15" s="7" t="s">
        <v>107</v>
      </c>
      <c r="CU15" s="7" t="s">
        <v>107</v>
      </c>
      <c r="CV15" s="7" t="s">
        <v>107</v>
      </c>
      <c r="CW15" s="7" t="s">
        <v>107</v>
      </c>
      <c r="CX15" s="7" t="s">
        <v>107</v>
      </c>
      <c r="CY15" s="3"/>
      <c r="CZ15" s="7"/>
      <c r="DA15" s="7" t="s">
        <v>107</v>
      </c>
      <c r="DB15" s="7" t="s">
        <v>107</v>
      </c>
      <c r="DC15" s="7" t="s">
        <v>107</v>
      </c>
      <c r="DD15" s="7" t="s">
        <v>107</v>
      </c>
      <c r="DE15" s="7" t="s">
        <v>107</v>
      </c>
      <c r="DF15" s="7" t="s">
        <v>107</v>
      </c>
      <c r="DG15" s="3"/>
      <c r="DH15" s="7"/>
      <c r="DI15" s="7" t="s">
        <v>107</v>
      </c>
      <c r="DJ15" s="7" t="s">
        <v>107</v>
      </c>
      <c r="DK15" s="3">
        <f>AM15</f>
        <v>13327.6</v>
      </c>
      <c r="DL15" s="15" t="s">
        <v>3491</v>
      </c>
      <c r="DM15" s="51">
        <f>DL15*0.95</f>
        <v>12661.22</v>
      </c>
    </row>
    <row r="16" spans="1:117" ht="17.25" customHeight="1" x14ac:dyDescent="0.25">
      <c r="A16" s="50" t="s">
        <v>1054</v>
      </c>
      <c r="B16" s="15" t="s">
        <v>1055</v>
      </c>
      <c r="C16" s="15" t="s">
        <v>1056</v>
      </c>
      <c r="D16" s="15" t="s">
        <v>1057</v>
      </c>
      <c r="E16" s="15" t="s">
        <v>1019</v>
      </c>
      <c r="F16" s="15" t="s">
        <v>1058</v>
      </c>
      <c r="G16" s="15" t="s">
        <v>1059</v>
      </c>
      <c r="H16" s="15" t="s">
        <v>1060</v>
      </c>
      <c r="I16" s="15" t="s">
        <v>3982</v>
      </c>
      <c r="J16" s="15" t="s">
        <v>4231</v>
      </c>
      <c r="K16" s="15" t="s">
        <v>151</v>
      </c>
      <c r="L16" s="15" t="s">
        <v>1058</v>
      </c>
      <c r="M16" s="15" t="s">
        <v>1061</v>
      </c>
      <c r="N16" s="15" t="s">
        <v>1062</v>
      </c>
      <c r="O16" s="15" t="s">
        <v>1063</v>
      </c>
      <c r="P16" s="15" t="s">
        <v>1064</v>
      </c>
      <c r="Q16" s="15" t="s">
        <v>1065</v>
      </c>
      <c r="R16" s="15" t="s">
        <v>480</v>
      </c>
      <c r="S16" s="15" t="s">
        <v>1058</v>
      </c>
      <c r="T16" s="15" t="s">
        <v>107</v>
      </c>
      <c r="U16" s="15" t="s">
        <v>1066</v>
      </c>
      <c r="V16" s="15" t="s">
        <v>109</v>
      </c>
      <c r="W16" s="15" t="s">
        <v>1067</v>
      </c>
      <c r="X16" s="16" t="s">
        <v>1068</v>
      </c>
      <c r="Y16" s="15" t="s">
        <v>137</v>
      </c>
      <c r="Z16" s="16" t="s">
        <v>1069</v>
      </c>
      <c r="AA16" s="17">
        <v>650</v>
      </c>
      <c r="AB16" s="17">
        <v>0</v>
      </c>
      <c r="AC16" s="17">
        <v>0</v>
      </c>
      <c r="AD16" s="17">
        <v>0</v>
      </c>
      <c r="AE16" s="17">
        <v>0</v>
      </c>
      <c r="AF16" s="15" t="s">
        <v>142</v>
      </c>
      <c r="AG16" s="15" t="s">
        <v>480</v>
      </c>
      <c r="AH16" s="15" t="s">
        <v>1070</v>
      </c>
      <c r="AI16" s="18">
        <v>68432</v>
      </c>
      <c r="AJ16" s="15">
        <v>0.75</v>
      </c>
      <c r="AK16" s="15" t="s">
        <v>1071</v>
      </c>
      <c r="AL16" s="15" t="s">
        <v>1072</v>
      </c>
      <c r="AM16" s="3">
        <f>(AI16*AJ16)/2</f>
        <v>25662</v>
      </c>
      <c r="AN16" s="7" t="s">
        <v>107</v>
      </c>
      <c r="AO16" s="7" t="s">
        <v>107</v>
      </c>
      <c r="AP16" s="7" t="s">
        <v>107</v>
      </c>
      <c r="AQ16" s="8" t="s">
        <v>107</v>
      </c>
      <c r="AR16" s="7" t="s">
        <v>107</v>
      </c>
      <c r="AS16" s="7" t="s">
        <v>107</v>
      </c>
      <c r="AT16" s="7" t="s">
        <v>107</v>
      </c>
      <c r="AU16" s="3"/>
      <c r="AV16" s="7" t="s">
        <v>107</v>
      </c>
      <c r="AW16" s="7" t="s">
        <v>107</v>
      </c>
      <c r="AX16" s="7" t="s">
        <v>107</v>
      </c>
      <c r="AY16" s="8" t="s">
        <v>107</v>
      </c>
      <c r="AZ16" s="7" t="s">
        <v>107</v>
      </c>
      <c r="BA16" s="7" t="s">
        <v>107</v>
      </c>
      <c r="BB16" s="7" t="s">
        <v>107</v>
      </c>
      <c r="BC16" s="3"/>
      <c r="BD16" s="7" t="s">
        <v>107</v>
      </c>
      <c r="BE16" s="7" t="s">
        <v>107</v>
      </c>
      <c r="BF16" s="7" t="s">
        <v>107</v>
      </c>
      <c r="BG16" s="7" t="s">
        <v>107</v>
      </c>
      <c r="BH16" s="7" t="s">
        <v>107</v>
      </c>
      <c r="BI16" s="7" t="s">
        <v>107</v>
      </c>
      <c r="BJ16" s="7" t="s">
        <v>107</v>
      </c>
      <c r="BK16" s="3"/>
      <c r="BL16" s="7" t="s">
        <v>107</v>
      </c>
      <c r="BM16" s="7" t="s">
        <v>107</v>
      </c>
      <c r="BN16" s="7" t="s">
        <v>107</v>
      </c>
      <c r="BO16" s="8" t="s">
        <v>107</v>
      </c>
      <c r="BP16" s="7" t="s">
        <v>107</v>
      </c>
      <c r="BQ16" s="7" t="s">
        <v>107</v>
      </c>
      <c r="BR16" s="7" t="s">
        <v>107</v>
      </c>
      <c r="BS16" s="3"/>
      <c r="BT16" s="7" t="s">
        <v>107</v>
      </c>
      <c r="BU16" s="7" t="s">
        <v>107</v>
      </c>
      <c r="BV16" s="7" t="s">
        <v>107</v>
      </c>
      <c r="BW16" s="8" t="s">
        <v>107</v>
      </c>
      <c r="BX16" s="7" t="s">
        <v>107</v>
      </c>
      <c r="BY16" s="7" t="s">
        <v>107</v>
      </c>
      <c r="BZ16" s="7" t="s">
        <v>107</v>
      </c>
      <c r="CA16" s="3"/>
      <c r="CB16" s="7"/>
      <c r="CC16" s="7" t="s">
        <v>107</v>
      </c>
      <c r="CD16" s="7" t="s">
        <v>107</v>
      </c>
      <c r="CE16" s="8" t="s">
        <v>107</v>
      </c>
      <c r="CF16" s="7" t="s">
        <v>107</v>
      </c>
      <c r="CG16" s="7" t="s">
        <v>107</v>
      </c>
      <c r="CH16" s="7" t="s">
        <v>107</v>
      </c>
      <c r="CI16" s="3"/>
      <c r="CJ16" s="7"/>
      <c r="CK16" s="7" t="s">
        <v>107</v>
      </c>
      <c r="CL16" s="7" t="s">
        <v>107</v>
      </c>
      <c r="CM16" s="8" t="s">
        <v>107</v>
      </c>
      <c r="CN16" s="7" t="s">
        <v>107</v>
      </c>
      <c r="CO16" s="7" t="s">
        <v>107</v>
      </c>
      <c r="CP16" s="7" t="s">
        <v>107</v>
      </c>
      <c r="CQ16" s="3"/>
      <c r="CR16" s="7"/>
      <c r="CS16" s="7" t="s">
        <v>107</v>
      </c>
      <c r="CT16" s="7" t="s">
        <v>107</v>
      </c>
      <c r="CU16" s="7" t="s">
        <v>107</v>
      </c>
      <c r="CV16" s="7" t="s">
        <v>107</v>
      </c>
      <c r="CW16" s="7" t="s">
        <v>107</v>
      </c>
      <c r="CX16" s="7" t="s">
        <v>107</v>
      </c>
      <c r="CY16" s="3"/>
      <c r="CZ16" s="7"/>
      <c r="DA16" s="7" t="s">
        <v>107</v>
      </c>
      <c r="DB16" s="7" t="s">
        <v>107</v>
      </c>
      <c r="DC16" s="7" t="s">
        <v>107</v>
      </c>
      <c r="DD16" s="7" t="s">
        <v>107</v>
      </c>
      <c r="DE16" s="7" t="s">
        <v>107</v>
      </c>
      <c r="DF16" s="7" t="s">
        <v>107</v>
      </c>
      <c r="DG16" s="3"/>
      <c r="DH16" s="7"/>
      <c r="DI16" s="7" t="s">
        <v>107</v>
      </c>
      <c r="DJ16" s="7" t="s">
        <v>107</v>
      </c>
      <c r="DK16" s="3">
        <f>AM16</f>
        <v>25662</v>
      </c>
      <c r="DL16" s="15" t="s">
        <v>1072</v>
      </c>
      <c r="DM16" s="51">
        <f>DL16*0.95</f>
        <v>24378.899999999998</v>
      </c>
    </row>
    <row r="17" spans="1:117" s="4" customFormat="1" ht="17.25" customHeight="1" x14ac:dyDescent="0.25">
      <c r="A17" s="50" t="s">
        <v>379</v>
      </c>
      <c r="B17" s="15" t="s">
        <v>380</v>
      </c>
      <c r="C17" s="15" t="s">
        <v>381</v>
      </c>
      <c r="D17" s="15" t="s">
        <v>382</v>
      </c>
      <c r="E17" s="15" t="s">
        <v>351</v>
      </c>
      <c r="F17" s="15" t="s">
        <v>383</v>
      </c>
      <c r="G17" s="15" t="s">
        <v>384</v>
      </c>
      <c r="H17" s="15" t="s">
        <v>385</v>
      </c>
      <c r="I17" s="15" t="s">
        <v>386</v>
      </c>
      <c r="J17" s="15" t="s">
        <v>4374</v>
      </c>
      <c r="K17" s="15" t="s">
        <v>151</v>
      </c>
      <c r="L17" s="15" t="s">
        <v>383</v>
      </c>
      <c r="M17" s="15" t="s">
        <v>387</v>
      </c>
      <c r="N17" s="15" t="s">
        <v>388</v>
      </c>
      <c r="O17" s="15" t="s">
        <v>389</v>
      </c>
      <c r="P17" s="15" t="s">
        <v>390</v>
      </c>
      <c r="Q17" s="15" t="s">
        <v>386</v>
      </c>
      <c r="R17" s="15" t="s">
        <v>151</v>
      </c>
      <c r="S17" s="15" t="s">
        <v>383</v>
      </c>
      <c r="T17" s="15" t="s">
        <v>107</v>
      </c>
      <c r="U17" s="15" t="s">
        <v>391</v>
      </c>
      <c r="V17" s="15" t="s">
        <v>109</v>
      </c>
      <c r="W17" s="15" t="s">
        <v>392</v>
      </c>
      <c r="X17" s="16" t="s">
        <v>393</v>
      </c>
      <c r="Y17" s="15" t="s">
        <v>114</v>
      </c>
      <c r="Z17" s="16" t="s">
        <v>394</v>
      </c>
      <c r="AA17" s="17">
        <v>20</v>
      </c>
      <c r="AB17" s="17">
        <v>0</v>
      </c>
      <c r="AC17" s="17">
        <v>0</v>
      </c>
      <c r="AD17" s="17">
        <v>1</v>
      </c>
      <c r="AE17" s="17">
        <v>125</v>
      </c>
      <c r="AF17" s="15" t="s">
        <v>118</v>
      </c>
      <c r="AG17" s="15" t="s">
        <v>157</v>
      </c>
      <c r="AH17" s="15" t="s">
        <v>395</v>
      </c>
      <c r="AI17" s="18">
        <v>65000</v>
      </c>
      <c r="AJ17" s="15">
        <v>0.25</v>
      </c>
      <c r="AK17" s="15" t="s">
        <v>396</v>
      </c>
      <c r="AL17" s="15" t="s">
        <v>397</v>
      </c>
      <c r="AM17" s="3">
        <f>(AI17*AJ17)/2</f>
        <v>8125</v>
      </c>
      <c r="AN17" s="7" t="s">
        <v>107</v>
      </c>
      <c r="AO17" s="7" t="s">
        <v>107</v>
      </c>
      <c r="AP17" s="7" t="s">
        <v>107</v>
      </c>
      <c r="AQ17" s="8" t="s">
        <v>107</v>
      </c>
      <c r="AR17" s="7" t="s">
        <v>107</v>
      </c>
      <c r="AS17" s="7" t="s">
        <v>107</v>
      </c>
      <c r="AT17" s="7" t="s">
        <v>107</v>
      </c>
      <c r="AU17" s="3"/>
      <c r="AV17" s="7" t="s">
        <v>107</v>
      </c>
      <c r="AW17" s="7" t="s">
        <v>107</v>
      </c>
      <c r="AX17" s="7" t="s">
        <v>107</v>
      </c>
      <c r="AY17" s="8" t="s">
        <v>107</v>
      </c>
      <c r="AZ17" s="7" t="s">
        <v>107</v>
      </c>
      <c r="BA17" s="7" t="s">
        <v>107</v>
      </c>
      <c r="BB17" s="7" t="s">
        <v>107</v>
      </c>
      <c r="BC17" s="3"/>
      <c r="BD17" s="7" t="s">
        <v>107</v>
      </c>
      <c r="BE17" s="7" t="s">
        <v>107</v>
      </c>
      <c r="BF17" s="7" t="s">
        <v>107</v>
      </c>
      <c r="BG17" s="7" t="s">
        <v>107</v>
      </c>
      <c r="BH17" s="7" t="s">
        <v>107</v>
      </c>
      <c r="BI17" s="7" t="s">
        <v>107</v>
      </c>
      <c r="BJ17" s="7" t="s">
        <v>107</v>
      </c>
      <c r="BK17" s="3"/>
      <c r="BL17" s="7" t="s">
        <v>107</v>
      </c>
      <c r="BM17" s="7" t="s">
        <v>107</v>
      </c>
      <c r="BN17" s="7" t="s">
        <v>107</v>
      </c>
      <c r="BO17" s="8" t="s">
        <v>107</v>
      </c>
      <c r="BP17" s="7" t="s">
        <v>107</v>
      </c>
      <c r="BQ17" s="7" t="s">
        <v>107</v>
      </c>
      <c r="BR17" s="7" t="s">
        <v>107</v>
      </c>
      <c r="BS17" s="3"/>
      <c r="BT17" s="7" t="s">
        <v>107</v>
      </c>
      <c r="BU17" s="7" t="s">
        <v>107</v>
      </c>
      <c r="BV17" s="7" t="s">
        <v>107</v>
      </c>
      <c r="BW17" s="8" t="s">
        <v>107</v>
      </c>
      <c r="BX17" s="7" t="s">
        <v>107</v>
      </c>
      <c r="BY17" s="7" t="s">
        <v>107</v>
      </c>
      <c r="BZ17" s="7" t="s">
        <v>107</v>
      </c>
      <c r="CA17" s="3"/>
      <c r="CB17" s="7"/>
      <c r="CC17" s="7" t="s">
        <v>107</v>
      </c>
      <c r="CD17" s="7" t="s">
        <v>107</v>
      </c>
      <c r="CE17" s="8" t="s">
        <v>107</v>
      </c>
      <c r="CF17" s="7" t="s">
        <v>107</v>
      </c>
      <c r="CG17" s="7" t="s">
        <v>107</v>
      </c>
      <c r="CH17" s="7" t="s">
        <v>107</v>
      </c>
      <c r="CI17" s="3"/>
      <c r="CJ17" s="7"/>
      <c r="CK17" s="7" t="s">
        <v>107</v>
      </c>
      <c r="CL17" s="7" t="s">
        <v>107</v>
      </c>
      <c r="CM17" s="8" t="s">
        <v>107</v>
      </c>
      <c r="CN17" s="7" t="s">
        <v>107</v>
      </c>
      <c r="CO17" s="7" t="s">
        <v>107</v>
      </c>
      <c r="CP17" s="7" t="s">
        <v>107</v>
      </c>
      <c r="CQ17" s="3"/>
      <c r="CR17" s="7"/>
      <c r="CS17" s="7" t="s">
        <v>107</v>
      </c>
      <c r="CT17" s="7" t="s">
        <v>107</v>
      </c>
      <c r="CU17" s="7" t="s">
        <v>107</v>
      </c>
      <c r="CV17" s="7" t="s">
        <v>107</v>
      </c>
      <c r="CW17" s="7" t="s">
        <v>107</v>
      </c>
      <c r="CX17" s="7" t="s">
        <v>107</v>
      </c>
      <c r="CY17" s="3"/>
      <c r="CZ17" s="7"/>
      <c r="DA17" s="7" t="s">
        <v>107</v>
      </c>
      <c r="DB17" s="7" t="s">
        <v>107</v>
      </c>
      <c r="DC17" s="7" t="s">
        <v>107</v>
      </c>
      <c r="DD17" s="7" t="s">
        <v>107</v>
      </c>
      <c r="DE17" s="7" t="s">
        <v>107</v>
      </c>
      <c r="DF17" s="7" t="s">
        <v>107</v>
      </c>
      <c r="DG17" s="3"/>
      <c r="DH17" s="7"/>
      <c r="DI17" s="7" t="s">
        <v>107</v>
      </c>
      <c r="DJ17" s="7" t="s">
        <v>107</v>
      </c>
      <c r="DK17" s="3">
        <f>AM17</f>
        <v>8125</v>
      </c>
      <c r="DL17" s="15" t="s">
        <v>397</v>
      </c>
      <c r="DM17" s="51">
        <f>DL17*0.95</f>
        <v>7718.75</v>
      </c>
    </row>
    <row r="18" spans="1:117" ht="17.25" customHeight="1" x14ac:dyDescent="0.25">
      <c r="A18" s="50" t="s">
        <v>3615</v>
      </c>
      <c r="B18" s="15" t="s">
        <v>3616</v>
      </c>
      <c r="C18" s="15" t="s">
        <v>3617</v>
      </c>
      <c r="D18" s="15" t="s">
        <v>3618</v>
      </c>
      <c r="E18" s="15" t="s">
        <v>351</v>
      </c>
      <c r="F18" s="15" t="s">
        <v>3619</v>
      </c>
      <c r="G18" s="15" t="s">
        <v>3620</v>
      </c>
      <c r="H18" s="15" t="s">
        <v>3621</v>
      </c>
      <c r="I18" s="15" t="s">
        <v>3622</v>
      </c>
      <c r="J18" s="15" t="s">
        <v>4353</v>
      </c>
      <c r="K18" s="15" t="s">
        <v>151</v>
      </c>
      <c r="L18" s="15" t="s">
        <v>3623</v>
      </c>
      <c r="M18" s="15" t="s">
        <v>3624</v>
      </c>
      <c r="N18" s="15" t="s">
        <v>3625</v>
      </c>
      <c r="O18" s="15" t="s">
        <v>3626</v>
      </c>
      <c r="P18" s="15" t="s">
        <v>3627</v>
      </c>
      <c r="Q18" s="15" t="s">
        <v>3628</v>
      </c>
      <c r="R18" s="15" t="s">
        <v>157</v>
      </c>
      <c r="S18" s="15" t="s">
        <v>3619</v>
      </c>
      <c r="T18" s="15" t="s">
        <v>107</v>
      </c>
      <c r="U18" s="15" t="s">
        <v>3629</v>
      </c>
      <c r="V18" s="15" t="s">
        <v>109</v>
      </c>
      <c r="W18" s="15" t="s">
        <v>3630</v>
      </c>
      <c r="X18" s="16" t="s">
        <v>3631</v>
      </c>
      <c r="Y18" s="15" t="s">
        <v>114</v>
      </c>
      <c r="Z18" s="16" t="s">
        <v>3632</v>
      </c>
      <c r="AA18" s="17">
        <v>818</v>
      </c>
      <c r="AB18" s="17">
        <v>1</v>
      </c>
      <c r="AC18" s="17">
        <v>768</v>
      </c>
      <c r="AD18" s="17">
        <v>1</v>
      </c>
      <c r="AE18" s="17">
        <v>1025</v>
      </c>
      <c r="AF18" s="15" t="s">
        <v>196</v>
      </c>
      <c r="AG18" s="15" t="s">
        <v>157</v>
      </c>
      <c r="AH18" s="15" t="s">
        <v>3628</v>
      </c>
      <c r="AI18" s="18">
        <v>51605</v>
      </c>
      <c r="AJ18" s="15">
        <v>0.35</v>
      </c>
      <c r="AK18" s="15" t="s">
        <v>3633</v>
      </c>
      <c r="AL18" s="15" t="s">
        <v>3634</v>
      </c>
      <c r="AM18" s="3">
        <f>(AI18*AJ18)/2</f>
        <v>9030.875</v>
      </c>
      <c r="AN18" s="7" t="s">
        <v>107</v>
      </c>
      <c r="AO18" s="7" t="s">
        <v>107</v>
      </c>
      <c r="AP18" s="7" t="s">
        <v>107</v>
      </c>
      <c r="AQ18" s="8" t="s">
        <v>107</v>
      </c>
      <c r="AR18" s="7" t="s">
        <v>107</v>
      </c>
      <c r="AS18" s="7" t="s">
        <v>107</v>
      </c>
      <c r="AT18" s="7" t="s">
        <v>107</v>
      </c>
      <c r="AU18" s="3"/>
      <c r="AV18" s="7" t="s">
        <v>107</v>
      </c>
      <c r="AW18" s="7" t="s">
        <v>107</v>
      </c>
      <c r="AX18" s="7" t="s">
        <v>107</v>
      </c>
      <c r="AY18" s="8" t="s">
        <v>107</v>
      </c>
      <c r="AZ18" s="7" t="s">
        <v>107</v>
      </c>
      <c r="BA18" s="7" t="s">
        <v>107</v>
      </c>
      <c r="BB18" s="7" t="s">
        <v>107</v>
      </c>
      <c r="BC18" s="3"/>
      <c r="BD18" s="7" t="s">
        <v>107</v>
      </c>
      <c r="BE18" s="7" t="s">
        <v>107</v>
      </c>
      <c r="BF18" s="7" t="s">
        <v>107</v>
      </c>
      <c r="BG18" s="7" t="s">
        <v>107</v>
      </c>
      <c r="BH18" s="7" t="s">
        <v>107</v>
      </c>
      <c r="BI18" s="7" t="s">
        <v>107</v>
      </c>
      <c r="BJ18" s="7" t="s">
        <v>107</v>
      </c>
      <c r="BK18" s="3"/>
      <c r="BL18" s="7" t="s">
        <v>107</v>
      </c>
      <c r="BM18" s="7" t="s">
        <v>107</v>
      </c>
      <c r="BN18" s="7" t="s">
        <v>107</v>
      </c>
      <c r="BO18" s="8" t="s">
        <v>107</v>
      </c>
      <c r="BP18" s="7" t="s">
        <v>107</v>
      </c>
      <c r="BQ18" s="7" t="s">
        <v>107</v>
      </c>
      <c r="BR18" s="7" t="s">
        <v>107</v>
      </c>
      <c r="BS18" s="3"/>
      <c r="BT18" s="7" t="s">
        <v>107</v>
      </c>
      <c r="BU18" s="7" t="s">
        <v>107</v>
      </c>
      <c r="BV18" s="7" t="s">
        <v>107</v>
      </c>
      <c r="BW18" s="8" t="s">
        <v>107</v>
      </c>
      <c r="BX18" s="7" t="s">
        <v>107</v>
      </c>
      <c r="BY18" s="7" t="s">
        <v>107</v>
      </c>
      <c r="BZ18" s="7" t="s">
        <v>107</v>
      </c>
      <c r="CA18" s="3"/>
      <c r="CB18" s="7"/>
      <c r="CC18" s="7" t="s">
        <v>107</v>
      </c>
      <c r="CD18" s="7" t="s">
        <v>107</v>
      </c>
      <c r="CE18" s="8" t="s">
        <v>107</v>
      </c>
      <c r="CF18" s="7" t="s">
        <v>107</v>
      </c>
      <c r="CG18" s="7" t="s">
        <v>107</v>
      </c>
      <c r="CH18" s="7" t="s">
        <v>107</v>
      </c>
      <c r="CI18" s="3"/>
      <c r="CJ18" s="7"/>
      <c r="CK18" s="7" t="s">
        <v>107</v>
      </c>
      <c r="CL18" s="7" t="s">
        <v>107</v>
      </c>
      <c r="CM18" s="8" t="s">
        <v>107</v>
      </c>
      <c r="CN18" s="7" t="s">
        <v>107</v>
      </c>
      <c r="CO18" s="7" t="s">
        <v>107</v>
      </c>
      <c r="CP18" s="7" t="s">
        <v>107</v>
      </c>
      <c r="CQ18" s="3"/>
      <c r="CR18" s="7"/>
      <c r="CS18" s="7" t="s">
        <v>107</v>
      </c>
      <c r="CT18" s="7" t="s">
        <v>107</v>
      </c>
      <c r="CU18" s="7" t="s">
        <v>107</v>
      </c>
      <c r="CV18" s="7" t="s">
        <v>107</v>
      </c>
      <c r="CW18" s="7" t="s">
        <v>107</v>
      </c>
      <c r="CX18" s="7" t="s">
        <v>107</v>
      </c>
      <c r="CY18" s="3"/>
      <c r="CZ18" s="7"/>
      <c r="DA18" s="7" t="s">
        <v>107</v>
      </c>
      <c r="DB18" s="7" t="s">
        <v>107</v>
      </c>
      <c r="DC18" s="7" t="s">
        <v>107</v>
      </c>
      <c r="DD18" s="7" t="s">
        <v>107</v>
      </c>
      <c r="DE18" s="7" t="s">
        <v>107</v>
      </c>
      <c r="DF18" s="7" t="s">
        <v>107</v>
      </c>
      <c r="DG18" s="3"/>
      <c r="DH18" s="7"/>
      <c r="DI18" s="7" t="s">
        <v>107</v>
      </c>
      <c r="DJ18" s="7" t="s">
        <v>107</v>
      </c>
      <c r="DK18" s="3">
        <f>AM18</f>
        <v>9030.875</v>
      </c>
      <c r="DL18" s="15" t="s">
        <v>3634</v>
      </c>
      <c r="DM18" s="51">
        <f>DL18*0.95</f>
        <v>8579.326500000001</v>
      </c>
    </row>
    <row r="19" spans="1:117" ht="17.25" customHeight="1" x14ac:dyDescent="0.25">
      <c r="A19" s="50" t="s">
        <v>3848</v>
      </c>
      <c r="B19" s="15" t="s">
        <v>3911</v>
      </c>
      <c r="C19" s="15" t="s">
        <v>2627</v>
      </c>
      <c r="D19" s="15" t="s">
        <v>2628</v>
      </c>
      <c r="E19" s="15" t="s">
        <v>1381</v>
      </c>
      <c r="F19" s="15" t="s">
        <v>2629</v>
      </c>
      <c r="G19" s="15" t="s">
        <v>2630</v>
      </c>
      <c r="H19" s="15" t="s">
        <v>2631</v>
      </c>
      <c r="I19" s="15" t="s">
        <v>2632</v>
      </c>
      <c r="J19" s="15" t="s">
        <v>4304</v>
      </c>
      <c r="K19" s="15" t="s">
        <v>151</v>
      </c>
      <c r="L19" s="15" t="s">
        <v>2629</v>
      </c>
      <c r="M19" s="15" t="s">
        <v>2633</v>
      </c>
      <c r="N19" s="15" t="s">
        <v>4018</v>
      </c>
      <c r="O19" s="15" t="s">
        <v>2634</v>
      </c>
      <c r="P19" s="15" t="s">
        <v>2635</v>
      </c>
      <c r="Q19" s="15" t="s">
        <v>2636</v>
      </c>
      <c r="R19" s="15" t="s">
        <v>282</v>
      </c>
      <c r="S19" s="15" t="s">
        <v>2637</v>
      </c>
      <c r="T19" s="15" t="s">
        <v>107</v>
      </c>
      <c r="U19" s="15" t="s">
        <v>2638</v>
      </c>
      <c r="V19" s="15" t="s">
        <v>109</v>
      </c>
      <c r="W19" s="15" t="s">
        <v>2639</v>
      </c>
      <c r="X19" s="16" t="s">
        <v>2640</v>
      </c>
      <c r="Y19" s="15" t="s">
        <v>138</v>
      </c>
      <c r="Z19" s="16" t="s">
        <v>2641</v>
      </c>
      <c r="AA19" s="17">
        <v>0</v>
      </c>
      <c r="AB19" s="17">
        <v>1</v>
      </c>
      <c r="AC19" s="17">
        <v>220</v>
      </c>
      <c r="AD19" s="17">
        <v>0</v>
      </c>
      <c r="AE19" s="17">
        <v>0</v>
      </c>
      <c r="AF19" s="15" t="s">
        <v>142</v>
      </c>
      <c r="AG19" s="15" t="s">
        <v>352</v>
      </c>
      <c r="AH19" s="15" t="s">
        <v>2642</v>
      </c>
      <c r="AI19" s="18">
        <v>71596.19</v>
      </c>
      <c r="AJ19" s="15">
        <v>0.192</v>
      </c>
      <c r="AK19" s="15" t="s">
        <v>2643</v>
      </c>
      <c r="AL19" s="15" t="s">
        <v>2644</v>
      </c>
      <c r="AM19" s="3">
        <f>(AI19*AJ19)/2</f>
        <v>6873.2342400000007</v>
      </c>
      <c r="AN19" s="7" t="s">
        <v>107</v>
      </c>
      <c r="AO19" s="7" t="s">
        <v>107</v>
      </c>
      <c r="AP19" s="7" t="s">
        <v>107</v>
      </c>
      <c r="AQ19" s="8" t="s">
        <v>107</v>
      </c>
      <c r="AR19" s="7" t="s">
        <v>107</v>
      </c>
      <c r="AS19" s="7" t="s">
        <v>107</v>
      </c>
      <c r="AT19" s="7" t="s">
        <v>107</v>
      </c>
      <c r="AU19" s="3"/>
      <c r="AV19" s="7" t="s">
        <v>107</v>
      </c>
      <c r="AW19" s="7" t="s">
        <v>107</v>
      </c>
      <c r="AX19" s="7" t="s">
        <v>107</v>
      </c>
      <c r="AY19" s="8" t="s">
        <v>107</v>
      </c>
      <c r="AZ19" s="7" t="s">
        <v>107</v>
      </c>
      <c r="BA19" s="7" t="s">
        <v>107</v>
      </c>
      <c r="BB19" s="7" t="s">
        <v>107</v>
      </c>
      <c r="BC19" s="3"/>
      <c r="BD19" s="7" t="s">
        <v>107</v>
      </c>
      <c r="BE19" s="7" t="s">
        <v>107</v>
      </c>
      <c r="BF19" s="7" t="s">
        <v>107</v>
      </c>
      <c r="BG19" s="7" t="s">
        <v>107</v>
      </c>
      <c r="BH19" s="7" t="s">
        <v>107</v>
      </c>
      <c r="BI19" s="7" t="s">
        <v>107</v>
      </c>
      <c r="BJ19" s="7" t="s">
        <v>107</v>
      </c>
      <c r="BK19" s="3"/>
      <c r="BL19" s="7" t="s">
        <v>107</v>
      </c>
      <c r="BM19" s="7" t="s">
        <v>107</v>
      </c>
      <c r="BN19" s="7" t="s">
        <v>107</v>
      </c>
      <c r="BO19" s="8" t="s">
        <v>107</v>
      </c>
      <c r="BP19" s="7" t="s">
        <v>107</v>
      </c>
      <c r="BQ19" s="7" t="s">
        <v>107</v>
      </c>
      <c r="BR19" s="7" t="s">
        <v>107</v>
      </c>
      <c r="BS19" s="3"/>
      <c r="BT19" s="7" t="s">
        <v>107</v>
      </c>
      <c r="BU19" s="7" t="s">
        <v>107</v>
      </c>
      <c r="BV19" s="7" t="s">
        <v>107</v>
      </c>
      <c r="BW19" s="8" t="s">
        <v>107</v>
      </c>
      <c r="BX19" s="7" t="s">
        <v>107</v>
      </c>
      <c r="BY19" s="7" t="s">
        <v>107</v>
      </c>
      <c r="BZ19" s="7" t="s">
        <v>107</v>
      </c>
      <c r="CA19" s="3"/>
      <c r="CB19" s="7"/>
      <c r="CC19" s="7" t="s">
        <v>107</v>
      </c>
      <c r="CD19" s="7" t="s">
        <v>107</v>
      </c>
      <c r="CE19" s="8" t="s">
        <v>107</v>
      </c>
      <c r="CF19" s="7" t="s">
        <v>107</v>
      </c>
      <c r="CG19" s="7" t="s">
        <v>107</v>
      </c>
      <c r="CH19" s="7" t="s">
        <v>107</v>
      </c>
      <c r="CI19" s="3"/>
      <c r="CJ19" s="7"/>
      <c r="CK19" s="7" t="s">
        <v>107</v>
      </c>
      <c r="CL19" s="7" t="s">
        <v>107</v>
      </c>
      <c r="CM19" s="8" t="s">
        <v>107</v>
      </c>
      <c r="CN19" s="7" t="s">
        <v>107</v>
      </c>
      <c r="CO19" s="7" t="s">
        <v>107</v>
      </c>
      <c r="CP19" s="7" t="s">
        <v>107</v>
      </c>
      <c r="CQ19" s="3"/>
      <c r="CR19" s="7"/>
      <c r="CS19" s="7" t="s">
        <v>107</v>
      </c>
      <c r="CT19" s="7" t="s">
        <v>107</v>
      </c>
      <c r="CU19" s="7" t="s">
        <v>107</v>
      </c>
      <c r="CV19" s="7" t="s">
        <v>107</v>
      </c>
      <c r="CW19" s="7" t="s">
        <v>107</v>
      </c>
      <c r="CX19" s="7" t="s">
        <v>107</v>
      </c>
      <c r="CY19" s="3"/>
      <c r="CZ19" s="7"/>
      <c r="DA19" s="7" t="s">
        <v>107</v>
      </c>
      <c r="DB19" s="7" t="s">
        <v>107</v>
      </c>
      <c r="DC19" s="7" t="s">
        <v>107</v>
      </c>
      <c r="DD19" s="7" t="s">
        <v>107</v>
      </c>
      <c r="DE19" s="7" t="s">
        <v>107</v>
      </c>
      <c r="DF19" s="7" t="s">
        <v>107</v>
      </c>
      <c r="DG19" s="3"/>
      <c r="DH19" s="7"/>
      <c r="DI19" s="7" t="s">
        <v>107</v>
      </c>
      <c r="DJ19" s="7" t="s">
        <v>107</v>
      </c>
      <c r="DK19" s="3">
        <f>AM19</f>
        <v>6873.2342400000007</v>
      </c>
      <c r="DL19" s="15" t="s">
        <v>2644</v>
      </c>
      <c r="DM19" s="51">
        <f>DL19*0.95</f>
        <v>6529.5779999999995</v>
      </c>
    </row>
    <row r="20" spans="1:117" ht="17.25" customHeight="1" x14ac:dyDescent="0.25">
      <c r="A20" s="50" t="s">
        <v>1667</v>
      </c>
      <c r="B20" s="15" t="s">
        <v>1668</v>
      </c>
      <c r="C20" s="15" t="s">
        <v>513</v>
      </c>
      <c r="D20" s="15" t="s">
        <v>514</v>
      </c>
      <c r="E20" s="15" t="s">
        <v>515</v>
      </c>
      <c r="F20" s="15" t="s">
        <v>1669</v>
      </c>
      <c r="G20" s="15" t="s">
        <v>1670</v>
      </c>
      <c r="H20" s="15" t="s">
        <v>1671</v>
      </c>
      <c r="I20" s="15" t="s">
        <v>1672</v>
      </c>
      <c r="J20" s="15" t="s">
        <v>4259</v>
      </c>
      <c r="K20" s="15" t="s">
        <v>151</v>
      </c>
      <c r="L20" s="15" t="s">
        <v>1669</v>
      </c>
      <c r="M20" s="15" t="s">
        <v>1673</v>
      </c>
      <c r="N20" s="15" t="s">
        <v>1674</v>
      </c>
      <c r="O20" s="15" t="s">
        <v>1675</v>
      </c>
      <c r="P20" s="15" t="s">
        <v>1676</v>
      </c>
      <c r="Q20" s="15" t="s">
        <v>1677</v>
      </c>
      <c r="R20" s="15" t="s">
        <v>1678</v>
      </c>
      <c r="S20" s="15" t="s">
        <v>1669</v>
      </c>
      <c r="T20" s="15" t="s">
        <v>107</v>
      </c>
      <c r="U20" s="15" t="s">
        <v>1679</v>
      </c>
      <c r="V20" s="15" t="s">
        <v>109</v>
      </c>
      <c r="W20" s="15" t="s">
        <v>1680</v>
      </c>
      <c r="X20" s="16" t="s">
        <v>1681</v>
      </c>
      <c r="Y20" s="15" t="s">
        <v>112</v>
      </c>
      <c r="Z20" s="16" t="s">
        <v>4097</v>
      </c>
      <c r="AA20" s="17">
        <v>250</v>
      </c>
      <c r="AB20" s="17">
        <v>1</v>
      </c>
      <c r="AC20" s="17">
        <v>230</v>
      </c>
      <c r="AD20" s="17">
        <v>1</v>
      </c>
      <c r="AE20" s="17">
        <v>220</v>
      </c>
      <c r="AF20" s="15" t="s">
        <v>142</v>
      </c>
      <c r="AG20" s="15" t="s">
        <v>480</v>
      </c>
      <c r="AH20" s="15" t="s">
        <v>1682</v>
      </c>
      <c r="AI20" s="18">
        <v>57907.199999999997</v>
      </c>
      <c r="AJ20" s="15">
        <v>0.75</v>
      </c>
      <c r="AK20" s="15" t="s">
        <v>1683</v>
      </c>
      <c r="AL20" s="15" t="s">
        <v>1684</v>
      </c>
      <c r="AM20" s="3">
        <f>(AI20*AJ20)/2</f>
        <v>21715.199999999997</v>
      </c>
      <c r="AN20" s="7" t="s">
        <v>107</v>
      </c>
      <c r="AO20" s="7" t="s">
        <v>107</v>
      </c>
      <c r="AP20" s="7" t="s">
        <v>107</v>
      </c>
      <c r="AQ20" s="8" t="s">
        <v>107</v>
      </c>
      <c r="AR20" s="7" t="s">
        <v>107</v>
      </c>
      <c r="AS20" s="7" t="s">
        <v>107</v>
      </c>
      <c r="AT20" s="7" t="s">
        <v>107</v>
      </c>
      <c r="AU20" s="3"/>
      <c r="AV20" s="7" t="s">
        <v>107</v>
      </c>
      <c r="AW20" s="7" t="s">
        <v>107</v>
      </c>
      <c r="AX20" s="7" t="s">
        <v>107</v>
      </c>
      <c r="AY20" s="8" t="s">
        <v>107</v>
      </c>
      <c r="AZ20" s="7" t="s">
        <v>107</v>
      </c>
      <c r="BA20" s="7" t="s">
        <v>107</v>
      </c>
      <c r="BB20" s="7" t="s">
        <v>107</v>
      </c>
      <c r="BC20" s="3"/>
      <c r="BD20" s="7" t="s">
        <v>107</v>
      </c>
      <c r="BE20" s="7" t="s">
        <v>107</v>
      </c>
      <c r="BF20" s="7" t="s">
        <v>107</v>
      </c>
      <c r="BG20" s="7" t="s">
        <v>107</v>
      </c>
      <c r="BH20" s="7" t="s">
        <v>107</v>
      </c>
      <c r="BI20" s="7" t="s">
        <v>107</v>
      </c>
      <c r="BJ20" s="7" t="s">
        <v>107</v>
      </c>
      <c r="BK20" s="3"/>
      <c r="BL20" s="7" t="s">
        <v>107</v>
      </c>
      <c r="BM20" s="7" t="s">
        <v>107</v>
      </c>
      <c r="BN20" s="7" t="s">
        <v>107</v>
      </c>
      <c r="BO20" s="8" t="s">
        <v>107</v>
      </c>
      <c r="BP20" s="7" t="s">
        <v>107</v>
      </c>
      <c r="BQ20" s="7" t="s">
        <v>107</v>
      </c>
      <c r="BR20" s="7" t="s">
        <v>107</v>
      </c>
      <c r="BS20" s="3"/>
      <c r="BT20" s="7" t="s">
        <v>107</v>
      </c>
      <c r="BU20" s="7" t="s">
        <v>107</v>
      </c>
      <c r="BV20" s="7" t="s">
        <v>107</v>
      </c>
      <c r="BW20" s="8" t="s">
        <v>107</v>
      </c>
      <c r="BX20" s="7" t="s">
        <v>107</v>
      </c>
      <c r="BY20" s="7" t="s">
        <v>107</v>
      </c>
      <c r="BZ20" s="7" t="s">
        <v>107</v>
      </c>
      <c r="CA20" s="3"/>
      <c r="CB20" s="7"/>
      <c r="CC20" s="7" t="s">
        <v>107</v>
      </c>
      <c r="CD20" s="7" t="s">
        <v>107</v>
      </c>
      <c r="CE20" s="8" t="s">
        <v>107</v>
      </c>
      <c r="CF20" s="7" t="s">
        <v>107</v>
      </c>
      <c r="CG20" s="7" t="s">
        <v>107</v>
      </c>
      <c r="CH20" s="7" t="s">
        <v>107</v>
      </c>
      <c r="CI20" s="3"/>
      <c r="CJ20" s="7"/>
      <c r="CK20" s="7" t="s">
        <v>107</v>
      </c>
      <c r="CL20" s="7" t="s">
        <v>107</v>
      </c>
      <c r="CM20" s="8" t="s">
        <v>107</v>
      </c>
      <c r="CN20" s="7" t="s">
        <v>107</v>
      </c>
      <c r="CO20" s="7" t="s">
        <v>107</v>
      </c>
      <c r="CP20" s="7" t="s">
        <v>107</v>
      </c>
      <c r="CQ20" s="3"/>
      <c r="CR20" s="7"/>
      <c r="CS20" s="7" t="s">
        <v>107</v>
      </c>
      <c r="CT20" s="7" t="s">
        <v>107</v>
      </c>
      <c r="CU20" s="7" t="s">
        <v>107</v>
      </c>
      <c r="CV20" s="7" t="s">
        <v>107</v>
      </c>
      <c r="CW20" s="7" t="s">
        <v>107</v>
      </c>
      <c r="CX20" s="7" t="s">
        <v>107</v>
      </c>
      <c r="CY20" s="3"/>
      <c r="CZ20" s="7"/>
      <c r="DA20" s="7" t="s">
        <v>107</v>
      </c>
      <c r="DB20" s="7" t="s">
        <v>107</v>
      </c>
      <c r="DC20" s="7" t="s">
        <v>107</v>
      </c>
      <c r="DD20" s="7" t="s">
        <v>107</v>
      </c>
      <c r="DE20" s="7" t="s">
        <v>107</v>
      </c>
      <c r="DF20" s="7" t="s">
        <v>107</v>
      </c>
      <c r="DG20" s="3"/>
      <c r="DH20" s="7"/>
      <c r="DI20" s="7" t="s">
        <v>107</v>
      </c>
      <c r="DJ20" s="7" t="s">
        <v>107</v>
      </c>
      <c r="DK20" s="3">
        <f>AM20</f>
        <v>21715.199999999997</v>
      </c>
      <c r="DL20" s="15" t="s">
        <v>1684</v>
      </c>
      <c r="DM20" s="51">
        <f>DL20*0.95</f>
        <v>20629.439999999999</v>
      </c>
    </row>
    <row r="21" spans="1:117" ht="17.25" customHeight="1" x14ac:dyDescent="0.25">
      <c r="A21" s="50" t="s">
        <v>1559</v>
      </c>
      <c r="B21" s="15" t="s">
        <v>3912</v>
      </c>
      <c r="C21" s="15" t="s">
        <v>1560</v>
      </c>
      <c r="D21" s="15" t="s">
        <v>1561</v>
      </c>
      <c r="E21" s="15" t="s">
        <v>351</v>
      </c>
      <c r="F21" s="15" t="s">
        <v>1562</v>
      </c>
      <c r="G21" s="15" t="s">
        <v>1563</v>
      </c>
      <c r="H21" s="15" t="s">
        <v>1564</v>
      </c>
      <c r="I21" s="15" t="s">
        <v>1565</v>
      </c>
      <c r="J21" s="15" t="s">
        <v>4254</v>
      </c>
      <c r="K21" s="15" t="s">
        <v>151</v>
      </c>
      <c r="L21" s="15" t="s">
        <v>1562</v>
      </c>
      <c r="M21" s="15" t="s">
        <v>1566</v>
      </c>
      <c r="N21" s="15" t="s">
        <v>1567</v>
      </c>
      <c r="O21" s="15" t="s">
        <v>1568</v>
      </c>
      <c r="P21" s="15" t="s">
        <v>1569</v>
      </c>
      <c r="Q21" s="15" t="s">
        <v>1570</v>
      </c>
      <c r="R21" s="15" t="s">
        <v>157</v>
      </c>
      <c r="S21" s="15" t="s">
        <v>1562</v>
      </c>
      <c r="T21" s="15" t="s">
        <v>107</v>
      </c>
      <c r="U21" s="15" t="s">
        <v>1571</v>
      </c>
      <c r="V21" s="15" t="s">
        <v>109</v>
      </c>
      <c r="W21" s="15" t="s">
        <v>1572</v>
      </c>
      <c r="X21" s="16" t="s">
        <v>1573</v>
      </c>
      <c r="Y21" s="15" t="s">
        <v>112</v>
      </c>
      <c r="Z21" s="16" t="s">
        <v>1574</v>
      </c>
      <c r="AA21" s="17">
        <v>1700</v>
      </c>
      <c r="AB21" s="17">
        <v>1</v>
      </c>
      <c r="AC21" s="17">
        <v>300</v>
      </c>
      <c r="AD21" s="17">
        <v>0</v>
      </c>
      <c r="AE21" s="17">
        <v>0</v>
      </c>
      <c r="AF21" s="15" t="s">
        <v>142</v>
      </c>
      <c r="AG21" s="15" t="s">
        <v>157</v>
      </c>
      <c r="AH21" s="15" t="s">
        <v>1570</v>
      </c>
      <c r="AI21" s="18">
        <v>69526</v>
      </c>
      <c r="AJ21" s="15">
        <v>0.6</v>
      </c>
      <c r="AK21" s="15" t="s">
        <v>1575</v>
      </c>
      <c r="AL21" s="15" t="s">
        <v>1576</v>
      </c>
      <c r="AM21" s="3">
        <f>(AI21*AJ21)/2</f>
        <v>20857.8</v>
      </c>
      <c r="AN21" s="7" t="s">
        <v>107</v>
      </c>
      <c r="AO21" s="7" t="s">
        <v>107</v>
      </c>
      <c r="AP21" s="7" t="s">
        <v>107</v>
      </c>
      <c r="AQ21" s="8" t="s">
        <v>107</v>
      </c>
      <c r="AR21" s="7" t="s">
        <v>107</v>
      </c>
      <c r="AS21" s="7" t="s">
        <v>107</v>
      </c>
      <c r="AT21" s="7" t="s">
        <v>107</v>
      </c>
      <c r="AU21" s="3"/>
      <c r="AV21" s="7" t="s">
        <v>107</v>
      </c>
      <c r="AW21" s="7" t="s">
        <v>107</v>
      </c>
      <c r="AX21" s="7" t="s">
        <v>107</v>
      </c>
      <c r="AY21" s="8" t="s">
        <v>107</v>
      </c>
      <c r="AZ21" s="7" t="s">
        <v>107</v>
      </c>
      <c r="BA21" s="7" t="s">
        <v>107</v>
      </c>
      <c r="BB21" s="7" t="s">
        <v>107</v>
      </c>
      <c r="BC21" s="3"/>
      <c r="BD21" s="7" t="s">
        <v>107</v>
      </c>
      <c r="BE21" s="7" t="s">
        <v>107</v>
      </c>
      <c r="BF21" s="7" t="s">
        <v>107</v>
      </c>
      <c r="BG21" s="7" t="s">
        <v>107</v>
      </c>
      <c r="BH21" s="7" t="s">
        <v>107</v>
      </c>
      <c r="BI21" s="7" t="s">
        <v>107</v>
      </c>
      <c r="BJ21" s="7" t="s">
        <v>107</v>
      </c>
      <c r="BK21" s="3"/>
      <c r="BL21" s="7" t="s">
        <v>107</v>
      </c>
      <c r="BM21" s="7" t="s">
        <v>107</v>
      </c>
      <c r="BN21" s="7" t="s">
        <v>107</v>
      </c>
      <c r="BO21" s="8" t="s">
        <v>107</v>
      </c>
      <c r="BP21" s="7" t="s">
        <v>107</v>
      </c>
      <c r="BQ21" s="7" t="s">
        <v>107</v>
      </c>
      <c r="BR21" s="7" t="s">
        <v>107</v>
      </c>
      <c r="BS21" s="3"/>
      <c r="BT21" s="7" t="s">
        <v>107</v>
      </c>
      <c r="BU21" s="7" t="s">
        <v>107</v>
      </c>
      <c r="BV21" s="7" t="s">
        <v>107</v>
      </c>
      <c r="BW21" s="8" t="s">
        <v>107</v>
      </c>
      <c r="BX21" s="7" t="s">
        <v>107</v>
      </c>
      <c r="BY21" s="7" t="s">
        <v>107</v>
      </c>
      <c r="BZ21" s="7" t="s">
        <v>107</v>
      </c>
      <c r="CA21" s="3"/>
      <c r="CB21" s="7"/>
      <c r="CC21" s="7" t="s">
        <v>107</v>
      </c>
      <c r="CD21" s="7" t="s">
        <v>107</v>
      </c>
      <c r="CE21" s="8" t="s">
        <v>107</v>
      </c>
      <c r="CF21" s="7" t="s">
        <v>107</v>
      </c>
      <c r="CG21" s="7" t="s">
        <v>107</v>
      </c>
      <c r="CH21" s="7" t="s">
        <v>107</v>
      </c>
      <c r="CI21" s="3"/>
      <c r="CJ21" s="7"/>
      <c r="CK21" s="7" t="s">
        <v>107</v>
      </c>
      <c r="CL21" s="7" t="s">
        <v>107</v>
      </c>
      <c r="CM21" s="8" t="s">
        <v>107</v>
      </c>
      <c r="CN21" s="7" t="s">
        <v>107</v>
      </c>
      <c r="CO21" s="7" t="s">
        <v>107</v>
      </c>
      <c r="CP21" s="7" t="s">
        <v>107</v>
      </c>
      <c r="CQ21" s="3"/>
      <c r="CR21" s="7"/>
      <c r="CS21" s="7" t="s">
        <v>107</v>
      </c>
      <c r="CT21" s="7" t="s">
        <v>107</v>
      </c>
      <c r="CU21" s="7" t="s">
        <v>107</v>
      </c>
      <c r="CV21" s="7" t="s">
        <v>107</v>
      </c>
      <c r="CW21" s="7" t="s">
        <v>107</v>
      </c>
      <c r="CX21" s="7" t="s">
        <v>107</v>
      </c>
      <c r="CY21" s="3"/>
      <c r="CZ21" s="7"/>
      <c r="DA21" s="7" t="s">
        <v>107</v>
      </c>
      <c r="DB21" s="7" t="s">
        <v>107</v>
      </c>
      <c r="DC21" s="7" t="s">
        <v>107</v>
      </c>
      <c r="DD21" s="7" t="s">
        <v>107</v>
      </c>
      <c r="DE21" s="7" t="s">
        <v>107</v>
      </c>
      <c r="DF21" s="7" t="s">
        <v>107</v>
      </c>
      <c r="DG21" s="3"/>
      <c r="DH21" s="7"/>
      <c r="DI21" s="7" t="s">
        <v>107</v>
      </c>
      <c r="DJ21" s="7" t="s">
        <v>107</v>
      </c>
      <c r="DK21" s="3">
        <f>AM21</f>
        <v>20857.8</v>
      </c>
      <c r="DL21" s="15" t="s">
        <v>1576</v>
      </c>
      <c r="DM21" s="51">
        <f>DL21*0.95</f>
        <v>19814.91</v>
      </c>
    </row>
    <row r="22" spans="1:117" ht="17.25" customHeight="1" x14ac:dyDescent="0.25">
      <c r="A22" s="50" t="s">
        <v>2034</v>
      </c>
      <c r="B22" s="15" t="s">
        <v>3913</v>
      </c>
      <c r="C22" s="15" t="s">
        <v>2035</v>
      </c>
      <c r="D22" s="15" t="s">
        <v>2036</v>
      </c>
      <c r="E22" s="15" t="s">
        <v>1267</v>
      </c>
      <c r="F22" s="15" t="s">
        <v>2037</v>
      </c>
      <c r="G22" s="15" t="s">
        <v>2038</v>
      </c>
      <c r="H22" s="15" t="s">
        <v>2039</v>
      </c>
      <c r="I22" s="15" t="s">
        <v>3983</v>
      </c>
      <c r="J22" s="15" t="s">
        <v>4260</v>
      </c>
      <c r="K22" s="15" t="s">
        <v>151</v>
      </c>
      <c r="L22" s="15" t="s">
        <v>2040</v>
      </c>
      <c r="M22" s="15" t="s">
        <v>2041</v>
      </c>
      <c r="N22" s="15" t="s">
        <v>2042</v>
      </c>
      <c r="O22" s="15" t="s">
        <v>2043</v>
      </c>
      <c r="P22" s="15" t="s">
        <v>2044</v>
      </c>
      <c r="Q22" s="15" t="s">
        <v>2045</v>
      </c>
      <c r="R22" s="15" t="s">
        <v>132</v>
      </c>
      <c r="S22" s="15" t="s">
        <v>2046</v>
      </c>
      <c r="T22" s="15" t="s">
        <v>107</v>
      </c>
      <c r="U22" s="15" t="s">
        <v>2047</v>
      </c>
      <c r="V22" s="15" t="s">
        <v>109</v>
      </c>
      <c r="W22" s="15" t="s">
        <v>2048</v>
      </c>
      <c r="X22" s="16" t="s">
        <v>2049</v>
      </c>
      <c r="Y22" s="15" t="s">
        <v>114</v>
      </c>
      <c r="Z22" s="16" t="s">
        <v>4081</v>
      </c>
      <c r="AA22" s="17">
        <v>145</v>
      </c>
      <c r="AB22" s="17">
        <v>0</v>
      </c>
      <c r="AC22" s="17">
        <v>0</v>
      </c>
      <c r="AD22" s="17">
        <v>0</v>
      </c>
      <c r="AE22" s="17">
        <v>0</v>
      </c>
      <c r="AF22" s="15" t="s">
        <v>142</v>
      </c>
      <c r="AG22" s="15" t="s">
        <v>132</v>
      </c>
      <c r="AH22" s="15" t="s">
        <v>2045</v>
      </c>
      <c r="AI22" s="18">
        <v>41558.400000000001</v>
      </c>
      <c r="AJ22" s="15">
        <v>0.05</v>
      </c>
      <c r="AK22" s="15" t="s">
        <v>2050</v>
      </c>
      <c r="AL22" s="15" t="s">
        <v>2051</v>
      </c>
      <c r="AM22" s="3">
        <f>(AI22*AJ22)/2</f>
        <v>1038.96</v>
      </c>
      <c r="AN22" s="7" t="s">
        <v>107</v>
      </c>
      <c r="AO22" s="7" t="s">
        <v>107</v>
      </c>
      <c r="AP22" s="7" t="s">
        <v>107</v>
      </c>
      <c r="AQ22" s="8" t="s">
        <v>107</v>
      </c>
      <c r="AR22" s="7" t="s">
        <v>107</v>
      </c>
      <c r="AS22" s="7" t="s">
        <v>107</v>
      </c>
      <c r="AT22" s="7" t="s">
        <v>107</v>
      </c>
      <c r="AU22" s="3"/>
      <c r="AV22" s="7" t="s">
        <v>107</v>
      </c>
      <c r="AW22" s="7" t="s">
        <v>107</v>
      </c>
      <c r="AX22" s="7" t="s">
        <v>107</v>
      </c>
      <c r="AY22" s="8" t="s">
        <v>107</v>
      </c>
      <c r="AZ22" s="7" t="s">
        <v>107</v>
      </c>
      <c r="BA22" s="7" t="s">
        <v>107</v>
      </c>
      <c r="BB22" s="7" t="s">
        <v>107</v>
      </c>
      <c r="BC22" s="3"/>
      <c r="BD22" s="7" t="s">
        <v>107</v>
      </c>
      <c r="BE22" s="7" t="s">
        <v>107</v>
      </c>
      <c r="BF22" s="7" t="s">
        <v>107</v>
      </c>
      <c r="BG22" s="7" t="s">
        <v>107</v>
      </c>
      <c r="BH22" s="7" t="s">
        <v>107</v>
      </c>
      <c r="BI22" s="7" t="s">
        <v>107</v>
      </c>
      <c r="BJ22" s="7" t="s">
        <v>107</v>
      </c>
      <c r="BK22" s="3"/>
      <c r="BL22" s="7" t="s">
        <v>107</v>
      </c>
      <c r="BM22" s="7" t="s">
        <v>107</v>
      </c>
      <c r="BN22" s="7" t="s">
        <v>107</v>
      </c>
      <c r="BO22" s="8" t="s">
        <v>107</v>
      </c>
      <c r="BP22" s="7" t="s">
        <v>107</v>
      </c>
      <c r="BQ22" s="7" t="s">
        <v>107</v>
      </c>
      <c r="BR22" s="7" t="s">
        <v>107</v>
      </c>
      <c r="BS22" s="3"/>
      <c r="BT22" s="7" t="s">
        <v>107</v>
      </c>
      <c r="BU22" s="7" t="s">
        <v>107</v>
      </c>
      <c r="BV22" s="7" t="s">
        <v>107</v>
      </c>
      <c r="BW22" s="8" t="s">
        <v>107</v>
      </c>
      <c r="BX22" s="7" t="s">
        <v>107</v>
      </c>
      <c r="BY22" s="7" t="s">
        <v>107</v>
      </c>
      <c r="BZ22" s="7" t="s">
        <v>107</v>
      </c>
      <c r="CA22" s="3"/>
      <c r="CB22" s="7"/>
      <c r="CC22" s="7" t="s">
        <v>107</v>
      </c>
      <c r="CD22" s="7" t="s">
        <v>107</v>
      </c>
      <c r="CE22" s="8" t="s">
        <v>107</v>
      </c>
      <c r="CF22" s="7" t="s">
        <v>107</v>
      </c>
      <c r="CG22" s="7" t="s">
        <v>107</v>
      </c>
      <c r="CH22" s="7" t="s">
        <v>107</v>
      </c>
      <c r="CI22" s="3"/>
      <c r="CJ22" s="7"/>
      <c r="CK22" s="7" t="s">
        <v>107</v>
      </c>
      <c r="CL22" s="7" t="s">
        <v>107</v>
      </c>
      <c r="CM22" s="8" t="s">
        <v>107</v>
      </c>
      <c r="CN22" s="7" t="s">
        <v>107</v>
      </c>
      <c r="CO22" s="7" t="s">
        <v>107</v>
      </c>
      <c r="CP22" s="7" t="s">
        <v>107</v>
      </c>
      <c r="CQ22" s="3"/>
      <c r="CR22" s="7"/>
      <c r="CS22" s="7" t="s">
        <v>107</v>
      </c>
      <c r="CT22" s="7" t="s">
        <v>107</v>
      </c>
      <c r="CU22" s="7" t="s">
        <v>107</v>
      </c>
      <c r="CV22" s="7" t="s">
        <v>107</v>
      </c>
      <c r="CW22" s="7" t="s">
        <v>107</v>
      </c>
      <c r="CX22" s="7" t="s">
        <v>107</v>
      </c>
      <c r="CY22" s="3"/>
      <c r="CZ22" s="7"/>
      <c r="DA22" s="7" t="s">
        <v>107</v>
      </c>
      <c r="DB22" s="7" t="s">
        <v>107</v>
      </c>
      <c r="DC22" s="7" t="s">
        <v>107</v>
      </c>
      <c r="DD22" s="7" t="s">
        <v>107</v>
      </c>
      <c r="DE22" s="7" t="s">
        <v>107</v>
      </c>
      <c r="DF22" s="7" t="s">
        <v>107</v>
      </c>
      <c r="DG22" s="3"/>
      <c r="DH22" s="7"/>
      <c r="DI22" s="7" t="s">
        <v>107</v>
      </c>
      <c r="DJ22" s="7" t="s">
        <v>107</v>
      </c>
      <c r="DK22" s="3">
        <f>AM22</f>
        <v>1038.96</v>
      </c>
      <c r="DL22" s="15" t="s">
        <v>2051</v>
      </c>
      <c r="DM22" s="51">
        <f>DL22*0.95</f>
        <v>988</v>
      </c>
    </row>
    <row r="23" spans="1:117" ht="17.25" customHeight="1" x14ac:dyDescent="0.25">
      <c r="A23" s="50" t="s">
        <v>3591</v>
      </c>
      <c r="B23" s="15" t="s">
        <v>3914</v>
      </c>
      <c r="C23" s="15" t="s">
        <v>3592</v>
      </c>
      <c r="D23" s="15" t="s">
        <v>3593</v>
      </c>
      <c r="E23" s="15" t="s">
        <v>357</v>
      </c>
      <c r="F23" s="15" t="s">
        <v>3594</v>
      </c>
      <c r="G23" s="15" t="s">
        <v>3595</v>
      </c>
      <c r="H23" s="15" t="s">
        <v>3596</v>
      </c>
      <c r="I23" s="15" t="s">
        <v>3597</v>
      </c>
      <c r="J23" s="15" t="s">
        <v>4352</v>
      </c>
      <c r="K23" s="15" t="s">
        <v>151</v>
      </c>
      <c r="L23" s="15" t="s">
        <v>3598</v>
      </c>
      <c r="M23" s="15" t="s">
        <v>3599</v>
      </c>
      <c r="N23" s="15" t="s">
        <v>3600</v>
      </c>
      <c r="O23" s="15" t="s">
        <v>3601</v>
      </c>
      <c r="P23" s="15" t="s">
        <v>3602</v>
      </c>
      <c r="Q23" s="15" t="s">
        <v>3603</v>
      </c>
      <c r="R23" s="15" t="s">
        <v>132</v>
      </c>
      <c r="S23" s="15" t="s">
        <v>3594</v>
      </c>
      <c r="T23" s="15" t="s">
        <v>107</v>
      </c>
      <c r="U23" s="15" t="s">
        <v>3604</v>
      </c>
      <c r="V23" s="15" t="s">
        <v>109</v>
      </c>
      <c r="W23" s="15" t="s">
        <v>3605</v>
      </c>
      <c r="X23" s="16" t="s">
        <v>3606</v>
      </c>
      <c r="Y23" s="15" t="s">
        <v>216</v>
      </c>
      <c r="Z23" s="16" t="s">
        <v>3607</v>
      </c>
      <c r="AA23" s="17">
        <v>1122</v>
      </c>
      <c r="AB23" s="17">
        <v>1</v>
      </c>
      <c r="AC23" s="17">
        <v>570</v>
      </c>
      <c r="AD23" s="17">
        <v>1</v>
      </c>
      <c r="AE23" s="17">
        <v>680</v>
      </c>
      <c r="AF23" s="15" t="s">
        <v>196</v>
      </c>
      <c r="AG23" s="15" t="s">
        <v>132</v>
      </c>
      <c r="AH23" s="15" t="s">
        <v>3608</v>
      </c>
      <c r="AI23" s="18">
        <v>60569.599999999999</v>
      </c>
      <c r="AJ23" s="15">
        <v>0.7</v>
      </c>
      <c r="AK23" s="15" t="s">
        <v>3609</v>
      </c>
      <c r="AL23" s="15" t="s">
        <v>3610</v>
      </c>
      <c r="AM23" s="3">
        <f>(AI23*AJ23)/2</f>
        <v>21199.359999999997</v>
      </c>
      <c r="AN23" s="7" t="s">
        <v>142</v>
      </c>
      <c r="AO23" s="7" t="s">
        <v>157</v>
      </c>
      <c r="AP23" s="7" t="s">
        <v>3611</v>
      </c>
      <c r="AQ23" s="8">
        <v>53942.57</v>
      </c>
      <c r="AR23" s="7">
        <v>0.4</v>
      </c>
      <c r="AS23" s="7" t="s">
        <v>3612</v>
      </c>
      <c r="AT23" s="7" t="s">
        <v>3613</v>
      </c>
      <c r="AU23" s="3">
        <f>(AQ23*AR23)/2</f>
        <v>10788.514000000001</v>
      </c>
      <c r="AV23" s="7" t="s">
        <v>107</v>
      </c>
      <c r="AW23" s="7" t="s">
        <v>107</v>
      </c>
      <c r="AX23" s="7" t="s">
        <v>107</v>
      </c>
      <c r="AY23" s="8" t="s">
        <v>107</v>
      </c>
      <c r="AZ23" s="7" t="s">
        <v>107</v>
      </c>
      <c r="BA23" s="7" t="s">
        <v>107</v>
      </c>
      <c r="BB23" s="7" t="s">
        <v>107</v>
      </c>
      <c r="BC23" s="3"/>
      <c r="BD23" s="7" t="s">
        <v>107</v>
      </c>
      <c r="BE23" s="7" t="s">
        <v>107</v>
      </c>
      <c r="BF23" s="7" t="s">
        <v>107</v>
      </c>
      <c r="BG23" s="7" t="s">
        <v>107</v>
      </c>
      <c r="BH23" s="7" t="s">
        <v>107</v>
      </c>
      <c r="BI23" s="7" t="s">
        <v>107</v>
      </c>
      <c r="BJ23" s="7" t="s">
        <v>107</v>
      </c>
      <c r="BK23" s="3"/>
      <c r="BL23" s="7" t="s">
        <v>107</v>
      </c>
      <c r="BM23" s="7" t="s">
        <v>107</v>
      </c>
      <c r="BN23" s="7" t="s">
        <v>107</v>
      </c>
      <c r="BO23" s="8" t="s">
        <v>107</v>
      </c>
      <c r="BP23" s="7" t="s">
        <v>107</v>
      </c>
      <c r="BQ23" s="7" t="s">
        <v>107</v>
      </c>
      <c r="BR23" s="7" t="s">
        <v>107</v>
      </c>
      <c r="BS23" s="3"/>
      <c r="BT23" s="7" t="s">
        <v>107</v>
      </c>
      <c r="BU23" s="7" t="s">
        <v>107</v>
      </c>
      <c r="BV23" s="7" t="s">
        <v>107</v>
      </c>
      <c r="BW23" s="8" t="s">
        <v>107</v>
      </c>
      <c r="BX23" s="7" t="s">
        <v>107</v>
      </c>
      <c r="BY23" s="7" t="s">
        <v>107</v>
      </c>
      <c r="BZ23" s="7" t="s">
        <v>107</v>
      </c>
      <c r="CA23" s="3"/>
      <c r="CB23" s="7"/>
      <c r="CC23" s="7" t="s">
        <v>107</v>
      </c>
      <c r="CD23" s="7" t="s">
        <v>107</v>
      </c>
      <c r="CE23" s="8" t="s">
        <v>107</v>
      </c>
      <c r="CF23" s="7" t="s">
        <v>107</v>
      </c>
      <c r="CG23" s="7" t="s">
        <v>107</v>
      </c>
      <c r="CH23" s="7" t="s">
        <v>107</v>
      </c>
      <c r="CI23" s="3"/>
      <c r="CJ23" s="7"/>
      <c r="CK23" s="7" t="s">
        <v>107</v>
      </c>
      <c r="CL23" s="7" t="s">
        <v>107</v>
      </c>
      <c r="CM23" s="8" t="s">
        <v>107</v>
      </c>
      <c r="CN23" s="7" t="s">
        <v>107</v>
      </c>
      <c r="CO23" s="7" t="s">
        <v>107</v>
      </c>
      <c r="CP23" s="7" t="s">
        <v>107</v>
      </c>
      <c r="CQ23" s="3"/>
      <c r="CR23" s="7"/>
      <c r="CS23" s="7" t="s">
        <v>107</v>
      </c>
      <c r="CT23" s="7" t="s">
        <v>107</v>
      </c>
      <c r="CU23" s="7" t="s">
        <v>107</v>
      </c>
      <c r="CV23" s="7" t="s">
        <v>107</v>
      </c>
      <c r="CW23" s="7" t="s">
        <v>107</v>
      </c>
      <c r="CX23" s="7" t="s">
        <v>107</v>
      </c>
      <c r="CY23" s="3"/>
      <c r="CZ23" s="7"/>
      <c r="DA23" s="7" t="s">
        <v>107</v>
      </c>
      <c r="DB23" s="7" t="s">
        <v>107</v>
      </c>
      <c r="DC23" s="7" t="s">
        <v>107</v>
      </c>
      <c r="DD23" s="7" t="s">
        <v>107</v>
      </c>
      <c r="DE23" s="7" t="s">
        <v>107</v>
      </c>
      <c r="DF23" s="7" t="s">
        <v>107</v>
      </c>
      <c r="DG23" s="3"/>
      <c r="DH23" s="7"/>
      <c r="DI23" s="7" t="s">
        <v>107</v>
      </c>
      <c r="DJ23" s="7" t="s">
        <v>107</v>
      </c>
      <c r="DK23" s="3">
        <f>AM23+AU23</f>
        <v>31987.873999999996</v>
      </c>
      <c r="DL23" s="15" t="s">
        <v>3614</v>
      </c>
      <c r="DM23" s="51">
        <f>DL23*0.95</f>
        <v>30388.486000000001</v>
      </c>
    </row>
    <row r="24" spans="1:117" ht="17.25" customHeight="1" x14ac:dyDescent="0.25">
      <c r="A24" s="50" t="s">
        <v>2052</v>
      </c>
      <c r="B24" s="15" t="s">
        <v>3915</v>
      </c>
      <c r="C24" s="15" t="s">
        <v>3962</v>
      </c>
      <c r="D24" s="15" t="s">
        <v>2053</v>
      </c>
      <c r="E24" s="15" t="s">
        <v>351</v>
      </c>
      <c r="F24" s="15" t="s">
        <v>2054</v>
      </c>
      <c r="G24" s="15" t="s">
        <v>2055</v>
      </c>
      <c r="H24" s="15" t="s">
        <v>2056</v>
      </c>
      <c r="I24" s="15" t="s">
        <v>2057</v>
      </c>
      <c r="J24" s="15" t="s">
        <v>4275</v>
      </c>
      <c r="K24" s="15" t="s">
        <v>151</v>
      </c>
      <c r="L24" s="15" t="s">
        <v>2054</v>
      </c>
      <c r="M24" s="15" t="s">
        <v>2058</v>
      </c>
      <c r="N24" s="15" t="s">
        <v>2059</v>
      </c>
      <c r="O24" s="15" t="s">
        <v>2060</v>
      </c>
      <c r="P24" s="15" t="s">
        <v>107</v>
      </c>
      <c r="Q24" s="15" t="s">
        <v>2061</v>
      </c>
      <c r="R24" s="15" t="s">
        <v>2062</v>
      </c>
      <c r="S24" s="15" t="s">
        <v>2054</v>
      </c>
      <c r="T24" s="15" t="s">
        <v>107</v>
      </c>
      <c r="U24" s="15" t="s">
        <v>2063</v>
      </c>
      <c r="V24" s="15" t="s">
        <v>109</v>
      </c>
      <c r="W24" s="15" t="s">
        <v>2064</v>
      </c>
      <c r="X24" s="16" t="s">
        <v>2065</v>
      </c>
      <c r="Y24" s="15" t="s">
        <v>216</v>
      </c>
      <c r="Z24" s="16" t="s">
        <v>2066</v>
      </c>
      <c r="AA24" s="17">
        <v>220</v>
      </c>
      <c r="AB24" s="17">
        <v>1</v>
      </c>
      <c r="AC24" s="17">
        <v>200</v>
      </c>
      <c r="AD24" s="17">
        <v>1</v>
      </c>
      <c r="AE24" s="17">
        <v>400</v>
      </c>
      <c r="AF24" s="15" t="s">
        <v>142</v>
      </c>
      <c r="AG24" s="15" t="s">
        <v>157</v>
      </c>
      <c r="AH24" s="15" t="s">
        <v>2067</v>
      </c>
      <c r="AI24" s="18">
        <v>67722</v>
      </c>
      <c r="AJ24" s="15">
        <v>0.75</v>
      </c>
      <c r="AK24" s="15" t="s">
        <v>2068</v>
      </c>
      <c r="AL24" s="15" t="s">
        <v>2069</v>
      </c>
      <c r="AM24" s="3">
        <f>(AI24*AJ24)/2</f>
        <v>25395.75</v>
      </c>
      <c r="AN24" s="7" t="s">
        <v>107</v>
      </c>
      <c r="AO24" s="7" t="s">
        <v>107</v>
      </c>
      <c r="AP24" s="7" t="s">
        <v>107</v>
      </c>
      <c r="AQ24" s="8" t="s">
        <v>107</v>
      </c>
      <c r="AR24" s="7" t="s">
        <v>107</v>
      </c>
      <c r="AS24" s="7" t="s">
        <v>107</v>
      </c>
      <c r="AT24" s="7" t="s">
        <v>107</v>
      </c>
      <c r="AU24" s="3"/>
      <c r="AV24" s="7" t="s">
        <v>107</v>
      </c>
      <c r="AW24" s="7" t="s">
        <v>107</v>
      </c>
      <c r="AX24" s="7" t="s">
        <v>107</v>
      </c>
      <c r="AY24" s="8" t="s">
        <v>107</v>
      </c>
      <c r="AZ24" s="7" t="s">
        <v>107</v>
      </c>
      <c r="BA24" s="7" t="s">
        <v>107</v>
      </c>
      <c r="BB24" s="7" t="s">
        <v>107</v>
      </c>
      <c r="BC24" s="3"/>
      <c r="BD24" s="7" t="s">
        <v>107</v>
      </c>
      <c r="BE24" s="7" t="s">
        <v>107</v>
      </c>
      <c r="BF24" s="7" t="s">
        <v>107</v>
      </c>
      <c r="BG24" s="7" t="s">
        <v>107</v>
      </c>
      <c r="BH24" s="7" t="s">
        <v>107</v>
      </c>
      <c r="BI24" s="7" t="s">
        <v>107</v>
      </c>
      <c r="BJ24" s="7" t="s">
        <v>107</v>
      </c>
      <c r="BK24" s="3"/>
      <c r="BL24" s="7" t="s">
        <v>107</v>
      </c>
      <c r="BM24" s="7" t="s">
        <v>107</v>
      </c>
      <c r="BN24" s="7" t="s">
        <v>107</v>
      </c>
      <c r="BO24" s="8" t="s">
        <v>107</v>
      </c>
      <c r="BP24" s="7" t="s">
        <v>107</v>
      </c>
      <c r="BQ24" s="7" t="s">
        <v>107</v>
      </c>
      <c r="BR24" s="7" t="s">
        <v>107</v>
      </c>
      <c r="BS24" s="3"/>
      <c r="BT24" s="7" t="s">
        <v>107</v>
      </c>
      <c r="BU24" s="7" t="s">
        <v>107</v>
      </c>
      <c r="BV24" s="7" t="s">
        <v>107</v>
      </c>
      <c r="BW24" s="8" t="s">
        <v>107</v>
      </c>
      <c r="BX24" s="7" t="s">
        <v>107</v>
      </c>
      <c r="BY24" s="7" t="s">
        <v>107</v>
      </c>
      <c r="BZ24" s="7" t="s">
        <v>107</v>
      </c>
      <c r="CA24" s="3"/>
      <c r="CB24" s="7"/>
      <c r="CC24" s="7" t="s">
        <v>107</v>
      </c>
      <c r="CD24" s="7" t="s">
        <v>107</v>
      </c>
      <c r="CE24" s="8" t="s">
        <v>107</v>
      </c>
      <c r="CF24" s="7" t="s">
        <v>107</v>
      </c>
      <c r="CG24" s="7" t="s">
        <v>107</v>
      </c>
      <c r="CH24" s="7" t="s">
        <v>107</v>
      </c>
      <c r="CI24" s="3"/>
      <c r="CJ24" s="7"/>
      <c r="CK24" s="7" t="s">
        <v>107</v>
      </c>
      <c r="CL24" s="7" t="s">
        <v>107</v>
      </c>
      <c r="CM24" s="8" t="s">
        <v>107</v>
      </c>
      <c r="CN24" s="7" t="s">
        <v>107</v>
      </c>
      <c r="CO24" s="7" t="s">
        <v>107</v>
      </c>
      <c r="CP24" s="7" t="s">
        <v>107</v>
      </c>
      <c r="CQ24" s="3"/>
      <c r="CR24" s="7"/>
      <c r="CS24" s="7" t="s">
        <v>107</v>
      </c>
      <c r="CT24" s="7" t="s">
        <v>107</v>
      </c>
      <c r="CU24" s="7" t="s">
        <v>107</v>
      </c>
      <c r="CV24" s="7" t="s">
        <v>107</v>
      </c>
      <c r="CW24" s="7" t="s">
        <v>107</v>
      </c>
      <c r="CX24" s="7" t="s">
        <v>107</v>
      </c>
      <c r="CY24" s="3"/>
      <c r="CZ24" s="7"/>
      <c r="DA24" s="7" t="s">
        <v>107</v>
      </c>
      <c r="DB24" s="7" t="s">
        <v>107</v>
      </c>
      <c r="DC24" s="7" t="s">
        <v>107</v>
      </c>
      <c r="DD24" s="7" t="s">
        <v>107</v>
      </c>
      <c r="DE24" s="7" t="s">
        <v>107</v>
      </c>
      <c r="DF24" s="7" t="s">
        <v>107</v>
      </c>
      <c r="DG24" s="3"/>
      <c r="DH24" s="7"/>
      <c r="DI24" s="7" t="s">
        <v>107</v>
      </c>
      <c r="DJ24" s="7" t="s">
        <v>107</v>
      </c>
      <c r="DK24" s="3">
        <f>AM24</f>
        <v>25395.75</v>
      </c>
      <c r="DL24" s="15" t="s">
        <v>2070</v>
      </c>
      <c r="DM24" s="51">
        <f>DL24*0.95</f>
        <v>24125.962499999998</v>
      </c>
    </row>
    <row r="25" spans="1:117" ht="17.25" customHeight="1" x14ac:dyDescent="0.25">
      <c r="A25" s="50" t="s">
        <v>3849</v>
      </c>
      <c r="B25" s="15" t="s">
        <v>3916</v>
      </c>
      <c r="C25" s="15" t="s">
        <v>2349</v>
      </c>
      <c r="D25" s="15" t="s">
        <v>2350</v>
      </c>
      <c r="E25" s="15" t="s">
        <v>351</v>
      </c>
      <c r="F25" s="15" t="s">
        <v>2351</v>
      </c>
      <c r="G25" s="15" t="s">
        <v>2352</v>
      </c>
      <c r="H25" s="15" t="s">
        <v>2353</v>
      </c>
      <c r="I25" s="15" t="s">
        <v>2354</v>
      </c>
      <c r="J25" s="15" t="s">
        <v>4290</v>
      </c>
      <c r="K25" s="15" t="s">
        <v>151</v>
      </c>
      <c r="L25" s="15" t="s">
        <v>2351</v>
      </c>
      <c r="M25" s="15" t="s">
        <v>2355</v>
      </c>
      <c r="N25" s="15" t="s">
        <v>2356</v>
      </c>
      <c r="O25" s="15" t="s">
        <v>2357</v>
      </c>
      <c r="P25" s="15" t="s">
        <v>2358</v>
      </c>
      <c r="Q25" s="15" t="s">
        <v>2359</v>
      </c>
      <c r="R25" s="15" t="s">
        <v>132</v>
      </c>
      <c r="S25" s="15" t="s">
        <v>2351</v>
      </c>
      <c r="T25" s="15" t="s">
        <v>107</v>
      </c>
      <c r="U25" s="15" t="s">
        <v>2360</v>
      </c>
      <c r="V25" s="15" t="s">
        <v>109</v>
      </c>
      <c r="W25" s="15" t="s">
        <v>2361</v>
      </c>
      <c r="X25" s="16" t="s">
        <v>2362</v>
      </c>
      <c r="Y25" s="15" t="s">
        <v>184</v>
      </c>
      <c r="Z25" s="16" t="s">
        <v>2363</v>
      </c>
      <c r="AA25" s="17">
        <v>1100</v>
      </c>
      <c r="AB25" s="17">
        <v>1</v>
      </c>
      <c r="AC25" s="17">
        <v>1000</v>
      </c>
      <c r="AD25" s="17">
        <v>0</v>
      </c>
      <c r="AE25" s="17">
        <v>0</v>
      </c>
      <c r="AF25" s="15" t="s">
        <v>118</v>
      </c>
      <c r="AG25" s="15" t="s">
        <v>132</v>
      </c>
      <c r="AH25" s="15" t="s">
        <v>2359</v>
      </c>
      <c r="AI25" s="18">
        <v>65000</v>
      </c>
      <c r="AJ25" s="15">
        <v>1</v>
      </c>
      <c r="AK25" s="15" t="s">
        <v>2364</v>
      </c>
      <c r="AL25" s="15" t="s">
        <v>2365</v>
      </c>
      <c r="AM25" s="3">
        <f>(AI25*AJ25)/2</f>
        <v>32500</v>
      </c>
      <c r="AN25" s="7" t="s">
        <v>107</v>
      </c>
      <c r="AO25" s="7" t="s">
        <v>107</v>
      </c>
      <c r="AP25" s="7" t="s">
        <v>107</v>
      </c>
      <c r="AQ25" s="8" t="s">
        <v>107</v>
      </c>
      <c r="AR25" s="7" t="s">
        <v>107</v>
      </c>
      <c r="AS25" s="7" t="s">
        <v>107</v>
      </c>
      <c r="AT25" s="7" t="s">
        <v>107</v>
      </c>
      <c r="AU25" s="3"/>
      <c r="AV25" s="7" t="s">
        <v>107</v>
      </c>
      <c r="AW25" s="7" t="s">
        <v>107</v>
      </c>
      <c r="AX25" s="7" t="s">
        <v>107</v>
      </c>
      <c r="AY25" s="8" t="s">
        <v>107</v>
      </c>
      <c r="AZ25" s="7" t="s">
        <v>107</v>
      </c>
      <c r="BA25" s="7" t="s">
        <v>107</v>
      </c>
      <c r="BB25" s="7" t="s">
        <v>107</v>
      </c>
      <c r="BC25" s="3"/>
      <c r="BD25" s="7" t="s">
        <v>107</v>
      </c>
      <c r="BE25" s="7" t="s">
        <v>107</v>
      </c>
      <c r="BF25" s="7" t="s">
        <v>107</v>
      </c>
      <c r="BG25" s="7" t="s">
        <v>107</v>
      </c>
      <c r="BH25" s="7" t="s">
        <v>107</v>
      </c>
      <c r="BI25" s="7" t="s">
        <v>107</v>
      </c>
      <c r="BJ25" s="7" t="s">
        <v>107</v>
      </c>
      <c r="BK25" s="3"/>
      <c r="BL25" s="7" t="s">
        <v>107</v>
      </c>
      <c r="BM25" s="7" t="s">
        <v>107</v>
      </c>
      <c r="BN25" s="7" t="s">
        <v>107</v>
      </c>
      <c r="BO25" s="8" t="s">
        <v>107</v>
      </c>
      <c r="BP25" s="7" t="s">
        <v>107</v>
      </c>
      <c r="BQ25" s="7" t="s">
        <v>107</v>
      </c>
      <c r="BR25" s="7" t="s">
        <v>107</v>
      </c>
      <c r="BS25" s="3"/>
      <c r="BT25" s="7" t="s">
        <v>107</v>
      </c>
      <c r="BU25" s="7" t="s">
        <v>107</v>
      </c>
      <c r="BV25" s="7" t="s">
        <v>107</v>
      </c>
      <c r="BW25" s="8" t="s">
        <v>107</v>
      </c>
      <c r="BX25" s="7" t="s">
        <v>107</v>
      </c>
      <c r="BY25" s="7" t="s">
        <v>107</v>
      </c>
      <c r="BZ25" s="7" t="s">
        <v>107</v>
      </c>
      <c r="CA25" s="3"/>
      <c r="CB25" s="7"/>
      <c r="CC25" s="7" t="s">
        <v>107</v>
      </c>
      <c r="CD25" s="7" t="s">
        <v>107</v>
      </c>
      <c r="CE25" s="8" t="s">
        <v>107</v>
      </c>
      <c r="CF25" s="7" t="s">
        <v>107</v>
      </c>
      <c r="CG25" s="7" t="s">
        <v>107</v>
      </c>
      <c r="CH25" s="7" t="s">
        <v>107</v>
      </c>
      <c r="CI25" s="3"/>
      <c r="CJ25" s="7"/>
      <c r="CK25" s="7" t="s">
        <v>107</v>
      </c>
      <c r="CL25" s="7" t="s">
        <v>107</v>
      </c>
      <c r="CM25" s="8" t="s">
        <v>107</v>
      </c>
      <c r="CN25" s="7" t="s">
        <v>107</v>
      </c>
      <c r="CO25" s="7" t="s">
        <v>107</v>
      </c>
      <c r="CP25" s="7" t="s">
        <v>107</v>
      </c>
      <c r="CQ25" s="3"/>
      <c r="CR25" s="7"/>
      <c r="CS25" s="7" t="s">
        <v>107</v>
      </c>
      <c r="CT25" s="7" t="s">
        <v>107</v>
      </c>
      <c r="CU25" s="7" t="s">
        <v>107</v>
      </c>
      <c r="CV25" s="7" t="s">
        <v>107</v>
      </c>
      <c r="CW25" s="7" t="s">
        <v>107</v>
      </c>
      <c r="CX25" s="7" t="s">
        <v>107</v>
      </c>
      <c r="CY25" s="3"/>
      <c r="CZ25" s="7"/>
      <c r="DA25" s="7" t="s">
        <v>107</v>
      </c>
      <c r="DB25" s="7" t="s">
        <v>107</v>
      </c>
      <c r="DC25" s="7" t="s">
        <v>107</v>
      </c>
      <c r="DD25" s="7" t="s">
        <v>107</v>
      </c>
      <c r="DE25" s="7" t="s">
        <v>107</v>
      </c>
      <c r="DF25" s="7" t="s">
        <v>107</v>
      </c>
      <c r="DG25" s="3"/>
      <c r="DH25" s="7"/>
      <c r="DI25" s="7" t="s">
        <v>107</v>
      </c>
      <c r="DJ25" s="7" t="s">
        <v>107</v>
      </c>
      <c r="DK25" s="3">
        <f>AM25</f>
        <v>32500</v>
      </c>
      <c r="DL25" s="15" t="s">
        <v>2365</v>
      </c>
      <c r="DM25" s="51">
        <f>DL25*0.95</f>
        <v>32775</v>
      </c>
    </row>
    <row r="26" spans="1:117" ht="17.25" customHeight="1" x14ac:dyDescent="0.25">
      <c r="A26" s="50" t="s">
        <v>2838</v>
      </c>
      <c r="B26" s="15" t="s">
        <v>2839</v>
      </c>
      <c r="C26" s="15" t="s">
        <v>2840</v>
      </c>
      <c r="D26" s="15" t="s">
        <v>2841</v>
      </c>
      <c r="E26" s="15" t="s">
        <v>351</v>
      </c>
      <c r="F26" s="15" t="s">
        <v>2842</v>
      </c>
      <c r="G26" s="15" t="s">
        <v>2843</v>
      </c>
      <c r="H26" s="15" t="s">
        <v>2844</v>
      </c>
      <c r="I26" s="15" t="s">
        <v>2845</v>
      </c>
      <c r="J26" s="15" t="s">
        <v>4314</v>
      </c>
      <c r="K26" s="15" t="s">
        <v>151</v>
      </c>
      <c r="L26" s="15" t="s">
        <v>2846</v>
      </c>
      <c r="M26" s="15" t="s">
        <v>2847</v>
      </c>
      <c r="N26" s="15" t="s">
        <v>2848</v>
      </c>
      <c r="O26" s="15" t="s">
        <v>2849</v>
      </c>
      <c r="P26" s="15" t="s">
        <v>2850</v>
      </c>
      <c r="Q26" s="15" t="s">
        <v>2851</v>
      </c>
      <c r="R26" s="15" t="s">
        <v>132</v>
      </c>
      <c r="S26" s="15" t="s">
        <v>2852</v>
      </c>
      <c r="T26" s="15" t="s">
        <v>107</v>
      </c>
      <c r="U26" s="15" t="s">
        <v>2853</v>
      </c>
      <c r="V26" s="15" t="s">
        <v>109</v>
      </c>
      <c r="W26" s="15" t="s">
        <v>2854</v>
      </c>
      <c r="X26" s="16" t="s">
        <v>2855</v>
      </c>
      <c r="Y26" s="15" t="s">
        <v>114</v>
      </c>
      <c r="Z26" s="16" t="s">
        <v>2856</v>
      </c>
      <c r="AA26" s="17">
        <v>250</v>
      </c>
      <c r="AB26" s="17">
        <v>1</v>
      </c>
      <c r="AC26" s="17">
        <v>300</v>
      </c>
      <c r="AD26" s="17">
        <v>1</v>
      </c>
      <c r="AE26" s="17">
        <v>250</v>
      </c>
      <c r="AF26" s="15" t="s">
        <v>142</v>
      </c>
      <c r="AG26" s="15" t="s">
        <v>157</v>
      </c>
      <c r="AH26" s="15" t="s">
        <v>2857</v>
      </c>
      <c r="AI26" s="18">
        <v>64638.080000000002</v>
      </c>
      <c r="AJ26" s="15">
        <v>0.3</v>
      </c>
      <c r="AK26" s="15" t="s">
        <v>2858</v>
      </c>
      <c r="AL26" s="15" t="s">
        <v>2859</v>
      </c>
      <c r="AM26" s="3">
        <f>(AI26*AJ26)/2</f>
        <v>9695.7119999999995</v>
      </c>
      <c r="AN26" s="7" t="s">
        <v>118</v>
      </c>
      <c r="AO26" s="7" t="s">
        <v>132</v>
      </c>
      <c r="AP26" s="7" t="s">
        <v>2851</v>
      </c>
      <c r="AQ26" s="8">
        <v>74070.880000000005</v>
      </c>
      <c r="AR26" s="7">
        <v>0.3</v>
      </c>
      <c r="AS26" s="7" t="s">
        <v>2860</v>
      </c>
      <c r="AT26" s="7" t="s">
        <v>2861</v>
      </c>
      <c r="AU26" s="3">
        <f>(AQ26*AR26)/2</f>
        <v>11110.632</v>
      </c>
      <c r="AV26" s="7" t="s">
        <v>107</v>
      </c>
      <c r="AW26" s="7" t="s">
        <v>107</v>
      </c>
      <c r="AX26" s="7" t="s">
        <v>107</v>
      </c>
      <c r="AY26" s="8" t="s">
        <v>107</v>
      </c>
      <c r="AZ26" s="7" t="s">
        <v>107</v>
      </c>
      <c r="BA26" s="7" t="s">
        <v>107</v>
      </c>
      <c r="BB26" s="7" t="s">
        <v>107</v>
      </c>
      <c r="BC26" s="3"/>
      <c r="BD26" s="7" t="s">
        <v>107</v>
      </c>
      <c r="BE26" s="7" t="s">
        <v>107</v>
      </c>
      <c r="BF26" s="7" t="s">
        <v>107</v>
      </c>
      <c r="BG26" s="7" t="s">
        <v>107</v>
      </c>
      <c r="BH26" s="7" t="s">
        <v>107</v>
      </c>
      <c r="BI26" s="7" t="s">
        <v>107</v>
      </c>
      <c r="BJ26" s="7" t="s">
        <v>107</v>
      </c>
      <c r="BK26" s="3"/>
      <c r="BL26" s="7" t="s">
        <v>107</v>
      </c>
      <c r="BM26" s="7" t="s">
        <v>107</v>
      </c>
      <c r="BN26" s="7" t="s">
        <v>107</v>
      </c>
      <c r="BO26" s="8" t="s">
        <v>107</v>
      </c>
      <c r="BP26" s="7" t="s">
        <v>107</v>
      </c>
      <c r="BQ26" s="7" t="s">
        <v>107</v>
      </c>
      <c r="BR26" s="7" t="s">
        <v>107</v>
      </c>
      <c r="BS26" s="3"/>
      <c r="BT26" s="7" t="s">
        <v>107</v>
      </c>
      <c r="BU26" s="7" t="s">
        <v>107</v>
      </c>
      <c r="BV26" s="7" t="s">
        <v>107</v>
      </c>
      <c r="BW26" s="8" t="s">
        <v>107</v>
      </c>
      <c r="BX26" s="7" t="s">
        <v>107</v>
      </c>
      <c r="BY26" s="7" t="s">
        <v>107</v>
      </c>
      <c r="BZ26" s="7" t="s">
        <v>107</v>
      </c>
      <c r="CA26" s="3"/>
      <c r="CB26" s="7"/>
      <c r="CC26" s="7" t="s">
        <v>107</v>
      </c>
      <c r="CD26" s="7" t="s">
        <v>107</v>
      </c>
      <c r="CE26" s="8" t="s">
        <v>107</v>
      </c>
      <c r="CF26" s="7" t="s">
        <v>107</v>
      </c>
      <c r="CG26" s="7" t="s">
        <v>107</v>
      </c>
      <c r="CH26" s="7" t="s">
        <v>107</v>
      </c>
      <c r="CI26" s="3"/>
      <c r="CJ26" s="7"/>
      <c r="CK26" s="7" t="s">
        <v>107</v>
      </c>
      <c r="CL26" s="7" t="s">
        <v>107</v>
      </c>
      <c r="CM26" s="8" t="s">
        <v>107</v>
      </c>
      <c r="CN26" s="7" t="s">
        <v>107</v>
      </c>
      <c r="CO26" s="7" t="s">
        <v>107</v>
      </c>
      <c r="CP26" s="7" t="s">
        <v>107</v>
      </c>
      <c r="CQ26" s="3"/>
      <c r="CR26" s="7"/>
      <c r="CS26" s="7" t="s">
        <v>107</v>
      </c>
      <c r="CT26" s="7" t="s">
        <v>107</v>
      </c>
      <c r="CU26" s="7" t="s">
        <v>107</v>
      </c>
      <c r="CV26" s="7" t="s">
        <v>107</v>
      </c>
      <c r="CW26" s="7" t="s">
        <v>107</v>
      </c>
      <c r="CX26" s="7" t="s">
        <v>107</v>
      </c>
      <c r="CY26" s="3"/>
      <c r="CZ26" s="7"/>
      <c r="DA26" s="7" t="s">
        <v>107</v>
      </c>
      <c r="DB26" s="7" t="s">
        <v>107</v>
      </c>
      <c r="DC26" s="7" t="s">
        <v>107</v>
      </c>
      <c r="DD26" s="7" t="s">
        <v>107</v>
      </c>
      <c r="DE26" s="7" t="s">
        <v>107</v>
      </c>
      <c r="DF26" s="7" t="s">
        <v>107</v>
      </c>
      <c r="DG26" s="3"/>
      <c r="DH26" s="7"/>
      <c r="DI26" s="7" t="s">
        <v>107</v>
      </c>
      <c r="DJ26" s="7" t="s">
        <v>107</v>
      </c>
      <c r="DK26" s="3">
        <f>AM26+AU26</f>
        <v>20806.343999999997</v>
      </c>
      <c r="DL26" s="15" t="s">
        <v>2862</v>
      </c>
      <c r="DM26" s="51">
        <f>DL26*0.95</f>
        <v>19766.022999999997</v>
      </c>
    </row>
    <row r="27" spans="1:117" ht="17.25" customHeight="1" x14ac:dyDescent="0.25">
      <c r="A27" s="50" t="s">
        <v>2582</v>
      </c>
      <c r="B27" s="15" t="s">
        <v>2583</v>
      </c>
      <c r="C27" s="15" t="s">
        <v>2584</v>
      </c>
      <c r="D27" s="15" t="s">
        <v>2585</v>
      </c>
      <c r="E27" s="15" t="s">
        <v>272</v>
      </c>
      <c r="F27" s="15" t="s">
        <v>2586</v>
      </c>
      <c r="G27" s="15" t="s">
        <v>2587</v>
      </c>
      <c r="H27" s="15" t="s">
        <v>2588</v>
      </c>
      <c r="I27" s="15" t="s">
        <v>2589</v>
      </c>
      <c r="J27" s="15" t="s">
        <v>4302</v>
      </c>
      <c r="K27" s="15" t="s">
        <v>151</v>
      </c>
      <c r="L27" s="15" t="s">
        <v>2586</v>
      </c>
      <c r="M27" s="15" t="s">
        <v>2590</v>
      </c>
      <c r="N27" s="15" t="s">
        <v>2591</v>
      </c>
      <c r="O27" s="15" t="s">
        <v>2592</v>
      </c>
      <c r="P27" s="15" t="s">
        <v>2593</v>
      </c>
      <c r="Q27" s="15" t="s">
        <v>2594</v>
      </c>
      <c r="R27" s="15" t="s">
        <v>282</v>
      </c>
      <c r="S27" s="15" t="s">
        <v>2586</v>
      </c>
      <c r="T27" s="15" t="s">
        <v>107</v>
      </c>
      <c r="U27" s="15" t="s">
        <v>2595</v>
      </c>
      <c r="V27" s="15" t="s">
        <v>109</v>
      </c>
      <c r="W27" s="15" t="s">
        <v>2596</v>
      </c>
      <c r="X27" s="16" t="s">
        <v>2597</v>
      </c>
      <c r="Y27" s="15" t="s">
        <v>185</v>
      </c>
      <c r="Z27" s="16" t="s">
        <v>2598</v>
      </c>
      <c r="AA27" s="17">
        <v>3346</v>
      </c>
      <c r="AB27" s="17">
        <v>3</v>
      </c>
      <c r="AC27" s="17">
        <v>1671</v>
      </c>
      <c r="AD27" s="17">
        <v>1</v>
      </c>
      <c r="AE27" s="17">
        <v>2233</v>
      </c>
      <c r="AF27" s="15" t="s">
        <v>196</v>
      </c>
      <c r="AG27" s="15" t="s">
        <v>480</v>
      </c>
      <c r="AH27" s="15" t="s">
        <v>2599</v>
      </c>
      <c r="AI27" s="20">
        <v>61464</v>
      </c>
      <c r="AJ27" s="15">
        <v>0.25</v>
      </c>
      <c r="AK27" s="15" t="s">
        <v>2600</v>
      </c>
      <c r="AL27" s="15" t="s">
        <v>2601</v>
      </c>
      <c r="AM27" s="3">
        <f>(AI27*AJ27)/2</f>
        <v>7683</v>
      </c>
      <c r="AN27" s="7" t="s">
        <v>196</v>
      </c>
      <c r="AO27" s="7" t="s">
        <v>480</v>
      </c>
      <c r="AP27" s="7" t="s">
        <v>2602</v>
      </c>
      <c r="AQ27" s="8">
        <v>61464</v>
      </c>
      <c r="AR27" s="7">
        <v>0.25</v>
      </c>
      <c r="AS27" s="7" t="s">
        <v>2600</v>
      </c>
      <c r="AT27" s="7" t="s">
        <v>2601</v>
      </c>
      <c r="AU27" s="3">
        <f>(AQ27*AR27)/2</f>
        <v>7683</v>
      </c>
      <c r="AV27" s="7" t="s">
        <v>196</v>
      </c>
      <c r="AW27" s="7" t="s">
        <v>480</v>
      </c>
      <c r="AX27" s="7" t="s">
        <v>2603</v>
      </c>
      <c r="AY27" s="8">
        <v>61464</v>
      </c>
      <c r="AZ27" s="7">
        <v>0.25</v>
      </c>
      <c r="BA27" s="7" t="s">
        <v>2600</v>
      </c>
      <c r="BB27" s="7" t="s">
        <v>2601</v>
      </c>
      <c r="BC27" s="3">
        <f>(AY27*AZ27)/2</f>
        <v>7683</v>
      </c>
      <c r="BD27" s="7" t="s">
        <v>118</v>
      </c>
      <c r="BE27" s="7" t="s">
        <v>480</v>
      </c>
      <c r="BF27" s="7" t="s">
        <v>2604</v>
      </c>
      <c r="BG27" s="11">
        <v>20181</v>
      </c>
      <c r="BH27" s="7">
        <v>0.05</v>
      </c>
      <c r="BI27" s="7" t="s">
        <v>2605</v>
      </c>
      <c r="BJ27" s="7" t="s">
        <v>2606</v>
      </c>
      <c r="BK27" s="3">
        <f>(BG27*BH27)/2</f>
        <v>504.52500000000003</v>
      </c>
      <c r="BL27" s="7" t="s">
        <v>107</v>
      </c>
      <c r="BM27" s="7" t="s">
        <v>107</v>
      </c>
      <c r="BN27" s="7" t="s">
        <v>107</v>
      </c>
      <c r="BO27" s="8" t="s">
        <v>107</v>
      </c>
      <c r="BP27" s="7" t="s">
        <v>107</v>
      </c>
      <c r="BQ27" s="7" t="s">
        <v>107</v>
      </c>
      <c r="BR27" s="7" t="s">
        <v>107</v>
      </c>
      <c r="BS27" s="3"/>
      <c r="BT27" s="7" t="s">
        <v>107</v>
      </c>
      <c r="BU27" s="7" t="s">
        <v>107</v>
      </c>
      <c r="BV27" s="7" t="s">
        <v>107</v>
      </c>
      <c r="BW27" s="8" t="s">
        <v>107</v>
      </c>
      <c r="BX27" s="7" t="s">
        <v>107</v>
      </c>
      <c r="BY27" s="7" t="s">
        <v>107</v>
      </c>
      <c r="BZ27" s="7" t="s">
        <v>107</v>
      </c>
      <c r="CA27" s="3"/>
      <c r="CB27" s="7"/>
      <c r="CC27" s="7" t="s">
        <v>107</v>
      </c>
      <c r="CD27" s="7" t="s">
        <v>107</v>
      </c>
      <c r="CE27" s="8" t="s">
        <v>107</v>
      </c>
      <c r="CF27" s="7" t="s">
        <v>107</v>
      </c>
      <c r="CG27" s="7" t="s">
        <v>107</v>
      </c>
      <c r="CH27" s="7" t="s">
        <v>107</v>
      </c>
      <c r="CI27" s="3"/>
      <c r="CJ27" s="7"/>
      <c r="CK27" s="7" t="s">
        <v>107</v>
      </c>
      <c r="CL27" s="7" t="s">
        <v>107</v>
      </c>
      <c r="CM27" s="8" t="s">
        <v>107</v>
      </c>
      <c r="CN27" s="7" t="s">
        <v>107</v>
      </c>
      <c r="CO27" s="7" t="s">
        <v>107</v>
      </c>
      <c r="CP27" s="7" t="s">
        <v>107</v>
      </c>
      <c r="CQ27" s="3"/>
      <c r="CR27" s="7"/>
      <c r="CS27" s="7" t="s">
        <v>107</v>
      </c>
      <c r="CT27" s="7" t="s">
        <v>107</v>
      </c>
      <c r="CU27" s="7" t="s">
        <v>107</v>
      </c>
      <c r="CV27" s="7" t="s">
        <v>107</v>
      </c>
      <c r="CW27" s="7" t="s">
        <v>107</v>
      </c>
      <c r="CX27" s="7" t="s">
        <v>107</v>
      </c>
      <c r="CY27" s="3"/>
      <c r="CZ27" s="7"/>
      <c r="DA27" s="7" t="s">
        <v>107</v>
      </c>
      <c r="DB27" s="7" t="s">
        <v>107</v>
      </c>
      <c r="DC27" s="7" t="s">
        <v>107</v>
      </c>
      <c r="DD27" s="7" t="s">
        <v>107</v>
      </c>
      <c r="DE27" s="7" t="s">
        <v>107</v>
      </c>
      <c r="DF27" s="7" t="s">
        <v>107</v>
      </c>
      <c r="DG27" s="3"/>
      <c r="DH27" s="7"/>
      <c r="DI27" s="7" t="s">
        <v>107</v>
      </c>
      <c r="DJ27" s="7" t="s">
        <v>107</v>
      </c>
      <c r="DK27" s="3">
        <f>AM27+AU27+BC27+BK27</f>
        <v>23553.525000000001</v>
      </c>
      <c r="DL27" s="15" t="s">
        <v>2607</v>
      </c>
      <c r="DM27" s="51">
        <f>DL27*0.95</f>
        <v>22375.882000000001</v>
      </c>
    </row>
    <row r="28" spans="1:117" ht="17.25" customHeight="1" x14ac:dyDescent="0.25">
      <c r="A28" s="50" t="s">
        <v>1244</v>
      </c>
      <c r="B28" s="15" t="s">
        <v>1245</v>
      </c>
      <c r="C28" s="15" t="s">
        <v>1246</v>
      </c>
      <c r="D28" s="15" t="s">
        <v>1247</v>
      </c>
      <c r="E28" s="15" t="s">
        <v>582</v>
      </c>
      <c r="F28" s="15" t="s">
        <v>1248</v>
      </c>
      <c r="G28" s="15" t="s">
        <v>1249</v>
      </c>
      <c r="H28" s="15" t="s">
        <v>1250</v>
      </c>
      <c r="I28" s="15" t="s">
        <v>1251</v>
      </c>
      <c r="J28" s="15" t="s">
        <v>4240</v>
      </c>
      <c r="K28" s="15" t="s">
        <v>101</v>
      </c>
      <c r="L28" s="15" t="s">
        <v>1252</v>
      </c>
      <c r="M28" s="15" t="s">
        <v>1253</v>
      </c>
      <c r="N28" s="15" t="s">
        <v>1254</v>
      </c>
      <c r="O28" s="15" t="s">
        <v>1248</v>
      </c>
      <c r="P28" s="15" t="s">
        <v>1255</v>
      </c>
      <c r="Q28" s="15" t="s">
        <v>1256</v>
      </c>
      <c r="R28" s="15" t="s">
        <v>115</v>
      </c>
      <c r="S28" s="15" t="s">
        <v>1257</v>
      </c>
      <c r="T28" s="15" t="s">
        <v>107</v>
      </c>
      <c r="U28" s="15" t="s">
        <v>1258</v>
      </c>
      <c r="V28" s="15" t="s">
        <v>109</v>
      </c>
      <c r="W28" s="15" t="s">
        <v>1259</v>
      </c>
      <c r="X28" s="16" t="s">
        <v>1260</v>
      </c>
      <c r="Y28" s="15" t="s">
        <v>185</v>
      </c>
      <c r="Z28" s="16" t="s">
        <v>1261</v>
      </c>
      <c r="AA28" s="17">
        <v>5400</v>
      </c>
      <c r="AB28" s="17">
        <v>3</v>
      </c>
      <c r="AC28" s="17">
        <v>2250</v>
      </c>
      <c r="AD28" s="17">
        <v>1</v>
      </c>
      <c r="AE28" s="17">
        <v>2300</v>
      </c>
      <c r="AF28" s="15" t="s">
        <v>196</v>
      </c>
      <c r="AG28" s="15" t="s">
        <v>115</v>
      </c>
      <c r="AH28" s="15" t="s">
        <v>1256</v>
      </c>
      <c r="AI28" s="18">
        <v>59842</v>
      </c>
      <c r="AJ28" s="15">
        <v>0.25</v>
      </c>
      <c r="AK28" s="15" t="s">
        <v>1262</v>
      </c>
      <c r="AL28" s="15" t="s">
        <v>1263</v>
      </c>
      <c r="AM28" s="3">
        <f>(AI28*AJ28)/2</f>
        <v>7480.25</v>
      </c>
      <c r="AN28" s="7" t="s">
        <v>107</v>
      </c>
      <c r="AO28" s="7" t="s">
        <v>107</v>
      </c>
      <c r="AP28" s="7" t="s">
        <v>107</v>
      </c>
      <c r="AQ28" s="8" t="s">
        <v>107</v>
      </c>
      <c r="AR28" s="7" t="s">
        <v>107</v>
      </c>
      <c r="AS28" s="7" t="s">
        <v>107</v>
      </c>
      <c r="AT28" s="7" t="s">
        <v>107</v>
      </c>
      <c r="AU28" s="3"/>
      <c r="AV28" s="7" t="s">
        <v>107</v>
      </c>
      <c r="AW28" s="7" t="s">
        <v>107</v>
      </c>
      <c r="AX28" s="7" t="s">
        <v>107</v>
      </c>
      <c r="AY28" s="8" t="s">
        <v>107</v>
      </c>
      <c r="AZ28" s="7" t="s">
        <v>107</v>
      </c>
      <c r="BA28" s="7" t="s">
        <v>107</v>
      </c>
      <c r="BB28" s="7" t="s">
        <v>107</v>
      </c>
      <c r="BC28" s="3"/>
      <c r="BD28" s="7" t="s">
        <v>107</v>
      </c>
      <c r="BE28" s="7" t="s">
        <v>107</v>
      </c>
      <c r="BF28" s="7" t="s">
        <v>107</v>
      </c>
      <c r="BG28" s="7" t="s">
        <v>107</v>
      </c>
      <c r="BH28" s="7" t="s">
        <v>107</v>
      </c>
      <c r="BI28" s="7" t="s">
        <v>107</v>
      </c>
      <c r="BJ28" s="7" t="s">
        <v>107</v>
      </c>
      <c r="BK28" s="3"/>
      <c r="BL28" s="7" t="s">
        <v>107</v>
      </c>
      <c r="BM28" s="7" t="s">
        <v>107</v>
      </c>
      <c r="BN28" s="7" t="s">
        <v>107</v>
      </c>
      <c r="BO28" s="8" t="s">
        <v>107</v>
      </c>
      <c r="BP28" s="7" t="s">
        <v>107</v>
      </c>
      <c r="BQ28" s="7" t="s">
        <v>107</v>
      </c>
      <c r="BR28" s="7" t="s">
        <v>107</v>
      </c>
      <c r="BS28" s="3"/>
      <c r="BT28" s="7" t="s">
        <v>107</v>
      </c>
      <c r="BU28" s="7" t="s">
        <v>107</v>
      </c>
      <c r="BV28" s="7" t="s">
        <v>107</v>
      </c>
      <c r="BW28" s="8" t="s">
        <v>107</v>
      </c>
      <c r="BX28" s="7" t="s">
        <v>107</v>
      </c>
      <c r="BY28" s="7" t="s">
        <v>107</v>
      </c>
      <c r="BZ28" s="7" t="s">
        <v>107</v>
      </c>
      <c r="CA28" s="3"/>
      <c r="CB28" s="7"/>
      <c r="CC28" s="7" t="s">
        <v>107</v>
      </c>
      <c r="CD28" s="7" t="s">
        <v>107</v>
      </c>
      <c r="CE28" s="8" t="s">
        <v>107</v>
      </c>
      <c r="CF28" s="7" t="s">
        <v>107</v>
      </c>
      <c r="CG28" s="7" t="s">
        <v>107</v>
      </c>
      <c r="CH28" s="7" t="s">
        <v>107</v>
      </c>
      <c r="CI28" s="3"/>
      <c r="CJ28" s="7"/>
      <c r="CK28" s="7" t="s">
        <v>107</v>
      </c>
      <c r="CL28" s="7" t="s">
        <v>107</v>
      </c>
      <c r="CM28" s="8" t="s">
        <v>107</v>
      </c>
      <c r="CN28" s="7" t="s">
        <v>107</v>
      </c>
      <c r="CO28" s="7" t="s">
        <v>107</v>
      </c>
      <c r="CP28" s="7" t="s">
        <v>107</v>
      </c>
      <c r="CQ28" s="3"/>
      <c r="CR28" s="7"/>
      <c r="CS28" s="7" t="s">
        <v>107</v>
      </c>
      <c r="CT28" s="7" t="s">
        <v>107</v>
      </c>
      <c r="CU28" s="7" t="s">
        <v>107</v>
      </c>
      <c r="CV28" s="7" t="s">
        <v>107</v>
      </c>
      <c r="CW28" s="7" t="s">
        <v>107</v>
      </c>
      <c r="CX28" s="7" t="s">
        <v>107</v>
      </c>
      <c r="CY28" s="3"/>
      <c r="CZ28" s="7"/>
      <c r="DA28" s="7" t="s">
        <v>107</v>
      </c>
      <c r="DB28" s="7" t="s">
        <v>107</v>
      </c>
      <c r="DC28" s="7" t="s">
        <v>107</v>
      </c>
      <c r="DD28" s="7" t="s">
        <v>107</v>
      </c>
      <c r="DE28" s="7" t="s">
        <v>107</v>
      </c>
      <c r="DF28" s="7" t="s">
        <v>107</v>
      </c>
      <c r="DG28" s="3"/>
      <c r="DH28" s="7"/>
      <c r="DI28" s="7" t="s">
        <v>107</v>
      </c>
      <c r="DJ28" s="7" t="s">
        <v>107</v>
      </c>
      <c r="DK28" s="3">
        <f>AM28</f>
        <v>7480.25</v>
      </c>
      <c r="DL28" s="15" t="s">
        <v>1263</v>
      </c>
      <c r="DM28" s="51">
        <f>DL28*0.95</f>
        <v>7106.2374999999993</v>
      </c>
    </row>
    <row r="29" spans="1:117" ht="17.25" customHeight="1" x14ac:dyDescent="0.25">
      <c r="A29" s="50" t="s">
        <v>3850</v>
      </c>
      <c r="B29" s="15" t="s">
        <v>3917</v>
      </c>
      <c r="C29" s="15" t="s">
        <v>3158</v>
      </c>
      <c r="D29" s="15" t="s">
        <v>3159</v>
      </c>
      <c r="E29" s="15" t="s">
        <v>1267</v>
      </c>
      <c r="F29" s="15" t="s">
        <v>3160</v>
      </c>
      <c r="G29" s="15" t="s">
        <v>3161</v>
      </c>
      <c r="H29" s="15" t="s">
        <v>3162</v>
      </c>
      <c r="I29" s="15" t="s">
        <v>3163</v>
      </c>
      <c r="J29" s="15" t="s">
        <v>4330</v>
      </c>
      <c r="K29" s="15" t="s">
        <v>151</v>
      </c>
      <c r="L29" s="15" t="s">
        <v>3160</v>
      </c>
      <c r="M29" s="15" t="s">
        <v>3164</v>
      </c>
      <c r="N29" s="15" t="s">
        <v>3165</v>
      </c>
      <c r="O29" s="15" t="s">
        <v>3166</v>
      </c>
      <c r="P29" s="15" t="s">
        <v>3167</v>
      </c>
      <c r="Q29" s="15" t="s">
        <v>3168</v>
      </c>
      <c r="R29" s="15" t="s">
        <v>480</v>
      </c>
      <c r="S29" s="15" t="s">
        <v>3160</v>
      </c>
      <c r="T29" s="15" t="s">
        <v>107</v>
      </c>
      <c r="U29" s="15" t="s">
        <v>3169</v>
      </c>
      <c r="V29" s="15" t="s">
        <v>109</v>
      </c>
      <c r="W29" s="15" t="s">
        <v>3170</v>
      </c>
      <c r="X29" s="16" t="s">
        <v>3171</v>
      </c>
      <c r="Y29" s="15" t="s">
        <v>114</v>
      </c>
      <c r="Z29" s="16" t="s">
        <v>3172</v>
      </c>
      <c r="AA29" s="17">
        <v>420</v>
      </c>
      <c r="AB29" s="17">
        <v>1</v>
      </c>
      <c r="AC29" s="17">
        <v>530</v>
      </c>
      <c r="AD29" s="17">
        <v>1</v>
      </c>
      <c r="AE29" s="17">
        <v>800</v>
      </c>
      <c r="AF29" s="15" t="s">
        <v>118</v>
      </c>
      <c r="AG29" s="15" t="s">
        <v>480</v>
      </c>
      <c r="AH29" s="15" t="s">
        <v>3168</v>
      </c>
      <c r="AI29" s="21">
        <v>51230</v>
      </c>
      <c r="AJ29" s="15">
        <v>0.15</v>
      </c>
      <c r="AK29" s="15" t="s">
        <v>3173</v>
      </c>
      <c r="AL29" s="15" t="s">
        <v>3174</v>
      </c>
      <c r="AM29" s="3">
        <f>(AI29*AJ29)/2</f>
        <v>3842.25</v>
      </c>
      <c r="AN29" s="7" t="s">
        <v>107</v>
      </c>
      <c r="AO29" s="7" t="s">
        <v>107</v>
      </c>
      <c r="AP29" s="7" t="s">
        <v>107</v>
      </c>
      <c r="AQ29" s="8" t="s">
        <v>107</v>
      </c>
      <c r="AR29" s="7" t="s">
        <v>107</v>
      </c>
      <c r="AS29" s="7" t="s">
        <v>107</v>
      </c>
      <c r="AT29" s="7" t="s">
        <v>107</v>
      </c>
      <c r="AU29" s="3"/>
      <c r="AV29" s="7" t="s">
        <v>107</v>
      </c>
      <c r="AW29" s="7" t="s">
        <v>107</v>
      </c>
      <c r="AX29" s="7" t="s">
        <v>107</v>
      </c>
      <c r="AY29" s="8" t="s">
        <v>107</v>
      </c>
      <c r="AZ29" s="7" t="s">
        <v>107</v>
      </c>
      <c r="BA29" s="7" t="s">
        <v>107</v>
      </c>
      <c r="BB29" s="7" t="s">
        <v>107</v>
      </c>
      <c r="BC29" s="3"/>
      <c r="BD29" s="7" t="s">
        <v>107</v>
      </c>
      <c r="BE29" s="7" t="s">
        <v>107</v>
      </c>
      <c r="BF29" s="7" t="s">
        <v>107</v>
      </c>
      <c r="BG29" s="7" t="s">
        <v>107</v>
      </c>
      <c r="BH29" s="7" t="s">
        <v>107</v>
      </c>
      <c r="BI29" s="7" t="s">
        <v>107</v>
      </c>
      <c r="BJ29" s="7" t="s">
        <v>107</v>
      </c>
      <c r="BK29" s="3"/>
      <c r="BL29" s="7" t="s">
        <v>107</v>
      </c>
      <c r="BM29" s="7" t="s">
        <v>107</v>
      </c>
      <c r="BN29" s="7" t="s">
        <v>107</v>
      </c>
      <c r="BO29" s="8" t="s">
        <v>107</v>
      </c>
      <c r="BP29" s="7" t="s">
        <v>107</v>
      </c>
      <c r="BQ29" s="7" t="s">
        <v>107</v>
      </c>
      <c r="BR29" s="7" t="s">
        <v>107</v>
      </c>
      <c r="BS29" s="3"/>
      <c r="BT29" s="7" t="s">
        <v>107</v>
      </c>
      <c r="BU29" s="7" t="s">
        <v>107</v>
      </c>
      <c r="BV29" s="7" t="s">
        <v>107</v>
      </c>
      <c r="BW29" s="8" t="s">
        <v>107</v>
      </c>
      <c r="BX29" s="7" t="s">
        <v>107</v>
      </c>
      <c r="BY29" s="7" t="s">
        <v>107</v>
      </c>
      <c r="BZ29" s="7" t="s">
        <v>107</v>
      </c>
      <c r="CA29" s="3"/>
      <c r="CB29" s="7"/>
      <c r="CC29" s="7" t="s">
        <v>107</v>
      </c>
      <c r="CD29" s="7" t="s">
        <v>107</v>
      </c>
      <c r="CE29" s="8" t="s">
        <v>107</v>
      </c>
      <c r="CF29" s="7" t="s">
        <v>107</v>
      </c>
      <c r="CG29" s="7" t="s">
        <v>107</v>
      </c>
      <c r="CH29" s="7" t="s">
        <v>107</v>
      </c>
      <c r="CI29" s="3"/>
      <c r="CJ29" s="7"/>
      <c r="CK29" s="7" t="s">
        <v>107</v>
      </c>
      <c r="CL29" s="7" t="s">
        <v>107</v>
      </c>
      <c r="CM29" s="8" t="s">
        <v>107</v>
      </c>
      <c r="CN29" s="7" t="s">
        <v>107</v>
      </c>
      <c r="CO29" s="7" t="s">
        <v>107</v>
      </c>
      <c r="CP29" s="7" t="s">
        <v>107</v>
      </c>
      <c r="CQ29" s="3"/>
      <c r="CR29" s="7"/>
      <c r="CS29" s="7" t="s">
        <v>107</v>
      </c>
      <c r="CT29" s="7" t="s">
        <v>107</v>
      </c>
      <c r="CU29" s="7" t="s">
        <v>107</v>
      </c>
      <c r="CV29" s="7" t="s">
        <v>107</v>
      </c>
      <c r="CW29" s="7" t="s">
        <v>107</v>
      </c>
      <c r="CX29" s="7" t="s">
        <v>107</v>
      </c>
      <c r="CY29" s="3"/>
      <c r="CZ29" s="7"/>
      <c r="DA29" s="7" t="s">
        <v>107</v>
      </c>
      <c r="DB29" s="7" t="s">
        <v>107</v>
      </c>
      <c r="DC29" s="7" t="s">
        <v>107</v>
      </c>
      <c r="DD29" s="7" t="s">
        <v>107</v>
      </c>
      <c r="DE29" s="7" t="s">
        <v>107</v>
      </c>
      <c r="DF29" s="7" t="s">
        <v>107</v>
      </c>
      <c r="DG29" s="3"/>
      <c r="DH29" s="7"/>
      <c r="DI29" s="7" t="s">
        <v>107</v>
      </c>
      <c r="DJ29" s="7" t="s">
        <v>107</v>
      </c>
      <c r="DK29" s="3">
        <f>AM29</f>
        <v>3842.25</v>
      </c>
      <c r="DL29" s="15" t="s">
        <v>3174</v>
      </c>
      <c r="DM29" s="51">
        <f>DL29*0.95</f>
        <v>3650.1374999999998</v>
      </c>
    </row>
    <row r="30" spans="1:117" ht="17.25" customHeight="1" x14ac:dyDescent="0.25">
      <c r="A30" s="50" t="s">
        <v>2300</v>
      </c>
      <c r="B30" s="15" t="s">
        <v>2301</v>
      </c>
      <c r="C30" s="15" t="s">
        <v>2302</v>
      </c>
      <c r="D30" s="15" t="s">
        <v>2303</v>
      </c>
      <c r="E30" s="15" t="s">
        <v>691</v>
      </c>
      <c r="F30" s="15" t="s">
        <v>2304</v>
      </c>
      <c r="G30" s="15" t="s">
        <v>2305</v>
      </c>
      <c r="H30" s="15" t="s">
        <v>2306</v>
      </c>
      <c r="I30" s="15" t="s">
        <v>2307</v>
      </c>
      <c r="J30" s="15" t="s">
        <v>4288</v>
      </c>
      <c r="K30" s="15" t="s">
        <v>151</v>
      </c>
      <c r="L30" s="15" t="s">
        <v>2304</v>
      </c>
      <c r="M30" s="15" t="s">
        <v>2308</v>
      </c>
      <c r="N30" s="15" t="s">
        <v>2309</v>
      </c>
      <c r="O30" s="15" t="s">
        <v>2310</v>
      </c>
      <c r="P30" s="15" t="s">
        <v>2311</v>
      </c>
      <c r="Q30" s="15" t="s">
        <v>2312</v>
      </c>
      <c r="R30" s="15" t="s">
        <v>2313</v>
      </c>
      <c r="S30" s="15" t="s">
        <v>2304</v>
      </c>
      <c r="T30" s="15" t="s">
        <v>107</v>
      </c>
      <c r="U30" s="15" t="s">
        <v>2314</v>
      </c>
      <c r="V30" s="15" t="s">
        <v>109</v>
      </c>
      <c r="W30" s="15" t="s">
        <v>2315</v>
      </c>
      <c r="X30" s="16" t="s">
        <v>2316</v>
      </c>
      <c r="Y30" s="15" t="s">
        <v>107</v>
      </c>
      <c r="Z30" s="16" t="s">
        <v>2317</v>
      </c>
      <c r="AA30" s="17" t="s">
        <v>107</v>
      </c>
      <c r="AB30" s="17">
        <v>1</v>
      </c>
      <c r="AC30" s="17">
        <v>700</v>
      </c>
      <c r="AD30" s="17">
        <v>2</v>
      </c>
      <c r="AE30" s="17">
        <v>1500</v>
      </c>
      <c r="AF30" s="15" t="s">
        <v>118</v>
      </c>
      <c r="AG30" s="15" t="s">
        <v>480</v>
      </c>
      <c r="AH30" s="15" t="s">
        <v>2318</v>
      </c>
      <c r="AI30" s="18">
        <v>58180</v>
      </c>
      <c r="AJ30" s="15">
        <v>4.5699999999999998E-2</v>
      </c>
      <c r="AK30" s="15" t="s">
        <v>2319</v>
      </c>
      <c r="AL30" s="15" t="s">
        <v>2320</v>
      </c>
      <c r="AM30" s="3">
        <f>(AI30*AJ30)/2</f>
        <v>1329.413</v>
      </c>
      <c r="AN30" s="7" t="s">
        <v>196</v>
      </c>
      <c r="AO30" s="7" t="s">
        <v>480</v>
      </c>
      <c r="AP30" s="7" t="s">
        <v>2321</v>
      </c>
      <c r="AQ30" s="8">
        <v>47415</v>
      </c>
      <c r="AR30" s="7">
        <v>4.3499999999999997E-2</v>
      </c>
      <c r="AS30" s="7" t="s">
        <v>2322</v>
      </c>
      <c r="AT30" s="7" t="s">
        <v>2323</v>
      </c>
      <c r="AU30" s="3">
        <f>(AQ30*AR30)/2</f>
        <v>1031.2762499999999</v>
      </c>
      <c r="AV30" s="7" t="s">
        <v>196</v>
      </c>
      <c r="AW30" s="7" t="s">
        <v>480</v>
      </c>
      <c r="AX30" s="7" t="s">
        <v>2324</v>
      </c>
      <c r="AY30" s="8">
        <v>47415</v>
      </c>
      <c r="AZ30" s="7">
        <v>2.1600000000000001E-2</v>
      </c>
      <c r="BA30" s="7" t="s">
        <v>2325</v>
      </c>
      <c r="BB30" s="7" t="s">
        <v>2326</v>
      </c>
      <c r="BC30" s="3">
        <f>(AY30*AZ30)/2</f>
        <v>512.08199999999999</v>
      </c>
      <c r="BD30" s="7" t="s">
        <v>107</v>
      </c>
      <c r="BE30" s="7" t="s">
        <v>107</v>
      </c>
      <c r="BF30" s="7" t="s">
        <v>107</v>
      </c>
      <c r="BG30" s="7" t="s">
        <v>107</v>
      </c>
      <c r="BH30" s="7" t="s">
        <v>107</v>
      </c>
      <c r="BI30" s="7" t="s">
        <v>107</v>
      </c>
      <c r="BJ30" s="7" t="s">
        <v>107</v>
      </c>
      <c r="BK30" s="3"/>
      <c r="BL30" s="7" t="s">
        <v>107</v>
      </c>
      <c r="BM30" s="7" t="s">
        <v>107</v>
      </c>
      <c r="BN30" s="7" t="s">
        <v>107</v>
      </c>
      <c r="BO30" s="8" t="s">
        <v>107</v>
      </c>
      <c r="BP30" s="7" t="s">
        <v>107</v>
      </c>
      <c r="BQ30" s="7" t="s">
        <v>107</v>
      </c>
      <c r="BR30" s="7" t="s">
        <v>107</v>
      </c>
      <c r="BS30" s="3"/>
      <c r="BT30" s="7" t="s">
        <v>107</v>
      </c>
      <c r="BU30" s="7" t="s">
        <v>107</v>
      </c>
      <c r="BV30" s="7" t="s">
        <v>107</v>
      </c>
      <c r="BW30" s="8" t="s">
        <v>107</v>
      </c>
      <c r="BX30" s="7" t="s">
        <v>107</v>
      </c>
      <c r="BY30" s="7" t="s">
        <v>107</v>
      </c>
      <c r="BZ30" s="7" t="s">
        <v>107</v>
      </c>
      <c r="CA30" s="3"/>
      <c r="CB30" s="7"/>
      <c r="CC30" s="7" t="s">
        <v>107</v>
      </c>
      <c r="CD30" s="7" t="s">
        <v>107</v>
      </c>
      <c r="CE30" s="8" t="s">
        <v>107</v>
      </c>
      <c r="CF30" s="7" t="s">
        <v>107</v>
      </c>
      <c r="CG30" s="7" t="s">
        <v>107</v>
      </c>
      <c r="CH30" s="7" t="s">
        <v>107</v>
      </c>
      <c r="CI30" s="3"/>
      <c r="CJ30" s="7"/>
      <c r="CK30" s="7" t="s">
        <v>107</v>
      </c>
      <c r="CL30" s="7" t="s">
        <v>107</v>
      </c>
      <c r="CM30" s="8" t="s">
        <v>107</v>
      </c>
      <c r="CN30" s="7" t="s">
        <v>107</v>
      </c>
      <c r="CO30" s="7" t="s">
        <v>107</v>
      </c>
      <c r="CP30" s="7" t="s">
        <v>107</v>
      </c>
      <c r="CQ30" s="3"/>
      <c r="CR30" s="7"/>
      <c r="CS30" s="7" t="s">
        <v>107</v>
      </c>
      <c r="CT30" s="7" t="s">
        <v>107</v>
      </c>
      <c r="CU30" s="7" t="s">
        <v>107</v>
      </c>
      <c r="CV30" s="7" t="s">
        <v>107</v>
      </c>
      <c r="CW30" s="7" t="s">
        <v>107</v>
      </c>
      <c r="CX30" s="7" t="s">
        <v>107</v>
      </c>
      <c r="CY30" s="3"/>
      <c r="CZ30" s="7"/>
      <c r="DA30" s="7" t="s">
        <v>107</v>
      </c>
      <c r="DB30" s="7" t="s">
        <v>107</v>
      </c>
      <c r="DC30" s="7" t="s">
        <v>107</v>
      </c>
      <c r="DD30" s="7" t="s">
        <v>107</v>
      </c>
      <c r="DE30" s="7" t="s">
        <v>107</v>
      </c>
      <c r="DF30" s="7" t="s">
        <v>107</v>
      </c>
      <c r="DG30" s="3"/>
      <c r="DH30" s="7"/>
      <c r="DI30" s="7" t="s">
        <v>107</v>
      </c>
      <c r="DJ30" s="7" t="s">
        <v>107</v>
      </c>
      <c r="DK30" s="3">
        <f>AM30+AU30+BC30</f>
        <v>2872.7712499999998</v>
      </c>
      <c r="DL30" s="15" t="s">
        <v>2327</v>
      </c>
      <c r="DM30" s="51">
        <f>DL30*0.95</f>
        <v>2729.1315</v>
      </c>
    </row>
    <row r="31" spans="1:117" ht="17.25" customHeight="1" x14ac:dyDescent="0.25">
      <c r="A31" s="52" t="s">
        <v>4199</v>
      </c>
      <c r="B31" s="33" t="s">
        <v>4162</v>
      </c>
      <c r="C31" s="33" t="s">
        <v>4163</v>
      </c>
      <c r="D31" s="33" t="s">
        <v>4164</v>
      </c>
      <c r="E31" s="33" t="s">
        <v>4165</v>
      </c>
      <c r="F31" s="33" t="s">
        <v>4166</v>
      </c>
      <c r="G31" s="33" t="s">
        <v>4167</v>
      </c>
      <c r="H31" s="33" t="s">
        <v>4168</v>
      </c>
      <c r="I31" s="33" t="s">
        <v>4169</v>
      </c>
      <c r="J31" s="33" t="s">
        <v>4380</v>
      </c>
      <c r="K31" s="33" t="s">
        <v>101</v>
      </c>
      <c r="L31" s="33" t="s">
        <v>4170</v>
      </c>
      <c r="M31" s="33" t="s">
        <v>4171</v>
      </c>
      <c r="N31" s="33" t="s">
        <v>4172</v>
      </c>
      <c r="O31" s="33" t="s">
        <v>4173</v>
      </c>
      <c r="P31" s="33" t="s">
        <v>4174</v>
      </c>
      <c r="Q31" s="33" t="s">
        <v>4175</v>
      </c>
      <c r="R31" s="33" t="s">
        <v>115</v>
      </c>
      <c r="S31" s="33" t="s">
        <v>4166</v>
      </c>
      <c r="T31" s="33" t="s">
        <v>107</v>
      </c>
      <c r="U31" s="33" t="s">
        <v>4176</v>
      </c>
      <c r="V31" s="33" t="s">
        <v>109</v>
      </c>
      <c r="W31" s="33" t="s">
        <v>4177</v>
      </c>
      <c r="X31" s="26" t="s">
        <v>4178</v>
      </c>
      <c r="Y31" s="33" t="s">
        <v>137</v>
      </c>
      <c r="Z31" s="41" t="s">
        <v>4384</v>
      </c>
      <c r="AA31" s="33">
        <v>530</v>
      </c>
      <c r="AB31" s="33">
        <v>5</v>
      </c>
      <c r="AC31" s="33">
        <v>738</v>
      </c>
      <c r="AD31" s="33">
        <v>0</v>
      </c>
      <c r="AE31" s="33">
        <v>0</v>
      </c>
      <c r="AF31" s="33" t="s">
        <v>142</v>
      </c>
      <c r="AG31" s="33" t="s">
        <v>115</v>
      </c>
      <c r="AH31" s="33" t="s">
        <v>4175</v>
      </c>
      <c r="AI31" s="33">
        <v>39182</v>
      </c>
      <c r="AJ31" s="33" t="s">
        <v>4179</v>
      </c>
      <c r="AK31" s="33">
        <v>27274</v>
      </c>
      <c r="AL31" s="33">
        <v>13637</v>
      </c>
      <c r="AM31" s="33" t="s">
        <v>107</v>
      </c>
      <c r="AN31" s="15"/>
      <c r="AO31" s="15"/>
      <c r="AP31" s="15"/>
      <c r="AQ31" s="15"/>
      <c r="AR31" s="15"/>
      <c r="AS31" s="15"/>
      <c r="AT31" s="15"/>
      <c r="AU31" s="33" t="s">
        <v>107</v>
      </c>
      <c r="AV31" s="33" t="s">
        <v>107</v>
      </c>
      <c r="AW31" s="33" t="s">
        <v>107</v>
      </c>
      <c r="AX31" s="33" t="s">
        <v>107</v>
      </c>
      <c r="AY31" s="33" t="s">
        <v>107</v>
      </c>
      <c r="AZ31" s="33" t="s">
        <v>107</v>
      </c>
      <c r="BA31" s="33" t="s">
        <v>107</v>
      </c>
      <c r="BB31" s="33" t="s">
        <v>107</v>
      </c>
      <c r="BC31" s="33" t="s">
        <v>107</v>
      </c>
      <c r="BD31" s="33" t="s">
        <v>107</v>
      </c>
      <c r="BE31" s="33" t="s">
        <v>107</v>
      </c>
      <c r="BF31" s="33" t="s">
        <v>107</v>
      </c>
      <c r="BG31" s="33" t="s">
        <v>107</v>
      </c>
      <c r="BH31" s="33" t="s">
        <v>107</v>
      </c>
      <c r="BI31" s="33" t="s">
        <v>107</v>
      </c>
      <c r="BJ31" s="33" t="s">
        <v>107</v>
      </c>
      <c r="BK31" s="33" t="s">
        <v>107</v>
      </c>
      <c r="BL31" s="33" t="s">
        <v>107</v>
      </c>
      <c r="BM31" s="33" t="s">
        <v>107</v>
      </c>
      <c r="BN31" s="33" t="s">
        <v>107</v>
      </c>
      <c r="BO31" s="33" t="s">
        <v>107</v>
      </c>
      <c r="BP31" s="33" t="s">
        <v>107</v>
      </c>
      <c r="BQ31" s="33" t="s">
        <v>107</v>
      </c>
      <c r="BR31" s="33" t="s">
        <v>107</v>
      </c>
      <c r="BS31" s="33" t="s">
        <v>107</v>
      </c>
      <c r="BT31" s="33" t="s">
        <v>107</v>
      </c>
      <c r="BU31" s="33" t="s">
        <v>107</v>
      </c>
      <c r="BV31" s="33" t="s">
        <v>107</v>
      </c>
      <c r="BW31" s="33" t="s">
        <v>107</v>
      </c>
      <c r="BX31" s="33" t="s">
        <v>107</v>
      </c>
      <c r="BY31" s="33" t="s">
        <v>107</v>
      </c>
      <c r="BZ31" s="33" t="s">
        <v>107</v>
      </c>
      <c r="CA31" s="33" t="s">
        <v>107</v>
      </c>
      <c r="CB31" s="33" t="s">
        <v>107</v>
      </c>
      <c r="CC31" s="33" t="s">
        <v>107</v>
      </c>
      <c r="CD31" s="33" t="s">
        <v>107</v>
      </c>
      <c r="CE31" s="33" t="s">
        <v>107</v>
      </c>
      <c r="CF31" s="33" t="s">
        <v>107</v>
      </c>
      <c r="CG31" s="33" t="s">
        <v>107</v>
      </c>
      <c r="CH31" s="33" t="s">
        <v>107</v>
      </c>
      <c r="CI31" s="33" t="s">
        <v>107</v>
      </c>
      <c r="CJ31" s="33" t="s">
        <v>107</v>
      </c>
      <c r="CK31" s="33" t="s">
        <v>107</v>
      </c>
      <c r="CL31" s="33" t="s">
        <v>107</v>
      </c>
      <c r="CM31" s="33" t="s">
        <v>107</v>
      </c>
      <c r="CN31" s="33" t="s">
        <v>107</v>
      </c>
      <c r="CO31" s="33" t="s">
        <v>107</v>
      </c>
      <c r="CP31" s="33" t="s">
        <v>107</v>
      </c>
      <c r="CQ31" s="33" t="s">
        <v>107</v>
      </c>
      <c r="CR31" s="33" t="s">
        <v>107</v>
      </c>
      <c r="CS31" s="33" t="s">
        <v>107</v>
      </c>
      <c r="CT31" s="33" t="s">
        <v>107</v>
      </c>
      <c r="CU31" s="33" t="s">
        <v>107</v>
      </c>
      <c r="CV31" s="33" t="s">
        <v>107</v>
      </c>
      <c r="CW31" s="33" t="s">
        <v>107</v>
      </c>
      <c r="CX31" s="33" t="s">
        <v>107</v>
      </c>
      <c r="CY31" s="33" t="s">
        <v>107</v>
      </c>
      <c r="CZ31" s="33" t="s">
        <v>107</v>
      </c>
      <c r="DA31" s="33" t="s">
        <v>107</v>
      </c>
      <c r="DB31" s="33" t="s">
        <v>107</v>
      </c>
      <c r="DC31" s="33" t="s">
        <v>107</v>
      </c>
      <c r="DD31" s="33" t="s">
        <v>107</v>
      </c>
      <c r="DE31" s="33" t="s">
        <v>107</v>
      </c>
      <c r="DF31" s="33" t="s">
        <v>107</v>
      </c>
      <c r="DG31" s="33" t="s">
        <v>107</v>
      </c>
      <c r="DH31" s="33" t="s">
        <v>107</v>
      </c>
      <c r="DI31" s="33" t="s">
        <v>107</v>
      </c>
      <c r="DJ31" s="33" t="s">
        <v>107</v>
      </c>
      <c r="DK31" s="33">
        <v>13637</v>
      </c>
      <c r="DL31" s="33" t="s">
        <v>107</v>
      </c>
      <c r="DM31" s="51" t="e">
        <f>DL31*0.95</f>
        <v>#VALUE!</v>
      </c>
    </row>
    <row r="32" spans="1:117" ht="17.25" customHeight="1" x14ac:dyDescent="0.25">
      <c r="A32" s="50" t="s">
        <v>3851</v>
      </c>
      <c r="B32" s="15" t="s">
        <v>2089</v>
      </c>
      <c r="C32" s="15" t="s">
        <v>488</v>
      </c>
      <c r="D32" s="15" t="s">
        <v>489</v>
      </c>
      <c r="E32" s="15" t="s">
        <v>147</v>
      </c>
      <c r="F32" s="15" t="s">
        <v>2090</v>
      </c>
      <c r="G32" s="15" t="s">
        <v>2091</v>
      </c>
      <c r="H32" s="15" t="s">
        <v>2092</v>
      </c>
      <c r="I32" s="15" t="s">
        <v>2093</v>
      </c>
      <c r="J32" s="15" t="s">
        <v>4277</v>
      </c>
      <c r="K32" s="15" t="s">
        <v>151</v>
      </c>
      <c r="L32" s="15" t="s">
        <v>2090</v>
      </c>
      <c r="M32" s="15" t="s">
        <v>2094</v>
      </c>
      <c r="N32" s="15" t="s">
        <v>2095</v>
      </c>
      <c r="O32" s="15" t="s">
        <v>2090</v>
      </c>
      <c r="P32" s="15" t="s">
        <v>2096</v>
      </c>
      <c r="Q32" s="15" t="s">
        <v>2097</v>
      </c>
      <c r="R32" s="15" t="s">
        <v>157</v>
      </c>
      <c r="S32" s="15" t="s">
        <v>2090</v>
      </c>
      <c r="T32" s="15" t="s">
        <v>107</v>
      </c>
      <c r="U32" s="15" t="s">
        <v>2098</v>
      </c>
      <c r="V32" s="15" t="s">
        <v>109</v>
      </c>
      <c r="W32" s="15" t="s">
        <v>2099</v>
      </c>
      <c r="X32" s="16" t="s">
        <v>2100</v>
      </c>
      <c r="Y32" s="15" t="s">
        <v>138</v>
      </c>
      <c r="Z32" s="16" t="s">
        <v>2101</v>
      </c>
      <c r="AA32" s="17">
        <v>0</v>
      </c>
      <c r="AB32" s="17">
        <v>1</v>
      </c>
      <c r="AC32" s="17">
        <v>280</v>
      </c>
      <c r="AD32" s="17">
        <v>0</v>
      </c>
      <c r="AE32" s="17">
        <v>0</v>
      </c>
      <c r="AF32" s="15" t="s">
        <v>142</v>
      </c>
      <c r="AG32" s="15" t="s">
        <v>157</v>
      </c>
      <c r="AH32" s="15" t="s">
        <v>2097</v>
      </c>
      <c r="AI32" s="20">
        <v>60486.400000000001</v>
      </c>
      <c r="AJ32" s="15">
        <v>5.7700000000000001E-2</v>
      </c>
      <c r="AK32" s="15" t="s">
        <v>2102</v>
      </c>
      <c r="AL32" s="15" t="s">
        <v>2103</v>
      </c>
      <c r="AM32" s="3">
        <f>(AI32*AJ32)/2</f>
        <v>1745.0326400000001</v>
      </c>
      <c r="AN32" s="7" t="s">
        <v>107</v>
      </c>
      <c r="AO32" s="7" t="s">
        <v>107</v>
      </c>
      <c r="AP32" s="7" t="s">
        <v>107</v>
      </c>
      <c r="AQ32" s="8"/>
      <c r="AR32" s="7" t="s">
        <v>107</v>
      </c>
      <c r="AS32" s="7" t="s">
        <v>107</v>
      </c>
      <c r="AT32" s="7" t="s">
        <v>107</v>
      </c>
      <c r="AU32" s="3"/>
      <c r="AV32" s="7" t="s">
        <v>107</v>
      </c>
      <c r="AW32" s="7" t="s">
        <v>107</v>
      </c>
      <c r="AX32" s="7" t="s">
        <v>107</v>
      </c>
      <c r="AY32" s="8" t="s">
        <v>107</v>
      </c>
      <c r="AZ32" s="7" t="s">
        <v>107</v>
      </c>
      <c r="BA32" s="7" t="s">
        <v>107</v>
      </c>
      <c r="BB32" s="7" t="s">
        <v>107</v>
      </c>
      <c r="BC32" s="3"/>
      <c r="BD32" s="7" t="s">
        <v>107</v>
      </c>
      <c r="BE32" s="7" t="s">
        <v>107</v>
      </c>
      <c r="BF32" s="7" t="s">
        <v>107</v>
      </c>
      <c r="BG32" s="7" t="s">
        <v>107</v>
      </c>
      <c r="BH32" s="7" t="s">
        <v>107</v>
      </c>
      <c r="BI32" s="7" t="s">
        <v>107</v>
      </c>
      <c r="BJ32" s="7" t="s">
        <v>107</v>
      </c>
      <c r="BK32" s="3"/>
      <c r="BL32" s="7" t="s">
        <v>107</v>
      </c>
      <c r="BM32" s="7" t="s">
        <v>107</v>
      </c>
      <c r="BN32" s="7" t="s">
        <v>107</v>
      </c>
      <c r="BO32" s="8" t="s">
        <v>107</v>
      </c>
      <c r="BP32" s="7" t="s">
        <v>107</v>
      </c>
      <c r="BQ32" s="7" t="s">
        <v>107</v>
      </c>
      <c r="BR32" s="7" t="s">
        <v>107</v>
      </c>
      <c r="BS32" s="3"/>
      <c r="BT32" s="7" t="s">
        <v>107</v>
      </c>
      <c r="BU32" s="7" t="s">
        <v>107</v>
      </c>
      <c r="BV32" s="7" t="s">
        <v>107</v>
      </c>
      <c r="BW32" s="8" t="s">
        <v>107</v>
      </c>
      <c r="BX32" s="7" t="s">
        <v>107</v>
      </c>
      <c r="BY32" s="7" t="s">
        <v>107</v>
      </c>
      <c r="BZ32" s="7" t="s">
        <v>107</v>
      </c>
      <c r="CA32" s="3"/>
      <c r="CB32" s="7"/>
      <c r="CC32" s="7" t="s">
        <v>107</v>
      </c>
      <c r="CD32" s="7" t="s">
        <v>107</v>
      </c>
      <c r="CE32" s="8" t="s">
        <v>107</v>
      </c>
      <c r="CF32" s="7" t="s">
        <v>107</v>
      </c>
      <c r="CG32" s="7" t="s">
        <v>107</v>
      </c>
      <c r="CH32" s="7" t="s">
        <v>107</v>
      </c>
      <c r="CI32" s="3"/>
      <c r="CJ32" s="7"/>
      <c r="CK32" s="7" t="s">
        <v>107</v>
      </c>
      <c r="CL32" s="7" t="s">
        <v>107</v>
      </c>
      <c r="CM32" s="8" t="s">
        <v>107</v>
      </c>
      <c r="CN32" s="7" t="s">
        <v>107</v>
      </c>
      <c r="CO32" s="7" t="s">
        <v>107</v>
      </c>
      <c r="CP32" s="7" t="s">
        <v>107</v>
      </c>
      <c r="CQ32" s="3"/>
      <c r="CR32" s="7"/>
      <c r="CS32" s="7" t="s">
        <v>107</v>
      </c>
      <c r="CT32" s="7" t="s">
        <v>107</v>
      </c>
      <c r="CU32" s="7" t="s">
        <v>107</v>
      </c>
      <c r="CV32" s="7" t="s">
        <v>107</v>
      </c>
      <c r="CW32" s="7" t="s">
        <v>107</v>
      </c>
      <c r="CX32" s="7" t="s">
        <v>107</v>
      </c>
      <c r="CY32" s="3"/>
      <c r="CZ32" s="7"/>
      <c r="DA32" s="7" t="s">
        <v>107</v>
      </c>
      <c r="DB32" s="7" t="s">
        <v>107</v>
      </c>
      <c r="DC32" s="7" t="s">
        <v>107</v>
      </c>
      <c r="DD32" s="7" t="s">
        <v>107</v>
      </c>
      <c r="DE32" s="7" t="s">
        <v>107</v>
      </c>
      <c r="DF32" s="7" t="s">
        <v>107</v>
      </c>
      <c r="DG32" s="3"/>
      <c r="DH32" s="7"/>
      <c r="DI32" s="7" t="s">
        <v>107</v>
      </c>
      <c r="DJ32" s="7" t="s">
        <v>107</v>
      </c>
      <c r="DK32" s="3">
        <f>AM32</f>
        <v>1745.0326400000001</v>
      </c>
      <c r="DL32" s="15" t="s">
        <v>2103</v>
      </c>
      <c r="DM32" s="51">
        <f>DL32*0.95</f>
        <v>1657.56</v>
      </c>
    </row>
    <row r="33" spans="1:117" ht="17.25" customHeight="1" x14ac:dyDescent="0.25">
      <c r="A33" s="50" t="s">
        <v>3852</v>
      </c>
      <c r="B33" s="15" t="s">
        <v>2526</v>
      </c>
      <c r="C33" s="15" t="s">
        <v>2527</v>
      </c>
      <c r="D33" s="15" t="s">
        <v>2528</v>
      </c>
      <c r="E33" s="15" t="s">
        <v>2529</v>
      </c>
      <c r="F33" s="15" t="s">
        <v>2530</v>
      </c>
      <c r="G33" s="15" t="s">
        <v>2531</v>
      </c>
      <c r="H33" s="15" t="s">
        <v>2532</v>
      </c>
      <c r="I33" s="15" t="s">
        <v>2533</v>
      </c>
      <c r="J33" s="15" t="s">
        <v>4299</v>
      </c>
      <c r="K33" s="15" t="s">
        <v>151</v>
      </c>
      <c r="L33" s="15" t="s">
        <v>2530</v>
      </c>
      <c r="M33" s="15" t="s">
        <v>2534</v>
      </c>
      <c r="N33" s="15" t="s">
        <v>2533</v>
      </c>
      <c r="O33" s="15" t="s">
        <v>2530</v>
      </c>
      <c r="P33" s="15" t="s">
        <v>2534</v>
      </c>
      <c r="Q33" s="15" t="s">
        <v>2535</v>
      </c>
      <c r="R33" s="15" t="s">
        <v>2536</v>
      </c>
      <c r="S33" s="15" t="s">
        <v>2537</v>
      </c>
      <c r="T33" s="15" t="s">
        <v>107</v>
      </c>
      <c r="U33" s="15" t="s">
        <v>2534</v>
      </c>
      <c r="V33" s="15" t="s">
        <v>109</v>
      </c>
      <c r="W33" s="15" t="s">
        <v>2538</v>
      </c>
      <c r="X33" s="16" t="s">
        <v>2539</v>
      </c>
      <c r="Y33" s="15" t="s">
        <v>112</v>
      </c>
      <c r="Z33" s="16" t="s">
        <v>2540</v>
      </c>
      <c r="AA33" s="17">
        <v>275</v>
      </c>
      <c r="AB33" s="17">
        <v>1</v>
      </c>
      <c r="AC33" s="17">
        <v>380</v>
      </c>
      <c r="AD33" s="17">
        <v>1</v>
      </c>
      <c r="AE33" s="17">
        <v>489</v>
      </c>
      <c r="AF33" s="15" t="s">
        <v>142</v>
      </c>
      <c r="AG33" s="15" t="s">
        <v>480</v>
      </c>
      <c r="AH33" s="15" t="s">
        <v>2535</v>
      </c>
      <c r="AI33" s="18">
        <v>53131.199999999997</v>
      </c>
      <c r="AJ33" s="15">
        <v>0.75</v>
      </c>
      <c r="AK33" s="15" t="s">
        <v>2541</v>
      </c>
      <c r="AL33" s="15" t="s">
        <v>2542</v>
      </c>
      <c r="AM33" s="3">
        <f>(AI33*AJ33)/2</f>
        <v>19924.199999999997</v>
      </c>
      <c r="AN33" s="7" t="s">
        <v>142</v>
      </c>
      <c r="AO33" s="7" t="s">
        <v>460</v>
      </c>
      <c r="AP33" s="7" t="s">
        <v>2543</v>
      </c>
      <c r="AQ33" s="8">
        <v>53131.199999999997</v>
      </c>
      <c r="AR33" s="7">
        <v>0.25</v>
      </c>
      <c r="AS33" s="7" t="s">
        <v>2544</v>
      </c>
      <c r="AT33" s="7" t="s">
        <v>2545</v>
      </c>
      <c r="AU33" s="3">
        <f>(AQ33*AR33)/2</f>
        <v>6641.4</v>
      </c>
      <c r="AV33" s="7" t="s">
        <v>107</v>
      </c>
      <c r="AW33" s="7" t="s">
        <v>107</v>
      </c>
      <c r="AX33" s="7" t="s">
        <v>107</v>
      </c>
      <c r="AY33" s="8" t="s">
        <v>107</v>
      </c>
      <c r="AZ33" s="7" t="s">
        <v>107</v>
      </c>
      <c r="BA33" s="7" t="s">
        <v>107</v>
      </c>
      <c r="BB33" s="7" t="s">
        <v>107</v>
      </c>
      <c r="BC33" s="3"/>
      <c r="BD33" s="7" t="s">
        <v>107</v>
      </c>
      <c r="BE33" s="7" t="s">
        <v>107</v>
      </c>
      <c r="BF33" s="7" t="s">
        <v>107</v>
      </c>
      <c r="BG33" s="7" t="s">
        <v>107</v>
      </c>
      <c r="BH33" s="7" t="s">
        <v>107</v>
      </c>
      <c r="BI33" s="7" t="s">
        <v>107</v>
      </c>
      <c r="BJ33" s="7" t="s">
        <v>107</v>
      </c>
      <c r="BK33" s="3"/>
      <c r="BL33" s="7" t="s">
        <v>107</v>
      </c>
      <c r="BM33" s="7" t="s">
        <v>107</v>
      </c>
      <c r="BN33" s="7" t="s">
        <v>107</v>
      </c>
      <c r="BO33" s="8" t="s">
        <v>107</v>
      </c>
      <c r="BP33" s="7" t="s">
        <v>107</v>
      </c>
      <c r="BQ33" s="7" t="s">
        <v>107</v>
      </c>
      <c r="BR33" s="7" t="s">
        <v>107</v>
      </c>
      <c r="BS33" s="3"/>
      <c r="BT33" s="7" t="s">
        <v>107</v>
      </c>
      <c r="BU33" s="7" t="s">
        <v>107</v>
      </c>
      <c r="BV33" s="7" t="s">
        <v>107</v>
      </c>
      <c r="BW33" s="8" t="s">
        <v>107</v>
      </c>
      <c r="BX33" s="7" t="s">
        <v>107</v>
      </c>
      <c r="BY33" s="7" t="s">
        <v>107</v>
      </c>
      <c r="BZ33" s="7" t="s">
        <v>107</v>
      </c>
      <c r="CA33" s="3"/>
      <c r="CB33" s="7"/>
      <c r="CC33" s="7" t="s">
        <v>107</v>
      </c>
      <c r="CD33" s="7" t="s">
        <v>107</v>
      </c>
      <c r="CE33" s="8" t="s">
        <v>107</v>
      </c>
      <c r="CF33" s="7" t="s">
        <v>107</v>
      </c>
      <c r="CG33" s="7" t="s">
        <v>107</v>
      </c>
      <c r="CH33" s="7" t="s">
        <v>107</v>
      </c>
      <c r="CI33" s="3"/>
      <c r="CJ33" s="7"/>
      <c r="CK33" s="7" t="s">
        <v>107</v>
      </c>
      <c r="CL33" s="7" t="s">
        <v>107</v>
      </c>
      <c r="CM33" s="8" t="s">
        <v>107</v>
      </c>
      <c r="CN33" s="7" t="s">
        <v>107</v>
      </c>
      <c r="CO33" s="7" t="s">
        <v>107</v>
      </c>
      <c r="CP33" s="7" t="s">
        <v>107</v>
      </c>
      <c r="CQ33" s="3"/>
      <c r="CR33" s="7"/>
      <c r="CS33" s="7" t="s">
        <v>107</v>
      </c>
      <c r="CT33" s="7" t="s">
        <v>107</v>
      </c>
      <c r="CU33" s="7" t="s">
        <v>107</v>
      </c>
      <c r="CV33" s="7" t="s">
        <v>107</v>
      </c>
      <c r="CW33" s="7" t="s">
        <v>107</v>
      </c>
      <c r="CX33" s="7" t="s">
        <v>107</v>
      </c>
      <c r="CY33" s="3"/>
      <c r="CZ33" s="7"/>
      <c r="DA33" s="7" t="s">
        <v>107</v>
      </c>
      <c r="DB33" s="7" t="s">
        <v>107</v>
      </c>
      <c r="DC33" s="7" t="s">
        <v>107</v>
      </c>
      <c r="DD33" s="7" t="s">
        <v>107</v>
      </c>
      <c r="DE33" s="7" t="s">
        <v>107</v>
      </c>
      <c r="DF33" s="7" t="s">
        <v>107</v>
      </c>
      <c r="DG33" s="3"/>
      <c r="DH33" s="7"/>
      <c r="DI33" s="7" t="s">
        <v>107</v>
      </c>
      <c r="DJ33" s="7" t="s">
        <v>107</v>
      </c>
      <c r="DK33" s="3">
        <f>AM33+AU33</f>
        <v>26565.599999999999</v>
      </c>
      <c r="DL33" s="15" t="s">
        <v>2546</v>
      </c>
      <c r="DM33" s="51">
        <f>DL33*0.95</f>
        <v>25237.319999999996</v>
      </c>
    </row>
    <row r="34" spans="1:117" ht="17.25" customHeight="1" x14ac:dyDescent="0.25">
      <c r="A34" s="50" t="s">
        <v>3856</v>
      </c>
      <c r="B34" s="15" t="s">
        <v>3918</v>
      </c>
      <c r="C34" s="15" t="s">
        <v>1993</v>
      </c>
      <c r="D34" s="15" t="s">
        <v>1994</v>
      </c>
      <c r="E34" s="15" t="s">
        <v>1228</v>
      </c>
      <c r="F34" s="15" t="s">
        <v>2162</v>
      </c>
      <c r="G34" s="15" t="s">
        <v>2163</v>
      </c>
      <c r="H34" s="15" t="s">
        <v>2164</v>
      </c>
      <c r="I34" s="15" t="s">
        <v>3984</v>
      </c>
      <c r="J34" s="15" t="s">
        <v>4280</v>
      </c>
      <c r="K34" s="15" t="s">
        <v>101</v>
      </c>
      <c r="L34" s="15" t="s">
        <v>2165</v>
      </c>
      <c r="M34" s="15" t="s">
        <v>2166</v>
      </c>
      <c r="N34" s="15" t="s">
        <v>4019</v>
      </c>
      <c r="O34" s="15" t="s">
        <v>2167</v>
      </c>
      <c r="P34" s="15" t="s">
        <v>2168</v>
      </c>
      <c r="Q34" s="15" t="s">
        <v>4037</v>
      </c>
      <c r="R34" s="15" t="s">
        <v>115</v>
      </c>
      <c r="S34" s="15" t="s">
        <v>2162</v>
      </c>
      <c r="T34" s="15" t="s">
        <v>107</v>
      </c>
      <c r="U34" s="15" t="s">
        <v>2169</v>
      </c>
      <c r="V34" s="15" t="s">
        <v>109</v>
      </c>
      <c r="W34" s="15" t="s">
        <v>107</v>
      </c>
      <c r="X34" s="16" t="s">
        <v>2170</v>
      </c>
      <c r="Y34" s="15" t="s">
        <v>742</v>
      </c>
      <c r="Z34" s="16" t="s">
        <v>2171</v>
      </c>
      <c r="AA34" s="17">
        <v>1580</v>
      </c>
      <c r="AB34" s="17">
        <v>7</v>
      </c>
      <c r="AC34" s="17">
        <v>750</v>
      </c>
      <c r="AD34" s="17">
        <v>7</v>
      </c>
      <c r="AE34" s="17">
        <v>1180</v>
      </c>
      <c r="AF34" s="15" t="s">
        <v>118</v>
      </c>
      <c r="AG34" s="15" t="s">
        <v>115</v>
      </c>
      <c r="AH34" s="15" t="s">
        <v>4049</v>
      </c>
      <c r="AI34" s="18">
        <v>54496</v>
      </c>
      <c r="AJ34" s="15">
        <v>0.85</v>
      </c>
      <c r="AK34" s="15" t="s">
        <v>2172</v>
      </c>
      <c r="AL34" s="15" t="s">
        <v>2173</v>
      </c>
      <c r="AM34" s="3">
        <f>(AI34*AJ34)/2</f>
        <v>23160.799999999999</v>
      </c>
      <c r="AN34" s="7" t="s">
        <v>118</v>
      </c>
      <c r="AO34" s="7" t="s">
        <v>115</v>
      </c>
      <c r="AP34" s="7" t="s">
        <v>4037</v>
      </c>
      <c r="AQ34" s="8">
        <v>52041</v>
      </c>
      <c r="AR34" s="7">
        <v>0.85</v>
      </c>
      <c r="AS34" s="7" t="s">
        <v>2174</v>
      </c>
      <c r="AT34" s="7" t="s">
        <v>2175</v>
      </c>
      <c r="AU34" s="3">
        <f>(AQ34*AR34)/2</f>
        <v>22117.424999999999</v>
      </c>
      <c r="AV34" s="7" t="s">
        <v>107</v>
      </c>
      <c r="AW34" s="7" t="s">
        <v>107</v>
      </c>
      <c r="AX34" s="7" t="s">
        <v>107</v>
      </c>
      <c r="AY34" s="8" t="s">
        <v>107</v>
      </c>
      <c r="AZ34" s="7" t="s">
        <v>107</v>
      </c>
      <c r="BA34" s="7" t="s">
        <v>107</v>
      </c>
      <c r="BB34" s="7" t="s">
        <v>107</v>
      </c>
      <c r="BC34" s="3"/>
      <c r="BD34" s="7" t="s">
        <v>107</v>
      </c>
      <c r="BE34" s="7" t="s">
        <v>107</v>
      </c>
      <c r="BF34" s="7" t="s">
        <v>107</v>
      </c>
      <c r="BG34" s="7" t="s">
        <v>107</v>
      </c>
      <c r="BH34" s="7" t="s">
        <v>107</v>
      </c>
      <c r="BI34" s="7" t="s">
        <v>107</v>
      </c>
      <c r="BJ34" s="7" t="s">
        <v>107</v>
      </c>
      <c r="BK34" s="3"/>
      <c r="BL34" s="7" t="s">
        <v>107</v>
      </c>
      <c r="BM34" s="7" t="s">
        <v>107</v>
      </c>
      <c r="BN34" s="7" t="s">
        <v>107</v>
      </c>
      <c r="BO34" s="8" t="s">
        <v>107</v>
      </c>
      <c r="BP34" s="7" t="s">
        <v>107</v>
      </c>
      <c r="BQ34" s="7" t="s">
        <v>107</v>
      </c>
      <c r="BR34" s="7" t="s">
        <v>107</v>
      </c>
      <c r="BS34" s="3"/>
      <c r="BT34" s="7" t="s">
        <v>107</v>
      </c>
      <c r="BU34" s="7" t="s">
        <v>107</v>
      </c>
      <c r="BV34" s="7" t="s">
        <v>107</v>
      </c>
      <c r="BW34" s="8" t="s">
        <v>107</v>
      </c>
      <c r="BX34" s="7" t="s">
        <v>107</v>
      </c>
      <c r="BY34" s="7" t="s">
        <v>107</v>
      </c>
      <c r="BZ34" s="7" t="s">
        <v>107</v>
      </c>
      <c r="CA34" s="3"/>
      <c r="CB34" s="7"/>
      <c r="CC34" s="7" t="s">
        <v>107</v>
      </c>
      <c r="CD34" s="7" t="s">
        <v>107</v>
      </c>
      <c r="CE34" s="8" t="s">
        <v>107</v>
      </c>
      <c r="CF34" s="7" t="s">
        <v>107</v>
      </c>
      <c r="CG34" s="7" t="s">
        <v>107</v>
      </c>
      <c r="CH34" s="7" t="s">
        <v>107</v>
      </c>
      <c r="CI34" s="3"/>
      <c r="CJ34" s="7"/>
      <c r="CK34" s="7" t="s">
        <v>107</v>
      </c>
      <c r="CL34" s="7" t="s">
        <v>107</v>
      </c>
      <c r="CM34" s="8" t="s">
        <v>107</v>
      </c>
      <c r="CN34" s="7" t="s">
        <v>107</v>
      </c>
      <c r="CO34" s="7" t="s">
        <v>107</v>
      </c>
      <c r="CP34" s="7" t="s">
        <v>107</v>
      </c>
      <c r="CQ34" s="3"/>
      <c r="CR34" s="7"/>
      <c r="CS34" s="7" t="s">
        <v>107</v>
      </c>
      <c r="CT34" s="7" t="s">
        <v>107</v>
      </c>
      <c r="CU34" s="7" t="s">
        <v>107</v>
      </c>
      <c r="CV34" s="7" t="s">
        <v>107</v>
      </c>
      <c r="CW34" s="7" t="s">
        <v>107</v>
      </c>
      <c r="CX34" s="7" t="s">
        <v>107</v>
      </c>
      <c r="CY34" s="3"/>
      <c r="CZ34" s="7"/>
      <c r="DA34" s="7" t="s">
        <v>107</v>
      </c>
      <c r="DB34" s="7" t="s">
        <v>107</v>
      </c>
      <c r="DC34" s="7" t="s">
        <v>107</v>
      </c>
      <c r="DD34" s="7" t="s">
        <v>107</v>
      </c>
      <c r="DE34" s="7" t="s">
        <v>107</v>
      </c>
      <c r="DF34" s="7" t="s">
        <v>107</v>
      </c>
      <c r="DG34" s="3"/>
      <c r="DH34" s="7"/>
      <c r="DI34" s="7" t="s">
        <v>107</v>
      </c>
      <c r="DJ34" s="7" t="s">
        <v>107</v>
      </c>
      <c r="DK34" s="3">
        <f>AM34+AU34</f>
        <v>45278.224999999999</v>
      </c>
      <c r="DL34" s="15" t="s">
        <v>2176</v>
      </c>
      <c r="DM34" s="51">
        <f>DL34*0.95</f>
        <v>43013.15</v>
      </c>
    </row>
    <row r="35" spans="1:117" ht="17.25" customHeight="1" x14ac:dyDescent="0.25">
      <c r="A35" s="50" t="s">
        <v>3383</v>
      </c>
      <c r="B35" s="15" t="s">
        <v>3384</v>
      </c>
      <c r="C35" s="15" t="s">
        <v>3385</v>
      </c>
      <c r="D35" s="15" t="s">
        <v>3386</v>
      </c>
      <c r="E35" s="15" t="s">
        <v>351</v>
      </c>
      <c r="F35" s="15" t="s">
        <v>3387</v>
      </c>
      <c r="G35" s="15" t="s">
        <v>3388</v>
      </c>
      <c r="H35" s="15" t="s">
        <v>3389</v>
      </c>
      <c r="I35" s="15" t="s">
        <v>3390</v>
      </c>
      <c r="J35" s="15" t="s">
        <v>4340</v>
      </c>
      <c r="K35" s="15" t="s">
        <v>151</v>
      </c>
      <c r="L35" s="15" t="s">
        <v>3391</v>
      </c>
      <c r="M35" s="15" t="s">
        <v>3392</v>
      </c>
      <c r="N35" s="15" t="s">
        <v>4020</v>
      </c>
      <c r="O35" s="15" t="s">
        <v>3393</v>
      </c>
      <c r="P35" s="15" t="s">
        <v>3394</v>
      </c>
      <c r="Q35" s="15" t="s">
        <v>3395</v>
      </c>
      <c r="R35" s="15" t="s">
        <v>4047</v>
      </c>
      <c r="S35" s="15" t="s">
        <v>3387</v>
      </c>
      <c r="T35" s="15" t="s">
        <v>107</v>
      </c>
      <c r="U35" s="15" t="s">
        <v>3396</v>
      </c>
      <c r="V35" s="15" t="s">
        <v>109</v>
      </c>
      <c r="W35" s="15" t="s">
        <v>3397</v>
      </c>
      <c r="X35" s="16" t="s">
        <v>3398</v>
      </c>
      <c r="Y35" s="15" t="s">
        <v>789</v>
      </c>
      <c r="Z35" s="16" t="s">
        <v>3399</v>
      </c>
      <c r="AA35" s="17">
        <v>1240</v>
      </c>
      <c r="AB35" s="17">
        <v>0</v>
      </c>
      <c r="AC35" s="17">
        <v>0</v>
      </c>
      <c r="AD35" s="17">
        <v>0</v>
      </c>
      <c r="AE35" s="17">
        <v>0</v>
      </c>
      <c r="AF35" s="15" t="s">
        <v>142</v>
      </c>
      <c r="AG35" s="15" t="s">
        <v>352</v>
      </c>
      <c r="AH35" s="15" t="s">
        <v>3400</v>
      </c>
      <c r="AI35" s="18">
        <v>55539.89</v>
      </c>
      <c r="AJ35" s="15">
        <v>0.83</v>
      </c>
      <c r="AK35" s="15" t="s">
        <v>3401</v>
      </c>
      <c r="AL35" s="15" t="s">
        <v>3402</v>
      </c>
      <c r="AM35" s="3">
        <f>(AI35*AJ35)/2</f>
        <v>23049.054349999999</v>
      </c>
      <c r="AN35" s="7" t="s">
        <v>142</v>
      </c>
      <c r="AO35" s="7" t="s">
        <v>460</v>
      </c>
      <c r="AP35" s="7" t="s">
        <v>3403</v>
      </c>
      <c r="AQ35" s="8">
        <v>55539.89</v>
      </c>
      <c r="AR35" s="7">
        <v>0.83</v>
      </c>
      <c r="AS35" s="7" t="s">
        <v>3401</v>
      </c>
      <c r="AT35" s="7" t="s">
        <v>3402</v>
      </c>
      <c r="AU35" s="3">
        <f>(AQ35*AR35)/2</f>
        <v>23049.054349999999</v>
      </c>
      <c r="AV35" s="7" t="s">
        <v>107</v>
      </c>
      <c r="AW35" s="7" t="s">
        <v>107</v>
      </c>
      <c r="AX35" s="7" t="s">
        <v>107</v>
      </c>
      <c r="AY35" s="8" t="s">
        <v>107</v>
      </c>
      <c r="AZ35" s="7" t="s">
        <v>107</v>
      </c>
      <c r="BA35" s="7" t="s">
        <v>107</v>
      </c>
      <c r="BB35" s="7" t="s">
        <v>107</v>
      </c>
      <c r="BC35" s="3"/>
      <c r="BD35" s="7" t="s">
        <v>107</v>
      </c>
      <c r="BE35" s="7" t="s">
        <v>107</v>
      </c>
      <c r="BF35" s="7" t="s">
        <v>107</v>
      </c>
      <c r="BG35" s="7" t="s">
        <v>107</v>
      </c>
      <c r="BH35" s="7" t="s">
        <v>107</v>
      </c>
      <c r="BI35" s="7" t="s">
        <v>107</v>
      </c>
      <c r="BJ35" s="7" t="s">
        <v>107</v>
      </c>
      <c r="BK35" s="3"/>
      <c r="BL35" s="7" t="s">
        <v>107</v>
      </c>
      <c r="BM35" s="7" t="s">
        <v>107</v>
      </c>
      <c r="BN35" s="7" t="s">
        <v>107</v>
      </c>
      <c r="BO35" s="8" t="s">
        <v>107</v>
      </c>
      <c r="BP35" s="7" t="s">
        <v>107</v>
      </c>
      <c r="BQ35" s="7" t="s">
        <v>107</v>
      </c>
      <c r="BR35" s="7" t="s">
        <v>107</v>
      </c>
      <c r="BS35" s="3"/>
      <c r="BT35" s="7" t="s">
        <v>107</v>
      </c>
      <c r="BU35" s="7" t="s">
        <v>107</v>
      </c>
      <c r="BV35" s="7" t="s">
        <v>107</v>
      </c>
      <c r="BW35" s="8" t="s">
        <v>107</v>
      </c>
      <c r="BX35" s="7" t="s">
        <v>107</v>
      </c>
      <c r="BY35" s="7" t="s">
        <v>107</v>
      </c>
      <c r="BZ35" s="7" t="s">
        <v>107</v>
      </c>
      <c r="CA35" s="3"/>
      <c r="CB35" s="7"/>
      <c r="CC35" s="7" t="s">
        <v>107</v>
      </c>
      <c r="CD35" s="7" t="s">
        <v>107</v>
      </c>
      <c r="CE35" s="8" t="s">
        <v>107</v>
      </c>
      <c r="CF35" s="7" t="s">
        <v>107</v>
      </c>
      <c r="CG35" s="7" t="s">
        <v>107</v>
      </c>
      <c r="CH35" s="7" t="s">
        <v>107</v>
      </c>
      <c r="CI35" s="3"/>
      <c r="CJ35" s="7"/>
      <c r="CK35" s="7" t="s">
        <v>107</v>
      </c>
      <c r="CL35" s="7" t="s">
        <v>107</v>
      </c>
      <c r="CM35" s="8" t="s">
        <v>107</v>
      </c>
      <c r="CN35" s="7" t="s">
        <v>107</v>
      </c>
      <c r="CO35" s="7" t="s">
        <v>107</v>
      </c>
      <c r="CP35" s="7" t="s">
        <v>107</v>
      </c>
      <c r="CQ35" s="3"/>
      <c r="CR35" s="7"/>
      <c r="CS35" s="7" t="s">
        <v>107</v>
      </c>
      <c r="CT35" s="7" t="s">
        <v>107</v>
      </c>
      <c r="CU35" s="7" t="s">
        <v>107</v>
      </c>
      <c r="CV35" s="7" t="s">
        <v>107</v>
      </c>
      <c r="CW35" s="7" t="s">
        <v>107</v>
      </c>
      <c r="CX35" s="7" t="s">
        <v>107</v>
      </c>
      <c r="CY35" s="3"/>
      <c r="CZ35" s="7"/>
      <c r="DA35" s="7" t="s">
        <v>107</v>
      </c>
      <c r="DB35" s="7" t="s">
        <v>107</v>
      </c>
      <c r="DC35" s="7" t="s">
        <v>107</v>
      </c>
      <c r="DD35" s="7" t="s">
        <v>107</v>
      </c>
      <c r="DE35" s="7" t="s">
        <v>107</v>
      </c>
      <c r="DF35" s="7" t="s">
        <v>107</v>
      </c>
      <c r="DG35" s="3"/>
      <c r="DH35" s="7"/>
      <c r="DI35" s="7" t="s">
        <v>107</v>
      </c>
      <c r="DJ35" s="7" t="s">
        <v>107</v>
      </c>
      <c r="DK35" s="3">
        <f>AM35+AU35</f>
        <v>46098.108699999997</v>
      </c>
      <c r="DL35" s="15" t="s">
        <v>3404</v>
      </c>
      <c r="DM35" s="51">
        <f>DL35*0.95</f>
        <v>43793.195</v>
      </c>
    </row>
    <row r="36" spans="1:117" ht="17.25" customHeight="1" x14ac:dyDescent="0.25">
      <c r="A36" s="50" t="s">
        <v>248</v>
      </c>
      <c r="B36" s="15" t="s">
        <v>249</v>
      </c>
      <c r="C36" s="15" t="s">
        <v>250</v>
      </c>
      <c r="D36" s="15" t="s">
        <v>251</v>
      </c>
      <c r="E36" s="15" t="s">
        <v>252</v>
      </c>
      <c r="F36" s="15" t="s">
        <v>253</v>
      </c>
      <c r="G36" s="15" t="s">
        <v>254</v>
      </c>
      <c r="H36" s="15" t="s">
        <v>255</v>
      </c>
      <c r="I36" s="15" t="s">
        <v>256</v>
      </c>
      <c r="J36" s="15" t="s">
        <v>4368</v>
      </c>
      <c r="K36" s="15" t="s">
        <v>101</v>
      </c>
      <c r="L36" s="15" t="s">
        <v>253</v>
      </c>
      <c r="M36" s="15" t="s">
        <v>257</v>
      </c>
      <c r="N36" s="15" t="s">
        <v>258</v>
      </c>
      <c r="O36" s="15" t="s">
        <v>259</v>
      </c>
      <c r="P36" s="15" t="s">
        <v>107</v>
      </c>
      <c r="Q36" s="15" t="s">
        <v>260</v>
      </c>
      <c r="R36" s="15" t="s">
        <v>261</v>
      </c>
      <c r="S36" s="15" t="s">
        <v>253</v>
      </c>
      <c r="T36" s="15" t="s">
        <v>107</v>
      </c>
      <c r="U36" s="15" t="s">
        <v>262</v>
      </c>
      <c r="V36" s="15" t="s">
        <v>109</v>
      </c>
      <c r="W36" s="15" t="s">
        <v>263</v>
      </c>
      <c r="X36" s="16" t="s">
        <v>264</v>
      </c>
      <c r="Y36" s="15" t="s">
        <v>185</v>
      </c>
      <c r="Z36" s="16" t="s">
        <v>264</v>
      </c>
      <c r="AA36" s="17">
        <v>637</v>
      </c>
      <c r="AB36" s="17">
        <v>3</v>
      </c>
      <c r="AC36" s="17">
        <v>423</v>
      </c>
      <c r="AD36" s="17">
        <v>0</v>
      </c>
      <c r="AE36" s="17">
        <v>0</v>
      </c>
      <c r="AF36" s="15" t="s">
        <v>142</v>
      </c>
      <c r="AG36" s="15" t="s">
        <v>115</v>
      </c>
      <c r="AH36" s="15" t="s">
        <v>265</v>
      </c>
      <c r="AI36" s="20">
        <v>35547.199999999997</v>
      </c>
      <c r="AJ36" s="15">
        <v>0.75</v>
      </c>
      <c r="AK36" s="15" t="s">
        <v>266</v>
      </c>
      <c r="AL36" s="15" t="s">
        <v>267</v>
      </c>
      <c r="AM36" s="3">
        <f>(AI36*AJ36)/2</f>
        <v>13330.199999999999</v>
      </c>
      <c r="AN36" s="7" t="s">
        <v>107</v>
      </c>
      <c r="AO36" s="7" t="s">
        <v>107</v>
      </c>
      <c r="AP36" s="7" t="s">
        <v>107</v>
      </c>
      <c r="AQ36" s="8" t="s">
        <v>107</v>
      </c>
      <c r="AR36" s="7" t="s">
        <v>107</v>
      </c>
      <c r="AS36" s="7" t="s">
        <v>107</v>
      </c>
      <c r="AT36" s="7" t="s">
        <v>107</v>
      </c>
      <c r="AU36" s="3"/>
      <c r="AV36" s="7" t="s">
        <v>107</v>
      </c>
      <c r="AW36" s="7" t="s">
        <v>107</v>
      </c>
      <c r="AX36" s="7" t="s">
        <v>107</v>
      </c>
      <c r="AY36" s="8" t="s">
        <v>107</v>
      </c>
      <c r="AZ36" s="7" t="s">
        <v>107</v>
      </c>
      <c r="BA36" s="7" t="s">
        <v>107</v>
      </c>
      <c r="BB36" s="7" t="s">
        <v>107</v>
      </c>
      <c r="BC36" s="3"/>
      <c r="BD36" s="7" t="s">
        <v>107</v>
      </c>
      <c r="BE36" s="7" t="s">
        <v>107</v>
      </c>
      <c r="BF36" s="7" t="s">
        <v>107</v>
      </c>
      <c r="BG36" s="7" t="s">
        <v>107</v>
      </c>
      <c r="BH36" s="7" t="s">
        <v>107</v>
      </c>
      <c r="BI36" s="7" t="s">
        <v>107</v>
      </c>
      <c r="BJ36" s="7" t="s">
        <v>107</v>
      </c>
      <c r="BK36" s="3"/>
      <c r="BL36" s="7" t="s">
        <v>107</v>
      </c>
      <c r="BM36" s="7" t="s">
        <v>107</v>
      </c>
      <c r="BN36" s="7" t="s">
        <v>107</v>
      </c>
      <c r="BO36" s="8" t="s">
        <v>107</v>
      </c>
      <c r="BP36" s="7" t="s">
        <v>107</v>
      </c>
      <c r="BQ36" s="7" t="s">
        <v>107</v>
      </c>
      <c r="BR36" s="7" t="s">
        <v>107</v>
      </c>
      <c r="BS36" s="3"/>
      <c r="BT36" s="7" t="s">
        <v>107</v>
      </c>
      <c r="BU36" s="7" t="s">
        <v>107</v>
      </c>
      <c r="BV36" s="7" t="s">
        <v>107</v>
      </c>
      <c r="BW36" s="8" t="s">
        <v>107</v>
      </c>
      <c r="BX36" s="7" t="s">
        <v>107</v>
      </c>
      <c r="BY36" s="7" t="s">
        <v>107</v>
      </c>
      <c r="BZ36" s="7" t="s">
        <v>107</v>
      </c>
      <c r="CA36" s="3"/>
      <c r="CB36" s="7"/>
      <c r="CC36" s="7" t="s">
        <v>107</v>
      </c>
      <c r="CD36" s="7" t="s">
        <v>107</v>
      </c>
      <c r="CE36" s="8" t="s">
        <v>107</v>
      </c>
      <c r="CF36" s="7" t="s">
        <v>107</v>
      </c>
      <c r="CG36" s="7" t="s">
        <v>107</v>
      </c>
      <c r="CH36" s="7" t="s">
        <v>107</v>
      </c>
      <c r="CI36" s="3"/>
      <c r="CJ36" s="7"/>
      <c r="CK36" s="7" t="s">
        <v>107</v>
      </c>
      <c r="CL36" s="7" t="s">
        <v>107</v>
      </c>
      <c r="CM36" s="8" t="s">
        <v>107</v>
      </c>
      <c r="CN36" s="7" t="s">
        <v>107</v>
      </c>
      <c r="CO36" s="7" t="s">
        <v>107</v>
      </c>
      <c r="CP36" s="7" t="s">
        <v>107</v>
      </c>
      <c r="CQ36" s="3"/>
      <c r="CR36" s="7"/>
      <c r="CS36" s="7" t="s">
        <v>107</v>
      </c>
      <c r="CT36" s="7" t="s">
        <v>107</v>
      </c>
      <c r="CU36" s="7" t="s">
        <v>107</v>
      </c>
      <c r="CV36" s="7" t="s">
        <v>107</v>
      </c>
      <c r="CW36" s="7" t="s">
        <v>107</v>
      </c>
      <c r="CX36" s="7" t="s">
        <v>107</v>
      </c>
      <c r="CY36" s="3"/>
      <c r="CZ36" s="7"/>
      <c r="DA36" s="7" t="s">
        <v>107</v>
      </c>
      <c r="DB36" s="7" t="s">
        <v>107</v>
      </c>
      <c r="DC36" s="7" t="s">
        <v>107</v>
      </c>
      <c r="DD36" s="7" t="s">
        <v>107</v>
      </c>
      <c r="DE36" s="7" t="s">
        <v>107</v>
      </c>
      <c r="DF36" s="7" t="s">
        <v>107</v>
      </c>
      <c r="DG36" s="3"/>
      <c r="DH36" s="7"/>
      <c r="DI36" s="7" t="s">
        <v>107</v>
      </c>
      <c r="DJ36" s="7" t="s">
        <v>107</v>
      </c>
      <c r="DK36" s="3">
        <f>AM36</f>
        <v>13330.199999999999</v>
      </c>
      <c r="DL36" s="15" t="s">
        <v>267</v>
      </c>
      <c r="DM36" s="51">
        <f>DL36*0.95</f>
        <v>12663.69</v>
      </c>
    </row>
    <row r="37" spans="1:117" ht="17.25" customHeight="1" x14ac:dyDescent="0.25">
      <c r="A37" s="50" t="s">
        <v>2748</v>
      </c>
      <c r="B37" s="15" t="s">
        <v>3919</v>
      </c>
      <c r="C37" s="15" t="s">
        <v>1687</v>
      </c>
      <c r="D37" s="15" t="s">
        <v>2749</v>
      </c>
      <c r="E37" s="15" t="s">
        <v>1381</v>
      </c>
      <c r="F37" s="15" t="s">
        <v>2750</v>
      </c>
      <c r="G37" s="15" t="s">
        <v>2751</v>
      </c>
      <c r="H37" s="15" t="s">
        <v>2752</v>
      </c>
      <c r="I37" s="15" t="s">
        <v>2753</v>
      </c>
      <c r="J37" s="15" t="s">
        <v>4309</v>
      </c>
      <c r="K37" s="15" t="s">
        <v>151</v>
      </c>
      <c r="L37" s="15" t="s">
        <v>2750</v>
      </c>
      <c r="M37" s="15" t="s">
        <v>2754</v>
      </c>
      <c r="N37" s="15" t="s">
        <v>2755</v>
      </c>
      <c r="O37" s="15" t="s">
        <v>2756</v>
      </c>
      <c r="P37" s="15" t="s">
        <v>2757</v>
      </c>
      <c r="Q37" s="15" t="s">
        <v>2758</v>
      </c>
      <c r="R37" s="15" t="s">
        <v>282</v>
      </c>
      <c r="S37" s="15" t="s">
        <v>2750</v>
      </c>
      <c r="T37" s="15" t="s">
        <v>107</v>
      </c>
      <c r="U37" s="15" t="s">
        <v>2759</v>
      </c>
      <c r="V37" s="15" t="s">
        <v>109</v>
      </c>
      <c r="W37" s="15" t="s">
        <v>2760</v>
      </c>
      <c r="X37" s="16" t="s">
        <v>2761</v>
      </c>
      <c r="Y37" s="15" t="s">
        <v>184</v>
      </c>
      <c r="Z37" s="16" t="s">
        <v>2762</v>
      </c>
      <c r="AA37" s="17">
        <v>300</v>
      </c>
      <c r="AB37" s="17">
        <v>0</v>
      </c>
      <c r="AC37" s="17">
        <v>0</v>
      </c>
      <c r="AD37" s="17">
        <v>2</v>
      </c>
      <c r="AE37" s="17">
        <v>240</v>
      </c>
      <c r="AF37" s="15" t="s">
        <v>142</v>
      </c>
      <c r="AG37" s="15" t="s">
        <v>282</v>
      </c>
      <c r="AH37" s="15" t="s">
        <v>2758</v>
      </c>
      <c r="AI37" s="18">
        <v>83137</v>
      </c>
      <c r="AJ37" s="15">
        <v>0.1</v>
      </c>
      <c r="AK37" s="15" t="s">
        <v>2763</v>
      </c>
      <c r="AL37" s="15" t="s">
        <v>2764</v>
      </c>
      <c r="AM37" s="3">
        <f>(AI37*AJ37)/2</f>
        <v>4156.8500000000004</v>
      </c>
      <c r="AN37" s="7" t="s">
        <v>142</v>
      </c>
      <c r="AO37" s="7" t="s">
        <v>480</v>
      </c>
      <c r="AP37" s="7" t="s">
        <v>2765</v>
      </c>
      <c r="AQ37" s="8">
        <v>65590</v>
      </c>
      <c r="AR37" s="7">
        <v>0.16</v>
      </c>
      <c r="AS37" s="7" t="s">
        <v>2766</v>
      </c>
      <c r="AT37" s="7" t="s">
        <v>2767</v>
      </c>
      <c r="AU37" s="3">
        <f>(AQ37*AR37)/2</f>
        <v>5247.2</v>
      </c>
      <c r="AV37" s="7" t="s">
        <v>196</v>
      </c>
      <c r="AW37" s="7" t="s">
        <v>480</v>
      </c>
      <c r="AX37" s="7" t="s">
        <v>2768</v>
      </c>
      <c r="AY37" s="8">
        <v>65590</v>
      </c>
      <c r="AZ37" s="7">
        <v>0.03</v>
      </c>
      <c r="BA37" s="7" t="s">
        <v>2769</v>
      </c>
      <c r="BB37" s="7" t="s">
        <v>2770</v>
      </c>
      <c r="BC37" s="3">
        <f>(AY37*AZ37)/2</f>
        <v>983.84999999999991</v>
      </c>
      <c r="BD37" s="7" t="s">
        <v>107</v>
      </c>
      <c r="BE37" s="7" t="s">
        <v>107</v>
      </c>
      <c r="BF37" s="7" t="s">
        <v>107</v>
      </c>
      <c r="BG37" s="7" t="s">
        <v>107</v>
      </c>
      <c r="BH37" s="7" t="s">
        <v>107</v>
      </c>
      <c r="BI37" s="7" t="s">
        <v>107</v>
      </c>
      <c r="BJ37" s="7" t="s">
        <v>107</v>
      </c>
      <c r="BK37" s="3"/>
      <c r="BL37" s="7" t="s">
        <v>107</v>
      </c>
      <c r="BM37" s="7" t="s">
        <v>107</v>
      </c>
      <c r="BN37" s="7" t="s">
        <v>107</v>
      </c>
      <c r="BO37" s="8" t="s">
        <v>107</v>
      </c>
      <c r="BP37" s="7" t="s">
        <v>107</v>
      </c>
      <c r="BQ37" s="7" t="s">
        <v>107</v>
      </c>
      <c r="BR37" s="7" t="s">
        <v>107</v>
      </c>
      <c r="BS37" s="3"/>
      <c r="BT37" s="7" t="s">
        <v>107</v>
      </c>
      <c r="BU37" s="7" t="s">
        <v>107</v>
      </c>
      <c r="BV37" s="7" t="s">
        <v>107</v>
      </c>
      <c r="BW37" s="8" t="s">
        <v>107</v>
      </c>
      <c r="BX37" s="7" t="s">
        <v>107</v>
      </c>
      <c r="BY37" s="7" t="s">
        <v>107</v>
      </c>
      <c r="BZ37" s="7" t="s">
        <v>107</v>
      </c>
      <c r="CA37" s="3"/>
      <c r="CB37" s="7"/>
      <c r="CC37" s="7" t="s">
        <v>107</v>
      </c>
      <c r="CD37" s="7" t="s">
        <v>107</v>
      </c>
      <c r="CE37" s="8" t="s">
        <v>107</v>
      </c>
      <c r="CF37" s="7" t="s">
        <v>107</v>
      </c>
      <c r="CG37" s="7" t="s">
        <v>107</v>
      </c>
      <c r="CH37" s="7" t="s">
        <v>107</v>
      </c>
      <c r="CI37" s="3"/>
      <c r="CJ37" s="7"/>
      <c r="CK37" s="7" t="s">
        <v>107</v>
      </c>
      <c r="CL37" s="7" t="s">
        <v>107</v>
      </c>
      <c r="CM37" s="8" t="s">
        <v>107</v>
      </c>
      <c r="CN37" s="7" t="s">
        <v>107</v>
      </c>
      <c r="CO37" s="7" t="s">
        <v>107</v>
      </c>
      <c r="CP37" s="7" t="s">
        <v>107</v>
      </c>
      <c r="CQ37" s="3"/>
      <c r="CR37" s="7"/>
      <c r="CS37" s="7" t="s">
        <v>107</v>
      </c>
      <c r="CT37" s="7" t="s">
        <v>107</v>
      </c>
      <c r="CU37" s="7" t="s">
        <v>107</v>
      </c>
      <c r="CV37" s="7" t="s">
        <v>107</v>
      </c>
      <c r="CW37" s="7" t="s">
        <v>107</v>
      </c>
      <c r="CX37" s="7" t="s">
        <v>107</v>
      </c>
      <c r="CY37" s="3"/>
      <c r="CZ37" s="7"/>
      <c r="DA37" s="7" t="s">
        <v>107</v>
      </c>
      <c r="DB37" s="7" t="s">
        <v>107</v>
      </c>
      <c r="DC37" s="7" t="s">
        <v>107</v>
      </c>
      <c r="DD37" s="7" t="s">
        <v>107</v>
      </c>
      <c r="DE37" s="7" t="s">
        <v>107</v>
      </c>
      <c r="DF37" s="7" t="s">
        <v>107</v>
      </c>
      <c r="DG37" s="3"/>
      <c r="DH37" s="7"/>
      <c r="DI37" s="7" t="s">
        <v>107</v>
      </c>
      <c r="DJ37" s="7" t="s">
        <v>107</v>
      </c>
      <c r="DK37" s="3">
        <f>BC37+AU37+AM37</f>
        <v>10387.9</v>
      </c>
      <c r="DL37" s="15" t="s">
        <v>2771</v>
      </c>
      <c r="DM37" s="51">
        <f>DL37*0.95</f>
        <v>9867.65</v>
      </c>
    </row>
    <row r="38" spans="1:117" ht="17.25" customHeight="1" x14ac:dyDescent="0.25">
      <c r="A38" s="50" t="s">
        <v>2819</v>
      </c>
      <c r="B38" s="15" t="s">
        <v>2820</v>
      </c>
      <c r="C38" s="15" t="s">
        <v>2821</v>
      </c>
      <c r="D38" s="15" t="s">
        <v>2822</v>
      </c>
      <c r="E38" s="15" t="s">
        <v>1076</v>
      </c>
      <c r="F38" s="15" t="s">
        <v>2823</v>
      </c>
      <c r="G38" s="15" t="s">
        <v>2824</v>
      </c>
      <c r="H38" s="15" t="s">
        <v>2825</v>
      </c>
      <c r="I38" s="15" t="s">
        <v>2826</v>
      </c>
      <c r="J38" s="15" t="s">
        <v>4313</v>
      </c>
      <c r="K38" s="15" t="s">
        <v>151</v>
      </c>
      <c r="L38" s="15" t="s">
        <v>2823</v>
      </c>
      <c r="M38" s="15" t="s">
        <v>2827</v>
      </c>
      <c r="N38" s="15" t="s">
        <v>2828</v>
      </c>
      <c r="O38" s="15" t="s">
        <v>2829</v>
      </c>
      <c r="P38" s="15" t="s">
        <v>2830</v>
      </c>
      <c r="Q38" s="15" t="s">
        <v>2831</v>
      </c>
      <c r="R38" s="15" t="s">
        <v>368</v>
      </c>
      <c r="S38" s="15" t="s">
        <v>2823</v>
      </c>
      <c r="T38" s="15" t="s">
        <v>107</v>
      </c>
      <c r="U38" s="15" t="s">
        <v>2832</v>
      </c>
      <c r="V38" s="15" t="s">
        <v>109</v>
      </c>
      <c r="W38" s="15" t="s">
        <v>2833</v>
      </c>
      <c r="X38" s="16" t="s">
        <v>2834</v>
      </c>
      <c r="Y38" s="15" t="s">
        <v>114</v>
      </c>
      <c r="Z38" s="16" t="s">
        <v>2835</v>
      </c>
      <c r="AA38" s="17">
        <v>382</v>
      </c>
      <c r="AB38" s="17">
        <v>1</v>
      </c>
      <c r="AC38" s="17">
        <v>340</v>
      </c>
      <c r="AD38" s="17">
        <v>1</v>
      </c>
      <c r="AE38" s="17">
        <v>320</v>
      </c>
      <c r="AF38" s="15" t="s">
        <v>118</v>
      </c>
      <c r="AG38" s="15" t="s">
        <v>368</v>
      </c>
      <c r="AH38" s="15" t="s">
        <v>2831</v>
      </c>
      <c r="AI38" s="18">
        <v>52811.12</v>
      </c>
      <c r="AJ38" s="15">
        <v>0.2</v>
      </c>
      <c r="AK38" s="15" t="s">
        <v>2836</v>
      </c>
      <c r="AL38" s="15" t="s">
        <v>2837</v>
      </c>
      <c r="AM38" s="3">
        <f>(AI38*AJ38)/2</f>
        <v>5281.112000000001</v>
      </c>
      <c r="AN38" s="7" t="s">
        <v>107</v>
      </c>
      <c r="AO38" s="7" t="s">
        <v>107</v>
      </c>
      <c r="AP38" s="7" t="s">
        <v>107</v>
      </c>
      <c r="AQ38" s="8" t="s">
        <v>107</v>
      </c>
      <c r="AR38" s="7" t="s">
        <v>107</v>
      </c>
      <c r="AS38" s="7" t="s">
        <v>107</v>
      </c>
      <c r="AT38" s="7" t="s">
        <v>107</v>
      </c>
      <c r="AU38" s="3"/>
      <c r="AV38" s="7" t="s">
        <v>107</v>
      </c>
      <c r="AW38" s="7" t="s">
        <v>107</v>
      </c>
      <c r="AX38" s="7" t="s">
        <v>107</v>
      </c>
      <c r="AY38" s="8" t="s">
        <v>107</v>
      </c>
      <c r="AZ38" s="7" t="s">
        <v>107</v>
      </c>
      <c r="BA38" s="7" t="s">
        <v>107</v>
      </c>
      <c r="BB38" s="7" t="s">
        <v>107</v>
      </c>
      <c r="BC38" s="3"/>
      <c r="BD38" s="7" t="s">
        <v>107</v>
      </c>
      <c r="BE38" s="7" t="s">
        <v>107</v>
      </c>
      <c r="BF38" s="7" t="s">
        <v>107</v>
      </c>
      <c r="BG38" s="7" t="s">
        <v>107</v>
      </c>
      <c r="BH38" s="7" t="s">
        <v>107</v>
      </c>
      <c r="BI38" s="7" t="s">
        <v>107</v>
      </c>
      <c r="BJ38" s="7" t="s">
        <v>107</v>
      </c>
      <c r="BK38" s="3"/>
      <c r="BL38" s="7" t="s">
        <v>107</v>
      </c>
      <c r="BM38" s="7" t="s">
        <v>107</v>
      </c>
      <c r="BN38" s="7" t="s">
        <v>107</v>
      </c>
      <c r="BO38" s="8" t="s">
        <v>107</v>
      </c>
      <c r="BP38" s="7" t="s">
        <v>107</v>
      </c>
      <c r="BQ38" s="7" t="s">
        <v>107</v>
      </c>
      <c r="BR38" s="7" t="s">
        <v>107</v>
      </c>
      <c r="BS38" s="3"/>
      <c r="BT38" s="7" t="s">
        <v>107</v>
      </c>
      <c r="BU38" s="7" t="s">
        <v>107</v>
      </c>
      <c r="BV38" s="7" t="s">
        <v>107</v>
      </c>
      <c r="BW38" s="8" t="s">
        <v>107</v>
      </c>
      <c r="BX38" s="7" t="s">
        <v>107</v>
      </c>
      <c r="BY38" s="7" t="s">
        <v>107</v>
      </c>
      <c r="BZ38" s="7" t="s">
        <v>107</v>
      </c>
      <c r="CA38" s="3"/>
      <c r="CB38" s="7"/>
      <c r="CC38" s="7" t="s">
        <v>107</v>
      </c>
      <c r="CD38" s="7" t="s">
        <v>107</v>
      </c>
      <c r="CE38" s="8" t="s">
        <v>107</v>
      </c>
      <c r="CF38" s="7" t="s">
        <v>107</v>
      </c>
      <c r="CG38" s="7" t="s">
        <v>107</v>
      </c>
      <c r="CH38" s="7" t="s">
        <v>107</v>
      </c>
      <c r="CI38" s="3"/>
      <c r="CJ38" s="7"/>
      <c r="CK38" s="7" t="s">
        <v>107</v>
      </c>
      <c r="CL38" s="7" t="s">
        <v>107</v>
      </c>
      <c r="CM38" s="8" t="s">
        <v>107</v>
      </c>
      <c r="CN38" s="7" t="s">
        <v>107</v>
      </c>
      <c r="CO38" s="7" t="s">
        <v>107</v>
      </c>
      <c r="CP38" s="7" t="s">
        <v>107</v>
      </c>
      <c r="CQ38" s="3"/>
      <c r="CR38" s="7"/>
      <c r="CS38" s="7" t="s">
        <v>107</v>
      </c>
      <c r="CT38" s="7" t="s">
        <v>107</v>
      </c>
      <c r="CU38" s="7" t="s">
        <v>107</v>
      </c>
      <c r="CV38" s="7" t="s">
        <v>107</v>
      </c>
      <c r="CW38" s="7" t="s">
        <v>107</v>
      </c>
      <c r="CX38" s="7" t="s">
        <v>107</v>
      </c>
      <c r="CY38" s="3"/>
      <c r="CZ38" s="7"/>
      <c r="DA38" s="7" t="s">
        <v>107</v>
      </c>
      <c r="DB38" s="7" t="s">
        <v>107</v>
      </c>
      <c r="DC38" s="7" t="s">
        <v>107</v>
      </c>
      <c r="DD38" s="7" t="s">
        <v>107</v>
      </c>
      <c r="DE38" s="7" t="s">
        <v>107</v>
      </c>
      <c r="DF38" s="7" t="s">
        <v>107</v>
      </c>
      <c r="DG38" s="3"/>
      <c r="DH38" s="7"/>
      <c r="DI38" s="7" t="s">
        <v>107</v>
      </c>
      <c r="DJ38" s="7" t="s">
        <v>107</v>
      </c>
      <c r="DK38" s="3">
        <f>AM38</f>
        <v>5281.112000000001</v>
      </c>
      <c r="DL38" s="15" t="s">
        <v>2837</v>
      </c>
      <c r="DM38" s="51">
        <f>DL38*0.95</f>
        <v>5017.0639999999994</v>
      </c>
    </row>
    <row r="39" spans="1:117" ht="17.25" customHeight="1" x14ac:dyDescent="0.25">
      <c r="A39" s="50" t="s">
        <v>3857</v>
      </c>
      <c r="B39" s="15" t="s">
        <v>3920</v>
      </c>
      <c r="C39" s="15" t="s">
        <v>3964</v>
      </c>
      <c r="D39" s="15" t="s">
        <v>2944</v>
      </c>
      <c r="E39" s="15" t="s">
        <v>1435</v>
      </c>
      <c r="F39" s="15" t="s">
        <v>2945</v>
      </c>
      <c r="G39" s="15" t="s">
        <v>2946</v>
      </c>
      <c r="H39" s="15" t="s">
        <v>2947</v>
      </c>
      <c r="I39" s="15" t="s">
        <v>3985</v>
      </c>
      <c r="J39" s="15" t="s">
        <v>4319</v>
      </c>
      <c r="K39" s="15" t="s">
        <v>151</v>
      </c>
      <c r="L39" s="15" t="s">
        <v>2945</v>
      </c>
      <c r="M39" s="15" t="s">
        <v>2948</v>
      </c>
      <c r="N39" s="15" t="s">
        <v>4021</v>
      </c>
      <c r="O39" s="15" t="s">
        <v>2949</v>
      </c>
      <c r="P39" s="15" t="s">
        <v>2950</v>
      </c>
      <c r="Q39" s="15" t="s">
        <v>4038</v>
      </c>
      <c r="R39" s="15" t="s">
        <v>2536</v>
      </c>
      <c r="S39" s="15" t="s">
        <v>2945</v>
      </c>
      <c r="T39" s="15" t="s">
        <v>107</v>
      </c>
      <c r="U39" s="15" t="s">
        <v>2951</v>
      </c>
      <c r="V39" s="15" t="s">
        <v>109</v>
      </c>
      <c r="W39" s="15" t="s">
        <v>2952</v>
      </c>
      <c r="X39" s="16" t="s">
        <v>2953</v>
      </c>
      <c r="Y39" s="15" t="s">
        <v>184</v>
      </c>
      <c r="Z39" s="16" t="s">
        <v>2954</v>
      </c>
      <c r="AA39" s="17">
        <v>305</v>
      </c>
      <c r="AB39" s="17">
        <v>1</v>
      </c>
      <c r="AC39" s="17">
        <v>386</v>
      </c>
      <c r="AD39" s="17">
        <v>0</v>
      </c>
      <c r="AE39" s="17">
        <v>0</v>
      </c>
      <c r="AF39" s="15" t="s">
        <v>118</v>
      </c>
      <c r="AG39" s="15" t="s">
        <v>157</v>
      </c>
      <c r="AH39" s="15" t="s">
        <v>4038</v>
      </c>
      <c r="AI39" s="18">
        <v>63870</v>
      </c>
      <c r="AJ39" s="15">
        <v>0.15</v>
      </c>
      <c r="AK39" s="15" t="s">
        <v>2955</v>
      </c>
      <c r="AL39" s="15" t="s">
        <v>2956</v>
      </c>
      <c r="AM39" s="3">
        <f>(AI39*AJ39)/2</f>
        <v>4790.25</v>
      </c>
      <c r="AN39" s="7" t="s">
        <v>118</v>
      </c>
      <c r="AO39" s="7" t="s">
        <v>157</v>
      </c>
      <c r="AP39" s="7" t="s">
        <v>4059</v>
      </c>
      <c r="AQ39" s="8">
        <v>63870</v>
      </c>
      <c r="AR39" s="7">
        <v>0.05</v>
      </c>
      <c r="AS39" s="7" t="s">
        <v>2957</v>
      </c>
      <c r="AT39" s="7" t="s">
        <v>2958</v>
      </c>
      <c r="AU39" s="3">
        <f>(AQ39*AR39)/2</f>
        <v>1596.75</v>
      </c>
      <c r="AV39" s="7" t="s">
        <v>107</v>
      </c>
      <c r="AW39" s="7" t="s">
        <v>107</v>
      </c>
      <c r="AX39" s="7" t="s">
        <v>107</v>
      </c>
      <c r="AY39" s="8" t="s">
        <v>107</v>
      </c>
      <c r="AZ39" s="7" t="s">
        <v>107</v>
      </c>
      <c r="BA39" s="7" t="s">
        <v>107</v>
      </c>
      <c r="BB39" s="7" t="s">
        <v>107</v>
      </c>
      <c r="BC39" s="3"/>
      <c r="BD39" s="7" t="s">
        <v>107</v>
      </c>
      <c r="BE39" s="7" t="s">
        <v>107</v>
      </c>
      <c r="BF39" s="7" t="s">
        <v>107</v>
      </c>
      <c r="BG39" s="7" t="s">
        <v>107</v>
      </c>
      <c r="BH39" s="7" t="s">
        <v>107</v>
      </c>
      <c r="BI39" s="7" t="s">
        <v>107</v>
      </c>
      <c r="BJ39" s="7" t="s">
        <v>107</v>
      </c>
      <c r="BK39" s="3"/>
      <c r="BL39" s="7" t="s">
        <v>107</v>
      </c>
      <c r="BM39" s="7" t="s">
        <v>107</v>
      </c>
      <c r="BN39" s="7" t="s">
        <v>107</v>
      </c>
      <c r="BO39" s="8" t="s">
        <v>107</v>
      </c>
      <c r="BP39" s="7" t="s">
        <v>107</v>
      </c>
      <c r="BQ39" s="7" t="s">
        <v>107</v>
      </c>
      <c r="BR39" s="7" t="s">
        <v>107</v>
      </c>
      <c r="BS39" s="3"/>
      <c r="BT39" s="7" t="s">
        <v>107</v>
      </c>
      <c r="BU39" s="7" t="s">
        <v>107</v>
      </c>
      <c r="BV39" s="7" t="s">
        <v>107</v>
      </c>
      <c r="BW39" s="8" t="s">
        <v>107</v>
      </c>
      <c r="BX39" s="7" t="s">
        <v>107</v>
      </c>
      <c r="BY39" s="7" t="s">
        <v>107</v>
      </c>
      <c r="BZ39" s="7" t="s">
        <v>107</v>
      </c>
      <c r="CA39" s="3"/>
      <c r="CB39" s="7"/>
      <c r="CC39" s="7" t="s">
        <v>107</v>
      </c>
      <c r="CD39" s="7" t="s">
        <v>107</v>
      </c>
      <c r="CE39" s="8" t="s">
        <v>107</v>
      </c>
      <c r="CF39" s="7" t="s">
        <v>107</v>
      </c>
      <c r="CG39" s="7" t="s">
        <v>107</v>
      </c>
      <c r="CH39" s="7" t="s">
        <v>107</v>
      </c>
      <c r="CI39" s="3"/>
      <c r="CJ39" s="7"/>
      <c r="CK39" s="7" t="s">
        <v>107</v>
      </c>
      <c r="CL39" s="7" t="s">
        <v>107</v>
      </c>
      <c r="CM39" s="8" t="s">
        <v>107</v>
      </c>
      <c r="CN39" s="7" t="s">
        <v>107</v>
      </c>
      <c r="CO39" s="7" t="s">
        <v>107</v>
      </c>
      <c r="CP39" s="7" t="s">
        <v>107</v>
      </c>
      <c r="CQ39" s="3"/>
      <c r="CR39" s="7"/>
      <c r="CS39" s="7" t="s">
        <v>107</v>
      </c>
      <c r="CT39" s="7" t="s">
        <v>107</v>
      </c>
      <c r="CU39" s="7" t="s">
        <v>107</v>
      </c>
      <c r="CV39" s="7" t="s">
        <v>107</v>
      </c>
      <c r="CW39" s="7" t="s">
        <v>107</v>
      </c>
      <c r="CX39" s="7" t="s">
        <v>107</v>
      </c>
      <c r="CY39" s="3"/>
      <c r="CZ39" s="7"/>
      <c r="DA39" s="7" t="s">
        <v>107</v>
      </c>
      <c r="DB39" s="7" t="s">
        <v>107</v>
      </c>
      <c r="DC39" s="7" t="s">
        <v>107</v>
      </c>
      <c r="DD39" s="7" t="s">
        <v>107</v>
      </c>
      <c r="DE39" s="7" t="s">
        <v>107</v>
      </c>
      <c r="DF39" s="7" t="s">
        <v>107</v>
      </c>
      <c r="DG39" s="3"/>
      <c r="DH39" s="7"/>
      <c r="DI39" s="7" t="s">
        <v>107</v>
      </c>
      <c r="DJ39" s="7" t="s">
        <v>107</v>
      </c>
      <c r="DK39" s="3">
        <f>AM39+AU39</f>
        <v>6387</v>
      </c>
      <c r="DL39" s="15" t="s">
        <v>2959</v>
      </c>
      <c r="DM39" s="51">
        <f>DL39*0.95</f>
        <v>6067.65</v>
      </c>
    </row>
    <row r="40" spans="1:117" ht="17.25" customHeight="1" x14ac:dyDescent="0.25">
      <c r="A40" s="50" t="s">
        <v>3858</v>
      </c>
      <c r="B40" s="15" t="s">
        <v>3921</v>
      </c>
      <c r="C40" s="15" t="s">
        <v>3965</v>
      </c>
      <c r="D40" s="15" t="s">
        <v>296</v>
      </c>
      <c r="E40" s="15" t="s">
        <v>297</v>
      </c>
      <c r="F40" s="15" t="s">
        <v>298</v>
      </c>
      <c r="G40" s="15" t="s">
        <v>299</v>
      </c>
      <c r="H40" s="15" t="s">
        <v>300</v>
      </c>
      <c r="I40" s="15" t="s">
        <v>3986</v>
      </c>
      <c r="J40" s="15" t="s">
        <v>4370</v>
      </c>
      <c r="K40" s="15" t="s">
        <v>151</v>
      </c>
      <c r="L40" s="15" t="s">
        <v>298</v>
      </c>
      <c r="M40" s="15" t="s">
        <v>301</v>
      </c>
      <c r="N40" s="15" t="s">
        <v>4022</v>
      </c>
      <c r="O40" s="15" t="s">
        <v>302</v>
      </c>
      <c r="P40" s="15" t="s">
        <v>303</v>
      </c>
      <c r="Q40" s="15" t="s">
        <v>3986</v>
      </c>
      <c r="R40" s="15" t="s">
        <v>151</v>
      </c>
      <c r="S40" s="15" t="s">
        <v>298</v>
      </c>
      <c r="T40" s="15" t="s">
        <v>107</v>
      </c>
      <c r="U40" s="15" t="s">
        <v>301</v>
      </c>
      <c r="V40" s="15" t="s">
        <v>109</v>
      </c>
      <c r="W40" s="15" t="s">
        <v>304</v>
      </c>
      <c r="X40" s="16" t="s">
        <v>305</v>
      </c>
      <c r="Y40" s="15" t="s">
        <v>114</v>
      </c>
      <c r="Z40" s="16" t="s">
        <v>306</v>
      </c>
      <c r="AA40" s="17">
        <v>410</v>
      </c>
      <c r="AB40" s="17">
        <v>1</v>
      </c>
      <c r="AC40" s="17">
        <v>179</v>
      </c>
      <c r="AD40" s="17">
        <v>1</v>
      </c>
      <c r="AE40" s="17">
        <v>300</v>
      </c>
      <c r="AF40" s="15" t="s">
        <v>196</v>
      </c>
      <c r="AG40" s="15" t="s">
        <v>157</v>
      </c>
      <c r="AH40" s="15" t="s">
        <v>4050</v>
      </c>
      <c r="AI40" s="18">
        <v>41516.800000000003</v>
      </c>
      <c r="AJ40" s="15">
        <v>0.2</v>
      </c>
      <c r="AK40" s="15" t="s">
        <v>307</v>
      </c>
      <c r="AL40" s="15" t="s">
        <v>308</v>
      </c>
      <c r="AM40" s="3">
        <f>(AI40*AJ40)/2</f>
        <v>4151.68</v>
      </c>
      <c r="AN40" s="7" t="s">
        <v>107</v>
      </c>
      <c r="AO40" s="7" t="s">
        <v>107</v>
      </c>
      <c r="AP40" s="7" t="s">
        <v>107</v>
      </c>
      <c r="AQ40" s="8" t="s">
        <v>107</v>
      </c>
      <c r="AR40" s="7" t="s">
        <v>107</v>
      </c>
      <c r="AS40" s="7" t="s">
        <v>107</v>
      </c>
      <c r="AT40" s="7" t="s">
        <v>107</v>
      </c>
      <c r="AU40" s="3"/>
      <c r="AV40" s="7" t="s">
        <v>107</v>
      </c>
      <c r="AW40" s="7" t="s">
        <v>107</v>
      </c>
      <c r="AX40" s="7" t="s">
        <v>107</v>
      </c>
      <c r="AY40" s="8" t="s">
        <v>107</v>
      </c>
      <c r="AZ40" s="7" t="s">
        <v>107</v>
      </c>
      <c r="BA40" s="7" t="s">
        <v>107</v>
      </c>
      <c r="BB40" s="7" t="s">
        <v>107</v>
      </c>
      <c r="BC40" s="3"/>
      <c r="BD40" s="7" t="s">
        <v>107</v>
      </c>
      <c r="BE40" s="7" t="s">
        <v>107</v>
      </c>
      <c r="BF40" s="7" t="s">
        <v>107</v>
      </c>
      <c r="BG40" s="7" t="s">
        <v>107</v>
      </c>
      <c r="BH40" s="7" t="s">
        <v>107</v>
      </c>
      <c r="BI40" s="7" t="s">
        <v>107</v>
      </c>
      <c r="BJ40" s="7" t="s">
        <v>107</v>
      </c>
      <c r="BK40" s="3"/>
      <c r="BL40" s="7" t="s">
        <v>107</v>
      </c>
      <c r="BM40" s="7" t="s">
        <v>107</v>
      </c>
      <c r="BN40" s="7" t="s">
        <v>107</v>
      </c>
      <c r="BO40" s="8" t="s">
        <v>107</v>
      </c>
      <c r="BP40" s="7" t="s">
        <v>107</v>
      </c>
      <c r="BQ40" s="7" t="s">
        <v>107</v>
      </c>
      <c r="BR40" s="7" t="s">
        <v>107</v>
      </c>
      <c r="BS40" s="3"/>
      <c r="BT40" s="7" t="s">
        <v>107</v>
      </c>
      <c r="BU40" s="7" t="s">
        <v>107</v>
      </c>
      <c r="BV40" s="7" t="s">
        <v>107</v>
      </c>
      <c r="BW40" s="8" t="s">
        <v>107</v>
      </c>
      <c r="BX40" s="7" t="s">
        <v>107</v>
      </c>
      <c r="BY40" s="7" t="s">
        <v>107</v>
      </c>
      <c r="BZ40" s="7" t="s">
        <v>107</v>
      </c>
      <c r="CA40" s="3"/>
      <c r="CB40" s="7"/>
      <c r="CC40" s="7" t="s">
        <v>107</v>
      </c>
      <c r="CD40" s="7" t="s">
        <v>107</v>
      </c>
      <c r="CE40" s="8" t="s">
        <v>107</v>
      </c>
      <c r="CF40" s="7" t="s">
        <v>107</v>
      </c>
      <c r="CG40" s="7" t="s">
        <v>107</v>
      </c>
      <c r="CH40" s="7" t="s">
        <v>107</v>
      </c>
      <c r="CI40" s="3"/>
      <c r="CJ40" s="7"/>
      <c r="CK40" s="7" t="s">
        <v>107</v>
      </c>
      <c r="CL40" s="7" t="s">
        <v>107</v>
      </c>
      <c r="CM40" s="8" t="s">
        <v>107</v>
      </c>
      <c r="CN40" s="7" t="s">
        <v>107</v>
      </c>
      <c r="CO40" s="7" t="s">
        <v>107</v>
      </c>
      <c r="CP40" s="7" t="s">
        <v>107</v>
      </c>
      <c r="CQ40" s="3"/>
      <c r="CR40" s="7"/>
      <c r="CS40" s="7" t="s">
        <v>107</v>
      </c>
      <c r="CT40" s="7" t="s">
        <v>107</v>
      </c>
      <c r="CU40" s="7" t="s">
        <v>107</v>
      </c>
      <c r="CV40" s="7" t="s">
        <v>107</v>
      </c>
      <c r="CW40" s="7" t="s">
        <v>107</v>
      </c>
      <c r="CX40" s="7" t="s">
        <v>107</v>
      </c>
      <c r="CY40" s="3"/>
      <c r="CZ40" s="7"/>
      <c r="DA40" s="7" t="s">
        <v>107</v>
      </c>
      <c r="DB40" s="7" t="s">
        <v>107</v>
      </c>
      <c r="DC40" s="7" t="s">
        <v>107</v>
      </c>
      <c r="DD40" s="7" t="s">
        <v>107</v>
      </c>
      <c r="DE40" s="7" t="s">
        <v>107</v>
      </c>
      <c r="DF40" s="7" t="s">
        <v>107</v>
      </c>
      <c r="DG40" s="3"/>
      <c r="DH40" s="7"/>
      <c r="DI40" s="7" t="s">
        <v>107</v>
      </c>
      <c r="DJ40" s="7" t="s">
        <v>107</v>
      </c>
      <c r="DK40" s="3">
        <f>AM40</f>
        <v>4151.68</v>
      </c>
      <c r="DL40" s="15" t="s">
        <v>308</v>
      </c>
      <c r="DM40" s="51">
        <f>DL40*0.95</f>
        <v>3944.096</v>
      </c>
    </row>
    <row r="41" spans="1:117" ht="17.25" customHeight="1" x14ac:dyDescent="0.25">
      <c r="A41" s="50" t="s">
        <v>3859</v>
      </c>
      <c r="B41" s="15" t="s">
        <v>3257</v>
      </c>
      <c r="C41" s="15" t="s">
        <v>3258</v>
      </c>
      <c r="D41" s="15" t="s">
        <v>3259</v>
      </c>
      <c r="E41" s="15" t="s">
        <v>3260</v>
      </c>
      <c r="F41" s="15" t="s">
        <v>3261</v>
      </c>
      <c r="G41" s="15" t="s">
        <v>3262</v>
      </c>
      <c r="H41" s="15" t="s">
        <v>3263</v>
      </c>
      <c r="I41" s="15" t="s">
        <v>3264</v>
      </c>
      <c r="J41" s="15" t="s">
        <v>4335</v>
      </c>
      <c r="K41" s="15" t="s">
        <v>101</v>
      </c>
      <c r="L41" s="15" t="s">
        <v>3261</v>
      </c>
      <c r="M41" s="15" t="s">
        <v>3265</v>
      </c>
      <c r="N41" s="15" t="s">
        <v>3266</v>
      </c>
      <c r="O41" s="15" t="s">
        <v>3261</v>
      </c>
      <c r="P41" s="15" t="s">
        <v>3267</v>
      </c>
      <c r="Q41" s="15" t="s">
        <v>3268</v>
      </c>
      <c r="R41" s="15" t="s">
        <v>115</v>
      </c>
      <c r="S41" s="15" t="s">
        <v>3261</v>
      </c>
      <c r="T41" s="15" t="s">
        <v>107</v>
      </c>
      <c r="U41" s="15" t="s">
        <v>3269</v>
      </c>
      <c r="V41" s="15" t="s">
        <v>109</v>
      </c>
      <c r="W41" s="15" t="s">
        <v>3270</v>
      </c>
      <c r="X41" s="16" t="s">
        <v>3271</v>
      </c>
      <c r="Y41" s="15" t="s">
        <v>112</v>
      </c>
      <c r="Z41" s="16" t="s">
        <v>3272</v>
      </c>
      <c r="AA41" s="17">
        <v>901</v>
      </c>
      <c r="AB41" s="17">
        <v>3</v>
      </c>
      <c r="AC41" s="17">
        <v>218</v>
      </c>
      <c r="AD41" s="17">
        <v>0</v>
      </c>
      <c r="AE41" s="17">
        <v>0</v>
      </c>
      <c r="AF41" s="15" t="s">
        <v>142</v>
      </c>
      <c r="AG41" s="15" t="s">
        <v>115</v>
      </c>
      <c r="AH41" s="15" t="s">
        <v>3273</v>
      </c>
      <c r="AI41" s="20">
        <v>40428</v>
      </c>
      <c r="AJ41" s="15">
        <v>0.85</v>
      </c>
      <c r="AK41" s="15" t="s">
        <v>3274</v>
      </c>
      <c r="AL41" s="15" t="s">
        <v>3275</v>
      </c>
      <c r="AM41" s="3">
        <f>(AI41*AJ41)/2</f>
        <v>17181.899999999998</v>
      </c>
      <c r="AN41" s="7" t="s">
        <v>107</v>
      </c>
      <c r="AO41" s="7" t="s">
        <v>107</v>
      </c>
      <c r="AP41" s="7" t="s">
        <v>107</v>
      </c>
      <c r="AQ41" s="8" t="s">
        <v>107</v>
      </c>
      <c r="AR41" s="7" t="s">
        <v>107</v>
      </c>
      <c r="AS41" s="7" t="s">
        <v>107</v>
      </c>
      <c r="AT41" s="7" t="s">
        <v>107</v>
      </c>
      <c r="AU41" s="3"/>
      <c r="AV41" s="7" t="s">
        <v>107</v>
      </c>
      <c r="AW41" s="7" t="s">
        <v>107</v>
      </c>
      <c r="AX41" s="7" t="s">
        <v>107</v>
      </c>
      <c r="AY41" s="8" t="s">
        <v>107</v>
      </c>
      <c r="AZ41" s="7" t="s">
        <v>107</v>
      </c>
      <c r="BA41" s="7" t="s">
        <v>107</v>
      </c>
      <c r="BB41" s="7" t="s">
        <v>107</v>
      </c>
      <c r="BC41" s="3"/>
      <c r="BD41" s="7" t="s">
        <v>107</v>
      </c>
      <c r="BE41" s="7" t="s">
        <v>107</v>
      </c>
      <c r="BF41" s="7" t="s">
        <v>107</v>
      </c>
      <c r="BG41" s="7" t="s">
        <v>107</v>
      </c>
      <c r="BH41" s="7" t="s">
        <v>107</v>
      </c>
      <c r="BI41" s="7" t="s">
        <v>107</v>
      </c>
      <c r="BJ41" s="7" t="s">
        <v>107</v>
      </c>
      <c r="BK41" s="3"/>
      <c r="BL41" s="7" t="s">
        <v>107</v>
      </c>
      <c r="BM41" s="7" t="s">
        <v>107</v>
      </c>
      <c r="BN41" s="7" t="s">
        <v>107</v>
      </c>
      <c r="BO41" s="8" t="s">
        <v>107</v>
      </c>
      <c r="BP41" s="7" t="s">
        <v>107</v>
      </c>
      <c r="BQ41" s="7" t="s">
        <v>107</v>
      </c>
      <c r="BR41" s="7" t="s">
        <v>107</v>
      </c>
      <c r="BS41" s="3"/>
      <c r="BT41" s="7" t="s">
        <v>107</v>
      </c>
      <c r="BU41" s="7" t="s">
        <v>107</v>
      </c>
      <c r="BV41" s="7" t="s">
        <v>107</v>
      </c>
      <c r="BW41" s="8" t="s">
        <v>107</v>
      </c>
      <c r="BX41" s="7" t="s">
        <v>107</v>
      </c>
      <c r="BY41" s="7" t="s">
        <v>107</v>
      </c>
      <c r="BZ41" s="7" t="s">
        <v>107</v>
      </c>
      <c r="CA41" s="3"/>
      <c r="CB41" s="7"/>
      <c r="CC41" s="7" t="s">
        <v>107</v>
      </c>
      <c r="CD41" s="7" t="s">
        <v>107</v>
      </c>
      <c r="CE41" s="8" t="s">
        <v>107</v>
      </c>
      <c r="CF41" s="7" t="s">
        <v>107</v>
      </c>
      <c r="CG41" s="7" t="s">
        <v>107</v>
      </c>
      <c r="CH41" s="7" t="s">
        <v>107</v>
      </c>
      <c r="CI41" s="3"/>
      <c r="CJ41" s="7"/>
      <c r="CK41" s="7" t="s">
        <v>107</v>
      </c>
      <c r="CL41" s="7" t="s">
        <v>107</v>
      </c>
      <c r="CM41" s="8" t="s">
        <v>107</v>
      </c>
      <c r="CN41" s="7" t="s">
        <v>107</v>
      </c>
      <c r="CO41" s="7" t="s">
        <v>107</v>
      </c>
      <c r="CP41" s="7" t="s">
        <v>107</v>
      </c>
      <c r="CQ41" s="3"/>
      <c r="CR41" s="7"/>
      <c r="CS41" s="7" t="s">
        <v>107</v>
      </c>
      <c r="CT41" s="7" t="s">
        <v>107</v>
      </c>
      <c r="CU41" s="7" t="s">
        <v>107</v>
      </c>
      <c r="CV41" s="7" t="s">
        <v>107</v>
      </c>
      <c r="CW41" s="7" t="s">
        <v>107</v>
      </c>
      <c r="CX41" s="7" t="s">
        <v>107</v>
      </c>
      <c r="CY41" s="3"/>
      <c r="CZ41" s="7"/>
      <c r="DA41" s="7" t="s">
        <v>107</v>
      </c>
      <c r="DB41" s="7" t="s">
        <v>107</v>
      </c>
      <c r="DC41" s="7" t="s">
        <v>107</v>
      </c>
      <c r="DD41" s="7" t="s">
        <v>107</v>
      </c>
      <c r="DE41" s="7" t="s">
        <v>107</v>
      </c>
      <c r="DF41" s="7" t="s">
        <v>107</v>
      </c>
      <c r="DG41" s="3"/>
      <c r="DH41" s="7"/>
      <c r="DI41" s="7" t="s">
        <v>107</v>
      </c>
      <c r="DJ41" s="7" t="s">
        <v>107</v>
      </c>
      <c r="DK41" s="3">
        <f>AM41</f>
        <v>17181.899999999998</v>
      </c>
      <c r="DL41" s="15" t="s">
        <v>3275</v>
      </c>
      <c r="DM41" s="51">
        <f>DL41*0.95</f>
        <v>16322.805</v>
      </c>
    </row>
    <row r="42" spans="1:117" ht="17.25" customHeight="1" x14ac:dyDescent="0.25">
      <c r="A42" s="52" t="s">
        <v>4183</v>
      </c>
      <c r="B42" s="33" t="s">
        <v>4184</v>
      </c>
      <c r="C42" s="33" t="s">
        <v>4185</v>
      </c>
      <c r="D42" s="33" t="s">
        <v>4186</v>
      </c>
      <c r="E42" s="33" t="s">
        <v>4187</v>
      </c>
      <c r="F42" s="33" t="s">
        <v>4188</v>
      </c>
      <c r="G42" s="33" t="s">
        <v>4189</v>
      </c>
      <c r="H42" s="33" t="s">
        <v>4190</v>
      </c>
      <c r="I42" s="33" t="s">
        <v>4191</v>
      </c>
      <c r="J42" s="33" t="s">
        <v>4382</v>
      </c>
      <c r="K42" s="33" t="s">
        <v>101</v>
      </c>
      <c r="L42" s="33" t="s">
        <v>4188</v>
      </c>
      <c r="M42" s="33" t="s">
        <v>107</v>
      </c>
      <c r="N42" s="33" t="s">
        <v>4192</v>
      </c>
      <c r="O42" s="33" t="s">
        <v>4188</v>
      </c>
      <c r="P42" s="33" t="s">
        <v>107</v>
      </c>
      <c r="Q42" s="33" t="s">
        <v>4193</v>
      </c>
      <c r="R42" s="33" t="s">
        <v>106</v>
      </c>
      <c r="S42" s="33" t="s">
        <v>4188</v>
      </c>
      <c r="T42" s="33" t="s">
        <v>107</v>
      </c>
      <c r="U42" s="33" t="s">
        <v>4194</v>
      </c>
      <c r="V42" s="33" t="s">
        <v>109</v>
      </c>
      <c r="W42" s="33" t="s">
        <v>4195</v>
      </c>
      <c r="X42" s="26" t="s">
        <v>4196</v>
      </c>
      <c r="Y42" s="33" t="s">
        <v>1126</v>
      </c>
      <c r="Z42" s="26" t="s">
        <v>4197</v>
      </c>
      <c r="AA42" s="33">
        <v>700</v>
      </c>
      <c r="AB42" s="33">
        <v>0</v>
      </c>
      <c r="AC42" s="33">
        <v>0</v>
      </c>
      <c r="AD42" s="33">
        <v>0</v>
      </c>
      <c r="AE42" s="33">
        <v>0</v>
      </c>
      <c r="AF42" s="15"/>
      <c r="AG42" s="15"/>
      <c r="AH42" s="33" t="s">
        <v>142</v>
      </c>
      <c r="AI42" s="33" t="s">
        <v>115</v>
      </c>
      <c r="AJ42" s="33" t="s">
        <v>4193</v>
      </c>
      <c r="AK42" s="33">
        <v>55313.85</v>
      </c>
      <c r="AL42" s="33" t="s">
        <v>4198</v>
      </c>
      <c r="AM42" s="33">
        <v>55313.85</v>
      </c>
      <c r="AN42" s="33">
        <v>27656.92</v>
      </c>
      <c r="AO42" s="33">
        <f>(AK42*AL42)/2</f>
        <v>27656.924999999999</v>
      </c>
      <c r="AP42" s="7"/>
      <c r="AQ42" s="8"/>
      <c r="AR42" s="7"/>
      <c r="AS42" s="7"/>
      <c r="AT42" s="7"/>
      <c r="AU42" s="15"/>
      <c r="AV42" s="33" t="s">
        <v>107</v>
      </c>
      <c r="AW42" s="33" t="s">
        <v>107</v>
      </c>
      <c r="AX42" s="33" t="s">
        <v>107</v>
      </c>
      <c r="AY42" s="33" t="s">
        <v>107</v>
      </c>
      <c r="AZ42" s="33" t="s">
        <v>107</v>
      </c>
      <c r="BA42" s="33" t="s">
        <v>107</v>
      </c>
      <c r="BB42" s="33" t="s">
        <v>107</v>
      </c>
      <c r="BC42" s="33" t="s">
        <v>107</v>
      </c>
      <c r="BD42" s="33" t="s">
        <v>107</v>
      </c>
      <c r="BE42" s="33" t="s">
        <v>107</v>
      </c>
      <c r="BF42" s="33" t="s">
        <v>107</v>
      </c>
      <c r="BG42" s="33" t="s">
        <v>107</v>
      </c>
      <c r="BH42" s="33" t="s">
        <v>107</v>
      </c>
      <c r="BI42" s="33" t="s">
        <v>107</v>
      </c>
      <c r="BJ42" s="33" t="s">
        <v>107</v>
      </c>
      <c r="BK42" s="33" t="s">
        <v>107</v>
      </c>
      <c r="BL42" s="33" t="s">
        <v>107</v>
      </c>
      <c r="BM42" s="33" t="s">
        <v>107</v>
      </c>
      <c r="BN42" s="33" t="s">
        <v>107</v>
      </c>
      <c r="BO42" s="33" t="s">
        <v>107</v>
      </c>
      <c r="BP42" s="33" t="s">
        <v>107</v>
      </c>
      <c r="BQ42" s="33" t="s">
        <v>107</v>
      </c>
      <c r="BR42" s="33" t="s">
        <v>107</v>
      </c>
      <c r="BS42" s="33" t="s">
        <v>107</v>
      </c>
      <c r="BT42" s="33" t="s">
        <v>107</v>
      </c>
      <c r="BU42" s="33" t="s">
        <v>107</v>
      </c>
      <c r="BV42" s="33" t="s">
        <v>107</v>
      </c>
      <c r="BW42" s="33" t="s">
        <v>107</v>
      </c>
      <c r="BX42" s="33" t="s">
        <v>107</v>
      </c>
      <c r="BY42" s="33" t="s">
        <v>107</v>
      </c>
      <c r="BZ42" s="33" t="s">
        <v>107</v>
      </c>
      <c r="CA42" s="33" t="s">
        <v>107</v>
      </c>
      <c r="CB42" s="33" t="s">
        <v>107</v>
      </c>
      <c r="CC42" s="33" t="s">
        <v>107</v>
      </c>
      <c r="CD42" s="33" t="s">
        <v>107</v>
      </c>
      <c r="CE42" s="33" t="s">
        <v>107</v>
      </c>
      <c r="CF42" s="33" t="s">
        <v>107</v>
      </c>
      <c r="CG42" s="33" t="s">
        <v>107</v>
      </c>
      <c r="CH42" s="33" t="s">
        <v>107</v>
      </c>
      <c r="CI42" s="33" t="s">
        <v>107</v>
      </c>
      <c r="CJ42" s="33" t="s">
        <v>107</v>
      </c>
      <c r="CK42" s="33" t="s">
        <v>107</v>
      </c>
      <c r="CL42" s="33" t="s">
        <v>107</v>
      </c>
      <c r="CM42" s="33" t="s">
        <v>107</v>
      </c>
      <c r="CN42" s="33" t="s">
        <v>107</v>
      </c>
      <c r="CO42" s="33" t="s">
        <v>107</v>
      </c>
      <c r="CP42" s="33" t="s">
        <v>107</v>
      </c>
      <c r="CQ42" s="33" t="s">
        <v>107</v>
      </c>
      <c r="CR42" s="33" t="s">
        <v>107</v>
      </c>
      <c r="CS42" s="33" t="s">
        <v>107</v>
      </c>
      <c r="CT42" s="33" t="s">
        <v>107</v>
      </c>
      <c r="CU42" s="33" t="s">
        <v>107</v>
      </c>
      <c r="CV42" s="33" t="s">
        <v>107</v>
      </c>
      <c r="CW42" s="33" t="s">
        <v>107</v>
      </c>
      <c r="CX42" s="33" t="s">
        <v>107</v>
      </c>
      <c r="CY42" s="33" t="s">
        <v>107</v>
      </c>
      <c r="CZ42" s="33" t="s">
        <v>107</v>
      </c>
      <c r="DA42" s="33" t="s">
        <v>107</v>
      </c>
      <c r="DB42" s="33" t="s">
        <v>107</v>
      </c>
      <c r="DC42" s="33" t="s">
        <v>107</v>
      </c>
      <c r="DD42" s="33" t="s">
        <v>107</v>
      </c>
      <c r="DE42" s="33" t="s">
        <v>107</v>
      </c>
      <c r="DF42" s="33" t="s">
        <v>107</v>
      </c>
      <c r="DG42" s="33" t="s">
        <v>107</v>
      </c>
      <c r="DH42" s="33" t="s">
        <v>107</v>
      </c>
      <c r="DI42" s="33" t="s">
        <v>107</v>
      </c>
      <c r="DJ42" s="33" t="s">
        <v>107</v>
      </c>
      <c r="DK42" s="33">
        <v>27656.924999999999</v>
      </c>
      <c r="DL42" s="33" t="s">
        <v>107</v>
      </c>
      <c r="DM42" s="51" t="e">
        <f>DL42*0.95</f>
        <v>#VALUE!</v>
      </c>
    </row>
    <row r="43" spans="1:117" ht="17.25" customHeight="1" x14ac:dyDescent="0.25">
      <c r="A43" s="50" t="s">
        <v>3860</v>
      </c>
      <c r="B43" s="15" t="s">
        <v>3922</v>
      </c>
      <c r="C43" s="15" t="s">
        <v>1151</v>
      </c>
      <c r="D43" s="15" t="s">
        <v>1152</v>
      </c>
      <c r="E43" s="15" t="s">
        <v>1153</v>
      </c>
      <c r="F43" s="15" t="s">
        <v>1154</v>
      </c>
      <c r="G43" s="15" t="s">
        <v>1155</v>
      </c>
      <c r="H43" s="15" t="s">
        <v>1156</v>
      </c>
      <c r="I43" s="15" t="s">
        <v>1157</v>
      </c>
      <c r="J43" s="15" t="s">
        <v>4236</v>
      </c>
      <c r="K43" s="15" t="s">
        <v>151</v>
      </c>
      <c r="L43" s="15" t="s">
        <v>1154</v>
      </c>
      <c r="M43" s="15" t="s">
        <v>1158</v>
      </c>
      <c r="N43" s="15" t="s">
        <v>1159</v>
      </c>
      <c r="O43" s="15" t="s">
        <v>1160</v>
      </c>
      <c r="P43" s="15" t="s">
        <v>1161</v>
      </c>
      <c r="Q43" s="15" t="s">
        <v>4039</v>
      </c>
      <c r="R43" s="15" t="s">
        <v>761</v>
      </c>
      <c r="S43" s="15" t="s">
        <v>1155</v>
      </c>
      <c r="T43" s="15" t="s">
        <v>107</v>
      </c>
      <c r="U43" s="15" t="s">
        <v>1162</v>
      </c>
      <c r="V43" s="15" t="s">
        <v>109</v>
      </c>
      <c r="W43" s="15" t="s">
        <v>1163</v>
      </c>
      <c r="X43" s="16" t="s">
        <v>1164</v>
      </c>
      <c r="Y43" s="15" t="s">
        <v>114</v>
      </c>
      <c r="Z43" s="16" t="s">
        <v>1165</v>
      </c>
      <c r="AA43" s="17">
        <v>800</v>
      </c>
      <c r="AB43" s="17">
        <v>1</v>
      </c>
      <c r="AC43" s="17">
        <v>370</v>
      </c>
      <c r="AD43" s="17">
        <v>1</v>
      </c>
      <c r="AE43" s="17">
        <v>350</v>
      </c>
      <c r="AF43" s="15" t="s">
        <v>118</v>
      </c>
      <c r="AG43" s="15" t="s">
        <v>460</v>
      </c>
      <c r="AH43" s="15" t="s">
        <v>1166</v>
      </c>
      <c r="AI43" s="18">
        <v>70387.199999999997</v>
      </c>
      <c r="AJ43" s="15">
        <v>0.5</v>
      </c>
      <c r="AK43" s="15" t="s">
        <v>1167</v>
      </c>
      <c r="AL43" s="15" t="s">
        <v>1168</v>
      </c>
      <c r="AM43" s="3">
        <f>(AI43*AJ43)/2</f>
        <v>17596.8</v>
      </c>
      <c r="AN43" s="7" t="s">
        <v>118</v>
      </c>
      <c r="AO43" s="7" t="s">
        <v>460</v>
      </c>
      <c r="AP43" s="7" t="s">
        <v>1169</v>
      </c>
      <c r="AQ43" s="8">
        <v>70387.199999999997</v>
      </c>
      <c r="AR43" s="7">
        <v>0.5</v>
      </c>
      <c r="AS43" s="7" t="s">
        <v>1167</v>
      </c>
      <c r="AT43" s="7" t="s">
        <v>1168</v>
      </c>
      <c r="AU43" s="3">
        <f>(AQ43*AR43)/2</f>
        <v>17596.8</v>
      </c>
      <c r="AV43" s="7" t="s">
        <v>107</v>
      </c>
      <c r="AW43" s="7" t="s">
        <v>107</v>
      </c>
      <c r="AX43" s="7" t="s">
        <v>107</v>
      </c>
      <c r="AY43" s="8" t="s">
        <v>107</v>
      </c>
      <c r="AZ43" s="7" t="s">
        <v>107</v>
      </c>
      <c r="BA43" s="7" t="s">
        <v>107</v>
      </c>
      <c r="BB43" s="7" t="s">
        <v>107</v>
      </c>
      <c r="BC43" s="3"/>
      <c r="BD43" s="7" t="s">
        <v>107</v>
      </c>
      <c r="BE43" s="7" t="s">
        <v>107</v>
      </c>
      <c r="BF43" s="7" t="s">
        <v>107</v>
      </c>
      <c r="BG43" s="7" t="s">
        <v>107</v>
      </c>
      <c r="BH43" s="7" t="s">
        <v>107</v>
      </c>
      <c r="BI43" s="7" t="s">
        <v>107</v>
      </c>
      <c r="BJ43" s="7" t="s">
        <v>107</v>
      </c>
      <c r="BK43" s="3"/>
      <c r="BL43" s="7" t="s">
        <v>107</v>
      </c>
      <c r="BM43" s="7" t="s">
        <v>107</v>
      </c>
      <c r="BN43" s="7" t="s">
        <v>107</v>
      </c>
      <c r="BO43" s="8" t="s">
        <v>107</v>
      </c>
      <c r="BP43" s="7" t="s">
        <v>107</v>
      </c>
      <c r="BQ43" s="7" t="s">
        <v>107</v>
      </c>
      <c r="BR43" s="7" t="s">
        <v>107</v>
      </c>
      <c r="BS43" s="3"/>
      <c r="BT43" s="7" t="s">
        <v>107</v>
      </c>
      <c r="BU43" s="7" t="s">
        <v>107</v>
      </c>
      <c r="BV43" s="7" t="s">
        <v>107</v>
      </c>
      <c r="BW43" s="8" t="s">
        <v>107</v>
      </c>
      <c r="BX43" s="7" t="s">
        <v>107</v>
      </c>
      <c r="BY43" s="7" t="s">
        <v>107</v>
      </c>
      <c r="BZ43" s="7" t="s">
        <v>107</v>
      </c>
      <c r="CA43" s="3"/>
      <c r="CB43" s="7"/>
      <c r="CC43" s="7" t="s">
        <v>107</v>
      </c>
      <c r="CD43" s="7" t="s">
        <v>107</v>
      </c>
      <c r="CE43" s="8" t="s">
        <v>107</v>
      </c>
      <c r="CF43" s="7" t="s">
        <v>107</v>
      </c>
      <c r="CG43" s="7" t="s">
        <v>107</v>
      </c>
      <c r="CH43" s="7" t="s">
        <v>107</v>
      </c>
      <c r="CI43" s="3"/>
      <c r="CJ43" s="7"/>
      <c r="CK43" s="7" t="s">
        <v>107</v>
      </c>
      <c r="CL43" s="7" t="s">
        <v>107</v>
      </c>
      <c r="CM43" s="8" t="s">
        <v>107</v>
      </c>
      <c r="CN43" s="7" t="s">
        <v>107</v>
      </c>
      <c r="CO43" s="7" t="s">
        <v>107</v>
      </c>
      <c r="CP43" s="7" t="s">
        <v>107</v>
      </c>
      <c r="CQ43" s="3"/>
      <c r="CR43" s="7"/>
      <c r="CS43" s="7" t="s">
        <v>107</v>
      </c>
      <c r="CT43" s="7" t="s">
        <v>107</v>
      </c>
      <c r="CU43" s="7" t="s">
        <v>107</v>
      </c>
      <c r="CV43" s="7" t="s">
        <v>107</v>
      </c>
      <c r="CW43" s="7" t="s">
        <v>107</v>
      </c>
      <c r="CX43" s="7" t="s">
        <v>107</v>
      </c>
      <c r="CY43" s="3"/>
      <c r="CZ43" s="7"/>
      <c r="DA43" s="7" t="s">
        <v>107</v>
      </c>
      <c r="DB43" s="7" t="s">
        <v>107</v>
      </c>
      <c r="DC43" s="7" t="s">
        <v>107</v>
      </c>
      <c r="DD43" s="7" t="s">
        <v>107</v>
      </c>
      <c r="DE43" s="7" t="s">
        <v>107</v>
      </c>
      <c r="DF43" s="7" t="s">
        <v>107</v>
      </c>
      <c r="DG43" s="3"/>
      <c r="DH43" s="7"/>
      <c r="DI43" s="7" t="s">
        <v>107</v>
      </c>
      <c r="DJ43" s="7" t="s">
        <v>107</v>
      </c>
      <c r="DK43" s="3">
        <f>AM43+AU43</f>
        <v>35193.599999999999</v>
      </c>
      <c r="DL43" s="15" t="s">
        <v>1167</v>
      </c>
      <c r="DM43" s="51">
        <f>DL43*0.95</f>
        <v>33433.919999999998</v>
      </c>
    </row>
    <row r="44" spans="1:117" ht="17.25" customHeight="1" x14ac:dyDescent="0.25">
      <c r="A44" s="50" t="s">
        <v>3061</v>
      </c>
      <c r="B44" s="15" t="s">
        <v>3062</v>
      </c>
      <c r="C44" s="15" t="s">
        <v>3063</v>
      </c>
      <c r="D44" s="15" t="s">
        <v>3064</v>
      </c>
      <c r="E44" s="15" t="s">
        <v>1037</v>
      </c>
      <c r="F44" s="15" t="s">
        <v>3065</v>
      </c>
      <c r="G44" s="15" t="s">
        <v>3066</v>
      </c>
      <c r="H44" s="15" t="s">
        <v>3067</v>
      </c>
      <c r="I44" s="15" t="s">
        <v>3068</v>
      </c>
      <c r="J44" s="15" t="s">
        <v>4325</v>
      </c>
      <c r="K44" s="15" t="s">
        <v>151</v>
      </c>
      <c r="L44" s="15" t="s">
        <v>3065</v>
      </c>
      <c r="M44" s="15" t="s">
        <v>3069</v>
      </c>
      <c r="N44" s="15" t="s">
        <v>3070</v>
      </c>
      <c r="O44" s="15" t="s">
        <v>3071</v>
      </c>
      <c r="P44" s="15" t="s">
        <v>3072</v>
      </c>
      <c r="Q44" s="15" t="s">
        <v>3073</v>
      </c>
      <c r="R44" s="15" t="s">
        <v>157</v>
      </c>
      <c r="S44" s="15" t="s">
        <v>3065</v>
      </c>
      <c r="T44" s="15" t="s">
        <v>107</v>
      </c>
      <c r="U44" s="15" t="s">
        <v>3074</v>
      </c>
      <c r="V44" s="15" t="s">
        <v>109</v>
      </c>
      <c r="W44" s="15" t="s">
        <v>3075</v>
      </c>
      <c r="X44" s="16" t="s">
        <v>3076</v>
      </c>
      <c r="Y44" s="15" t="s">
        <v>114</v>
      </c>
      <c r="Z44" s="16" t="s">
        <v>3077</v>
      </c>
      <c r="AA44" s="17">
        <v>428</v>
      </c>
      <c r="AB44" s="17">
        <v>1</v>
      </c>
      <c r="AC44" s="17">
        <v>431</v>
      </c>
      <c r="AD44" s="17">
        <v>1</v>
      </c>
      <c r="AE44" s="17">
        <v>587</v>
      </c>
      <c r="AF44" s="15" t="s">
        <v>118</v>
      </c>
      <c r="AG44" s="15" t="s">
        <v>157</v>
      </c>
      <c r="AH44" s="15" t="s">
        <v>3073</v>
      </c>
      <c r="AI44" s="18">
        <v>34171.279999999999</v>
      </c>
      <c r="AJ44" s="15">
        <v>0.1</v>
      </c>
      <c r="AK44" s="15" t="s">
        <v>3078</v>
      </c>
      <c r="AL44" s="15" t="s">
        <v>3079</v>
      </c>
      <c r="AM44" s="3">
        <f>(AI44*AJ44)/2</f>
        <v>1708.5640000000001</v>
      </c>
      <c r="AN44" s="7" t="s">
        <v>107</v>
      </c>
      <c r="AO44" s="7" t="s">
        <v>107</v>
      </c>
      <c r="AP44" s="7" t="s">
        <v>107</v>
      </c>
      <c r="AQ44" s="8"/>
      <c r="AR44" s="7" t="s">
        <v>107</v>
      </c>
      <c r="AS44" s="7" t="s">
        <v>107</v>
      </c>
      <c r="AT44" s="7" t="s">
        <v>107</v>
      </c>
      <c r="AU44" s="3"/>
      <c r="AV44" s="7" t="s">
        <v>107</v>
      </c>
      <c r="AW44" s="7" t="s">
        <v>107</v>
      </c>
      <c r="AX44" s="7" t="s">
        <v>107</v>
      </c>
      <c r="AY44" s="8" t="s">
        <v>107</v>
      </c>
      <c r="AZ44" s="7" t="s">
        <v>107</v>
      </c>
      <c r="BA44" s="7" t="s">
        <v>107</v>
      </c>
      <c r="BB44" s="7" t="s">
        <v>107</v>
      </c>
      <c r="BC44" s="3"/>
      <c r="BD44" s="7" t="s">
        <v>107</v>
      </c>
      <c r="BE44" s="7" t="s">
        <v>107</v>
      </c>
      <c r="BF44" s="7" t="s">
        <v>107</v>
      </c>
      <c r="BG44" s="7" t="s">
        <v>107</v>
      </c>
      <c r="BH44" s="7" t="s">
        <v>107</v>
      </c>
      <c r="BI44" s="7" t="s">
        <v>107</v>
      </c>
      <c r="BJ44" s="7" t="s">
        <v>107</v>
      </c>
      <c r="BK44" s="3"/>
      <c r="BL44" s="7" t="s">
        <v>107</v>
      </c>
      <c r="BM44" s="7" t="s">
        <v>107</v>
      </c>
      <c r="BN44" s="7" t="s">
        <v>107</v>
      </c>
      <c r="BO44" s="8" t="s">
        <v>107</v>
      </c>
      <c r="BP44" s="7" t="s">
        <v>107</v>
      </c>
      <c r="BQ44" s="7" t="s">
        <v>107</v>
      </c>
      <c r="BR44" s="7" t="s">
        <v>107</v>
      </c>
      <c r="BS44" s="3"/>
      <c r="BT44" s="7" t="s">
        <v>107</v>
      </c>
      <c r="BU44" s="7" t="s">
        <v>107</v>
      </c>
      <c r="BV44" s="7" t="s">
        <v>107</v>
      </c>
      <c r="BW44" s="8" t="s">
        <v>107</v>
      </c>
      <c r="BX44" s="7" t="s">
        <v>107</v>
      </c>
      <c r="BY44" s="7" t="s">
        <v>107</v>
      </c>
      <c r="BZ44" s="7" t="s">
        <v>107</v>
      </c>
      <c r="CA44" s="3"/>
      <c r="CB44" s="7"/>
      <c r="CC44" s="7" t="s">
        <v>107</v>
      </c>
      <c r="CD44" s="7" t="s">
        <v>107</v>
      </c>
      <c r="CE44" s="8" t="s">
        <v>107</v>
      </c>
      <c r="CF44" s="7" t="s">
        <v>107</v>
      </c>
      <c r="CG44" s="7" t="s">
        <v>107</v>
      </c>
      <c r="CH44" s="7" t="s">
        <v>107</v>
      </c>
      <c r="CI44" s="3"/>
      <c r="CJ44" s="7"/>
      <c r="CK44" s="7" t="s">
        <v>107</v>
      </c>
      <c r="CL44" s="7" t="s">
        <v>107</v>
      </c>
      <c r="CM44" s="8" t="s">
        <v>107</v>
      </c>
      <c r="CN44" s="7" t="s">
        <v>107</v>
      </c>
      <c r="CO44" s="7" t="s">
        <v>107</v>
      </c>
      <c r="CP44" s="7" t="s">
        <v>107</v>
      </c>
      <c r="CQ44" s="3"/>
      <c r="CR44" s="7"/>
      <c r="CS44" s="7" t="s">
        <v>107</v>
      </c>
      <c r="CT44" s="7" t="s">
        <v>107</v>
      </c>
      <c r="CU44" s="7" t="s">
        <v>107</v>
      </c>
      <c r="CV44" s="7" t="s">
        <v>107</v>
      </c>
      <c r="CW44" s="7" t="s">
        <v>107</v>
      </c>
      <c r="CX44" s="7" t="s">
        <v>107</v>
      </c>
      <c r="CY44" s="3"/>
      <c r="CZ44" s="7"/>
      <c r="DA44" s="7" t="s">
        <v>107</v>
      </c>
      <c r="DB44" s="7" t="s">
        <v>107</v>
      </c>
      <c r="DC44" s="7" t="s">
        <v>107</v>
      </c>
      <c r="DD44" s="7" t="s">
        <v>107</v>
      </c>
      <c r="DE44" s="7" t="s">
        <v>107</v>
      </c>
      <c r="DF44" s="7" t="s">
        <v>107</v>
      </c>
      <c r="DG44" s="3"/>
      <c r="DH44" s="7"/>
      <c r="DI44" s="7" t="s">
        <v>107</v>
      </c>
      <c r="DJ44" s="7" t="s">
        <v>107</v>
      </c>
      <c r="DK44" s="3">
        <f>AM44</f>
        <v>1708.5640000000001</v>
      </c>
      <c r="DL44" s="15" t="s">
        <v>3080</v>
      </c>
      <c r="DM44" s="51">
        <f>DL44*0.95</f>
        <v>16231.357999999998</v>
      </c>
    </row>
    <row r="45" spans="1:117" ht="17.25" customHeight="1" x14ac:dyDescent="0.25">
      <c r="A45" s="50" t="s">
        <v>2645</v>
      </c>
      <c r="B45" s="15" t="s">
        <v>3923</v>
      </c>
      <c r="C45" s="15" t="s">
        <v>2646</v>
      </c>
      <c r="D45" s="15" t="s">
        <v>954</v>
      </c>
      <c r="E45" s="15" t="s">
        <v>601</v>
      </c>
      <c r="F45" s="15" t="s">
        <v>2647</v>
      </c>
      <c r="G45" s="15" t="s">
        <v>2648</v>
      </c>
      <c r="H45" s="15" t="s">
        <v>2649</v>
      </c>
      <c r="I45" s="15" t="s">
        <v>2650</v>
      </c>
      <c r="J45" s="15" t="s">
        <v>4305</v>
      </c>
      <c r="K45" s="15" t="s">
        <v>151</v>
      </c>
      <c r="L45" s="15" t="s">
        <v>2651</v>
      </c>
      <c r="M45" s="15" t="s">
        <v>2652</v>
      </c>
      <c r="N45" s="15" t="s">
        <v>2653</v>
      </c>
      <c r="O45" s="15" t="s">
        <v>2654</v>
      </c>
      <c r="P45" s="15" t="s">
        <v>2655</v>
      </c>
      <c r="Q45" s="15" t="s">
        <v>2656</v>
      </c>
      <c r="R45" s="15" t="s">
        <v>480</v>
      </c>
      <c r="S45" s="15" t="s">
        <v>2657</v>
      </c>
      <c r="T45" s="15" t="s">
        <v>107</v>
      </c>
      <c r="U45" s="15" t="s">
        <v>2658</v>
      </c>
      <c r="V45" s="15" t="s">
        <v>109</v>
      </c>
      <c r="W45" s="15" t="s">
        <v>2659</v>
      </c>
      <c r="X45" s="16" t="s">
        <v>2660</v>
      </c>
      <c r="Y45" s="15" t="s">
        <v>861</v>
      </c>
      <c r="Z45" s="16" t="s">
        <v>4094</v>
      </c>
      <c r="AA45" s="17">
        <v>1172</v>
      </c>
      <c r="AB45" s="17">
        <v>4</v>
      </c>
      <c r="AC45" s="17">
        <v>1173</v>
      </c>
      <c r="AD45" s="17">
        <v>3</v>
      </c>
      <c r="AE45" s="17">
        <v>1219</v>
      </c>
      <c r="AF45" s="15" t="s">
        <v>142</v>
      </c>
      <c r="AG45" s="15" t="s">
        <v>480</v>
      </c>
      <c r="AH45" s="15" t="s">
        <v>2661</v>
      </c>
      <c r="AI45" s="20">
        <v>81034</v>
      </c>
      <c r="AJ45" s="15">
        <v>0.75</v>
      </c>
      <c r="AK45" s="15" t="s">
        <v>2662</v>
      </c>
      <c r="AL45" s="15" t="s">
        <v>2663</v>
      </c>
      <c r="AM45" s="3">
        <f>(AI45*AJ45)/2</f>
        <v>30387.75</v>
      </c>
      <c r="AN45" s="7" t="s">
        <v>118</v>
      </c>
      <c r="AO45" s="7" t="s">
        <v>480</v>
      </c>
      <c r="AP45" s="7" t="s">
        <v>2656</v>
      </c>
      <c r="AQ45" s="8">
        <v>81034</v>
      </c>
      <c r="AR45" s="7">
        <v>0.2</v>
      </c>
      <c r="AS45" s="7" t="s">
        <v>2664</v>
      </c>
      <c r="AT45" s="7" t="s">
        <v>2665</v>
      </c>
      <c r="AU45" s="3">
        <f>(AQ45*AR45)/2</f>
        <v>8103.4000000000005</v>
      </c>
      <c r="AV45" s="7" t="s">
        <v>118</v>
      </c>
      <c r="AW45" s="7" t="s">
        <v>480</v>
      </c>
      <c r="AX45" s="7" t="s">
        <v>2666</v>
      </c>
      <c r="AY45" s="8">
        <v>81034</v>
      </c>
      <c r="AZ45" s="7">
        <v>0.2</v>
      </c>
      <c r="BA45" s="7" t="s">
        <v>2664</v>
      </c>
      <c r="BB45" s="7" t="s">
        <v>2665</v>
      </c>
      <c r="BC45" s="3">
        <f>(AY45*AZ45)/2</f>
        <v>8103.4000000000005</v>
      </c>
      <c r="BD45" s="7" t="s">
        <v>118</v>
      </c>
      <c r="BE45" s="7" t="s">
        <v>480</v>
      </c>
      <c r="BF45" s="7" t="s">
        <v>2667</v>
      </c>
      <c r="BG45" s="11">
        <v>81034</v>
      </c>
      <c r="BH45" s="7">
        <v>0.21</v>
      </c>
      <c r="BI45" s="7" t="s">
        <v>2668</v>
      </c>
      <c r="BJ45" s="7" t="s">
        <v>2669</v>
      </c>
      <c r="BK45" s="3">
        <f>(BG45*BH45)/2</f>
        <v>8508.57</v>
      </c>
      <c r="BL45" s="7" t="s">
        <v>118</v>
      </c>
      <c r="BM45" s="7" t="s">
        <v>480</v>
      </c>
      <c r="BN45" s="7" t="s">
        <v>2670</v>
      </c>
      <c r="BO45" s="8">
        <v>81034</v>
      </c>
      <c r="BP45" s="7">
        <v>0.22</v>
      </c>
      <c r="BQ45" s="7" t="s">
        <v>2671</v>
      </c>
      <c r="BR45" s="7" t="s">
        <v>2672</v>
      </c>
      <c r="BS45" s="3">
        <f>(BO45*BP45)/2</f>
        <v>8913.74</v>
      </c>
      <c r="BT45" s="7" t="s">
        <v>118</v>
      </c>
      <c r="BU45" s="7" t="s">
        <v>480</v>
      </c>
      <c r="BV45" s="7" t="s">
        <v>2673</v>
      </c>
      <c r="BW45" s="8">
        <v>81034</v>
      </c>
      <c r="BX45" s="7">
        <v>0.22</v>
      </c>
      <c r="BY45" s="7" t="s">
        <v>2671</v>
      </c>
      <c r="BZ45" s="7" t="s">
        <v>2672</v>
      </c>
      <c r="CA45" s="3">
        <f>(BW45*BX45)/2</f>
        <v>8913.74</v>
      </c>
      <c r="CB45" s="7" t="s">
        <v>118</v>
      </c>
      <c r="CC45" s="7" t="s">
        <v>480</v>
      </c>
      <c r="CD45" s="7" t="s">
        <v>2674</v>
      </c>
      <c r="CE45" s="8">
        <v>81034</v>
      </c>
      <c r="CF45" s="7">
        <v>0.18</v>
      </c>
      <c r="CG45" s="7" t="s">
        <v>2675</v>
      </c>
      <c r="CH45" s="7" t="s">
        <v>2676</v>
      </c>
      <c r="CI45" s="3">
        <f>(CE45*CF45)/2</f>
        <v>7293.0599999999995</v>
      </c>
      <c r="CJ45" s="7" t="s">
        <v>118</v>
      </c>
      <c r="CK45" s="7" t="s">
        <v>480</v>
      </c>
      <c r="CL45" s="7" t="s">
        <v>2677</v>
      </c>
      <c r="CM45" s="8">
        <v>81034</v>
      </c>
      <c r="CN45" s="7">
        <v>0.18</v>
      </c>
      <c r="CO45" s="7" t="s">
        <v>2675</v>
      </c>
      <c r="CP45" s="7" t="s">
        <v>2676</v>
      </c>
      <c r="CQ45" s="3">
        <f>(CM45*CN45)/2</f>
        <v>7293.0599999999995</v>
      </c>
      <c r="CR45" s="7"/>
      <c r="CS45" s="7" t="s">
        <v>107</v>
      </c>
      <c r="CT45" s="7" t="s">
        <v>107</v>
      </c>
      <c r="CU45" s="7" t="s">
        <v>107</v>
      </c>
      <c r="CV45" s="7" t="s">
        <v>107</v>
      </c>
      <c r="CW45" s="7" t="s">
        <v>107</v>
      </c>
      <c r="CX45" s="7" t="s">
        <v>107</v>
      </c>
      <c r="CY45" s="3"/>
      <c r="CZ45" s="7"/>
      <c r="DA45" s="7" t="s">
        <v>107</v>
      </c>
      <c r="DB45" s="7" t="s">
        <v>107</v>
      </c>
      <c r="DC45" s="7" t="s">
        <v>107</v>
      </c>
      <c r="DD45" s="7" t="s">
        <v>107</v>
      </c>
      <c r="DE45" s="7" t="s">
        <v>107</v>
      </c>
      <c r="DF45" s="7" t="s">
        <v>107</v>
      </c>
      <c r="DG45" s="3"/>
      <c r="DH45" s="7"/>
      <c r="DI45" s="7" t="s">
        <v>107</v>
      </c>
      <c r="DJ45" s="7" t="s">
        <v>107</v>
      </c>
      <c r="DK45" s="3">
        <f>AM45+AU45+BC45+BK45+BS45+CA45+CI45+CQ45</f>
        <v>87516.72</v>
      </c>
      <c r="DL45" s="15" t="s">
        <v>2678</v>
      </c>
      <c r="DM45" s="51">
        <f>DL45*0.95</f>
        <v>83095.55</v>
      </c>
    </row>
    <row r="46" spans="1:117" ht="17.25" customHeight="1" x14ac:dyDescent="0.25">
      <c r="A46" s="50" t="s">
        <v>3861</v>
      </c>
      <c r="B46" s="15" t="s">
        <v>1073</v>
      </c>
      <c r="C46" s="15" t="s">
        <v>1074</v>
      </c>
      <c r="D46" s="15" t="s">
        <v>1075</v>
      </c>
      <c r="E46" s="15" t="s">
        <v>1076</v>
      </c>
      <c r="F46" s="15" t="s">
        <v>1077</v>
      </c>
      <c r="G46" s="15" t="s">
        <v>1078</v>
      </c>
      <c r="H46" s="15" t="s">
        <v>1079</v>
      </c>
      <c r="I46" s="15" t="s">
        <v>1080</v>
      </c>
      <c r="J46" s="15" t="s">
        <v>4232</v>
      </c>
      <c r="K46" s="15" t="s">
        <v>151</v>
      </c>
      <c r="L46" s="15" t="s">
        <v>1077</v>
      </c>
      <c r="M46" s="15" t="s">
        <v>1081</v>
      </c>
      <c r="N46" s="15" t="s">
        <v>1082</v>
      </c>
      <c r="O46" s="15" t="s">
        <v>1083</v>
      </c>
      <c r="P46" s="15" t="s">
        <v>1084</v>
      </c>
      <c r="Q46" s="15" t="s">
        <v>1085</v>
      </c>
      <c r="R46" s="15" t="s">
        <v>157</v>
      </c>
      <c r="S46" s="15" t="s">
        <v>1077</v>
      </c>
      <c r="T46" s="15" t="s">
        <v>107</v>
      </c>
      <c r="U46" s="15" t="s">
        <v>1086</v>
      </c>
      <c r="V46" s="15" t="s">
        <v>109</v>
      </c>
      <c r="W46" s="15" t="s">
        <v>1087</v>
      </c>
      <c r="X46" s="16" t="s">
        <v>1088</v>
      </c>
      <c r="Y46" s="15" t="s">
        <v>114</v>
      </c>
      <c r="Z46" s="16" t="s">
        <v>1088</v>
      </c>
      <c r="AA46" s="17">
        <v>430</v>
      </c>
      <c r="AB46" s="17">
        <v>1</v>
      </c>
      <c r="AC46" s="17">
        <v>408</v>
      </c>
      <c r="AD46" s="17">
        <v>1</v>
      </c>
      <c r="AE46" s="17">
        <v>363</v>
      </c>
      <c r="AF46" s="15" t="s">
        <v>118</v>
      </c>
      <c r="AG46" s="15" t="s">
        <v>157</v>
      </c>
      <c r="AH46" s="15" t="s">
        <v>1085</v>
      </c>
      <c r="AI46" s="18">
        <v>45235</v>
      </c>
      <c r="AJ46" s="15">
        <v>0.05</v>
      </c>
      <c r="AK46" s="15" t="s">
        <v>1089</v>
      </c>
      <c r="AL46" s="15" t="s">
        <v>1090</v>
      </c>
      <c r="AM46" s="3">
        <f>(AI46*AJ46)/2</f>
        <v>1130.875</v>
      </c>
      <c r="AN46" s="7" t="s">
        <v>107</v>
      </c>
      <c r="AO46" s="7" t="s">
        <v>107</v>
      </c>
      <c r="AP46" s="7" t="s">
        <v>107</v>
      </c>
      <c r="AQ46" s="8" t="s">
        <v>107</v>
      </c>
      <c r="AR46" s="7" t="s">
        <v>107</v>
      </c>
      <c r="AS46" s="7" t="s">
        <v>107</v>
      </c>
      <c r="AT46" s="7" t="s">
        <v>107</v>
      </c>
      <c r="AU46" s="3"/>
      <c r="AV46" s="7" t="s">
        <v>107</v>
      </c>
      <c r="AW46" s="7" t="s">
        <v>107</v>
      </c>
      <c r="AX46" s="7" t="s">
        <v>107</v>
      </c>
      <c r="AY46" s="8" t="s">
        <v>107</v>
      </c>
      <c r="AZ46" s="7" t="s">
        <v>107</v>
      </c>
      <c r="BA46" s="7" t="s">
        <v>107</v>
      </c>
      <c r="BB46" s="7" t="s">
        <v>107</v>
      </c>
      <c r="BC46" s="3"/>
      <c r="BD46" s="7" t="s">
        <v>107</v>
      </c>
      <c r="BE46" s="7" t="s">
        <v>107</v>
      </c>
      <c r="BF46" s="7" t="s">
        <v>107</v>
      </c>
      <c r="BG46" s="7" t="s">
        <v>107</v>
      </c>
      <c r="BH46" s="7" t="s">
        <v>107</v>
      </c>
      <c r="BI46" s="7" t="s">
        <v>107</v>
      </c>
      <c r="BJ46" s="7" t="s">
        <v>107</v>
      </c>
      <c r="BK46" s="3"/>
      <c r="BL46" s="7" t="s">
        <v>107</v>
      </c>
      <c r="BM46" s="7" t="s">
        <v>107</v>
      </c>
      <c r="BN46" s="7" t="s">
        <v>107</v>
      </c>
      <c r="BO46" s="8" t="s">
        <v>107</v>
      </c>
      <c r="BP46" s="7" t="s">
        <v>107</v>
      </c>
      <c r="BQ46" s="7" t="s">
        <v>107</v>
      </c>
      <c r="BR46" s="7" t="s">
        <v>107</v>
      </c>
      <c r="BS46" s="3"/>
      <c r="BT46" s="7" t="s">
        <v>107</v>
      </c>
      <c r="BU46" s="7" t="s">
        <v>107</v>
      </c>
      <c r="BV46" s="7" t="s">
        <v>107</v>
      </c>
      <c r="BW46" s="8" t="s">
        <v>107</v>
      </c>
      <c r="BX46" s="7" t="s">
        <v>107</v>
      </c>
      <c r="BY46" s="7" t="s">
        <v>107</v>
      </c>
      <c r="BZ46" s="7" t="s">
        <v>107</v>
      </c>
      <c r="CA46" s="3"/>
      <c r="CB46" s="7"/>
      <c r="CC46" s="7" t="s">
        <v>107</v>
      </c>
      <c r="CD46" s="7" t="s">
        <v>107</v>
      </c>
      <c r="CE46" s="8" t="s">
        <v>107</v>
      </c>
      <c r="CF46" s="7" t="s">
        <v>107</v>
      </c>
      <c r="CG46" s="7" t="s">
        <v>107</v>
      </c>
      <c r="CH46" s="7" t="s">
        <v>107</v>
      </c>
      <c r="CI46" s="3"/>
      <c r="CJ46" s="7"/>
      <c r="CK46" s="7" t="s">
        <v>107</v>
      </c>
      <c r="CL46" s="7" t="s">
        <v>107</v>
      </c>
      <c r="CM46" s="8" t="s">
        <v>107</v>
      </c>
      <c r="CN46" s="7" t="s">
        <v>107</v>
      </c>
      <c r="CO46" s="7" t="s">
        <v>107</v>
      </c>
      <c r="CP46" s="7" t="s">
        <v>107</v>
      </c>
      <c r="CQ46" s="3"/>
      <c r="CR46" s="7"/>
      <c r="CS46" s="7" t="s">
        <v>107</v>
      </c>
      <c r="CT46" s="7" t="s">
        <v>107</v>
      </c>
      <c r="CU46" s="7" t="s">
        <v>107</v>
      </c>
      <c r="CV46" s="7" t="s">
        <v>107</v>
      </c>
      <c r="CW46" s="7" t="s">
        <v>107</v>
      </c>
      <c r="CX46" s="7" t="s">
        <v>107</v>
      </c>
      <c r="CY46" s="3"/>
      <c r="CZ46" s="7"/>
      <c r="DA46" s="7" t="s">
        <v>107</v>
      </c>
      <c r="DB46" s="7" t="s">
        <v>107</v>
      </c>
      <c r="DC46" s="7" t="s">
        <v>107</v>
      </c>
      <c r="DD46" s="7" t="s">
        <v>107</v>
      </c>
      <c r="DE46" s="7" t="s">
        <v>107</v>
      </c>
      <c r="DF46" s="7" t="s">
        <v>107</v>
      </c>
      <c r="DG46" s="3"/>
      <c r="DH46" s="7"/>
      <c r="DI46" s="7" t="s">
        <v>107</v>
      </c>
      <c r="DJ46" s="7" t="s">
        <v>107</v>
      </c>
      <c r="DK46" s="3">
        <f>AM46</f>
        <v>1130.875</v>
      </c>
      <c r="DL46" s="15" t="s">
        <v>1091</v>
      </c>
      <c r="DM46" s="51">
        <f>DL46*0.95</f>
        <v>1206.1199999999999</v>
      </c>
    </row>
    <row r="47" spans="1:117" ht="17.25" customHeight="1" x14ac:dyDescent="0.25">
      <c r="A47" s="50" t="s">
        <v>3862</v>
      </c>
      <c r="B47" s="15" t="s">
        <v>3924</v>
      </c>
      <c r="C47" s="15" t="s">
        <v>3966</v>
      </c>
      <c r="D47" s="15" t="s">
        <v>710</v>
      </c>
      <c r="E47" s="15" t="s">
        <v>711</v>
      </c>
      <c r="F47" s="15" t="s">
        <v>3044</v>
      </c>
      <c r="G47" s="15" t="s">
        <v>3045</v>
      </c>
      <c r="H47" s="15" t="s">
        <v>3046</v>
      </c>
      <c r="I47" s="15" t="s">
        <v>3987</v>
      </c>
      <c r="J47" s="15" t="s">
        <v>4324</v>
      </c>
      <c r="K47" s="15" t="s">
        <v>151</v>
      </c>
      <c r="L47" s="15" t="s">
        <v>3044</v>
      </c>
      <c r="M47" s="15" t="s">
        <v>3047</v>
      </c>
      <c r="N47" s="15" t="s">
        <v>4023</v>
      </c>
      <c r="O47" s="15" t="s">
        <v>3048</v>
      </c>
      <c r="P47" s="15" t="s">
        <v>3049</v>
      </c>
      <c r="Q47" s="15" t="s">
        <v>4040</v>
      </c>
      <c r="R47" s="15" t="s">
        <v>157</v>
      </c>
      <c r="S47" s="15" t="s">
        <v>3044</v>
      </c>
      <c r="T47" s="15" t="s">
        <v>107</v>
      </c>
      <c r="U47" s="15" t="s">
        <v>3050</v>
      </c>
      <c r="V47" s="15" t="s">
        <v>109</v>
      </c>
      <c r="W47" s="15" t="s">
        <v>3051</v>
      </c>
      <c r="X47" s="16" t="s">
        <v>3052</v>
      </c>
      <c r="Y47" s="15" t="s">
        <v>216</v>
      </c>
      <c r="Z47" s="16" t="s">
        <v>3053</v>
      </c>
      <c r="AA47" s="17">
        <v>450</v>
      </c>
      <c r="AB47" s="17">
        <v>1</v>
      </c>
      <c r="AC47" s="17">
        <v>200</v>
      </c>
      <c r="AD47" s="17">
        <v>1</v>
      </c>
      <c r="AE47" s="17">
        <v>400</v>
      </c>
      <c r="AF47" s="15" t="s">
        <v>142</v>
      </c>
      <c r="AG47" s="15" t="s">
        <v>157</v>
      </c>
      <c r="AH47" s="15" t="s">
        <v>4051</v>
      </c>
      <c r="AI47" s="18">
        <v>66128.800000000003</v>
      </c>
      <c r="AJ47" s="15">
        <v>0.13</v>
      </c>
      <c r="AK47" s="15" t="s">
        <v>3054</v>
      </c>
      <c r="AL47" s="15" t="s">
        <v>3055</v>
      </c>
      <c r="AM47" s="3">
        <f>(AI47*AJ47)/2</f>
        <v>4298.3720000000003</v>
      </c>
      <c r="AN47" s="7" t="s">
        <v>142</v>
      </c>
      <c r="AO47" s="7" t="s">
        <v>157</v>
      </c>
      <c r="AP47" s="7" t="s">
        <v>4060</v>
      </c>
      <c r="AQ47" s="8">
        <v>66060.800000000003</v>
      </c>
      <c r="AR47" s="7">
        <v>0.13</v>
      </c>
      <c r="AS47" s="7" t="s">
        <v>3056</v>
      </c>
      <c r="AT47" s="7" t="s">
        <v>3057</v>
      </c>
      <c r="AU47" s="3">
        <f>(AQ47*AR47)/2</f>
        <v>4293.9520000000002</v>
      </c>
      <c r="AV47" s="7" t="s">
        <v>142</v>
      </c>
      <c r="AW47" s="7" t="s">
        <v>157</v>
      </c>
      <c r="AX47" s="7" t="s">
        <v>4063</v>
      </c>
      <c r="AY47" s="8">
        <v>65374.400000000001</v>
      </c>
      <c r="AZ47" s="7">
        <v>0.13</v>
      </c>
      <c r="BA47" s="7" t="s">
        <v>3058</v>
      </c>
      <c r="BB47" s="7" t="s">
        <v>3059</v>
      </c>
      <c r="BC47" s="3">
        <f>(AY47*AZ47)/2</f>
        <v>4249.3360000000002</v>
      </c>
      <c r="BD47" s="7" t="s">
        <v>107</v>
      </c>
      <c r="BE47" s="7" t="s">
        <v>107</v>
      </c>
      <c r="BF47" s="7" t="s">
        <v>107</v>
      </c>
      <c r="BG47" s="7" t="s">
        <v>107</v>
      </c>
      <c r="BH47" s="7" t="s">
        <v>107</v>
      </c>
      <c r="BI47" s="7" t="s">
        <v>107</v>
      </c>
      <c r="BJ47" s="7" t="s">
        <v>107</v>
      </c>
      <c r="BK47" s="3"/>
      <c r="BL47" s="7" t="s">
        <v>107</v>
      </c>
      <c r="BM47" s="7" t="s">
        <v>107</v>
      </c>
      <c r="BN47" s="7" t="s">
        <v>107</v>
      </c>
      <c r="BO47" s="8" t="s">
        <v>107</v>
      </c>
      <c r="BP47" s="7" t="s">
        <v>107</v>
      </c>
      <c r="BQ47" s="7" t="s">
        <v>107</v>
      </c>
      <c r="BR47" s="7" t="s">
        <v>107</v>
      </c>
      <c r="BS47" s="3"/>
      <c r="BT47" s="7" t="s">
        <v>107</v>
      </c>
      <c r="BU47" s="7" t="s">
        <v>107</v>
      </c>
      <c r="BV47" s="7" t="s">
        <v>107</v>
      </c>
      <c r="BW47" s="8" t="s">
        <v>107</v>
      </c>
      <c r="BX47" s="7" t="s">
        <v>107</v>
      </c>
      <c r="BY47" s="7" t="s">
        <v>107</v>
      </c>
      <c r="BZ47" s="7" t="s">
        <v>107</v>
      </c>
      <c r="CA47" s="3"/>
      <c r="CB47" s="7"/>
      <c r="CC47" s="7" t="s">
        <v>107</v>
      </c>
      <c r="CD47" s="7" t="s">
        <v>107</v>
      </c>
      <c r="CE47" s="8" t="s">
        <v>107</v>
      </c>
      <c r="CF47" s="7" t="s">
        <v>107</v>
      </c>
      <c r="CG47" s="7" t="s">
        <v>107</v>
      </c>
      <c r="CH47" s="7" t="s">
        <v>107</v>
      </c>
      <c r="CI47" s="3"/>
      <c r="CJ47" s="7"/>
      <c r="CK47" s="7" t="s">
        <v>107</v>
      </c>
      <c r="CL47" s="7" t="s">
        <v>107</v>
      </c>
      <c r="CM47" s="8" t="s">
        <v>107</v>
      </c>
      <c r="CN47" s="7" t="s">
        <v>107</v>
      </c>
      <c r="CO47" s="7" t="s">
        <v>107</v>
      </c>
      <c r="CP47" s="7" t="s">
        <v>107</v>
      </c>
      <c r="CQ47" s="3"/>
      <c r="CR47" s="7"/>
      <c r="CS47" s="7" t="s">
        <v>107</v>
      </c>
      <c r="CT47" s="7" t="s">
        <v>107</v>
      </c>
      <c r="CU47" s="7" t="s">
        <v>107</v>
      </c>
      <c r="CV47" s="7" t="s">
        <v>107</v>
      </c>
      <c r="CW47" s="7" t="s">
        <v>107</v>
      </c>
      <c r="CX47" s="7" t="s">
        <v>107</v>
      </c>
      <c r="CY47" s="3"/>
      <c r="CZ47" s="7"/>
      <c r="DA47" s="7" t="s">
        <v>107</v>
      </c>
      <c r="DB47" s="7" t="s">
        <v>107</v>
      </c>
      <c r="DC47" s="7" t="s">
        <v>107</v>
      </c>
      <c r="DD47" s="7" t="s">
        <v>107</v>
      </c>
      <c r="DE47" s="7" t="s">
        <v>107</v>
      </c>
      <c r="DF47" s="7" t="s">
        <v>107</v>
      </c>
      <c r="DG47" s="3"/>
      <c r="DH47" s="7"/>
      <c r="DI47" s="7" t="s">
        <v>107</v>
      </c>
      <c r="DJ47" s="7" t="s">
        <v>107</v>
      </c>
      <c r="DK47" s="3">
        <f>AM47+AU47+BC47</f>
        <v>12841.66</v>
      </c>
      <c r="DL47" s="15" t="s">
        <v>3060</v>
      </c>
      <c r="DM47" s="51">
        <f>DL47*0.95</f>
        <v>12199.576999999999</v>
      </c>
    </row>
    <row r="48" spans="1:117" ht="17.25" customHeight="1" x14ac:dyDescent="0.25">
      <c r="A48" s="50" t="s">
        <v>3863</v>
      </c>
      <c r="B48" s="15" t="s">
        <v>3925</v>
      </c>
      <c r="C48" s="15" t="s">
        <v>1226</v>
      </c>
      <c r="D48" s="15" t="s">
        <v>1227</v>
      </c>
      <c r="E48" s="15" t="s">
        <v>1228</v>
      </c>
      <c r="F48" s="15" t="s">
        <v>1229</v>
      </c>
      <c r="G48" s="15" t="s">
        <v>1230</v>
      </c>
      <c r="H48" s="15" t="s">
        <v>1231</v>
      </c>
      <c r="I48" s="15" t="s">
        <v>1232</v>
      </c>
      <c r="J48" s="15" t="s">
        <v>4239</v>
      </c>
      <c r="K48" s="15" t="s">
        <v>151</v>
      </c>
      <c r="L48" s="15" t="s">
        <v>1233</v>
      </c>
      <c r="M48" s="15" t="s">
        <v>1234</v>
      </c>
      <c r="N48" s="15" t="s">
        <v>1235</v>
      </c>
      <c r="O48" s="15" t="s">
        <v>1229</v>
      </c>
      <c r="P48" s="15" t="s">
        <v>1236</v>
      </c>
      <c r="Q48" s="15" t="s">
        <v>1237</v>
      </c>
      <c r="R48" s="15" t="s">
        <v>480</v>
      </c>
      <c r="S48" s="15" t="s">
        <v>1229</v>
      </c>
      <c r="T48" s="15" t="s">
        <v>107</v>
      </c>
      <c r="U48" s="15" t="s">
        <v>1238</v>
      </c>
      <c r="V48" s="15" t="s">
        <v>109</v>
      </c>
      <c r="W48" s="15" t="s">
        <v>1239</v>
      </c>
      <c r="X48" s="16" t="s">
        <v>1240</v>
      </c>
      <c r="Y48" s="15" t="s">
        <v>1241</v>
      </c>
      <c r="Z48" s="16" t="s">
        <v>1240</v>
      </c>
      <c r="AA48" s="17">
        <v>400</v>
      </c>
      <c r="AB48" s="17">
        <v>1</v>
      </c>
      <c r="AC48" s="17">
        <v>600</v>
      </c>
      <c r="AD48" s="17">
        <v>0</v>
      </c>
      <c r="AE48" s="17">
        <v>0</v>
      </c>
      <c r="AF48" s="15" t="s">
        <v>118</v>
      </c>
      <c r="AG48" s="15" t="s">
        <v>480</v>
      </c>
      <c r="AH48" s="15" t="s">
        <v>1237</v>
      </c>
      <c r="AI48" s="21">
        <v>30160</v>
      </c>
      <c r="AJ48" s="15">
        <v>0.75</v>
      </c>
      <c r="AK48" s="15" t="s">
        <v>1242</v>
      </c>
      <c r="AL48" s="15" t="s">
        <v>1243</v>
      </c>
      <c r="AM48" s="3">
        <f>(AI48*AJ48)/2</f>
        <v>11310</v>
      </c>
      <c r="AN48" s="7" t="s">
        <v>107</v>
      </c>
      <c r="AO48" s="7" t="s">
        <v>107</v>
      </c>
      <c r="AP48" s="7" t="s">
        <v>107</v>
      </c>
      <c r="AQ48" s="8" t="s">
        <v>107</v>
      </c>
      <c r="AR48" s="7" t="s">
        <v>107</v>
      </c>
      <c r="AS48" s="7" t="s">
        <v>107</v>
      </c>
      <c r="AT48" s="7" t="s">
        <v>107</v>
      </c>
      <c r="AU48" s="3"/>
      <c r="AV48" s="7" t="s">
        <v>107</v>
      </c>
      <c r="AW48" s="7" t="s">
        <v>107</v>
      </c>
      <c r="AX48" s="7" t="s">
        <v>107</v>
      </c>
      <c r="AY48" s="8" t="s">
        <v>107</v>
      </c>
      <c r="AZ48" s="7" t="s">
        <v>107</v>
      </c>
      <c r="BA48" s="7" t="s">
        <v>107</v>
      </c>
      <c r="BB48" s="7" t="s">
        <v>107</v>
      </c>
      <c r="BC48" s="3"/>
      <c r="BD48" s="7" t="s">
        <v>107</v>
      </c>
      <c r="BE48" s="7" t="s">
        <v>107</v>
      </c>
      <c r="BF48" s="7" t="s">
        <v>107</v>
      </c>
      <c r="BG48" s="7" t="s">
        <v>107</v>
      </c>
      <c r="BH48" s="7" t="s">
        <v>107</v>
      </c>
      <c r="BI48" s="7" t="s">
        <v>107</v>
      </c>
      <c r="BJ48" s="7" t="s">
        <v>107</v>
      </c>
      <c r="BK48" s="3"/>
      <c r="BL48" s="7" t="s">
        <v>107</v>
      </c>
      <c r="BM48" s="7" t="s">
        <v>107</v>
      </c>
      <c r="BN48" s="7" t="s">
        <v>107</v>
      </c>
      <c r="BO48" s="8" t="s">
        <v>107</v>
      </c>
      <c r="BP48" s="7" t="s">
        <v>107</v>
      </c>
      <c r="BQ48" s="7" t="s">
        <v>107</v>
      </c>
      <c r="BR48" s="7" t="s">
        <v>107</v>
      </c>
      <c r="BS48" s="3"/>
      <c r="BT48" s="7" t="s">
        <v>107</v>
      </c>
      <c r="BU48" s="7" t="s">
        <v>107</v>
      </c>
      <c r="BV48" s="7" t="s">
        <v>107</v>
      </c>
      <c r="BW48" s="8" t="s">
        <v>107</v>
      </c>
      <c r="BX48" s="7" t="s">
        <v>107</v>
      </c>
      <c r="BY48" s="7" t="s">
        <v>107</v>
      </c>
      <c r="BZ48" s="7" t="s">
        <v>107</v>
      </c>
      <c r="CA48" s="3"/>
      <c r="CB48" s="7"/>
      <c r="CC48" s="7" t="s">
        <v>107</v>
      </c>
      <c r="CD48" s="7" t="s">
        <v>107</v>
      </c>
      <c r="CE48" s="8" t="s">
        <v>107</v>
      </c>
      <c r="CF48" s="7" t="s">
        <v>107</v>
      </c>
      <c r="CG48" s="7" t="s">
        <v>107</v>
      </c>
      <c r="CH48" s="7" t="s">
        <v>107</v>
      </c>
      <c r="CI48" s="3"/>
      <c r="CJ48" s="7"/>
      <c r="CK48" s="7" t="s">
        <v>107</v>
      </c>
      <c r="CL48" s="7" t="s">
        <v>107</v>
      </c>
      <c r="CM48" s="8" t="s">
        <v>107</v>
      </c>
      <c r="CN48" s="7" t="s">
        <v>107</v>
      </c>
      <c r="CO48" s="7" t="s">
        <v>107</v>
      </c>
      <c r="CP48" s="7" t="s">
        <v>107</v>
      </c>
      <c r="CQ48" s="3"/>
      <c r="CR48" s="7"/>
      <c r="CS48" s="7" t="s">
        <v>107</v>
      </c>
      <c r="CT48" s="7" t="s">
        <v>107</v>
      </c>
      <c r="CU48" s="7" t="s">
        <v>107</v>
      </c>
      <c r="CV48" s="7" t="s">
        <v>107</v>
      </c>
      <c r="CW48" s="7" t="s">
        <v>107</v>
      </c>
      <c r="CX48" s="7" t="s">
        <v>107</v>
      </c>
      <c r="CY48" s="3"/>
      <c r="CZ48" s="7"/>
      <c r="DA48" s="7" t="s">
        <v>107</v>
      </c>
      <c r="DB48" s="7" t="s">
        <v>107</v>
      </c>
      <c r="DC48" s="7" t="s">
        <v>107</v>
      </c>
      <c r="DD48" s="7" t="s">
        <v>107</v>
      </c>
      <c r="DE48" s="7" t="s">
        <v>107</v>
      </c>
      <c r="DF48" s="7" t="s">
        <v>107</v>
      </c>
      <c r="DG48" s="3"/>
      <c r="DH48" s="7"/>
      <c r="DI48" s="7" t="s">
        <v>107</v>
      </c>
      <c r="DJ48" s="7" t="s">
        <v>107</v>
      </c>
      <c r="DK48" s="3">
        <f>AM48</f>
        <v>11310</v>
      </c>
      <c r="DL48" s="15" t="s">
        <v>1243</v>
      </c>
      <c r="DM48" s="51">
        <f>DL48*0.95</f>
        <v>10744.5</v>
      </c>
    </row>
    <row r="49" spans="1:117" ht="17.25" customHeight="1" x14ac:dyDescent="0.25">
      <c r="A49" s="50" t="s">
        <v>429</v>
      </c>
      <c r="B49" s="15" t="s">
        <v>430</v>
      </c>
      <c r="C49" s="15" t="s">
        <v>431</v>
      </c>
      <c r="D49" s="15" t="s">
        <v>432</v>
      </c>
      <c r="E49" s="15" t="s">
        <v>433</v>
      </c>
      <c r="F49" s="15" t="s">
        <v>434</v>
      </c>
      <c r="G49" s="15" t="s">
        <v>435</v>
      </c>
      <c r="H49" s="15" t="s">
        <v>436</v>
      </c>
      <c r="I49" s="15" t="s">
        <v>437</v>
      </c>
      <c r="J49" s="15" t="s">
        <v>4202</v>
      </c>
      <c r="K49" s="15" t="s">
        <v>101</v>
      </c>
      <c r="L49" s="15" t="s">
        <v>434</v>
      </c>
      <c r="M49" s="15" t="s">
        <v>438</v>
      </c>
      <c r="N49" s="15" t="s">
        <v>4024</v>
      </c>
      <c r="O49" s="15" t="s">
        <v>434</v>
      </c>
      <c r="P49" s="15" t="s">
        <v>439</v>
      </c>
      <c r="Q49" s="15" t="s">
        <v>440</v>
      </c>
      <c r="R49" s="15" t="s">
        <v>4047</v>
      </c>
      <c r="S49" s="15" t="s">
        <v>434</v>
      </c>
      <c r="T49" s="15" t="s">
        <v>107</v>
      </c>
      <c r="U49" s="15" t="s">
        <v>441</v>
      </c>
      <c r="V49" s="15" t="s">
        <v>109</v>
      </c>
      <c r="W49" s="15" t="s">
        <v>442</v>
      </c>
      <c r="X49" s="16" t="s">
        <v>443</v>
      </c>
      <c r="Y49" s="15" t="s">
        <v>184</v>
      </c>
      <c r="Z49" s="16" t="s">
        <v>4084</v>
      </c>
      <c r="AA49" s="17">
        <v>215</v>
      </c>
      <c r="AB49" s="17">
        <v>0</v>
      </c>
      <c r="AC49" s="17">
        <v>0</v>
      </c>
      <c r="AD49" s="17">
        <v>0</v>
      </c>
      <c r="AE49" s="17">
        <v>0</v>
      </c>
      <c r="AF49" s="15" t="s">
        <v>142</v>
      </c>
      <c r="AG49" s="15" t="s">
        <v>115</v>
      </c>
      <c r="AH49" s="15" t="s">
        <v>444</v>
      </c>
      <c r="AI49" s="18">
        <v>50756.800000000003</v>
      </c>
      <c r="AJ49" s="15">
        <v>0.13</v>
      </c>
      <c r="AK49" s="15" t="s">
        <v>445</v>
      </c>
      <c r="AL49" s="15" t="s">
        <v>446</v>
      </c>
      <c r="AM49" s="3">
        <f>(AI49*AJ49)/2</f>
        <v>3299.1920000000005</v>
      </c>
      <c r="AN49" s="7" t="s">
        <v>107</v>
      </c>
      <c r="AO49" s="7" t="s">
        <v>107</v>
      </c>
      <c r="AP49" s="7" t="s">
        <v>107</v>
      </c>
      <c r="AQ49" s="8" t="s">
        <v>107</v>
      </c>
      <c r="AR49" s="7" t="s">
        <v>107</v>
      </c>
      <c r="AS49" s="7" t="s">
        <v>107</v>
      </c>
      <c r="AT49" s="7" t="s">
        <v>107</v>
      </c>
      <c r="AU49" s="3"/>
      <c r="AV49" s="7" t="s">
        <v>107</v>
      </c>
      <c r="AW49" s="7" t="s">
        <v>107</v>
      </c>
      <c r="AX49" s="7" t="s">
        <v>107</v>
      </c>
      <c r="AY49" s="8" t="s">
        <v>107</v>
      </c>
      <c r="AZ49" s="7" t="s">
        <v>107</v>
      </c>
      <c r="BA49" s="7" t="s">
        <v>107</v>
      </c>
      <c r="BB49" s="7" t="s">
        <v>107</v>
      </c>
      <c r="BC49" s="3"/>
      <c r="BD49" s="7" t="s">
        <v>107</v>
      </c>
      <c r="BE49" s="7" t="s">
        <v>107</v>
      </c>
      <c r="BF49" s="7" t="s">
        <v>107</v>
      </c>
      <c r="BG49" s="7" t="s">
        <v>107</v>
      </c>
      <c r="BH49" s="7" t="s">
        <v>107</v>
      </c>
      <c r="BI49" s="7" t="s">
        <v>107</v>
      </c>
      <c r="BJ49" s="7" t="s">
        <v>107</v>
      </c>
      <c r="BK49" s="3"/>
      <c r="BL49" s="7" t="s">
        <v>107</v>
      </c>
      <c r="BM49" s="7" t="s">
        <v>107</v>
      </c>
      <c r="BN49" s="7" t="s">
        <v>107</v>
      </c>
      <c r="BO49" s="8" t="s">
        <v>107</v>
      </c>
      <c r="BP49" s="7" t="s">
        <v>107</v>
      </c>
      <c r="BQ49" s="7" t="s">
        <v>107</v>
      </c>
      <c r="BR49" s="7" t="s">
        <v>107</v>
      </c>
      <c r="BS49" s="3"/>
      <c r="BT49" s="7" t="s">
        <v>107</v>
      </c>
      <c r="BU49" s="7" t="s">
        <v>107</v>
      </c>
      <c r="BV49" s="7" t="s">
        <v>107</v>
      </c>
      <c r="BW49" s="8" t="s">
        <v>107</v>
      </c>
      <c r="BX49" s="7" t="s">
        <v>107</v>
      </c>
      <c r="BY49" s="7" t="s">
        <v>107</v>
      </c>
      <c r="BZ49" s="7" t="s">
        <v>107</v>
      </c>
      <c r="CA49" s="3"/>
      <c r="CB49" s="7"/>
      <c r="CC49" s="7" t="s">
        <v>107</v>
      </c>
      <c r="CD49" s="7" t="s">
        <v>107</v>
      </c>
      <c r="CE49" s="8" t="s">
        <v>107</v>
      </c>
      <c r="CF49" s="7" t="s">
        <v>107</v>
      </c>
      <c r="CG49" s="7" t="s">
        <v>107</v>
      </c>
      <c r="CH49" s="7" t="s">
        <v>107</v>
      </c>
      <c r="CI49" s="3"/>
      <c r="CJ49" s="7"/>
      <c r="CK49" s="7" t="s">
        <v>107</v>
      </c>
      <c r="CL49" s="7" t="s">
        <v>107</v>
      </c>
      <c r="CM49" s="8" t="s">
        <v>107</v>
      </c>
      <c r="CN49" s="7" t="s">
        <v>107</v>
      </c>
      <c r="CO49" s="7" t="s">
        <v>107</v>
      </c>
      <c r="CP49" s="7" t="s">
        <v>107</v>
      </c>
      <c r="CQ49" s="3"/>
      <c r="CR49" s="7"/>
      <c r="CS49" s="7" t="s">
        <v>107</v>
      </c>
      <c r="CT49" s="7" t="s">
        <v>107</v>
      </c>
      <c r="CU49" s="7" t="s">
        <v>107</v>
      </c>
      <c r="CV49" s="7" t="s">
        <v>107</v>
      </c>
      <c r="CW49" s="7" t="s">
        <v>107</v>
      </c>
      <c r="CX49" s="7" t="s">
        <v>107</v>
      </c>
      <c r="CY49" s="3"/>
      <c r="CZ49" s="7"/>
      <c r="DA49" s="7" t="s">
        <v>107</v>
      </c>
      <c r="DB49" s="7" t="s">
        <v>107</v>
      </c>
      <c r="DC49" s="7" t="s">
        <v>107</v>
      </c>
      <c r="DD49" s="7" t="s">
        <v>107</v>
      </c>
      <c r="DE49" s="7" t="s">
        <v>107</v>
      </c>
      <c r="DF49" s="7" t="s">
        <v>107</v>
      </c>
      <c r="DG49" s="3"/>
      <c r="DH49" s="7"/>
      <c r="DI49" s="7" t="s">
        <v>107</v>
      </c>
      <c r="DJ49" s="7" t="s">
        <v>107</v>
      </c>
      <c r="DK49" s="3">
        <f>AM49</f>
        <v>3299.1920000000005</v>
      </c>
      <c r="DL49" s="15" t="s">
        <v>446</v>
      </c>
      <c r="DM49" s="51">
        <f>DL49*0.95</f>
        <v>3134.2305000000001</v>
      </c>
    </row>
    <row r="50" spans="1:117" ht="17.25" customHeight="1" x14ac:dyDescent="0.25">
      <c r="A50" s="52" t="s">
        <v>4098</v>
      </c>
      <c r="B50" s="33" t="s">
        <v>4099</v>
      </c>
      <c r="C50" s="33" t="s">
        <v>4100</v>
      </c>
      <c r="D50" s="33" t="s">
        <v>4101</v>
      </c>
      <c r="E50" s="33" t="s">
        <v>351</v>
      </c>
      <c r="F50" s="33" t="s">
        <v>4102</v>
      </c>
      <c r="G50" s="33" t="s">
        <v>4103</v>
      </c>
      <c r="H50" s="33" t="s">
        <v>4104</v>
      </c>
      <c r="I50" s="33" t="s">
        <v>4105</v>
      </c>
      <c r="J50" s="33" t="s">
        <v>4377</v>
      </c>
      <c r="K50" s="33" t="s">
        <v>151</v>
      </c>
      <c r="L50" s="33" t="s">
        <v>4106</v>
      </c>
      <c r="M50" s="33" t="s">
        <v>4107</v>
      </c>
      <c r="N50" s="33" t="s">
        <v>4108</v>
      </c>
      <c r="O50" s="33" t="s">
        <v>4109</v>
      </c>
      <c r="P50" s="33" t="s">
        <v>4110</v>
      </c>
      <c r="Q50" s="33" t="s">
        <v>4111</v>
      </c>
      <c r="R50" s="33" t="s">
        <v>157</v>
      </c>
      <c r="S50" s="33" t="s">
        <v>4112</v>
      </c>
      <c r="T50" s="33" t="s">
        <v>107</v>
      </c>
      <c r="U50" s="33" t="s">
        <v>4113</v>
      </c>
      <c r="V50" s="33" t="s">
        <v>181</v>
      </c>
      <c r="W50" s="33" t="s">
        <v>107</v>
      </c>
      <c r="X50" s="26" t="s">
        <v>4114</v>
      </c>
      <c r="Y50" s="33" t="s">
        <v>185</v>
      </c>
      <c r="Z50" s="26" t="s">
        <v>4115</v>
      </c>
      <c r="AA50" s="33">
        <v>450</v>
      </c>
      <c r="AB50" s="33">
        <v>2</v>
      </c>
      <c r="AC50" s="33">
        <v>900</v>
      </c>
      <c r="AD50" s="33">
        <v>1</v>
      </c>
      <c r="AE50" s="33">
        <v>450</v>
      </c>
      <c r="AF50" s="34" t="s">
        <v>118</v>
      </c>
      <c r="AG50" s="34" t="s">
        <v>157</v>
      </c>
      <c r="AH50" s="34" t="s">
        <v>4116</v>
      </c>
      <c r="AI50" s="34">
        <v>55530</v>
      </c>
      <c r="AJ50" s="34">
        <v>0.28000000000000003</v>
      </c>
      <c r="AK50" s="34">
        <v>15617</v>
      </c>
      <c r="AL50" s="34">
        <v>7808</v>
      </c>
      <c r="AM50" s="34">
        <f>(AI50*AJ50)/2</f>
        <v>7774.2000000000007</v>
      </c>
      <c r="AN50" s="7"/>
      <c r="AO50" s="7"/>
      <c r="AP50" s="7"/>
      <c r="AQ50" s="8"/>
      <c r="AR50" s="7"/>
      <c r="AS50" s="7"/>
      <c r="AT50" s="7"/>
      <c r="AU50" s="15"/>
      <c r="AV50" s="7"/>
      <c r="AW50" s="7"/>
      <c r="AX50" s="7"/>
      <c r="AY50" s="8"/>
      <c r="AZ50" s="7"/>
      <c r="BA50" s="7"/>
      <c r="BB50" s="15"/>
      <c r="BC50" s="15"/>
      <c r="BD50" s="15"/>
      <c r="BE50" s="15"/>
      <c r="BF50" s="15"/>
      <c r="BG50" s="15"/>
      <c r="BH50" s="15"/>
      <c r="BI50" s="15"/>
      <c r="BJ50" s="33" t="s">
        <v>107</v>
      </c>
      <c r="BK50" s="33" t="s">
        <v>107</v>
      </c>
      <c r="BL50" s="33" t="s">
        <v>107</v>
      </c>
      <c r="BM50" s="33" t="s">
        <v>107</v>
      </c>
      <c r="BN50" s="33" t="s">
        <v>107</v>
      </c>
      <c r="BO50" s="33" t="s">
        <v>107</v>
      </c>
      <c r="BP50" s="33" t="s">
        <v>107</v>
      </c>
      <c r="BQ50" s="33" t="s">
        <v>107</v>
      </c>
      <c r="BR50" s="33" t="s">
        <v>107</v>
      </c>
      <c r="BS50" s="33" t="s">
        <v>107</v>
      </c>
      <c r="BT50" s="33" t="s">
        <v>107</v>
      </c>
      <c r="BU50" s="33" t="s">
        <v>107</v>
      </c>
      <c r="BV50" s="33" t="s">
        <v>107</v>
      </c>
      <c r="BW50" s="33" t="s">
        <v>107</v>
      </c>
      <c r="BX50" s="33" t="s">
        <v>107</v>
      </c>
      <c r="BY50" s="33" t="s">
        <v>107</v>
      </c>
      <c r="BZ50" s="33" t="s">
        <v>107</v>
      </c>
      <c r="CA50" s="33" t="s">
        <v>107</v>
      </c>
      <c r="CB50" s="33" t="s">
        <v>107</v>
      </c>
      <c r="CC50" s="33" t="s">
        <v>107</v>
      </c>
      <c r="CD50" s="33" t="s">
        <v>107</v>
      </c>
      <c r="CE50" s="33" t="s">
        <v>107</v>
      </c>
      <c r="CF50" s="33" t="s">
        <v>107</v>
      </c>
      <c r="CG50" s="33" t="s">
        <v>107</v>
      </c>
      <c r="CH50" s="33" t="s">
        <v>107</v>
      </c>
      <c r="CI50" s="33" t="s">
        <v>107</v>
      </c>
      <c r="CJ50" s="33" t="s">
        <v>107</v>
      </c>
      <c r="CK50" s="33" t="s">
        <v>107</v>
      </c>
      <c r="CL50" s="33" t="s">
        <v>107</v>
      </c>
      <c r="CM50" s="33" t="s">
        <v>107</v>
      </c>
      <c r="CN50" s="33" t="s">
        <v>107</v>
      </c>
      <c r="CO50" s="33" t="s">
        <v>107</v>
      </c>
      <c r="CP50" s="33" t="s">
        <v>107</v>
      </c>
      <c r="CQ50" s="33" t="s">
        <v>107</v>
      </c>
      <c r="CR50" s="33" t="s">
        <v>107</v>
      </c>
      <c r="CS50" s="33" t="s">
        <v>107</v>
      </c>
      <c r="CT50" s="33" t="s">
        <v>107</v>
      </c>
      <c r="CU50" s="33" t="s">
        <v>107</v>
      </c>
      <c r="CV50" s="33" t="s">
        <v>107</v>
      </c>
      <c r="CW50" s="33" t="s">
        <v>107</v>
      </c>
      <c r="CX50" s="33" t="s">
        <v>107</v>
      </c>
      <c r="CY50" s="33" t="s">
        <v>107</v>
      </c>
      <c r="CZ50" s="33" t="s">
        <v>107</v>
      </c>
      <c r="DA50" s="33" t="s">
        <v>107</v>
      </c>
      <c r="DB50" s="33" t="s">
        <v>107</v>
      </c>
      <c r="DC50" s="33" t="s">
        <v>107</v>
      </c>
      <c r="DD50" s="33" t="s">
        <v>107</v>
      </c>
      <c r="DE50" s="33" t="s">
        <v>107</v>
      </c>
      <c r="DF50" s="33" t="s">
        <v>107</v>
      </c>
      <c r="DG50" s="33" t="s">
        <v>107</v>
      </c>
      <c r="DH50" s="33" t="s">
        <v>107</v>
      </c>
      <c r="DI50" s="33" t="s">
        <v>107</v>
      </c>
      <c r="DJ50" s="33" t="s">
        <v>107</v>
      </c>
      <c r="DK50" s="39">
        <v>7774.2</v>
      </c>
      <c r="DL50" s="33">
        <f>DK50*0.95</f>
        <v>7385.49</v>
      </c>
      <c r="DM50" s="51">
        <f>DL50*0.95</f>
        <v>7016.2154999999993</v>
      </c>
    </row>
    <row r="51" spans="1:117" ht="17.25" customHeight="1" x14ac:dyDescent="0.25">
      <c r="A51" s="50" t="s">
        <v>3864</v>
      </c>
      <c r="B51" s="15" t="s">
        <v>3926</v>
      </c>
      <c r="C51" s="15" t="s">
        <v>3967</v>
      </c>
      <c r="D51" s="15" t="s">
        <v>1288</v>
      </c>
      <c r="E51" s="15" t="s">
        <v>1019</v>
      </c>
      <c r="F51" s="15" t="s">
        <v>1289</v>
      </c>
      <c r="G51" s="15" t="s">
        <v>1290</v>
      </c>
      <c r="H51" s="15" t="s">
        <v>1291</v>
      </c>
      <c r="I51" s="15" t="s">
        <v>3988</v>
      </c>
      <c r="J51" s="15" t="s">
        <v>4242</v>
      </c>
      <c r="K51" s="15" t="s">
        <v>151</v>
      </c>
      <c r="L51" s="15" t="s">
        <v>1289</v>
      </c>
      <c r="M51" s="15" t="s">
        <v>1292</v>
      </c>
      <c r="N51" s="15" t="s">
        <v>4025</v>
      </c>
      <c r="O51" s="15" t="s">
        <v>1293</v>
      </c>
      <c r="P51" s="15" t="s">
        <v>1294</v>
      </c>
      <c r="Q51" s="15" t="s">
        <v>4041</v>
      </c>
      <c r="R51" s="15" t="s">
        <v>132</v>
      </c>
      <c r="S51" s="15" t="s">
        <v>1289</v>
      </c>
      <c r="T51" s="15" t="s">
        <v>107</v>
      </c>
      <c r="U51" s="15" t="s">
        <v>1295</v>
      </c>
      <c r="V51" s="15" t="s">
        <v>109</v>
      </c>
      <c r="W51" s="15" t="s">
        <v>1296</v>
      </c>
      <c r="X51" s="16" t="s">
        <v>1297</v>
      </c>
      <c r="Y51" s="15" t="s">
        <v>114</v>
      </c>
      <c r="Z51" s="16" t="s">
        <v>1298</v>
      </c>
      <c r="AA51" s="17">
        <v>312</v>
      </c>
      <c r="AB51" s="17">
        <v>1</v>
      </c>
      <c r="AC51" s="17">
        <v>315</v>
      </c>
      <c r="AD51" s="17">
        <v>1</v>
      </c>
      <c r="AE51" s="17">
        <v>50</v>
      </c>
      <c r="AF51" s="15" t="s">
        <v>142</v>
      </c>
      <c r="AG51" s="15" t="s">
        <v>460</v>
      </c>
      <c r="AH51" s="15" t="s">
        <v>4052</v>
      </c>
      <c r="AI51" s="18">
        <v>63171.05</v>
      </c>
      <c r="AJ51" s="15">
        <v>0.75</v>
      </c>
      <c r="AK51" s="15" t="s">
        <v>1299</v>
      </c>
      <c r="AL51" s="15" t="s">
        <v>1300</v>
      </c>
      <c r="AM51" s="3">
        <f>(AI51*AJ51)/2</f>
        <v>23689.143750000003</v>
      </c>
      <c r="AN51" s="7" t="s">
        <v>107</v>
      </c>
      <c r="AO51" s="7" t="s">
        <v>107</v>
      </c>
      <c r="AP51" s="7" t="s">
        <v>107</v>
      </c>
      <c r="AQ51" s="8" t="s">
        <v>107</v>
      </c>
      <c r="AR51" s="7" t="s">
        <v>107</v>
      </c>
      <c r="AS51" s="7" t="s">
        <v>107</v>
      </c>
      <c r="AT51" s="7" t="s">
        <v>107</v>
      </c>
      <c r="AU51" s="3"/>
      <c r="AV51" s="7" t="s">
        <v>107</v>
      </c>
      <c r="AW51" s="7" t="s">
        <v>107</v>
      </c>
      <c r="AX51" s="7" t="s">
        <v>107</v>
      </c>
      <c r="AY51" s="8" t="s">
        <v>107</v>
      </c>
      <c r="AZ51" s="7" t="s">
        <v>107</v>
      </c>
      <c r="BA51" s="7" t="s">
        <v>107</v>
      </c>
      <c r="BB51" s="7" t="s">
        <v>107</v>
      </c>
      <c r="BC51" s="3"/>
      <c r="BD51" s="7" t="s">
        <v>107</v>
      </c>
      <c r="BE51" s="7" t="s">
        <v>107</v>
      </c>
      <c r="BF51" s="7" t="s">
        <v>107</v>
      </c>
      <c r="BG51" s="7" t="s">
        <v>107</v>
      </c>
      <c r="BH51" s="7" t="s">
        <v>107</v>
      </c>
      <c r="BI51" s="7" t="s">
        <v>107</v>
      </c>
      <c r="BJ51" s="7" t="s">
        <v>107</v>
      </c>
      <c r="BK51" s="3"/>
      <c r="BL51" s="7" t="s">
        <v>107</v>
      </c>
      <c r="BM51" s="7" t="s">
        <v>107</v>
      </c>
      <c r="BN51" s="7" t="s">
        <v>107</v>
      </c>
      <c r="BO51" s="8" t="s">
        <v>107</v>
      </c>
      <c r="BP51" s="7" t="s">
        <v>107</v>
      </c>
      <c r="BQ51" s="7" t="s">
        <v>107</v>
      </c>
      <c r="BR51" s="7" t="s">
        <v>107</v>
      </c>
      <c r="BS51" s="3"/>
      <c r="BT51" s="7" t="s">
        <v>107</v>
      </c>
      <c r="BU51" s="7" t="s">
        <v>107</v>
      </c>
      <c r="BV51" s="7" t="s">
        <v>107</v>
      </c>
      <c r="BW51" s="8" t="s">
        <v>107</v>
      </c>
      <c r="BX51" s="7" t="s">
        <v>107</v>
      </c>
      <c r="BY51" s="7" t="s">
        <v>107</v>
      </c>
      <c r="BZ51" s="7" t="s">
        <v>107</v>
      </c>
      <c r="CA51" s="3"/>
      <c r="CB51" s="7"/>
      <c r="CC51" s="7" t="s">
        <v>107</v>
      </c>
      <c r="CD51" s="7" t="s">
        <v>107</v>
      </c>
      <c r="CE51" s="8" t="s">
        <v>107</v>
      </c>
      <c r="CF51" s="7" t="s">
        <v>107</v>
      </c>
      <c r="CG51" s="7" t="s">
        <v>107</v>
      </c>
      <c r="CH51" s="7" t="s">
        <v>107</v>
      </c>
      <c r="CI51" s="3"/>
      <c r="CJ51" s="7"/>
      <c r="CK51" s="7" t="s">
        <v>107</v>
      </c>
      <c r="CL51" s="7" t="s">
        <v>107</v>
      </c>
      <c r="CM51" s="8" t="s">
        <v>107</v>
      </c>
      <c r="CN51" s="7" t="s">
        <v>107</v>
      </c>
      <c r="CO51" s="7" t="s">
        <v>107</v>
      </c>
      <c r="CP51" s="7" t="s">
        <v>107</v>
      </c>
      <c r="CQ51" s="3"/>
      <c r="CR51" s="7"/>
      <c r="CS51" s="7" t="s">
        <v>107</v>
      </c>
      <c r="CT51" s="7" t="s">
        <v>107</v>
      </c>
      <c r="CU51" s="7" t="s">
        <v>107</v>
      </c>
      <c r="CV51" s="7" t="s">
        <v>107</v>
      </c>
      <c r="CW51" s="7" t="s">
        <v>107</v>
      </c>
      <c r="CX51" s="7" t="s">
        <v>107</v>
      </c>
      <c r="CY51" s="3"/>
      <c r="CZ51" s="7"/>
      <c r="DA51" s="7" t="s">
        <v>107</v>
      </c>
      <c r="DB51" s="7" t="s">
        <v>107</v>
      </c>
      <c r="DC51" s="7" t="s">
        <v>107</v>
      </c>
      <c r="DD51" s="7" t="s">
        <v>107</v>
      </c>
      <c r="DE51" s="7" t="s">
        <v>107</v>
      </c>
      <c r="DF51" s="7" t="s">
        <v>107</v>
      </c>
      <c r="DG51" s="3"/>
      <c r="DH51" s="7"/>
      <c r="DI51" s="7" t="s">
        <v>107</v>
      </c>
      <c r="DJ51" s="7" t="s">
        <v>107</v>
      </c>
      <c r="DK51" s="3">
        <f>AM51</f>
        <v>23689.143750000003</v>
      </c>
      <c r="DL51" s="15" t="s">
        <v>1300</v>
      </c>
      <c r="DM51" s="51">
        <f>DL51*0.95</f>
        <v>22504.682999999997</v>
      </c>
    </row>
    <row r="52" spans="1:117" ht="17.25" customHeight="1" x14ac:dyDescent="0.25">
      <c r="A52" s="50" t="s">
        <v>578</v>
      </c>
      <c r="B52" s="15" t="s">
        <v>579</v>
      </c>
      <c r="C52" s="15" t="s">
        <v>580</v>
      </c>
      <c r="D52" s="15" t="s">
        <v>581</v>
      </c>
      <c r="E52" s="15" t="s">
        <v>582</v>
      </c>
      <c r="F52" s="15" t="s">
        <v>583</v>
      </c>
      <c r="G52" s="15" t="s">
        <v>584</v>
      </c>
      <c r="H52" s="15" t="s">
        <v>585</v>
      </c>
      <c r="I52" s="15" t="s">
        <v>586</v>
      </c>
      <c r="J52" s="15" t="s">
        <v>4209</v>
      </c>
      <c r="K52" s="15" t="s">
        <v>151</v>
      </c>
      <c r="L52" s="15" t="s">
        <v>587</v>
      </c>
      <c r="M52" s="15" t="s">
        <v>588</v>
      </c>
      <c r="N52" s="15" t="s">
        <v>589</v>
      </c>
      <c r="O52" s="15" t="s">
        <v>590</v>
      </c>
      <c r="P52" s="15" t="s">
        <v>591</v>
      </c>
      <c r="Q52" s="15" t="s">
        <v>586</v>
      </c>
      <c r="R52" s="15" t="s">
        <v>151</v>
      </c>
      <c r="S52" s="15" t="s">
        <v>587</v>
      </c>
      <c r="T52" s="15" t="s">
        <v>107</v>
      </c>
      <c r="U52" s="15" t="s">
        <v>588</v>
      </c>
      <c r="V52" s="15" t="s">
        <v>181</v>
      </c>
      <c r="W52" s="15" t="s">
        <v>107</v>
      </c>
      <c r="X52" s="16" t="s">
        <v>592</v>
      </c>
      <c r="Y52" s="15" t="s">
        <v>216</v>
      </c>
      <c r="Z52" s="22" t="s">
        <v>4092</v>
      </c>
      <c r="AA52" s="17">
        <v>2500</v>
      </c>
      <c r="AB52" s="17">
        <v>1</v>
      </c>
      <c r="AC52" s="17">
        <v>750</v>
      </c>
      <c r="AD52" s="17">
        <v>0</v>
      </c>
      <c r="AE52" s="17">
        <v>0</v>
      </c>
      <c r="AF52" s="15" t="s">
        <v>142</v>
      </c>
      <c r="AG52" s="15" t="s">
        <v>460</v>
      </c>
      <c r="AH52" s="15" t="s">
        <v>593</v>
      </c>
      <c r="AI52" s="18">
        <v>70928</v>
      </c>
      <c r="AJ52" s="15">
        <v>0.75</v>
      </c>
      <c r="AK52" s="15" t="s">
        <v>594</v>
      </c>
      <c r="AL52" s="15" t="s">
        <v>595</v>
      </c>
      <c r="AM52" s="3">
        <f>(AI52*AJ52)/2</f>
        <v>26598</v>
      </c>
      <c r="AN52" s="7" t="s">
        <v>107</v>
      </c>
      <c r="AO52" s="7" t="s">
        <v>107</v>
      </c>
      <c r="AP52" s="7" t="s">
        <v>107</v>
      </c>
      <c r="AQ52" s="8" t="s">
        <v>107</v>
      </c>
      <c r="AR52" s="7" t="s">
        <v>107</v>
      </c>
      <c r="AS52" s="7" t="s">
        <v>107</v>
      </c>
      <c r="AT52" s="7" t="s">
        <v>107</v>
      </c>
      <c r="AU52" s="3"/>
      <c r="AV52" s="7" t="s">
        <v>107</v>
      </c>
      <c r="AW52" s="7" t="s">
        <v>107</v>
      </c>
      <c r="AX52" s="7" t="s">
        <v>107</v>
      </c>
      <c r="AY52" s="8" t="s">
        <v>107</v>
      </c>
      <c r="AZ52" s="7" t="s">
        <v>107</v>
      </c>
      <c r="BA52" s="7" t="s">
        <v>107</v>
      </c>
      <c r="BB52" s="7" t="s">
        <v>107</v>
      </c>
      <c r="BC52" s="3"/>
      <c r="BD52" s="7" t="s">
        <v>107</v>
      </c>
      <c r="BE52" s="7" t="s">
        <v>107</v>
      </c>
      <c r="BF52" s="7" t="s">
        <v>107</v>
      </c>
      <c r="BG52" s="7" t="s">
        <v>107</v>
      </c>
      <c r="BH52" s="7" t="s">
        <v>107</v>
      </c>
      <c r="BI52" s="7" t="s">
        <v>107</v>
      </c>
      <c r="BJ52" s="7" t="s">
        <v>107</v>
      </c>
      <c r="BK52" s="3"/>
      <c r="BL52" s="7" t="s">
        <v>107</v>
      </c>
      <c r="BM52" s="7" t="s">
        <v>107</v>
      </c>
      <c r="BN52" s="7" t="s">
        <v>107</v>
      </c>
      <c r="BO52" s="8" t="s">
        <v>107</v>
      </c>
      <c r="BP52" s="7" t="s">
        <v>107</v>
      </c>
      <c r="BQ52" s="7" t="s">
        <v>107</v>
      </c>
      <c r="BR52" s="7" t="s">
        <v>107</v>
      </c>
      <c r="BS52" s="3"/>
      <c r="BT52" s="7" t="s">
        <v>107</v>
      </c>
      <c r="BU52" s="7" t="s">
        <v>107</v>
      </c>
      <c r="BV52" s="7" t="s">
        <v>107</v>
      </c>
      <c r="BW52" s="8" t="s">
        <v>107</v>
      </c>
      <c r="BX52" s="7" t="s">
        <v>107</v>
      </c>
      <c r="BY52" s="7" t="s">
        <v>107</v>
      </c>
      <c r="BZ52" s="7" t="s">
        <v>107</v>
      </c>
      <c r="CA52" s="3"/>
      <c r="CB52" s="7"/>
      <c r="CC52" s="7" t="s">
        <v>107</v>
      </c>
      <c r="CD52" s="7" t="s">
        <v>107</v>
      </c>
      <c r="CE52" s="8" t="s">
        <v>107</v>
      </c>
      <c r="CF52" s="7" t="s">
        <v>107</v>
      </c>
      <c r="CG52" s="7" t="s">
        <v>107</v>
      </c>
      <c r="CH52" s="7" t="s">
        <v>107</v>
      </c>
      <c r="CI52" s="3"/>
      <c r="CJ52" s="7"/>
      <c r="CK52" s="7" t="s">
        <v>107</v>
      </c>
      <c r="CL52" s="7" t="s">
        <v>107</v>
      </c>
      <c r="CM52" s="8" t="s">
        <v>107</v>
      </c>
      <c r="CN52" s="7" t="s">
        <v>107</v>
      </c>
      <c r="CO52" s="7" t="s">
        <v>107</v>
      </c>
      <c r="CP52" s="7" t="s">
        <v>107</v>
      </c>
      <c r="CQ52" s="3"/>
      <c r="CR52" s="7"/>
      <c r="CS52" s="7" t="s">
        <v>107</v>
      </c>
      <c r="CT52" s="7" t="s">
        <v>107</v>
      </c>
      <c r="CU52" s="7" t="s">
        <v>107</v>
      </c>
      <c r="CV52" s="7" t="s">
        <v>107</v>
      </c>
      <c r="CW52" s="7" t="s">
        <v>107</v>
      </c>
      <c r="CX52" s="7" t="s">
        <v>107</v>
      </c>
      <c r="CY52" s="3"/>
      <c r="CZ52" s="7"/>
      <c r="DA52" s="7" t="s">
        <v>107</v>
      </c>
      <c r="DB52" s="7" t="s">
        <v>107</v>
      </c>
      <c r="DC52" s="7" t="s">
        <v>107</v>
      </c>
      <c r="DD52" s="7" t="s">
        <v>107</v>
      </c>
      <c r="DE52" s="7" t="s">
        <v>107</v>
      </c>
      <c r="DF52" s="7" t="s">
        <v>107</v>
      </c>
      <c r="DG52" s="3"/>
      <c r="DH52" s="7"/>
      <c r="DI52" s="7" t="s">
        <v>107</v>
      </c>
      <c r="DJ52" s="7" t="s">
        <v>107</v>
      </c>
      <c r="DK52" s="3">
        <f>AM52</f>
        <v>26598</v>
      </c>
      <c r="DL52" s="15" t="s">
        <v>596</v>
      </c>
      <c r="DM52" s="51">
        <f>DL52*0.95</f>
        <v>25268.1</v>
      </c>
    </row>
    <row r="53" spans="1:117" ht="17.25" customHeight="1" x14ac:dyDescent="0.25">
      <c r="A53" s="50" t="s">
        <v>2407</v>
      </c>
      <c r="B53" s="15" t="s">
        <v>2408</v>
      </c>
      <c r="C53" s="15" t="s">
        <v>1246</v>
      </c>
      <c r="D53" s="15" t="s">
        <v>1247</v>
      </c>
      <c r="E53" s="15" t="s">
        <v>582</v>
      </c>
      <c r="F53" s="15" t="s">
        <v>2409</v>
      </c>
      <c r="G53" s="15" t="s">
        <v>2410</v>
      </c>
      <c r="H53" s="15" t="s">
        <v>2411</v>
      </c>
      <c r="I53" s="15" t="s">
        <v>2412</v>
      </c>
      <c r="J53" s="15" t="s">
        <v>4293</v>
      </c>
      <c r="K53" s="15" t="s">
        <v>151</v>
      </c>
      <c r="L53" s="15" t="s">
        <v>2413</v>
      </c>
      <c r="M53" s="15" t="s">
        <v>2414</v>
      </c>
      <c r="N53" s="15" t="s">
        <v>2415</v>
      </c>
      <c r="O53" s="15" t="s">
        <v>2416</v>
      </c>
      <c r="P53" s="15" t="s">
        <v>2417</v>
      </c>
      <c r="Q53" s="15" t="s">
        <v>2412</v>
      </c>
      <c r="R53" s="15" t="s">
        <v>151</v>
      </c>
      <c r="S53" s="15" t="s">
        <v>2413</v>
      </c>
      <c r="T53" s="15" t="s">
        <v>107</v>
      </c>
      <c r="U53" s="15" t="s">
        <v>2414</v>
      </c>
      <c r="V53" s="15" t="s">
        <v>109</v>
      </c>
      <c r="W53" s="15" t="s">
        <v>2418</v>
      </c>
      <c r="X53" s="16" t="s">
        <v>2419</v>
      </c>
      <c r="Y53" s="15" t="s">
        <v>184</v>
      </c>
      <c r="Z53" s="23" t="s">
        <v>4077</v>
      </c>
      <c r="AA53" s="17">
        <v>1400</v>
      </c>
      <c r="AB53" s="17">
        <v>0</v>
      </c>
      <c r="AC53" s="17">
        <v>0</v>
      </c>
      <c r="AD53" s="17">
        <v>0</v>
      </c>
      <c r="AE53" s="17">
        <v>0</v>
      </c>
      <c r="AF53" s="15" t="s">
        <v>142</v>
      </c>
      <c r="AG53" s="15" t="s">
        <v>132</v>
      </c>
      <c r="AH53" s="15" t="s">
        <v>2420</v>
      </c>
      <c r="AI53" s="21">
        <v>67642</v>
      </c>
      <c r="AJ53" s="15">
        <v>0.375</v>
      </c>
      <c r="AK53" s="15" t="s">
        <v>2421</v>
      </c>
      <c r="AL53" s="15" t="s">
        <v>2422</v>
      </c>
      <c r="AM53" s="3">
        <f>(AI53*AJ53)/2</f>
        <v>12682.875</v>
      </c>
      <c r="AN53" s="7" t="s">
        <v>107</v>
      </c>
      <c r="AO53" s="7" t="s">
        <v>107</v>
      </c>
      <c r="AP53" s="7" t="s">
        <v>107</v>
      </c>
      <c r="AQ53" s="8" t="s">
        <v>107</v>
      </c>
      <c r="AR53" s="7" t="s">
        <v>107</v>
      </c>
      <c r="AS53" s="7" t="s">
        <v>107</v>
      </c>
      <c r="AT53" s="7" t="s">
        <v>107</v>
      </c>
      <c r="AU53" s="3"/>
      <c r="AV53" s="7" t="s">
        <v>107</v>
      </c>
      <c r="AW53" s="7" t="s">
        <v>107</v>
      </c>
      <c r="AX53" s="7" t="s">
        <v>107</v>
      </c>
      <c r="AY53" s="8" t="s">
        <v>107</v>
      </c>
      <c r="AZ53" s="7" t="s">
        <v>107</v>
      </c>
      <c r="BA53" s="7" t="s">
        <v>107</v>
      </c>
      <c r="BB53" s="7" t="s">
        <v>107</v>
      </c>
      <c r="BC53" s="3"/>
      <c r="BD53" s="7" t="s">
        <v>107</v>
      </c>
      <c r="BE53" s="7" t="s">
        <v>107</v>
      </c>
      <c r="BF53" s="7" t="s">
        <v>107</v>
      </c>
      <c r="BG53" s="7" t="s">
        <v>107</v>
      </c>
      <c r="BH53" s="7" t="s">
        <v>107</v>
      </c>
      <c r="BI53" s="7" t="s">
        <v>107</v>
      </c>
      <c r="BJ53" s="7" t="s">
        <v>107</v>
      </c>
      <c r="BK53" s="3"/>
      <c r="BL53" s="7" t="s">
        <v>107</v>
      </c>
      <c r="BM53" s="7" t="s">
        <v>107</v>
      </c>
      <c r="BN53" s="7" t="s">
        <v>107</v>
      </c>
      <c r="BO53" s="8" t="s">
        <v>107</v>
      </c>
      <c r="BP53" s="7" t="s">
        <v>107</v>
      </c>
      <c r="BQ53" s="7" t="s">
        <v>107</v>
      </c>
      <c r="BR53" s="7" t="s">
        <v>107</v>
      </c>
      <c r="BS53" s="3"/>
      <c r="BT53" s="7" t="s">
        <v>107</v>
      </c>
      <c r="BU53" s="7" t="s">
        <v>107</v>
      </c>
      <c r="BV53" s="7" t="s">
        <v>107</v>
      </c>
      <c r="BW53" s="8" t="s">
        <v>107</v>
      </c>
      <c r="BX53" s="7" t="s">
        <v>107</v>
      </c>
      <c r="BY53" s="7" t="s">
        <v>107</v>
      </c>
      <c r="BZ53" s="7" t="s">
        <v>107</v>
      </c>
      <c r="CA53" s="3"/>
      <c r="CB53" s="7"/>
      <c r="CC53" s="7" t="s">
        <v>107</v>
      </c>
      <c r="CD53" s="7" t="s">
        <v>107</v>
      </c>
      <c r="CE53" s="8" t="s">
        <v>107</v>
      </c>
      <c r="CF53" s="7" t="s">
        <v>107</v>
      </c>
      <c r="CG53" s="7" t="s">
        <v>107</v>
      </c>
      <c r="CH53" s="7" t="s">
        <v>107</v>
      </c>
      <c r="CI53" s="3"/>
      <c r="CJ53" s="7"/>
      <c r="CK53" s="7" t="s">
        <v>107</v>
      </c>
      <c r="CL53" s="7" t="s">
        <v>107</v>
      </c>
      <c r="CM53" s="8" t="s">
        <v>107</v>
      </c>
      <c r="CN53" s="7" t="s">
        <v>107</v>
      </c>
      <c r="CO53" s="7" t="s">
        <v>107</v>
      </c>
      <c r="CP53" s="7" t="s">
        <v>107</v>
      </c>
      <c r="CQ53" s="3"/>
      <c r="CR53" s="7"/>
      <c r="CS53" s="7" t="s">
        <v>107</v>
      </c>
      <c r="CT53" s="7" t="s">
        <v>107</v>
      </c>
      <c r="CU53" s="7" t="s">
        <v>107</v>
      </c>
      <c r="CV53" s="7" t="s">
        <v>107</v>
      </c>
      <c r="CW53" s="7" t="s">
        <v>107</v>
      </c>
      <c r="CX53" s="7" t="s">
        <v>107</v>
      </c>
      <c r="CY53" s="3"/>
      <c r="CZ53" s="7"/>
      <c r="DA53" s="7" t="s">
        <v>107</v>
      </c>
      <c r="DB53" s="7" t="s">
        <v>107</v>
      </c>
      <c r="DC53" s="7" t="s">
        <v>107</v>
      </c>
      <c r="DD53" s="7" t="s">
        <v>107</v>
      </c>
      <c r="DE53" s="7" t="s">
        <v>107</v>
      </c>
      <c r="DF53" s="7" t="s">
        <v>107</v>
      </c>
      <c r="DG53" s="3"/>
      <c r="DH53" s="7"/>
      <c r="DI53" s="7" t="s">
        <v>107</v>
      </c>
      <c r="DJ53" s="7" t="s">
        <v>107</v>
      </c>
      <c r="DK53" s="3">
        <f>AM53</f>
        <v>12682.875</v>
      </c>
      <c r="DL53" s="15" t="s">
        <v>2422</v>
      </c>
      <c r="DM53" s="51">
        <f>DL53*0.95</f>
        <v>12048.849999999999</v>
      </c>
    </row>
    <row r="54" spans="1:117" ht="17.25" customHeight="1" x14ac:dyDescent="0.25">
      <c r="A54" s="50" t="s">
        <v>3865</v>
      </c>
      <c r="B54" s="15" t="s">
        <v>3927</v>
      </c>
      <c r="C54" s="15" t="s">
        <v>3968</v>
      </c>
      <c r="D54" s="15" t="s">
        <v>2234</v>
      </c>
      <c r="E54" s="15" t="s">
        <v>1435</v>
      </c>
      <c r="F54" s="15" t="s">
        <v>2235</v>
      </c>
      <c r="G54" s="15" t="s">
        <v>2236</v>
      </c>
      <c r="H54" s="15" t="s">
        <v>2237</v>
      </c>
      <c r="I54" s="15" t="s">
        <v>3989</v>
      </c>
      <c r="J54" s="15" t="s">
        <v>4284</v>
      </c>
      <c r="K54" s="15" t="s">
        <v>151</v>
      </c>
      <c r="L54" s="15" t="s">
        <v>2238</v>
      </c>
      <c r="M54" s="15" t="s">
        <v>2239</v>
      </c>
      <c r="N54" s="15" t="s">
        <v>4026</v>
      </c>
      <c r="O54" s="15" t="s">
        <v>2240</v>
      </c>
      <c r="P54" s="15" t="s">
        <v>2241</v>
      </c>
      <c r="Q54" s="15" t="s">
        <v>4042</v>
      </c>
      <c r="R54" s="15" t="s">
        <v>157</v>
      </c>
      <c r="S54" s="15" t="s">
        <v>2235</v>
      </c>
      <c r="T54" s="15" t="s">
        <v>107</v>
      </c>
      <c r="U54" s="15" t="s">
        <v>2242</v>
      </c>
      <c r="V54" s="15" t="s">
        <v>109</v>
      </c>
      <c r="W54" s="15" t="s">
        <v>2243</v>
      </c>
      <c r="X54" s="16" t="s">
        <v>2244</v>
      </c>
      <c r="Y54" s="15" t="s">
        <v>2245</v>
      </c>
      <c r="Z54" s="16" t="s">
        <v>2246</v>
      </c>
      <c r="AA54" s="17">
        <v>210</v>
      </c>
      <c r="AB54" s="17">
        <v>1</v>
      </c>
      <c r="AC54" s="17">
        <v>250</v>
      </c>
      <c r="AD54" s="17">
        <v>1</v>
      </c>
      <c r="AE54" s="17">
        <v>150</v>
      </c>
      <c r="AF54" s="15" t="s">
        <v>142</v>
      </c>
      <c r="AG54" s="15" t="s">
        <v>157</v>
      </c>
      <c r="AH54" s="15" t="s">
        <v>4042</v>
      </c>
      <c r="AI54" s="18">
        <v>66356.03</v>
      </c>
      <c r="AJ54" s="15">
        <v>0.25</v>
      </c>
      <c r="AK54" s="15" t="s">
        <v>2247</v>
      </c>
      <c r="AL54" s="15" t="s">
        <v>2248</v>
      </c>
      <c r="AM54" s="3">
        <f>(AI54*AJ54)/2</f>
        <v>8294.5037499999999</v>
      </c>
      <c r="AN54" s="7" t="s">
        <v>107</v>
      </c>
      <c r="AO54" s="7" t="s">
        <v>107</v>
      </c>
      <c r="AP54" s="7" t="s">
        <v>107</v>
      </c>
      <c r="AQ54" s="8" t="s">
        <v>107</v>
      </c>
      <c r="AR54" s="7" t="s">
        <v>107</v>
      </c>
      <c r="AS54" s="7" t="s">
        <v>107</v>
      </c>
      <c r="AT54" s="7" t="s">
        <v>107</v>
      </c>
      <c r="AU54" s="3"/>
      <c r="AV54" s="7" t="s">
        <v>107</v>
      </c>
      <c r="AW54" s="7" t="s">
        <v>107</v>
      </c>
      <c r="AX54" s="7" t="s">
        <v>107</v>
      </c>
      <c r="AY54" s="8" t="s">
        <v>107</v>
      </c>
      <c r="AZ54" s="7" t="s">
        <v>107</v>
      </c>
      <c r="BA54" s="7" t="s">
        <v>107</v>
      </c>
      <c r="BB54" s="7" t="s">
        <v>107</v>
      </c>
      <c r="BC54" s="3"/>
      <c r="BD54" s="7" t="s">
        <v>107</v>
      </c>
      <c r="BE54" s="7" t="s">
        <v>107</v>
      </c>
      <c r="BF54" s="7" t="s">
        <v>107</v>
      </c>
      <c r="BG54" s="7" t="s">
        <v>107</v>
      </c>
      <c r="BH54" s="7" t="s">
        <v>107</v>
      </c>
      <c r="BI54" s="7" t="s">
        <v>107</v>
      </c>
      <c r="BJ54" s="7" t="s">
        <v>107</v>
      </c>
      <c r="BK54" s="3"/>
      <c r="BL54" s="7" t="s">
        <v>107</v>
      </c>
      <c r="BM54" s="7" t="s">
        <v>107</v>
      </c>
      <c r="BN54" s="7" t="s">
        <v>107</v>
      </c>
      <c r="BO54" s="8" t="s">
        <v>107</v>
      </c>
      <c r="BP54" s="7" t="s">
        <v>107</v>
      </c>
      <c r="BQ54" s="7" t="s">
        <v>107</v>
      </c>
      <c r="BR54" s="7" t="s">
        <v>107</v>
      </c>
      <c r="BS54" s="3"/>
      <c r="BT54" s="7" t="s">
        <v>107</v>
      </c>
      <c r="BU54" s="7" t="s">
        <v>107</v>
      </c>
      <c r="BV54" s="7" t="s">
        <v>107</v>
      </c>
      <c r="BW54" s="8" t="s">
        <v>107</v>
      </c>
      <c r="BX54" s="7" t="s">
        <v>107</v>
      </c>
      <c r="BY54" s="7" t="s">
        <v>107</v>
      </c>
      <c r="BZ54" s="7" t="s">
        <v>107</v>
      </c>
      <c r="CA54" s="3"/>
      <c r="CB54" s="7"/>
      <c r="CC54" s="7" t="s">
        <v>107</v>
      </c>
      <c r="CD54" s="7" t="s">
        <v>107</v>
      </c>
      <c r="CE54" s="8" t="s">
        <v>107</v>
      </c>
      <c r="CF54" s="7" t="s">
        <v>107</v>
      </c>
      <c r="CG54" s="7" t="s">
        <v>107</v>
      </c>
      <c r="CH54" s="7" t="s">
        <v>107</v>
      </c>
      <c r="CI54" s="3"/>
      <c r="CJ54" s="7"/>
      <c r="CK54" s="7" t="s">
        <v>107</v>
      </c>
      <c r="CL54" s="7" t="s">
        <v>107</v>
      </c>
      <c r="CM54" s="8" t="s">
        <v>107</v>
      </c>
      <c r="CN54" s="7" t="s">
        <v>107</v>
      </c>
      <c r="CO54" s="7" t="s">
        <v>107</v>
      </c>
      <c r="CP54" s="7" t="s">
        <v>107</v>
      </c>
      <c r="CQ54" s="3"/>
      <c r="CR54" s="7"/>
      <c r="CS54" s="7" t="s">
        <v>107</v>
      </c>
      <c r="CT54" s="7" t="s">
        <v>107</v>
      </c>
      <c r="CU54" s="7" t="s">
        <v>107</v>
      </c>
      <c r="CV54" s="7" t="s">
        <v>107</v>
      </c>
      <c r="CW54" s="7" t="s">
        <v>107</v>
      </c>
      <c r="CX54" s="7" t="s">
        <v>107</v>
      </c>
      <c r="CY54" s="3"/>
      <c r="CZ54" s="7"/>
      <c r="DA54" s="7" t="s">
        <v>107</v>
      </c>
      <c r="DB54" s="7" t="s">
        <v>107</v>
      </c>
      <c r="DC54" s="7" t="s">
        <v>107</v>
      </c>
      <c r="DD54" s="7" t="s">
        <v>107</v>
      </c>
      <c r="DE54" s="7" t="s">
        <v>107</v>
      </c>
      <c r="DF54" s="7" t="s">
        <v>107</v>
      </c>
      <c r="DG54" s="3"/>
      <c r="DH54" s="7"/>
      <c r="DI54" s="7" t="s">
        <v>107</v>
      </c>
      <c r="DJ54" s="7" t="s">
        <v>107</v>
      </c>
      <c r="DK54" s="3">
        <f>AM54</f>
        <v>8294.5037499999999</v>
      </c>
      <c r="DL54" s="15" t="s">
        <v>2248</v>
      </c>
      <c r="DM54" s="51">
        <f>DL54*0.95</f>
        <v>7879.7844999999998</v>
      </c>
    </row>
    <row r="55" spans="1:117" ht="17.25" customHeight="1" x14ac:dyDescent="0.25">
      <c r="A55" s="50" t="s">
        <v>3866</v>
      </c>
      <c r="B55" s="15" t="s">
        <v>1092</v>
      </c>
      <c r="C55" s="15" t="s">
        <v>3969</v>
      </c>
      <c r="D55" s="15" t="s">
        <v>1093</v>
      </c>
      <c r="E55" s="15" t="s">
        <v>1094</v>
      </c>
      <c r="F55" s="15" t="s">
        <v>1095</v>
      </c>
      <c r="G55" s="15" t="s">
        <v>1096</v>
      </c>
      <c r="H55" s="15" t="s">
        <v>1097</v>
      </c>
      <c r="I55" s="15" t="s">
        <v>1098</v>
      </c>
      <c r="J55" s="15" t="s">
        <v>4233</v>
      </c>
      <c r="K55" s="15" t="s">
        <v>101</v>
      </c>
      <c r="L55" s="15" t="s">
        <v>1095</v>
      </c>
      <c r="M55" s="15" t="s">
        <v>1099</v>
      </c>
      <c r="N55" s="15" t="s">
        <v>1100</v>
      </c>
      <c r="O55" s="15" t="s">
        <v>1101</v>
      </c>
      <c r="P55" s="15" t="s">
        <v>1102</v>
      </c>
      <c r="Q55" s="15" t="s">
        <v>1103</v>
      </c>
      <c r="R55" s="15" t="s">
        <v>132</v>
      </c>
      <c r="S55" s="15" t="s">
        <v>1095</v>
      </c>
      <c r="T55" s="15" t="s">
        <v>107</v>
      </c>
      <c r="U55" s="15" t="s">
        <v>1104</v>
      </c>
      <c r="V55" s="15" t="s">
        <v>109</v>
      </c>
      <c r="W55" s="15" t="s">
        <v>1105</v>
      </c>
      <c r="X55" s="16" t="s">
        <v>1106</v>
      </c>
      <c r="Y55" s="15" t="s">
        <v>114</v>
      </c>
      <c r="Z55" s="16" t="s">
        <v>4080</v>
      </c>
      <c r="AA55" s="17">
        <v>188</v>
      </c>
      <c r="AB55" s="17">
        <v>1</v>
      </c>
      <c r="AC55" s="17">
        <v>190</v>
      </c>
      <c r="AD55" s="17">
        <v>1</v>
      </c>
      <c r="AE55" s="17">
        <v>0</v>
      </c>
      <c r="AF55" s="15" t="s">
        <v>142</v>
      </c>
      <c r="AG55" s="15" t="s">
        <v>3201</v>
      </c>
      <c r="AH55" s="15" t="s">
        <v>1107</v>
      </c>
      <c r="AI55" s="18">
        <v>47403</v>
      </c>
      <c r="AJ55" s="15">
        <v>0.75</v>
      </c>
      <c r="AK55" s="15" t="s">
        <v>1108</v>
      </c>
      <c r="AL55" s="15" t="s">
        <v>1109</v>
      </c>
      <c r="AM55" s="3">
        <f>(AI55*AJ55)/2</f>
        <v>17776.125</v>
      </c>
      <c r="AN55" s="7" t="s">
        <v>107</v>
      </c>
      <c r="AO55" s="7" t="s">
        <v>107</v>
      </c>
      <c r="AP55" s="7" t="s">
        <v>107</v>
      </c>
      <c r="AQ55" s="8" t="s">
        <v>107</v>
      </c>
      <c r="AR55" s="7" t="s">
        <v>107</v>
      </c>
      <c r="AS55" s="7" t="s">
        <v>107</v>
      </c>
      <c r="AT55" s="7" t="s">
        <v>107</v>
      </c>
      <c r="AU55" s="3"/>
      <c r="AV55" s="7" t="s">
        <v>107</v>
      </c>
      <c r="AW55" s="7" t="s">
        <v>107</v>
      </c>
      <c r="AX55" s="7" t="s">
        <v>107</v>
      </c>
      <c r="AY55" s="8" t="s">
        <v>107</v>
      </c>
      <c r="AZ55" s="7" t="s">
        <v>107</v>
      </c>
      <c r="BA55" s="7" t="s">
        <v>107</v>
      </c>
      <c r="BB55" s="7" t="s">
        <v>107</v>
      </c>
      <c r="BC55" s="3"/>
      <c r="BD55" s="7" t="s">
        <v>107</v>
      </c>
      <c r="BE55" s="7" t="s">
        <v>107</v>
      </c>
      <c r="BF55" s="7" t="s">
        <v>107</v>
      </c>
      <c r="BG55" s="7" t="s">
        <v>107</v>
      </c>
      <c r="BH55" s="7" t="s">
        <v>107</v>
      </c>
      <c r="BI55" s="7" t="s">
        <v>107</v>
      </c>
      <c r="BJ55" s="7" t="s">
        <v>107</v>
      </c>
      <c r="BK55" s="3"/>
      <c r="BL55" s="7" t="s">
        <v>107</v>
      </c>
      <c r="BM55" s="7" t="s">
        <v>107</v>
      </c>
      <c r="BN55" s="7" t="s">
        <v>107</v>
      </c>
      <c r="BO55" s="8" t="s">
        <v>107</v>
      </c>
      <c r="BP55" s="7" t="s">
        <v>107</v>
      </c>
      <c r="BQ55" s="7" t="s">
        <v>107</v>
      </c>
      <c r="BR55" s="7" t="s">
        <v>107</v>
      </c>
      <c r="BS55" s="3"/>
      <c r="BT55" s="7" t="s">
        <v>107</v>
      </c>
      <c r="BU55" s="7" t="s">
        <v>107</v>
      </c>
      <c r="BV55" s="7" t="s">
        <v>107</v>
      </c>
      <c r="BW55" s="8" t="s">
        <v>107</v>
      </c>
      <c r="BX55" s="7" t="s">
        <v>107</v>
      </c>
      <c r="BY55" s="7" t="s">
        <v>107</v>
      </c>
      <c r="BZ55" s="7" t="s">
        <v>107</v>
      </c>
      <c r="CA55" s="3"/>
      <c r="CB55" s="7"/>
      <c r="CC55" s="7" t="s">
        <v>107</v>
      </c>
      <c r="CD55" s="7" t="s">
        <v>107</v>
      </c>
      <c r="CE55" s="8" t="s">
        <v>107</v>
      </c>
      <c r="CF55" s="7" t="s">
        <v>107</v>
      </c>
      <c r="CG55" s="7" t="s">
        <v>107</v>
      </c>
      <c r="CH55" s="7" t="s">
        <v>107</v>
      </c>
      <c r="CI55" s="3"/>
      <c r="CJ55" s="7"/>
      <c r="CK55" s="7" t="s">
        <v>107</v>
      </c>
      <c r="CL55" s="7" t="s">
        <v>107</v>
      </c>
      <c r="CM55" s="8" t="s">
        <v>107</v>
      </c>
      <c r="CN55" s="7" t="s">
        <v>107</v>
      </c>
      <c r="CO55" s="7" t="s">
        <v>107</v>
      </c>
      <c r="CP55" s="7" t="s">
        <v>107</v>
      </c>
      <c r="CQ55" s="3"/>
      <c r="CR55" s="7"/>
      <c r="CS55" s="7" t="s">
        <v>107</v>
      </c>
      <c r="CT55" s="7" t="s">
        <v>107</v>
      </c>
      <c r="CU55" s="7" t="s">
        <v>107</v>
      </c>
      <c r="CV55" s="7" t="s">
        <v>107</v>
      </c>
      <c r="CW55" s="7" t="s">
        <v>107</v>
      </c>
      <c r="CX55" s="7" t="s">
        <v>107</v>
      </c>
      <c r="CY55" s="3"/>
      <c r="CZ55" s="7"/>
      <c r="DA55" s="7" t="s">
        <v>107</v>
      </c>
      <c r="DB55" s="7" t="s">
        <v>107</v>
      </c>
      <c r="DC55" s="7" t="s">
        <v>107</v>
      </c>
      <c r="DD55" s="7" t="s">
        <v>107</v>
      </c>
      <c r="DE55" s="7" t="s">
        <v>107</v>
      </c>
      <c r="DF55" s="7" t="s">
        <v>107</v>
      </c>
      <c r="DG55" s="3"/>
      <c r="DH55" s="7"/>
      <c r="DI55" s="7" t="s">
        <v>107</v>
      </c>
      <c r="DJ55" s="7" t="s">
        <v>107</v>
      </c>
      <c r="DK55" s="3">
        <f>AM55</f>
        <v>17776.125</v>
      </c>
      <c r="DL55" s="15" t="s">
        <v>1109</v>
      </c>
      <c r="DM55" s="51">
        <f>DL55*0.95</f>
        <v>16887.2</v>
      </c>
    </row>
    <row r="56" spans="1:117" ht="17.25" customHeight="1" x14ac:dyDescent="0.25">
      <c r="A56" s="50" t="s">
        <v>1685</v>
      </c>
      <c r="B56" s="15" t="s">
        <v>1686</v>
      </c>
      <c r="C56" s="15" t="s">
        <v>1687</v>
      </c>
      <c r="D56" s="15" t="s">
        <v>1688</v>
      </c>
      <c r="E56" s="15" t="s">
        <v>1381</v>
      </c>
      <c r="F56" s="15" t="s">
        <v>1689</v>
      </c>
      <c r="G56" s="15" t="s">
        <v>1690</v>
      </c>
      <c r="H56" s="15" t="s">
        <v>1691</v>
      </c>
      <c r="I56" s="15" t="s">
        <v>1692</v>
      </c>
      <c r="J56" s="15" t="s">
        <v>4261</v>
      </c>
      <c r="K56" s="15" t="s">
        <v>151</v>
      </c>
      <c r="L56" s="15" t="s">
        <v>1689</v>
      </c>
      <c r="M56" s="15" t="s">
        <v>1693</v>
      </c>
      <c r="N56" s="15" t="s">
        <v>1694</v>
      </c>
      <c r="O56" s="15" t="s">
        <v>1695</v>
      </c>
      <c r="P56" s="15" t="s">
        <v>1696</v>
      </c>
      <c r="Q56" s="15" t="s">
        <v>1697</v>
      </c>
      <c r="R56" s="15" t="s">
        <v>761</v>
      </c>
      <c r="S56" s="15" t="s">
        <v>1689</v>
      </c>
      <c r="T56" s="15" t="s">
        <v>107</v>
      </c>
      <c r="U56" s="15" t="s">
        <v>1698</v>
      </c>
      <c r="V56" s="15" t="s">
        <v>109</v>
      </c>
      <c r="W56" s="15" t="s">
        <v>1699</v>
      </c>
      <c r="X56" s="16" t="s">
        <v>1700</v>
      </c>
      <c r="Y56" s="15" t="s">
        <v>114</v>
      </c>
      <c r="Z56" s="16" t="s">
        <v>1701</v>
      </c>
      <c r="AA56" s="17">
        <v>535</v>
      </c>
      <c r="AB56" s="17">
        <v>1</v>
      </c>
      <c r="AC56" s="17">
        <v>534</v>
      </c>
      <c r="AD56" s="17">
        <v>1</v>
      </c>
      <c r="AE56" s="17">
        <v>1100</v>
      </c>
      <c r="AF56" s="15" t="s">
        <v>118</v>
      </c>
      <c r="AG56" s="15" t="s">
        <v>480</v>
      </c>
      <c r="AH56" s="15" t="s">
        <v>1697</v>
      </c>
      <c r="AI56" s="18">
        <v>68920.800000000003</v>
      </c>
      <c r="AJ56" s="15">
        <v>0.7</v>
      </c>
      <c r="AK56" s="15" t="s">
        <v>1702</v>
      </c>
      <c r="AL56" s="15" t="s">
        <v>1703</v>
      </c>
      <c r="AM56" s="3">
        <f>(AI56*AJ56)/2</f>
        <v>24122.28</v>
      </c>
      <c r="AN56" s="7" t="s">
        <v>196</v>
      </c>
      <c r="AO56" s="7" t="s">
        <v>480</v>
      </c>
      <c r="AP56" s="7" t="s">
        <v>1704</v>
      </c>
      <c r="AQ56" s="8">
        <v>68920.800000000003</v>
      </c>
      <c r="AR56" s="7">
        <v>0.27</v>
      </c>
      <c r="AS56" s="7" t="s">
        <v>1705</v>
      </c>
      <c r="AT56" s="7" t="s">
        <v>1706</v>
      </c>
      <c r="AU56" s="3">
        <f>(AQ56*AR56)/2</f>
        <v>9304.3080000000009</v>
      </c>
      <c r="AV56" s="7" t="s">
        <v>107</v>
      </c>
      <c r="AW56" s="7" t="s">
        <v>107</v>
      </c>
      <c r="AX56" s="7" t="s">
        <v>107</v>
      </c>
      <c r="AY56" s="8" t="s">
        <v>107</v>
      </c>
      <c r="AZ56" s="7" t="s">
        <v>107</v>
      </c>
      <c r="BA56" s="7" t="s">
        <v>107</v>
      </c>
      <c r="BB56" s="7" t="s">
        <v>107</v>
      </c>
      <c r="BC56" s="3"/>
      <c r="BD56" s="7" t="s">
        <v>107</v>
      </c>
      <c r="BE56" s="7" t="s">
        <v>107</v>
      </c>
      <c r="BF56" s="7" t="s">
        <v>107</v>
      </c>
      <c r="BG56" s="7" t="s">
        <v>107</v>
      </c>
      <c r="BH56" s="7" t="s">
        <v>107</v>
      </c>
      <c r="BI56" s="7" t="s">
        <v>107</v>
      </c>
      <c r="BJ56" s="7" t="s">
        <v>107</v>
      </c>
      <c r="BK56" s="3"/>
      <c r="BL56" s="7" t="s">
        <v>107</v>
      </c>
      <c r="BM56" s="7" t="s">
        <v>107</v>
      </c>
      <c r="BN56" s="7" t="s">
        <v>107</v>
      </c>
      <c r="BO56" s="8" t="s">
        <v>107</v>
      </c>
      <c r="BP56" s="7" t="s">
        <v>107</v>
      </c>
      <c r="BQ56" s="7" t="s">
        <v>107</v>
      </c>
      <c r="BR56" s="7" t="s">
        <v>107</v>
      </c>
      <c r="BS56" s="3"/>
      <c r="BT56" s="7" t="s">
        <v>107</v>
      </c>
      <c r="BU56" s="7" t="s">
        <v>107</v>
      </c>
      <c r="BV56" s="7" t="s">
        <v>107</v>
      </c>
      <c r="BW56" s="8" t="s">
        <v>107</v>
      </c>
      <c r="BX56" s="7" t="s">
        <v>107</v>
      </c>
      <c r="BY56" s="7" t="s">
        <v>107</v>
      </c>
      <c r="BZ56" s="7" t="s">
        <v>107</v>
      </c>
      <c r="CA56" s="3"/>
      <c r="CB56" s="7"/>
      <c r="CC56" s="7" t="s">
        <v>107</v>
      </c>
      <c r="CD56" s="7" t="s">
        <v>107</v>
      </c>
      <c r="CE56" s="8" t="s">
        <v>107</v>
      </c>
      <c r="CF56" s="7" t="s">
        <v>107</v>
      </c>
      <c r="CG56" s="7" t="s">
        <v>107</v>
      </c>
      <c r="CH56" s="7" t="s">
        <v>107</v>
      </c>
      <c r="CI56" s="3"/>
      <c r="CJ56" s="7"/>
      <c r="CK56" s="7" t="s">
        <v>107</v>
      </c>
      <c r="CL56" s="7" t="s">
        <v>107</v>
      </c>
      <c r="CM56" s="8" t="s">
        <v>107</v>
      </c>
      <c r="CN56" s="7" t="s">
        <v>107</v>
      </c>
      <c r="CO56" s="7" t="s">
        <v>107</v>
      </c>
      <c r="CP56" s="7" t="s">
        <v>107</v>
      </c>
      <c r="CQ56" s="3"/>
      <c r="CR56" s="7"/>
      <c r="CS56" s="7" t="s">
        <v>107</v>
      </c>
      <c r="CT56" s="7" t="s">
        <v>107</v>
      </c>
      <c r="CU56" s="7" t="s">
        <v>107</v>
      </c>
      <c r="CV56" s="7" t="s">
        <v>107</v>
      </c>
      <c r="CW56" s="7" t="s">
        <v>107</v>
      </c>
      <c r="CX56" s="7" t="s">
        <v>107</v>
      </c>
      <c r="CY56" s="3"/>
      <c r="CZ56" s="7"/>
      <c r="DA56" s="7" t="s">
        <v>107</v>
      </c>
      <c r="DB56" s="7" t="s">
        <v>107</v>
      </c>
      <c r="DC56" s="7" t="s">
        <v>107</v>
      </c>
      <c r="DD56" s="7" t="s">
        <v>107</v>
      </c>
      <c r="DE56" s="7" t="s">
        <v>107</v>
      </c>
      <c r="DF56" s="7" t="s">
        <v>107</v>
      </c>
      <c r="DG56" s="3"/>
      <c r="DH56" s="7"/>
      <c r="DI56" s="7" t="s">
        <v>107</v>
      </c>
      <c r="DJ56" s="7" t="s">
        <v>107</v>
      </c>
      <c r="DK56" s="3">
        <f>AM56+AU56</f>
        <v>33426.588000000003</v>
      </c>
      <c r="DL56" s="15" t="s">
        <v>1707</v>
      </c>
      <c r="DM56" s="51">
        <f>DL56*0.95</f>
        <v>31755.260499999997</v>
      </c>
    </row>
    <row r="57" spans="1:117" ht="17.25" customHeight="1" x14ac:dyDescent="0.25">
      <c r="A57" s="50" t="s">
        <v>3346</v>
      </c>
      <c r="B57" s="15" t="s">
        <v>3347</v>
      </c>
      <c r="C57" s="15" t="s">
        <v>1193</v>
      </c>
      <c r="D57" s="15" t="s">
        <v>3348</v>
      </c>
      <c r="E57" s="15" t="s">
        <v>601</v>
      </c>
      <c r="F57" s="15" t="s">
        <v>3349</v>
      </c>
      <c r="G57" s="15" t="s">
        <v>3350</v>
      </c>
      <c r="H57" s="15" t="s">
        <v>3351</v>
      </c>
      <c r="I57" s="15" t="s">
        <v>3352</v>
      </c>
      <c r="J57" s="15" t="s">
        <v>4339</v>
      </c>
      <c r="K57" s="15" t="s">
        <v>101</v>
      </c>
      <c r="L57" s="15" t="s">
        <v>3353</v>
      </c>
      <c r="M57" s="15" t="s">
        <v>3354</v>
      </c>
      <c r="N57" s="15" t="s">
        <v>3355</v>
      </c>
      <c r="O57" s="15" t="s">
        <v>3349</v>
      </c>
      <c r="P57" s="15" t="s">
        <v>3356</v>
      </c>
      <c r="Q57" s="15" t="s">
        <v>3357</v>
      </c>
      <c r="R57" s="15" t="s">
        <v>3201</v>
      </c>
      <c r="S57" s="15" t="s">
        <v>3358</v>
      </c>
      <c r="T57" s="15" t="s">
        <v>107</v>
      </c>
      <c r="U57" s="15" t="s">
        <v>3359</v>
      </c>
      <c r="V57" s="15" t="s">
        <v>109</v>
      </c>
      <c r="W57" s="15" t="s">
        <v>3360</v>
      </c>
      <c r="X57" s="16" t="s">
        <v>3361</v>
      </c>
      <c r="Y57" s="15" t="s">
        <v>814</v>
      </c>
      <c r="Z57" s="16" t="s">
        <v>3361</v>
      </c>
      <c r="AA57" s="17">
        <v>1264</v>
      </c>
      <c r="AB57" s="17">
        <v>33</v>
      </c>
      <c r="AC57" s="17">
        <v>5132</v>
      </c>
      <c r="AD57" s="17">
        <v>0</v>
      </c>
      <c r="AE57" s="17">
        <v>0</v>
      </c>
      <c r="AF57" s="15" t="s">
        <v>142</v>
      </c>
      <c r="AG57" s="15" t="s">
        <v>3201</v>
      </c>
      <c r="AH57" s="15" t="s">
        <v>3357</v>
      </c>
      <c r="AI57" s="18">
        <v>79289.600000000006</v>
      </c>
      <c r="AJ57" s="15">
        <v>0.5</v>
      </c>
      <c r="AK57" s="15" t="s">
        <v>3362</v>
      </c>
      <c r="AL57" s="15" t="s">
        <v>3363</v>
      </c>
      <c r="AM57" s="3">
        <f>(AI57*AJ57)/2</f>
        <v>19822.400000000001</v>
      </c>
      <c r="AN57" s="7" t="s">
        <v>142</v>
      </c>
      <c r="AO57" s="7" t="s">
        <v>115</v>
      </c>
      <c r="AP57" s="7" t="s">
        <v>3364</v>
      </c>
      <c r="AQ57" s="8">
        <v>72737.600000000006</v>
      </c>
      <c r="AR57" s="7">
        <v>0.8</v>
      </c>
      <c r="AS57" s="7" t="s">
        <v>3365</v>
      </c>
      <c r="AT57" s="7" t="s">
        <v>3366</v>
      </c>
      <c r="AU57" s="3">
        <f>(AQ57*AR57)/2</f>
        <v>29095.040000000005</v>
      </c>
      <c r="AV57" s="7" t="s">
        <v>142</v>
      </c>
      <c r="AW57" s="7" t="s">
        <v>115</v>
      </c>
      <c r="AX57" s="7" t="s">
        <v>3367</v>
      </c>
      <c r="AY57" s="8">
        <v>72737.600000000006</v>
      </c>
      <c r="AZ57" s="7">
        <v>0.8</v>
      </c>
      <c r="BA57" s="7" t="s">
        <v>3365</v>
      </c>
      <c r="BB57" s="7" t="s">
        <v>3366</v>
      </c>
      <c r="BC57" s="3">
        <f>(AY57*AZ57)/2</f>
        <v>29095.040000000005</v>
      </c>
      <c r="BD57" s="7" t="s">
        <v>142</v>
      </c>
      <c r="BE57" s="7" t="s">
        <v>115</v>
      </c>
      <c r="BF57" s="7" t="s">
        <v>3368</v>
      </c>
      <c r="BG57" s="12">
        <v>69596.800000000003</v>
      </c>
      <c r="BH57" s="7">
        <v>0.8</v>
      </c>
      <c r="BI57" s="7" t="s">
        <v>3369</v>
      </c>
      <c r="BJ57" s="7" t="s">
        <v>3370</v>
      </c>
      <c r="BK57" s="3">
        <f>(BG57*BH57)/2</f>
        <v>27838.720000000001</v>
      </c>
      <c r="BL57" s="7" t="s">
        <v>142</v>
      </c>
      <c r="BM57" s="7" t="s">
        <v>115</v>
      </c>
      <c r="BN57" s="7" t="s">
        <v>3371</v>
      </c>
      <c r="BO57" s="8">
        <v>72737.600000000006</v>
      </c>
      <c r="BP57" s="7">
        <v>0.8</v>
      </c>
      <c r="BQ57" s="7" t="s">
        <v>3365</v>
      </c>
      <c r="BR57" s="7" t="s">
        <v>3366</v>
      </c>
      <c r="BS57" s="3">
        <f>(BO57*BP57)/2</f>
        <v>29095.040000000005</v>
      </c>
      <c r="BT57" s="7" t="s">
        <v>142</v>
      </c>
      <c r="BU57" s="7" t="s">
        <v>115</v>
      </c>
      <c r="BV57" s="7" t="s">
        <v>3372</v>
      </c>
      <c r="BW57" s="8">
        <v>52769.599999999999</v>
      </c>
      <c r="BX57" s="7">
        <v>0.8</v>
      </c>
      <c r="BY57" s="7" t="s">
        <v>3373</v>
      </c>
      <c r="BZ57" s="7" t="s">
        <v>3374</v>
      </c>
      <c r="CA57" s="3">
        <f>(BW57*BX57)/2</f>
        <v>21107.84</v>
      </c>
      <c r="CB57" s="7" t="s">
        <v>142</v>
      </c>
      <c r="CC57" s="7" t="s">
        <v>115</v>
      </c>
      <c r="CD57" s="7" t="s">
        <v>3375</v>
      </c>
      <c r="CE57" s="8">
        <v>72737.600000000006</v>
      </c>
      <c r="CF57" s="7">
        <v>0.8</v>
      </c>
      <c r="CG57" s="7" t="s">
        <v>3365</v>
      </c>
      <c r="CH57" s="7" t="s">
        <v>3366</v>
      </c>
      <c r="CI57" s="3">
        <f>(CE57*CF57)/2</f>
        <v>29095.040000000005</v>
      </c>
      <c r="CJ57" s="7" t="s">
        <v>142</v>
      </c>
      <c r="CK57" s="7" t="s">
        <v>2733</v>
      </c>
      <c r="CL57" s="7" t="s">
        <v>3376</v>
      </c>
      <c r="CM57" s="8">
        <v>86424</v>
      </c>
      <c r="CN57" s="7">
        <v>0.5</v>
      </c>
      <c r="CO57" s="7" t="s">
        <v>3377</v>
      </c>
      <c r="CP57" s="7" t="s">
        <v>3378</v>
      </c>
      <c r="CQ57" s="3">
        <f>(CM57*CN57)/2</f>
        <v>21606</v>
      </c>
      <c r="CR57" s="7" t="s">
        <v>142</v>
      </c>
      <c r="CS57" s="7" t="s">
        <v>115</v>
      </c>
      <c r="CT57" s="7" t="s">
        <v>3379</v>
      </c>
      <c r="CU57" s="8">
        <v>69596.800000000003</v>
      </c>
      <c r="CV57" s="7">
        <v>0.8</v>
      </c>
      <c r="CW57" s="7" t="s">
        <v>3369</v>
      </c>
      <c r="CX57" s="7" t="s">
        <v>3370</v>
      </c>
      <c r="CY57" s="3">
        <f>(CU57*CV57)/2</f>
        <v>27838.720000000001</v>
      </c>
      <c r="CZ57" s="7" t="s">
        <v>142</v>
      </c>
      <c r="DA57" s="7" t="s">
        <v>115</v>
      </c>
      <c r="DB57" s="7" t="s">
        <v>3380</v>
      </c>
      <c r="DC57" s="8">
        <v>72737.600000000006</v>
      </c>
      <c r="DD57" s="7">
        <v>0.8</v>
      </c>
      <c r="DE57" s="7" t="s">
        <v>3365</v>
      </c>
      <c r="DF57" s="7" t="s">
        <v>3366</v>
      </c>
      <c r="DG57" s="3">
        <f>(DC57*DD57)/2</f>
        <v>29095.040000000005</v>
      </c>
      <c r="DH57" s="7" t="s">
        <v>142</v>
      </c>
      <c r="DI57" s="7" t="s">
        <v>3381</v>
      </c>
      <c r="DJ57" s="12">
        <v>29095.040000000001</v>
      </c>
      <c r="DK57" s="5">
        <f>DJ57+DG57+CY57+CQ57+CI57+CA57+BS57+BK57+BC57+AU57+AM57</f>
        <v>292783.92000000004</v>
      </c>
      <c r="DL57" s="15" t="s">
        <v>3382</v>
      </c>
      <c r="DM57" s="51">
        <f>DL57*0.95</f>
        <v>278144.72399999999</v>
      </c>
    </row>
    <row r="58" spans="1:117" ht="17.25" customHeight="1" x14ac:dyDescent="0.25">
      <c r="A58" s="50" t="s">
        <v>1960</v>
      </c>
      <c r="B58" s="15" t="s">
        <v>1961</v>
      </c>
      <c r="C58" s="15" t="s">
        <v>1962</v>
      </c>
      <c r="D58" s="15" t="s">
        <v>1963</v>
      </c>
      <c r="E58" s="15" t="s">
        <v>1964</v>
      </c>
      <c r="F58" s="15" t="s">
        <v>1965</v>
      </c>
      <c r="G58" s="15" t="s">
        <v>1966</v>
      </c>
      <c r="H58" s="15" t="s">
        <v>1967</v>
      </c>
      <c r="I58" s="15" t="s">
        <v>1968</v>
      </c>
      <c r="J58" s="15" t="s">
        <v>4273</v>
      </c>
      <c r="K58" s="15" t="s">
        <v>151</v>
      </c>
      <c r="L58" s="15" t="s">
        <v>1965</v>
      </c>
      <c r="M58" s="15" t="s">
        <v>1969</v>
      </c>
      <c r="N58" s="15" t="s">
        <v>1970</v>
      </c>
      <c r="O58" s="15" t="s">
        <v>1971</v>
      </c>
      <c r="P58" s="15" t="s">
        <v>1972</v>
      </c>
      <c r="Q58" s="15" t="s">
        <v>1973</v>
      </c>
      <c r="R58" s="15" t="s">
        <v>368</v>
      </c>
      <c r="S58" s="15" t="s">
        <v>1965</v>
      </c>
      <c r="T58" s="15" t="s">
        <v>107</v>
      </c>
      <c r="U58" s="15" t="s">
        <v>1974</v>
      </c>
      <c r="V58" s="15" t="s">
        <v>109</v>
      </c>
      <c r="W58" s="15" t="s">
        <v>1975</v>
      </c>
      <c r="X58" s="16" t="s">
        <v>1976</v>
      </c>
      <c r="Y58" s="15" t="s">
        <v>835</v>
      </c>
      <c r="Z58" s="16" t="s">
        <v>1977</v>
      </c>
      <c r="AA58" s="17">
        <v>0</v>
      </c>
      <c r="AB58" s="17">
        <v>1</v>
      </c>
      <c r="AC58" s="17">
        <v>350</v>
      </c>
      <c r="AD58" s="17">
        <v>0</v>
      </c>
      <c r="AE58" s="17">
        <v>0</v>
      </c>
      <c r="AF58" s="15" t="s">
        <v>142</v>
      </c>
      <c r="AG58" s="15" t="s">
        <v>368</v>
      </c>
      <c r="AH58" s="15" t="s">
        <v>1973</v>
      </c>
      <c r="AI58" s="18">
        <v>54184</v>
      </c>
      <c r="AJ58" s="15">
        <v>1.2999999999999999E-2</v>
      </c>
      <c r="AK58" s="15" t="s">
        <v>1978</v>
      </c>
      <c r="AL58" s="15" t="s">
        <v>1979</v>
      </c>
      <c r="AM58" s="3">
        <f>(AI58*AJ58)/2</f>
        <v>352.19599999999997</v>
      </c>
      <c r="AN58" s="7" t="s">
        <v>142</v>
      </c>
      <c r="AO58" s="7" t="s">
        <v>1980</v>
      </c>
      <c r="AP58" s="7" t="s">
        <v>1981</v>
      </c>
      <c r="AQ58" s="8">
        <v>60112</v>
      </c>
      <c r="AR58" s="7">
        <v>8.9999999999999993E-3</v>
      </c>
      <c r="AS58" s="7" t="s">
        <v>1982</v>
      </c>
      <c r="AT58" s="7" t="s">
        <v>1983</v>
      </c>
      <c r="AU58" s="3">
        <f>(AQ58*AR58)/2</f>
        <v>270.50399999999996</v>
      </c>
      <c r="AV58" s="7" t="s">
        <v>142</v>
      </c>
      <c r="AW58" s="7" t="s">
        <v>157</v>
      </c>
      <c r="AX58" s="7" t="s">
        <v>1984</v>
      </c>
      <c r="AY58" s="8">
        <v>49899</v>
      </c>
      <c r="AZ58" s="7">
        <v>8.9999999999999993E-3</v>
      </c>
      <c r="BA58" s="7" t="s">
        <v>1985</v>
      </c>
      <c r="BB58" s="7" t="s">
        <v>1986</v>
      </c>
      <c r="BC58" s="3">
        <f>(AY58*AZ58)/2</f>
        <v>224.54549999999998</v>
      </c>
      <c r="BD58" s="7" t="s">
        <v>142</v>
      </c>
      <c r="BE58" s="7" t="s">
        <v>157</v>
      </c>
      <c r="BF58" s="7" t="s">
        <v>1987</v>
      </c>
      <c r="BG58" s="12">
        <v>54662</v>
      </c>
      <c r="BH58" s="7">
        <v>8.9999999999999993E-3</v>
      </c>
      <c r="BI58" s="7" t="s">
        <v>1988</v>
      </c>
      <c r="BJ58" s="7" t="s">
        <v>1989</v>
      </c>
      <c r="BK58" s="3">
        <f>(BG58*BH58)/2</f>
        <v>245.97899999999998</v>
      </c>
      <c r="BL58" s="7" t="s">
        <v>107</v>
      </c>
      <c r="BM58" s="7" t="s">
        <v>107</v>
      </c>
      <c r="BN58" s="7" t="s">
        <v>107</v>
      </c>
      <c r="BO58" s="8" t="s">
        <v>107</v>
      </c>
      <c r="BP58" s="7" t="s">
        <v>107</v>
      </c>
      <c r="BQ58" s="7" t="s">
        <v>107</v>
      </c>
      <c r="BR58" s="7" t="s">
        <v>107</v>
      </c>
      <c r="BS58" s="3"/>
      <c r="BT58" s="7" t="s">
        <v>107</v>
      </c>
      <c r="BU58" s="7" t="s">
        <v>107</v>
      </c>
      <c r="BV58" s="7" t="s">
        <v>107</v>
      </c>
      <c r="BW58" s="8" t="s">
        <v>107</v>
      </c>
      <c r="BX58" s="7" t="s">
        <v>107</v>
      </c>
      <c r="BY58" s="7" t="s">
        <v>107</v>
      </c>
      <c r="BZ58" s="7" t="s">
        <v>107</v>
      </c>
      <c r="CA58" s="3"/>
      <c r="CB58" s="7"/>
      <c r="CC58" s="7" t="s">
        <v>107</v>
      </c>
      <c r="CD58" s="7" t="s">
        <v>107</v>
      </c>
      <c r="CE58" s="8" t="s">
        <v>107</v>
      </c>
      <c r="CF58" s="7" t="s">
        <v>107</v>
      </c>
      <c r="CG58" s="7" t="s">
        <v>107</v>
      </c>
      <c r="CH58" s="7" t="s">
        <v>107</v>
      </c>
      <c r="CI58" s="3"/>
      <c r="CJ58" s="7"/>
      <c r="CK58" s="7" t="s">
        <v>107</v>
      </c>
      <c r="CL58" s="7" t="s">
        <v>107</v>
      </c>
      <c r="CM58" s="8" t="s">
        <v>107</v>
      </c>
      <c r="CN58" s="7" t="s">
        <v>107</v>
      </c>
      <c r="CO58" s="7" t="s">
        <v>107</v>
      </c>
      <c r="CP58" s="7" t="s">
        <v>107</v>
      </c>
      <c r="CQ58" s="3"/>
      <c r="CR58" s="7"/>
      <c r="CS58" s="7" t="s">
        <v>107</v>
      </c>
      <c r="CT58" s="7" t="s">
        <v>107</v>
      </c>
      <c r="CU58" s="7" t="s">
        <v>107</v>
      </c>
      <c r="CV58" s="7" t="s">
        <v>107</v>
      </c>
      <c r="CW58" s="7" t="s">
        <v>107</v>
      </c>
      <c r="CX58" s="7" t="s">
        <v>107</v>
      </c>
      <c r="CY58" s="3"/>
      <c r="CZ58" s="7"/>
      <c r="DA58" s="7" t="s">
        <v>107</v>
      </c>
      <c r="DB58" s="7" t="s">
        <v>107</v>
      </c>
      <c r="DC58" s="7" t="s">
        <v>107</v>
      </c>
      <c r="DD58" s="7" t="s">
        <v>107</v>
      </c>
      <c r="DE58" s="7" t="s">
        <v>107</v>
      </c>
      <c r="DF58" s="7" t="s">
        <v>107</v>
      </c>
      <c r="DG58" s="3"/>
      <c r="DH58" s="7"/>
      <c r="DI58" s="7" t="s">
        <v>107</v>
      </c>
      <c r="DJ58" s="7" t="s">
        <v>107</v>
      </c>
      <c r="DK58" s="5">
        <f>AM58+AU58+BC58+BK58</f>
        <v>1093.2244999999998</v>
      </c>
      <c r="DL58" s="15" t="s">
        <v>1990</v>
      </c>
      <c r="DM58" s="51">
        <f>DL58*0.95</f>
        <v>1036.45</v>
      </c>
    </row>
    <row r="59" spans="1:117" ht="17.25" customHeight="1" x14ac:dyDescent="0.25">
      <c r="A59" s="50" t="s">
        <v>309</v>
      </c>
      <c r="B59" s="15" t="s">
        <v>310</v>
      </c>
      <c r="C59" s="15" t="s">
        <v>311</v>
      </c>
      <c r="D59" s="15" t="s">
        <v>312</v>
      </c>
      <c r="E59" s="15" t="s">
        <v>313</v>
      </c>
      <c r="F59" s="15" t="s">
        <v>314</v>
      </c>
      <c r="G59" s="15" t="s">
        <v>315</v>
      </c>
      <c r="H59" s="15" t="s">
        <v>316</v>
      </c>
      <c r="I59" s="15" t="s">
        <v>317</v>
      </c>
      <c r="J59" s="15" t="s">
        <v>4371</v>
      </c>
      <c r="K59" s="15" t="s">
        <v>101</v>
      </c>
      <c r="L59" s="15" t="s">
        <v>314</v>
      </c>
      <c r="M59" s="15" t="s">
        <v>318</v>
      </c>
      <c r="N59" s="15" t="s">
        <v>319</v>
      </c>
      <c r="O59" s="15" t="s">
        <v>314</v>
      </c>
      <c r="P59" s="15" t="s">
        <v>320</v>
      </c>
      <c r="Q59" s="15" t="s">
        <v>321</v>
      </c>
      <c r="R59" s="15" t="s">
        <v>261</v>
      </c>
      <c r="S59" s="15" t="s">
        <v>322</v>
      </c>
      <c r="T59" s="15" t="s">
        <v>107</v>
      </c>
      <c r="U59" s="15" t="s">
        <v>323</v>
      </c>
      <c r="V59" s="15" t="s">
        <v>109</v>
      </c>
      <c r="W59" s="15" t="s">
        <v>324</v>
      </c>
      <c r="X59" s="16" t="s">
        <v>325</v>
      </c>
      <c r="Y59" s="15" t="s">
        <v>185</v>
      </c>
      <c r="Z59" s="16" t="s">
        <v>326</v>
      </c>
      <c r="AA59" s="17">
        <v>2254</v>
      </c>
      <c r="AB59" s="17">
        <v>3</v>
      </c>
      <c r="AC59" s="17">
        <v>984</v>
      </c>
      <c r="AD59" s="17">
        <v>4</v>
      </c>
      <c r="AE59" s="17">
        <v>1689</v>
      </c>
      <c r="AF59" s="15" t="s">
        <v>196</v>
      </c>
      <c r="AG59" s="15" t="s">
        <v>115</v>
      </c>
      <c r="AH59" s="15" t="s">
        <v>327</v>
      </c>
      <c r="AI59" s="18">
        <v>34902.400000000001</v>
      </c>
      <c r="AJ59" s="15">
        <v>0.6</v>
      </c>
      <c r="AK59" s="15" t="s">
        <v>328</v>
      </c>
      <c r="AL59" s="15" t="s">
        <v>329</v>
      </c>
      <c r="AM59" s="3">
        <f>(AI59*AJ59)/2</f>
        <v>10470.719999999999</v>
      </c>
      <c r="AN59" s="7" t="s">
        <v>107</v>
      </c>
      <c r="AO59" s="7" t="s">
        <v>107</v>
      </c>
      <c r="AP59" s="7" t="s">
        <v>107</v>
      </c>
      <c r="AQ59" s="8" t="s">
        <v>107</v>
      </c>
      <c r="AR59" s="7" t="s">
        <v>107</v>
      </c>
      <c r="AS59" s="7" t="s">
        <v>107</v>
      </c>
      <c r="AT59" s="7" t="s">
        <v>107</v>
      </c>
      <c r="AU59" s="3"/>
      <c r="AV59" s="7" t="s">
        <v>107</v>
      </c>
      <c r="AW59" s="7" t="s">
        <v>107</v>
      </c>
      <c r="AX59" s="7" t="s">
        <v>107</v>
      </c>
      <c r="AY59" s="8" t="s">
        <v>107</v>
      </c>
      <c r="AZ59" s="7" t="s">
        <v>107</v>
      </c>
      <c r="BA59" s="7" t="s">
        <v>107</v>
      </c>
      <c r="BB59" s="7" t="s">
        <v>107</v>
      </c>
      <c r="BC59" s="3"/>
      <c r="BD59" s="7" t="s">
        <v>107</v>
      </c>
      <c r="BE59" s="7" t="s">
        <v>107</v>
      </c>
      <c r="BF59" s="7" t="s">
        <v>107</v>
      </c>
      <c r="BG59" s="7" t="s">
        <v>107</v>
      </c>
      <c r="BH59" s="7" t="s">
        <v>107</v>
      </c>
      <c r="BI59" s="7" t="s">
        <v>107</v>
      </c>
      <c r="BJ59" s="7" t="s">
        <v>107</v>
      </c>
      <c r="BK59" s="3"/>
      <c r="BL59" s="7" t="s">
        <v>107</v>
      </c>
      <c r="BM59" s="7" t="s">
        <v>107</v>
      </c>
      <c r="BN59" s="7" t="s">
        <v>107</v>
      </c>
      <c r="BO59" s="8" t="s">
        <v>107</v>
      </c>
      <c r="BP59" s="7" t="s">
        <v>107</v>
      </c>
      <c r="BQ59" s="7" t="s">
        <v>107</v>
      </c>
      <c r="BR59" s="7" t="s">
        <v>107</v>
      </c>
      <c r="BS59" s="3"/>
      <c r="BT59" s="7" t="s">
        <v>107</v>
      </c>
      <c r="BU59" s="7" t="s">
        <v>107</v>
      </c>
      <c r="BV59" s="7" t="s">
        <v>107</v>
      </c>
      <c r="BW59" s="8" t="s">
        <v>107</v>
      </c>
      <c r="BX59" s="7" t="s">
        <v>107</v>
      </c>
      <c r="BY59" s="7" t="s">
        <v>107</v>
      </c>
      <c r="BZ59" s="7" t="s">
        <v>107</v>
      </c>
      <c r="CA59" s="3"/>
      <c r="CB59" s="7"/>
      <c r="CC59" s="7" t="s">
        <v>107</v>
      </c>
      <c r="CD59" s="7" t="s">
        <v>107</v>
      </c>
      <c r="CE59" s="8" t="s">
        <v>107</v>
      </c>
      <c r="CF59" s="7" t="s">
        <v>107</v>
      </c>
      <c r="CG59" s="7" t="s">
        <v>107</v>
      </c>
      <c r="CH59" s="7" t="s">
        <v>107</v>
      </c>
      <c r="CI59" s="3"/>
      <c r="CJ59" s="7"/>
      <c r="CK59" s="7" t="s">
        <v>107</v>
      </c>
      <c r="CL59" s="7" t="s">
        <v>107</v>
      </c>
      <c r="CM59" s="8" t="s">
        <v>107</v>
      </c>
      <c r="CN59" s="7" t="s">
        <v>107</v>
      </c>
      <c r="CO59" s="7" t="s">
        <v>107</v>
      </c>
      <c r="CP59" s="7" t="s">
        <v>107</v>
      </c>
      <c r="CQ59" s="3"/>
      <c r="CR59" s="7"/>
      <c r="CS59" s="7" t="s">
        <v>107</v>
      </c>
      <c r="CT59" s="7" t="s">
        <v>107</v>
      </c>
      <c r="CU59" s="7" t="s">
        <v>107</v>
      </c>
      <c r="CV59" s="7" t="s">
        <v>107</v>
      </c>
      <c r="CW59" s="7" t="s">
        <v>107</v>
      </c>
      <c r="CX59" s="7" t="s">
        <v>107</v>
      </c>
      <c r="CY59" s="3"/>
      <c r="CZ59" s="7"/>
      <c r="DA59" s="7" t="s">
        <v>107</v>
      </c>
      <c r="DB59" s="7" t="s">
        <v>107</v>
      </c>
      <c r="DC59" s="7" t="s">
        <v>107</v>
      </c>
      <c r="DD59" s="7" t="s">
        <v>107</v>
      </c>
      <c r="DE59" s="7" t="s">
        <v>107</v>
      </c>
      <c r="DF59" s="7" t="s">
        <v>107</v>
      </c>
      <c r="DG59" s="3"/>
      <c r="DH59" s="7"/>
      <c r="DI59" s="7" t="s">
        <v>107</v>
      </c>
      <c r="DJ59" s="7" t="s">
        <v>107</v>
      </c>
      <c r="DK59" s="5">
        <f>AM59</f>
        <v>10470.719999999999</v>
      </c>
      <c r="DL59" s="15" t="s">
        <v>330</v>
      </c>
      <c r="DM59" s="51">
        <f>DL59*0.95</f>
        <v>9947.1839999999993</v>
      </c>
    </row>
    <row r="60" spans="1:117" ht="17.25" customHeight="1" x14ac:dyDescent="0.25">
      <c r="A60" s="50" t="s">
        <v>486</v>
      </c>
      <c r="B60" s="15" t="s">
        <v>487</v>
      </c>
      <c r="C60" s="15" t="s">
        <v>488</v>
      </c>
      <c r="D60" s="15" t="s">
        <v>489</v>
      </c>
      <c r="E60" s="15" t="s">
        <v>147</v>
      </c>
      <c r="F60" s="15" t="s">
        <v>490</v>
      </c>
      <c r="G60" s="15" t="s">
        <v>491</v>
      </c>
      <c r="H60" s="15" t="s">
        <v>492</v>
      </c>
      <c r="I60" s="15" t="s">
        <v>493</v>
      </c>
      <c r="J60" s="15" t="s">
        <v>4205</v>
      </c>
      <c r="K60" s="15" t="s">
        <v>101</v>
      </c>
      <c r="L60" s="15" t="s">
        <v>494</v>
      </c>
      <c r="M60" s="15" t="s">
        <v>495</v>
      </c>
      <c r="N60" s="15" t="s">
        <v>496</v>
      </c>
      <c r="O60" s="15" t="s">
        <v>497</v>
      </c>
      <c r="P60" s="15" t="s">
        <v>498</v>
      </c>
      <c r="Q60" s="15" t="s">
        <v>499</v>
      </c>
      <c r="R60" s="15" t="s">
        <v>115</v>
      </c>
      <c r="S60" s="15" t="s">
        <v>490</v>
      </c>
      <c r="T60" s="15" t="s">
        <v>107</v>
      </c>
      <c r="U60" s="15" t="s">
        <v>500</v>
      </c>
      <c r="V60" s="15" t="s">
        <v>109</v>
      </c>
      <c r="W60" s="15" t="s">
        <v>501</v>
      </c>
      <c r="X60" s="16" t="s">
        <v>502</v>
      </c>
      <c r="Y60" s="15" t="s">
        <v>185</v>
      </c>
      <c r="Z60" s="24" t="s">
        <v>4076</v>
      </c>
      <c r="AA60" s="17">
        <v>600</v>
      </c>
      <c r="AB60" s="17">
        <v>2</v>
      </c>
      <c r="AC60" s="17">
        <v>300</v>
      </c>
      <c r="AD60" s="17">
        <v>0</v>
      </c>
      <c r="AE60" s="17">
        <v>0</v>
      </c>
      <c r="AF60" s="15" t="s">
        <v>142</v>
      </c>
      <c r="AG60" s="15" t="s">
        <v>503</v>
      </c>
      <c r="AH60" s="15" t="s">
        <v>504</v>
      </c>
      <c r="AI60" s="18">
        <v>64084.800000000003</v>
      </c>
      <c r="AJ60" s="15">
        <v>0.69</v>
      </c>
      <c r="AK60" s="15" t="s">
        <v>505</v>
      </c>
      <c r="AL60" s="15" t="s">
        <v>506</v>
      </c>
      <c r="AM60" s="3">
        <f>(AI60*AJ60)/2</f>
        <v>22109.255999999998</v>
      </c>
      <c r="AN60" s="7" t="s">
        <v>142</v>
      </c>
      <c r="AO60" s="7" t="s">
        <v>115</v>
      </c>
      <c r="AP60" s="7" t="s">
        <v>507</v>
      </c>
      <c r="AQ60" s="8">
        <v>54683.199999999997</v>
      </c>
      <c r="AR60" s="7">
        <v>0.69</v>
      </c>
      <c r="AS60" s="7" t="s">
        <v>508</v>
      </c>
      <c r="AT60" s="7" t="s">
        <v>509</v>
      </c>
      <c r="AU60" s="3">
        <f>(AQ60*AR60)/2</f>
        <v>18865.703999999998</v>
      </c>
      <c r="AV60" s="7" t="s">
        <v>107</v>
      </c>
      <c r="AW60" s="7" t="s">
        <v>107</v>
      </c>
      <c r="AX60" s="7" t="s">
        <v>107</v>
      </c>
      <c r="AY60" s="8" t="s">
        <v>107</v>
      </c>
      <c r="AZ60" s="7" t="s">
        <v>107</v>
      </c>
      <c r="BA60" s="7" t="s">
        <v>107</v>
      </c>
      <c r="BB60" s="7" t="s">
        <v>107</v>
      </c>
      <c r="BC60" s="3"/>
      <c r="BD60" s="7" t="s">
        <v>107</v>
      </c>
      <c r="BE60" s="7" t="s">
        <v>107</v>
      </c>
      <c r="BF60" s="7" t="s">
        <v>107</v>
      </c>
      <c r="BG60" s="7" t="s">
        <v>107</v>
      </c>
      <c r="BH60" s="7" t="s">
        <v>107</v>
      </c>
      <c r="BI60" s="7" t="s">
        <v>107</v>
      </c>
      <c r="BJ60" s="7" t="s">
        <v>107</v>
      </c>
      <c r="BK60" s="3"/>
      <c r="BL60" s="7" t="s">
        <v>107</v>
      </c>
      <c r="BM60" s="7" t="s">
        <v>107</v>
      </c>
      <c r="BN60" s="7" t="s">
        <v>107</v>
      </c>
      <c r="BO60" s="8" t="s">
        <v>107</v>
      </c>
      <c r="BP60" s="7" t="s">
        <v>107</v>
      </c>
      <c r="BQ60" s="7" t="s">
        <v>107</v>
      </c>
      <c r="BR60" s="7" t="s">
        <v>107</v>
      </c>
      <c r="BS60" s="3"/>
      <c r="BT60" s="7" t="s">
        <v>107</v>
      </c>
      <c r="BU60" s="7" t="s">
        <v>107</v>
      </c>
      <c r="BV60" s="7" t="s">
        <v>107</v>
      </c>
      <c r="BW60" s="8" t="s">
        <v>107</v>
      </c>
      <c r="BX60" s="7" t="s">
        <v>107</v>
      </c>
      <c r="BY60" s="7" t="s">
        <v>107</v>
      </c>
      <c r="BZ60" s="7" t="s">
        <v>107</v>
      </c>
      <c r="CA60" s="3"/>
      <c r="CB60" s="7"/>
      <c r="CC60" s="7" t="s">
        <v>107</v>
      </c>
      <c r="CD60" s="7" t="s">
        <v>107</v>
      </c>
      <c r="CE60" s="8" t="s">
        <v>107</v>
      </c>
      <c r="CF60" s="7" t="s">
        <v>107</v>
      </c>
      <c r="CG60" s="7" t="s">
        <v>107</v>
      </c>
      <c r="CH60" s="7" t="s">
        <v>107</v>
      </c>
      <c r="CI60" s="3"/>
      <c r="CJ60" s="7"/>
      <c r="CK60" s="7" t="s">
        <v>107</v>
      </c>
      <c r="CL60" s="7" t="s">
        <v>107</v>
      </c>
      <c r="CM60" s="8" t="s">
        <v>107</v>
      </c>
      <c r="CN60" s="7" t="s">
        <v>107</v>
      </c>
      <c r="CO60" s="7" t="s">
        <v>107</v>
      </c>
      <c r="CP60" s="7" t="s">
        <v>107</v>
      </c>
      <c r="CQ60" s="3"/>
      <c r="CR60" s="7"/>
      <c r="CS60" s="7" t="s">
        <v>107</v>
      </c>
      <c r="CT60" s="7" t="s">
        <v>107</v>
      </c>
      <c r="CU60" s="7" t="s">
        <v>107</v>
      </c>
      <c r="CV60" s="7" t="s">
        <v>107</v>
      </c>
      <c r="CW60" s="7" t="s">
        <v>107</v>
      </c>
      <c r="CX60" s="7" t="s">
        <v>107</v>
      </c>
      <c r="CY60" s="3"/>
      <c r="CZ60" s="7"/>
      <c r="DA60" s="7" t="s">
        <v>107</v>
      </c>
      <c r="DB60" s="7" t="s">
        <v>107</v>
      </c>
      <c r="DC60" s="7" t="s">
        <v>107</v>
      </c>
      <c r="DD60" s="7" t="s">
        <v>107</v>
      </c>
      <c r="DE60" s="7" t="s">
        <v>107</v>
      </c>
      <c r="DF60" s="7" t="s">
        <v>107</v>
      </c>
      <c r="DG60" s="3"/>
      <c r="DH60" s="7"/>
      <c r="DI60" s="7" t="s">
        <v>107</v>
      </c>
      <c r="DJ60" s="7" t="s">
        <v>107</v>
      </c>
      <c r="DK60" s="5">
        <f>AM60+AU60</f>
        <v>40974.959999999992</v>
      </c>
      <c r="DL60" s="15" t="s">
        <v>510</v>
      </c>
      <c r="DM60" s="51">
        <f>DL60*0.95</f>
        <v>38926.202499999992</v>
      </c>
    </row>
    <row r="61" spans="1:117" ht="17.25" customHeight="1" x14ac:dyDescent="0.25">
      <c r="A61" s="50" t="s">
        <v>1613</v>
      </c>
      <c r="B61" s="15" t="s">
        <v>1614</v>
      </c>
      <c r="C61" s="15" t="s">
        <v>1615</v>
      </c>
      <c r="D61" s="15" t="s">
        <v>1616</v>
      </c>
      <c r="E61" s="15" t="s">
        <v>1153</v>
      </c>
      <c r="F61" s="15" t="s">
        <v>1617</v>
      </c>
      <c r="G61" s="15" t="s">
        <v>1618</v>
      </c>
      <c r="H61" s="15" t="s">
        <v>1619</v>
      </c>
      <c r="I61" s="15" t="s">
        <v>1620</v>
      </c>
      <c r="J61" s="15" t="s">
        <v>4227</v>
      </c>
      <c r="K61" s="15" t="s">
        <v>151</v>
      </c>
      <c r="L61" s="15" t="s">
        <v>1617</v>
      </c>
      <c r="M61" s="15" t="s">
        <v>1621</v>
      </c>
      <c r="N61" s="15" t="s">
        <v>1622</v>
      </c>
      <c r="O61" s="15" t="s">
        <v>1623</v>
      </c>
      <c r="P61" s="15" t="s">
        <v>1624</v>
      </c>
      <c r="Q61" s="15" t="s">
        <v>1625</v>
      </c>
      <c r="R61" s="15" t="s">
        <v>282</v>
      </c>
      <c r="S61" s="15" t="s">
        <v>1617</v>
      </c>
      <c r="T61" s="15" t="s">
        <v>107</v>
      </c>
      <c r="U61" s="15" t="s">
        <v>1626</v>
      </c>
      <c r="V61" s="15" t="s">
        <v>181</v>
      </c>
      <c r="W61" s="15" t="s">
        <v>107</v>
      </c>
      <c r="X61" s="16" t="s">
        <v>1627</v>
      </c>
      <c r="Y61" s="15" t="s">
        <v>184</v>
      </c>
      <c r="Z61" s="16" t="s">
        <v>1628</v>
      </c>
      <c r="AA61" s="17">
        <v>240</v>
      </c>
      <c r="AB61" s="17">
        <v>0</v>
      </c>
      <c r="AC61" s="17">
        <v>0</v>
      </c>
      <c r="AD61" s="17">
        <v>0</v>
      </c>
      <c r="AE61" s="17">
        <v>0</v>
      </c>
      <c r="AF61" s="15" t="s">
        <v>142</v>
      </c>
      <c r="AG61" s="15" t="s">
        <v>480</v>
      </c>
      <c r="AH61" s="15" t="s">
        <v>1629</v>
      </c>
      <c r="AI61" s="20">
        <v>61422.400000000001</v>
      </c>
      <c r="AJ61" s="15">
        <v>5.7599999999999998E-2</v>
      </c>
      <c r="AK61" s="15" t="s">
        <v>1630</v>
      </c>
      <c r="AL61" s="15" t="s">
        <v>1631</v>
      </c>
      <c r="AM61" s="3">
        <f>(AI61*AJ61)/2</f>
        <v>1768.9651200000001</v>
      </c>
      <c r="AN61" s="7" t="s">
        <v>107</v>
      </c>
      <c r="AO61" s="7" t="s">
        <v>107</v>
      </c>
      <c r="AP61" s="7" t="s">
        <v>107</v>
      </c>
      <c r="AQ61" s="8" t="s">
        <v>107</v>
      </c>
      <c r="AR61" s="7" t="s">
        <v>107</v>
      </c>
      <c r="AS61" s="7" t="s">
        <v>107</v>
      </c>
      <c r="AT61" s="7" t="s">
        <v>107</v>
      </c>
      <c r="AU61" s="3"/>
      <c r="AV61" s="7" t="s">
        <v>107</v>
      </c>
      <c r="AW61" s="7" t="s">
        <v>107</v>
      </c>
      <c r="AX61" s="7" t="s">
        <v>107</v>
      </c>
      <c r="AY61" s="8" t="s">
        <v>107</v>
      </c>
      <c r="AZ61" s="7" t="s">
        <v>107</v>
      </c>
      <c r="BA61" s="7" t="s">
        <v>107</v>
      </c>
      <c r="BB61" s="7" t="s">
        <v>107</v>
      </c>
      <c r="BC61" s="3"/>
      <c r="BD61" s="7" t="s">
        <v>107</v>
      </c>
      <c r="BE61" s="7" t="s">
        <v>107</v>
      </c>
      <c r="BF61" s="7" t="s">
        <v>107</v>
      </c>
      <c r="BG61" s="7" t="s">
        <v>107</v>
      </c>
      <c r="BH61" s="7" t="s">
        <v>107</v>
      </c>
      <c r="BI61" s="7" t="s">
        <v>107</v>
      </c>
      <c r="BJ61" s="7" t="s">
        <v>107</v>
      </c>
      <c r="BK61" s="3"/>
      <c r="BL61" s="7" t="s">
        <v>107</v>
      </c>
      <c r="BM61" s="7" t="s">
        <v>107</v>
      </c>
      <c r="BN61" s="7" t="s">
        <v>107</v>
      </c>
      <c r="BO61" s="8" t="s">
        <v>107</v>
      </c>
      <c r="BP61" s="7" t="s">
        <v>107</v>
      </c>
      <c r="BQ61" s="7" t="s">
        <v>107</v>
      </c>
      <c r="BR61" s="7" t="s">
        <v>107</v>
      </c>
      <c r="BS61" s="3"/>
      <c r="BT61" s="7" t="s">
        <v>107</v>
      </c>
      <c r="BU61" s="7" t="s">
        <v>107</v>
      </c>
      <c r="BV61" s="7" t="s">
        <v>107</v>
      </c>
      <c r="BW61" s="8" t="s">
        <v>107</v>
      </c>
      <c r="BX61" s="7" t="s">
        <v>107</v>
      </c>
      <c r="BY61" s="7" t="s">
        <v>107</v>
      </c>
      <c r="BZ61" s="7" t="s">
        <v>107</v>
      </c>
      <c r="CA61" s="3"/>
      <c r="CB61" s="7"/>
      <c r="CC61" s="7" t="s">
        <v>107</v>
      </c>
      <c r="CD61" s="7" t="s">
        <v>107</v>
      </c>
      <c r="CE61" s="8" t="s">
        <v>107</v>
      </c>
      <c r="CF61" s="7" t="s">
        <v>107</v>
      </c>
      <c r="CG61" s="7" t="s">
        <v>107</v>
      </c>
      <c r="CH61" s="7" t="s">
        <v>107</v>
      </c>
      <c r="CI61" s="3"/>
      <c r="CJ61" s="7"/>
      <c r="CK61" s="7" t="s">
        <v>107</v>
      </c>
      <c r="CL61" s="7" t="s">
        <v>107</v>
      </c>
      <c r="CM61" s="8" t="s">
        <v>107</v>
      </c>
      <c r="CN61" s="7" t="s">
        <v>107</v>
      </c>
      <c r="CO61" s="7" t="s">
        <v>107</v>
      </c>
      <c r="CP61" s="7" t="s">
        <v>107</v>
      </c>
      <c r="CQ61" s="3"/>
      <c r="CR61" s="7"/>
      <c r="CS61" s="7" t="s">
        <v>107</v>
      </c>
      <c r="CT61" s="7" t="s">
        <v>107</v>
      </c>
      <c r="CU61" s="7" t="s">
        <v>107</v>
      </c>
      <c r="CV61" s="7" t="s">
        <v>107</v>
      </c>
      <c r="CW61" s="7" t="s">
        <v>107</v>
      </c>
      <c r="CX61" s="7" t="s">
        <v>107</v>
      </c>
      <c r="CY61" s="3"/>
      <c r="CZ61" s="7"/>
      <c r="DA61" s="7" t="s">
        <v>107</v>
      </c>
      <c r="DB61" s="7" t="s">
        <v>107</v>
      </c>
      <c r="DC61" s="7" t="s">
        <v>107</v>
      </c>
      <c r="DD61" s="7" t="s">
        <v>107</v>
      </c>
      <c r="DE61" s="7" t="s">
        <v>107</v>
      </c>
      <c r="DF61" s="7" t="s">
        <v>107</v>
      </c>
      <c r="DG61" s="3"/>
      <c r="DH61" s="7"/>
      <c r="DI61" s="7" t="s">
        <v>107</v>
      </c>
      <c r="DJ61" s="7" t="s">
        <v>107</v>
      </c>
      <c r="DK61" s="5">
        <f>AM61</f>
        <v>1768.9651200000001</v>
      </c>
      <c r="DL61" s="15" t="s">
        <v>1631</v>
      </c>
      <c r="DM61" s="51">
        <f>DL61*0.95</f>
        <v>1679.6</v>
      </c>
    </row>
    <row r="62" spans="1:117" ht="17.25" customHeight="1" x14ac:dyDescent="0.25">
      <c r="A62" s="50" t="s">
        <v>1781</v>
      </c>
      <c r="B62" s="15" t="s">
        <v>3928</v>
      </c>
      <c r="C62" s="15" t="s">
        <v>1782</v>
      </c>
      <c r="D62" s="15" t="s">
        <v>1783</v>
      </c>
      <c r="E62" s="15" t="s">
        <v>450</v>
      </c>
      <c r="F62" s="15" t="s">
        <v>1784</v>
      </c>
      <c r="G62" s="15" t="s">
        <v>1785</v>
      </c>
      <c r="H62" s="15" t="s">
        <v>1786</v>
      </c>
      <c r="I62" s="15" t="s">
        <v>1787</v>
      </c>
      <c r="J62" s="15" t="s">
        <v>4266</v>
      </c>
      <c r="K62" s="15" t="s">
        <v>151</v>
      </c>
      <c r="L62" s="15" t="s">
        <v>1784</v>
      </c>
      <c r="M62" s="15" t="s">
        <v>1788</v>
      </c>
      <c r="N62" s="15" t="s">
        <v>1789</v>
      </c>
      <c r="O62" s="15" t="s">
        <v>1790</v>
      </c>
      <c r="P62" s="15" t="s">
        <v>1791</v>
      </c>
      <c r="Q62" s="15" t="s">
        <v>1792</v>
      </c>
      <c r="R62" s="15" t="s">
        <v>179</v>
      </c>
      <c r="S62" s="15" t="s">
        <v>1784</v>
      </c>
      <c r="T62" s="15" t="s">
        <v>107</v>
      </c>
      <c r="U62" s="15" t="s">
        <v>1793</v>
      </c>
      <c r="V62" s="15" t="s">
        <v>109</v>
      </c>
      <c r="W62" s="15" t="s">
        <v>1794</v>
      </c>
      <c r="X62" s="16" t="s">
        <v>1795</v>
      </c>
      <c r="Y62" s="15" t="s">
        <v>114</v>
      </c>
      <c r="Z62" s="16" t="s">
        <v>1796</v>
      </c>
      <c r="AA62" s="17">
        <v>514</v>
      </c>
      <c r="AB62" s="17">
        <v>1</v>
      </c>
      <c r="AC62" s="17">
        <v>410</v>
      </c>
      <c r="AD62" s="17">
        <v>1</v>
      </c>
      <c r="AE62" s="17">
        <v>779</v>
      </c>
      <c r="AF62" s="15" t="s">
        <v>118</v>
      </c>
      <c r="AG62" s="15" t="s">
        <v>179</v>
      </c>
      <c r="AH62" s="15" t="s">
        <v>1797</v>
      </c>
      <c r="AI62" s="18">
        <v>53580.800000000003</v>
      </c>
      <c r="AJ62" s="15">
        <v>7.4999999999999997E-2</v>
      </c>
      <c r="AK62" s="15" t="s">
        <v>1798</v>
      </c>
      <c r="AL62" s="15" t="s">
        <v>1799</v>
      </c>
      <c r="AM62" s="3">
        <f>(AI62*AJ62)/2</f>
        <v>2009.28</v>
      </c>
      <c r="AN62" s="7" t="s">
        <v>196</v>
      </c>
      <c r="AO62" s="7" t="s">
        <v>157</v>
      </c>
      <c r="AP62" s="7" t="s">
        <v>1800</v>
      </c>
      <c r="AQ62" s="8">
        <v>45406.400000000001</v>
      </c>
      <c r="AR62" s="7">
        <v>7.4999999999999997E-2</v>
      </c>
      <c r="AS62" s="7" t="s">
        <v>1801</v>
      </c>
      <c r="AT62" s="7" t="s">
        <v>1802</v>
      </c>
      <c r="AU62" s="3">
        <f>(AQ62*AR62)/2</f>
        <v>1702.74</v>
      </c>
      <c r="AV62" s="7" t="s">
        <v>107</v>
      </c>
      <c r="AW62" s="7" t="s">
        <v>107</v>
      </c>
      <c r="AX62" s="7" t="s">
        <v>107</v>
      </c>
      <c r="AY62" s="8" t="s">
        <v>107</v>
      </c>
      <c r="AZ62" s="7" t="s">
        <v>107</v>
      </c>
      <c r="BA62" s="7" t="s">
        <v>107</v>
      </c>
      <c r="BB62" s="7" t="s">
        <v>107</v>
      </c>
      <c r="BC62" s="3"/>
      <c r="BD62" s="7" t="s">
        <v>107</v>
      </c>
      <c r="BE62" s="7" t="s">
        <v>107</v>
      </c>
      <c r="BF62" s="7" t="s">
        <v>107</v>
      </c>
      <c r="BG62" s="7" t="s">
        <v>107</v>
      </c>
      <c r="BH62" s="7" t="s">
        <v>107</v>
      </c>
      <c r="BI62" s="7" t="s">
        <v>107</v>
      </c>
      <c r="BJ62" s="7" t="s">
        <v>107</v>
      </c>
      <c r="BK62" s="3"/>
      <c r="BL62" s="7" t="s">
        <v>107</v>
      </c>
      <c r="BM62" s="7" t="s">
        <v>107</v>
      </c>
      <c r="BN62" s="7" t="s">
        <v>107</v>
      </c>
      <c r="BO62" s="8" t="s">
        <v>107</v>
      </c>
      <c r="BP62" s="7" t="s">
        <v>107</v>
      </c>
      <c r="BQ62" s="7" t="s">
        <v>107</v>
      </c>
      <c r="BR62" s="7" t="s">
        <v>107</v>
      </c>
      <c r="BS62" s="3"/>
      <c r="BT62" s="7" t="s">
        <v>107</v>
      </c>
      <c r="BU62" s="7" t="s">
        <v>107</v>
      </c>
      <c r="BV62" s="7" t="s">
        <v>107</v>
      </c>
      <c r="BW62" s="8" t="s">
        <v>107</v>
      </c>
      <c r="BX62" s="7" t="s">
        <v>107</v>
      </c>
      <c r="BY62" s="7" t="s">
        <v>107</v>
      </c>
      <c r="BZ62" s="7" t="s">
        <v>107</v>
      </c>
      <c r="CA62" s="3"/>
      <c r="CB62" s="7"/>
      <c r="CC62" s="7" t="s">
        <v>107</v>
      </c>
      <c r="CD62" s="7" t="s">
        <v>107</v>
      </c>
      <c r="CE62" s="8" t="s">
        <v>107</v>
      </c>
      <c r="CF62" s="7" t="s">
        <v>107</v>
      </c>
      <c r="CG62" s="7" t="s">
        <v>107</v>
      </c>
      <c r="CH62" s="7" t="s">
        <v>107</v>
      </c>
      <c r="CI62" s="3"/>
      <c r="CJ62" s="7"/>
      <c r="CK62" s="7" t="s">
        <v>107</v>
      </c>
      <c r="CL62" s="7" t="s">
        <v>107</v>
      </c>
      <c r="CM62" s="8" t="s">
        <v>107</v>
      </c>
      <c r="CN62" s="7" t="s">
        <v>107</v>
      </c>
      <c r="CO62" s="7" t="s">
        <v>107</v>
      </c>
      <c r="CP62" s="7" t="s">
        <v>107</v>
      </c>
      <c r="CQ62" s="3"/>
      <c r="CR62" s="7"/>
      <c r="CS62" s="7" t="s">
        <v>107</v>
      </c>
      <c r="CT62" s="7" t="s">
        <v>107</v>
      </c>
      <c r="CU62" s="7" t="s">
        <v>107</v>
      </c>
      <c r="CV62" s="7" t="s">
        <v>107</v>
      </c>
      <c r="CW62" s="7" t="s">
        <v>107</v>
      </c>
      <c r="CX62" s="7" t="s">
        <v>107</v>
      </c>
      <c r="CY62" s="3"/>
      <c r="CZ62" s="7"/>
      <c r="DA62" s="7" t="s">
        <v>107</v>
      </c>
      <c r="DB62" s="7" t="s">
        <v>107</v>
      </c>
      <c r="DC62" s="7" t="s">
        <v>107</v>
      </c>
      <c r="DD62" s="7" t="s">
        <v>107</v>
      </c>
      <c r="DE62" s="7" t="s">
        <v>107</v>
      </c>
      <c r="DF62" s="7" t="s">
        <v>107</v>
      </c>
      <c r="DG62" s="3"/>
      <c r="DH62" s="7"/>
      <c r="DI62" s="7" t="s">
        <v>107</v>
      </c>
      <c r="DJ62" s="7" t="s">
        <v>107</v>
      </c>
      <c r="DK62" s="5">
        <f>AM62+AU62</f>
        <v>3712.02</v>
      </c>
      <c r="DL62" s="15" t="s">
        <v>1803</v>
      </c>
      <c r="DM62" s="51">
        <f>DL62*0.95</f>
        <v>3526.4189999999999</v>
      </c>
    </row>
    <row r="63" spans="1:117" ht="17.25" customHeight="1" x14ac:dyDescent="0.25">
      <c r="A63" s="50" t="s">
        <v>2177</v>
      </c>
      <c r="B63" s="15" t="s">
        <v>2178</v>
      </c>
      <c r="C63" s="15" t="s">
        <v>2179</v>
      </c>
      <c r="D63" s="15" t="s">
        <v>1380</v>
      </c>
      <c r="E63" s="15" t="s">
        <v>1381</v>
      </c>
      <c r="F63" s="15" t="s">
        <v>2180</v>
      </c>
      <c r="G63" s="15" t="s">
        <v>2181</v>
      </c>
      <c r="H63" s="15" t="s">
        <v>2182</v>
      </c>
      <c r="I63" s="15" t="s">
        <v>2183</v>
      </c>
      <c r="J63" s="15" t="s">
        <v>4281</v>
      </c>
      <c r="K63" s="15" t="s">
        <v>151</v>
      </c>
      <c r="L63" s="15" t="s">
        <v>2184</v>
      </c>
      <c r="M63" s="15" t="s">
        <v>2185</v>
      </c>
      <c r="N63" s="15" t="s">
        <v>2186</v>
      </c>
      <c r="O63" s="15" t="s">
        <v>2187</v>
      </c>
      <c r="P63" s="15" t="s">
        <v>2188</v>
      </c>
      <c r="Q63" s="15" t="s">
        <v>2189</v>
      </c>
      <c r="R63" s="15" t="s">
        <v>282</v>
      </c>
      <c r="S63" s="15" t="s">
        <v>2180</v>
      </c>
      <c r="T63" s="15" t="s">
        <v>107</v>
      </c>
      <c r="U63" s="15" t="s">
        <v>2190</v>
      </c>
      <c r="V63" s="15" t="s">
        <v>109</v>
      </c>
      <c r="W63" s="15" t="s">
        <v>2191</v>
      </c>
      <c r="X63" s="16" t="s">
        <v>2192</v>
      </c>
      <c r="Y63" s="15" t="s">
        <v>114</v>
      </c>
      <c r="Z63" s="16" t="s">
        <v>4079</v>
      </c>
      <c r="AA63" s="17">
        <v>50</v>
      </c>
      <c r="AB63" s="17">
        <v>0</v>
      </c>
      <c r="AC63" s="17">
        <v>0</v>
      </c>
      <c r="AD63" s="17">
        <v>0</v>
      </c>
      <c r="AE63" s="17">
        <v>0</v>
      </c>
      <c r="AF63" s="15" t="s">
        <v>142</v>
      </c>
      <c r="AG63" s="15" t="s">
        <v>132</v>
      </c>
      <c r="AH63" s="15" t="s">
        <v>2193</v>
      </c>
      <c r="AI63" s="21">
        <v>68057</v>
      </c>
      <c r="AJ63" s="15">
        <v>0.05</v>
      </c>
      <c r="AK63" s="15" t="s">
        <v>2194</v>
      </c>
      <c r="AL63" s="15" t="s">
        <v>2195</v>
      </c>
      <c r="AM63" s="3">
        <f>(AI63*AJ63)/2</f>
        <v>1701.4250000000002</v>
      </c>
      <c r="AN63" s="7" t="s">
        <v>107</v>
      </c>
      <c r="AO63" s="7" t="s">
        <v>107</v>
      </c>
      <c r="AP63" s="7" t="s">
        <v>107</v>
      </c>
      <c r="AQ63" s="8" t="s">
        <v>107</v>
      </c>
      <c r="AR63" s="7" t="s">
        <v>107</v>
      </c>
      <c r="AS63" s="7" t="s">
        <v>107</v>
      </c>
      <c r="AT63" s="7" t="s">
        <v>107</v>
      </c>
      <c r="AU63" s="3"/>
      <c r="AV63" s="7" t="s">
        <v>107</v>
      </c>
      <c r="AW63" s="7" t="s">
        <v>107</v>
      </c>
      <c r="AX63" s="7" t="s">
        <v>107</v>
      </c>
      <c r="AY63" s="8" t="s">
        <v>107</v>
      </c>
      <c r="AZ63" s="7" t="s">
        <v>107</v>
      </c>
      <c r="BA63" s="7" t="s">
        <v>107</v>
      </c>
      <c r="BB63" s="7" t="s">
        <v>107</v>
      </c>
      <c r="BC63" s="3"/>
      <c r="BD63" s="7" t="s">
        <v>107</v>
      </c>
      <c r="BE63" s="7" t="s">
        <v>107</v>
      </c>
      <c r="BF63" s="7" t="s">
        <v>107</v>
      </c>
      <c r="BG63" s="7" t="s">
        <v>107</v>
      </c>
      <c r="BH63" s="7" t="s">
        <v>107</v>
      </c>
      <c r="BI63" s="7" t="s">
        <v>107</v>
      </c>
      <c r="BJ63" s="7" t="s">
        <v>107</v>
      </c>
      <c r="BK63" s="3"/>
      <c r="BL63" s="7" t="s">
        <v>107</v>
      </c>
      <c r="BM63" s="7" t="s">
        <v>107</v>
      </c>
      <c r="BN63" s="7" t="s">
        <v>107</v>
      </c>
      <c r="BO63" s="8" t="s">
        <v>107</v>
      </c>
      <c r="BP63" s="7" t="s">
        <v>107</v>
      </c>
      <c r="BQ63" s="7" t="s">
        <v>107</v>
      </c>
      <c r="BR63" s="7" t="s">
        <v>107</v>
      </c>
      <c r="BS63" s="3"/>
      <c r="BT63" s="7" t="s">
        <v>107</v>
      </c>
      <c r="BU63" s="7" t="s">
        <v>107</v>
      </c>
      <c r="BV63" s="7" t="s">
        <v>107</v>
      </c>
      <c r="BW63" s="8" t="s">
        <v>107</v>
      </c>
      <c r="BX63" s="7" t="s">
        <v>107</v>
      </c>
      <c r="BY63" s="7" t="s">
        <v>107</v>
      </c>
      <c r="BZ63" s="7" t="s">
        <v>107</v>
      </c>
      <c r="CA63" s="3"/>
      <c r="CB63" s="7"/>
      <c r="CC63" s="7" t="s">
        <v>107</v>
      </c>
      <c r="CD63" s="7" t="s">
        <v>107</v>
      </c>
      <c r="CE63" s="8" t="s">
        <v>107</v>
      </c>
      <c r="CF63" s="7" t="s">
        <v>107</v>
      </c>
      <c r="CG63" s="7" t="s">
        <v>107</v>
      </c>
      <c r="CH63" s="7" t="s">
        <v>107</v>
      </c>
      <c r="CI63" s="3"/>
      <c r="CJ63" s="7"/>
      <c r="CK63" s="7" t="s">
        <v>107</v>
      </c>
      <c r="CL63" s="7" t="s">
        <v>107</v>
      </c>
      <c r="CM63" s="8" t="s">
        <v>107</v>
      </c>
      <c r="CN63" s="7" t="s">
        <v>107</v>
      </c>
      <c r="CO63" s="7" t="s">
        <v>107</v>
      </c>
      <c r="CP63" s="7" t="s">
        <v>107</v>
      </c>
      <c r="CQ63" s="3"/>
      <c r="CR63" s="7"/>
      <c r="CS63" s="7" t="s">
        <v>107</v>
      </c>
      <c r="CT63" s="7" t="s">
        <v>107</v>
      </c>
      <c r="CU63" s="7" t="s">
        <v>107</v>
      </c>
      <c r="CV63" s="7" t="s">
        <v>107</v>
      </c>
      <c r="CW63" s="7" t="s">
        <v>107</v>
      </c>
      <c r="CX63" s="7" t="s">
        <v>107</v>
      </c>
      <c r="CY63" s="3"/>
      <c r="CZ63" s="7"/>
      <c r="DA63" s="7" t="s">
        <v>107</v>
      </c>
      <c r="DB63" s="7" t="s">
        <v>107</v>
      </c>
      <c r="DC63" s="7" t="s">
        <v>107</v>
      </c>
      <c r="DD63" s="7" t="s">
        <v>107</v>
      </c>
      <c r="DE63" s="7" t="s">
        <v>107</v>
      </c>
      <c r="DF63" s="7" t="s">
        <v>107</v>
      </c>
      <c r="DG63" s="3"/>
      <c r="DH63" s="7"/>
      <c r="DI63" s="7" t="s">
        <v>107</v>
      </c>
      <c r="DJ63" s="7" t="s">
        <v>107</v>
      </c>
      <c r="DK63" s="5">
        <f>AM63</f>
        <v>1701.4250000000002</v>
      </c>
      <c r="DL63" s="15" t="s">
        <v>2195</v>
      </c>
      <c r="DM63" s="51">
        <f>DL63*0.95</f>
        <v>1615.9499999999998</v>
      </c>
    </row>
    <row r="64" spans="1:117" ht="17.25" customHeight="1" x14ac:dyDescent="0.25">
      <c r="A64" s="50" t="s">
        <v>2120</v>
      </c>
      <c r="B64" s="15" t="s">
        <v>3929</v>
      </c>
      <c r="C64" s="15" t="s">
        <v>2121</v>
      </c>
      <c r="D64" s="15" t="s">
        <v>2122</v>
      </c>
      <c r="E64" s="15" t="s">
        <v>691</v>
      </c>
      <c r="F64" s="15" t="s">
        <v>2123</v>
      </c>
      <c r="G64" s="15" t="s">
        <v>2124</v>
      </c>
      <c r="H64" s="15" t="s">
        <v>2125</v>
      </c>
      <c r="I64" s="15" t="s">
        <v>3990</v>
      </c>
      <c r="J64" s="15" t="s">
        <v>4278</v>
      </c>
      <c r="K64" s="15" t="s">
        <v>151</v>
      </c>
      <c r="L64" s="15" t="s">
        <v>2123</v>
      </c>
      <c r="M64" s="15" t="s">
        <v>2126</v>
      </c>
      <c r="N64" s="15" t="s">
        <v>2127</v>
      </c>
      <c r="O64" s="15" t="s">
        <v>2123</v>
      </c>
      <c r="P64" s="15" t="s">
        <v>2128</v>
      </c>
      <c r="Q64" s="15" t="s">
        <v>2135</v>
      </c>
      <c r="R64" s="15" t="s">
        <v>2129</v>
      </c>
      <c r="S64" s="15" t="s">
        <v>2123</v>
      </c>
      <c r="T64" s="15" t="s">
        <v>107</v>
      </c>
      <c r="U64" s="15" t="s">
        <v>2130</v>
      </c>
      <c r="V64" s="15" t="s">
        <v>109</v>
      </c>
      <c r="W64" s="15" t="s">
        <v>2131</v>
      </c>
      <c r="X64" s="16" t="s">
        <v>2132</v>
      </c>
      <c r="Y64" s="15" t="s">
        <v>2133</v>
      </c>
      <c r="Z64" s="16" t="s">
        <v>2134</v>
      </c>
      <c r="AA64" s="17">
        <v>980</v>
      </c>
      <c r="AB64" s="17">
        <v>1</v>
      </c>
      <c r="AC64" s="17">
        <v>530</v>
      </c>
      <c r="AD64" s="17">
        <v>1</v>
      </c>
      <c r="AE64" s="17">
        <v>710</v>
      </c>
      <c r="AF64" s="15" t="s">
        <v>118</v>
      </c>
      <c r="AG64" s="15" t="s">
        <v>368</v>
      </c>
      <c r="AH64" s="15" t="s">
        <v>2135</v>
      </c>
      <c r="AI64" s="18">
        <v>31512</v>
      </c>
      <c r="AJ64" s="15">
        <v>0.55000000000000004</v>
      </c>
      <c r="AK64" s="15" t="s">
        <v>2136</v>
      </c>
      <c r="AL64" s="15" t="s">
        <v>2137</v>
      </c>
      <c r="AM64" s="3">
        <f>(AI64*AJ64)/2</f>
        <v>8665.8000000000011</v>
      </c>
      <c r="AN64" s="7" t="s">
        <v>107</v>
      </c>
      <c r="AO64" s="7" t="s">
        <v>107</v>
      </c>
      <c r="AP64" s="7" t="s">
        <v>107</v>
      </c>
      <c r="AQ64" s="8" t="s">
        <v>107</v>
      </c>
      <c r="AR64" s="7" t="s">
        <v>107</v>
      </c>
      <c r="AS64" s="7" t="s">
        <v>107</v>
      </c>
      <c r="AT64" s="7" t="s">
        <v>107</v>
      </c>
      <c r="AU64" s="3"/>
      <c r="AV64" s="7" t="s">
        <v>107</v>
      </c>
      <c r="AW64" s="7" t="s">
        <v>107</v>
      </c>
      <c r="AX64" s="7" t="s">
        <v>107</v>
      </c>
      <c r="AY64" s="8" t="s">
        <v>107</v>
      </c>
      <c r="AZ64" s="7" t="s">
        <v>107</v>
      </c>
      <c r="BA64" s="7" t="s">
        <v>107</v>
      </c>
      <c r="BB64" s="7" t="s">
        <v>107</v>
      </c>
      <c r="BC64" s="3"/>
      <c r="BD64" s="7" t="s">
        <v>107</v>
      </c>
      <c r="BE64" s="7" t="s">
        <v>107</v>
      </c>
      <c r="BF64" s="7" t="s">
        <v>107</v>
      </c>
      <c r="BG64" s="7" t="s">
        <v>107</v>
      </c>
      <c r="BH64" s="7" t="s">
        <v>107</v>
      </c>
      <c r="BI64" s="7" t="s">
        <v>107</v>
      </c>
      <c r="BJ64" s="7" t="s">
        <v>107</v>
      </c>
      <c r="BK64" s="3"/>
      <c r="BL64" s="7" t="s">
        <v>107</v>
      </c>
      <c r="BM64" s="7" t="s">
        <v>107</v>
      </c>
      <c r="BN64" s="7" t="s">
        <v>107</v>
      </c>
      <c r="BO64" s="8" t="s">
        <v>107</v>
      </c>
      <c r="BP64" s="7" t="s">
        <v>107</v>
      </c>
      <c r="BQ64" s="7" t="s">
        <v>107</v>
      </c>
      <c r="BR64" s="7" t="s">
        <v>107</v>
      </c>
      <c r="BS64" s="3"/>
      <c r="BT64" s="7" t="s">
        <v>107</v>
      </c>
      <c r="BU64" s="7" t="s">
        <v>107</v>
      </c>
      <c r="BV64" s="7" t="s">
        <v>107</v>
      </c>
      <c r="BW64" s="8" t="s">
        <v>107</v>
      </c>
      <c r="BX64" s="7" t="s">
        <v>107</v>
      </c>
      <c r="BY64" s="7" t="s">
        <v>107</v>
      </c>
      <c r="BZ64" s="7" t="s">
        <v>107</v>
      </c>
      <c r="CA64" s="3"/>
      <c r="CB64" s="7"/>
      <c r="CC64" s="7" t="s">
        <v>107</v>
      </c>
      <c r="CD64" s="7" t="s">
        <v>107</v>
      </c>
      <c r="CE64" s="8" t="s">
        <v>107</v>
      </c>
      <c r="CF64" s="7" t="s">
        <v>107</v>
      </c>
      <c r="CG64" s="7" t="s">
        <v>107</v>
      </c>
      <c r="CH64" s="7" t="s">
        <v>107</v>
      </c>
      <c r="CI64" s="3"/>
      <c r="CJ64" s="7"/>
      <c r="CK64" s="7" t="s">
        <v>107</v>
      </c>
      <c r="CL64" s="7" t="s">
        <v>107</v>
      </c>
      <c r="CM64" s="8" t="s">
        <v>107</v>
      </c>
      <c r="CN64" s="7" t="s">
        <v>107</v>
      </c>
      <c r="CO64" s="7" t="s">
        <v>107</v>
      </c>
      <c r="CP64" s="7" t="s">
        <v>107</v>
      </c>
      <c r="CQ64" s="3"/>
      <c r="CR64" s="7"/>
      <c r="CS64" s="7" t="s">
        <v>107</v>
      </c>
      <c r="CT64" s="7" t="s">
        <v>107</v>
      </c>
      <c r="CU64" s="7" t="s">
        <v>107</v>
      </c>
      <c r="CV64" s="7" t="s">
        <v>107</v>
      </c>
      <c r="CW64" s="7" t="s">
        <v>107</v>
      </c>
      <c r="CX64" s="7" t="s">
        <v>107</v>
      </c>
      <c r="CY64" s="3"/>
      <c r="CZ64" s="7"/>
      <c r="DA64" s="7" t="s">
        <v>107</v>
      </c>
      <c r="DB64" s="7" t="s">
        <v>107</v>
      </c>
      <c r="DC64" s="7" t="s">
        <v>107</v>
      </c>
      <c r="DD64" s="7" t="s">
        <v>107</v>
      </c>
      <c r="DE64" s="7" t="s">
        <v>107</v>
      </c>
      <c r="DF64" s="7" t="s">
        <v>107</v>
      </c>
      <c r="DG64" s="3"/>
      <c r="DH64" s="7"/>
      <c r="DI64" s="7" t="s">
        <v>107</v>
      </c>
      <c r="DJ64" s="7" t="s">
        <v>107</v>
      </c>
      <c r="DK64" s="5">
        <f>AM64</f>
        <v>8665.8000000000011</v>
      </c>
      <c r="DL64" s="15" t="s">
        <v>2138</v>
      </c>
      <c r="DM64" s="51">
        <f>DL64*0.95</f>
        <v>8232.5099999999984</v>
      </c>
    </row>
    <row r="65" spans="1:117" ht="17.25" customHeight="1" x14ac:dyDescent="0.25">
      <c r="A65" s="50" t="s">
        <v>1874</v>
      </c>
      <c r="B65" s="15" t="s">
        <v>1875</v>
      </c>
      <c r="C65" s="15" t="s">
        <v>1876</v>
      </c>
      <c r="D65" s="15" t="s">
        <v>1877</v>
      </c>
      <c r="E65" s="15" t="s">
        <v>601</v>
      </c>
      <c r="F65" s="15" t="s">
        <v>1878</v>
      </c>
      <c r="G65" s="15" t="s">
        <v>1879</v>
      </c>
      <c r="H65" s="15" t="s">
        <v>1880</v>
      </c>
      <c r="I65" s="15" t="s">
        <v>1881</v>
      </c>
      <c r="J65" s="15" t="s">
        <v>4269</v>
      </c>
      <c r="K65" s="15" t="s">
        <v>151</v>
      </c>
      <c r="L65" s="15" t="s">
        <v>1882</v>
      </c>
      <c r="M65" s="15" t="s">
        <v>1883</v>
      </c>
      <c r="N65" s="15" t="s">
        <v>1884</v>
      </c>
      <c r="O65" s="15" t="s">
        <v>1885</v>
      </c>
      <c r="P65" s="15" t="s">
        <v>1886</v>
      </c>
      <c r="Q65" s="15" t="s">
        <v>1887</v>
      </c>
      <c r="R65" s="15" t="s">
        <v>132</v>
      </c>
      <c r="S65" s="15" t="s">
        <v>1888</v>
      </c>
      <c r="T65" s="15" t="s">
        <v>107</v>
      </c>
      <c r="U65" s="15" t="s">
        <v>1889</v>
      </c>
      <c r="V65" s="15" t="s">
        <v>109</v>
      </c>
      <c r="W65" s="15" t="s">
        <v>1890</v>
      </c>
      <c r="X65" s="16" t="s">
        <v>1891</v>
      </c>
      <c r="Y65" s="15" t="s">
        <v>136</v>
      </c>
      <c r="Z65" s="16" t="s">
        <v>1892</v>
      </c>
      <c r="AA65" s="17">
        <v>2476</v>
      </c>
      <c r="AB65" s="17">
        <v>0</v>
      </c>
      <c r="AC65" s="17">
        <v>0</v>
      </c>
      <c r="AD65" s="17">
        <v>0</v>
      </c>
      <c r="AE65" s="17">
        <v>0</v>
      </c>
      <c r="AF65" s="15" t="s">
        <v>142</v>
      </c>
      <c r="AG65" s="15" t="s">
        <v>480</v>
      </c>
      <c r="AH65" s="15" t="s">
        <v>1893</v>
      </c>
      <c r="AI65" s="21">
        <v>78312</v>
      </c>
      <c r="AJ65" s="15">
        <v>0.75</v>
      </c>
      <c r="AK65" s="15" t="s">
        <v>1894</v>
      </c>
      <c r="AL65" s="15" t="s">
        <v>1895</v>
      </c>
      <c r="AM65" s="3">
        <f>(AI65*AJ65)/2</f>
        <v>29367</v>
      </c>
      <c r="AN65" s="7" t="s">
        <v>142</v>
      </c>
      <c r="AO65" s="7" t="s">
        <v>480</v>
      </c>
      <c r="AP65" s="7" t="s">
        <v>1896</v>
      </c>
      <c r="AQ65" s="8">
        <v>78312</v>
      </c>
      <c r="AR65" s="7">
        <v>0.75</v>
      </c>
      <c r="AS65" s="7" t="s">
        <v>1894</v>
      </c>
      <c r="AT65" s="7" t="s">
        <v>1895</v>
      </c>
      <c r="AU65" s="3">
        <f>(AQ65*AR65)/2</f>
        <v>29367</v>
      </c>
      <c r="AV65" s="7" t="s">
        <v>107</v>
      </c>
      <c r="AW65" s="7" t="s">
        <v>107</v>
      </c>
      <c r="AX65" s="7" t="s">
        <v>107</v>
      </c>
      <c r="AY65" s="8" t="s">
        <v>107</v>
      </c>
      <c r="AZ65" s="7" t="s">
        <v>107</v>
      </c>
      <c r="BA65" s="7" t="s">
        <v>107</v>
      </c>
      <c r="BB65" s="7" t="s">
        <v>107</v>
      </c>
      <c r="BC65" s="3"/>
      <c r="BD65" s="7" t="s">
        <v>107</v>
      </c>
      <c r="BE65" s="7" t="s">
        <v>107</v>
      </c>
      <c r="BF65" s="7" t="s">
        <v>107</v>
      </c>
      <c r="BG65" s="7" t="s">
        <v>107</v>
      </c>
      <c r="BH65" s="7" t="s">
        <v>107</v>
      </c>
      <c r="BI65" s="7" t="s">
        <v>107</v>
      </c>
      <c r="BJ65" s="7" t="s">
        <v>107</v>
      </c>
      <c r="BK65" s="3"/>
      <c r="BL65" s="7" t="s">
        <v>107</v>
      </c>
      <c r="BM65" s="7" t="s">
        <v>107</v>
      </c>
      <c r="BN65" s="7" t="s">
        <v>107</v>
      </c>
      <c r="BO65" s="8" t="s">
        <v>107</v>
      </c>
      <c r="BP65" s="7" t="s">
        <v>107</v>
      </c>
      <c r="BQ65" s="7" t="s">
        <v>107</v>
      </c>
      <c r="BR65" s="7" t="s">
        <v>107</v>
      </c>
      <c r="BS65" s="3"/>
      <c r="BT65" s="7" t="s">
        <v>107</v>
      </c>
      <c r="BU65" s="7" t="s">
        <v>107</v>
      </c>
      <c r="BV65" s="7" t="s">
        <v>107</v>
      </c>
      <c r="BW65" s="8" t="s">
        <v>107</v>
      </c>
      <c r="BX65" s="7" t="s">
        <v>107</v>
      </c>
      <c r="BY65" s="7" t="s">
        <v>107</v>
      </c>
      <c r="BZ65" s="7" t="s">
        <v>107</v>
      </c>
      <c r="CA65" s="3"/>
      <c r="CB65" s="7"/>
      <c r="CC65" s="7" t="s">
        <v>107</v>
      </c>
      <c r="CD65" s="7" t="s">
        <v>107</v>
      </c>
      <c r="CE65" s="8" t="s">
        <v>107</v>
      </c>
      <c r="CF65" s="7" t="s">
        <v>107</v>
      </c>
      <c r="CG65" s="7" t="s">
        <v>107</v>
      </c>
      <c r="CH65" s="7" t="s">
        <v>107</v>
      </c>
      <c r="CI65" s="3"/>
      <c r="CJ65" s="7"/>
      <c r="CK65" s="7" t="s">
        <v>107</v>
      </c>
      <c r="CL65" s="7" t="s">
        <v>107</v>
      </c>
      <c r="CM65" s="8" t="s">
        <v>107</v>
      </c>
      <c r="CN65" s="7" t="s">
        <v>107</v>
      </c>
      <c r="CO65" s="7" t="s">
        <v>107</v>
      </c>
      <c r="CP65" s="7" t="s">
        <v>107</v>
      </c>
      <c r="CQ65" s="3"/>
      <c r="CR65" s="7"/>
      <c r="CS65" s="7" t="s">
        <v>107</v>
      </c>
      <c r="CT65" s="7" t="s">
        <v>107</v>
      </c>
      <c r="CU65" s="7" t="s">
        <v>107</v>
      </c>
      <c r="CV65" s="7" t="s">
        <v>107</v>
      </c>
      <c r="CW65" s="7" t="s">
        <v>107</v>
      </c>
      <c r="CX65" s="7" t="s">
        <v>107</v>
      </c>
      <c r="CY65" s="3"/>
      <c r="CZ65" s="7"/>
      <c r="DA65" s="7" t="s">
        <v>107</v>
      </c>
      <c r="DB65" s="7" t="s">
        <v>107</v>
      </c>
      <c r="DC65" s="7" t="s">
        <v>107</v>
      </c>
      <c r="DD65" s="7" t="s">
        <v>107</v>
      </c>
      <c r="DE65" s="7" t="s">
        <v>107</v>
      </c>
      <c r="DF65" s="7" t="s">
        <v>107</v>
      </c>
      <c r="DG65" s="3"/>
      <c r="DH65" s="7"/>
      <c r="DI65" s="7" t="s">
        <v>107</v>
      </c>
      <c r="DJ65" s="7" t="s">
        <v>107</v>
      </c>
      <c r="DK65" s="5">
        <f>AM65+AU65</f>
        <v>58734</v>
      </c>
      <c r="DL65" s="15" t="s">
        <v>1894</v>
      </c>
      <c r="DM65" s="51">
        <f>DL65*0.95</f>
        <v>55797.299999999996</v>
      </c>
    </row>
    <row r="66" spans="1:117" ht="17.25" customHeight="1" x14ac:dyDescent="0.25">
      <c r="A66" s="50" t="s">
        <v>3191</v>
      </c>
      <c r="B66" s="15" t="s">
        <v>3192</v>
      </c>
      <c r="C66" s="15" t="s">
        <v>1687</v>
      </c>
      <c r="D66" s="15" t="s">
        <v>3193</v>
      </c>
      <c r="E66" s="15" t="s">
        <v>1381</v>
      </c>
      <c r="F66" s="15" t="s">
        <v>3194</v>
      </c>
      <c r="G66" s="15" t="s">
        <v>3195</v>
      </c>
      <c r="H66" s="15" t="s">
        <v>3196</v>
      </c>
      <c r="I66" s="15" t="s">
        <v>3991</v>
      </c>
      <c r="J66" s="15" t="s">
        <v>4332</v>
      </c>
      <c r="K66" s="15" t="s">
        <v>101</v>
      </c>
      <c r="L66" s="15" t="s">
        <v>3197</v>
      </c>
      <c r="M66" s="15" t="s">
        <v>107</v>
      </c>
      <c r="N66" s="15" t="s">
        <v>3198</v>
      </c>
      <c r="O66" s="15" t="s">
        <v>3199</v>
      </c>
      <c r="P66" s="15" t="s">
        <v>107</v>
      </c>
      <c r="Q66" s="15" t="s">
        <v>3200</v>
      </c>
      <c r="R66" s="15" t="s">
        <v>3201</v>
      </c>
      <c r="S66" s="15" t="s">
        <v>3202</v>
      </c>
      <c r="T66" s="15" t="s">
        <v>107</v>
      </c>
      <c r="U66" s="15" t="s">
        <v>3203</v>
      </c>
      <c r="V66" s="15" t="s">
        <v>109</v>
      </c>
      <c r="W66" s="15" t="s">
        <v>3204</v>
      </c>
      <c r="X66" s="16" t="s">
        <v>3205</v>
      </c>
      <c r="Y66" s="15" t="s">
        <v>969</v>
      </c>
      <c r="Z66" s="16" t="s">
        <v>4088</v>
      </c>
      <c r="AA66" s="17">
        <v>1100</v>
      </c>
      <c r="AB66" s="17">
        <v>0</v>
      </c>
      <c r="AC66" s="17">
        <v>0</v>
      </c>
      <c r="AD66" s="17">
        <v>0</v>
      </c>
      <c r="AE66" s="17">
        <v>0</v>
      </c>
      <c r="AF66" s="15" t="s">
        <v>142</v>
      </c>
      <c r="AG66" s="15" t="s">
        <v>3201</v>
      </c>
      <c r="AH66" s="15" t="s">
        <v>3200</v>
      </c>
      <c r="AI66" s="20">
        <v>61114</v>
      </c>
      <c r="AJ66" s="15">
        <v>0.06</v>
      </c>
      <c r="AK66" s="15" t="s">
        <v>3206</v>
      </c>
      <c r="AL66" s="15" t="s">
        <v>3207</v>
      </c>
      <c r="AM66" s="3">
        <f>(AI66*AJ66)/2</f>
        <v>1833.4199999999998</v>
      </c>
      <c r="AN66" s="7" t="s">
        <v>142</v>
      </c>
      <c r="AO66" s="7" t="s">
        <v>132</v>
      </c>
      <c r="AP66" s="7" t="s">
        <v>3208</v>
      </c>
      <c r="AQ66" s="8">
        <v>65930</v>
      </c>
      <c r="AR66" s="7">
        <v>0.04</v>
      </c>
      <c r="AS66" s="7" t="s">
        <v>3209</v>
      </c>
      <c r="AT66" s="7" t="s">
        <v>3210</v>
      </c>
      <c r="AU66" s="3">
        <f>(AQ66*AR66)/2</f>
        <v>1318.6000000000001</v>
      </c>
      <c r="AV66" s="7" t="s">
        <v>142</v>
      </c>
      <c r="AW66" s="7" t="s">
        <v>3201</v>
      </c>
      <c r="AX66" s="7" t="s">
        <v>3211</v>
      </c>
      <c r="AY66" s="8">
        <v>60814</v>
      </c>
      <c r="AZ66" s="7">
        <v>1</v>
      </c>
      <c r="BA66" s="7" t="s">
        <v>3212</v>
      </c>
      <c r="BB66" s="7" t="s">
        <v>3213</v>
      </c>
      <c r="BC66" s="3">
        <f>(AY66*AZ66)/2</f>
        <v>30407</v>
      </c>
      <c r="BD66" s="7" t="s">
        <v>142</v>
      </c>
      <c r="BE66" s="7" t="s">
        <v>460</v>
      </c>
      <c r="BF66" s="7" t="s">
        <v>3214</v>
      </c>
      <c r="BG66" s="11">
        <v>57116</v>
      </c>
      <c r="BH66" s="7">
        <v>0.05</v>
      </c>
      <c r="BI66" s="7" t="s">
        <v>3215</v>
      </c>
      <c r="BJ66" s="7" t="s">
        <v>3216</v>
      </c>
      <c r="BK66" s="3">
        <f>(BG66*BH66)/2</f>
        <v>1427.9</v>
      </c>
      <c r="BL66" s="7" t="s">
        <v>142</v>
      </c>
      <c r="BM66" s="7" t="s">
        <v>460</v>
      </c>
      <c r="BN66" s="7" t="s">
        <v>3217</v>
      </c>
      <c r="BO66" s="8">
        <v>56836</v>
      </c>
      <c r="BP66" s="7">
        <v>7.0000000000000007E-2</v>
      </c>
      <c r="BQ66" s="7" t="s">
        <v>3218</v>
      </c>
      <c r="BR66" s="7" t="s">
        <v>3219</v>
      </c>
      <c r="BS66" s="3">
        <f>(BO66*BP66)/2</f>
        <v>1989.2600000000002</v>
      </c>
      <c r="BT66" s="7" t="s">
        <v>107</v>
      </c>
      <c r="BU66" s="7" t="s">
        <v>107</v>
      </c>
      <c r="BV66" s="7" t="s">
        <v>107</v>
      </c>
      <c r="BW66" s="8" t="s">
        <v>107</v>
      </c>
      <c r="BX66" s="7" t="s">
        <v>107</v>
      </c>
      <c r="BY66" s="7" t="s">
        <v>107</v>
      </c>
      <c r="BZ66" s="7" t="s">
        <v>107</v>
      </c>
      <c r="CA66" s="3"/>
      <c r="CB66" s="7"/>
      <c r="CC66" s="7" t="s">
        <v>107</v>
      </c>
      <c r="CD66" s="7" t="s">
        <v>107</v>
      </c>
      <c r="CE66" s="8" t="s">
        <v>107</v>
      </c>
      <c r="CF66" s="7" t="s">
        <v>107</v>
      </c>
      <c r="CG66" s="7" t="s">
        <v>107</v>
      </c>
      <c r="CH66" s="7" t="s">
        <v>107</v>
      </c>
      <c r="CI66" s="3"/>
      <c r="CJ66" s="7"/>
      <c r="CK66" s="7" t="s">
        <v>107</v>
      </c>
      <c r="CL66" s="7" t="s">
        <v>107</v>
      </c>
      <c r="CM66" s="8" t="s">
        <v>107</v>
      </c>
      <c r="CN66" s="7" t="s">
        <v>107</v>
      </c>
      <c r="CO66" s="7" t="s">
        <v>107</v>
      </c>
      <c r="CP66" s="7" t="s">
        <v>107</v>
      </c>
      <c r="CQ66" s="3"/>
      <c r="CR66" s="7"/>
      <c r="CS66" s="7" t="s">
        <v>107</v>
      </c>
      <c r="CT66" s="7" t="s">
        <v>107</v>
      </c>
      <c r="CU66" s="7" t="s">
        <v>107</v>
      </c>
      <c r="CV66" s="7" t="s">
        <v>107</v>
      </c>
      <c r="CW66" s="7" t="s">
        <v>107</v>
      </c>
      <c r="CX66" s="7" t="s">
        <v>107</v>
      </c>
      <c r="CY66" s="3"/>
      <c r="CZ66" s="7"/>
      <c r="DA66" s="7" t="s">
        <v>107</v>
      </c>
      <c r="DB66" s="7" t="s">
        <v>107</v>
      </c>
      <c r="DC66" s="7" t="s">
        <v>107</v>
      </c>
      <c r="DD66" s="7" t="s">
        <v>107</v>
      </c>
      <c r="DE66" s="7" t="s">
        <v>107</v>
      </c>
      <c r="DF66" s="7" t="s">
        <v>107</v>
      </c>
      <c r="DG66" s="3"/>
      <c r="DH66" s="7"/>
      <c r="DI66" s="7" t="s">
        <v>107</v>
      </c>
      <c r="DJ66" s="7" t="s">
        <v>107</v>
      </c>
      <c r="DK66" s="5">
        <f>AM66+AU66+BC66+BK66+BS66</f>
        <v>36976.18</v>
      </c>
      <c r="DL66" s="15" t="s">
        <v>3220</v>
      </c>
      <c r="DM66" s="51">
        <f>DL66*0.95</f>
        <v>6527.45</v>
      </c>
    </row>
    <row r="67" spans="1:117" ht="17.25" customHeight="1" x14ac:dyDescent="0.25">
      <c r="A67" s="50" t="s">
        <v>2608</v>
      </c>
      <c r="B67" s="15" t="s">
        <v>2609</v>
      </c>
      <c r="C67" s="15" t="s">
        <v>2610</v>
      </c>
      <c r="D67" s="15" t="s">
        <v>2611</v>
      </c>
      <c r="E67" s="15" t="s">
        <v>2612</v>
      </c>
      <c r="F67" s="15" t="s">
        <v>2613</v>
      </c>
      <c r="G67" s="15" t="s">
        <v>2614</v>
      </c>
      <c r="H67" s="15" t="s">
        <v>2615</v>
      </c>
      <c r="I67" s="15" t="s">
        <v>2616</v>
      </c>
      <c r="J67" s="15" t="s">
        <v>4303</v>
      </c>
      <c r="K67" s="15" t="s">
        <v>101</v>
      </c>
      <c r="L67" s="15" t="s">
        <v>2613</v>
      </c>
      <c r="M67" s="15" t="s">
        <v>2617</v>
      </c>
      <c r="N67" s="15" t="s">
        <v>2618</v>
      </c>
      <c r="O67" s="15" t="s">
        <v>2619</v>
      </c>
      <c r="P67" s="15" t="s">
        <v>2620</v>
      </c>
      <c r="Q67" s="15" t="s">
        <v>2621</v>
      </c>
      <c r="R67" s="15" t="s">
        <v>106</v>
      </c>
      <c r="S67" s="15" t="s">
        <v>2613</v>
      </c>
      <c r="T67" s="15" t="s">
        <v>107</v>
      </c>
      <c r="U67" s="15" t="s">
        <v>2617</v>
      </c>
      <c r="V67" s="15" t="s">
        <v>109</v>
      </c>
      <c r="W67" s="15" t="s">
        <v>2622</v>
      </c>
      <c r="X67" s="16" t="s">
        <v>2623</v>
      </c>
      <c r="Y67" s="15" t="s">
        <v>136</v>
      </c>
      <c r="Z67" s="16" t="s">
        <v>2624</v>
      </c>
      <c r="AA67" s="17">
        <v>2300</v>
      </c>
      <c r="AB67" s="17">
        <v>8</v>
      </c>
      <c r="AC67" s="17">
        <v>1500</v>
      </c>
      <c r="AD67" s="17">
        <v>8</v>
      </c>
      <c r="AE67" s="17">
        <v>2500</v>
      </c>
      <c r="AF67" s="15" t="s">
        <v>196</v>
      </c>
      <c r="AG67" s="15" t="s">
        <v>115</v>
      </c>
      <c r="AH67" s="15" t="s">
        <v>2621</v>
      </c>
      <c r="AI67" s="18">
        <v>47070</v>
      </c>
      <c r="AJ67" s="15">
        <v>0.5</v>
      </c>
      <c r="AK67" s="15" t="s">
        <v>2625</v>
      </c>
      <c r="AL67" s="15" t="s">
        <v>2626</v>
      </c>
      <c r="AM67" s="3">
        <f>(AI67*AJ67)/2</f>
        <v>11767.5</v>
      </c>
      <c r="AN67" s="7" t="s">
        <v>107</v>
      </c>
      <c r="AO67" s="7" t="s">
        <v>107</v>
      </c>
      <c r="AP67" s="7" t="s">
        <v>107</v>
      </c>
      <c r="AQ67" s="8" t="s">
        <v>107</v>
      </c>
      <c r="AR67" s="7" t="s">
        <v>107</v>
      </c>
      <c r="AS67" s="7" t="s">
        <v>107</v>
      </c>
      <c r="AT67" s="7" t="s">
        <v>107</v>
      </c>
      <c r="AU67" s="3"/>
      <c r="AV67" s="7" t="s">
        <v>107</v>
      </c>
      <c r="AW67" s="7" t="s">
        <v>107</v>
      </c>
      <c r="AX67" s="7" t="s">
        <v>107</v>
      </c>
      <c r="AY67" s="8" t="s">
        <v>107</v>
      </c>
      <c r="AZ67" s="7" t="s">
        <v>107</v>
      </c>
      <c r="BA67" s="7" t="s">
        <v>107</v>
      </c>
      <c r="BB67" s="7" t="s">
        <v>107</v>
      </c>
      <c r="BC67" s="3"/>
      <c r="BD67" s="7" t="s">
        <v>107</v>
      </c>
      <c r="BE67" s="7" t="s">
        <v>107</v>
      </c>
      <c r="BF67" s="7" t="s">
        <v>107</v>
      </c>
      <c r="BG67" s="7" t="s">
        <v>107</v>
      </c>
      <c r="BH67" s="7" t="s">
        <v>107</v>
      </c>
      <c r="BI67" s="7" t="s">
        <v>107</v>
      </c>
      <c r="BJ67" s="7" t="s">
        <v>107</v>
      </c>
      <c r="BK67" s="3"/>
      <c r="BL67" s="7" t="s">
        <v>107</v>
      </c>
      <c r="BM67" s="7" t="s">
        <v>107</v>
      </c>
      <c r="BN67" s="7" t="s">
        <v>107</v>
      </c>
      <c r="BO67" s="8" t="s">
        <v>107</v>
      </c>
      <c r="BP67" s="7" t="s">
        <v>107</v>
      </c>
      <c r="BQ67" s="7" t="s">
        <v>107</v>
      </c>
      <c r="BR67" s="7" t="s">
        <v>107</v>
      </c>
      <c r="BS67" s="3"/>
      <c r="BT67" s="7" t="s">
        <v>107</v>
      </c>
      <c r="BU67" s="7" t="s">
        <v>107</v>
      </c>
      <c r="BV67" s="7" t="s">
        <v>107</v>
      </c>
      <c r="BW67" s="8" t="s">
        <v>107</v>
      </c>
      <c r="BX67" s="7" t="s">
        <v>107</v>
      </c>
      <c r="BY67" s="7" t="s">
        <v>107</v>
      </c>
      <c r="BZ67" s="7" t="s">
        <v>107</v>
      </c>
      <c r="CA67" s="3"/>
      <c r="CB67" s="7"/>
      <c r="CC67" s="7" t="s">
        <v>107</v>
      </c>
      <c r="CD67" s="7" t="s">
        <v>107</v>
      </c>
      <c r="CE67" s="8" t="s">
        <v>107</v>
      </c>
      <c r="CF67" s="7" t="s">
        <v>107</v>
      </c>
      <c r="CG67" s="7" t="s">
        <v>107</v>
      </c>
      <c r="CH67" s="7" t="s">
        <v>107</v>
      </c>
      <c r="CI67" s="3"/>
      <c r="CJ67" s="7"/>
      <c r="CK67" s="7" t="s">
        <v>107</v>
      </c>
      <c r="CL67" s="7" t="s">
        <v>107</v>
      </c>
      <c r="CM67" s="8" t="s">
        <v>107</v>
      </c>
      <c r="CN67" s="7" t="s">
        <v>107</v>
      </c>
      <c r="CO67" s="7" t="s">
        <v>107</v>
      </c>
      <c r="CP67" s="7" t="s">
        <v>107</v>
      </c>
      <c r="CQ67" s="3"/>
      <c r="CR67" s="7"/>
      <c r="CS67" s="7" t="s">
        <v>107</v>
      </c>
      <c r="CT67" s="7" t="s">
        <v>107</v>
      </c>
      <c r="CU67" s="7" t="s">
        <v>107</v>
      </c>
      <c r="CV67" s="7" t="s">
        <v>107</v>
      </c>
      <c r="CW67" s="7" t="s">
        <v>107</v>
      </c>
      <c r="CX67" s="7" t="s">
        <v>107</v>
      </c>
      <c r="CY67" s="3"/>
      <c r="CZ67" s="7"/>
      <c r="DA67" s="7" t="s">
        <v>107</v>
      </c>
      <c r="DB67" s="7" t="s">
        <v>107</v>
      </c>
      <c r="DC67" s="7" t="s">
        <v>107</v>
      </c>
      <c r="DD67" s="7" t="s">
        <v>107</v>
      </c>
      <c r="DE67" s="7" t="s">
        <v>107</v>
      </c>
      <c r="DF67" s="7" t="s">
        <v>107</v>
      </c>
      <c r="DG67" s="3"/>
      <c r="DH67" s="7"/>
      <c r="DI67" s="7" t="s">
        <v>107</v>
      </c>
      <c r="DJ67" s="7" t="s">
        <v>107</v>
      </c>
      <c r="DK67" s="5">
        <f>AM67</f>
        <v>11767.5</v>
      </c>
      <c r="DL67" s="15" t="s">
        <v>2626</v>
      </c>
      <c r="DM67" s="51">
        <f>DL67*0.95</f>
        <v>11179.125</v>
      </c>
    </row>
    <row r="68" spans="1:117" ht="17.25" customHeight="1" x14ac:dyDescent="0.25">
      <c r="A68" s="50" t="s">
        <v>226</v>
      </c>
      <c r="B68" s="15" t="s">
        <v>3930</v>
      </c>
      <c r="C68" s="15" t="s">
        <v>227</v>
      </c>
      <c r="D68" s="15" t="s">
        <v>228</v>
      </c>
      <c r="E68" s="15" t="s">
        <v>229</v>
      </c>
      <c r="F68" s="15" t="s">
        <v>230</v>
      </c>
      <c r="G68" s="15" t="s">
        <v>231</v>
      </c>
      <c r="H68" s="15" t="s">
        <v>232</v>
      </c>
      <c r="I68" s="15" t="s">
        <v>3992</v>
      </c>
      <c r="J68" s="15" t="s">
        <v>4367</v>
      </c>
      <c r="K68" s="15" t="s">
        <v>101</v>
      </c>
      <c r="L68" s="15" t="s">
        <v>230</v>
      </c>
      <c r="M68" s="15" t="s">
        <v>233</v>
      </c>
      <c r="N68" s="15" t="s">
        <v>234</v>
      </c>
      <c r="O68" s="15" t="s">
        <v>235</v>
      </c>
      <c r="P68" s="15" t="s">
        <v>233</v>
      </c>
      <c r="Q68" s="15" t="s">
        <v>236</v>
      </c>
      <c r="R68" s="15" t="s">
        <v>132</v>
      </c>
      <c r="S68" s="15" t="s">
        <v>230</v>
      </c>
      <c r="T68" s="15" t="s">
        <v>107</v>
      </c>
      <c r="U68" s="15" t="s">
        <v>237</v>
      </c>
      <c r="V68" s="15" t="s">
        <v>109</v>
      </c>
      <c r="W68" s="15" t="s">
        <v>107</v>
      </c>
      <c r="X68" s="16" t="s">
        <v>238</v>
      </c>
      <c r="Y68" s="15" t="s">
        <v>239</v>
      </c>
      <c r="Z68" s="16" t="s">
        <v>240</v>
      </c>
      <c r="AA68" s="17">
        <v>950</v>
      </c>
      <c r="AB68" s="17">
        <v>1</v>
      </c>
      <c r="AC68" s="17">
        <v>375</v>
      </c>
      <c r="AD68" s="17">
        <v>1</v>
      </c>
      <c r="AE68" s="17">
        <v>400</v>
      </c>
      <c r="AF68" s="15" t="s">
        <v>142</v>
      </c>
      <c r="AG68" s="15" t="s">
        <v>132</v>
      </c>
      <c r="AH68" s="15" t="s">
        <v>236</v>
      </c>
      <c r="AI68" s="18">
        <v>29395.200000000001</v>
      </c>
      <c r="AJ68" s="15">
        <v>0.75</v>
      </c>
      <c r="AK68" s="15" t="s">
        <v>242</v>
      </c>
      <c r="AL68" s="15" t="s">
        <v>243</v>
      </c>
      <c r="AM68" s="3">
        <f>(AI68*AJ68)/2</f>
        <v>11023.2</v>
      </c>
      <c r="AN68" s="7" t="s">
        <v>196</v>
      </c>
      <c r="AO68" s="7" t="s">
        <v>115</v>
      </c>
      <c r="AP68" s="7" t="s">
        <v>244</v>
      </c>
      <c r="AQ68" s="8">
        <v>26073.599999999999</v>
      </c>
      <c r="AR68" s="7">
        <v>0.75</v>
      </c>
      <c r="AS68" s="7" t="s">
        <v>245</v>
      </c>
      <c r="AT68" s="7" t="s">
        <v>246</v>
      </c>
      <c r="AU68" s="3">
        <f>(AQ68*AR68)/2</f>
        <v>9777.5999999999985</v>
      </c>
      <c r="AV68" s="7" t="s">
        <v>107</v>
      </c>
      <c r="AW68" s="7" t="s">
        <v>107</v>
      </c>
      <c r="AX68" s="7" t="s">
        <v>107</v>
      </c>
      <c r="AY68" s="8" t="s">
        <v>107</v>
      </c>
      <c r="AZ68" s="7" t="s">
        <v>107</v>
      </c>
      <c r="BA68" s="7" t="s">
        <v>107</v>
      </c>
      <c r="BB68" s="7" t="s">
        <v>107</v>
      </c>
      <c r="BC68" s="3"/>
      <c r="BD68" s="7" t="s">
        <v>107</v>
      </c>
      <c r="BE68" s="7" t="s">
        <v>107</v>
      </c>
      <c r="BF68" s="7" t="s">
        <v>107</v>
      </c>
      <c r="BG68" s="7" t="s">
        <v>107</v>
      </c>
      <c r="BH68" s="7" t="s">
        <v>107</v>
      </c>
      <c r="BI68" s="7" t="s">
        <v>107</v>
      </c>
      <c r="BJ68" s="7" t="s">
        <v>107</v>
      </c>
      <c r="BK68" s="3"/>
      <c r="BL68" s="7" t="s">
        <v>107</v>
      </c>
      <c r="BM68" s="7" t="s">
        <v>107</v>
      </c>
      <c r="BN68" s="7" t="s">
        <v>107</v>
      </c>
      <c r="BO68" s="8" t="s">
        <v>107</v>
      </c>
      <c r="BP68" s="7" t="s">
        <v>107</v>
      </c>
      <c r="BQ68" s="7" t="s">
        <v>107</v>
      </c>
      <c r="BR68" s="7" t="s">
        <v>107</v>
      </c>
      <c r="BS68" s="3"/>
      <c r="BT68" s="7" t="s">
        <v>107</v>
      </c>
      <c r="BU68" s="7" t="s">
        <v>107</v>
      </c>
      <c r="BV68" s="7" t="s">
        <v>107</v>
      </c>
      <c r="BW68" s="8" t="s">
        <v>107</v>
      </c>
      <c r="BX68" s="7" t="s">
        <v>107</v>
      </c>
      <c r="BY68" s="7" t="s">
        <v>107</v>
      </c>
      <c r="BZ68" s="7" t="s">
        <v>107</v>
      </c>
      <c r="CA68" s="3"/>
      <c r="CB68" s="7"/>
      <c r="CC68" s="7" t="s">
        <v>107</v>
      </c>
      <c r="CD68" s="7" t="s">
        <v>107</v>
      </c>
      <c r="CE68" s="8" t="s">
        <v>107</v>
      </c>
      <c r="CF68" s="7" t="s">
        <v>107</v>
      </c>
      <c r="CG68" s="7" t="s">
        <v>107</v>
      </c>
      <c r="CH68" s="7" t="s">
        <v>107</v>
      </c>
      <c r="CI68" s="3"/>
      <c r="CJ68" s="7"/>
      <c r="CK68" s="7" t="s">
        <v>107</v>
      </c>
      <c r="CL68" s="7" t="s">
        <v>107</v>
      </c>
      <c r="CM68" s="8" t="s">
        <v>107</v>
      </c>
      <c r="CN68" s="7" t="s">
        <v>107</v>
      </c>
      <c r="CO68" s="7" t="s">
        <v>107</v>
      </c>
      <c r="CP68" s="7" t="s">
        <v>107</v>
      </c>
      <c r="CQ68" s="3"/>
      <c r="CR68" s="7"/>
      <c r="CS68" s="7" t="s">
        <v>107</v>
      </c>
      <c r="CT68" s="7" t="s">
        <v>107</v>
      </c>
      <c r="CU68" s="7" t="s">
        <v>107</v>
      </c>
      <c r="CV68" s="7" t="s">
        <v>107</v>
      </c>
      <c r="CW68" s="7" t="s">
        <v>107</v>
      </c>
      <c r="CX68" s="7" t="s">
        <v>107</v>
      </c>
      <c r="CY68" s="3"/>
      <c r="CZ68" s="7"/>
      <c r="DA68" s="7" t="s">
        <v>107</v>
      </c>
      <c r="DB68" s="7" t="s">
        <v>107</v>
      </c>
      <c r="DC68" s="7" t="s">
        <v>107</v>
      </c>
      <c r="DD68" s="7" t="s">
        <v>107</v>
      </c>
      <c r="DE68" s="7" t="s">
        <v>107</v>
      </c>
      <c r="DF68" s="7" t="s">
        <v>107</v>
      </c>
      <c r="DG68" s="3"/>
      <c r="DH68" s="7"/>
      <c r="DI68" s="7" t="s">
        <v>107</v>
      </c>
      <c r="DJ68" s="7" t="s">
        <v>107</v>
      </c>
      <c r="DK68" s="5">
        <f>AM68+AU68</f>
        <v>20800.8</v>
      </c>
      <c r="DL68" s="15" t="s">
        <v>247</v>
      </c>
      <c r="DM68" s="51">
        <f>DL68*0.95</f>
        <v>19760.759999999998</v>
      </c>
    </row>
    <row r="69" spans="1:117" ht="17.25" customHeight="1" x14ac:dyDescent="0.25">
      <c r="A69" s="50" t="s">
        <v>2215</v>
      </c>
      <c r="B69" s="15" t="s">
        <v>2216</v>
      </c>
      <c r="C69" s="15" t="s">
        <v>2217</v>
      </c>
      <c r="D69" s="15" t="s">
        <v>2218</v>
      </c>
      <c r="E69" s="15" t="s">
        <v>1381</v>
      </c>
      <c r="F69" s="15" t="s">
        <v>2219</v>
      </c>
      <c r="G69" s="15" t="s">
        <v>2220</v>
      </c>
      <c r="H69" s="15" t="s">
        <v>2221</v>
      </c>
      <c r="I69" s="15" t="s">
        <v>2222</v>
      </c>
      <c r="J69" s="15" t="s">
        <v>4283</v>
      </c>
      <c r="K69" s="15" t="s">
        <v>151</v>
      </c>
      <c r="L69" s="15" t="s">
        <v>2219</v>
      </c>
      <c r="M69" s="15" t="s">
        <v>2223</v>
      </c>
      <c r="N69" s="15" t="s">
        <v>2224</v>
      </c>
      <c r="O69" s="15" t="s">
        <v>2225</v>
      </c>
      <c r="P69" s="15" t="s">
        <v>2226</v>
      </c>
      <c r="Q69" s="15" t="s">
        <v>2222</v>
      </c>
      <c r="R69" s="15" t="s">
        <v>151</v>
      </c>
      <c r="S69" s="15" t="s">
        <v>2219</v>
      </c>
      <c r="T69" s="15" t="s">
        <v>107</v>
      </c>
      <c r="U69" s="15" t="s">
        <v>2223</v>
      </c>
      <c r="V69" s="15" t="s">
        <v>109</v>
      </c>
      <c r="W69" s="15" t="s">
        <v>2227</v>
      </c>
      <c r="X69" s="16" t="s">
        <v>2228</v>
      </c>
      <c r="Y69" s="15" t="s">
        <v>2229</v>
      </c>
      <c r="Z69" s="16" t="s">
        <v>2230</v>
      </c>
      <c r="AA69" s="17">
        <v>225</v>
      </c>
      <c r="AB69" s="17">
        <v>1</v>
      </c>
      <c r="AC69" s="17">
        <v>0</v>
      </c>
      <c r="AD69" s="17">
        <v>1</v>
      </c>
      <c r="AE69" s="17">
        <v>0</v>
      </c>
      <c r="AF69" s="15" t="s">
        <v>142</v>
      </c>
      <c r="AG69" s="15" t="s">
        <v>352</v>
      </c>
      <c r="AH69" s="15" t="s">
        <v>2231</v>
      </c>
      <c r="AI69" s="20">
        <v>62899.199999999997</v>
      </c>
      <c r="AJ69" s="15">
        <v>0.6</v>
      </c>
      <c r="AK69" s="15" t="s">
        <v>2232</v>
      </c>
      <c r="AL69" s="15" t="s">
        <v>2233</v>
      </c>
      <c r="AM69" s="3">
        <f>(AI69*AJ69)/2</f>
        <v>18869.759999999998</v>
      </c>
      <c r="AN69" s="7" t="s">
        <v>107</v>
      </c>
      <c r="AO69" s="7" t="s">
        <v>107</v>
      </c>
      <c r="AP69" s="7" t="s">
        <v>107</v>
      </c>
      <c r="AQ69" s="8" t="s">
        <v>107</v>
      </c>
      <c r="AR69" s="7" t="s">
        <v>107</v>
      </c>
      <c r="AS69" s="7" t="s">
        <v>107</v>
      </c>
      <c r="AT69" s="7" t="s">
        <v>107</v>
      </c>
      <c r="AU69" s="3"/>
      <c r="AV69" s="7" t="s">
        <v>107</v>
      </c>
      <c r="AW69" s="7" t="s">
        <v>107</v>
      </c>
      <c r="AX69" s="7" t="s">
        <v>107</v>
      </c>
      <c r="AY69" s="8" t="s">
        <v>107</v>
      </c>
      <c r="AZ69" s="7" t="s">
        <v>107</v>
      </c>
      <c r="BA69" s="7" t="s">
        <v>107</v>
      </c>
      <c r="BB69" s="7" t="s">
        <v>107</v>
      </c>
      <c r="BC69" s="3"/>
      <c r="BD69" s="7" t="s">
        <v>107</v>
      </c>
      <c r="BE69" s="7" t="s">
        <v>107</v>
      </c>
      <c r="BF69" s="7" t="s">
        <v>107</v>
      </c>
      <c r="BG69" s="7" t="s">
        <v>107</v>
      </c>
      <c r="BH69" s="7" t="s">
        <v>107</v>
      </c>
      <c r="BI69" s="7" t="s">
        <v>107</v>
      </c>
      <c r="BJ69" s="7" t="s">
        <v>107</v>
      </c>
      <c r="BK69" s="3"/>
      <c r="BL69" s="7" t="s">
        <v>107</v>
      </c>
      <c r="BM69" s="7" t="s">
        <v>107</v>
      </c>
      <c r="BN69" s="7" t="s">
        <v>107</v>
      </c>
      <c r="BO69" s="8" t="s">
        <v>107</v>
      </c>
      <c r="BP69" s="7" t="s">
        <v>107</v>
      </c>
      <c r="BQ69" s="7" t="s">
        <v>107</v>
      </c>
      <c r="BR69" s="7" t="s">
        <v>107</v>
      </c>
      <c r="BS69" s="3"/>
      <c r="BT69" s="7" t="s">
        <v>107</v>
      </c>
      <c r="BU69" s="7" t="s">
        <v>107</v>
      </c>
      <c r="BV69" s="7" t="s">
        <v>107</v>
      </c>
      <c r="BW69" s="8" t="s">
        <v>107</v>
      </c>
      <c r="BX69" s="7" t="s">
        <v>107</v>
      </c>
      <c r="BY69" s="7" t="s">
        <v>107</v>
      </c>
      <c r="BZ69" s="7" t="s">
        <v>107</v>
      </c>
      <c r="CA69" s="3"/>
      <c r="CB69" s="7"/>
      <c r="CC69" s="7" t="s">
        <v>107</v>
      </c>
      <c r="CD69" s="7" t="s">
        <v>107</v>
      </c>
      <c r="CE69" s="8" t="s">
        <v>107</v>
      </c>
      <c r="CF69" s="7" t="s">
        <v>107</v>
      </c>
      <c r="CG69" s="7" t="s">
        <v>107</v>
      </c>
      <c r="CH69" s="7" t="s">
        <v>107</v>
      </c>
      <c r="CI69" s="3"/>
      <c r="CJ69" s="7"/>
      <c r="CK69" s="7" t="s">
        <v>107</v>
      </c>
      <c r="CL69" s="7" t="s">
        <v>107</v>
      </c>
      <c r="CM69" s="8" t="s">
        <v>107</v>
      </c>
      <c r="CN69" s="7" t="s">
        <v>107</v>
      </c>
      <c r="CO69" s="7" t="s">
        <v>107</v>
      </c>
      <c r="CP69" s="7" t="s">
        <v>107</v>
      </c>
      <c r="CQ69" s="3"/>
      <c r="CR69" s="7"/>
      <c r="CS69" s="7" t="s">
        <v>107</v>
      </c>
      <c r="CT69" s="7" t="s">
        <v>107</v>
      </c>
      <c r="CU69" s="7" t="s">
        <v>107</v>
      </c>
      <c r="CV69" s="7" t="s">
        <v>107</v>
      </c>
      <c r="CW69" s="7" t="s">
        <v>107</v>
      </c>
      <c r="CX69" s="7" t="s">
        <v>107</v>
      </c>
      <c r="CY69" s="3"/>
      <c r="CZ69" s="7"/>
      <c r="DA69" s="7" t="s">
        <v>107</v>
      </c>
      <c r="DB69" s="7" t="s">
        <v>107</v>
      </c>
      <c r="DC69" s="7" t="s">
        <v>107</v>
      </c>
      <c r="DD69" s="7" t="s">
        <v>107</v>
      </c>
      <c r="DE69" s="7" t="s">
        <v>107</v>
      </c>
      <c r="DF69" s="7" t="s">
        <v>107</v>
      </c>
      <c r="DG69" s="3"/>
      <c r="DH69" s="7"/>
      <c r="DI69" s="7" t="s">
        <v>107</v>
      </c>
      <c r="DJ69" s="7" t="s">
        <v>107</v>
      </c>
      <c r="DK69" s="5">
        <f>AM69</f>
        <v>18869.759999999998</v>
      </c>
      <c r="DL69" s="15" t="s">
        <v>2233</v>
      </c>
      <c r="DM69" s="51">
        <f>DL69*0.95</f>
        <v>17926.271999999997</v>
      </c>
    </row>
    <row r="70" spans="1:117" ht="17.25" customHeight="1" x14ac:dyDescent="0.25">
      <c r="A70" s="50" t="s">
        <v>3867</v>
      </c>
      <c r="B70" s="15" t="s">
        <v>3931</v>
      </c>
      <c r="C70" s="15" t="s">
        <v>3528</v>
      </c>
      <c r="D70" s="15" t="s">
        <v>3529</v>
      </c>
      <c r="E70" s="15" t="s">
        <v>3511</v>
      </c>
      <c r="F70" s="15" t="s">
        <v>3530</v>
      </c>
      <c r="G70" s="15" t="s">
        <v>3531</v>
      </c>
      <c r="H70" s="15" t="s">
        <v>3532</v>
      </c>
      <c r="I70" s="15" t="s">
        <v>3533</v>
      </c>
      <c r="J70" s="15" t="s">
        <v>4348</v>
      </c>
      <c r="K70" s="15" t="s">
        <v>151</v>
      </c>
      <c r="L70" s="15" t="s">
        <v>3530</v>
      </c>
      <c r="M70" s="15" t="s">
        <v>3534</v>
      </c>
      <c r="N70" s="15" t="s">
        <v>3533</v>
      </c>
      <c r="O70" s="15" t="s">
        <v>3530</v>
      </c>
      <c r="P70" s="15" t="s">
        <v>3535</v>
      </c>
      <c r="Q70" s="15" t="s">
        <v>3541</v>
      </c>
      <c r="R70" s="15" t="s">
        <v>157</v>
      </c>
      <c r="S70" s="15" t="s">
        <v>3536</v>
      </c>
      <c r="T70" s="15" t="s">
        <v>107</v>
      </c>
      <c r="U70" s="15" t="s">
        <v>3537</v>
      </c>
      <c r="V70" s="15" t="s">
        <v>109</v>
      </c>
      <c r="W70" s="15" t="s">
        <v>3538</v>
      </c>
      <c r="X70" s="16" t="s">
        <v>3539</v>
      </c>
      <c r="Y70" s="15" t="s">
        <v>112</v>
      </c>
      <c r="Z70" s="16" t="s">
        <v>3540</v>
      </c>
      <c r="AA70" s="17">
        <v>475</v>
      </c>
      <c r="AB70" s="17">
        <v>3</v>
      </c>
      <c r="AC70" s="17">
        <v>420</v>
      </c>
      <c r="AD70" s="17">
        <v>1</v>
      </c>
      <c r="AE70" s="17">
        <v>160</v>
      </c>
      <c r="AF70" s="15" t="s">
        <v>142</v>
      </c>
      <c r="AG70" s="15" t="s">
        <v>157</v>
      </c>
      <c r="AH70" s="15" t="s">
        <v>3541</v>
      </c>
      <c r="AI70" s="18">
        <v>11547</v>
      </c>
      <c r="AJ70" s="15">
        <v>1</v>
      </c>
      <c r="AK70" s="15" t="s">
        <v>3542</v>
      </c>
      <c r="AL70" s="15" t="s">
        <v>3543</v>
      </c>
      <c r="AM70" s="3">
        <f>(AI70*AJ70)/2</f>
        <v>5773.5</v>
      </c>
      <c r="AN70" s="7" t="s">
        <v>107</v>
      </c>
      <c r="AO70" s="7" t="s">
        <v>107</v>
      </c>
      <c r="AP70" s="7" t="s">
        <v>107</v>
      </c>
      <c r="AQ70" s="8" t="s">
        <v>107</v>
      </c>
      <c r="AR70" s="7" t="s">
        <v>107</v>
      </c>
      <c r="AS70" s="7" t="s">
        <v>107</v>
      </c>
      <c r="AT70" s="7" t="s">
        <v>107</v>
      </c>
      <c r="AU70" s="3"/>
      <c r="AV70" s="7" t="s">
        <v>107</v>
      </c>
      <c r="AW70" s="7" t="s">
        <v>107</v>
      </c>
      <c r="AX70" s="7" t="s">
        <v>107</v>
      </c>
      <c r="AY70" s="8" t="s">
        <v>107</v>
      </c>
      <c r="AZ70" s="7" t="s">
        <v>107</v>
      </c>
      <c r="BA70" s="7" t="s">
        <v>107</v>
      </c>
      <c r="BB70" s="7" t="s">
        <v>107</v>
      </c>
      <c r="BC70" s="3"/>
      <c r="BD70" s="7" t="s">
        <v>107</v>
      </c>
      <c r="BE70" s="7" t="s">
        <v>107</v>
      </c>
      <c r="BF70" s="7" t="s">
        <v>107</v>
      </c>
      <c r="BG70" s="7" t="s">
        <v>107</v>
      </c>
      <c r="BH70" s="7" t="s">
        <v>107</v>
      </c>
      <c r="BI70" s="7" t="s">
        <v>107</v>
      </c>
      <c r="BJ70" s="7" t="s">
        <v>107</v>
      </c>
      <c r="BK70" s="3"/>
      <c r="BL70" s="7" t="s">
        <v>107</v>
      </c>
      <c r="BM70" s="7" t="s">
        <v>107</v>
      </c>
      <c r="BN70" s="7" t="s">
        <v>107</v>
      </c>
      <c r="BO70" s="8" t="s">
        <v>107</v>
      </c>
      <c r="BP70" s="7" t="s">
        <v>107</v>
      </c>
      <c r="BQ70" s="7" t="s">
        <v>107</v>
      </c>
      <c r="BR70" s="7" t="s">
        <v>107</v>
      </c>
      <c r="BS70" s="3"/>
      <c r="BT70" s="7" t="s">
        <v>107</v>
      </c>
      <c r="BU70" s="7" t="s">
        <v>107</v>
      </c>
      <c r="BV70" s="7" t="s">
        <v>107</v>
      </c>
      <c r="BW70" s="8" t="s">
        <v>107</v>
      </c>
      <c r="BX70" s="7" t="s">
        <v>107</v>
      </c>
      <c r="BY70" s="7" t="s">
        <v>107</v>
      </c>
      <c r="BZ70" s="7" t="s">
        <v>107</v>
      </c>
      <c r="CA70" s="3"/>
      <c r="CB70" s="7"/>
      <c r="CC70" s="7" t="s">
        <v>107</v>
      </c>
      <c r="CD70" s="7" t="s">
        <v>107</v>
      </c>
      <c r="CE70" s="8" t="s">
        <v>107</v>
      </c>
      <c r="CF70" s="7" t="s">
        <v>107</v>
      </c>
      <c r="CG70" s="7" t="s">
        <v>107</v>
      </c>
      <c r="CH70" s="7" t="s">
        <v>107</v>
      </c>
      <c r="CI70" s="3"/>
      <c r="CJ70" s="7"/>
      <c r="CK70" s="7" t="s">
        <v>107</v>
      </c>
      <c r="CL70" s="7" t="s">
        <v>107</v>
      </c>
      <c r="CM70" s="8" t="s">
        <v>107</v>
      </c>
      <c r="CN70" s="7" t="s">
        <v>107</v>
      </c>
      <c r="CO70" s="7" t="s">
        <v>107</v>
      </c>
      <c r="CP70" s="7" t="s">
        <v>107</v>
      </c>
      <c r="CQ70" s="3"/>
      <c r="CR70" s="7"/>
      <c r="CS70" s="7" t="s">
        <v>107</v>
      </c>
      <c r="CT70" s="7" t="s">
        <v>107</v>
      </c>
      <c r="CU70" s="7" t="s">
        <v>107</v>
      </c>
      <c r="CV70" s="7" t="s">
        <v>107</v>
      </c>
      <c r="CW70" s="7" t="s">
        <v>107</v>
      </c>
      <c r="CX70" s="7" t="s">
        <v>107</v>
      </c>
      <c r="CY70" s="3"/>
      <c r="CZ70" s="7"/>
      <c r="DA70" s="7" t="s">
        <v>107</v>
      </c>
      <c r="DB70" s="7" t="s">
        <v>107</v>
      </c>
      <c r="DC70" s="7" t="s">
        <v>107</v>
      </c>
      <c r="DD70" s="7" t="s">
        <v>107</v>
      </c>
      <c r="DE70" s="7" t="s">
        <v>107</v>
      </c>
      <c r="DF70" s="7" t="s">
        <v>107</v>
      </c>
      <c r="DG70" s="3"/>
      <c r="DH70" s="7"/>
      <c r="DI70" s="7" t="s">
        <v>107</v>
      </c>
      <c r="DJ70" s="7" t="s">
        <v>107</v>
      </c>
      <c r="DK70" s="5">
        <f>AM70</f>
        <v>5773.5</v>
      </c>
      <c r="DL70" s="15" t="s">
        <v>3543</v>
      </c>
      <c r="DM70" s="51">
        <f>DL70*0.95</f>
        <v>5484.3499999999995</v>
      </c>
    </row>
    <row r="71" spans="1:117" ht="17.25" customHeight="1" x14ac:dyDescent="0.25">
      <c r="A71" s="50" t="s">
        <v>3868</v>
      </c>
      <c r="B71" s="15" t="s">
        <v>3932</v>
      </c>
      <c r="C71" s="15" t="s">
        <v>414</v>
      </c>
      <c r="D71" s="15" t="s">
        <v>415</v>
      </c>
      <c r="E71" s="15" t="s">
        <v>416</v>
      </c>
      <c r="F71" s="15" t="s">
        <v>417</v>
      </c>
      <c r="G71" s="15" t="s">
        <v>418</v>
      </c>
      <c r="H71" s="15" t="s">
        <v>419</v>
      </c>
      <c r="I71" s="15" t="s">
        <v>3993</v>
      </c>
      <c r="J71" s="15" t="s">
        <v>4201</v>
      </c>
      <c r="K71" s="15" t="s">
        <v>101</v>
      </c>
      <c r="L71" s="15" t="s">
        <v>417</v>
      </c>
      <c r="M71" s="15" t="s">
        <v>420</v>
      </c>
      <c r="N71" s="15" t="s">
        <v>421</v>
      </c>
      <c r="O71" s="15" t="s">
        <v>417</v>
      </c>
      <c r="P71" s="15" t="s">
        <v>422</v>
      </c>
      <c r="Q71" s="15" t="s">
        <v>421</v>
      </c>
      <c r="R71" s="15" t="s">
        <v>115</v>
      </c>
      <c r="S71" s="15" t="s">
        <v>417</v>
      </c>
      <c r="T71" s="15" t="s">
        <v>107</v>
      </c>
      <c r="U71" s="15" t="s">
        <v>422</v>
      </c>
      <c r="V71" s="15" t="s">
        <v>109</v>
      </c>
      <c r="W71" s="15" t="s">
        <v>423</v>
      </c>
      <c r="X71" s="16" t="s">
        <v>424</v>
      </c>
      <c r="Y71" s="15" t="s">
        <v>137</v>
      </c>
      <c r="Z71" s="16" t="s">
        <v>425</v>
      </c>
      <c r="AA71" s="17">
        <v>616</v>
      </c>
      <c r="AB71" s="17">
        <v>0</v>
      </c>
      <c r="AC71" s="17">
        <v>0</v>
      </c>
      <c r="AD71" s="17">
        <v>0</v>
      </c>
      <c r="AE71" s="17">
        <v>0</v>
      </c>
      <c r="AF71" s="15" t="s">
        <v>142</v>
      </c>
      <c r="AG71" s="15" t="s">
        <v>115</v>
      </c>
      <c r="AH71" s="15" t="s">
        <v>4053</v>
      </c>
      <c r="AI71" s="18">
        <v>36816</v>
      </c>
      <c r="AJ71" s="15">
        <v>1</v>
      </c>
      <c r="AK71" s="15" t="s">
        <v>426</v>
      </c>
      <c r="AL71" s="15" t="s">
        <v>427</v>
      </c>
      <c r="AM71" s="3">
        <f>(AI71*AJ71)/2</f>
        <v>18408</v>
      </c>
      <c r="AN71" s="7" t="s">
        <v>107</v>
      </c>
      <c r="AO71" s="7" t="s">
        <v>107</v>
      </c>
      <c r="AP71" s="7" t="s">
        <v>107</v>
      </c>
      <c r="AQ71" s="8" t="s">
        <v>107</v>
      </c>
      <c r="AR71" s="7" t="s">
        <v>107</v>
      </c>
      <c r="AS71" s="7" t="s">
        <v>107</v>
      </c>
      <c r="AT71" s="7" t="s">
        <v>107</v>
      </c>
      <c r="AU71" s="3"/>
      <c r="AV71" s="7" t="s">
        <v>107</v>
      </c>
      <c r="AW71" s="7" t="s">
        <v>107</v>
      </c>
      <c r="AX71" s="7" t="s">
        <v>107</v>
      </c>
      <c r="AY71" s="8" t="s">
        <v>107</v>
      </c>
      <c r="AZ71" s="7" t="s">
        <v>107</v>
      </c>
      <c r="BA71" s="7" t="s">
        <v>107</v>
      </c>
      <c r="BB71" s="7" t="s">
        <v>107</v>
      </c>
      <c r="BC71" s="3"/>
      <c r="BD71" s="7" t="s">
        <v>107</v>
      </c>
      <c r="BE71" s="7" t="s">
        <v>107</v>
      </c>
      <c r="BF71" s="7" t="s">
        <v>107</v>
      </c>
      <c r="BG71" s="7" t="s">
        <v>107</v>
      </c>
      <c r="BH71" s="7" t="s">
        <v>107</v>
      </c>
      <c r="BI71" s="7" t="s">
        <v>107</v>
      </c>
      <c r="BJ71" s="7" t="s">
        <v>107</v>
      </c>
      <c r="BK71" s="3"/>
      <c r="BL71" s="7" t="s">
        <v>107</v>
      </c>
      <c r="BM71" s="7" t="s">
        <v>107</v>
      </c>
      <c r="BN71" s="7" t="s">
        <v>107</v>
      </c>
      <c r="BO71" s="8" t="s">
        <v>107</v>
      </c>
      <c r="BP71" s="7" t="s">
        <v>107</v>
      </c>
      <c r="BQ71" s="7" t="s">
        <v>107</v>
      </c>
      <c r="BR71" s="7" t="s">
        <v>107</v>
      </c>
      <c r="BS71" s="3"/>
      <c r="BT71" s="7" t="s">
        <v>107</v>
      </c>
      <c r="BU71" s="7" t="s">
        <v>107</v>
      </c>
      <c r="BV71" s="7" t="s">
        <v>107</v>
      </c>
      <c r="BW71" s="8" t="s">
        <v>107</v>
      </c>
      <c r="BX71" s="7" t="s">
        <v>107</v>
      </c>
      <c r="BY71" s="7" t="s">
        <v>107</v>
      </c>
      <c r="BZ71" s="7" t="s">
        <v>107</v>
      </c>
      <c r="CA71" s="3"/>
      <c r="CB71" s="7"/>
      <c r="CC71" s="7" t="s">
        <v>107</v>
      </c>
      <c r="CD71" s="7" t="s">
        <v>107</v>
      </c>
      <c r="CE71" s="8" t="s">
        <v>107</v>
      </c>
      <c r="CF71" s="7" t="s">
        <v>107</v>
      </c>
      <c r="CG71" s="7" t="s">
        <v>107</v>
      </c>
      <c r="CH71" s="7" t="s">
        <v>107</v>
      </c>
      <c r="CI71" s="3"/>
      <c r="CJ71" s="7"/>
      <c r="CK71" s="7" t="s">
        <v>107</v>
      </c>
      <c r="CL71" s="7" t="s">
        <v>107</v>
      </c>
      <c r="CM71" s="8" t="s">
        <v>107</v>
      </c>
      <c r="CN71" s="7" t="s">
        <v>107</v>
      </c>
      <c r="CO71" s="7" t="s">
        <v>107</v>
      </c>
      <c r="CP71" s="7" t="s">
        <v>107</v>
      </c>
      <c r="CQ71" s="3"/>
      <c r="CR71" s="7"/>
      <c r="CS71" s="7" t="s">
        <v>107</v>
      </c>
      <c r="CT71" s="7" t="s">
        <v>107</v>
      </c>
      <c r="CU71" s="7" t="s">
        <v>107</v>
      </c>
      <c r="CV71" s="7" t="s">
        <v>107</v>
      </c>
      <c r="CW71" s="7" t="s">
        <v>107</v>
      </c>
      <c r="CX71" s="7" t="s">
        <v>107</v>
      </c>
      <c r="CY71" s="3"/>
      <c r="CZ71" s="7"/>
      <c r="DA71" s="7" t="s">
        <v>107</v>
      </c>
      <c r="DB71" s="7" t="s">
        <v>107</v>
      </c>
      <c r="DC71" s="7" t="s">
        <v>107</v>
      </c>
      <c r="DD71" s="7" t="s">
        <v>107</v>
      </c>
      <c r="DE71" s="7" t="s">
        <v>107</v>
      </c>
      <c r="DF71" s="7" t="s">
        <v>107</v>
      </c>
      <c r="DG71" s="3"/>
      <c r="DH71" s="7"/>
      <c r="DI71" s="7" t="s">
        <v>107</v>
      </c>
      <c r="DJ71" s="7" t="s">
        <v>107</v>
      </c>
      <c r="DK71" s="5">
        <f>AM71</f>
        <v>18408</v>
      </c>
      <c r="DL71" s="15" t="s">
        <v>428</v>
      </c>
      <c r="DM71" s="51">
        <f>DL71*0.95</f>
        <v>17487.599999999999</v>
      </c>
    </row>
    <row r="72" spans="1:117" ht="17.25" customHeight="1" x14ac:dyDescent="0.25">
      <c r="A72" s="50" t="s">
        <v>3869</v>
      </c>
      <c r="B72" s="15" t="s">
        <v>3933</v>
      </c>
      <c r="C72" s="15" t="s">
        <v>3970</v>
      </c>
      <c r="D72" s="15" t="s">
        <v>2288</v>
      </c>
      <c r="E72" s="15" t="s">
        <v>351</v>
      </c>
      <c r="F72" s="15" t="s">
        <v>2806</v>
      </c>
      <c r="G72" s="15" t="s">
        <v>2807</v>
      </c>
      <c r="H72" s="15" t="s">
        <v>2808</v>
      </c>
      <c r="I72" s="15" t="s">
        <v>3994</v>
      </c>
      <c r="J72" s="15" t="s">
        <v>4312</v>
      </c>
      <c r="K72" s="15" t="s">
        <v>151</v>
      </c>
      <c r="L72" s="15" t="s">
        <v>2809</v>
      </c>
      <c r="M72" s="15" t="s">
        <v>2810</v>
      </c>
      <c r="N72" s="15" t="s">
        <v>4027</v>
      </c>
      <c r="O72" s="15" t="s">
        <v>2809</v>
      </c>
      <c r="P72" s="15" t="s">
        <v>107</v>
      </c>
      <c r="Q72" s="15" t="s">
        <v>3994</v>
      </c>
      <c r="R72" s="15" t="s">
        <v>151</v>
      </c>
      <c r="S72" s="15" t="s">
        <v>2809</v>
      </c>
      <c r="T72" s="15" t="s">
        <v>107</v>
      </c>
      <c r="U72" s="15" t="s">
        <v>2810</v>
      </c>
      <c r="V72" s="15" t="s">
        <v>109</v>
      </c>
      <c r="W72" s="15" t="s">
        <v>2811</v>
      </c>
      <c r="X72" s="16" t="s">
        <v>2812</v>
      </c>
      <c r="Y72" s="15" t="s">
        <v>241</v>
      </c>
      <c r="Z72" s="16" t="s">
        <v>2813</v>
      </c>
      <c r="AA72" s="17">
        <v>541</v>
      </c>
      <c r="AB72" s="17">
        <v>0</v>
      </c>
      <c r="AC72" s="17">
        <v>0</v>
      </c>
      <c r="AD72" s="17">
        <v>0</v>
      </c>
      <c r="AE72" s="17">
        <v>0</v>
      </c>
      <c r="AF72" s="15" t="s">
        <v>142</v>
      </c>
      <c r="AG72" s="15" t="s">
        <v>157</v>
      </c>
      <c r="AH72" s="15" t="s">
        <v>2815</v>
      </c>
      <c r="AI72" s="18">
        <v>72425.600000000006</v>
      </c>
      <c r="AJ72" s="15">
        <v>0.1</v>
      </c>
      <c r="AK72" s="15" t="s">
        <v>2816</v>
      </c>
      <c r="AL72" s="15" t="s">
        <v>2817</v>
      </c>
      <c r="AM72" s="3">
        <f>(AI72*AJ72)/2</f>
        <v>3621.2800000000007</v>
      </c>
      <c r="AN72" s="7" t="s">
        <v>107</v>
      </c>
      <c r="AO72" s="7" t="s">
        <v>107</v>
      </c>
      <c r="AP72" s="7" t="s">
        <v>107</v>
      </c>
      <c r="AQ72" s="8" t="s">
        <v>107</v>
      </c>
      <c r="AR72" s="7" t="s">
        <v>107</v>
      </c>
      <c r="AS72" s="7" t="s">
        <v>107</v>
      </c>
      <c r="AT72" s="7" t="s">
        <v>107</v>
      </c>
      <c r="AU72" s="3"/>
      <c r="AV72" s="7" t="s">
        <v>107</v>
      </c>
      <c r="AW72" s="7" t="s">
        <v>107</v>
      </c>
      <c r="AX72" s="7" t="s">
        <v>107</v>
      </c>
      <c r="AY72" s="8" t="s">
        <v>107</v>
      </c>
      <c r="AZ72" s="7" t="s">
        <v>107</v>
      </c>
      <c r="BA72" s="7" t="s">
        <v>107</v>
      </c>
      <c r="BB72" s="7" t="s">
        <v>107</v>
      </c>
      <c r="BC72" s="3"/>
      <c r="BD72" s="7" t="s">
        <v>107</v>
      </c>
      <c r="BE72" s="7" t="s">
        <v>107</v>
      </c>
      <c r="BF72" s="7" t="s">
        <v>107</v>
      </c>
      <c r="BG72" s="7" t="s">
        <v>107</v>
      </c>
      <c r="BH72" s="7" t="s">
        <v>107</v>
      </c>
      <c r="BI72" s="7" t="s">
        <v>107</v>
      </c>
      <c r="BJ72" s="7" t="s">
        <v>107</v>
      </c>
      <c r="BK72" s="3"/>
      <c r="BL72" s="7" t="s">
        <v>107</v>
      </c>
      <c r="BM72" s="7" t="s">
        <v>107</v>
      </c>
      <c r="BN72" s="7" t="s">
        <v>107</v>
      </c>
      <c r="BO72" s="8" t="s">
        <v>107</v>
      </c>
      <c r="BP72" s="7" t="s">
        <v>107</v>
      </c>
      <c r="BQ72" s="7" t="s">
        <v>107</v>
      </c>
      <c r="BR72" s="7" t="s">
        <v>107</v>
      </c>
      <c r="BS72" s="3"/>
      <c r="BT72" s="7" t="s">
        <v>107</v>
      </c>
      <c r="BU72" s="7" t="s">
        <v>107</v>
      </c>
      <c r="BV72" s="7" t="s">
        <v>107</v>
      </c>
      <c r="BW72" s="8" t="s">
        <v>107</v>
      </c>
      <c r="BX72" s="7" t="s">
        <v>107</v>
      </c>
      <c r="BY72" s="7" t="s">
        <v>107</v>
      </c>
      <c r="BZ72" s="7" t="s">
        <v>107</v>
      </c>
      <c r="CA72" s="3"/>
      <c r="CB72" s="7"/>
      <c r="CC72" s="7" t="s">
        <v>107</v>
      </c>
      <c r="CD72" s="7" t="s">
        <v>107</v>
      </c>
      <c r="CE72" s="8" t="s">
        <v>107</v>
      </c>
      <c r="CF72" s="7" t="s">
        <v>107</v>
      </c>
      <c r="CG72" s="7" t="s">
        <v>107</v>
      </c>
      <c r="CH72" s="7" t="s">
        <v>107</v>
      </c>
      <c r="CI72" s="3"/>
      <c r="CJ72" s="7"/>
      <c r="CK72" s="7" t="s">
        <v>107</v>
      </c>
      <c r="CL72" s="7" t="s">
        <v>107</v>
      </c>
      <c r="CM72" s="8" t="s">
        <v>107</v>
      </c>
      <c r="CN72" s="7" t="s">
        <v>107</v>
      </c>
      <c r="CO72" s="7" t="s">
        <v>107</v>
      </c>
      <c r="CP72" s="7" t="s">
        <v>107</v>
      </c>
      <c r="CQ72" s="3"/>
      <c r="CR72" s="7"/>
      <c r="CS72" s="7" t="s">
        <v>107</v>
      </c>
      <c r="CT72" s="7" t="s">
        <v>107</v>
      </c>
      <c r="CU72" s="7" t="s">
        <v>107</v>
      </c>
      <c r="CV72" s="7" t="s">
        <v>107</v>
      </c>
      <c r="CW72" s="7" t="s">
        <v>107</v>
      </c>
      <c r="CX72" s="7" t="s">
        <v>107</v>
      </c>
      <c r="CY72" s="3"/>
      <c r="CZ72" s="7"/>
      <c r="DA72" s="7" t="s">
        <v>107</v>
      </c>
      <c r="DB72" s="7" t="s">
        <v>107</v>
      </c>
      <c r="DC72" s="7" t="s">
        <v>107</v>
      </c>
      <c r="DD72" s="7" t="s">
        <v>107</v>
      </c>
      <c r="DE72" s="7" t="s">
        <v>107</v>
      </c>
      <c r="DF72" s="7" t="s">
        <v>107</v>
      </c>
      <c r="DG72" s="3"/>
      <c r="DH72" s="7"/>
      <c r="DI72" s="7" t="s">
        <v>107</v>
      </c>
      <c r="DJ72" s="7" t="s">
        <v>107</v>
      </c>
      <c r="DK72" s="5">
        <f>AM72</f>
        <v>3621.2800000000007</v>
      </c>
      <c r="DL72" s="15" t="s">
        <v>2818</v>
      </c>
      <c r="DM72" s="51">
        <f>DL72*0.95</f>
        <v>3440.2159999999999</v>
      </c>
    </row>
    <row r="73" spans="1:117" ht="17.25" customHeight="1" x14ac:dyDescent="0.25">
      <c r="A73" s="50" t="s">
        <v>1596</v>
      </c>
      <c r="B73" s="15" t="s">
        <v>1597</v>
      </c>
      <c r="C73" s="15" t="s">
        <v>1598</v>
      </c>
      <c r="D73" s="15" t="s">
        <v>1599</v>
      </c>
      <c r="E73" s="15" t="s">
        <v>433</v>
      </c>
      <c r="F73" s="15" t="s">
        <v>1600</v>
      </c>
      <c r="G73" s="15" t="s">
        <v>107</v>
      </c>
      <c r="H73" s="15" t="s">
        <v>1601</v>
      </c>
      <c r="I73" s="15" t="s">
        <v>1602</v>
      </c>
      <c r="J73" s="15" t="s">
        <v>4256</v>
      </c>
      <c r="K73" s="15" t="s">
        <v>151</v>
      </c>
      <c r="L73" s="15" t="s">
        <v>1600</v>
      </c>
      <c r="M73" s="15" t="s">
        <v>1603</v>
      </c>
      <c r="N73" s="15" t="s">
        <v>1604</v>
      </c>
      <c r="O73" s="15" t="s">
        <v>1600</v>
      </c>
      <c r="P73" s="15" t="s">
        <v>1605</v>
      </c>
      <c r="Q73" s="15" t="s">
        <v>1606</v>
      </c>
      <c r="R73" s="15" t="s">
        <v>460</v>
      </c>
      <c r="S73" s="15" t="s">
        <v>1600</v>
      </c>
      <c r="T73" s="15" t="s">
        <v>107</v>
      </c>
      <c r="U73" s="15" t="s">
        <v>1607</v>
      </c>
      <c r="V73" s="15" t="s">
        <v>109</v>
      </c>
      <c r="W73" s="15" t="s">
        <v>1608</v>
      </c>
      <c r="X73" s="16" t="s">
        <v>1609</v>
      </c>
      <c r="Y73" s="15" t="s">
        <v>184</v>
      </c>
      <c r="Z73" s="16" t="s">
        <v>1610</v>
      </c>
      <c r="AA73" s="17">
        <v>742</v>
      </c>
      <c r="AB73" s="17">
        <v>1</v>
      </c>
      <c r="AC73" s="17">
        <v>225</v>
      </c>
      <c r="AD73" s="17">
        <v>1</v>
      </c>
      <c r="AE73" s="17">
        <v>568</v>
      </c>
      <c r="AF73" s="15" t="s">
        <v>118</v>
      </c>
      <c r="AG73" s="15" t="s">
        <v>480</v>
      </c>
      <c r="AH73" s="15" t="s">
        <v>1606</v>
      </c>
      <c r="AI73" s="18">
        <v>55757.440000000002</v>
      </c>
      <c r="AJ73" s="15">
        <v>0.75</v>
      </c>
      <c r="AK73" s="15" t="s">
        <v>1611</v>
      </c>
      <c r="AL73" s="15" t="s">
        <v>1612</v>
      </c>
      <c r="AM73" s="3">
        <f>(AI73*AJ73)/2</f>
        <v>20909.04</v>
      </c>
      <c r="AN73" s="7" t="s">
        <v>107</v>
      </c>
      <c r="AO73" s="7" t="s">
        <v>107</v>
      </c>
      <c r="AP73" s="7" t="s">
        <v>107</v>
      </c>
      <c r="AQ73" s="8" t="s">
        <v>107</v>
      </c>
      <c r="AR73" s="7" t="s">
        <v>107</v>
      </c>
      <c r="AS73" s="7" t="s">
        <v>107</v>
      </c>
      <c r="AT73" s="7" t="s">
        <v>107</v>
      </c>
      <c r="AU73" s="3"/>
      <c r="AV73" s="7" t="s">
        <v>107</v>
      </c>
      <c r="AW73" s="7" t="s">
        <v>107</v>
      </c>
      <c r="AX73" s="7" t="s">
        <v>107</v>
      </c>
      <c r="AY73" s="8" t="s">
        <v>107</v>
      </c>
      <c r="AZ73" s="7" t="s">
        <v>107</v>
      </c>
      <c r="BA73" s="7" t="s">
        <v>107</v>
      </c>
      <c r="BB73" s="7" t="s">
        <v>107</v>
      </c>
      <c r="BC73" s="3"/>
      <c r="BD73" s="7" t="s">
        <v>107</v>
      </c>
      <c r="BE73" s="7" t="s">
        <v>107</v>
      </c>
      <c r="BF73" s="7" t="s">
        <v>107</v>
      </c>
      <c r="BG73" s="7" t="s">
        <v>107</v>
      </c>
      <c r="BH73" s="7" t="s">
        <v>107</v>
      </c>
      <c r="BI73" s="7" t="s">
        <v>107</v>
      </c>
      <c r="BJ73" s="7" t="s">
        <v>107</v>
      </c>
      <c r="BK73" s="3"/>
      <c r="BL73" s="7" t="s">
        <v>107</v>
      </c>
      <c r="BM73" s="7" t="s">
        <v>107</v>
      </c>
      <c r="BN73" s="7" t="s">
        <v>107</v>
      </c>
      <c r="BO73" s="8" t="s">
        <v>107</v>
      </c>
      <c r="BP73" s="7" t="s">
        <v>107</v>
      </c>
      <c r="BQ73" s="7" t="s">
        <v>107</v>
      </c>
      <c r="BR73" s="7" t="s">
        <v>107</v>
      </c>
      <c r="BS73" s="3"/>
      <c r="BT73" s="7" t="s">
        <v>107</v>
      </c>
      <c r="BU73" s="7" t="s">
        <v>107</v>
      </c>
      <c r="BV73" s="7" t="s">
        <v>107</v>
      </c>
      <c r="BW73" s="8" t="s">
        <v>107</v>
      </c>
      <c r="BX73" s="7" t="s">
        <v>107</v>
      </c>
      <c r="BY73" s="7" t="s">
        <v>107</v>
      </c>
      <c r="BZ73" s="7" t="s">
        <v>107</v>
      </c>
      <c r="CA73" s="3"/>
      <c r="CB73" s="7"/>
      <c r="CC73" s="7" t="s">
        <v>107</v>
      </c>
      <c r="CD73" s="7" t="s">
        <v>107</v>
      </c>
      <c r="CE73" s="8" t="s">
        <v>107</v>
      </c>
      <c r="CF73" s="7" t="s">
        <v>107</v>
      </c>
      <c r="CG73" s="7" t="s">
        <v>107</v>
      </c>
      <c r="CH73" s="7" t="s">
        <v>107</v>
      </c>
      <c r="CI73" s="3"/>
      <c r="CJ73" s="7"/>
      <c r="CK73" s="7" t="s">
        <v>107</v>
      </c>
      <c r="CL73" s="7" t="s">
        <v>107</v>
      </c>
      <c r="CM73" s="8" t="s">
        <v>107</v>
      </c>
      <c r="CN73" s="7" t="s">
        <v>107</v>
      </c>
      <c r="CO73" s="7" t="s">
        <v>107</v>
      </c>
      <c r="CP73" s="7" t="s">
        <v>107</v>
      </c>
      <c r="CQ73" s="3"/>
      <c r="CR73" s="7"/>
      <c r="CS73" s="7" t="s">
        <v>107</v>
      </c>
      <c r="CT73" s="7" t="s">
        <v>107</v>
      </c>
      <c r="CU73" s="7" t="s">
        <v>107</v>
      </c>
      <c r="CV73" s="7" t="s">
        <v>107</v>
      </c>
      <c r="CW73" s="7" t="s">
        <v>107</v>
      </c>
      <c r="CX73" s="7" t="s">
        <v>107</v>
      </c>
      <c r="CY73" s="3"/>
      <c r="CZ73" s="7"/>
      <c r="DA73" s="7" t="s">
        <v>107</v>
      </c>
      <c r="DB73" s="7" t="s">
        <v>107</v>
      </c>
      <c r="DC73" s="7" t="s">
        <v>107</v>
      </c>
      <c r="DD73" s="7" t="s">
        <v>107</v>
      </c>
      <c r="DE73" s="7" t="s">
        <v>107</v>
      </c>
      <c r="DF73" s="7" t="s">
        <v>107</v>
      </c>
      <c r="DG73" s="3"/>
      <c r="DH73" s="7"/>
      <c r="DI73" s="7" t="s">
        <v>107</v>
      </c>
      <c r="DJ73" s="7" t="s">
        <v>107</v>
      </c>
      <c r="DK73" s="5">
        <f>AM73</f>
        <v>20909.04</v>
      </c>
      <c r="DL73" s="15" t="s">
        <v>1612</v>
      </c>
      <c r="DM73" s="51">
        <f>DL73*0.95</f>
        <v>19863.588</v>
      </c>
    </row>
    <row r="74" spans="1:117" ht="17.25" customHeight="1" x14ac:dyDescent="0.25">
      <c r="A74" s="50" t="s">
        <v>3675</v>
      </c>
      <c r="B74" s="15" t="s">
        <v>3934</v>
      </c>
      <c r="C74" s="15" t="s">
        <v>3676</v>
      </c>
      <c r="D74" s="15" t="s">
        <v>3677</v>
      </c>
      <c r="E74" s="15" t="s">
        <v>3678</v>
      </c>
      <c r="F74" s="15" t="s">
        <v>3679</v>
      </c>
      <c r="G74" s="15" t="s">
        <v>3680</v>
      </c>
      <c r="H74" s="15" t="s">
        <v>3681</v>
      </c>
      <c r="I74" s="15" t="s">
        <v>3682</v>
      </c>
      <c r="J74" s="15" t="s">
        <v>4356</v>
      </c>
      <c r="K74" s="15" t="s">
        <v>151</v>
      </c>
      <c r="L74" s="15" t="s">
        <v>3679</v>
      </c>
      <c r="M74" s="15" t="s">
        <v>3683</v>
      </c>
      <c r="N74" s="15" t="s">
        <v>3684</v>
      </c>
      <c r="O74" s="15" t="s">
        <v>3685</v>
      </c>
      <c r="P74" s="15" t="s">
        <v>3686</v>
      </c>
      <c r="Q74" s="15" t="s">
        <v>3687</v>
      </c>
      <c r="R74" s="15" t="s">
        <v>132</v>
      </c>
      <c r="S74" s="15" t="s">
        <v>3679</v>
      </c>
      <c r="T74" s="15" t="s">
        <v>107</v>
      </c>
      <c r="U74" s="15" t="s">
        <v>3688</v>
      </c>
      <c r="V74" s="15" t="s">
        <v>181</v>
      </c>
      <c r="W74" s="15" t="s">
        <v>107</v>
      </c>
      <c r="X74" s="16" t="s">
        <v>3689</v>
      </c>
      <c r="Y74" s="15" t="s">
        <v>216</v>
      </c>
      <c r="Z74" s="16" t="s">
        <v>3690</v>
      </c>
      <c r="AA74" s="17">
        <v>1200</v>
      </c>
      <c r="AB74" s="17">
        <v>1</v>
      </c>
      <c r="AC74" s="17">
        <v>675</v>
      </c>
      <c r="AD74" s="17">
        <v>1</v>
      </c>
      <c r="AE74" s="17">
        <v>880</v>
      </c>
      <c r="AF74" s="15" t="s">
        <v>196</v>
      </c>
      <c r="AG74" s="15" t="s">
        <v>132</v>
      </c>
      <c r="AH74" s="15" t="s">
        <v>3687</v>
      </c>
      <c r="AI74" s="18">
        <v>48235.199999999997</v>
      </c>
      <c r="AJ74" s="15">
        <v>0.3</v>
      </c>
      <c r="AK74" s="15" t="s">
        <v>3691</v>
      </c>
      <c r="AL74" s="15" t="s">
        <v>3692</v>
      </c>
      <c r="AM74" s="3">
        <f>(AI74*AJ74)/2</f>
        <v>7235.28</v>
      </c>
      <c r="AN74" s="7" t="s">
        <v>107</v>
      </c>
      <c r="AO74" s="7" t="s">
        <v>107</v>
      </c>
      <c r="AP74" s="7" t="s">
        <v>107</v>
      </c>
      <c r="AQ74" s="8" t="s">
        <v>107</v>
      </c>
      <c r="AR74" s="7" t="s">
        <v>107</v>
      </c>
      <c r="AS74" s="7" t="s">
        <v>107</v>
      </c>
      <c r="AT74" s="7" t="s">
        <v>107</v>
      </c>
      <c r="AU74" s="3"/>
      <c r="AV74" s="7" t="s">
        <v>107</v>
      </c>
      <c r="AW74" s="7" t="s">
        <v>107</v>
      </c>
      <c r="AX74" s="7" t="s">
        <v>107</v>
      </c>
      <c r="AY74" s="8" t="s">
        <v>107</v>
      </c>
      <c r="AZ74" s="7" t="s">
        <v>107</v>
      </c>
      <c r="BA74" s="7" t="s">
        <v>107</v>
      </c>
      <c r="BB74" s="7" t="s">
        <v>107</v>
      </c>
      <c r="BC74" s="3"/>
      <c r="BD74" s="7" t="s">
        <v>107</v>
      </c>
      <c r="BE74" s="7" t="s">
        <v>107</v>
      </c>
      <c r="BF74" s="7" t="s">
        <v>107</v>
      </c>
      <c r="BG74" s="7" t="s">
        <v>107</v>
      </c>
      <c r="BH74" s="7" t="s">
        <v>107</v>
      </c>
      <c r="BI74" s="7" t="s">
        <v>107</v>
      </c>
      <c r="BJ74" s="7" t="s">
        <v>107</v>
      </c>
      <c r="BK74" s="3"/>
      <c r="BL74" s="7" t="s">
        <v>107</v>
      </c>
      <c r="BM74" s="7" t="s">
        <v>107</v>
      </c>
      <c r="BN74" s="7" t="s">
        <v>107</v>
      </c>
      <c r="BO74" s="8" t="s">
        <v>107</v>
      </c>
      <c r="BP74" s="7" t="s">
        <v>107</v>
      </c>
      <c r="BQ74" s="7" t="s">
        <v>107</v>
      </c>
      <c r="BR74" s="7" t="s">
        <v>107</v>
      </c>
      <c r="BS74" s="3"/>
      <c r="BT74" s="7" t="s">
        <v>107</v>
      </c>
      <c r="BU74" s="7" t="s">
        <v>107</v>
      </c>
      <c r="BV74" s="7" t="s">
        <v>107</v>
      </c>
      <c r="BW74" s="8" t="s">
        <v>107</v>
      </c>
      <c r="BX74" s="7" t="s">
        <v>107</v>
      </c>
      <c r="BY74" s="7" t="s">
        <v>107</v>
      </c>
      <c r="BZ74" s="7" t="s">
        <v>107</v>
      </c>
      <c r="CA74" s="3"/>
      <c r="CB74" s="7"/>
      <c r="CC74" s="7" t="s">
        <v>107</v>
      </c>
      <c r="CD74" s="7" t="s">
        <v>107</v>
      </c>
      <c r="CE74" s="8" t="s">
        <v>107</v>
      </c>
      <c r="CF74" s="7" t="s">
        <v>107</v>
      </c>
      <c r="CG74" s="7" t="s">
        <v>107</v>
      </c>
      <c r="CH74" s="7" t="s">
        <v>107</v>
      </c>
      <c r="CI74" s="3"/>
      <c r="CJ74" s="7"/>
      <c r="CK74" s="7" t="s">
        <v>107</v>
      </c>
      <c r="CL74" s="7" t="s">
        <v>107</v>
      </c>
      <c r="CM74" s="8" t="s">
        <v>107</v>
      </c>
      <c r="CN74" s="7" t="s">
        <v>107</v>
      </c>
      <c r="CO74" s="7" t="s">
        <v>107</v>
      </c>
      <c r="CP74" s="7" t="s">
        <v>107</v>
      </c>
      <c r="CQ74" s="3"/>
      <c r="CR74" s="7"/>
      <c r="CS74" s="7" t="s">
        <v>107</v>
      </c>
      <c r="CT74" s="7" t="s">
        <v>107</v>
      </c>
      <c r="CU74" s="7" t="s">
        <v>107</v>
      </c>
      <c r="CV74" s="7" t="s">
        <v>107</v>
      </c>
      <c r="CW74" s="7" t="s">
        <v>107</v>
      </c>
      <c r="CX74" s="7" t="s">
        <v>107</v>
      </c>
      <c r="CY74" s="3"/>
      <c r="CZ74" s="7"/>
      <c r="DA74" s="7" t="s">
        <v>107</v>
      </c>
      <c r="DB74" s="7" t="s">
        <v>107</v>
      </c>
      <c r="DC74" s="7" t="s">
        <v>107</v>
      </c>
      <c r="DD74" s="7" t="s">
        <v>107</v>
      </c>
      <c r="DE74" s="7" t="s">
        <v>107</v>
      </c>
      <c r="DF74" s="7" t="s">
        <v>107</v>
      </c>
      <c r="DG74" s="3"/>
      <c r="DH74" s="7"/>
      <c r="DI74" s="7" t="s">
        <v>107</v>
      </c>
      <c r="DJ74" s="7" t="s">
        <v>107</v>
      </c>
      <c r="DK74" s="5">
        <f>AM74</f>
        <v>7235.28</v>
      </c>
      <c r="DL74" s="15" t="s">
        <v>3692</v>
      </c>
      <c r="DM74" s="51">
        <f>DL74*0.95</f>
        <v>6873.5159999999996</v>
      </c>
    </row>
    <row r="75" spans="1:117" ht="17.25" customHeight="1" x14ac:dyDescent="0.25">
      <c r="A75" s="50" t="s">
        <v>2104</v>
      </c>
      <c r="B75" s="15" t="s">
        <v>3935</v>
      </c>
      <c r="C75" s="15" t="s">
        <v>1457</v>
      </c>
      <c r="D75" s="15" t="s">
        <v>1458</v>
      </c>
      <c r="E75" s="15" t="s">
        <v>1267</v>
      </c>
      <c r="F75" s="15" t="s">
        <v>2105</v>
      </c>
      <c r="G75" s="15" t="s">
        <v>2106</v>
      </c>
      <c r="H75" s="15" t="s">
        <v>2107</v>
      </c>
      <c r="I75" s="15" t="s">
        <v>3995</v>
      </c>
      <c r="J75" s="15" t="s">
        <v>4213</v>
      </c>
      <c r="K75" s="15" t="s">
        <v>151</v>
      </c>
      <c r="L75" s="15" t="s">
        <v>2108</v>
      </c>
      <c r="M75" s="15" t="s">
        <v>2109</v>
      </c>
      <c r="N75" s="15" t="s">
        <v>2110</v>
      </c>
      <c r="O75" s="15" t="s">
        <v>2111</v>
      </c>
      <c r="P75" s="15" t="s">
        <v>2112</v>
      </c>
      <c r="Q75" s="15" t="s">
        <v>4043</v>
      </c>
      <c r="R75" s="15" t="s">
        <v>282</v>
      </c>
      <c r="S75" s="15" t="s">
        <v>2105</v>
      </c>
      <c r="T75" s="15" t="s">
        <v>107</v>
      </c>
      <c r="U75" s="15" t="s">
        <v>2113</v>
      </c>
      <c r="V75" s="15" t="s">
        <v>109</v>
      </c>
      <c r="W75" s="15" t="s">
        <v>2114</v>
      </c>
      <c r="X75" s="16" t="s">
        <v>2115</v>
      </c>
      <c r="Y75" s="15" t="s">
        <v>112</v>
      </c>
      <c r="Z75" s="16" t="s">
        <v>2115</v>
      </c>
      <c r="AA75" s="17">
        <v>2447</v>
      </c>
      <c r="AB75" s="17">
        <v>1</v>
      </c>
      <c r="AC75" s="17">
        <v>1454</v>
      </c>
      <c r="AD75" s="17">
        <v>1</v>
      </c>
      <c r="AE75" s="17">
        <v>1902</v>
      </c>
      <c r="AF75" s="15" t="s">
        <v>196</v>
      </c>
      <c r="AG75" s="15" t="s">
        <v>157</v>
      </c>
      <c r="AH75" s="15" t="s">
        <v>2116</v>
      </c>
      <c r="AI75" s="18">
        <v>56161.66</v>
      </c>
      <c r="AJ75" s="15">
        <v>0.35</v>
      </c>
      <c r="AK75" s="15" t="s">
        <v>2117</v>
      </c>
      <c r="AL75" s="15" t="s">
        <v>2118</v>
      </c>
      <c r="AM75" s="3">
        <f>(AI75*AJ75)/2</f>
        <v>9828.2904999999992</v>
      </c>
      <c r="AN75" s="7" t="s">
        <v>107</v>
      </c>
      <c r="AO75" s="7" t="s">
        <v>107</v>
      </c>
      <c r="AP75" s="7" t="s">
        <v>107</v>
      </c>
      <c r="AQ75" s="8" t="s">
        <v>107</v>
      </c>
      <c r="AR75" s="7" t="s">
        <v>107</v>
      </c>
      <c r="AS75" s="7" t="s">
        <v>107</v>
      </c>
      <c r="AT75" s="7" t="s">
        <v>107</v>
      </c>
      <c r="AU75" s="3"/>
      <c r="AV75" s="7" t="s">
        <v>107</v>
      </c>
      <c r="AW75" s="7" t="s">
        <v>107</v>
      </c>
      <c r="AX75" s="7" t="s">
        <v>107</v>
      </c>
      <c r="AY75" s="8" t="s">
        <v>107</v>
      </c>
      <c r="AZ75" s="7" t="s">
        <v>107</v>
      </c>
      <c r="BA75" s="7" t="s">
        <v>107</v>
      </c>
      <c r="BB75" s="7" t="s">
        <v>107</v>
      </c>
      <c r="BC75" s="3"/>
      <c r="BD75" s="7" t="s">
        <v>107</v>
      </c>
      <c r="BE75" s="7" t="s">
        <v>107</v>
      </c>
      <c r="BF75" s="7" t="s">
        <v>107</v>
      </c>
      <c r="BG75" s="7" t="s">
        <v>107</v>
      </c>
      <c r="BH75" s="7" t="s">
        <v>107</v>
      </c>
      <c r="BI75" s="7" t="s">
        <v>107</v>
      </c>
      <c r="BJ75" s="7" t="s">
        <v>107</v>
      </c>
      <c r="BK75" s="3"/>
      <c r="BL75" s="7" t="s">
        <v>107</v>
      </c>
      <c r="BM75" s="7" t="s">
        <v>107</v>
      </c>
      <c r="BN75" s="7" t="s">
        <v>107</v>
      </c>
      <c r="BO75" s="8" t="s">
        <v>107</v>
      </c>
      <c r="BP75" s="7" t="s">
        <v>107</v>
      </c>
      <c r="BQ75" s="7" t="s">
        <v>107</v>
      </c>
      <c r="BR75" s="7" t="s">
        <v>107</v>
      </c>
      <c r="BS75" s="3"/>
      <c r="BT75" s="7" t="s">
        <v>107</v>
      </c>
      <c r="BU75" s="7" t="s">
        <v>107</v>
      </c>
      <c r="BV75" s="7" t="s">
        <v>107</v>
      </c>
      <c r="BW75" s="8" t="s">
        <v>107</v>
      </c>
      <c r="BX75" s="7" t="s">
        <v>107</v>
      </c>
      <c r="BY75" s="7" t="s">
        <v>107</v>
      </c>
      <c r="BZ75" s="7" t="s">
        <v>107</v>
      </c>
      <c r="CA75" s="3"/>
      <c r="CB75" s="7"/>
      <c r="CC75" s="7" t="s">
        <v>107</v>
      </c>
      <c r="CD75" s="7" t="s">
        <v>107</v>
      </c>
      <c r="CE75" s="8" t="s">
        <v>107</v>
      </c>
      <c r="CF75" s="7" t="s">
        <v>107</v>
      </c>
      <c r="CG75" s="7" t="s">
        <v>107</v>
      </c>
      <c r="CH75" s="7" t="s">
        <v>107</v>
      </c>
      <c r="CI75" s="3"/>
      <c r="CJ75" s="7"/>
      <c r="CK75" s="7" t="s">
        <v>107</v>
      </c>
      <c r="CL75" s="7" t="s">
        <v>107</v>
      </c>
      <c r="CM75" s="8" t="s">
        <v>107</v>
      </c>
      <c r="CN75" s="7" t="s">
        <v>107</v>
      </c>
      <c r="CO75" s="7" t="s">
        <v>107</v>
      </c>
      <c r="CP75" s="7" t="s">
        <v>107</v>
      </c>
      <c r="CQ75" s="3"/>
      <c r="CR75" s="7"/>
      <c r="CS75" s="7" t="s">
        <v>107</v>
      </c>
      <c r="CT75" s="7" t="s">
        <v>107</v>
      </c>
      <c r="CU75" s="7" t="s">
        <v>107</v>
      </c>
      <c r="CV75" s="7" t="s">
        <v>107</v>
      </c>
      <c r="CW75" s="7" t="s">
        <v>107</v>
      </c>
      <c r="CX75" s="7" t="s">
        <v>107</v>
      </c>
      <c r="CY75" s="3"/>
      <c r="CZ75" s="7"/>
      <c r="DA75" s="7" t="s">
        <v>107</v>
      </c>
      <c r="DB75" s="7" t="s">
        <v>107</v>
      </c>
      <c r="DC75" s="7" t="s">
        <v>107</v>
      </c>
      <c r="DD75" s="7" t="s">
        <v>107</v>
      </c>
      <c r="DE75" s="7" t="s">
        <v>107</v>
      </c>
      <c r="DF75" s="7" t="s">
        <v>107</v>
      </c>
      <c r="DG75" s="3"/>
      <c r="DH75" s="7"/>
      <c r="DI75" s="7" t="s">
        <v>107</v>
      </c>
      <c r="DJ75" s="7" t="s">
        <v>107</v>
      </c>
      <c r="DK75" s="5">
        <f>AM75</f>
        <v>9828.2904999999992</v>
      </c>
      <c r="DL75" s="15" t="s">
        <v>2119</v>
      </c>
      <c r="DM75" s="51">
        <f>DL75*0.95</f>
        <v>9336.8755000000001</v>
      </c>
    </row>
    <row r="76" spans="1:117" ht="17.25" customHeight="1" x14ac:dyDescent="0.25">
      <c r="A76" s="50" t="s">
        <v>1823</v>
      </c>
      <c r="B76" s="15" t="s">
        <v>1824</v>
      </c>
      <c r="C76" s="15" t="s">
        <v>1825</v>
      </c>
      <c r="D76" s="15" t="s">
        <v>1826</v>
      </c>
      <c r="E76" s="15" t="s">
        <v>1321</v>
      </c>
      <c r="F76" s="15" t="s">
        <v>1827</v>
      </c>
      <c r="G76" s="15" t="s">
        <v>1828</v>
      </c>
      <c r="H76" s="15" t="s">
        <v>1829</v>
      </c>
      <c r="I76" s="15" t="s">
        <v>1830</v>
      </c>
      <c r="J76" s="15" t="s">
        <v>4268</v>
      </c>
      <c r="K76" s="15" t="s">
        <v>101</v>
      </c>
      <c r="L76" s="15" t="s">
        <v>1827</v>
      </c>
      <c r="M76" s="15" t="s">
        <v>1831</v>
      </c>
      <c r="N76" s="15" t="s">
        <v>1832</v>
      </c>
      <c r="O76" s="15" t="s">
        <v>1833</v>
      </c>
      <c r="P76" s="15" t="s">
        <v>107</v>
      </c>
      <c r="Q76" s="15" t="s">
        <v>1834</v>
      </c>
      <c r="R76" s="15" t="s">
        <v>179</v>
      </c>
      <c r="S76" s="15" t="s">
        <v>1827</v>
      </c>
      <c r="T76" s="15" t="s">
        <v>107</v>
      </c>
      <c r="U76" s="15" t="s">
        <v>1831</v>
      </c>
      <c r="V76" s="15" t="s">
        <v>109</v>
      </c>
      <c r="W76" s="15" t="s">
        <v>1835</v>
      </c>
      <c r="X76" s="16" t="s">
        <v>1836</v>
      </c>
      <c r="Y76" s="15" t="s">
        <v>814</v>
      </c>
      <c r="Z76" s="37" t="s">
        <v>4200</v>
      </c>
      <c r="AA76" s="17">
        <v>3250</v>
      </c>
      <c r="AB76" s="17">
        <v>4</v>
      </c>
      <c r="AC76" s="17">
        <v>1150</v>
      </c>
      <c r="AD76" s="17">
        <v>4</v>
      </c>
      <c r="AE76" s="17">
        <v>6800</v>
      </c>
      <c r="AF76" s="15" t="s">
        <v>196</v>
      </c>
      <c r="AG76" s="15" t="s">
        <v>115</v>
      </c>
      <c r="AH76" s="15" t="s">
        <v>1837</v>
      </c>
      <c r="AI76" s="18">
        <v>33658</v>
      </c>
      <c r="AJ76" s="15">
        <v>0.72</v>
      </c>
      <c r="AK76" s="15" t="s">
        <v>1838</v>
      </c>
      <c r="AL76" s="15" t="s">
        <v>1839</v>
      </c>
      <c r="AM76" s="3">
        <f>(AI76*AJ76)/2</f>
        <v>12116.88</v>
      </c>
      <c r="AN76" s="7" t="s">
        <v>196</v>
      </c>
      <c r="AO76" s="7" t="s">
        <v>115</v>
      </c>
      <c r="AP76" s="7" t="s">
        <v>1840</v>
      </c>
      <c r="AQ76" s="8">
        <v>33658</v>
      </c>
      <c r="AR76" s="7">
        <v>0.72</v>
      </c>
      <c r="AS76" s="7" t="s">
        <v>1838</v>
      </c>
      <c r="AT76" s="7" t="s">
        <v>1839</v>
      </c>
      <c r="AU76" s="3">
        <f>(AQ76*AR76)/2</f>
        <v>12116.88</v>
      </c>
      <c r="AV76" s="7" t="s">
        <v>196</v>
      </c>
      <c r="AW76" s="7" t="s">
        <v>115</v>
      </c>
      <c r="AX76" s="7" t="s">
        <v>1841</v>
      </c>
      <c r="AY76" s="8">
        <v>33970</v>
      </c>
      <c r="AZ76" s="7">
        <v>0.72</v>
      </c>
      <c r="BA76" s="7" t="s">
        <v>1842</v>
      </c>
      <c r="BB76" s="7" t="s">
        <v>1843</v>
      </c>
      <c r="BC76" s="3">
        <f>(AY76*AZ76)/2</f>
        <v>12229.199999999999</v>
      </c>
      <c r="BD76" s="7" t="s">
        <v>196</v>
      </c>
      <c r="BE76" s="7" t="s">
        <v>115</v>
      </c>
      <c r="BF76" s="7" t="s">
        <v>1844</v>
      </c>
      <c r="BG76" s="13">
        <v>33242</v>
      </c>
      <c r="BH76" s="7">
        <v>0.72</v>
      </c>
      <c r="BI76" s="7" t="s">
        <v>1845</v>
      </c>
      <c r="BJ76" s="7" t="s">
        <v>1846</v>
      </c>
      <c r="BK76" s="3">
        <f>(BG76*BH76)/2</f>
        <v>11967.119999999999</v>
      </c>
      <c r="BL76" s="7" t="s">
        <v>107</v>
      </c>
      <c r="BM76" s="7" t="s">
        <v>107</v>
      </c>
      <c r="BN76" s="7" t="s">
        <v>107</v>
      </c>
      <c r="BO76" s="8" t="s">
        <v>107</v>
      </c>
      <c r="BP76" s="7" t="s">
        <v>107</v>
      </c>
      <c r="BQ76" s="7" t="s">
        <v>107</v>
      </c>
      <c r="BR76" s="7" t="s">
        <v>107</v>
      </c>
      <c r="BS76" s="3"/>
      <c r="BT76" s="7" t="s">
        <v>107</v>
      </c>
      <c r="BU76" s="7" t="s">
        <v>107</v>
      </c>
      <c r="BV76" s="7" t="s">
        <v>107</v>
      </c>
      <c r="BW76" s="8" t="s">
        <v>107</v>
      </c>
      <c r="BX76" s="7" t="s">
        <v>107</v>
      </c>
      <c r="BY76" s="7" t="s">
        <v>107</v>
      </c>
      <c r="BZ76" s="7" t="s">
        <v>107</v>
      </c>
      <c r="CA76" s="3"/>
      <c r="CB76" s="7"/>
      <c r="CC76" s="7" t="s">
        <v>107</v>
      </c>
      <c r="CD76" s="7" t="s">
        <v>107</v>
      </c>
      <c r="CE76" s="8" t="s">
        <v>107</v>
      </c>
      <c r="CF76" s="7" t="s">
        <v>107</v>
      </c>
      <c r="CG76" s="7" t="s">
        <v>107</v>
      </c>
      <c r="CH76" s="7" t="s">
        <v>107</v>
      </c>
      <c r="CI76" s="3"/>
      <c r="CJ76" s="7"/>
      <c r="CK76" s="7" t="s">
        <v>107</v>
      </c>
      <c r="CL76" s="7" t="s">
        <v>107</v>
      </c>
      <c r="CM76" s="8" t="s">
        <v>107</v>
      </c>
      <c r="CN76" s="7" t="s">
        <v>107</v>
      </c>
      <c r="CO76" s="7" t="s">
        <v>107</v>
      </c>
      <c r="CP76" s="7" t="s">
        <v>107</v>
      </c>
      <c r="CQ76" s="3"/>
      <c r="CR76" s="7"/>
      <c r="CS76" s="7" t="s">
        <v>107</v>
      </c>
      <c r="CT76" s="7" t="s">
        <v>107</v>
      </c>
      <c r="CU76" s="7" t="s">
        <v>107</v>
      </c>
      <c r="CV76" s="7" t="s">
        <v>107</v>
      </c>
      <c r="CW76" s="7" t="s">
        <v>107</v>
      </c>
      <c r="CX76" s="7" t="s">
        <v>107</v>
      </c>
      <c r="CY76" s="3"/>
      <c r="CZ76" s="7"/>
      <c r="DA76" s="7" t="s">
        <v>107</v>
      </c>
      <c r="DB76" s="7" t="s">
        <v>107</v>
      </c>
      <c r="DC76" s="7" t="s">
        <v>107</v>
      </c>
      <c r="DD76" s="7" t="s">
        <v>107</v>
      </c>
      <c r="DE76" s="7" t="s">
        <v>107</v>
      </c>
      <c r="DF76" s="7" t="s">
        <v>107</v>
      </c>
      <c r="DG76" s="3"/>
      <c r="DH76" s="7"/>
      <c r="DI76" s="7" t="s">
        <v>107</v>
      </c>
      <c r="DJ76" s="7" t="s">
        <v>107</v>
      </c>
      <c r="DK76" s="5">
        <f>AM76+AU76+BC76+BK76</f>
        <v>48430.080000000002</v>
      </c>
      <c r="DL76" s="15" t="s">
        <v>1847</v>
      </c>
      <c r="DM76" s="51">
        <f>DL76*0.95</f>
        <v>46008.5</v>
      </c>
    </row>
    <row r="77" spans="1:117" ht="17.25" customHeight="1" x14ac:dyDescent="0.25">
      <c r="A77" s="50" t="s">
        <v>3870</v>
      </c>
      <c r="B77" s="15" t="s">
        <v>3936</v>
      </c>
      <c r="C77" s="15" t="s">
        <v>3971</v>
      </c>
      <c r="D77" s="15" t="s">
        <v>3579</v>
      </c>
      <c r="E77" s="15" t="s">
        <v>3511</v>
      </c>
      <c r="F77" s="15" t="s">
        <v>3580</v>
      </c>
      <c r="G77" s="15" t="s">
        <v>3581</v>
      </c>
      <c r="H77" s="15" t="s">
        <v>3582</v>
      </c>
      <c r="I77" s="15" t="s">
        <v>3996</v>
      </c>
      <c r="J77" s="15" t="s">
        <v>4351</v>
      </c>
      <c r="K77" s="15" t="s">
        <v>151</v>
      </c>
      <c r="L77" s="15" t="s">
        <v>3580</v>
      </c>
      <c r="M77" s="15" t="s">
        <v>3583</v>
      </c>
      <c r="N77" s="15" t="s">
        <v>4028</v>
      </c>
      <c r="O77" s="15" t="s">
        <v>3584</v>
      </c>
      <c r="P77" s="15" t="s">
        <v>3585</v>
      </c>
      <c r="Q77" s="15" t="s">
        <v>3996</v>
      </c>
      <c r="R77" s="15" t="s">
        <v>151</v>
      </c>
      <c r="S77" s="15" t="s">
        <v>3580</v>
      </c>
      <c r="T77" s="15" t="s">
        <v>107</v>
      </c>
      <c r="U77" s="15" t="s">
        <v>3583</v>
      </c>
      <c r="V77" s="15" t="s">
        <v>109</v>
      </c>
      <c r="W77" s="15" t="s">
        <v>3586</v>
      </c>
      <c r="X77" s="16" t="s">
        <v>3587</v>
      </c>
      <c r="Y77" s="15" t="s">
        <v>184</v>
      </c>
      <c r="Z77" s="22" t="s">
        <v>3588</v>
      </c>
      <c r="AA77" s="17">
        <v>473</v>
      </c>
      <c r="AB77" s="17">
        <v>1</v>
      </c>
      <c r="AC77" s="17">
        <v>262</v>
      </c>
      <c r="AD77" s="17">
        <v>1</v>
      </c>
      <c r="AE77" s="17">
        <v>285</v>
      </c>
      <c r="AF77" s="15" t="s">
        <v>196</v>
      </c>
      <c r="AG77" s="15" t="s">
        <v>460</v>
      </c>
      <c r="AH77" s="15" t="s">
        <v>4054</v>
      </c>
      <c r="AI77" s="18">
        <v>41828.800000000003</v>
      </c>
      <c r="AJ77" s="15">
        <v>0.25</v>
      </c>
      <c r="AK77" s="15" t="s">
        <v>3589</v>
      </c>
      <c r="AL77" s="15" t="s">
        <v>3590</v>
      </c>
      <c r="AM77" s="3">
        <f>(AI77*AJ77)/2</f>
        <v>5228.6000000000004</v>
      </c>
      <c r="AN77" s="7" t="s">
        <v>107</v>
      </c>
      <c r="AO77" s="7" t="s">
        <v>107</v>
      </c>
      <c r="AP77" s="7" t="s">
        <v>107</v>
      </c>
      <c r="AQ77" s="8" t="s">
        <v>107</v>
      </c>
      <c r="AR77" s="7" t="s">
        <v>107</v>
      </c>
      <c r="AS77" s="7" t="s">
        <v>107</v>
      </c>
      <c r="AT77" s="7" t="s">
        <v>107</v>
      </c>
      <c r="AU77" s="3"/>
      <c r="AV77" s="7" t="s">
        <v>107</v>
      </c>
      <c r="AW77" s="7" t="s">
        <v>107</v>
      </c>
      <c r="AX77" s="7" t="s">
        <v>107</v>
      </c>
      <c r="AY77" s="8" t="s">
        <v>107</v>
      </c>
      <c r="AZ77" s="7" t="s">
        <v>107</v>
      </c>
      <c r="BA77" s="7" t="s">
        <v>107</v>
      </c>
      <c r="BB77" s="7" t="s">
        <v>107</v>
      </c>
      <c r="BC77" s="3"/>
      <c r="BD77" s="7" t="s">
        <v>107</v>
      </c>
      <c r="BE77" s="7" t="s">
        <v>107</v>
      </c>
      <c r="BF77" s="7" t="s">
        <v>107</v>
      </c>
      <c r="BG77" s="7" t="s">
        <v>107</v>
      </c>
      <c r="BH77" s="7" t="s">
        <v>107</v>
      </c>
      <c r="BI77" s="7" t="s">
        <v>107</v>
      </c>
      <c r="BJ77" s="7" t="s">
        <v>107</v>
      </c>
      <c r="BK77" s="3"/>
      <c r="BL77" s="7" t="s">
        <v>107</v>
      </c>
      <c r="BM77" s="7" t="s">
        <v>107</v>
      </c>
      <c r="BN77" s="7" t="s">
        <v>107</v>
      </c>
      <c r="BO77" s="8" t="s">
        <v>107</v>
      </c>
      <c r="BP77" s="7" t="s">
        <v>107</v>
      </c>
      <c r="BQ77" s="7" t="s">
        <v>107</v>
      </c>
      <c r="BR77" s="7" t="s">
        <v>107</v>
      </c>
      <c r="BS77" s="3"/>
      <c r="BT77" s="7" t="s">
        <v>107</v>
      </c>
      <c r="BU77" s="7" t="s">
        <v>107</v>
      </c>
      <c r="BV77" s="7" t="s">
        <v>107</v>
      </c>
      <c r="BW77" s="8" t="s">
        <v>107</v>
      </c>
      <c r="BX77" s="7" t="s">
        <v>107</v>
      </c>
      <c r="BY77" s="7" t="s">
        <v>107</v>
      </c>
      <c r="BZ77" s="7" t="s">
        <v>107</v>
      </c>
      <c r="CA77" s="3"/>
      <c r="CB77" s="7"/>
      <c r="CC77" s="7" t="s">
        <v>107</v>
      </c>
      <c r="CD77" s="7" t="s">
        <v>107</v>
      </c>
      <c r="CE77" s="8" t="s">
        <v>107</v>
      </c>
      <c r="CF77" s="7" t="s">
        <v>107</v>
      </c>
      <c r="CG77" s="7" t="s">
        <v>107</v>
      </c>
      <c r="CH77" s="7" t="s">
        <v>107</v>
      </c>
      <c r="CI77" s="3"/>
      <c r="CJ77" s="7"/>
      <c r="CK77" s="7" t="s">
        <v>107</v>
      </c>
      <c r="CL77" s="7" t="s">
        <v>107</v>
      </c>
      <c r="CM77" s="8" t="s">
        <v>107</v>
      </c>
      <c r="CN77" s="7" t="s">
        <v>107</v>
      </c>
      <c r="CO77" s="7" t="s">
        <v>107</v>
      </c>
      <c r="CP77" s="7" t="s">
        <v>107</v>
      </c>
      <c r="CQ77" s="3"/>
      <c r="CR77" s="7"/>
      <c r="CS77" s="7" t="s">
        <v>107</v>
      </c>
      <c r="CT77" s="7" t="s">
        <v>107</v>
      </c>
      <c r="CU77" s="7" t="s">
        <v>107</v>
      </c>
      <c r="CV77" s="7" t="s">
        <v>107</v>
      </c>
      <c r="CW77" s="7" t="s">
        <v>107</v>
      </c>
      <c r="CX77" s="7" t="s">
        <v>107</v>
      </c>
      <c r="CY77" s="3"/>
      <c r="CZ77" s="7"/>
      <c r="DA77" s="7" t="s">
        <v>107</v>
      </c>
      <c r="DB77" s="7" t="s">
        <v>107</v>
      </c>
      <c r="DC77" s="7" t="s">
        <v>107</v>
      </c>
      <c r="DD77" s="7" t="s">
        <v>107</v>
      </c>
      <c r="DE77" s="7" t="s">
        <v>107</v>
      </c>
      <c r="DF77" s="7" t="s">
        <v>107</v>
      </c>
      <c r="DG77" s="3"/>
      <c r="DH77" s="7"/>
      <c r="DI77" s="7" t="s">
        <v>107</v>
      </c>
      <c r="DJ77" s="7" t="s">
        <v>107</v>
      </c>
      <c r="DK77" s="5">
        <f>AM77</f>
        <v>5228.6000000000004</v>
      </c>
      <c r="DL77" s="15" t="s">
        <v>3590</v>
      </c>
      <c r="DM77" s="51">
        <f>DL77*0.95</f>
        <v>4967.17</v>
      </c>
    </row>
    <row r="78" spans="1:117" ht="17.25" customHeight="1" x14ac:dyDescent="0.25">
      <c r="A78" s="50" t="s">
        <v>2488</v>
      </c>
      <c r="B78" s="15" t="s">
        <v>2489</v>
      </c>
      <c r="C78" s="15" t="s">
        <v>2490</v>
      </c>
      <c r="D78" s="15" t="s">
        <v>2491</v>
      </c>
      <c r="E78" s="15" t="s">
        <v>351</v>
      </c>
      <c r="F78" s="15" t="s">
        <v>2492</v>
      </c>
      <c r="G78" s="15" t="s">
        <v>107</v>
      </c>
      <c r="H78" s="15" t="s">
        <v>2493</v>
      </c>
      <c r="I78" s="15" t="s">
        <v>3997</v>
      </c>
      <c r="J78" s="15" t="s">
        <v>4297</v>
      </c>
      <c r="K78" s="15" t="s">
        <v>151</v>
      </c>
      <c r="L78" s="15" t="s">
        <v>2492</v>
      </c>
      <c r="M78" s="15" t="s">
        <v>2494</v>
      </c>
      <c r="N78" s="15" t="s">
        <v>2495</v>
      </c>
      <c r="O78" s="15" t="s">
        <v>2496</v>
      </c>
      <c r="P78" s="15" t="s">
        <v>2497</v>
      </c>
      <c r="Q78" s="15" t="s">
        <v>3997</v>
      </c>
      <c r="R78" s="15" t="s">
        <v>151</v>
      </c>
      <c r="S78" s="15" t="s">
        <v>2492</v>
      </c>
      <c r="T78" s="15" t="s">
        <v>107</v>
      </c>
      <c r="U78" s="15" t="s">
        <v>2494</v>
      </c>
      <c r="V78" s="15" t="s">
        <v>109</v>
      </c>
      <c r="W78" s="15" t="s">
        <v>2498</v>
      </c>
      <c r="X78" s="16" t="s">
        <v>2499</v>
      </c>
      <c r="Y78" s="15" t="s">
        <v>185</v>
      </c>
      <c r="Z78" s="16" t="s">
        <v>2500</v>
      </c>
      <c r="AA78" s="17">
        <v>650</v>
      </c>
      <c r="AB78" s="17">
        <v>2</v>
      </c>
      <c r="AC78" s="17">
        <v>525</v>
      </c>
      <c r="AD78" s="17">
        <v>0</v>
      </c>
      <c r="AE78" s="17">
        <v>0</v>
      </c>
      <c r="AF78" s="15" t="s">
        <v>107</v>
      </c>
      <c r="AG78" s="15" t="s">
        <v>460</v>
      </c>
      <c r="AH78" s="15" t="s">
        <v>2501</v>
      </c>
      <c r="AI78" s="18">
        <v>64761</v>
      </c>
      <c r="AJ78" s="15">
        <v>0.75</v>
      </c>
      <c r="AK78" s="15" t="s">
        <v>2502</v>
      </c>
      <c r="AL78" s="15" t="s">
        <v>2503</v>
      </c>
      <c r="AM78" s="3">
        <f>(AI78*AJ78)/2</f>
        <v>24285.375</v>
      </c>
      <c r="AN78" s="7" t="s">
        <v>107</v>
      </c>
      <c r="AO78" s="7" t="s">
        <v>460</v>
      </c>
      <c r="AP78" s="7" t="s">
        <v>2504</v>
      </c>
      <c r="AQ78" s="8">
        <v>64761</v>
      </c>
      <c r="AR78" s="7">
        <v>0.75</v>
      </c>
      <c r="AS78" s="7" t="s">
        <v>2502</v>
      </c>
      <c r="AT78" s="7" t="s">
        <v>2503</v>
      </c>
      <c r="AU78" s="3">
        <f>(AQ78*AR78)/2</f>
        <v>24285.375</v>
      </c>
      <c r="AV78" s="7" t="s">
        <v>107</v>
      </c>
      <c r="AW78" s="7" t="s">
        <v>107</v>
      </c>
      <c r="AX78" s="7" t="s">
        <v>107</v>
      </c>
      <c r="AY78" s="8" t="s">
        <v>107</v>
      </c>
      <c r="AZ78" s="7" t="s">
        <v>107</v>
      </c>
      <c r="BA78" s="7" t="s">
        <v>107</v>
      </c>
      <c r="BB78" s="7" t="s">
        <v>107</v>
      </c>
      <c r="BC78" s="3"/>
      <c r="BD78" s="7" t="s">
        <v>107</v>
      </c>
      <c r="BE78" s="7" t="s">
        <v>107</v>
      </c>
      <c r="BF78" s="7" t="s">
        <v>107</v>
      </c>
      <c r="BG78" s="7" t="s">
        <v>107</v>
      </c>
      <c r="BH78" s="7" t="s">
        <v>107</v>
      </c>
      <c r="BI78" s="7" t="s">
        <v>107</v>
      </c>
      <c r="BJ78" s="7" t="s">
        <v>107</v>
      </c>
      <c r="BK78" s="3"/>
      <c r="BL78" s="7" t="s">
        <v>107</v>
      </c>
      <c r="BM78" s="7" t="s">
        <v>107</v>
      </c>
      <c r="BN78" s="7" t="s">
        <v>107</v>
      </c>
      <c r="BO78" s="8" t="s">
        <v>107</v>
      </c>
      <c r="BP78" s="7" t="s">
        <v>107</v>
      </c>
      <c r="BQ78" s="7" t="s">
        <v>107</v>
      </c>
      <c r="BR78" s="7" t="s">
        <v>107</v>
      </c>
      <c r="BS78" s="3"/>
      <c r="BT78" s="7" t="s">
        <v>107</v>
      </c>
      <c r="BU78" s="7" t="s">
        <v>107</v>
      </c>
      <c r="BV78" s="7" t="s">
        <v>107</v>
      </c>
      <c r="BW78" s="8" t="s">
        <v>107</v>
      </c>
      <c r="BX78" s="7" t="s">
        <v>107</v>
      </c>
      <c r="BY78" s="7" t="s">
        <v>107</v>
      </c>
      <c r="BZ78" s="7" t="s">
        <v>107</v>
      </c>
      <c r="CA78" s="3"/>
      <c r="CB78" s="7"/>
      <c r="CC78" s="7" t="s">
        <v>107</v>
      </c>
      <c r="CD78" s="7" t="s">
        <v>107</v>
      </c>
      <c r="CE78" s="8" t="s">
        <v>107</v>
      </c>
      <c r="CF78" s="7" t="s">
        <v>107</v>
      </c>
      <c r="CG78" s="7" t="s">
        <v>107</v>
      </c>
      <c r="CH78" s="7" t="s">
        <v>107</v>
      </c>
      <c r="CI78" s="3"/>
      <c r="CJ78" s="7"/>
      <c r="CK78" s="7" t="s">
        <v>107</v>
      </c>
      <c r="CL78" s="7" t="s">
        <v>107</v>
      </c>
      <c r="CM78" s="8" t="s">
        <v>107</v>
      </c>
      <c r="CN78" s="7" t="s">
        <v>107</v>
      </c>
      <c r="CO78" s="7" t="s">
        <v>107</v>
      </c>
      <c r="CP78" s="7" t="s">
        <v>107</v>
      </c>
      <c r="CQ78" s="3"/>
      <c r="CR78" s="7"/>
      <c r="CS78" s="7" t="s">
        <v>107</v>
      </c>
      <c r="CT78" s="7" t="s">
        <v>107</v>
      </c>
      <c r="CU78" s="7" t="s">
        <v>107</v>
      </c>
      <c r="CV78" s="7" t="s">
        <v>107</v>
      </c>
      <c r="CW78" s="7" t="s">
        <v>107</v>
      </c>
      <c r="CX78" s="7" t="s">
        <v>107</v>
      </c>
      <c r="CY78" s="3"/>
      <c r="CZ78" s="7"/>
      <c r="DA78" s="7" t="s">
        <v>107</v>
      </c>
      <c r="DB78" s="7" t="s">
        <v>107</v>
      </c>
      <c r="DC78" s="7" t="s">
        <v>107</v>
      </c>
      <c r="DD78" s="7" t="s">
        <v>107</v>
      </c>
      <c r="DE78" s="7" t="s">
        <v>107</v>
      </c>
      <c r="DF78" s="7" t="s">
        <v>107</v>
      </c>
      <c r="DG78" s="3"/>
      <c r="DH78" s="7"/>
      <c r="DI78" s="7" t="s">
        <v>107</v>
      </c>
      <c r="DJ78" s="7" t="s">
        <v>107</v>
      </c>
      <c r="DK78" s="5">
        <f>AM78+AU78</f>
        <v>48570.75</v>
      </c>
      <c r="DL78" s="15" t="s">
        <v>2505</v>
      </c>
      <c r="DM78" s="51">
        <f>DL78*0.95</f>
        <v>46141.5</v>
      </c>
    </row>
    <row r="79" spans="1:117" ht="17.25" customHeight="1" x14ac:dyDescent="0.25">
      <c r="A79" s="50" t="s">
        <v>1133</v>
      </c>
      <c r="B79" s="15" t="s">
        <v>1134</v>
      </c>
      <c r="C79" s="15" t="s">
        <v>1135</v>
      </c>
      <c r="D79" s="15" t="s">
        <v>1136</v>
      </c>
      <c r="E79" s="15" t="s">
        <v>976</v>
      </c>
      <c r="F79" s="15" t="s">
        <v>1137</v>
      </c>
      <c r="G79" s="15" t="s">
        <v>1138</v>
      </c>
      <c r="H79" s="15" t="s">
        <v>1139</v>
      </c>
      <c r="I79" s="15" t="s">
        <v>1140</v>
      </c>
      <c r="J79" s="15" t="s">
        <v>4235</v>
      </c>
      <c r="K79" s="15" t="s">
        <v>151</v>
      </c>
      <c r="L79" s="15" t="s">
        <v>1137</v>
      </c>
      <c r="M79" s="15" t="s">
        <v>1141</v>
      </c>
      <c r="N79" s="15" t="s">
        <v>1140</v>
      </c>
      <c r="O79" s="15" t="s">
        <v>1137</v>
      </c>
      <c r="P79" s="15" t="s">
        <v>1141</v>
      </c>
      <c r="Q79" s="15" t="s">
        <v>1142</v>
      </c>
      <c r="R79" s="15" t="s">
        <v>179</v>
      </c>
      <c r="S79" s="15" t="s">
        <v>1137</v>
      </c>
      <c r="T79" s="15" t="s">
        <v>107</v>
      </c>
      <c r="U79" s="15" t="s">
        <v>1143</v>
      </c>
      <c r="V79" s="15" t="s">
        <v>109</v>
      </c>
      <c r="W79" s="15" t="s">
        <v>1144</v>
      </c>
      <c r="X79" s="16" t="s">
        <v>1145</v>
      </c>
      <c r="Y79" s="15" t="s">
        <v>136</v>
      </c>
      <c r="Z79" s="16" t="s">
        <v>1146</v>
      </c>
      <c r="AA79" s="17">
        <v>560</v>
      </c>
      <c r="AB79" s="17">
        <v>0</v>
      </c>
      <c r="AC79" s="17">
        <v>0</v>
      </c>
      <c r="AD79" s="17">
        <v>0</v>
      </c>
      <c r="AE79" s="17">
        <v>0</v>
      </c>
      <c r="AF79" s="15" t="s">
        <v>142</v>
      </c>
      <c r="AG79" s="15" t="s">
        <v>480</v>
      </c>
      <c r="AH79" s="15" t="s">
        <v>1147</v>
      </c>
      <c r="AI79" s="20">
        <v>57262.400000000001</v>
      </c>
      <c r="AJ79" s="15">
        <v>1</v>
      </c>
      <c r="AK79" s="15" t="s">
        <v>1148</v>
      </c>
      <c r="AL79" s="15" t="s">
        <v>1149</v>
      </c>
      <c r="AM79" s="3">
        <f>(AI79*AJ79)/2</f>
        <v>28631.200000000001</v>
      </c>
      <c r="AN79" s="7" t="s">
        <v>142</v>
      </c>
      <c r="AO79" s="7" t="s">
        <v>480</v>
      </c>
      <c r="AP79" s="7" t="s">
        <v>1150</v>
      </c>
      <c r="AQ79" s="8">
        <v>57262.400000000001</v>
      </c>
      <c r="AR79" s="7">
        <v>1</v>
      </c>
      <c r="AS79" s="7" t="s">
        <v>1148</v>
      </c>
      <c r="AT79" s="7" t="s">
        <v>1149</v>
      </c>
      <c r="AU79" s="3">
        <f>(AQ79*AR79)/2</f>
        <v>28631.200000000001</v>
      </c>
      <c r="AV79" s="7" t="s">
        <v>107</v>
      </c>
      <c r="AW79" s="7" t="s">
        <v>107</v>
      </c>
      <c r="AX79" s="7" t="s">
        <v>107</v>
      </c>
      <c r="AY79" s="8" t="s">
        <v>107</v>
      </c>
      <c r="AZ79" s="7" t="s">
        <v>107</v>
      </c>
      <c r="BA79" s="7" t="s">
        <v>107</v>
      </c>
      <c r="BB79" s="7" t="s">
        <v>107</v>
      </c>
      <c r="BC79" s="3"/>
      <c r="BD79" s="7" t="s">
        <v>107</v>
      </c>
      <c r="BE79" s="7" t="s">
        <v>107</v>
      </c>
      <c r="BF79" s="7" t="s">
        <v>107</v>
      </c>
      <c r="BG79" s="7" t="s">
        <v>107</v>
      </c>
      <c r="BH79" s="7" t="s">
        <v>107</v>
      </c>
      <c r="BI79" s="7" t="s">
        <v>107</v>
      </c>
      <c r="BJ79" s="7" t="s">
        <v>107</v>
      </c>
      <c r="BK79" s="3"/>
      <c r="BL79" s="7" t="s">
        <v>107</v>
      </c>
      <c r="BM79" s="7" t="s">
        <v>107</v>
      </c>
      <c r="BN79" s="7" t="s">
        <v>107</v>
      </c>
      <c r="BO79" s="8" t="s">
        <v>107</v>
      </c>
      <c r="BP79" s="7" t="s">
        <v>107</v>
      </c>
      <c r="BQ79" s="7" t="s">
        <v>107</v>
      </c>
      <c r="BR79" s="7" t="s">
        <v>107</v>
      </c>
      <c r="BS79" s="3"/>
      <c r="BT79" s="7" t="s">
        <v>107</v>
      </c>
      <c r="BU79" s="7" t="s">
        <v>107</v>
      </c>
      <c r="BV79" s="7" t="s">
        <v>107</v>
      </c>
      <c r="BW79" s="8" t="s">
        <v>107</v>
      </c>
      <c r="BX79" s="7" t="s">
        <v>107</v>
      </c>
      <c r="BY79" s="7" t="s">
        <v>107</v>
      </c>
      <c r="BZ79" s="7" t="s">
        <v>107</v>
      </c>
      <c r="CA79" s="3"/>
      <c r="CB79" s="7"/>
      <c r="CC79" s="7" t="s">
        <v>107</v>
      </c>
      <c r="CD79" s="7" t="s">
        <v>107</v>
      </c>
      <c r="CE79" s="8" t="s">
        <v>107</v>
      </c>
      <c r="CF79" s="7" t="s">
        <v>107</v>
      </c>
      <c r="CG79" s="7" t="s">
        <v>107</v>
      </c>
      <c r="CH79" s="7" t="s">
        <v>107</v>
      </c>
      <c r="CI79" s="3"/>
      <c r="CJ79" s="7"/>
      <c r="CK79" s="7" t="s">
        <v>107</v>
      </c>
      <c r="CL79" s="7" t="s">
        <v>107</v>
      </c>
      <c r="CM79" s="8" t="s">
        <v>107</v>
      </c>
      <c r="CN79" s="7" t="s">
        <v>107</v>
      </c>
      <c r="CO79" s="7" t="s">
        <v>107</v>
      </c>
      <c r="CP79" s="7" t="s">
        <v>107</v>
      </c>
      <c r="CQ79" s="3"/>
      <c r="CR79" s="7"/>
      <c r="CS79" s="7" t="s">
        <v>107</v>
      </c>
      <c r="CT79" s="7" t="s">
        <v>107</v>
      </c>
      <c r="CU79" s="7" t="s">
        <v>107</v>
      </c>
      <c r="CV79" s="7" t="s">
        <v>107</v>
      </c>
      <c r="CW79" s="7" t="s">
        <v>107</v>
      </c>
      <c r="CX79" s="7" t="s">
        <v>107</v>
      </c>
      <c r="CY79" s="3"/>
      <c r="CZ79" s="7"/>
      <c r="DA79" s="7" t="s">
        <v>107</v>
      </c>
      <c r="DB79" s="7" t="s">
        <v>107</v>
      </c>
      <c r="DC79" s="7" t="s">
        <v>107</v>
      </c>
      <c r="DD79" s="7" t="s">
        <v>107</v>
      </c>
      <c r="DE79" s="7" t="s">
        <v>107</v>
      </c>
      <c r="DF79" s="7" t="s">
        <v>107</v>
      </c>
      <c r="DG79" s="3"/>
      <c r="DH79" s="7"/>
      <c r="DI79" s="7" t="s">
        <v>107</v>
      </c>
      <c r="DJ79" s="7" t="s">
        <v>107</v>
      </c>
      <c r="DK79" s="5">
        <f>AM79+AU79</f>
        <v>57262.400000000001</v>
      </c>
      <c r="DL79" s="15" t="s">
        <v>1148</v>
      </c>
      <c r="DM79" s="51">
        <f>DL79*0.95</f>
        <v>54399.28</v>
      </c>
    </row>
    <row r="80" spans="1:117" ht="17.25" customHeight="1" x14ac:dyDescent="0.25">
      <c r="A80" s="50" t="s">
        <v>3871</v>
      </c>
      <c r="B80" s="15" t="s">
        <v>3937</v>
      </c>
      <c r="C80" s="15" t="s">
        <v>1746</v>
      </c>
      <c r="D80" s="15" t="s">
        <v>3081</v>
      </c>
      <c r="E80" s="15" t="s">
        <v>450</v>
      </c>
      <c r="F80" s="15" t="s">
        <v>3082</v>
      </c>
      <c r="G80" s="15" t="s">
        <v>3083</v>
      </c>
      <c r="H80" s="15" t="s">
        <v>3084</v>
      </c>
      <c r="I80" s="15" t="s">
        <v>3998</v>
      </c>
      <c r="J80" s="15" t="s">
        <v>4326</v>
      </c>
      <c r="K80" s="15" t="s">
        <v>151</v>
      </c>
      <c r="L80" s="15" t="s">
        <v>3082</v>
      </c>
      <c r="M80" s="15" t="s">
        <v>3085</v>
      </c>
      <c r="N80" s="15" t="s">
        <v>4029</v>
      </c>
      <c r="O80" s="15" t="s">
        <v>3082</v>
      </c>
      <c r="P80" s="15" t="s">
        <v>3086</v>
      </c>
      <c r="Q80" s="15" t="s">
        <v>4044</v>
      </c>
      <c r="R80" s="15" t="s">
        <v>157</v>
      </c>
      <c r="S80" s="15" t="s">
        <v>3082</v>
      </c>
      <c r="T80" s="15" t="s">
        <v>107</v>
      </c>
      <c r="U80" s="15" t="s">
        <v>3087</v>
      </c>
      <c r="V80" s="15" t="s">
        <v>109</v>
      </c>
      <c r="W80" s="15" t="s">
        <v>3088</v>
      </c>
      <c r="X80" s="16" t="s">
        <v>3089</v>
      </c>
      <c r="Y80" s="15" t="s">
        <v>114</v>
      </c>
      <c r="Z80" s="16" t="s">
        <v>3090</v>
      </c>
      <c r="AA80" s="17">
        <v>462</v>
      </c>
      <c r="AB80" s="17">
        <v>1</v>
      </c>
      <c r="AC80" s="17">
        <v>364</v>
      </c>
      <c r="AD80" s="17">
        <v>1</v>
      </c>
      <c r="AE80" s="17">
        <v>468</v>
      </c>
      <c r="AF80" s="15" t="s">
        <v>142</v>
      </c>
      <c r="AG80" s="15" t="s">
        <v>157</v>
      </c>
      <c r="AH80" s="15" t="s">
        <v>4055</v>
      </c>
      <c r="AI80" s="21">
        <v>55000</v>
      </c>
      <c r="AJ80" s="15">
        <v>0.25</v>
      </c>
      <c r="AK80" s="15" t="s">
        <v>3092</v>
      </c>
      <c r="AL80" s="15" t="s">
        <v>3093</v>
      </c>
      <c r="AM80" s="3">
        <f>(AI80*AJ80)/2</f>
        <v>6875</v>
      </c>
      <c r="AN80" s="7" t="s">
        <v>107</v>
      </c>
      <c r="AO80" s="7" t="s">
        <v>107</v>
      </c>
      <c r="AP80" s="7" t="s">
        <v>107</v>
      </c>
      <c r="AQ80" s="8" t="s">
        <v>107</v>
      </c>
      <c r="AR80" s="7" t="s">
        <v>107</v>
      </c>
      <c r="AS80" s="7" t="s">
        <v>107</v>
      </c>
      <c r="AT80" s="7" t="s">
        <v>107</v>
      </c>
      <c r="AU80" s="3"/>
      <c r="AV80" s="7" t="s">
        <v>107</v>
      </c>
      <c r="AW80" s="7" t="s">
        <v>107</v>
      </c>
      <c r="AX80" s="7" t="s">
        <v>107</v>
      </c>
      <c r="AY80" s="8" t="s">
        <v>107</v>
      </c>
      <c r="AZ80" s="7" t="s">
        <v>107</v>
      </c>
      <c r="BA80" s="7" t="s">
        <v>107</v>
      </c>
      <c r="BB80" s="7" t="s">
        <v>107</v>
      </c>
      <c r="BC80" s="3"/>
      <c r="BD80" s="7" t="s">
        <v>107</v>
      </c>
      <c r="BE80" s="7" t="s">
        <v>107</v>
      </c>
      <c r="BF80" s="7" t="s">
        <v>107</v>
      </c>
      <c r="BG80" s="7" t="s">
        <v>107</v>
      </c>
      <c r="BH80" s="7" t="s">
        <v>107</v>
      </c>
      <c r="BI80" s="7" t="s">
        <v>107</v>
      </c>
      <c r="BJ80" s="7" t="s">
        <v>107</v>
      </c>
      <c r="BK80" s="3"/>
      <c r="BL80" s="7" t="s">
        <v>107</v>
      </c>
      <c r="BM80" s="7" t="s">
        <v>107</v>
      </c>
      <c r="BN80" s="7" t="s">
        <v>107</v>
      </c>
      <c r="BO80" s="8" t="s">
        <v>107</v>
      </c>
      <c r="BP80" s="7" t="s">
        <v>107</v>
      </c>
      <c r="BQ80" s="7" t="s">
        <v>107</v>
      </c>
      <c r="BR80" s="7" t="s">
        <v>107</v>
      </c>
      <c r="BS80" s="3"/>
      <c r="BT80" s="7" t="s">
        <v>107</v>
      </c>
      <c r="BU80" s="7" t="s">
        <v>107</v>
      </c>
      <c r="BV80" s="7" t="s">
        <v>107</v>
      </c>
      <c r="BW80" s="8" t="s">
        <v>107</v>
      </c>
      <c r="BX80" s="7" t="s">
        <v>107</v>
      </c>
      <c r="BY80" s="7" t="s">
        <v>107</v>
      </c>
      <c r="BZ80" s="7" t="s">
        <v>107</v>
      </c>
      <c r="CA80" s="3"/>
      <c r="CB80" s="7"/>
      <c r="CC80" s="7" t="s">
        <v>107</v>
      </c>
      <c r="CD80" s="7" t="s">
        <v>107</v>
      </c>
      <c r="CE80" s="8" t="s">
        <v>107</v>
      </c>
      <c r="CF80" s="7" t="s">
        <v>107</v>
      </c>
      <c r="CG80" s="7" t="s">
        <v>107</v>
      </c>
      <c r="CH80" s="7" t="s">
        <v>107</v>
      </c>
      <c r="CI80" s="3"/>
      <c r="CJ80" s="7"/>
      <c r="CK80" s="7" t="s">
        <v>107</v>
      </c>
      <c r="CL80" s="7" t="s">
        <v>107</v>
      </c>
      <c r="CM80" s="8" t="s">
        <v>107</v>
      </c>
      <c r="CN80" s="7" t="s">
        <v>107</v>
      </c>
      <c r="CO80" s="7" t="s">
        <v>107</v>
      </c>
      <c r="CP80" s="7" t="s">
        <v>107</v>
      </c>
      <c r="CQ80" s="3"/>
      <c r="CR80" s="7"/>
      <c r="CS80" s="7" t="s">
        <v>107</v>
      </c>
      <c r="CT80" s="7" t="s">
        <v>107</v>
      </c>
      <c r="CU80" s="7" t="s">
        <v>107</v>
      </c>
      <c r="CV80" s="7" t="s">
        <v>107</v>
      </c>
      <c r="CW80" s="7" t="s">
        <v>107</v>
      </c>
      <c r="CX80" s="7" t="s">
        <v>107</v>
      </c>
      <c r="CY80" s="3"/>
      <c r="CZ80" s="7"/>
      <c r="DA80" s="7" t="s">
        <v>107</v>
      </c>
      <c r="DB80" s="7" t="s">
        <v>107</v>
      </c>
      <c r="DC80" s="7" t="s">
        <v>107</v>
      </c>
      <c r="DD80" s="7" t="s">
        <v>107</v>
      </c>
      <c r="DE80" s="7" t="s">
        <v>107</v>
      </c>
      <c r="DF80" s="7" t="s">
        <v>107</v>
      </c>
      <c r="DG80" s="3"/>
      <c r="DH80" s="7"/>
      <c r="DI80" s="7" t="s">
        <v>107</v>
      </c>
      <c r="DJ80" s="7" t="s">
        <v>107</v>
      </c>
      <c r="DK80" s="5">
        <f>AM80</f>
        <v>6875</v>
      </c>
      <c r="DL80" s="15" t="s">
        <v>3093</v>
      </c>
      <c r="DM80" s="51">
        <f>DL80*0.95</f>
        <v>6531.25</v>
      </c>
    </row>
    <row r="81" spans="1:117" ht="17.25" customHeight="1" x14ac:dyDescent="0.25">
      <c r="A81" s="50" t="s">
        <v>1170</v>
      </c>
      <c r="B81" s="15" t="s">
        <v>1171</v>
      </c>
      <c r="C81" s="15" t="s">
        <v>1172</v>
      </c>
      <c r="D81" s="15" t="s">
        <v>1173</v>
      </c>
      <c r="E81" s="15" t="s">
        <v>1174</v>
      </c>
      <c r="F81" s="15" t="s">
        <v>1175</v>
      </c>
      <c r="G81" s="15" t="s">
        <v>1176</v>
      </c>
      <c r="H81" s="15" t="s">
        <v>1177</v>
      </c>
      <c r="I81" s="15" t="s">
        <v>1178</v>
      </c>
      <c r="J81" s="15" t="s">
        <v>4236</v>
      </c>
      <c r="K81" s="15" t="s">
        <v>151</v>
      </c>
      <c r="L81" s="15" t="s">
        <v>1179</v>
      </c>
      <c r="M81" s="15" t="s">
        <v>1180</v>
      </c>
      <c r="N81" s="15" t="s">
        <v>1181</v>
      </c>
      <c r="O81" s="15" t="s">
        <v>1182</v>
      </c>
      <c r="P81" s="15" t="s">
        <v>1183</v>
      </c>
      <c r="Q81" s="15" t="s">
        <v>1184</v>
      </c>
      <c r="R81" s="15" t="s">
        <v>132</v>
      </c>
      <c r="S81" s="15" t="s">
        <v>1185</v>
      </c>
      <c r="T81" s="15" t="s">
        <v>107</v>
      </c>
      <c r="U81" s="15" t="s">
        <v>1186</v>
      </c>
      <c r="V81" s="15" t="s">
        <v>109</v>
      </c>
      <c r="W81" s="15" t="s">
        <v>1187</v>
      </c>
      <c r="X81" s="16" t="s">
        <v>1188</v>
      </c>
      <c r="Y81" s="15" t="s">
        <v>1126</v>
      </c>
      <c r="Z81" s="16" t="s">
        <v>1189</v>
      </c>
      <c r="AA81" s="17">
        <v>1500</v>
      </c>
      <c r="AB81" s="17">
        <v>0</v>
      </c>
      <c r="AC81" s="17">
        <v>0</v>
      </c>
      <c r="AD81" s="17">
        <v>0</v>
      </c>
      <c r="AE81" s="17">
        <v>0</v>
      </c>
      <c r="AF81" s="15" t="s">
        <v>142</v>
      </c>
      <c r="AG81" s="15" t="s">
        <v>157</v>
      </c>
      <c r="AH81" s="15" t="s">
        <v>1190</v>
      </c>
      <c r="AI81" s="18">
        <v>49379</v>
      </c>
      <c r="AJ81" s="15">
        <v>1</v>
      </c>
      <c r="AK81" s="15" t="s">
        <v>1191</v>
      </c>
      <c r="AL81" s="15" t="s">
        <v>1192</v>
      </c>
      <c r="AM81" s="3">
        <f>(AI81*AJ81)/2</f>
        <v>24689.5</v>
      </c>
      <c r="AN81" s="7" t="s">
        <v>107</v>
      </c>
      <c r="AO81" s="7" t="s">
        <v>107</v>
      </c>
      <c r="AP81" s="7" t="s">
        <v>107</v>
      </c>
      <c r="AQ81" s="8"/>
      <c r="AR81" s="7" t="s">
        <v>107</v>
      </c>
      <c r="AS81" s="7" t="s">
        <v>107</v>
      </c>
      <c r="AT81" s="7" t="s">
        <v>107</v>
      </c>
      <c r="AU81" s="3"/>
      <c r="AV81" s="7" t="s">
        <v>107</v>
      </c>
      <c r="AW81" s="7" t="s">
        <v>107</v>
      </c>
      <c r="AX81" s="7" t="s">
        <v>107</v>
      </c>
      <c r="AY81" s="8" t="s">
        <v>107</v>
      </c>
      <c r="AZ81" s="7" t="s">
        <v>107</v>
      </c>
      <c r="BA81" s="7" t="s">
        <v>107</v>
      </c>
      <c r="BB81" s="7" t="s">
        <v>107</v>
      </c>
      <c r="BC81" s="3"/>
      <c r="BD81" s="7" t="s">
        <v>107</v>
      </c>
      <c r="BE81" s="7" t="s">
        <v>107</v>
      </c>
      <c r="BF81" s="7" t="s">
        <v>107</v>
      </c>
      <c r="BG81" s="7" t="s">
        <v>107</v>
      </c>
      <c r="BH81" s="7" t="s">
        <v>107</v>
      </c>
      <c r="BI81" s="7" t="s">
        <v>107</v>
      </c>
      <c r="BJ81" s="7" t="s">
        <v>107</v>
      </c>
      <c r="BK81" s="3"/>
      <c r="BL81" s="7" t="s">
        <v>107</v>
      </c>
      <c r="BM81" s="7" t="s">
        <v>107</v>
      </c>
      <c r="BN81" s="7" t="s">
        <v>107</v>
      </c>
      <c r="BO81" s="8" t="s">
        <v>107</v>
      </c>
      <c r="BP81" s="7" t="s">
        <v>107</v>
      </c>
      <c r="BQ81" s="7" t="s">
        <v>107</v>
      </c>
      <c r="BR81" s="7" t="s">
        <v>107</v>
      </c>
      <c r="BS81" s="3"/>
      <c r="BT81" s="7" t="s">
        <v>107</v>
      </c>
      <c r="BU81" s="7" t="s">
        <v>107</v>
      </c>
      <c r="BV81" s="7" t="s">
        <v>107</v>
      </c>
      <c r="BW81" s="8" t="s">
        <v>107</v>
      </c>
      <c r="BX81" s="7" t="s">
        <v>107</v>
      </c>
      <c r="BY81" s="7" t="s">
        <v>107</v>
      </c>
      <c r="BZ81" s="7" t="s">
        <v>107</v>
      </c>
      <c r="CA81" s="3"/>
      <c r="CB81" s="7"/>
      <c r="CC81" s="7" t="s">
        <v>107</v>
      </c>
      <c r="CD81" s="7" t="s">
        <v>107</v>
      </c>
      <c r="CE81" s="8" t="s">
        <v>107</v>
      </c>
      <c r="CF81" s="7" t="s">
        <v>107</v>
      </c>
      <c r="CG81" s="7" t="s">
        <v>107</v>
      </c>
      <c r="CH81" s="7" t="s">
        <v>107</v>
      </c>
      <c r="CI81" s="3"/>
      <c r="CJ81" s="7"/>
      <c r="CK81" s="7" t="s">
        <v>107</v>
      </c>
      <c r="CL81" s="7" t="s">
        <v>107</v>
      </c>
      <c r="CM81" s="8" t="s">
        <v>107</v>
      </c>
      <c r="CN81" s="7" t="s">
        <v>107</v>
      </c>
      <c r="CO81" s="7" t="s">
        <v>107</v>
      </c>
      <c r="CP81" s="7" t="s">
        <v>107</v>
      </c>
      <c r="CQ81" s="3"/>
      <c r="CR81" s="7"/>
      <c r="CS81" s="7" t="s">
        <v>107</v>
      </c>
      <c r="CT81" s="7" t="s">
        <v>107</v>
      </c>
      <c r="CU81" s="7" t="s">
        <v>107</v>
      </c>
      <c r="CV81" s="7" t="s">
        <v>107</v>
      </c>
      <c r="CW81" s="7" t="s">
        <v>107</v>
      </c>
      <c r="CX81" s="7" t="s">
        <v>107</v>
      </c>
      <c r="CY81" s="3"/>
      <c r="CZ81" s="7"/>
      <c r="DA81" s="7" t="s">
        <v>107</v>
      </c>
      <c r="DB81" s="7" t="s">
        <v>107</v>
      </c>
      <c r="DC81" s="7" t="s">
        <v>107</v>
      </c>
      <c r="DD81" s="7" t="s">
        <v>107</v>
      </c>
      <c r="DE81" s="7" t="s">
        <v>107</v>
      </c>
      <c r="DF81" s="7" t="s">
        <v>107</v>
      </c>
      <c r="DG81" s="3"/>
      <c r="DH81" s="7"/>
      <c r="DI81" s="7" t="s">
        <v>107</v>
      </c>
      <c r="DJ81" s="7" t="s">
        <v>107</v>
      </c>
      <c r="DK81" s="5">
        <f>AM81</f>
        <v>24689.5</v>
      </c>
      <c r="DL81" s="15" t="s">
        <v>1192</v>
      </c>
      <c r="DM81" s="51">
        <f>DL81*0.95</f>
        <v>23455.5</v>
      </c>
    </row>
    <row r="82" spans="1:117" ht="17.25" customHeight="1" x14ac:dyDescent="0.25">
      <c r="A82" s="50" t="s">
        <v>3872</v>
      </c>
      <c r="B82" s="15" t="s">
        <v>3004</v>
      </c>
      <c r="C82" s="15" t="s">
        <v>3005</v>
      </c>
      <c r="D82" s="15" t="s">
        <v>3006</v>
      </c>
      <c r="E82" s="15" t="s">
        <v>1076</v>
      </c>
      <c r="F82" s="15" t="s">
        <v>3007</v>
      </c>
      <c r="G82" s="15" t="s">
        <v>3008</v>
      </c>
      <c r="H82" s="15" t="s">
        <v>3009</v>
      </c>
      <c r="I82" s="15" t="s">
        <v>3010</v>
      </c>
      <c r="J82" s="15" t="s">
        <v>4322</v>
      </c>
      <c r="K82" s="15" t="s">
        <v>151</v>
      </c>
      <c r="L82" s="15" t="s">
        <v>3007</v>
      </c>
      <c r="M82" s="15" t="s">
        <v>107</v>
      </c>
      <c r="N82" s="15" t="s">
        <v>3011</v>
      </c>
      <c r="O82" s="15" t="s">
        <v>3012</v>
      </c>
      <c r="P82" s="15" t="s">
        <v>3013</v>
      </c>
      <c r="Q82" s="15" t="s">
        <v>3014</v>
      </c>
      <c r="R82" s="15" t="s">
        <v>157</v>
      </c>
      <c r="S82" s="15" t="s">
        <v>3007</v>
      </c>
      <c r="T82" s="15" t="s">
        <v>107</v>
      </c>
      <c r="U82" s="15" t="s">
        <v>3015</v>
      </c>
      <c r="V82" s="15" t="s">
        <v>109</v>
      </c>
      <c r="W82" s="15" t="s">
        <v>3016</v>
      </c>
      <c r="X82" s="16" t="s">
        <v>3017</v>
      </c>
      <c r="Y82" s="15" t="s">
        <v>184</v>
      </c>
      <c r="Z82" s="16" t="s">
        <v>3018</v>
      </c>
      <c r="AA82" s="17">
        <v>620</v>
      </c>
      <c r="AB82" s="17">
        <v>1</v>
      </c>
      <c r="AC82" s="17">
        <v>200</v>
      </c>
      <c r="AD82" s="17">
        <v>0</v>
      </c>
      <c r="AE82" s="17">
        <v>0</v>
      </c>
      <c r="AF82" s="15" t="s">
        <v>142</v>
      </c>
      <c r="AG82" s="15" t="s">
        <v>157</v>
      </c>
      <c r="AH82" s="15" t="s">
        <v>3014</v>
      </c>
      <c r="AI82" s="20">
        <v>31117</v>
      </c>
      <c r="AJ82" s="15">
        <v>0.25</v>
      </c>
      <c r="AK82" s="15" t="s">
        <v>3019</v>
      </c>
      <c r="AL82" s="15" t="s">
        <v>3020</v>
      </c>
      <c r="AM82" s="3">
        <f>(AI82*AJ82)/2</f>
        <v>3889.625</v>
      </c>
      <c r="AN82" s="7" t="s">
        <v>142</v>
      </c>
      <c r="AO82" s="7" t="s">
        <v>132</v>
      </c>
      <c r="AP82" s="7" t="s">
        <v>3021</v>
      </c>
      <c r="AQ82" s="8">
        <v>33051</v>
      </c>
      <c r="AR82" s="7">
        <v>4.4999999999999998E-2</v>
      </c>
      <c r="AS82" s="7" t="s">
        <v>3022</v>
      </c>
      <c r="AT82" s="7" t="s">
        <v>3023</v>
      </c>
      <c r="AU82" s="3">
        <f>(AQ82*AR82)/2</f>
        <v>743.64749999999992</v>
      </c>
      <c r="AV82" s="7" t="s">
        <v>107</v>
      </c>
      <c r="AW82" s="7" t="s">
        <v>107</v>
      </c>
      <c r="AX82" s="7" t="s">
        <v>107</v>
      </c>
      <c r="AY82" s="8" t="s">
        <v>107</v>
      </c>
      <c r="AZ82" s="7" t="s">
        <v>107</v>
      </c>
      <c r="BA82" s="7" t="s">
        <v>107</v>
      </c>
      <c r="BB82" s="7" t="s">
        <v>107</v>
      </c>
      <c r="BC82" s="3"/>
      <c r="BD82" s="7" t="s">
        <v>107</v>
      </c>
      <c r="BE82" s="7" t="s">
        <v>107</v>
      </c>
      <c r="BF82" s="7" t="s">
        <v>107</v>
      </c>
      <c r="BG82" s="7" t="s">
        <v>107</v>
      </c>
      <c r="BH82" s="7" t="s">
        <v>107</v>
      </c>
      <c r="BI82" s="7" t="s">
        <v>107</v>
      </c>
      <c r="BJ82" s="7" t="s">
        <v>107</v>
      </c>
      <c r="BK82" s="3"/>
      <c r="BL82" s="7" t="s">
        <v>107</v>
      </c>
      <c r="BM82" s="7" t="s">
        <v>107</v>
      </c>
      <c r="BN82" s="7" t="s">
        <v>107</v>
      </c>
      <c r="BO82" s="8" t="s">
        <v>107</v>
      </c>
      <c r="BP82" s="7" t="s">
        <v>107</v>
      </c>
      <c r="BQ82" s="7" t="s">
        <v>107</v>
      </c>
      <c r="BR82" s="7" t="s">
        <v>107</v>
      </c>
      <c r="BS82" s="3"/>
      <c r="BT82" s="7" t="s">
        <v>107</v>
      </c>
      <c r="BU82" s="7" t="s">
        <v>107</v>
      </c>
      <c r="BV82" s="7" t="s">
        <v>107</v>
      </c>
      <c r="BW82" s="8" t="s">
        <v>107</v>
      </c>
      <c r="BX82" s="7" t="s">
        <v>107</v>
      </c>
      <c r="BY82" s="7" t="s">
        <v>107</v>
      </c>
      <c r="BZ82" s="7" t="s">
        <v>107</v>
      </c>
      <c r="CA82" s="3"/>
      <c r="CB82" s="7"/>
      <c r="CC82" s="7" t="s">
        <v>107</v>
      </c>
      <c r="CD82" s="7" t="s">
        <v>107</v>
      </c>
      <c r="CE82" s="8" t="s">
        <v>107</v>
      </c>
      <c r="CF82" s="7" t="s">
        <v>107</v>
      </c>
      <c r="CG82" s="7" t="s">
        <v>107</v>
      </c>
      <c r="CH82" s="7" t="s">
        <v>107</v>
      </c>
      <c r="CI82" s="3"/>
      <c r="CJ82" s="7"/>
      <c r="CK82" s="7" t="s">
        <v>107</v>
      </c>
      <c r="CL82" s="7" t="s">
        <v>107</v>
      </c>
      <c r="CM82" s="8" t="s">
        <v>107</v>
      </c>
      <c r="CN82" s="7" t="s">
        <v>107</v>
      </c>
      <c r="CO82" s="7" t="s">
        <v>107</v>
      </c>
      <c r="CP82" s="7" t="s">
        <v>107</v>
      </c>
      <c r="CQ82" s="3"/>
      <c r="CR82" s="7"/>
      <c r="CS82" s="7" t="s">
        <v>107</v>
      </c>
      <c r="CT82" s="7" t="s">
        <v>107</v>
      </c>
      <c r="CU82" s="7" t="s">
        <v>107</v>
      </c>
      <c r="CV82" s="7" t="s">
        <v>107</v>
      </c>
      <c r="CW82" s="7" t="s">
        <v>107</v>
      </c>
      <c r="CX82" s="7" t="s">
        <v>107</v>
      </c>
      <c r="CY82" s="3"/>
      <c r="CZ82" s="7"/>
      <c r="DA82" s="7" t="s">
        <v>107</v>
      </c>
      <c r="DB82" s="7" t="s">
        <v>107</v>
      </c>
      <c r="DC82" s="7" t="s">
        <v>107</v>
      </c>
      <c r="DD82" s="7" t="s">
        <v>107</v>
      </c>
      <c r="DE82" s="7" t="s">
        <v>107</v>
      </c>
      <c r="DF82" s="7" t="s">
        <v>107</v>
      </c>
      <c r="DG82" s="3"/>
      <c r="DH82" s="7"/>
      <c r="DI82" s="7" t="s">
        <v>107</v>
      </c>
      <c r="DJ82" s="7" t="s">
        <v>107</v>
      </c>
      <c r="DK82" s="5">
        <f>AM82+AU82</f>
        <v>4633.2725</v>
      </c>
      <c r="DL82" s="15" t="s">
        <v>3024</v>
      </c>
      <c r="DM82" s="51">
        <f>DL82*0.95</f>
        <v>4253.625</v>
      </c>
    </row>
    <row r="83" spans="1:117" ht="17.25" customHeight="1" x14ac:dyDescent="0.25">
      <c r="A83" s="50" t="s">
        <v>2983</v>
      </c>
      <c r="B83" s="15" t="s">
        <v>2984</v>
      </c>
      <c r="C83" s="15" t="s">
        <v>2985</v>
      </c>
      <c r="D83" s="15" t="s">
        <v>2986</v>
      </c>
      <c r="E83" s="15" t="s">
        <v>2332</v>
      </c>
      <c r="F83" s="15" t="s">
        <v>2987</v>
      </c>
      <c r="G83" s="15" t="s">
        <v>2988</v>
      </c>
      <c r="H83" s="15" t="s">
        <v>2989</v>
      </c>
      <c r="I83" s="15" t="s">
        <v>2990</v>
      </c>
      <c r="J83" s="15" t="s">
        <v>4321</v>
      </c>
      <c r="K83" s="15" t="s">
        <v>101</v>
      </c>
      <c r="L83" s="15" t="s">
        <v>2991</v>
      </c>
      <c r="M83" s="15" t="s">
        <v>2992</v>
      </c>
      <c r="N83" s="15" t="s">
        <v>2993</v>
      </c>
      <c r="O83" s="15" t="s">
        <v>2994</v>
      </c>
      <c r="P83" s="15" t="s">
        <v>2995</v>
      </c>
      <c r="Q83" s="15" t="s">
        <v>2996</v>
      </c>
      <c r="R83" s="15" t="s">
        <v>115</v>
      </c>
      <c r="S83" s="15" t="s">
        <v>2997</v>
      </c>
      <c r="T83" s="15" t="s">
        <v>107</v>
      </c>
      <c r="U83" s="15" t="s">
        <v>2998</v>
      </c>
      <c r="V83" s="15" t="s">
        <v>109</v>
      </c>
      <c r="W83" s="15" t="s">
        <v>2999</v>
      </c>
      <c r="X83" s="16" t="s">
        <v>3000</v>
      </c>
      <c r="Y83" s="15" t="s">
        <v>137</v>
      </c>
      <c r="Z83" s="16" t="s">
        <v>3001</v>
      </c>
      <c r="AA83" s="17">
        <v>1750</v>
      </c>
      <c r="AB83" s="17">
        <v>5</v>
      </c>
      <c r="AC83" s="17">
        <v>1675</v>
      </c>
      <c r="AD83" s="17">
        <v>5</v>
      </c>
      <c r="AE83" s="17">
        <v>1675</v>
      </c>
      <c r="AF83" s="15" t="s">
        <v>142</v>
      </c>
      <c r="AG83" s="15" t="s">
        <v>115</v>
      </c>
      <c r="AH83" s="15" t="s">
        <v>2996</v>
      </c>
      <c r="AI83" s="18">
        <v>55452.800000000003</v>
      </c>
      <c r="AJ83" s="15">
        <v>0.85</v>
      </c>
      <c r="AK83" s="15" t="s">
        <v>3002</v>
      </c>
      <c r="AL83" s="15" t="s">
        <v>3003</v>
      </c>
      <c r="AM83" s="3">
        <f>(AI83*AJ83)/2</f>
        <v>23567.440000000002</v>
      </c>
      <c r="AN83" s="7" t="s">
        <v>107</v>
      </c>
      <c r="AO83" s="7" t="s">
        <v>107</v>
      </c>
      <c r="AP83" s="7" t="s">
        <v>107</v>
      </c>
      <c r="AQ83" s="8" t="s">
        <v>107</v>
      </c>
      <c r="AR83" s="7" t="s">
        <v>107</v>
      </c>
      <c r="AS83" s="7" t="s">
        <v>107</v>
      </c>
      <c r="AT83" s="7" t="s">
        <v>107</v>
      </c>
      <c r="AU83" s="3"/>
      <c r="AV83" s="7" t="s">
        <v>107</v>
      </c>
      <c r="AW83" s="7" t="s">
        <v>107</v>
      </c>
      <c r="AX83" s="7" t="s">
        <v>107</v>
      </c>
      <c r="AY83" s="8" t="s">
        <v>107</v>
      </c>
      <c r="AZ83" s="7" t="s">
        <v>107</v>
      </c>
      <c r="BA83" s="7" t="s">
        <v>107</v>
      </c>
      <c r="BB83" s="7" t="s">
        <v>107</v>
      </c>
      <c r="BC83" s="3"/>
      <c r="BD83" s="7" t="s">
        <v>107</v>
      </c>
      <c r="BE83" s="7" t="s">
        <v>107</v>
      </c>
      <c r="BF83" s="7" t="s">
        <v>107</v>
      </c>
      <c r="BG83" s="7" t="s">
        <v>107</v>
      </c>
      <c r="BH83" s="7" t="s">
        <v>107</v>
      </c>
      <c r="BI83" s="7" t="s">
        <v>107</v>
      </c>
      <c r="BJ83" s="7" t="s">
        <v>107</v>
      </c>
      <c r="BK83" s="3"/>
      <c r="BL83" s="7" t="s">
        <v>107</v>
      </c>
      <c r="BM83" s="7" t="s">
        <v>107</v>
      </c>
      <c r="BN83" s="7" t="s">
        <v>107</v>
      </c>
      <c r="BO83" s="8" t="s">
        <v>107</v>
      </c>
      <c r="BP83" s="7" t="s">
        <v>107</v>
      </c>
      <c r="BQ83" s="7" t="s">
        <v>107</v>
      </c>
      <c r="BR83" s="7" t="s">
        <v>107</v>
      </c>
      <c r="BS83" s="3"/>
      <c r="BT83" s="7" t="s">
        <v>107</v>
      </c>
      <c r="BU83" s="7" t="s">
        <v>107</v>
      </c>
      <c r="BV83" s="7" t="s">
        <v>107</v>
      </c>
      <c r="BW83" s="8" t="s">
        <v>107</v>
      </c>
      <c r="BX83" s="7" t="s">
        <v>107</v>
      </c>
      <c r="BY83" s="7" t="s">
        <v>107</v>
      </c>
      <c r="BZ83" s="7" t="s">
        <v>107</v>
      </c>
      <c r="CA83" s="3"/>
      <c r="CB83" s="7"/>
      <c r="CC83" s="7" t="s">
        <v>107</v>
      </c>
      <c r="CD83" s="7" t="s">
        <v>107</v>
      </c>
      <c r="CE83" s="8" t="s">
        <v>107</v>
      </c>
      <c r="CF83" s="7" t="s">
        <v>107</v>
      </c>
      <c r="CG83" s="7" t="s">
        <v>107</v>
      </c>
      <c r="CH83" s="7" t="s">
        <v>107</v>
      </c>
      <c r="CI83" s="3"/>
      <c r="CJ83" s="7"/>
      <c r="CK83" s="7" t="s">
        <v>107</v>
      </c>
      <c r="CL83" s="7" t="s">
        <v>107</v>
      </c>
      <c r="CM83" s="8" t="s">
        <v>107</v>
      </c>
      <c r="CN83" s="7" t="s">
        <v>107</v>
      </c>
      <c r="CO83" s="7" t="s">
        <v>107</v>
      </c>
      <c r="CP83" s="7" t="s">
        <v>107</v>
      </c>
      <c r="CQ83" s="3"/>
      <c r="CR83" s="7"/>
      <c r="CS83" s="7" t="s">
        <v>107</v>
      </c>
      <c r="CT83" s="7" t="s">
        <v>107</v>
      </c>
      <c r="CU83" s="7" t="s">
        <v>107</v>
      </c>
      <c r="CV83" s="7" t="s">
        <v>107</v>
      </c>
      <c r="CW83" s="7" t="s">
        <v>107</v>
      </c>
      <c r="CX83" s="7" t="s">
        <v>107</v>
      </c>
      <c r="CY83" s="3"/>
      <c r="CZ83" s="7"/>
      <c r="DA83" s="7" t="s">
        <v>107</v>
      </c>
      <c r="DB83" s="7" t="s">
        <v>107</v>
      </c>
      <c r="DC83" s="7" t="s">
        <v>107</v>
      </c>
      <c r="DD83" s="7" t="s">
        <v>107</v>
      </c>
      <c r="DE83" s="7" t="s">
        <v>107</v>
      </c>
      <c r="DF83" s="7" t="s">
        <v>107</v>
      </c>
      <c r="DG83" s="3"/>
      <c r="DH83" s="7"/>
      <c r="DI83" s="7" t="s">
        <v>107</v>
      </c>
      <c r="DJ83" s="7" t="s">
        <v>107</v>
      </c>
      <c r="DK83" s="5">
        <f>AM83</f>
        <v>23567.440000000002</v>
      </c>
      <c r="DL83" s="15" t="s">
        <v>3003</v>
      </c>
      <c r="DM83" s="51">
        <f>DL83*0.95</f>
        <v>22389.067999999999</v>
      </c>
    </row>
    <row r="84" spans="1:117" ht="17.25" customHeight="1" x14ac:dyDescent="0.25">
      <c r="A84" s="50" t="s">
        <v>2196</v>
      </c>
      <c r="B84" s="15" t="s">
        <v>2197</v>
      </c>
      <c r="C84" s="15" t="s">
        <v>2198</v>
      </c>
      <c r="D84" s="15" t="s">
        <v>2199</v>
      </c>
      <c r="E84" s="15" t="s">
        <v>1381</v>
      </c>
      <c r="F84" s="15" t="s">
        <v>2200</v>
      </c>
      <c r="G84" s="15" t="s">
        <v>2201</v>
      </c>
      <c r="H84" s="15" t="s">
        <v>2202</v>
      </c>
      <c r="I84" s="15" t="s">
        <v>2203</v>
      </c>
      <c r="J84" s="15" t="s">
        <v>4282</v>
      </c>
      <c r="K84" s="15" t="s">
        <v>151</v>
      </c>
      <c r="L84" s="15" t="s">
        <v>2200</v>
      </c>
      <c r="M84" s="15" t="s">
        <v>2204</v>
      </c>
      <c r="N84" s="15" t="s">
        <v>2205</v>
      </c>
      <c r="O84" s="15" t="s">
        <v>2206</v>
      </c>
      <c r="P84" s="15" t="s">
        <v>2207</v>
      </c>
      <c r="Q84" s="15" t="s">
        <v>2208</v>
      </c>
      <c r="R84" s="15" t="s">
        <v>761</v>
      </c>
      <c r="S84" s="15" t="s">
        <v>2200</v>
      </c>
      <c r="T84" s="15" t="s">
        <v>107</v>
      </c>
      <c r="U84" s="15" t="s">
        <v>2209</v>
      </c>
      <c r="V84" s="15" t="s">
        <v>109</v>
      </c>
      <c r="W84" s="15" t="s">
        <v>2210</v>
      </c>
      <c r="X84" s="16" t="s">
        <v>2211</v>
      </c>
      <c r="Y84" s="15" t="s">
        <v>114</v>
      </c>
      <c r="Z84" s="16" t="s">
        <v>2212</v>
      </c>
      <c r="AA84" s="17">
        <v>1240</v>
      </c>
      <c r="AB84" s="17">
        <v>1</v>
      </c>
      <c r="AC84" s="17">
        <v>1400</v>
      </c>
      <c r="AD84" s="17">
        <v>1</v>
      </c>
      <c r="AE84" s="17">
        <v>1400</v>
      </c>
      <c r="AF84" s="15" t="s">
        <v>196</v>
      </c>
      <c r="AG84" s="15" t="s">
        <v>460</v>
      </c>
      <c r="AH84" s="15" t="s">
        <v>2208</v>
      </c>
      <c r="AI84" s="18">
        <v>64068.160000000003</v>
      </c>
      <c r="AJ84" s="15">
        <v>0.1</v>
      </c>
      <c r="AK84" s="15" t="s">
        <v>2213</v>
      </c>
      <c r="AL84" s="15" t="s">
        <v>2214</v>
      </c>
      <c r="AM84" s="3">
        <f>(AI84*AJ84)/2</f>
        <v>3203.4080000000004</v>
      </c>
      <c r="AN84" s="7" t="s">
        <v>107</v>
      </c>
      <c r="AO84" s="7" t="s">
        <v>107</v>
      </c>
      <c r="AP84" s="7" t="s">
        <v>107</v>
      </c>
      <c r="AQ84" s="8" t="s">
        <v>107</v>
      </c>
      <c r="AR84" s="7" t="s">
        <v>107</v>
      </c>
      <c r="AS84" s="7" t="s">
        <v>107</v>
      </c>
      <c r="AT84" s="7" t="s">
        <v>107</v>
      </c>
      <c r="AU84" s="3"/>
      <c r="AV84" s="7" t="s">
        <v>107</v>
      </c>
      <c r="AW84" s="7" t="s">
        <v>107</v>
      </c>
      <c r="AX84" s="7" t="s">
        <v>107</v>
      </c>
      <c r="AY84" s="8" t="s">
        <v>107</v>
      </c>
      <c r="AZ84" s="7" t="s">
        <v>107</v>
      </c>
      <c r="BA84" s="7" t="s">
        <v>107</v>
      </c>
      <c r="BB84" s="7" t="s">
        <v>107</v>
      </c>
      <c r="BC84" s="3"/>
      <c r="BD84" s="7" t="s">
        <v>107</v>
      </c>
      <c r="BE84" s="7" t="s">
        <v>107</v>
      </c>
      <c r="BF84" s="7" t="s">
        <v>107</v>
      </c>
      <c r="BG84" s="7" t="s">
        <v>107</v>
      </c>
      <c r="BH84" s="7" t="s">
        <v>107</v>
      </c>
      <c r="BI84" s="7" t="s">
        <v>107</v>
      </c>
      <c r="BJ84" s="7" t="s">
        <v>107</v>
      </c>
      <c r="BK84" s="3"/>
      <c r="BL84" s="7" t="s">
        <v>107</v>
      </c>
      <c r="BM84" s="7" t="s">
        <v>107</v>
      </c>
      <c r="BN84" s="7" t="s">
        <v>107</v>
      </c>
      <c r="BO84" s="8" t="s">
        <v>107</v>
      </c>
      <c r="BP84" s="7" t="s">
        <v>107</v>
      </c>
      <c r="BQ84" s="7" t="s">
        <v>107</v>
      </c>
      <c r="BR84" s="7" t="s">
        <v>107</v>
      </c>
      <c r="BS84" s="3"/>
      <c r="BT84" s="7" t="s">
        <v>107</v>
      </c>
      <c r="BU84" s="7" t="s">
        <v>107</v>
      </c>
      <c r="BV84" s="7" t="s">
        <v>107</v>
      </c>
      <c r="BW84" s="8" t="s">
        <v>107</v>
      </c>
      <c r="BX84" s="7" t="s">
        <v>107</v>
      </c>
      <c r="BY84" s="7" t="s">
        <v>107</v>
      </c>
      <c r="BZ84" s="7" t="s">
        <v>107</v>
      </c>
      <c r="CA84" s="3"/>
      <c r="CB84" s="7"/>
      <c r="CC84" s="7" t="s">
        <v>107</v>
      </c>
      <c r="CD84" s="7" t="s">
        <v>107</v>
      </c>
      <c r="CE84" s="8" t="s">
        <v>107</v>
      </c>
      <c r="CF84" s="7" t="s">
        <v>107</v>
      </c>
      <c r="CG84" s="7" t="s">
        <v>107</v>
      </c>
      <c r="CH84" s="7" t="s">
        <v>107</v>
      </c>
      <c r="CI84" s="3"/>
      <c r="CJ84" s="7"/>
      <c r="CK84" s="7" t="s">
        <v>107</v>
      </c>
      <c r="CL84" s="7" t="s">
        <v>107</v>
      </c>
      <c r="CM84" s="8" t="s">
        <v>107</v>
      </c>
      <c r="CN84" s="7" t="s">
        <v>107</v>
      </c>
      <c r="CO84" s="7" t="s">
        <v>107</v>
      </c>
      <c r="CP84" s="7" t="s">
        <v>107</v>
      </c>
      <c r="CQ84" s="3"/>
      <c r="CR84" s="7"/>
      <c r="CS84" s="7" t="s">
        <v>107</v>
      </c>
      <c r="CT84" s="7" t="s">
        <v>107</v>
      </c>
      <c r="CU84" s="7" t="s">
        <v>107</v>
      </c>
      <c r="CV84" s="7" t="s">
        <v>107</v>
      </c>
      <c r="CW84" s="7" t="s">
        <v>107</v>
      </c>
      <c r="CX84" s="7" t="s">
        <v>107</v>
      </c>
      <c r="CY84" s="3"/>
      <c r="CZ84" s="7"/>
      <c r="DA84" s="7" t="s">
        <v>107</v>
      </c>
      <c r="DB84" s="7" t="s">
        <v>107</v>
      </c>
      <c r="DC84" s="7" t="s">
        <v>107</v>
      </c>
      <c r="DD84" s="7" t="s">
        <v>107</v>
      </c>
      <c r="DE84" s="7" t="s">
        <v>107</v>
      </c>
      <c r="DF84" s="7" t="s">
        <v>107</v>
      </c>
      <c r="DG84" s="3"/>
      <c r="DH84" s="7"/>
      <c r="DI84" s="7" t="s">
        <v>107</v>
      </c>
      <c r="DJ84" s="7" t="s">
        <v>107</v>
      </c>
      <c r="DK84" s="5">
        <f>AM84</f>
        <v>3203.4080000000004</v>
      </c>
      <c r="DL84" s="15" t="s">
        <v>2214</v>
      </c>
      <c r="DM84" s="51">
        <f>DL84*0.95</f>
        <v>3043.23</v>
      </c>
    </row>
    <row r="85" spans="1:117" ht="17.25" customHeight="1" x14ac:dyDescent="0.25">
      <c r="A85" s="50" t="s">
        <v>846</v>
      </c>
      <c r="B85" s="15" t="s">
        <v>847</v>
      </c>
      <c r="C85" s="15" t="s">
        <v>166</v>
      </c>
      <c r="D85" s="15" t="s">
        <v>167</v>
      </c>
      <c r="E85" s="15" t="s">
        <v>168</v>
      </c>
      <c r="F85" s="15" t="s">
        <v>848</v>
      </c>
      <c r="G85" s="15" t="s">
        <v>849</v>
      </c>
      <c r="H85" s="15" t="s">
        <v>850</v>
      </c>
      <c r="I85" s="15" t="s">
        <v>851</v>
      </c>
      <c r="J85" s="15" t="s">
        <v>4221</v>
      </c>
      <c r="K85" s="15" t="s">
        <v>101</v>
      </c>
      <c r="L85" s="15" t="s">
        <v>852</v>
      </c>
      <c r="M85" s="15" t="s">
        <v>853</v>
      </c>
      <c r="N85" s="15" t="s">
        <v>854</v>
      </c>
      <c r="O85" s="15" t="s">
        <v>848</v>
      </c>
      <c r="P85" s="15" t="s">
        <v>855</v>
      </c>
      <c r="Q85" s="15" t="s">
        <v>856</v>
      </c>
      <c r="R85" s="15" t="s">
        <v>106</v>
      </c>
      <c r="S85" s="15" t="s">
        <v>857</v>
      </c>
      <c r="T85" s="15" t="s">
        <v>107</v>
      </c>
      <c r="U85" s="15" t="s">
        <v>858</v>
      </c>
      <c r="V85" s="15" t="s">
        <v>109</v>
      </c>
      <c r="W85" s="15" t="s">
        <v>859</v>
      </c>
      <c r="X85" s="16" t="s">
        <v>860</v>
      </c>
      <c r="Y85" s="15" t="s">
        <v>861</v>
      </c>
      <c r="Z85" s="16" t="s">
        <v>862</v>
      </c>
      <c r="AA85" s="17">
        <v>800</v>
      </c>
      <c r="AB85" s="17">
        <v>1</v>
      </c>
      <c r="AC85" s="17">
        <v>300</v>
      </c>
      <c r="AD85" s="17">
        <v>0</v>
      </c>
      <c r="AE85" s="17">
        <v>0</v>
      </c>
      <c r="AF85" s="15" t="s">
        <v>142</v>
      </c>
      <c r="AG85" s="15" t="s">
        <v>115</v>
      </c>
      <c r="AH85" s="15" t="s">
        <v>856</v>
      </c>
      <c r="AI85" s="18">
        <v>44720</v>
      </c>
      <c r="AJ85" s="15">
        <v>1</v>
      </c>
      <c r="AK85" s="15" t="s">
        <v>863</v>
      </c>
      <c r="AL85" s="15" t="s">
        <v>864</v>
      </c>
      <c r="AM85" s="3">
        <f>(AI85*AJ85)/2</f>
        <v>22360</v>
      </c>
      <c r="AN85" s="7" t="s">
        <v>107</v>
      </c>
      <c r="AO85" s="7" t="s">
        <v>107</v>
      </c>
      <c r="AP85" s="7" t="s">
        <v>107</v>
      </c>
      <c r="AQ85" s="8" t="s">
        <v>107</v>
      </c>
      <c r="AR85" s="7" t="s">
        <v>107</v>
      </c>
      <c r="AS85" s="7" t="s">
        <v>107</v>
      </c>
      <c r="AT85" s="7" t="s">
        <v>107</v>
      </c>
      <c r="AU85" s="3"/>
      <c r="AV85" s="7" t="s">
        <v>107</v>
      </c>
      <c r="AW85" s="7" t="s">
        <v>107</v>
      </c>
      <c r="AX85" s="7" t="s">
        <v>107</v>
      </c>
      <c r="AY85" s="8" t="s">
        <v>107</v>
      </c>
      <c r="AZ85" s="7" t="s">
        <v>107</v>
      </c>
      <c r="BA85" s="7" t="s">
        <v>107</v>
      </c>
      <c r="BB85" s="7" t="s">
        <v>107</v>
      </c>
      <c r="BC85" s="3"/>
      <c r="BD85" s="7" t="s">
        <v>107</v>
      </c>
      <c r="BE85" s="7" t="s">
        <v>107</v>
      </c>
      <c r="BF85" s="7" t="s">
        <v>107</v>
      </c>
      <c r="BG85" s="7" t="s">
        <v>107</v>
      </c>
      <c r="BH85" s="7" t="s">
        <v>107</v>
      </c>
      <c r="BI85" s="7" t="s">
        <v>107</v>
      </c>
      <c r="BJ85" s="7" t="s">
        <v>107</v>
      </c>
      <c r="BK85" s="3"/>
      <c r="BL85" s="7" t="s">
        <v>107</v>
      </c>
      <c r="BM85" s="7" t="s">
        <v>107</v>
      </c>
      <c r="BN85" s="7" t="s">
        <v>107</v>
      </c>
      <c r="BO85" s="8" t="s">
        <v>107</v>
      </c>
      <c r="BP85" s="7" t="s">
        <v>107</v>
      </c>
      <c r="BQ85" s="7" t="s">
        <v>107</v>
      </c>
      <c r="BR85" s="7" t="s">
        <v>107</v>
      </c>
      <c r="BS85" s="3"/>
      <c r="BT85" s="7" t="s">
        <v>107</v>
      </c>
      <c r="BU85" s="7" t="s">
        <v>107</v>
      </c>
      <c r="BV85" s="7" t="s">
        <v>107</v>
      </c>
      <c r="BW85" s="8" t="s">
        <v>107</v>
      </c>
      <c r="BX85" s="7" t="s">
        <v>107</v>
      </c>
      <c r="BY85" s="7" t="s">
        <v>107</v>
      </c>
      <c r="BZ85" s="7" t="s">
        <v>107</v>
      </c>
      <c r="CA85" s="3"/>
      <c r="CB85" s="7"/>
      <c r="CC85" s="7" t="s">
        <v>107</v>
      </c>
      <c r="CD85" s="7" t="s">
        <v>107</v>
      </c>
      <c r="CE85" s="8" t="s">
        <v>107</v>
      </c>
      <c r="CF85" s="7" t="s">
        <v>107</v>
      </c>
      <c r="CG85" s="7" t="s">
        <v>107</v>
      </c>
      <c r="CH85" s="7" t="s">
        <v>107</v>
      </c>
      <c r="CI85" s="3"/>
      <c r="CJ85" s="7"/>
      <c r="CK85" s="7" t="s">
        <v>107</v>
      </c>
      <c r="CL85" s="7" t="s">
        <v>107</v>
      </c>
      <c r="CM85" s="8" t="s">
        <v>107</v>
      </c>
      <c r="CN85" s="7" t="s">
        <v>107</v>
      </c>
      <c r="CO85" s="7" t="s">
        <v>107</v>
      </c>
      <c r="CP85" s="7" t="s">
        <v>107</v>
      </c>
      <c r="CQ85" s="3"/>
      <c r="CR85" s="7"/>
      <c r="CS85" s="7" t="s">
        <v>107</v>
      </c>
      <c r="CT85" s="7" t="s">
        <v>107</v>
      </c>
      <c r="CU85" s="7" t="s">
        <v>107</v>
      </c>
      <c r="CV85" s="7" t="s">
        <v>107</v>
      </c>
      <c r="CW85" s="7" t="s">
        <v>107</v>
      </c>
      <c r="CX85" s="7" t="s">
        <v>107</v>
      </c>
      <c r="CY85" s="3"/>
      <c r="CZ85" s="7"/>
      <c r="DA85" s="7" t="s">
        <v>107</v>
      </c>
      <c r="DB85" s="7" t="s">
        <v>107</v>
      </c>
      <c r="DC85" s="7" t="s">
        <v>107</v>
      </c>
      <c r="DD85" s="7" t="s">
        <v>107</v>
      </c>
      <c r="DE85" s="7" t="s">
        <v>107</v>
      </c>
      <c r="DF85" s="7" t="s">
        <v>107</v>
      </c>
      <c r="DG85" s="3"/>
      <c r="DH85" s="7"/>
      <c r="DI85" s="7" t="s">
        <v>107</v>
      </c>
      <c r="DJ85" s="7" t="s">
        <v>107</v>
      </c>
      <c r="DK85" s="5">
        <f>AM85</f>
        <v>22360</v>
      </c>
      <c r="DL85" s="15" t="s">
        <v>864</v>
      </c>
      <c r="DM85" s="51">
        <f>DL85*0.95</f>
        <v>21242</v>
      </c>
    </row>
    <row r="86" spans="1:117" ht="17.25" customHeight="1" x14ac:dyDescent="0.25">
      <c r="A86" s="50" t="s">
        <v>120</v>
      </c>
      <c r="B86" s="15" t="s">
        <v>3938</v>
      </c>
      <c r="C86" s="15" t="s">
        <v>121</v>
      </c>
      <c r="D86" s="15" t="s">
        <v>122</v>
      </c>
      <c r="E86" s="15" t="s">
        <v>123</v>
      </c>
      <c r="F86" s="15" t="s">
        <v>124</v>
      </c>
      <c r="G86" s="15" t="s">
        <v>125</v>
      </c>
      <c r="H86" s="15" t="s">
        <v>126</v>
      </c>
      <c r="I86" s="15" t="s">
        <v>127</v>
      </c>
      <c r="J86" s="15" t="s">
        <v>4363</v>
      </c>
      <c r="K86" s="15" t="s">
        <v>101</v>
      </c>
      <c r="L86" s="15" t="s">
        <v>124</v>
      </c>
      <c r="M86" s="15" t="s">
        <v>128</v>
      </c>
      <c r="N86" s="15" t="s">
        <v>129</v>
      </c>
      <c r="O86" s="15" t="s">
        <v>130</v>
      </c>
      <c r="P86" s="15" t="s">
        <v>107</v>
      </c>
      <c r="Q86" s="15" t="s">
        <v>131</v>
      </c>
      <c r="R86" s="15" t="s">
        <v>132</v>
      </c>
      <c r="S86" s="15" t="s">
        <v>124</v>
      </c>
      <c r="T86" s="15" t="s">
        <v>107</v>
      </c>
      <c r="U86" s="15" t="s">
        <v>133</v>
      </c>
      <c r="V86" s="15" t="s">
        <v>109</v>
      </c>
      <c r="W86" s="15" t="s">
        <v>134</v>
      </c>
      <c r="X86" s="16" t="s">
        <v>135</v>
      </c>
      <c r="Y86" s="15" t="s">
        <v>136</v>
      </c>
      <c r="Z86" s="42" t="s">
        <v>4385</v>
      </c>
      <c r="AA86" s="17">
        <v>900</v>
      </c>
      <c r="AB86" s="17">
        <v>5</v>
      </c>
      <c r="AC86" s="17">
        <v>675</v>
      </c>
      <c r="AD86" s="17">
        <v>0</v>
      </c>
      <c r="AE86" s="17">
        <v>0</v>
      </c>
      <c r="AF86" s="15" t="s">
        <v>142</v>
      </c>
      <c r="AG86" s="15" t="s">
        <v>115</v>
      </c>
      <c r="AH86" s="15" t="s">
        <v>139</v>
      </c>
      <c r="AI86" s="21">
        <v>50012</v>
      </c>
      <c r="AJ86" s="15">
        <v>0.85</v>
      </c>
      <c r="AK86" s="15" t="s">
        <v>140</v>
      </c>
      <c r="AL86" s="15" t="s">
        <v>141</v>
      </c>
      <c r="AM86" s="3">
        <f>(AI86*AJ86)/2</f>
        <v>21255.1</v>
      </c>
      <c r="AN86" s="7" t="s">
        <v>107</v>
      </c>
      <c r="AO86" s="7" t="s">
        <v>107</v>
      </c>
      <c r="AP86" s="7" t="s">
        <v>107</v>
      </c>
      <c r="AQ86" s="8" t="s">
        <v>107</v>
      </c>
      <c r="AR86" s="7" t="s">
        <v>107</v>
      </c>
      <c r="AS86" s="7" t="s">
        <v>107</v>
      </c>
      <c r="AT86" s="7" t="s">
        <v>107</v>
      </c>
      <c r="AU86" s="3"/>
      <c r="AV86" s="7" t="s">
        <v>107</v>
      </c>
      <c r="AW86" s="7" t="s">
        <v>107</v>
      </c>
      <c r="AX86" s="7" t="s">
        <v>107</v>
      </c>
      <c r="AY86" s="8" t="s">
        <v>107</v>
      </c>
      <c r="AZ86" s="7" t="s">
        <v>107</v>
      </c>
      <c r="BA86" s="7" t="s">
        <v>107</v>
      </c>
      <c r="BB86" s="7" t="s">
        <v>107</v>
      </c>
      <c r="BC86" s="3"/>
      <c r="BD86" s="7" t="s">
        <v>107</v>
      </c>
      <c r="BE86" s="7" t="s">
        <v>107</v>
      </c>
      <c r="BF86" s="7" t="s">
        <v>107</v>
      </c>
      <c r="BG86" s="7" t="s">
        <v>107</v>
      </c>
      <c r="BH86" s="7" t="s">
        <v>107</v>
      </c>
      <c r="BI86" s="7" t="s">
        <v>107</v>
      </c>
      <c r="BJ86" s="7" t="s">
        <v>107</v>
      </c>
      <c r="BK86" s="3"/>
      <c r="BL86" s="7" t="s">
        <v>107</v>
      </c>
      <c r="BM86" s="7" t="s">
        <v>107</v>
      </c>
      <c r="BN86" s="7" t="s">
        <v>107</v>
      </c>
      <c r="BO86" s="8" t="s">
        <v>107</v>
      </c>
      <c r="BP86" s="7" t="s">
        <v>107</v>
      </c>
      <c r="BQ86" s="7" t="s">
        <v>107</v>
      </c>
      <c r="BR86" s="7" t="s">
        <v>107</v>
      </c>
      <c r="BS86" s="3"/>
      <c r="BT86" s="7" t="s">
        <v>107</v>
      </c>
      <c r="BU86" s="7" t="s">
        <v>107</v>
      </c>
      <c r="BV86" s="7" t="s">
        <v>107</v>
      </c>
      <c r="BW86" s="8" t="s">
        <v>107</v>
      </c>
      <c r="BX86" s="7" t="s">
        <v>107</v>
      </c>
      <c r="BY86" s="7" t="s">
        <v>107</v>
      </c>
      <c r="BZ86" s="7" t="s">
        <v>107</v>
      </c>
      <c r="CA86" s="3"/>
      <c r="CB86" s="7"/>
      <c r="CC86" s="7" t="s">
        <v>107</v>
      </c>
      <c r="CD86" s="7" t="s">
        <v>107</v>
      </c>
      <c r="CE86" s="8" t="s">
        <v>107</v>
      </c>
      <c r="CF86" s="7" t="s">
        <v>107</v>
      </c>
      <c r="CG86" s="7" t="s">
        <v>107</v>
      </c>
      <c r="CH86" s="7" t="s">
        <v>107</v>
      </c>
      <c r="CI86" s="3"/>
      <c r="CJ86" s="7"/>
      <c r="CK86" s="7" t="s">
        <v>107</v>
      </c>
      <c r="CL86" s="7" t="s">
        <v>107</v>
      </c>
      <c r="CM86" s="8" t="s">
        <v>107</v>
      </c>
      <c r="CN86" s="7" t="s">
        <v>107</v>
      </c>
      <c r="CO86" s="7" t="s">
        <v>107</v>
      </c>
      <c r="CP86" s="7" t="s">
        <v>107</v>
      </c>
      <c r="CQ86" s="3"/>
      <c r="CR86" s="7"/>
      <c r="CS86" s="7" t="s">
        <v>107</v>
      </c>
      <c r="CT86" s="7" t="s">
        <v>107</v>
      </c>
      <c r="CU86" s="7" t="s">
        <v>107</v>
      </c>
      <c r="CV86" s="7" t="s">
        <v>107</v>
      </c>
      <c r="CW86" s="7" t="s">
        <v>107</v>
      </c>
      <c r="CX86" s="7" t="s">
        <v>107</v>
      </c>
      <c r="CY86" s="3"/>
      <c r="CZ86" s="7"/>
      <c r="DA86" s="7" t="s">
        <v>107</v>
      </c>
      <c r="DB86" s="7" t="s">
        <v>107</v>
      </c>
      <c r="DC86" s="7" t="s">
        <v>107</v>
      </c>
      <c r="DD86" s="7" t="s">
        <v>107</v>
      </c>
      <c r="DE86" s="7" t="s">
        <v>107</v>
      </c>
      <c r="DF86" s="7" t="s">
        <v>107</v>
      </c>
      <c r="DG86" s="3"/>
      <c r="DH86" s="7"/>
      <c r="DI86" s="7" t="s">
        <v>107</v>
      </c>
      <c r="DJ86" s="7" t="s">
        <v>107</v>
      </c>
      <c r="DK86" s="5">
        <f>AM86</f>
        <v>21255.1</v>
      </c>
      <c r="DL86" s="15" t="s">
        <v>141</v>
      </c>
      <c r="DM86" s="51">
        <f>DL86*0.95</f>
        <v>20192.25</v>
      </c>
    </row>
    <row r="87" spans="1:117" ht="17.25" customHeight="1" x14ac:dyDescent="0.25">
      <c r="A87" s="50" t="s">
        <v>3873</v>
      </c>
      <c r="B87" s="15" t="s">
        <v>3939</v>
      </c>
      <c r="C87" s="15" t="s">
        <v>1746</v>
      </c>
      <c r="D87" s="15" t="s">
        <v>1362</v>
      </c>
      <c r="E87" s="15" t="s">
        <v>691</v>
      </c>
      <c r="F87" s="15" t="s">
        <v>1363</v>
      </c>
      <c r="G87" s="15" t="s">
        <v>1364</v>
      </c>
      <c r="H87" s="15" t="s">
        <v>1365</v>
      </c>
      <c r="I87" s="15" t="s">
        <v>3999</v>
      </c>
      <c r="J87" s="15" t="s">
        <v>2330</v>
      </c>
      <c r="K87" s="15" t="s">
        <v>101</v>
      </c>
      <c r="L87" s="15" t="s">
        <v>1366</v>
      </c>
      <c r="M87" s="15" t="s">
        <v>1367</v>
      </c>
      <c r="N87" s="15" t="s">
        <v>4030</v>
      </c>
      <c r="O87" s="15" t="s">
        <v>1368</v>
      </c>
      <c r="P87" s="15" t="s">
        <v>1369</v>
      </c>
      <c r="Q87" s="15" t="s">
        <v>4045</v>
      </c>
      <c r="R87" s="15" t="s">
        <v>4047</v>
      </c>
      <c r="S87" s="15" t="s">
        <v>1370</v>
      </c>
      <c r="T87" s="15" t="s">
        <v>107</v>
      </c>
      <c r="U87" s="15" t="s">
        <v>1371</v>
      </c>
      <c r="V87" s="15" t="s">
        <v>109</v>
      </c>
      <c r="W87" s="15" t="s">
        <v>1372</v>
      </c>
      <c r="X87" s="16" t="s">
        <v>1373</v>
      </c>
      <c r="Y87" s="15" t="s">
        <v>184</v>
      </c>
      <c r="Z87" s="16" t="s">
        <v>1374</v>
      </c>
      <c r="AA87" s="17">
        <v>710</v>
      </c>
      <c r="AB87" s="17">
        <v>2</v>
      </c>
      <c r="AC87" s="17">
        <v>311</v>
      </c>
      <c r="AD87" s="17">
        <v>2</v>
      </c>
      <c r="AE87" s="17">
        <v>569</v>
      </c>
      <c r="AF87" s="15" t="s">
        <v>118</v>
      </c>
      <c r="AG87" s="15" t="s">
        <v>115</v>
      </c>
      <c r="AH87" s="15" t="s">
        <v>4056</v>
      </c>
      <c r="AI87" s="18">
        <v>42355.15</v>
      </c>
      <c r="AJ87" s="15">
        <v>0.75</v>
      </c>
      <c r="AK87" s="15" t="s">
        <v>1375</v>
      </c>
      <c r="AL87" s="15" t="s">
        <v>1376</v>
      </c>
      <c r="AM87" s="3">
        <f>(AI87*AJ87)/2</f>
        <v>15883.181250000001</v>
      </c>
      <c r="AN87" s="7" t="s">
        <v>107</v>
      </c>
      <c r="AO87" s="7" t="s">
        <v>107</v>
      </c>
      <c r="AP87" s="7" t="s">
        <v>107</v>
      </c>
      <c r="AQ87" s="8" t="s">
        <v>107</v>
      </c>
      <c r="AR87" s="7" t="s">
        <v>107</v>
      </c>
      <c r="AS87" s="7" t="s">
        <v>107</v>
      </c>
      <c r="AT87" s="7" t="s">
        <v>107</v>
      </c>
      <c r="AU87" s="3"/>
      <c r="AV87" s="7" t="s">
        <v>107</v>
      </c>
      <c r="AW87" s="7" t="s">
        <v>107</v>
      </c>
      <c r="AX87" s="7" t="s">
        <v>107</v>
      </c>
      <c r="AY87" s="8" t="s">
        <v>107</v>
      </c>
      <c r="AZ87" s="7" t="s">
        <v>107</v>
      </c>
      <c r="BA87" s="7" t="s">
        <v>107</v>
      </c>
      <c r="BB87" s="7" t="s">
        <v>107</v>
      </c>
      <c r="BC87" s="3"/>
      <c r="BD87" s="7" t="s">
        <v>107</v>
      </c>
      <c r="BE87" s="7" t="s">
        <v>107</v>
      </c>
      <c r="BF87" s="7" t="s">
        <v>107</v>
      </c>
      <c r="BG87" s="7" t="s">
        <v>107</v>
      </c>
      <c r="BH87" s="7" t="s">
        <v>107</v>
      </c>
      <c r="BI87" s="7" t="s">
        <v>107</v>
      </c>
      <c r="BJ87" s="7" t="s">
        <v>107</v>
      </c>
      <c r="BK87" s="3"/>
      <c r="BL87" s="7" t="s">
        <v>107</v>
      </c>
      <c r="BM87" s="7" t="s">
        <v>107</v>
      </c>
      <c r="BN87" s="7" t="s">
        <v>107</v>
      </c>
      <c r="BO87" s="8" t="s">
        <v>107</v>
      </c>
      <c r="BP87" s="7" t="s">
        <v>107</v>
      </c>
      <c r="BQ87" s="7" t="s">
        <v>107</v>
      </c>
      <c r="BR87" s="7" t="s">
        <v>107</v>
      </c>
      <c r="BS87" s="3"/>
      <c r="BT87" s="7" t="s">
        <v>107</v>
      </c>
      <c r="BU87" s="7" t="s">
        <v>107</v>
      </c>
      <c r="BV87" s="7" t="s">
        <v>107</v>
      </c>
      <c r="BW87" s="8" t="s">
        <v>107</v>
      </c>
      <c r="BX87" s="7" t="s">
        <v>107</v>
      </c>
      <c r="BY87" s="7" t="s">
        <v>107</v>
      </c>
      <c r="BZ87" s="7" t="s">
        <v>107</v>
      </c>
      <c r="CA87" s="3"/>
      <c r="CB87" s="7"/>
      <c r="CC87" s="7" t="s">
        <v>107</v>
      </c>
      <c r="CD87" s="7" t="s">
        <v>107</v>
      </c>
      <c r="CE87" s="8" t="s">
        <v>107</v>
      </c>
      <c r="CF87" s="7" t="s">
        <v>107</v>
      </c>
      <c r="CG87" s="7" t="s">
        <v>107</v>
      </c>
      <c r="CH87" s="7" t="s">
        <v>107</v>
      </c>
      <c r="CI87" s="3"/>
      <c r="CJ87" s="7"/>
      <c r="CK87" s="7" t="s">
        <v>107</v>
      </c>
      <c r="CL87" s="7" t="s">
        <v>107</v>
      </c>
      <c r="CM87" s="8" t="s">
        <v>107</v>
      </c>
      <c r="CN87" s="7" t="s">
        <v>107</v>
      </c>
      <c r="CO87" s="7" t="s">
        <v>107</v>
      </c>
      <c r="CP87" s="7" t="s">
        <v>107</v>
      </c>
      <c r="CQ87" s="3"/>
      <c r="CR87" s="7"/>
      <c r="CS87" s="7" t="s">
        <v>107</v>
      </c>
      <c r="CT87" s="7" t="s">
        <v>107</v>
      </c>
      <c r="CU87" s="7" t="s">
        <v>107</v>
      </c>
      <c r="CV87" s="7" t="s">
        <v>107</v>
      </c>
      <c r="CW87" s="7" t="s">
        <v>107</v>
      </c>
      <c r="CX87" s="7" t="s">
        <v>107</v>
      </c>
      <c r="CY87" s="3"/>
      <c r="CZ87" s="7"/>
      <c r="DA87" s="7" t="s">
        <v>107</v>
      </c>
      <c r="DB87" s="7" t="s">
        <v>107</v>
      </c>
      <c r="DC87" s="7" t="s">
        <v>107</v>
      </c>
      <c r="DD87" s="7" t="s">
        <v>107</v>
      </c>
      <c r="DE87" s="7" t="s">
        <v>107</v>
      </c>
      <c r="DF87" s="7" t="s">
        <v>107</v>
      </c>
      <c r="DG87" s="3"/>
      <c r="DH87" s="7"/>
      <c r="DI87" s="7" t="s">
        <v>107</v>
      </c>
      <c r="DJ87" s="7" t="s">
        <v>107</v>
      </c>
      <c r="DK87" s="5">
        <f>AM87</f>
        <v>15883.181250000001</v>
      </c>
      <c r="DL87" s="15" t="s">
        <v>1376</v>
      </c>
      <c r="DM87" s="51">
        <f>DL87*0.95</f>
        <v>15089.020999999999</v>
      </c>
    </row>
    <row r="88" spans="1:117" ht="17.25" customHeight="1" x14ac:dyDescent="0.25">
      <c r="A88" s="50" t="s">
        <v>3874</v>
      </c>
      <c r="B88" s="15" t="s">
        <v>1897</v>
      </c>
      <c r="C88" s="15" t="s">
        <v>1898</v>
      </c>
      <c r="D88" s="15" t="s">
        <v>1899</v>
      </c>
      <c r="E88" s="15" t="s">
        <v>1303</v>
      </c>
      <c r="F88" s="15" t="s">
        <v>1900</v>
      </c>
      <c r="G88" s="15" t="s">
        <v>1901</v>
      </c>
      <c r="H88" s="15" t="s">
        <v>1902</v>
      </c>
      <c r="I88" s="15" t="s">
        <v>1903</v>
      </c>
      <c r="J88" s="15" t="s">
        <v>4270</v>
      </c>
      <c r="K88" s="15" t="s">
        <v>151</v>
      </c>
      <c r="L88" s="15" t="s">
        <v>1904</v>
      </c>
      <c r="M88" s="15" t="s">
        <v>1905</v>
      </c>
      <c r="N88" s="15" t="s">
        <v>1906</v>
      </c>
      <c r="O88" s="15" t="s">
        <v>1907</v>
      </c>
      <c r="P88" s="15" t="s">
        <v>1908</v>
      </c>
      <c r="Q88" s="15" t="s">
        <v>1909</v>
      </c>
      <c r="R88" s="15" t="s">
        <v>1910</v>
      </c>
      <c r="S88" s="15" t="s">
        <v>1911</v>
      </c>
      <c r="T88" s="15" t="s">
        <v>107</v>
      </c>
      <c r="U88" s="15" t="s">
        <v>1912</v>
      </c>
      <c r="V88" s="15" t="s">
        <v>109</v>
      </c>
      <c r="W88" s="15" t="s">
        <v>1913</v>
      </c>
      <c r="X88" s="16" t="s">
        <v>1914</v>
      </c>
      <c r="Y88" s="15" t="s">
        <v>114</v>
      </c>
      <c r="Z88" s="16" t="s">
        <v>1915</v>
      </c>
      <c r="AA88" s="17">
        <v>259</v>
      </c>
      <c r="AB88" s="17">
        <v>1</v>
      </c>
      <c r="AC88" s="17">
        <v>443</v>
      </c>
      <c r="AD88" s="17">
        <v>1</v>
      </c>
      <c r="AE88" s="17">
        <v>854</v>
      </c>
      <c r="AF88" s="15" t="s">
        <v>142</v>
      </c>
      <c r="AG88" s="15" t="s">
        <v>480</v>
      </c>
      <c r="AH88" s="15" t="s">
        <v>1916</v>
      </c>
      <c r="AI88" s="18">
        <v>53132</v>
      </c>
      <c r="AJ88" s="15">
        <v>0.75</v>
      </c>
      <c r="AK88" s="15" t="s">
        <v>1917</v>
      </c>
      <c r="AL88" s="15" t="s">
        <v>1918</v>
      </c>
      <c r="AM88" s="3">
        <f>(AI88*AJ88)/2</f>
        <v>19924.5</v>
      </c>
      <c r="AN88" s="7" t="s">
        <v>196</v>
      </c>
      <c r="AO88" s="7" t="s">
        <v>480</v>
      </c>
      <c r="AP88" s="7" t="s">
        <v>1919</v>
      </c>
      <c r="AQ88" s="8">
        <v>53132</v>
      </c>
      <c r="AR88" s="7">
        <v>0.5</v>
      </c>
      <c r="AS88" s="7" t="s">
        <v>1920</v>
      </c>
      <c r="AT88" s="7" t="s">
        <v>1921</v>
      </c>
      <c r="AU88" s="3">
        <f>(AQ88*AR88)/2</f>
        <v>13283</v>
      </c>
      <c r="AV88" s="7" t="s">
        <v>107</v>
      </c>
      <c r="AW88" s="7" t="s">
        <v>107</v>
      </c>
      <c r="AX88" s="7" t="s">
        <v>107</v>
      </c>
      <c r="AY88" s="8" t="s">
        <v>107</v>
      </c>
      <c r="AZ88" s="7" t="s">
        <v>107</v>
      </c>
      <c r="BA88" s="7" t="s">
        <v>107</v>
      </c>
      <c r="BB88" s="7" t="s">
        <v>107</v>
      </c>
      <c r="BC88" s="3"/>
      <c r="BD88" s="7" t="s">
        <v>107</v>
      </c>
      <c r="BE88" s="7" t="s">
        <v>107</v>
      </c>
      <c r="BF88" s="7" t="s">
        <v>107</v>
      </c>
      <c r="BG88" s="7" t="s">
        <v>107</v>
      </c>
      <c r="BH88" s="7" t="s">
        <v>107</v>
      </c>
      <c r="BI88" s="7" t="s">
        <v>107</v>
      </c>
      <c r="BJ88" s="7" t="s">
        <v>107</v>
      </c>
      <c r="BK88" s="3"/>
      <c r="BL88" s="7" t="s">
        <v>107</v>
      </c>
      <c r="BM88" s="7" t="s">
        <v>107</v>
      </c>
      <c r="BN88" s="7" t="s">
        <v>107</v>
      </c>
      <c r="BO88" s="8" t="s">
        <v>107</v>
      </c>
      <c r="BP88" s="7" t="s">
        <v>107</v>
      </c>
      <c r="BQ88" s="7" t="s">
        <v>107</v>
      </c>
      <c r="BR88" s="7" t="s">
        <v>107</v>
      </c>
      <c r="BS88" s="3"/>
      <c r="BT88" s="7" t="s">
        <v>107</v>
      </c>
      <c r="BU88" s="7" t="s">
        <v>107</v>
      </c>
      <c r="BV88" s="7" t="s">
        <v>107</v>
      </c>
      <c r="BW88" s="8" t="s">
        <v>107</v>
      </c>
      <c r="BX88" s="7" t="s">
        <v>107</v>
      </c>
      <c r="BY88" s="7" t="s">
        <v>107</v>
      </c>
      <c r="BZ88" s="7" t="s">
        <v>107</v>
      </c>
      <c r="CA88" s="3"/>
      <c r="CB88" s="7"/>
      <c r="CC88" s="7" t="s">
        <v>107</v>
      </c>
      <c r="CD88" s="7" t="s">
        <v>107</v>
      </c>
      <c r="CE88" s="8" t="s">
        <v>107</v>
      </c>
      <c r="CF88" s="7" t="s">
        <v>107</v>
      </c>
      <c r="CG88" s="7" t="s">
        <v>107</v>
      </c>
      <c r="CH88" s="7" t="s">
        <v>107</v>
      </c>
      <c r="CI88" s="3"/>
      <c r="CJ88" s="7"/>
      <c r="CK88" s="7" t="s">
        <v>107</v>
      </c>
      <c r="CL88" s="7" t="s">
        <v>107</v>
      </c>
      <c r="CM88" s="8" t="s">
        <v>107</v>
      </c>
      <c r="CN88" s="7" t="s">
        <v>107</v>
      </c>
      <c r="CO88" s="7" t="s">
        <v>107</v>
      </c>
      <c r="CP88" s="7" t="s">
        <v>107</v>
      </c>
      <c r="CQ88" s="3"/>
      <c r="CR88" s="7"/>
      <c r="CS88" s="7" t="s">
        <v>107</v>
      </c>
      <c r="CT88" s="7" t="s">
        <v>107</v>
      </c>
      <c r="CU88" s="7" t="s">
        <v>107</v>
      </c>
      <c r="CV88" s="7" t="s">
        <v>107</v>
      </c>
      <c r="CW88" s="7" t="s">
        <v>107</v>
      </c>
      <c r="CX88" s="7" t="s">
        <v>107</v>
      </c>
      <c r="CY88" s="3"/>
      <c r="CZ88" s="7"/>
      <c r="DA88" s="7" t="s">
        <v>107</v>
      </c>
      <c r="DB88" s="7" t="s">
        <v>107</v>
      </c>
      <c r="DC88" s="7" t="s">
        <v>107</v>
      </c>
      <c r="DD88" s="7" t="s">
        <v>107</v>
      </c>
      <c r="DE88" s="7" t="s">
        <v>107</v>
      </c>
      <c r="DF88" s="7" t="s">
        <v>107</v>
      </c>
      <c r="DG88" s="3"/>
      <c r="DH88" s="7"/>
      <c r="DI88" s="7" t="s">
        <v>107</v>
      </c>
      <c r="DJ88" s="7" t="s">
        <v>107</v>
      </c>
      <c r="DK88" s="5">
        <f>AM88+AU88</f>
        <v>33207.5</v>
      </c>
      <c r="DL88" s="15" t="s">
        <v>1922</v>
      </c>
      <c r="DM88" s="51">
        <f>DL88*0.95</f>
        <v>31547.125</v>
      </c>
    </row>
    <row r="89" spans="1:117" ht="17.25" customHeight="1" x14ac:dyDescent="0.25">
      <c r="A89" s="50" t="s">
        <v>2922</v>
      </c>
      <c r="B89" s="15" t="s">
        <v>2923</v>
      </c>
      <c r="C89" s="15" t="s">
        <v>2924</v>
      </c>
      <c r="D89" s="15" t="s">
        <v>2925</v>
      </c>
      <c r="E89" s="15" t="s">
        <v>351</v>
      </c>
      <c r="F89" s="15" t="s">
        <v>2926</v>
      </c>
      <c r="G89" s="15" t="s">
        <v>2927</v>
      </c>
      <c r="H89" s="15" t="s">
        <v>2928</v>
      </c>
      <c r="I89" s="15" t="s">
        <v>2929</v>
      </c>
      <c r="J89" s="15" t="s">
        <v>4318</v>
      </c>
      <c r="K89" s="15" t="s">
        <v>151</v>
      </c>
      <c r="L89" s="15" t="s">
        <v>2930</v>
      </c>
      <c r="M89" s="15" t="s">
        <v>2931</v>
      </c>
      <c r="N89" s="15" t="s">
        <v>2932</v>
      </c>
      <c r="O89" s="15" t="s">
        <v>2933</v>
      </c>
      <c r="P89" s="15" t="s">
        <v>2934</v>
      </c>
      <c r="Q89" s="15" t="s">
        <v>2935</v>
      </c>
      <c r="R89" s="15" t="s">
        <v>282</v>
      </c>
      <c r="S89" s="15" t="s">
        <v>2936</v>
      </c>
      <c r="T89" s="15" t="s">
        <v>107</v>
      </c>
      <c r="U89" s="15" t="s">
        <v>2937</v>
      </c>
      <c r="V89" s="15" t="s">
        <v>109</v>
      </c>
      <c r="W89" s="15" t="s">
        <v>2938</v>
      </c>
      <c r="X89" s="16" t="s">
        <v>2939</v>
      </c>
      <c r="Y89" s="15" t="s">
        <v>2133</v>
      </c>
      <c r="Z89" s="16" t="s">
        <v>2940</v>
      </c>
      <c r="AA89" s="17">
        <v>600</v>
      </c>
      <c r="AB89" s="17">
        <v>1</v>
      </c>
      <c r="AC89" s="17">
        <v>100</v>
      </c>
      <c r="AD89" s="17">
        <v>0</v>
      </c>
      <c r="AE89" s="17">
        <v>0</v>
      </c>
      <c r="AF89" s="15" t="s">
        <v>142</v>
      </c>
      <c r="AG89" s="15" t="s">
        <v>480</v>
      </c>
      <c r="AH89" s="15" t="s">
        <v>2941</v>
      </c>
      <c r="AI89" s="18">
        <v>61894.77</v>
      </c>
      <c r="AJ89" s="15">
        <v>0.5</v>
      </c>
      <c r="AK89" s="15" t="s">
        <v>2942</v>
      </c>
      <c r="AL89" s="15" t="s">
        <v>2943</v>
      </c>
      <c r="AM89" s="3">
        <f>(AI89*AJ89)/2</f>
        <v>15473.692499999999</v>
      </c>
      <c r="AN89" s="7" t="s">
        <v>107</v>
      </c>
      <c r="AO89" s="7" t="s">
        <v>107</v>
      </c>
      <c r="AP89" s="7" t="s">
        <v>107</v>
      </c>
      <c r="AQ89" s="8" t="s">
        <v>107</v>
      </c>
      <c r="AR89" s="7" t="s">
        <v>107</v>
      </c>
      <c r="AS89" s="7" t="s">
        <v>107</v>
      </c>
      <c r="AT89" s="7" t="s">
        <v>107</v>
      </c>
      <c r="AU89" s="3"/>
      <c r="AV89" s="7" t="s">
        <v>107</v>
      </c>
      <c r="AW89" s="7" t="s">
        <v>107</v>
      </c>
      <c r="AX89" s="7" t="s">
        <v>107</v>
      </c>
      <c r="AY89" s="8" t="s">
        <v>107</v>
      </c>
      <c r="AZ89" s="7" t="s">
        <v>107</v>
      </c>
      <c r="BA89" s="7" t="s">
        <v>107</v>
      </c>
      <c r="BB89" s="7" t="s">
        <v>107</v>
      </c>
      <c r="BC89" s="3"/>
      <c r="BD89" s="7" t="s">
        <v>107</v>
      </c>
      <c r="BE89" s="7" t="s">
        <v>107</v>
      </c>
      <c r="BF89" s="7" t="s">
        <v>107</v>
      </c>
      <c r="BG89" s="7" t="s">
        <v>107</v>
      </c>
      <c r="BH89" s="7" t="s">
        <v>107</v>
      </c>
      <c r="BI89" s="7" t="s">
        <v>107</v>
      </c>
      <c r="BJ89" s="7" t="s">
        <v>107</v>
      </c>
      <c r="BK89" s="3"/>
      <c r="BL89" s="7" t="s">
        <v>107</v>
      </c>
      <c r="BM89" s="7" t="s">
        <v>107</v>
      </c>
      <c r="BN89" s="7" t="s">
        <v>107</v>
      </c>
      <c r="BO89" s="8" t="s">
        <v>107</v>
      </c>
      <c r="BP89" s="7" t="s">
        <v>107</v>
      </c>
      <c r="BQ89" s="7" t="s">
        <v>107</v>
      </c>
      <c r="BR89" s="7" t="s">
        <v>107</v>
      </c>
      <c r="BS89" s="3"/>
      <c r="BT89" s="7" t="s">
        <v>107</v>
      </c>
      <c r="BU89" s="7" t="s">
        <v>107</v>
      </c>
      <c r="BV89" s="7" t="s">
        <v>107</v>
      </c>
      <c r="BW89" s="8" t="s">
        <v>107</v>
      </c>
      <c r="BX89" s="7" t="s">
        <v>107</v>
      </c>
      <c r="BY89" s="7" t="s">
        <v>107</v>
      </c>
      <c r="BZ89" s="7" t="s">
        <v>107</v>
      </c>
      <c r="CA89" s="3"/>
      <c r="CB89" s="7"/>
      <c r="CC89" s="7" t="s">
        <v>107</v>
      </c>
      <c r="CD89" s="7" t="s">
        <v>107</v>
      </c>
      <c r="CE89" s="8" t="s">
        <v>107</v>
      </c>
      <c r="CF89" s="7" t="s">
        <v>107</v>
      </c>
      <c r="CG89" s="7" t="s">
        <v>107</v>
      </c>
      <c r="CH89" s="7" t="s">
        <v>107</v>
      </c>
      <c r="CI89" s="3"/>
      <c r="CJ89" s="7"/>
      <c r="CK89" s="7" t="s">
        <v>107</v>
      </c>
      <c r="CL89" s="7" t="s">
        <v>107</v>
      </c>
      <c r="CM89" s="8" t="s">
        <v>107</v>
      </c>
      <c r="CN89" s="7" t="s">
        <v>107</v>
      </c>
      <c r="CO89" s="7" t="s">
        <v>107</v>
      </c>
      <c r="CP89" s="7" t="s">
        <v>107</v>
      </c>
      <c r="CQ89" s="3"/>
      <c r="CR89" s="7"/>
      <c r="CS89" s="7" t="s">
        <v>107</v>
      </c>
      <c r="CT89" s="7" t="s">
        <v>107</v>
      </c>
      <c r="CU89" s="7" t="s">
        <v>107</v>
      </c>
      <c r="CV89" s="7" t="s">
        <v>107</v>
      </c>
      <c r="CW89" s="7" t="s">
        <v>107</v>
      </c>
      <c r="CX89" s="7" t="s">
        <v>107</v>
      </c>
      <c r="CY89" s="3"/>
      <c r="CZ89" s="7"/>
      <c r="DA89" s="7" t="s">
        <v>107</v>
      </c>
      <c r="DB89" s="7" t="s">
        <v>107</v>
      </c>
      <c r="DC89" s="7" t="s">
        <v>107</v>
      </c>
      <c r="DD89" s="7" t="s">
        <v>107</v>
      </c>
      <c r="DE89" s="7" t="s">
        <v>107</v>
      </c>
      <c r="DF89" s="7" t="s">
        <v>107</v>
      </c>
      <c r="DG89" s="3"/>
      <c r="DH89" s="7"/>
      <c r="DI89" s="7" t="s">
        <v>107</v>
      </c>
      <c r="DJ89" s="7" t="s">
        <v>107</v>
      </c>
      <c r="DK89" s="5">
        <f>AM89</f>
        <v>15473.692499999999</v>
      </c>
      <c r="DL89" s="15" t="s">
        <v>2943</v>
      </c>
      <c r="DM89" s="51">
        <f>DL89*0.95</f>
        <v>14700.005499999999</v>
      </c>
    </row>
    <row r="90" spans="1:117" ht="17.25" customHeight="1" x14ac:dyDescent="0.25">
      <c r="A90" s="50" t="s">
        <v>466</v>
      </c>
      <c r="B90" s="15" t="s">
        <v>467</v>
      </c>
      <c r="C90" s="15" t="s">
        <v>468</v>
      </c>
      <c r="D90" s="15" t="s">
        <v>469</v>
      </c>
      <c r="E90" s="15" t="s">
        <v>470</v>
      </c>
      <c r="F90" s="15" t="s">
        <v>471</v>
      </c>
      <c r="G90" s="15" t="s">
        <v>472</v>
      </c>
      <c r="H90" s="15" t="s">
        <v>473</v>
      </c>
      <c r="I90" s="15" t="s">
        <v>474</v>
      </c>
      <c r="J90" s="15" t="s">
        <v>4204</v>
      </c>
      <c r="K90" s="15" t="s">
        <v>151</v>
      </c>
      <c r="L90" s="15" t="s">
        <v>471</v>
      </c>
      <c r="M90" s="15" t="s">
        <v>475</v>
      </c>
      <c r="N90" s="15" t="s">
        <v>476</v>
      </c>
      <c r="O90" s="15" t="s">
        <v>477</v>
      </c>
      <c r="P90" s="15" t="s">
        <v>478</v>
      </c>
      <c r="Q90" s="15" t="s">
        <v>479</v>
      </c>
      <c r="R90" s="15" t="s">
        <v>480</v>
      </c>
      <c r="S90" s="15" t="s">
        <v>471</v>
      </c>
      <c r="T90" s="15" t="s">
        <v>107</v>
      </c>
      <c r="U90" s="15" t="s">
        <v>481</v>
      </c>
      <c r="V90" s="15" t="s">
        <v>109</v>
      </c>
      <c r="W90" s="15" t="s">
        <v>482</v>
      </c>
      <c r="X90" s="16" t="s">
        <v>483</v>
      </c>
      <c r="Y90" s="15" t="s">
        <v>112</v>
      </c>
      <c r="Z90" s="25" t="s">
        <v>4091</v>
      </c>
      <c r="AA90" s="17">
        <v>225</v>
      </c>
      <c r="AB90" s="17">
        <v>1</v>
      </c>
      <c r="AC90" s="17">
        <v>230</v>
      </c>
      <c r="AD90" s="17">
        <v>0</v>
      </c>
      <c r="AE90" s="17">
        <v>0</v>
      </c>
      <c r="AF90" s="15" t="s">
        <v>142</v>
      </c>
      <c r="AG90" s="15" t="s">
        <v>480</v>
      </c>
      <c r="AH90" s="15" t="s">
        <v>479</v>
      </c>
      <c r="AI90" s="18">
        <v>49816</v>
      </c>
      <c r="AJ90" s="15">
        <v>0.32</v>
      </c>
      <c r="AK90" s="15" t="s">
        <v>484</v>
      </c>
      <c r="AL90" s="15" t="s">
        <v>485</v>
      </c>
      <c r="AM90" s="3">
        <f>(AI90*AJ90)/2</f>
        <v>7970.56</v>
      </c>
      <c r="AN90" s="7" t="s">
        <v>107</v>
      </c>
      <c r="AO90" s="7" t="s">
        <v>107</v>
      </c>
      <c r="AP90" s="7" t="s">
        <v>107</v>
      </c>
      <c r="AQ90" s="8" t="s">
        <v>107</v>
      </c>
      <c r="AR90" s="7" t="s">
        <v>107</v>
      </c>
      <c r="AS90" s="7" t="s">
        <v>107</v>
      </c>
      <c r="AT90" s="7" t="s">
        <v>107</v>
      </c>
      <c r="AU90" s="3"/>
      <c r="AV90" s="7" t="s">
        <v>107</v>
      </c>
      <c r="AW90" s="7" t="s">
        <v>107</v>
      </c>
      <c r="AX90" s="7" t="s">
        <v>107</v>
      </c>
      <c r="AY90" s="8" t="s">
        <v>107</v>
      </c>
      <c r="AZ90" s="7" t="s">
        <v>107</v>
      </c>
      <c r="BA90" s="7" t="s">
        <v>107</v>
      </c>
      <c r="BB90" s="7" t="s">
        <v>107</v>
      </c>
      <c r="BC90" s="3"/>
      <c r="BD90" s="7" t="s">
        <v>107</v>
      </c>
      <c r="BE90" s="7" t="s">
        <v>107</v>
      </c>
      <c r="BF90" s="7" t="s">
        <v>107</v>
      </c>
      <c r="BG90" s="7" t="s">
        <v>107</v>
      </c>
      <c r="BH90" s="7" t="s">
        <v>107</v>
      </c>
      <c r="BI90" s="7" t="s">
        <v>107</v>
      </c>
      <c r="BJ90" s="7" t="s">
        <v>107</v>
      </c>
      <c r="BK90" s="3"/>
      <c r="BL90" s="7" t="s">
        <v>107</v>
      </c>
      <c r="BM90" s="7" t="s">
        <v>107</v>
      </c>
      <c r="BN90" s="7" t="s">
        <v>107</v>
      </c>
      <c r="BO90" s="8" t="s">
        <v>107</v>
      </c>
      <c r="BP90" s="7" t="s">
        <v>107</v>
      </c>
      <c r="BQ90" s="7" t="s">
        <v>107</v>
      </c>
      <c r="BR90" s="7" t="s">
        <v>107</v>
      </c>
      <c r="BS90" s="3"/>
      <c r="BT90" s="7" t="s">
        <v>107</v>
      </c>
      <c r="BU90" s="7" t="s">
        <v>107</v>
      </c>
      <c r="BV90" s="7" t="s">
        <v>107</v>
      </c>
      <c r="BW90" s="8" t="s">
        <v>107</v>
      </c>
      <c r="BX90" s="7" t="s">
        <v>107</v>
      </c>
      <c r="BY90" s="7" t="s">
        <v>107</v>
      </c>
      <c r="BZ90" s="7" t="s">
        <v>107</v>
      </c>
      <c r="CA90" s="3"/>
      <c r="CB90" s="7"/>
      <c r="CC90" s="7" t="s">
        <v>107</v>
      </c>
      <c r="CD90" s="7" t="s">
        <v>107</v>
      </c>
      <c r="CE90" s="8" t="s">
        <v>107</v>
      </c>
      <c r="CF90" s="7" t="s">
        <v>107</v>
      </c>
      <c r="CG90" s="7" t="s">
        <v>107</v>
      </c>
      <c r="CH90" s="7" t="s">
        <v>107</v>
      </c>
      <c r="CI90" s="3"/>
      <c r="CJ90" s="7"/>
      <c r="CK90" s="7" t="s">
        <v>107</v>
      </c>
      <c r="CL90" s="7" t="s">
        <v>107</v>
      </c>
      <c r="CM90" s="8" t="s">
        <v>107</v>
      </c>
      <c r="CN90" s="7" t="s">
        <v>107</v>
      </c>
      <c r="CO90" s="7" t="s">
        <v>107</v>
      </c>
      <c r="CP90" s="7" t="s">
        <v>107</v>
      </c>
      <c r="CQ90" s="3"/>
      <c r="CR90" s="7"/>
      <c r="CS90" s="7" t="s">
        <v>107</v>
      </c>
      <c r="CT90" s="7" t="s">
        <v>107</v>
      </c>
      <c r="CU90" s="7" t="s">
        <v>107</v>
      </c>
      <c r="CV90" s="7" t="s">
        <v>107</v>
      </c>
      <c r="CW90" s="7" t="s">
        <v>107</v>
      </c>
      <c r="CX90" s="7" t="s">
        <v>107</v>
      </c>
      <c r="CY90" s="3"/>
      <c r="CZ90" s="7"/>
      <c r="DA90" s="7" t="s">
        <v>107</v>
      </c>
      <c r="DB90" s="7" t="s">
        <v>107</v>
      </c>
      <c r="DC90" s="7" t="s">
        <v>107</v>
      </c>
      <c r="DD90" s="7" t="s">
        <v>107</v>
      </c>
      <c r="DE90" s="7" t="s">
        <v>107</v>
      </c>
      <c r="DF90" s="7" t="s">
        <v>107</v>
      </c>
      <c r="DG90" s="3"/>
      <c r="DH90" s="7"/>
      <c r="DI90" s="7" t="s">
        <v>107</v>
      </c>
      <c r="DJ90" s="7" t="s">
        <v>107</v>
      </c>
      <c r="DK90" s="5">
        <f>AM90</f>
        <v>7970.56</v>
      </c>
      <c r="DL90" s="15" t="s">
        <v>485</v>
      </c>
      <c r="DM90" s="51">
        <f>DL90*0.95</f>
        <v>7572.0320000000002</v>
      </c>
    </row>
    <row r="91" spans="1:117" ht="17.25" customHeight="1" x14ac:dyDescent="0.25">
      <c r="A91" s="50" t="s">
        <v>747</v>
      </c>
      <c r="B91" s="15" t="s">
        <v>748</v>
      </c>
      <c r="C91" s="15" t="s">
        <v>749</v>
      </c>
      <c r="D91" s="15" t="s">
        <v>750</v>
      </c>
      <c r="E91" s="15" t="s">
        <v>751</v>
      </c>
      <c r="F91" s="15" t="s">
        <v>752</v>
      </c>
      <c r="G91" s="15" t="s">
        <v>753</v>
      </c>
      <c r="H91" s="15" t="s">
        <v>754</v>
      </c>
      <c r="I91" s="15" t="s">
        <v>755</v>
      </c>
      <c r="J91" s="15" t="s">
        <v>4217</v>
      </c>
      <c r="K91" s="15" t="s">
        <v>151</v>
      </c>
      <c r="L91" s="15" t="s">
        <v>752</v>
      </c>
      <c r="M91" s="15" t="s">
        <v>756</v>
      </c>
      <c r="N91" s="15" t="s">
        <v>757</v>
      </c>
      <c r="O91" s="15" t="s">
        <v>758</v>
      </c>
      <c r="P91" s="15" t="s">
        <v>759</v>
      </c>
      <c r="Q91" s="15" t="s">
        <v>760</v>
      </c>
      <c r="R91" s="15" t="s">
        <v>761</v>
      </c>
      <c r="S91" s="15" t="s">
        <v>752</v>
      </c>
      <c r="T91" s="15" t="s">
        <v>107</v>
      </c>
      <c r="U91" s="15" t="s">
        <v>762</v>
      </c>
      <c r="V91" s="15" t="s">
        <v>109</v>
      </c>
      <c r="W91" s="15" t="s">
        <v>763</v>
      </c>
      <c r="X91" s="16" t="s">
        <v>764</v>
      </c>
      <c r="Y91" s="15" t="s">
        <v>114</v>
      </c>
      <c r="Z91" s="16" t="s">
        <v>765</v>
      </c>
      <c r="AA91" s="17">
        <v>354</v>
      </c>
      <c r="AB91" s="17">
        <v>1</v>
      </c>
      <c r="AC91" s="17">
        <v>426</v>
      </c>
      <c r="AD91" s="17">
        <v>0</v>
      </c>
      <c r="AE91" s="17">
        <v>0</v>
      </c>
      <c r="AF91" s="15" t="s">
        <v>142</v>
      </c>
      <c r="AG91" s="15" t="s">
        <v>480</v>
      </c>
      <c r="AH91" s="15" t="s">
        <v>760</v>
      </c>
      <c r="AI91" s="18">
        <v>58344</v>
      </c>
      <c r="AJ91" s="15">
        <v>0.3</v>
      </c>
      <c r="AK91" s="15" t="s">
        <v>767</v>
      </c>
      <c r="AL91" s="15" t="s">
        <v>768</v>
      </c>
      <c r="AM91" s="3">
        <f>(AI91*AJ91)/2</f>
        <v>8751.6</v>
      </c>
      <c r="AN91" s="7" t="s">
        <v>107</v>
      </c>
      <c r="AO91" s="7" t="s">
        <v>107</v>
      </c>
      <c r="AP91" s="7" t="s">
        <v>107</v>
      </c>
      <c r="AQ91" s="8" t="s">
        <v>107</v>
      </c>
      <c r="AR91" s="7" t="s">
        <v>107</v>
      </c>
      <c r="AS91" s="7" t="s">
        <v>107</v>
      </c>
      <c r="AT91" s="7" t="s">
        <v>107</v>
      </c>
      <c r="AU91" s="3"/>
      <c r="AV91" s="7" t="s">
        <v>107</v>
      </c>
      <c r="AW91" s="7" t="s">
        <v>107</v>
      </c>
      <c r="AX91" s="7" t="s">
        <v>107</v>
      </c>
      <c r="AY91" s="8" t="s">
        <v>107</v>
      </c>
      <c r="AZ91" s="7" t="s">
        <v>107</v>
      </c>
      <c r="BA91" s="7" t="s">
        <v>107</v>
      </c>
      <c r="BB91" s="7" t="s">
        <v>107</v>
      </c>
      <c r="BC91" s="3"/>
      <c r="BD91" s="7" t="s">
        <v>107</v>
      </c>
      <c r="BE91" s="7" t="s">
        <v>107</v>
      </c>
      <c r="BF91" s="7" t="s">
        <v>107</v>
      </c>
      <c r="BG91" s="7" t="s">
        <v>107</v>
      </c>
      <c r="BH91" s="7" t="s">
        <v>107</v>
      </c>
      <c r="BI91" s="7" t="s">
        <v>107</v>
      </c>
      <c r="BJ91" s="7" t="s">
        <v>107</v>
      </c>
      <c r="BK91" s="3"/>
      <c r="BL91" s="7" t="s">
        <v>107</v>
      </c>
      <c r="BM91" s="7" t="s">
        <v>107</v>
      </c>
      <c r="BN91" s="7" t="s">
        <v>107</v>
      </c>
      <c r="BO91" s="8" t="s">
        <v>107</v>
      </c>
      <c r="BP91" s="7" t="s">
        <v>107</v>
      </c>
      <c r="BQ91" s="7" t="s">
        <v>107</v>
      </c>
      <c r="BR91" s="7" t="s">
        <v>107</v>
      </c>
      <c r="BS91" s="3"/>
      <c r="BT91" s="7" t="s">
        <v>107</v>
      </c>
      <c r="BU91" s="7" t="s">
        <v>107</v>
      </c>
      <c r="BV91" s="7" t="s">
        <v>107</v>
      </c>
      <c r="BW91" s="8" t="s">
        <v>107</v>
      </c>
      <c r="BX91" s="7" t="s">
        <v>107</v>
      </c>
      <c r="BY91" s="7" t="s">
        <v>107</v>
      </c>
      <c r="BZ91" s="7" t="s">
        <v>107</v>
      </c>
      <c r="CA91" s="3"/>
      <c r="CB91" s="7"/>
      <c r="CC91" s="7" t="s">
        <v>107</v>
      </c>
      <c r="CD91" s="7" t="s">
        <v>107</v>
      </c>
      <c r="CE91" s="8" t="s">
        <v>107</v>
      </c>
      <c r="CF91" s="7" t="s">
        <v>107</v>
      </c>
      <c r="CG91" s="7" t="s">
        <v>107</v>
      </c>
      <c r="CH91" s="7" t="s">
        <v>107</v>
      </c>
      <c r="CI91" s="3"/>
      <c r="CJ91" s="7"/>
      <c r="CK91" s="7" t="s">
        <v>107</v>
      </c>
      <c r="CL91" s="7" t="s">
        <v>107</v>
      </c>
      <c r="CM91" s="8" t="s">
        <v>107</v>
      </c>
      <c r="CN91" s="7" t="s">
        <v>107</v>
      </c>
      <c r="CO91" s="7" t="s">
        <v>107</v>
      </c>
      <c r="CP91" s="7" t="s">
        <v>107</v>
      </c>
      <c r="CQ91" s="3"/>
      <c r="CR91" s="7"/>
      <c r="CS91" s="7" t="s">
        <v>107</v>
      </c>
      <c r="CT91" s="7" t="s">
        <v>107</v>
      </c>
      <c r="CU91" s="7" t="s">
        <v>107</v>
      </c>
      <c r="CV91" s="7" t="s">
        <v>107</v>
      </c>
      <c r="CW91" s="7" t="s">
        <v>107</v>
      </c>
      <c r="CX91" s="7" t="s">
        <v>107</v>
      </c>
      <c r="CY91" s="3"/>
      <c r="CZ91" s="7"/>
      <c r="DA91" s="7" t="s">
        <v>107</v>
      </c>
      <c r="DB91" s="7" t="s">
        <v>107</v>
      </c>
      <c r="DC91" s="7" t="s">
        <v>107</v>
      </c>
      <c r="DD91" s="7" t="s">
        <v>107</v>
      </c>
      <c r="DE91" s="7" t="s">
        <v>107</v>
      </c>
      <c r="DF91" s="7" t="s">
        <v>107</v>
      </c>
      <c r="DG91" s="3"/>
      <c r="DH91" s="7"/>
      <c r="DI91" s="7" t="s">
        <v>107</v>
      </c>
      <c r="DJ91" s="7" t="s">
        <v>107</v>
      </c>
      <c r="DK91" s="5">
        <f>AM91</f>
        <v>8751.6</v>
      </c>
      <c r="DL91" s="15" t="s">
        <v>768</v>
      </c>
      <c r="DM91" s="51">
        <f>DL91*0.95</f>
        <v>8314.02</v>
      </c>
    </row>
    <row r="92" spans="1:117" ht="17.25" customHeight="1" x14ac:dyDescent="0.25">
      <c r="A92" s="50" t="s">
        <v>3221</v>
      </c>
      <c r="B92" s="15" t="s">
        <v>3222</v>
      </c>
      <c r="C92" s="15" t="s">
        <v>3223</v>
      </c>
      <c r="D92" s="15" t="s">
        <v>3224</v>
      </c>
      <c r="E92" s="15" t="s">
        <v>909</v>
      </c>
      <c r="F92" s="15" t="s">
        <v>3225</v>
      </c>
      <c r="G92" s="15" t="s">
        <v>3226</v>
      </c>
      <c r="H92" s="15" t="s">
        <v>3227</v>
      </c>
      <c r="I92" s="15" t="s">
        <v>3228</v>
      </c>
      <c r="J92" s="15" t="s">
        <v>4333</v>
      </c>
      <c r="K92" s="15" t="s">
        <v>151</v>
      </c>
      <c r="L92" s="15" t="s">
        <v>3225</v>
      </c>
      <c r="M92" s="15" t="s">
        <v>3229</v>
      </c>
      <c r="N92" s="15" t="s">
        <v>3230</v>
      </c>
      <c r="O92" s="15" t="s">
        <v>3231</v>
      </c>
      <c r="P92" s="15" t="s">
        <v>3232</v>
      </c>
      <c r="Q92" s="15" t="s">
        <v>3233</v>
      </c>
      <c r="R92" s="15" t="s">
        <v>480</v>
      </c>
      <c r="S92" s="15" t="s">
        <v>3225</v>
      </c>
      <c r="T92" s="15" t="s">
        <v>107</v>
      </c>
      <c r="U92" s="15" t="s">
        <v>3234</v>
      </c>
      <c r="V92" s="15" t="s">
        <v>109</v>
      </c>
      <c r="W92" s="15" t="s">
        <v>3235</v>
      </c>
      <c r="X92" s="16" t="s">
        <v>3236</v>
      </c>
      <c r="Y92" s="15" t="s">
        <v>114</v>
      </c>
      <c r="Z92" s="16" t="s">
        <v>3237</v>
      </c>
      <c r="AA92" s="17">
        <v>800</v>
      </c>
      <c r="AB92" s="17">
        <v>1</v>
      </c>
      <c r="AC92" s="17">
        <v>200</v>
      </c>
      <c r="AD92" s="17">
        <v>0</v>
      </c>
      <c r="AE92" s="17">
        <v>0</v>
      </c>
      <c r="AF92" s="15" t="s">
        <v>142</v>
      </c>
      <c r="AG92" s="15" t="s">
        <v>480</v>
      </c>
      <c r="AH92" s="15" t="s">
        <v>3233</v>
      </c>
      <c r="AI92" s="20">
        <v>70505.240000000005</v>
      </c>
      <c r="AJ92" s="15">
        <v>0.75</v>
      </c>
      <c r="AK92" s="15" t="s">
        <v>3238</v>
      </c>
      <c r="AL92" s="15" t="s">
        <v>3239</v>
      </c>
      <c r="AM92" s="3">
        <f>(AI92*AJ92)/2</f>
        <v>26439.465000000004</v>
      </c>
      <c r="AN92" s="7" t="s">
        <v>107</v>
      </c>
      <c r="AO92" s="7" t="s">
        <v>107</v>
      </c>
      <c r="AP92" s="7" t="s">
        <v>107</v>
      </c>
      <c r="AQ92" s="8" t="s">
        <v>107</v>
      </c>
      <c r="AR92" s="7" t="s">
        <v>107</v>
      </c>
      <c r="AS92" s="7" t="s">
        <v>107</v>
      </c>
      <c r="AT92" s="7" t="s">
        <v>107</v>
      </c>
      <c r="AU92" s="3"/>
      <c r="AV92" s="7" t="s">
        <v>107</v>
      </c>
      <c r="AW92" s="7" t="s">
        <v>107</v>
      </c>
      <c r="AX92" s="7" t="s">
        <v>107</v>
      </c>
      <c r="AY92" s="8" t="s">
        <v>107</v>
      </c>
      <c r="AZ92" s="7" t="s">
        <v>107</v>
      </c>
      <c r="BA92" s="7" t="s">
        <v>107</v>
      </c>
      <c r="BB92" s="7" t="s">
        <v>107</v>
      </c>
      <c r="BC92" s="3"/>
      <c r="BD92" s="7" t="s">
        <v>107</v>
      </c>
      <c r="BE92" s="7" t="s">
        <v>107</v>
      </c>
      <c r="BF92" s="7" t="s">
        <v>107</v>
      </c>
      <c r="BG92" s="7" t="s">
        <v>107</v>
      </c>
      <c r="BH92" s="7" t="s">
        <v>107</v>
      </c>
      <c r="BI92" s="7" t="s">
        <v>107</v>
      </c>
      <c r="BJ92" s="7" t="s">
        <v>107</v>
      </c>
      <c r="BK92" s="3"/>
      <c r="BL92" s="7" t="s">
        <v>107</v>
      </c>
      <c r="BM92" s="7" t="s">
        <v>107</v>
      </c>
      <c r="BN92" s="7" t="s">
        <v>107</v>
      </c>
      <c r="BO92" s="8" t="s">
        <v>107</v>
      </c>
      <c r="BP92" s="7" t="s">
        <v>107</v>
      </c>
      <c r="BQ92" s="7" t="s">
        <v>107</v>
      </c>
      <c r="BR92" s="7" t="s">
        <v>107</v>
      </c>
      <c r="BS92" s="3"/>
      <c r="BT92" s="7" t="s">
        <v>107</v>
      </c>
      <c r="BU92" s="7" t="s">
        <v>107</v>
      </c>
      <c r="BV92" s="7" t="s">
        <v>107</v>
      </c>
      <c r="BW92" s="8" t="s">
        <v>107</v>
      </c>
      <c r="BX92" s="7" t="s">
        <v>107</v>
      </c>
      <c r="BY92" s="7" t="s">
        <v>107</v>
      </c>
      <c r="BZ92" s="7" t="s">
        <v>107</v>
      </c>
      <c r="CA92" s="3"/>
      <c r="CB92" s="7"/>
      <c r="CC92" s="7" t="s">
        <v>107</v>
      </c>
      <c r="CD92" s="7" t="s">
        <v>107</v>
      </c>
      <c r="CE92" s="8" t="s">
        <v>107</v>
      </c>
      <c r="CF92" s="7" t="s">
        <v>107</v>
      </c>
      <c r="CG92" s="7" t="s">
        <v>107</v>
      </c>
      <c r="CH92" s="7" t="s">
        <v>107</v>
      </c>
      <c r="CI92" s="3"/>
      <c r="CJ92" s="7"/>
      <c r="CK92" s="7" t="s">
        <v>107</v>
      </c>
      <c r="CL92" s="7" t="s">
        <v>107</v>
      </c>
      <c r="CM92" s="8" t="s">
        <v>107</v>
      </c>
      <c r="CN92" s="7" t="s">
        <v>107</v>
      </c>
      <c r="CO92" s="7" t="s">
        <v>107</v>
      </c>
      <c r="CP92" s="7" t="s">
        <v>107</v>
      </c>
      <c r="CQ92" s="3"/>
      <c r="CR92" s="7"/>
      <c r="CS92" s="7" t="s">
        <v>107</v>
      </c>
      <c r="CT92" s="7" t="s">
        <v>107</v>
      </c>
      <c r="CU92" s="7" t="s">
        <v>107</v>
      </c>
      <c r="CV92" s="7" t="s">
        <v>107</v>
      </c>
      <c r="CW92" s="7" t="s">
        <v>107</v>
      </c>
      <c r="CX92" s="7" t="s">
        <v>107</v>
      </c>
      <c r="CY92" s="3"/>
      <c r="CZ92" s="7"/>
      <c r="DA92" s="7" t="s">
        <v>107</v>
      </c>
      <c r="DB92" s="7" t="s">
        <v>107</v>
      </c>
      <c r="DC92" s="7" t="s">
        <v>107</v>
      </c>
      <c r="DD92" s="7" t="s">
        <v>107</v>
      </c>
      <c r="DE92" s="7" t="s">
        <v>107</v>
      </c>
      <c r="DF92" s="7" t="s">
        <v>107</v>
      </c>
      <c r="DG92" s="3"/>
      <c r="DH92" s="7"/>
      <c r="DI92" s="7" t="s">
        <v>107</v>
      </c>
      <c r="DJ92" s="7" t="s">
        <v>107</v>
      </c>
      <c r="DK92" s="5">
        <f>AM92</f>
        <v>26439.465000000004</v>
      </c>
      <c r="DL92" s="15" t="s">
        <v>3239</v>
      </c>
      <c r="DM92" s="51">
        <f>DL92*0.95</f>
        <v>25117.496500000001</v>
      </c>
    </row>
    <row r="93" spans="1:117" ht="17.25" customHeight="1" x14ac:dyDescent="0.25">
      <c r="A93" s="50" t="s">
        <v>665</v>
      </c>
      <c r="B93" s="15" t="s">
        <v>666</v>
      </c>
      <c r="C93" s="15" t="s">
        <v>667</v>
      </c>
      <c r="D93" s="15" t="s">
        <v>668</v>
      </c>
      <c r="E93" s="15" t="s">
        <v>168</v>
      </c>
      <c r="F93" s="15" t="s">
        <v>669</v>
      </c>
      <c r="G93" s="15" t="s">
        <v>670</v>
      </c>
      <c r="H93" s="15" t="s">
        <v>671</v>
      </c>
      <c r="I93" s="15" t="s">
        <v>672</v>
      </c>
      <c r="J93" s="15" t="s">
        <v>4213</v>
      </c>
      <c r="K93" s="15" t="s">
        <v>151</v>
      </c>
      <c r="L93" s="15" t="s">
        <v>673</v>
      </c>
      <c r="M93" s="15" t="s">
        <v>674</v>
      </c>
      <c r="N93" s="15" t="s">
        <v>675</v>
      </c>
      <c r="O93" s="15" t="s">
        <v>676</v>
      </c>
      <c r="P93" s="15" t="s">
        <v>677</v>
      </c>
      <c r="Q93" s="15" t="s">
        <v>678</v>
      </c>
      <c r="R93" s="15" t="s">
        <v>157</v>
      </c>
      <c r="S93" s="15" t="s">
        <v>669</v>
      </c>
      <c r="T93" s="15" t="s">
        <v>107</v>
      </c>
      <c r="U93" s="15" t="s">
        <v>679</v>
      </c>
      <c r="V93" s="15" t="s">
        <v>109</v>
      </c>
      <c r="W93" s="15" t="s">
        <v>680</v>
      </c>
      <c r="X93" s="16" t="s">
        <v>681</v>
      </c>
      <c r="Y93" s="15" t="s">
        <v>114</v>
      </c>
      <c r="Z93" s="16" t="s">
        <v>682</v>
      </c>
      <c r="AA93" s="17">
        <v>300</v>
      </c>
      <c r="AB93" s="17">
        <v>1</v>
      </c>
      <c r="AC93" s="17">
        <v>250</v>
      </c>
      <c r="AD93" s="17">
        <v>1</v>
      </c>
      <c r="AE93" s="17">
        <v>800</v>
      </c>
      <c r="AF93" s="15" t="s">
        <v>142</v>
      </c>
      <c r="AG93" s="15" t="s">
        <v>157</v>
      </c>
      <c r="AH93" s="15" t="s">
        <v>678</v>
      </c>
      <c r="AI93" s="18">
        <v>58740</v>
      </c>
      <c r="AJ93" s="15">
        <v>0.6</v>
      </c>
      <c r="AK93" s="15" t="s">
        <v>684</v>
      </c>
      <c r="AL93" s="15" t="s">
        <v>685</v>
      </c>
      <c r="AM93" s="3">
        <f>(AI93*AJ93)/2</f>
        <v>17622</v>
      </c>
      <c r="AN93" s="7" t="s">
        <v>107</v>
      </c>
      <c r="AO93" s="7" t="s">
        <v>107</v>
      </c>
      <c r="AP93" s="7" t="s">
        <v>107</v>
      </c>
      <c r="AQ93" s="8" t="s">
        <v>107</v>
      </c>
      <c r="AR93" s="7" t="s">
        <v>107</v>
      </c>
      <c r="AS93" s="7" t="s">
        <v>107</v>
      </c>
      <c r="AT93" s="7" t="s">
        <v>107</v>
      </c>
      <c r="AU93" s="3"/>
      <c r="AV93" s="7" t="s">
        <v>107</v>
      </c>
      <c r="AW93" s="7" t="s">
        <v>107</v>
      </c>
      <c r="AX93" s="7" t="s">
        <v>107</v>
      </c>
      <c r="AY93" s="8" t="s">
        <v>107</v>
      </c>
      <c r="AZ93" s="7" t="s">
        <v>107</v>
      </c>
      <c r="BA93" s="7" t="s">
        <v>107</v>
      </c>
      <c r="BB93" s="7" t="s">
        <v>107</v>
      </c>
      <c r="BC93" s="3"/>
      <c r="BD93" s="7" t="s">
        <v>107</v>
      </c>
      <c r="BE93" s="7" t="s">
        <v>107</v>
      </c>
      <c r="BF93" s="7" t="s">
        <v>107</v>
      </c>
      <c r="BG93" s="7" t="s">
        <v>107</v>
      </c>
      <c r="BH93" s="7" t="s">
        <v>107</v>
      </c>
      <c r="BI93" s="7" t="s">
        <v>107</v>
      </c>
      <c r="BJ93" s="7" t="s">
        <v>107</v>
      </c>
      <c r="BK93" s="3"/>
      <c r="BL93" s="7" t="s">
        <v>107</v>
      </c>
      <c r="BM93" s="7" t="s">
        <v>107</v>
      </c>
      <c r="BN93" s="7" t="s">
        <v>107</v>
      </c>
      <c r="BO93" s="8" t="s">
        <v>107</v>
      </c>
      <c r="BP93" s="7" t="s">
        <v>107</v>
      </c>
      <c r="BQ93" s="7" t="s">
        <v>107</v>
      </c>
      <c r="BR93" s="7" t="s">
        <v>107</v>
      </c>
      <c r="BS93" s="3"/>
      <c r="BT93" s="7" t="s">
        <v>107</v>
      </c>
      <c r="BU93" s="7" t="s">
        <v>107</v>
      </c>
      <c r="BV93" s="7" t="s">
        <v>107</v>
      </c>
      <c r="BW93" s="8" t="s">
        <v>107</v>
      </c>
      <c r="BX93" s="7" t="s">
        <v>107</v>
      </c>
      <c r="BY93" s="7" t="s">
        <v>107</v>
      </c>
      <c r="BZ93" s="7" t="s">
        <v>107</v>
      </c>
      <c r="CA93" s="3"/>
      <c r="CB93" s="7"/>
      <c r="CC93" s="7" t="s">
        <v>107</v>
      </c>
      <c r="CD93" s="7" t="s">
        <v>107</v>
      </c>
      <c r="CE93" s="8" t="s">
        <v>107</v>
      </c>
      <c r="CF93" s="7" t="s">
        <v>107</v>
      </c>
      <c r="CG93" s="7" t="s">
        <v>107</v>
      </c>
      <c r="CH93" s="7" t="s">
        <v>107</v>
      </c>
      <c r="CI93" s="3"/>
      <c r="CJ93" s="7"/>
      <c r="CK93" s="7" t="s">
        <v>107</v>
      </c>
      <c r="CL93" s="7" t="s">
        <v>107</v>
      </c>
      <c r="CM93" s="8" t="s">
        <v>107</v>
      </c>
      <c r="CN93" s="7" t="s">
        <v>107</v>
      </c>
      <c r="CO93" s="7" t="s">
        <v>107</v>
      </c>
      <c r="CP93" s="7" t="s">
        <v>107</v>
      </c>
      <c r="CQ93" s="3"/>
      <c r="CR93" s="7"/>
      <c r="CS93" s="7" t="s">
        <v>107</v>
      </c>
      <c r="CT93" s="7" t="s">
        <v>107</v>
      </c>
      <c r="CU93" s="7" t="s">
        <v>107</v>
      </c>
      <c r="CV93" s="7" t="s">
        <v>107</v>
      </c>
      <c r="CW93" s="7" t="s">
        <v>107</v>
      </c>
      <c r="CX93" s="7" t="s">
        <v>107</v>
      </c>
      <c r="CY93" s="3"/>
      <c r="CZ93" s="7"/>
      <c r="DA93" s="7" t="s">
        <v>107</v>
      </c>
      <c r="DB93" s="7" t="s">
        <v>107</v>
      </c>
      <c r="DC93" s="7" t="s">
        <v>107</v>
      </c>
      <c r="DD93" s="7" t="s">
        <v>107</v>
      </c>
      <c r="DE93" s="7" t="s">
        <v>107</v>
      </c>
      <c r="DF93" s="7" t="s">
        <v>107</v>
      </c>
      <c r="DG93" s="3"/>
      <c r="DH93" s="7"/>
      <c r="DI93" s="7" t="s">
        <v>107</v>
      </c>
      <c r="DJ93" s="7" t="s">
        <v>107</v>
      </c>
      <c r="DK93" s="5">
        <f>AM93</f>
        <v>17622</v>
      </c>
      <c r="DL93" s="15" t="s">
        <v>686</v>
      </c>
      <c r="DM93" s="51">
        <f>DL93*0.95</f>
        <v>16740.899999999998</v>
      </c>
    </row>
    <row r="94" spans="1:117" ht="17.25" customHeight="1" x14ac:dyDescent="0.25">
      <c r="A94" s="52" t="s">
        <v>4117</v>
      </c>
      <c r="B94" s="33" t="s">
        <v>4118</v>
      </c>
      <c r="C94" s="33" t="s">
        <v>4119</v>
      </c>
      <c r="D94" s="33" t="s">
        <v>2472</v>
      </c>
      <c r="E94" s="33" t="s">
        <v>351</v>
      </c>
      <c r="F94" s="33" t="s">
        <v>4120</v>
      </c>
      <c r="G94" s="33" t="s">
        <v>4121</v>
      </c>
      <c r="H94" s="33" t="s">
        <v>4122</v>
      </c>
      <c r="I94" s="33" t="s">
        <v>4123</v>
      </c>
      <c r="J94" s="33" t="s">
        <v>4378</v>
      </c>
      <c r="K94" s="33" t="s">
        <v>151</v>
      </c>
      <c r="L94" s="33" t="s">
        <v>4124</v>
      </c>
      <c r="M94" s="33" t="s">
        <v>4125</v>
      </c>
      <c r="N94" s="33" t="s">
        <v>4126</v>
      </c>
      <c r="O94" s="33" t="s">
        <v>4127</v>
      </c>
      <c r="P94" s="33" t="s">
        <v>4128</v>
      </c>
      <c r="Q94" s="33" t="s">
        <v>4129</v>
      </c>
      <c r="R94" s="33" t="s">
        <v>282</v>
      </c>
      <c r="S94" s="33" t="s">
        <v>4120</v>
      </c>
      <c r="T94" s="33" t="s">
        <v>107</v>
      </c>
      <c r="U94" s="33" t="s">
        <v>4130</v>
      </c>
      <c r="V94" s="33" t="s">
        <v>109</v>
      </c>
      <c r="W94" s="33" t="s">
        <v>4131</v>
      </c>
      <c r="X94" s="26" t="s">
        <v>4132</v>
      </c>
      <c r="Y94" s="33" t="s">
        <v>114</v>
      </c>
      <c r="Z94" s="26" t="s">
        <v>4133</v>
      </c>
      <c r="AA94" s="33">
        <v>550</v>
      </c>
      <c r="AB94" s="33">
        <v>1</v>
      </c>
      <c r="AC94" s="33">
        <v>900</v>
      </c>
      <c r="AD94" s="33">
        <v>0</v>
      </c>
      <c r="AE94" s="35">
        <v>0</v>
      </c>
      <c r="AF94" s="33" t="s">
        <v>142</v>
      </c>
      <c r="AG94" s="33" t="s">
        <v>132</v>
      </c>
      <c r="AH94" s="33" t="s">
        <v>4134</v>
      </c>
      <c r="AI94" s="33">
        <v>51500.800000000003</v>
      </c>
      <c r="AJ94" s="33">
        <v>1</v>
      </c>
      <c r="AK94" s="33">
        <v>31064.2</v>
      </c>
      <c r="AL94" s="33">
        <v>16032.1</v>
      </c>
      <c r="AM94" s="28">
        <f>(AI94*AJ94)/2</f>
        <v>25750.400000000001</v>
      </c>
      <c r="AN94" s="34" t="s">
        <v>196</v>
      </c>
      <c r="AO94" s="34" t="s">
        <v>4136</v>
      </c>
      <c r="AP94" s="34" t="s">
        <v>4137</v>
      </c>
      <c r="AQ94" s="34" t="s">
        <v>4138</v>
      </c>
      <c r="AR94" s="34" t="s">
        <v>4135</v>
      </c>
      <c r="AS94" s="34" t="s">
        <v>4139</v>
      </c>
      <c r="AT94" s="34" t="s">
        <v>4140</v>
      </c>
      <c r="AU94" s="15"/>
      <c r="AV94" s="7"/>
      <c r="AW94" s="28" t="s">
        <v>196</v>
      </c>
      <c r="AX94" s="34" t="s">
        <v>3201</v>
      </c>
      <c r="AY94" s="34" t="s">
        <v>4141</v>
      </c>
      <c r="AZ94" s="34" t="s">
        <v>4142</v>
      </c>
      <c r="BA94" s="34" t="s">
        <v>4143</v>
      </c>
      <c r="BB94" s="34" t="s">
        <v>4144</v>
      </c>
      <c r="BC94" s="34" t="s">
        <v>4145</v>
      </c>
      <c r="BD94" s="33" t="s">
        <v>107</v>
      </c>
      <c r="BE94" s="33" t="s">
        <v>107</v>
      </c>
      <c r="BF94" s="33" t="s">
        <v>107</v>
      </c>
      <c r="BG94" s="33" t="s">
        <v>107</v>
      </c>
      <c r="BH94" s="33" t="s">
        <v>107</v>
      </c>
      <c r="BI94" s="33" t="s">
        <v>107</v>
      </c>
      <c r="BJ94" s="33" t="s">
        <v>107</v>
      </c>
      <c r="BK94" s="33" t="s">
        <v>107</v>
      </c>
      <c r="BL94" s="33" t="s">
        <v>107</v>
      </c>
      <c r="BM94" s="33" t="s">
        <v>107</v>
      </c>
      <c r="BN94" s="33" t="s">
        <v>107</v>
      </c>
      <c r="BO94" s="33" t="s">
        <v>107</v>
      </c>
      <c r="BP94" s="33" t="s">
        <v>107</v>
      </c>
      <c r="BQ94" s="33" t="s">
        <v>107</v>
      </c>
      <c r="BR94" s="33" t="s">
        <v>107</v>
      </c>
      <c r="BS94" s="33" t="s">
        <v>107</v>
      </c>
      <c r="BT94" s="33" t="s">
        <v>107</v>
      </c>
      <c r="BU94" s="33" t="s">
        <v>107</v>
      </c>
      <c r="BV94" s="33" t="s">
        <v>107</v>
      </c>
      <c r="BW94" s="33" t="s">
        <v>107</v>
      </c>
      <c r="BX94" s="33" t="s">
        <v>107</v>
      </c>
      <c r="BY94" s="33" t="s">
        <v>107</v>
      </c>
      <c r="BZ94" s="33" t="s">
        <v>107</v>
      </c>
      <c r="CA94" s="33" t="s">
        <v>107</v>
      </c>
      <c r="CB94" s="33" t="s">
        <v>107</v>
      </c>
      <c r="CC94" s="33" t="s">
        <v>107</v>
      </c>
      <c r="CD94" s="33" t="s">
        <v>107</v>
      </c>
      <c r="CE94" s="33" t="s">
        <v>107</v>
      </c>
      <c r="CF94" s="33" t="s">
        <v>107</v>
      </c>
      <c r="CG94" s="33" t="s">
        <v>107</v>
      </c>
      <c r="CH94" s="33" t="s">
        <v>107</v>
      </c>
      <c r="CI94" s="33" t="s">
        <v>107</v>
      </c>
      <c r="CJ94" s="33" t="s">
        <v>107</v>
      </c>
      <c r="CK94" s="33" t="s">
        <v>107</v>
      </c>
      <c r="CL94" s="33" t="s">
        <v>107</v>
      </c>
      <c r="CM94" s="33" t="s">
        <v>107</v>
      </c>
      <c r="CN94" s="33" t="s">
        <v>107</v>
      </c>
      <c r="CO94" s="33" t="s">
        <v>107</v>
      </c>
      <c r="CP94" s="33" t="s">
        <v>107</v>
      </c>
      <c r="CQ94" s="33" t="s">
        <v>107</v>
      </c>
      <c r="CR94" s="33" t="s">
        <v>107</v>
      </c>
      <c r="CS94" s="33" t="s">
        <v>107</v>
      </c>
      <c r="CT94" s="33" t="s">
        <v>107</v>
      </c>
      <c r="CU94" s="33" t="s">
        <v>107</v>
      </c>
      <c r="CV94" s="33" t="s">
        <v>107</v>
      </c>
      <c r="CW94" s="33" t="s">
        <v>107</v>
      </c>
      <c r="CX94" s="33" t="s">
        <v>107</v>
      </c>
      <c r="CY94" s="33" t="s">
        <v>107</v>
      </c>
      <c r="CZ94" s="33" t="s">
        <v>107</v>
      </c>
      <c r="DA94" s="33" t="s">
        <v>107</v>
      </c>
      <c r="DB94" s="33" t="s">
        <v>107</v>
      </c>
      <c r="DC94" s="33" t="s">
        <v>107</v>
      </c>
      <c r="DD94" s="33" t="s">
        <v>107</v>
      </c>
      <c r="DE94" s="33" t="s">
        <v>107</v>
      </c>
      <c r="DF94" s="33" t="s">
        <v>107</v>
      </c>
      <c r="DG94" s="33" t="s">
        <v>107</v>
      </c>
      <c r="DH94" s="33" t="s">
        <v>107</v>
      </c>
      <c r="DI94" s="33" t="s">
        <v>107</v>
      </c>
      <c r="DJ94" s="33" t="s">
        <v>107</v>
      </c>
      <c r="DK94" s="34">
        <f>AM94</f>
        <v>25750.400000000001</v>
      </c>
      <c r="DL94" s="33" t="s">
        <v>107</v>
      </c>
      <c r="DM94" s="51" t="e">
        <f>DL94*0.95</f>
        <v>#VALUE!</v>
      </c>
    </row>
    <row r="95" spans="1:117" ht="17.25" customHeight="1" x14ac:dyDescent="0.25">
      <c r="A95" s="50" t="s">
        <v>3875</v>
      </c>
      <c r="B95" s="15" t="s">
        <v>3940</v>
      </c>
      <c r="C95" s="15" t="s">
        <v>3972</v>
      </c>
      <c r="D95" s="15" t="s">
        <v>2288</v>
      </c>
      <c r="E95" s="15" t="s">
        <v>351</v>
      </c>
      <c r="F95" s="15" t="s">
        <v>2289</v>
      </c>
      <c r="G95" s="15" t="s">
        <v>2290</v>
      </c>
      <c r="H95" s="15" t="s">
        <v>2291</v>
      </c>
      <c r="I95" s="15" t="s">
        <v>4000</v>
      </c>
      <c r="J95" s="15" t="s">
        <v>4287</v>
      </c>
      <c r="K95" s="15" t="s">
        <v>151</v>
      </c>
      <c r="L95" s="15" t="s">
        <v>2289</v>
      </c>
      <c r="M95" s="15" t="s">
        <v>2292</v>
      </c>
      <c r="N95" s="15" t="s">
        <v>4031</v>
      </c>
      <c r="O95" s="15" t="s">
        <v>2293</v>
      </c>
      <c r="P95" s="15" t="s">
        <v>2294</v>
      </c>
      <c r="Q95" s="15" t="s">
        <v>4046</v>
      </c>
      <c r="R95" s="15" t="s">
        <v>151</v>
      </c>
      <c r="S95" s="15" t="s">
        <v>2289</v>
      </c>
      <c r="T95" s="15" t="s">
        <v>107</v>
      </c>
      <c r="U95" s="15" t="s">
        <v>2292</v>
      </c>
      <c r="V95" s="15" t="s">
        <v>109</v>
      </c>
      <c r="W95" s="15" t="s">
        <v>2295</v>
      </c>
      <c r="X95" s="16" t="s">
        <v>2296</v>
      </c>
      <c r="Y95" s="15" t="s">
        <v>114</v>
      </c>
      <c r="Z95" s="26" t="s">
        <v>4086</v>
      </c>
      <c r="AA95" s="17">
        <v>70</v>
      </c>
      <c r="AB95" s="17">
        <v>0</v>
      </c>
      <c r="AC95" s="17">
        <v>0</v>
      </c>
      <c r="AD95" s="17">
        <v>1</v>
      </c>
      <c r="AE95" s="17">
        <v>450</v>
      </c>
      <c r="AF95" s="15" t="s">
        <v>118</v>
      </c>
      <c r="AG95" s="15" t="s">
        <v>157</v>
      </c>
      <c r="AH95" s="15" t="s">
        <v>2297</v>
      </c>
      <c r="AI95" s="18">
        <v>73577.09</v>
      </c>
      <c r="AJ95" s="15">
        <v>0.15</v>
      </c>
      <c r="AK95" s="15" t="s">
        <v>2298</v>
      </c>
      <c r="AL95" s="15" t="s">
        <v>2299</v>
      </c>
      <c r="AM95" s="3">
        <f>(AI95*AJ95)/2</f>
        <v>5518.2817499999992</v>
      </c>
      <c r="AN95" s="7" t="s">
        <v>107</v>
      </c>
      <c r="AO95" s="7" t="s">
        <v>107</v>
      </c>
      <c r="AP95" s="7" t="s">
        <v>107</v>
      </c>
      <c r="AQ95" s="8" t="s">
        <v>107</v>
      </c>
      <c r="AR95" s="7" t="s">
        <v>107</v>
      </c>
      <c r="AS95" s="7" t="s">
        <v>107</v>
      </c>
      <c r="AT95" s="7" t="s">
        <v>107</v>
      </c>
      <c r="AU95" s="3"/>
      <c r="AV95" s="7" t="s">
        <v>107</v>
      </c>
      <c r="AW95" s="7" t="s">
        <v>107</v>
      </c>
      <c r="AX95" s="7" t="s">
        <v>107</v>
      </c>
      <c r="AY95" s="8" t="s">
        <v>107</v>
      </c>
      <c r="AZ95" s="7" t="s">
        <v>107</v>
      </c>
      <c r="BA95" s="7" t="s">
        <v>107</v>
      </c>
      <c r="BB95" s="7" t="s">
        <v>107</v>
      </c>
      <c r="BC95" s="3"/>
      <c r="BD95" s="7" t="s">
        <v>107</v>
      </c>
      <c r="BE95" s="7" t="s">
        <v>107</v>
      </c>
      <c r="BF95" s="7" t="s">
        <v>107</v>
      </c>
      <c r="BG95" s="7" t="s">
        <v>107</v>
      </c>
      <c r="BH95" s="7" t="s">
        <v>107</v>
      </c>
      <c r="BI95" s="7" t="s">
        <v>107</v>
      </c>
      <c r="BJ95" s="7" t="s">
        <v>107</v>
      </c>
      <c r="BK95" s="3"/>
      <c r="BL95" s="7" t="s">
        <v>107</v>
      </c>
      <c r="BM95" s="7" t="s">
        <v>107</v>
      </c>
      <c r="BN95" s="7" t="s">
        <v>107</v>
      </c>
      <c r="BO95" s="8" t="s">
        <v>107</v>
      </c>
      <c r="BP95" s="7" t="s">
        <v>107</v>
      </c>
      <c r="BQ95" s="7" t="s">
        <v>107</v>
      </c>
      <c r="BR95" s="7" t="s">
        <v>107</v>
      </c>
      <c r="BS95" s="3"/>
      <c r="BT95" s="7" t="s">
        <v>107</v>
      </c>
      <c r="BU95" s="7" t="s">
        <v>107</v>
      </c>
      <c r="BV95" s="7" t="s">
        <v>107</v>
      </c>
      <c r="BW95" s="8" t="s">
        <v>107</v>
      </c>
      <c r="BX95" s="7" t="s">
        <v>107</v>
      </c>
      <c r="BY95" s="7" t="s">
        <v>107</v>
      </c>
      <c r="BZ95" s="7" t="s">
        <v>107</v>
      </c>
      <c r="CA95" s="3"/>
      <c r="CB95" s="7"/>
      <c r="CC95" s="7" t="s">
        <v>107</v>
      </c>
      <c r="CD95" s="7" t="s">
        <v>107</v>
      </c>
      <c r="CE95" s="8" t="s">
        <v>107</v>
      </c>
      <c r="CF95" s="7" t="s">
        <v>107</v>
      </c>
      <c r="CG95" s="7" t="s">
        <v>107</v>
      </c>
      <c r="CH95" s="7" t="s">
        <v>107</v>
      </c>
      <c r="CI95" s="3"/>
      <c r="CJ95" s="7"/>
      <c r="CK95" s="7" t="s">
        <v>107</v>
      </c>
      <c r="CL95" s="7" t="s">
        <v>107</v>
      </c>
      <c r="CM95" s="8" t="s">
        <v>107</v>
      </c>
      <c r="CN95" s="7" t="s">
        <v>107</v>
      </c>
      <c r="CO95" s="7" t="s">
        <v>107</v>
      </c>
      <c r="CP95" s="7" t="s">
        <v>107</v>
      </c>
      <c r="CQ95" s="3"/>
      <c r="CR95" s="7"/>
      <c r="CS95" s="7" t="s">
        <v>107</v>
      </c>
      <c r="CT95" s="7" t="s">
        <v>107</v>
      </c>
      <c r="CU95" s="7" t="s">
        <v>107</v>
      </c>
      <c r="CV95" s="7" t="s">
        <v>107</v>
      </c>
      <c r="CW95" s="7" t="s">
        <v>107</v>
      </c>
      <c r="CX95" s="7" t="s">
        <v>107</v>
      </c>
      <c r="CY95" s="3"/>
      <c r="CZ95" s="7"/>
      <c r="DA95" s="7" t="s">
        <v>107</v>
      </c>
      <c r="DB95" s="7" t="s">
        <v>107</v>
      </c>
      <c r="DC95" s="7" t="s">
        <v>107</v>
      </c>
      <c r="DD95" s="7" t="s">
        <v>107</v>
      </c>
      <c r="DE95" s="7" t="s">
        <v>107</v>
      </c>
      <c r="DF95" s="7" t="s">
        <v>107</v>
      </c>
      <c r="DG95" s="3"/>
      <c r="DH95" s="7"/>
      <c r="DI95" s="7" t="s">
        <v>107</v>
      </c>
      <c r="DJ95" s="7" t="s">
        <v>107</v>
      </c>
      <c r="DK95" s="5">
        <f>AM95</f>
        <v>5518.2817499999992</v>
      </c>
      <c r="DL95" s="15" t="s">
        <v>2299</v>
      </c>
      <c r="DM95" s="51">
        <f>DL95*0.95</f>
        <v>5242.3659999999991</v>
      </c>
    </row>
    <row r="96" spans="1:117" ht="17.25" customHeight="1" x14ac:dyDescent="0.25">
      <c r="A96" s="50" t="s">
        <v>268</v>
      </c>
      <c r="B96" s="15" t="s">
        <v>269</v>
      </c>
      <c r="C96" s="15" t="s">
        <v>270</v>
      </c>
      <c r="D96" s="15" t="s">
        <v>271</v>
      </c>
      <c r="E96" s="15" t="s">
        <v>272</v>
      </c>
      <c r="F96" s="15" t="s">
        <v>273</v>
      </c>
      <c r="G96" s="15" t="s">
        <v>274</v>
      </c>
      <c r="H96" s="15" t="s">
        <v>275</v>
      </c>
      <c r="I96" s="15" t="s">
        <v>276</v>
      </c>
      <c r="J96" s="15" t="s">
        <v>4369</v>
      </c>
      <c r="K96" s="15" t="s">
        <v>101</v>
      </c>
      <c r="L96" s="15" t="s">
        <v>273</v>
      </c>
      <c r="M96" s="15" t="s">
        <v>277</v>
      </c>
      <c r="N96" s="15" t="s">
        <v>278</v>
      </c>
      <c r="O96" s="15" t="s">
        <v>279</v>
      </c>
      <c r="P96" s="15" t="s">
        <v>280</v>
      </c>
      <c r="Q96" s="15" t="s">
        <v>281</v>
      </c>
      <c r="R96" s="15" t="s">
        <v>282</v>
      </c>
      <c r="S96" s="15" t="s">
        <v>283</v>
      </c>
      <c r="T96" s="15" t="s">
        <v>107</v>
      </c>
      <c r="U96" s="15" t="s">
        <v>284</v>
      </c>
      <c r="V96" s="15" t="s">
        <v>109</v>
      </c>
      <c r="W96" s="15" t="s">
        <v>285</v>
      </c>
      <c r="X96" s="16" t="s">
        <v>286</v>
      </c>
      <c r="Y96" s="15" t="s">
        <v>137</v>
      </c>
      <c r="Z96" s="16" t="s">
        <v>287</v>
      </c>
      <c r="AA96" s="17">
        <v>3737</v>
      </c>
      <c r="AB96" s="17">
        <v>3</v>
      </c>
      <c r="AC96" s="17">
        <v>1619</v>
      </c>
      <c r="AD96" s="17">
        <v>3</v>
      </c>
      <c r="AE96" s="17">
        <v>2730</v>
      </c>
      <c r="AF96" s="15" t="s">
        <v>118</v>
      </c>
      <c r="AG96" s="15" t="s">
        <v>115</v>
      </c>
      <c r="AH96" s="15" t="s">
        <v>288</v>
      </c>
      <c r="AI96" s="20">
        <v>55636</v>
      </c>
      <c r="AJ96" s="15">
        <v>0.81</v>
      </c>
      <c r="AK96" s="15" t="s">
        <v>289</v>
      </c>
      <c r="AL96" s="15" t="s">
        <v>290</v>
      </c>
      <c r="AM96" s="3">
        <f>(AI96*AJ96)/2</f>
        <v>22532.58</v>
      </c>
      <c r="AN96" s="7" t="s">
        <v>118</v>
      </c>
      <c r="AO96" s="7" t="s">
        <v>115</v>
      </c>
      <c r="AP96" s="7" t="s">
        <v>291</v>
      </c>
      <c r="AQ96" s="8">
        <v>47066</v>
      </c>
      <c r="AR96" s="7">
        <v>0.81</v>
      </c>
      <c r="AS96" s="7" t="s">
        <v>292</v>
      </c>
      <c r="AT96" s="7" t="s">
        <v>293</v>
      </c>
      <c r="AU96" s="3">
        <f>(AQ96*AR96)/2</f>
        <v>19061.73</v>
      </c>
      <c r="AV96" s="7" t="s">
        <v>118</v>
      </c>
      <c r="AW96" s="7" t="s">
        <v>115</v>
      </c>
      <c r="AX96" s="7" t="s">
        <v>294</v>
      </c>
      <c r="AY96" s="8">
        <v>55636</v>
      </c>
      <c r="AZ96" s="7">
        <v>0.81</v>
      </c>
      <c r="BA96" s="7" t="s">
        <v>289</v>
      </c>
      <c r="BB96" s="7" t="s">
        <v>290</v>
      </c>
      <c r="BC96" s="3">
        <f>(AY96*AZ96)/2</f>
        <v>22532.58</v>
      </c>
      <c r="BD96" s="7" t="s">
        <v>107</v>
      </c>
      <c r="BE96" s="7" t="s">
        <v>107</v>
      </c>
      <c r="BF96" s="7" t="s">
        <v>107</v>
      </c>
      <c r="BG96" s="7" t="s">
        <v>107</v>
      </c>
      <c r="BH96" s="7" t="s">
        <v>107</v>
      </c>
      <c r="BI96" s="7" t="s">
        <v>107</v>
      </c>
      <c r="BJ96" s="7" t="s">
        <v>107</v>
      </c>
      <c r="BK96" s="3"/>
      <c r="BL96" s="7" t="s">
        <v>107</v>
      </c>
      <c r="BM96" s="7" t="s">
        <v>107</v>
      </c>
      <c r="BN96" s="7" t="s">
        <v>107</v>
      </c>
      <c r="BO96" s="8" t="s">
        <v>107</v>
      </c>
      <c r="BP96" s="7" t="s">
        <v>107</v>
      </c>
      <c r="BQ96" s="7" t="s">
        <v>107</v>
      </c>
      <c r="BR96" s="7" t="s">
        <v>107</v>
      </c>
      <c r="BS96" s="3"/>
      <c r="BT96" s="7" t="s">
        <v>107</v>
      </c>
      <c r="BU96" s="7" t="s">
        <v>107</v>
      </c>
      <c r="BV96" s="7" t="s">
        <v>107</v>
      </c>
      <c r="BW96" s="8" t="s">
        <v>107</v>
      </c>
      <c r="BX96" s="7" t="s">
        <v>107</v>
      </c>
      <c r="BY96" s="7" t="s">
        <v>107</v>
      </c>
      <c r="BZ96" s="7" t="s">
        <v>107</v>
      </c>
      <c r="CA96" s="3"/>
      <c r="CB96" s="7"/>
      <c r="CC96" s="7" t="s">
        <v>107</v>
      </c>
      <c r="CD96" s="7" t="s">
        <v>107</v>
      </c>
      <c r="CE96" s="8" t="s">
        <v>107</v>
      </c>
      <c r="CF96" s="7" t="s">
        <v>107</v>
      </c>
      <c r="CG96" s="7" t="s">
        <v>107</v>
      </c>
      <c r="CH96" s="7" t="s">
        <v>107</v>
      </c>
      <c r="CI96" s="3"/>
      <c r="CJ96" s="7"/>
      <c r="CK96" s="7" t="s">
        <v>107</v>
      </c>
      <c r="CL96" s="7" t="s">
        <v>107</v>
      </c>
      <c r="CM96" s="8" t="s">
        <v>107</v>
      </c>
      <c r="CN96" s="7" t="s">
        <v>107</v>
      </c>
      <c r="CO96" s="7" t="s">
        <v>107</v>
      </c>
      <c r="CP96" s="7" t="s">
        <v>107</v>
      </c>
      <c r="CQ96" s="3"/>
      <c r="CR96" s="7"/>
      <c r="CS96" s="7" t="s">
        <v>107</v>
      </c>
      <c r="CT96" s="7" t="s">
        <v>107</v>
      </c>
      <c r="CU96" s="7" t="s">
        <v>107</v>
      </c>
      <c r="CV96" s="7" t="s">
        <v>107</v>
      </c>
      <c r="CW96" s="7" t="s">
        <v>107</v>
      </c>
      <c r="CX96" s="7" t="s">
        <v>107</v>
      </c>
      <c r="CY96" s="3"/>
      <c r="CZ96" s="7"/>
      <c r="DA96" s="7" t="s">
        <v>107</v>
      </c>
      <c r="DB96" s="7" t="s">
        <v>107</v>
      </c>
      <c r="DC96" s="7" t="s">
        <v>107</v>
      </c>
      <c r="DD96" s="7" t="s">
        <v>107</v>
      </c>
      <c r="DE96" s="7" t="s">
        <v>107</v>
      </c>
      <c r="DF96" s="7" t="s">
        <v>107</v>
      </c>
      <c r="DG96" s="3"/>
      <c r="DH96" s="7"/>
      <c r="DI96" s="7" t="s">
        <v>107</v>
      </c>
      <c r="DJ96" s="7" t="s">
        <v>107</v>
      </c>
      <c r="DK96" s="5">
        <f>AM96+AU96+BC96</f>
        <v>64126.89</v>
      </c>
      <c r="DL96" s="15" t="s">
        <v>295</v>
      </c>
      <c r="DM96" s="51">
        <f>DL96*0.95</f>
        <v>60920.5455</v>
      </c>
    </row>
    <row r="97" spans="1:117" ht="17.25" customHeight="1" x14ac:dyDescent="0.25">
      <c r="A97" s="50" t="s">
        <v>3405</v>
      </c>
      <c r="B97" s="15" t="s">
        <v>3406</v>
      </c>
      <c r="C97" s="15" t="s">
        <v>3407</v>
      </c>
      <c r="D97" s="15" t="s">
        <v>3408</v>
      </c>
      <c r="E97" s="15" t="s">
        <v>3409</v>
      </c>
      <c r="F97" s="15" t="s">
        <v>3410</v>
      </c>
      <c r="G97" s="15" t="s">
        <v>3411</v>
      </c>
      <c r="H97" s="15" t="s">
        <v>3412</v>
      </c>
      <c r="I97" s="15" t="s">
        <v>3413</v>
      </c>
      <c r="J97" s="15" t="s">
        <v>4341</v>
      </c>
      <c r="K97" s="15" t="s">
        <v>101</v>
      </c>
      <c r="L97" s="15" t="s">
        <v>3410</v>
      </c>
      <c r="M97" s="15" t="s">
        <v>3414</v>
      </c>
      <c r="N97" s="15" t="s">
        <v>3415</v>
      </c>
      <c r="O97" s="15" t="s">
        <v>3416</v>
      </c>
      <c r="P97" s="15" t="s">
        <v>107</v>
      </c>
      <c r="Q97" s="15" t="s">
        <v>3417</v>
      </c>
      <c r="R97" s="15" t="s">
        <v>4047</v>
      </c>
      <c r="S97" s="15" t="s">
        <v>3410</v>
      </c>
      <c r="T97" s="15" t="s">
        <v>107</v>
      </c>
      <c r="U97" s="15" t="s">
        <v>3418</v>
      </c>
      <c r="V97" s="15" t="s">
        <v>109</v>
      </c>
      <c r="W97" s="15" t="s">
        <v>3419</v>
      </c>
      <c r="X97" s="16" t="s">
        <v>3420</v>
      </c>
      <c r="Y97" s="15" t="s">
        <v>1126</v>
      </c>
      <c r="Z97" s="16" t="s">
        <v>3421</v>
      </c>
      <c r="AA97" s="17">
        <v>700</v>
      </c>
      <c r="AB97" s="17">
        <v>0</v>
      </c>
      <c r="AC97" s="17">
        <v>0</v>
      </c>
      <c r="AD97" s="17">
        <v>0</v>
      </c>
      <c r="AE97" s="17">
        <v>0</v>
      </c>
      <c r="AF97" s="15" t="s">
        <v>142</v>
      </c>
      <c r="AG97" s="15" t="s">
        <v>115</v>
      </c>
      <c r="AH97" s="15" t="s">
        <v>3422</v>
      </c>
      <c r="AI97" s="18">
        <v>12600.72</v>
      </c>
      <c r="AJ97" s="15">
        <v>1</v>
      </c>
      <c r="AK97" s="15" t="s">
        <v>3423</v>
      </c>
      <c r="AL97" s="15" t="s">
        <v>3424</v>
      </c>
      <c r="AM97" s="3">
        <f>(AI97*AJ97)/2</f>
        <v>6300.36</v>
      </c>
      <c r="AN97" s="7" t="s">
        <v>107</v>
      </c>
      <c r="AO97" s="7" t="s">
        <v>107</v>
      </c>
      <c r="AP97" s="7" t="s">
        <v>107</v>
      </c>
      <c r="AQ97" s="8" t="s">
        <v>107</v>
      </c>
      <c r="AR97" s="7" t="s">
        <v>107</v>
      </c>
      <c r="AS97" s="7" t="s">
        <v>107</v>
      </c>
      <c r="AT97" s="7" t="s">
        <v>107</v>
      </c>
      <c r="AU97" s="3"/>
      <c r="AV97" s="7" t="s">
        <v>107</v>
      </c>
      <c r="AW97" s="7" t="s">
        <v>107</v>
      </c>
      <c r="AX97" s="7" t="s">
        <v>107</v>
      </c>
      <c r="AY97" s="8" t="s">
        <v>107</v>
      </c>
      <c r="AZ97" s="7" t="s">
        <v>107</v>
      </c>
      <c r="BA97" s="7" t="s">
        <v>107</v>
      </c>
      <c r="BB97" s="7" t="s">
        <v>107</v>
      </c>
      <c r="BC97" s="3"/>
      <c r="BD97" s="7" t="s">
        <v>107</v>
      </c>
      <c r="BE97" s="7" t="s">
        <v>107</v>
      </c>
      <c r="BF97" s="7" t="s">
        <v>107</v>
      </c>
      <c r="BG97" s="7" t="s">
        <v>107</v>
      </c>
      <c r="BH97" s="7" t="s">
        <v>107</v>
      </c>
      <c r="BI97" s="7" t="s">
        <v>107</v>
      </c>
      <c r="BJ97" s="7" t="s">
        <v>107</v>
      </c>
      <c r="BK97" s="3"/>
      <c r="BL97" s="7" t="s">
        <v>107</v>
      </c>
      <c r="BM97" s="7" t="s">
        <v>107</v>
      </c>
      <c r="BN97" s="7" t="s">
        <v>107</v>
      </c>
      <c r="BO97" s="8" t="s">
        <v>107</v>
      </c>
      <c r="BP97" s="7" t="s">
        <v>107</v>
      </c>
      <c r="BQ97" s="7" t="s">
        <v>107</v>
      </c>
      <c r="BR97" s="7" t="s">
        <v>107</v>
      </c>
      <c r="BS97" s="3"/>
      <c r="BT97" s="7" t="s">
        <v>107</v>
      </c>
      <c r="BU97" s="7" t="s">
        <v>107</v>
      </c>
      <c r="BV97" s="7" t="s">
        <v>107</v>
      </c>
      <c r="BW97" s="8" t="s">
        <v>107</v>
      </c>
      <c r="BX97" s="7" t="s">
        <v>107</v>
      </c>
      <c r="BY97" s="7" t="s">
        <v>107</v>
      </c>
      <c r="BZ97" s="7" t="s">
        <v>107</v>
      </c>
      <c r="CA97" s="3"/>
      <c r="CB97" s="7"/>
      <c r="CC97" s="7" t="s">
        <v>107</v>
      </c>
      <c r="CD97" s="7" t="s">
        <v>107</v>
      </c>
      <c r="CE97" s="8" t="s">
        <v>107</v>
      </c>
      <c r="CF97" s="7" t="s">
        <v>107</v>
      </c>
      <c r="CG97" s="7" t="s">
        <v>107</v>
      </c>
      <c r="CH97" s="7" t="s">
        <v>107</v>
      </c>
      <c r="CI97" s="3"/>
      <c r="CJ97" s="7"/>
      <c r="CK97" s="7" t="s">
        <v>107</v>
      </c>
      <c r="CL97" s="7" t="s">
        <v>107</v>
      </c>
      <c r="CM97" s="8" t="s">
        <v>107</v>
      </c>
      <c r="CN97" s="7" t="s">
        <v>107</v>
      </c>
      <c r="CO97" s="7" t="s">
        <v>107</v>
      </c>
      <c r="CP97" s="7" t="s">
        <v>107</v>
      </c>
      <c r="CQ97" s="3"/>
      <c r="CR97" s="7"/>
      <c r="CS97" s="7" t="s">
        <v>107</v>
      </c>
      <c r="CT97" s="7" t="s">
        <v>107</v>
      </c>
      <c r="CU97" s="7" t="s">
        <v>107</v>
      </c>
      <c r="CV97" s="7" t="s">
        <v>107</v>
      </c>
      <c r="CW97" s="7" t="s">
        <v>107</v>
      </c>
      <c r="CX97" s="7" t="s">
        <v>107</v>
      </c>
      <c r="CY97" s="3"/>
      <c r="CZ97" s="7"/>
      <c r="DA97" s="7" t="s">
        <v>107</v>
      </c>
      <c r="DB97" s="7" t="s">
        <v>107</v>
      </c>
      <c r="DC97" s="7" t="s">
        <v>107</v>
      </c>
      <c r="DD97" s="7" t="s">
        <v>107</v>
      </c>
      <c r="DE97" s="7" t="s">
        <v>107</v>
      </c>
      <c r="DF97" s="7" t="s">
        <v>107</v>
      </c>
      <c r="DG97" s="3"/>
      <c r="DH97" s="7"/>
      <c r="DI97" s="7" t="s">
        <v>107</v>
      </c>
      <c r="DJ97" s="7" t="s">
        <v>107</v>
      </c>
      <c r="DK97" s="5">
        <f>AM97</f>
        <v>6300.36</v>
      </c>
      <c r="DL97" s="15" t="s">
        <v>3425</v>
      </c>
      <c r="DM97" s="51">
        <f>DL97*0.95</f>
        <v>5985.3419999999996</v>
      </c>
    </row>
    <row r="98" spans="1:117" ht="17.25" customHeight="1" x14ac:dyDescent="0.25">
      <c r="A98" s="50" t="s">
        <v>3876</v>
      </c>
      <c r="B98" s="15" t="s">
        <v>3941</v>
      </c>
      <c r="C98" s="15" t="s">
        <v>1112</v>
      </c>
      <c r="D98" s="15" t="s">
        <v>1113</v>
      </c>
      <c r="E98" s="15" t="s">
        <v>297</v>
      </c>
      <c r="F98" s="15" t="s">
        <v>2547</v>
      </c>
      <c r="G98" s="15" t="s">
        <v>2548</v>
      </c>
      <c r="H98" s="15" t="s">
        <v>2549</v>
      </c>
      <c r="I98" s="15" t="s">
        <v>2550</v>
      </c>
      <c r="J98" s="15" t="s">
        <v>4300</v>
      </c>
      <c r="K98" s="15" t="s">
        <v>101</v>
      </c>
      <c r="L98" s="15" t="s">
        <v>2547</v>
      </c>
      <c r="M98" s="15" t="s">
        <v>2551</v>
      </c>
      <c r="N98" s="15" t="s">
        <v>2552</v>
      </c>
      <c r="O98" s="15" t="s">
        <v>2553</v>
      </c>
      <c r="P98" s="15" t="s">
        <v>2554</v>
      </c>
      <c r="Q98" s="15" t="s">
        <v>2555</v>
      </c>
      <c r="R98" s="15" t="s">
        <v>282</v>
      </c>
      <c r="S98" s="15" t="s">
        <v>2547</v>
      </c>
      <c r="T98" s="15" t="s">
        <v>107</v>
      </c>
      <c r="U98" s="15" t="s">
        <v>2556</v>
      </c>
      <c r="V98" s="15" t="s">
        <v>109</v>
      </c>
      <c r="W98" s="15" t="s">
        <v>2557</v>
      </c>
      <c r="X98" s="16" t="s">
        <v>2558</v>
      </c>
      <c r="Y98" s="15" t="s">
        <v>137</v>
      </c>
      <c r="Z98" s="16" t="s">
        <v>2559</v>
      </c>
      <c r="AA98" s="17">
        <v>2345</v>
      </c>
      <c r="AB98" s="17">
        <v>5</v>
      </c>
      <c r="AC98" s="17">
        <v>1025</v>
      </c>
      <c r="AD98" s="17">
        <v>5</v>
      </c>
      <c r="AE98" s="17">
        <v>1742</v>
      </c>
      <c r="AF98" s="15" t="s">
        <v>196</v>
      </c>
      <c r="AG98" s="15" t="s">
        <v>115</v>
      </c>
      <c r="AH98" s="15" t="s">
        <v>2560</v>
      </c>
      <c r="AI98" s="21">
        <v>52728</v>
      </c>
      <c r="AJ98" s="15">
        <v>0.2</v>
      </c>
      <c r="AK98" s="15" t="s">
        <v>2561</v>
      </c>
      <c r="AL98" s="15" t="s">
        <v>2562</v>
      </c>
      <c r="AM98" s="3">
        <f>(AI98*AJ98)/2</f>
        <v>5272.8</v>
      </c>
      <c r="AN98" s="7" t="s">
        <v>196</v>
      </c>
      <c r="AO98" s="7" t="s">
        <v>115</v>
      </c>
      <c r="AP98" s="7" t="s">
        <v>2563</v>
      </c>
      <c r="AQ98" s="8">
        <v>52728</v>
      </c>
      <c r="AR98" s="7">
        <v>0.2</v>
      </c>
      <c r="AS98" s="7" t="s">
        <v>2561</v>
      </c>
      <c r="AT98" s="7" t="s">
        <v>2562</v>
      </c>
      <c r="AU98" s="3">
        <f>(AQ98*AR98)/2</f>
        <v>5272.8</v>
      </c>
      <c r="AV98" s="7" t="s">
        <v>107</v>
      </c>
      <c r="AW98" s="7" t="s">
        <v>107</v>
      </c>
      <c r="AX98" s="7" t="s">
        <v>107</v>
      </c>
      <c r="AY98" s="8" t="s">
        <v>107</v>
      </c>
      <c r="AZ98" s="7" t="s">
        <v>107</v>
      </c>
      <c r="BA98" s="7" t="s">
        <v>107</v>
      </c>
      <c r="BB98" s="7" t="s">
        <v>107</v>
      </c>
      <c r="BC98" s="3"/>
      <c r="BD98" s="7" t="s">
        <v>107</v>
      </c>
      <c r="BE98" s="7" t="s">
        <v>107</v>
      </c>
      <c r="BF98" s="7" t="s">
        <v>107</v>
      </c>
      <c r="BG98" s="7" t="s">
        <v>107</v>
      </c>
      <c r="BH98" s="7" t="s">
        <v>107</v>
      </c>
      <c r="BI98" s="7" t="s">
        <v>107</v>
      </c>
      <c r="BJ98" s="7" t="s">
        <v>107</v>
      </c>
      <c r="BK98" s="3"/>
      <c r="BL98" s="7" t="s">
        <v>107</v>
      </c>
      <c r="BM98" s="7" t="s">
        <v>107</v>
      </c>
      <c r="BN98" s="7" t="s">
        <v>107</v>
      </c>
      <c r="BO98" s="8" t="s">
        <v>107</v>
      </c>
      <c r="BP98" s="7" t="s">
        <v>107</v>
      </c>
      <c r="BQ98" s="7" t="s">
        <v>107</v>
      </c>
      <c r="BR98" s="7" t="s">
        <v>107</v>
      </c>
      <c r="BS98" s="3"/>
      <c r="BT98" s="7" t="s">
        <v>107</v>
      </c>
      <c r="BU98" s="7" t="s">
        <v>107</v>
      </c>
      <c r="BV98" s="7" t="s">
        <v>107</v>
      </c>
      <c r="BW98" s="8" t="s">
        <v>107</v>
      </c>
      <c r="BX98" s="7" t="s">
        <v>107</v>
      </c>
      <c r="BY98" s="7" t="s">
        <v>107</v>
      </c>
      <c r="BZ98" s="7" t="s">
        <v>107</v>
      </c>
      <c r="CA98" s="3"/>
      <c r="CB98" s="7"/>
      <c r="CC98" s="7" t="s">
        <v>107</v>
      </c>
      <c r="CD98" s="7" t="s">
        <v>107</v>
      </c>
      <c r="CE98" s="8" t="s">
        <v>107</v>
      </c>
      <c r="CF98" s="7" t="s">
        <v>107</v>
      </c>
      <c r="CG98" s="7" t="s">
        <v>107</v>
      </c>
      <c r="CH98" s="7" t="s">
        <v>107</v>
      </c>
      <c r="CI98" s="3"/>
      <c r="CJ98" s="7"/>
      <c r="CK98" s="7" t="s">
        <v>107</v>
      </c>
      <c r="CL98" s="7" t="s">
        <v>107</v>
      </c>
      <c r="CM98" s="8" t="s">
        <v>107</v>
      </c>
      <c r="CN98" s="7" t="s">
        <v>107</v>
      </c>
      <c r="CO98" s="7" t="s">
        <v>107</v>
      </c>
      <c r="CP98" s="7" t="s">
        <v>107</v>
      </c>
      <c r="CQ98" s="3"/>
      <c r="CR98" s="7"/>
      <c r="CS98" s="7" t="s">
        <v>107</v>
      </c>
      <c r="CT98" s="7" t="s">
        <v>107</v>
      </c>
      <c r="CU98" s="7" t="s">
        <v>107</v>
      </c>
      <c r="CV98" s="7" t="s">
        <v>107</v>
      </c>
      <c r="CW98" s="7" t="s">
        <v>107</v>
      </c>
      <c r="CX98" s="7" t="s">
        <v>107</v>
      </c>
      <c r="CY98" s="3"/>
      <c r="CZ98" s="7"/>
      <c r="DA98" s="7" t="s">
        <v>107</v>
      </c>
      <c r="DB98" s="7" t="s">
        <v>107</v>
      </c>
      <c r="DC98" s="7" t="s">
        <v>107</v>
      </c>
      <c r="DD98" s="7" t="s">
        <v>107</v>
      </c>
      <c r="DE98" s="7" t="s">
        <v>107</v>
      </c>
      <c r="DF98" s="7" t="s">
        <v>107</v>
      </c>
      <c r="DG98" s="3"/>
      <c r="DH98" s="7"/>
      <c r="DI98" s="7" t="s">
        <v>107</v>
      </c>
      <c r="DJ98" s="7" t="s">
        <v>107</v>
      </c>
      <c r="DK98" s="5">
        <f>AM98+AU98</f>
        <v>10545.6</v>
      </c>
      <c r="DL98" s="15" t="s">
        <v>2561</v>
      </c>
      <c r="DM98" s="51">
        <f>DL98*0.95</f>
        <v>10018.32</v>
      </c>
    </row>
    <row r="99" spans="1:117" ht="17.25" customHeight="1" x14ac:dyDescent="0.25">
      <c r="A99" s="50" t="s">
        <v>3877</v>
      </c>
      <c r="B99" s="15" t="s">
        <v>2017</v>
      </c>
      <c r="C99" s="15" t="s">
        <v>646</v>
      </c>
      <c r="D99" s="15" t="s">
        <v>647</v>
      </c>
      <c r="E99" s="15" t="s">
        <v>648</v>
      </c>
      <c r="F99" s="15" t="s">
        <v>2018</v>
      </c>
      <c r="G99" s="15" t="s">
        <v>2019</v>
      </c>
      <c r="H99" s="15" t="s">
        <v>2020</v>
      </c>
      <c r="I99" s="15" t="s">
        <v>2021</v>
      </c>
      <c r="J99" s="15" t="s">
        <v>4235</v>
      </c>
      <c r="K99" s="15" t="s">
        <v>151</v>
      </c>
      <c r="L99" s="15" t="s">
        <v>2018</v>
      </c>
      <c r="M99" s="15" t="s">
        <v>2022</v>
      </c>
      <c r="N99" s="15" t="s">
        <v>2023</v>
      </c>
      <c r="O99" s="15" t="s">
        <v>2024</v>
      </c>
      <c r="P99" s="15" t="s">
        <v>2025</v>
      </c>
      <c r="Q99" s="15" t="s">
        <v>2026</v>
      </c>
      <c r="R99" s="15" t="s">
        <v>132</v>
      </c>
      <c r="S99" s="15" t="s">
        <v>2018</v>
      </c>
      <c r="T99" s="15" t="s">
        <v>107</v>
      </c>
      <c r="U99" s="15" t="s">
        <v>2027</v>
      </c>
      <c r="V99" s="15" t="s">
        <v>109</v>
      </c>
      <c r="W99" s="15" t="s">
        <v>2028</v>
      </c>
      <c r="X99" s="16" t="s">
        <v>2029</v>
      </c>
      <c r="Y99" s="15" t="s">
        <v>137</v>
      </c>
      <c r="Z99" s="16" t="s">
        <v>2030</v>
      </c>
      <c r="AA99" s="17">
        <v>500</v>
      </c>
      <c r="AB99" s="17">
        <v>1</v>
      </c>
      <c r="AC99" s="17">
        <v>600</v>
      </c>
      <c r="AD99" s="17">
        <v>0</v>
      </c>
      <c r="AE99" s="17">
        <v>0</v>
      </c>
      <c r="AF99" s="15" t="s">
        <v>142</v>
      </c>
      <c r="AG99" s="15" t="s">
        <v>157</v>
      </c>
      <c r="AH99" s="15" t="s">
        <v>2031</v>
      </c>
      <c r="AI99" s="18">
        <v>67121</v>
      </c>
      <c r="AJ99" s="15">
        <v>0.8</v>
      </c>
      <c r="AK99" s="15" t="s">
        <v>2032</v>
      </c>
      <c r="AL99" s="15" t="s">
        <v>2033</v>
      </c>
      <c r="AM99" s="3">
        <f>(AI99*AJ99)/2</f>
        <v>26848.400000000001</v>
      </c>
      <c r="AN99" s="7" t="s">
        <v>107</v>
      </c>
      <c r="AO99" s="7" t="s">
        <v>107</v>
      </c>
      <c r="AP99" s="7" t="s">
        <v>107</v>
      </c>
      <c r="AQ99" s="8" t="s">
        <v>107</v>
      </c>
      <c r="AR99" s="7" t="s">
        <v>107</v>
      </c>
      <c r="AS99" s="7" t="s">
        <v>107</v>
      </c>
      <c r="AT99" s="7" t="s">
        <v>107</v>
      </c>
      <c r="AU99" s="3"/>
      <c r="AV99" s="7" t="s">
        <v>107</v>
      </c>
      <c r="AW99" s="7" t="s">
        <v>107</v>
      </c>
      <c r="AX99" s="7" t="s">
        <v>107</v>
      </c>
      <c r="AY99" s="8" t="s">
        <v>107</v>
      </c>
      <c r="AZ99" s="7" t="s">
        <v>107</v>
      </c>
      <c r="BA99" s="7" t="s">
        <v>107</v>
      </c>
      <c r="BB99" s="7" t="s">
        <v>107</v>
      </c>
      <c r="BC99" s="3"/>
      <c r="BD99" s="7" t="s">
        <v>107</v>
      </c>
      <c r="BE99" s="7" t="s">
        <v>107</v>
      </c>
      <c r="BF99" s="7" t="s">
        <v>107</v>
      </c>
      <c r="BG99" s="7" t="s">
        <v>107</v>
      </c>
      <c r="BH99" s="7" t="s">
        <v>107</v>
      </c>
      <c r="BI99" s="7" t="s">
        <v>107</v>
      </c>
      <c r="BJ99" s="7" t="s">
        <v>107</v>
      </c>
      <c r="BK99" s="3"/>
      <c r="BL99" s="7" t="s">
        <v>107</v>
      </c>
      <c r="BM99" s="7" t="s">
        <v>107</v>
      </c>
      <c r="BN99" s="7" t="s">
        <v>107</v>
      </c>
      <c r="BO99" s="8" t="s">
        <v>107</v>
      </c>
      <c r="BP99" s="7" t="s">
        <v>107</v>
      </c>
      <c r="BQ99" s="7" t="s">
        <v>107</v>
      </c>
      <c r="BR99" s="7" t="s">
        <v>107</v>
      </c>
      <c r="BS99" s="3"/>
      <c r="BT99" s="7" t="s">
        <v>107</v>
      </c>
      <c r="BU99" s="7" t="s">
        <v>107</v>
      </c>
      <c r="BV99" s="7" t="s">
        <v>107</v>
      </c>
      <c r="BW99" s="8" t="s">
        <v>107</v>
      </c>
      <c r="BX99" s="7" t="s">
        <v>107</v>
      </c>
      <c r="BY99" s="7" t="s">
        <v>107</v>
      </c>
      <c r="BZ99" s="7" t="s">
        <v>107</v>
      </c>
      <c r="CA99" s="3"/>
      <c r="CB99" s="7"/>
      <c r="CC99" s="7" t="s">
        <v>107</v>
      </c>
      <c r="CD99" s="7" t="s">
        <v>107</v>
      </c>
      <c r="CE99" s="8" t="s">
        <v>107</v>
      </c>
      <c r="CF99" s="7" t="s">
        <v>107</v>
      </c>
      <c r="CG99" s="7" t="s">
        <v>107</v>
      </c>
      <c r="CH99" s="7" t="s">
        <v>107</v>
      </c>
      <c r="CI99" s="3"/>
      <c r="CJ99" s="7"/>
      <c r="CK99" s="7" t="s">
        <v>107</v>
      </c>
      <c r="CL99" s="7" t="s">
        <v>107</v>
      </c>
      <c r="CM99" s="8" t="s">
        <v>107</v>
      </c>
      <c r="CN99" s="7" t="s">
        <v>107</v>
      </c>
      <c r="CO99" s="7" t="s">
        <v>107</v>
      </c>
      <c r="CP99" s="7" t="s">
        <v>107</v>
      </c>
      <c r="CQ99" s="3"/>
      <c r="CR99" s="7"/>
      <c r="CS99" s="7" t="s">
        <v>107</v>
      </c>
      <c r="CT99" s="7" t="s">
        <v>107</v>
      </c>
      <c r="CU99" s="7" t="s">
        <v>107</v>
      </c>
      <c r="CV99" s="7" t="s">
        <v>107</v>
      </c>
      <c r="CW99" s="7" t="s">
        <v>107</v>
      </c>
      <c r="CX99" s="7" t="s">
        <v>107</v>
      </c>
      <c r="CY99" s="3"/>
      <c r="CZ99" s="7"/>
      <c r="DA99" s="7" t="s">
        <v>107</v>
      </c>
      <c r="DB99" s="7" t="s">
        <v>107</v>
      </c>
      <c r="DC99" s="7" t="s">
        <v>107</v>
      </c>
      <c r="DD99" s="7" t="s">
        <v>107</v>
      </c>
      <c r="DE99" s="7" t="s">
        <v>107</v>
      </c>
      <c r="DF99" s="7" t="s">
        <v>107</v>
      </c>
      <c r="DG99" s="3"/>
      <c r="DH99" s="7"/>
      <c r="DI99" s="7" t="s">
        <v>107</v>
      </c>
      <c r="DJ99" s="7" t="s">
        <v>107</v>
      </c>
      <c r="DK99" s="5">
        <f>AM99</f>
        <v>26848.400000000001</v>
      </c>
      <c r="DL99" s="15" t="s">
        <v>2033</v>
      </c>
      <c r="DM99" s="51">
        <f>DL99*0.95</f>
        <v>25505.599999999999</v>
      </c>
    </row>
    <row r="100" spans="1:117" ht="17.25" customHeight="1" x14ac:dyDescent="0.25">
      <c r="A100" s="50" t="s">
        <v>1515</v>
      </c>
      <c r="B100" s="15" t="s">
        <v>1516</v>
      </c>
      <c r="C100" s="15" t="s">
        <v>1517</v>
      </c>
      <c r="D100" s="15" t="s">
        <v>1518</v>
      </c>
      <c r="E100" s="15" t="s">
        <v>1519</v>
      </c>
      <c r="F100" s="15" t="s">
        <v>1520</v>
      </c>
      <c r="G100" s="15" t="s">
        <v>1521</v>
      </c>
      <c r="H100" s="15" t="s">
        <v>1522</v>
      </c>
      <c r="I100" s="15" t="s">
        <v>1523</v>
      </c>
      <c r="J100" s="15" t="s">
        <v>4252</v>
      </c>
      <c r="K100" s="15" t="s">
        <v>151</v>
      </c>
      <c r="L100" s="15" t="s">
        <v>1520</v>
      </c>
      <c r="M100" s="15" t="s">
        <v>1524</v>
      </c>
      <c r="N100" s="15" t="s">
        <v>1525</v>
      </c>
      <c r="O100" s="15" t="s">
        <v>1526</v>
      </c>
      <c r="P100" s="15" t="s">
        <v>1527</v>
      </c>
      <c r="Q100" s="15" t="s">
        <v>1528</v>
      </c>
      <c r="R100" s="15" t="s">
        <v>761</v>
      </c>
      <c r="S100" s="15" t="s">
        <v>1529</v>
      </c>
      <c r="T100" s="15" t="s">
        <v>107</v>
      </c>
      <c r="U100" s="15" t="s">
        <v>1530</v>
      </c>
      <c r="V100" s="15" t="s">
        <v>109</v>
      </c>
      <c r="W100" s="15" t="s">
        <v>1531</v>
      </c>
      <c r="X100" s="16" t="s">
        <v>1532</v>
      </c>
      <c r="Y100" s="15" t="s">
        <v>185</v>
      </c>
      <c r="Z100" s="16" t="s">
        <v>1533</v>
      </c>
      <c r="AA100" s="17">
        <v>385</v>
      </c>
      <c r="AB100" s="17">
        <v>1</v>
      </c>
      <c r="AC100" s="17">
        <v>1340</v>
      </c>
      <c r="AD100" s="17">
        <v>1</v>
      </c>
      <c r="AE100" s="17">
        <v>1690</v>
      </c>
      <c r="AF100" s="15" t="s">
        <v>142</v>
      </c>
      <c r="AG100" s="15" t="s">
        <v>157</v>
      </c>
      <c r="AH100" s="15" t="s">
        <v>1534</v>
      </c>
      <c r="AI100" s="20">
        <v>63500</v>
      </c>
      <c r="AJ100" s="15">
        <v>0.7</v>
      </c>
      <c r="AK100" s="15" t="s">
        <v>1535</v>
      </c>
      <c r="AL100" s="15" t="s">
        <v>1536</v>
      </c>
      <c r="AM100" s="3">
        <f>(AI100*AJ100)/2</f>
        <v>22225</v>
      </c>
      <c r="AN100" s="7" t="s">
        <v>196</v>
      </c>
      <c r="AO100" s="7" t="s">
        <v>157</v>
      </c>
      <c r="AP100" s="7" t="s">
        <v>1537</v>
      </c>
      <c r="AQ100" s="8">
        <v>63500</v>
      </c>
      <c r="AR100" s="7">
        <v>0.25</v>
      </c>
      <c r="AS100" s="7" t="s">
        <v>1538</v>
      </c>
      <c r="AT100" s="7" t="s">
        <v>1539</v>
      </c>
      <c r="AU100" s="3">
        <f>(AQ100*AR100)/2</f>
        <v>7937.5</v>
      </c>
      <c r="AV100" s="7" t="s">
        <v>107</v>
      </c>
      <c r="AW100" s="7" t="s">
        <v>107</v>
      </c>
      <c r="AX100" s="7" t="s">
        <v>107</v>
      </c>
      <c r="AY100" s="8" t="s">
        <v>107</v>
      </c>
      <c r="AZ100" s="7" t="s">
        <v>107</v>
      </c>
      <c r="BA100" s="7" t="s">
        <v>107</v>
      </c>
      <c r="BB100" s="7" t="s">
        <v>107</v>
      </c>
      <c r="BC100" s="3"/>
      <c r="BD100" s="7" t="s">
        <v>107</v>
      </c>
      <c r="BE100" s="7" t="s">
        <v>107</v>
      </c>
      <c r="BF100" s="7" t="s">
        <v>107</v>
      </c>
      <c r="BG100" s="7" t="s">
        <v>107</v>
      </c>
      <c r="BH100" s="7" t="s">
        <v>107</v>
      </c>
      <c r="BI100" s="7" t="s">
        <v>107</v>
      </c>
      <c r="BJ100" s="7" t="s">
        <v>107</v>
      </c>
      <c r="BK100" s="3"/>
      <c r="BL100" s="7" t="s">
        <v>107</v>
      </c>
      <c r="BM100" s="7" t="s">
        <v>107</v>
      </c>
      <c r="BN100" s="7" t="s">
        <v>107</v>
      </c>
      <c r="BO100" s="8" t="s">
        <v>107</v>
      </c>
      <c r="BP100" s="7" t="s">
        <v>107</v>
      </c>
      <c r="BQ100" s="7" t="s">
        <v>107</v>
      </c>
      <c r="BR100" s="7" t="s">
        <v>107</v>
      </c>
      <c r="BS100" s="3"/>
      <c r="BT100" s="7" t="s">
        <v>107</v>
      </c>
      <c r="BU100" s="7" t="s">
        <v>107</v>
      </c>
      <c r="BV100" s="7" t="s">
        <v>107</v>
      </c>
      <c r="BW100" s="8" t="s">
        <v>107</v>
      </c>
      <c r="BX100" s="7" t="s">
        <v>107</v>
      </c>
      <c r="BY100" s="7" t="s">
        <v>107</v>
      </c>
      <c r="BZ100" s="7" t="s">
        <v>107</v>
      </c>
      <c r="CA100" s="3"/>
      <c r="CB100" s="7"/>
      <c r="CC100" s="7" t="s">
        <v>107</v>
      </c>
      <c r="CD100" s="7" t="s">
        <v>107</v>
      </c>
      <c r="CE100" s="8" t="s">
        <v>107</v>
      </c>
      <c r="CF100" s="7" t="s">
        <v>107</v>
      </c>
      <c r="CG100" s="7" t="s">
        <v>107</v>
      </c>
      <c r="CH100" s="7" t="s">
        <v>107</v>
      </c>
      <c r="CI100" s="3"/>
      <c r="CJ100" s="7"/>
      <c r="CK100" s="7" t="s">
        <v>107</v>
      </c>
      <c r="CL100" s="7" t="s">
        <v>107</v>
      </c>
      <c r="CM100" s="8" t="s">
        <v>107</v>
      </c>
      <c r="CN100" s="7" t="s">
        <v>107</v>
      </c>
      <c r="CO100" s="7" t="s">
        <v>107</v>
      </c>
      <c r="CP100" s="7" t="s">
        <v>107</v>
      </c>
      <c r="CQ100" s="3"/>
      <c r="CR100" s="7"/>
      <c r="CS100" s="7" t="s">
        <v>107</v>
      </c>
      <c r="CT100" s="7" t="s">
        <v>107</v>
      </c>
      <c r="CU100" s="7" t="s">
        <v>107</v>
      </c>
      <c r="CV100" s="7" t="s">
        <v>107</v>
      </c>
      <c r="CW100" s="7" t="s">
        <v>107</v>
      </c>
      <c r="CX100" s="7" t="s">
        <v>107</v>
      </c>
      <c r="CY100" s="3"/>
      <c r="CZ100" s="7"/>
      <c r="DA100" s="7" t="s">
        <v>107</v>
      </c>
      <c r="DB100" s="7" t="s">
        <v>107</v>
      </c>
      <c r="DC100" s="7" t="s">
        <v>107</v>
      </c>
      <c r="DD100" s="7" t="s">
        <v>107</v>
      </c>
      <c r="DE100" s="7" t="s">
        <v>107</v>
      </c>
      <c r="DF100" s="7" t="s">
        <v>107</v>
      </c>
      <c r="DG100" s="3"/>
      <c r="DH100" s="7"/>
      <c r="DI100" s="7" t="s">
        <v>107</v>
      </c>
      <c r="DJ100" s="7" t="s">
        <v>107</v>
      </c>
      <c r="DK100" s="5">
        <f>AM100+AU100</f>
        <v>30162.5</v>
      </c>
      <c r="DL100" s="15" t="s">
        <v>1540</v>
      </c>
      <c r="DM100" s="51">
        <f>DL100*0.95</f>
        <v>28653.899999999998</v>
      </c>
    </row>
    <row r="101" spans="1:117" ht="17.25" customHeight="1" x14ac:dyDescent="0.25">
      <c r="A101" s="50" t="s">
        <v>3878</v>
      </c>
      <c r="B101" s="15" t="s">
        <v>3942</v>
      </c>
      <c r="C101" s="15" t="s">
        <v>3973</v>
      </c>
      <c r="D101" s="15" t="s">
        <v>3635</v>
      </c>
      <c r="E101" s="15" t="s">
        <v>351</v>
      </c>
      <c r="F101" s="15" t="s">
        <v>3636</v>
      </c>
      <c r="G101" s="15" t="s">
        <v>3637</v>
      </c>
      <c r="H101" s="15" t="s">
        <v>3638</v>
      </c>
      <c r="I101" s="15" t="s">
        <v>4001</v>
      </c>
      <c r="J101" s="15" t="s">
        <v>4354</v>
      </c>
      <c r="K101" s="15" t="s">
        <v>151</v>
      </c>
      <c r="L101" s="15" t="s">
        <v>3636</v>
      </c>
      <c r="M101" s="15" t="s">
        <v>107</v>
      </c>
      <c r="N101" s="15" t="s">
        <v>3639</v>
      </c>
      <c r="O101" s="15" t="s">
        <v>3640</v>
      </c>
      <c r="P101" s="15" t="s">
        <v>107</v>
      </c>
      <c r="Q101" s="15" t="s">
        <v>3645</v>
      </c>
      <c r="R101" s="15" t="s">
        <v>157</v>
      </c>
      <c r="S101" s="15" t="s">
        <v>3636</v>
      </c>
      <c r="T101" s="15" t="s">
        <v>107</v>
      </c>
      <c r="U101" s="15" t="s">
        <v>3641</v>
      </c>
      <c r="V101" s="15" t="s">
        <v>109</v>
      </c>
      <c r="W101" s="15" t="s">
        <v>3642</v>
      </c>
      <c r="X101" s="16" t="s">
        <v>3643</v>
      </c>
      <c r="Y101" s="15" t="s">
        <v>114</v>
      </c>
      <c r="Z101" s="16" t="s">
        <v>3644</v>
      </c>
      <c r="AA101" s="17">
        <v>400</v>
      </c>
      <c r="AB101" s="17">
        <v>0</v>
      </c>
      <c r="AC101" s="17">
        <v>0</v>
      </c>
      <c r="AD101" s="17">
        <v>0</v>
      </c>
      <c r="AE101" s="17">
        <v>0</v>
      </c>
      <c r="AF101" s="15" t="s">
        <v>142</v>
      </c>
      <c r="AG101" s="15" t="s">
        <v>157</v>
      </c>
      <c r="AH101" s="15" t="s">
        <v>3645</v>
      </c>
      <c r="AI101" s="21">
        <v>68000</v>
      </c>
      <c r="AJ101" s="15">
        <v>7.4999999999999997E-2</v>
      </c>
      <c r="AK101" s="15" t="s">
        <v>3646</v>
      </c>
      <c r="AL101" s="15" t="s">
        <v>3647</v>
      </c>
      <c r="AM101" s="3">
        <f>(AI101*AJ101)/2</f>
        <v>2550</v>
      </c>
      <c r="AN101" s="7" t="s">
        <v>107</v>
      </c>
      <c r="AO101" s="7" t="s">
        <v>107</v>
      </c>
      <c r="AP101" s="7" t="s">
        <v>107</v>
      </c>
      <c r="AQ101" s="8" t="s">
        <v>107</v>
      </c>
      <c r="AR101" s="7" t="s">
        <v>107</v>
      </c>
      <c r="AS101" s="7" t="s">
        <v>107</v>
      </c>
      <c r="AT101" s="7" t="s">
        <v>107</v>
      </c>
      <c r="AU101" s="3"/>
      <c r="AV101" s="7" t="s">
        <v>107</v>
      </c>
      <c r="AW101" s="7" t="s">
        <v>107</v>
      </c>
      <c r="AX101" s="7" t="s">
        <v>107</v>
      </c>
      <c r="AY101" s="8" t="s">
        <v>107</v>
      </c>
      <c r="AZ101" s="7" t="s">
        <v>107</v>
      </c>
      <c r="BA101" s="7" t="s">
        <v>107</v>
      </c>
      <c r="BB101" s="7" t="s">
        <v>107</v>
      </c>
      <c r="BC101" s="3"/>
      <c r="BD101" s="7" t="s">
        <v>107</v>
      </c>
      <c r="BE101" s="7" t="s">
        <v>107</v>
      </c>
      <c r="BF101" s="7" t="s">
        <v>107</v>
      </c>
      <c r="BG101" s="7" t="s">
        <v>107</v>
      </c>
      <c r="BH101" s="7" t="s">
        <v>107</v>
      </c>
      <c r="BI101" s="7" t="s">
        <v>107</v>
      </c>
      <c r="BJ101" s="7" t="s">
        <v>107</v>
      </c>
      <c r="BK101" s="3"/>
      <c r="BL101" s="7" t="s">
        <v>107</v>
      </c>
      <c r="BM101" s="7" t="s">
        <v>107</v>
      </c>
      <c r="BN101" s="7" t="s">
        <v>107</v>
      </c>
      <c r="BO101" s="8" t="s">
        <v>107</v>
      </c>
      <c r="BP101" s="7" t="s">
        <v>107</v>
      </c>
      <c r="BQ101" s="7" t="s">
        <v>107</v>
      </c>
      <c r="BR101" s="7" t="s">
        <v>107</v>
      </c>
      <c r="BS101" s="3"/>
      <c r="BT101" s="7" t="s">
        <v>107</v>
      </c>
      <c r="BU101" s="7" t="s">
        <v>107</v>
      </c>
      <c r="BV101" s="7" t="s">
        <v>107</v>
      </c>
      <c r="BW101" s="8" t="s">
        <v>107</v>
      </c>
      <c r="BX101" s="7" t="s">
        <v>107</v>
      </c>
      <c r="BY101" s="7" t="s">
        <v>107</v>
      </c>
      <c r="BZ101" s="7" t="s">
        <v>107</v>
      </c>
      <c r="CA101" s="3"/>
      <c r="CB101" s="7"/>
      <c r="CC101" s="7" t="s">
        <v>107</v>
      </c>
      <c r="CD101" s="7" t="s">
        <v>107</v>
      </c>
      <c r="CE101" s="8" t="s">
        <v>107</v>
      </c>
      <c r="CF101" s="7" t="s">
        <v>107</v>
      </c>
      <c r="CG101" s="7" t="s">
        <v>107</v>
      </c>
      <c r="CH101" s="7" t="s">
        <v>107</v>
      </c>
      <c r="CI101" s="3"/>
      <c r="CJ101" s="7"/>
      <c r="CK101" s="7" t="s">
        <v>107</v>
      </c>
      <c r="CL101" s="7" t="s">
        <v>107</v>
      </c>
      <c r="CM101" s="8" t="s">
        <v>107</v>
      </c>
      <c r="CN101" s="7" t="s">
        <v>107</v>
      </c>
      <c r="CO101" s="7" t="s">
        <v>107</v>
      </c>
      <c r="CP101" s="7" t="s">
        <v>107</v>
      </c>
      <c r="CQ101" s="3"/>
      <c r="CR101" s="7"/>
      <c r="CS101" s="7" t="s">
        <v>107</v>
      </c>
      <c r="CT101" s="7" t="s">
        <v>107</v>
      </c>
      <c r="CU101" s="7" t="s">
        <v>107</v>
      </c>
      <c r="CV101" s="7" t="s">
        <v>107</v>
      </c>
      <c r="CW101" s="7" t="s">
        <v>107</v>
      </c>
      <c r="CX101" s="7" t="s">
        <v>107</v>
      </c>
      <c r="CY101" s="3"/>
      <c r="CZ101" s="7"/>
      <c r="DA101" s="7" t="s">
        <v>107</v>
      </c>
      <c r="DB101" s="7" t="s">
        <v>107</v>
      </c>
      <c r="DC101" s="7" t="s">
        <v>107</v>
      </c>
      <c r="DD101" s="7" t="s">
        <v>107</v>
      </c>
      <c r="DE101" s="7" t="s">
        <v>107</v>
      </c>
      <c r="DF101" s="7" t="s">
        <v>107</v>
      </c>
      <c r="DG101" s="3"/>
      <c r="DH101" s="7"/>
      <c r="DI101" s="7" t="s">
        <v>107</v>
      </c>
      <c r="DJ101" s="7" t="s">
        <v>107</v>
      </c>
      <c r="DK101" s="5">
        <f>AM101</f>
        <v>2550</v>
      </c>
      <c r="DL101" s="15" t="s">
        <v>3647</v>
      </c>
      <c r="DM101" s="51">
        <f>DL101*0.95</f>
        <v>2439.6</v>
      </c>
    </row>
    <row r="102" spans="1:117" ht="17.25" customHeight="1" x14ac:dyDescent="0.25">
      <c r="A102" s="50" t="s">
        <v>3879</v>
      </c>
      <c r="B102" s="15" t="s">
        <v>3492</v>
      </c>
      <c r="C102" s="15" t="s">
        <v>3493</v>
      </c>
      <c r="D102" s="15" t="s">
        <v>3494</v>
      </c>
      <c r="E102" s="15" t="s">
        <v>147</v>
      </c>
      <c r="F102" s="15" t="s">
        <v>3495</v>
      </c>
      <c r="G102" s="15" t="s">
        <v>3496</v>
      </c>
      <c r="H102" s="15" t="s">
        <v>3497</v>
      </c>
      <c r="I102" s="15" t="s">
        <v>4002</v>
      </c>
      <c r="J102" s="15" t="s">
        <v>4346</v>
      </c>
      <c r="K102" s="15" t="s">
        <v>151</v>
      </c>
      <c r="L102" s="15" t="s">
        <v>3495</v>
      </c>
      <c r="M102" s="15" t="s">
        <v>3498</v>
      </c>
      <c r="N102" s="15" t="s">
        <v>3499</v>
      </c>
      <c r="O102" s="15" t="s">
        <v>3500</v>
      </c>
      <c r="P102" s="15" t="s">
        <v>3501</v>
      </c>
      <c r="Q102" s="15" t="s">
        <v>3502</v>
      </c>
      <c r="R102" s="15" t="s">
        <v>3503</v>
      </c>
      <c r="S102" s="15" t="s">
        <v>3495</v>
      </c>
      <c r="T102" s="15" t="s">
        <v>107</v>
      </c>
      <c r="U102" s="15" t="s">
        <v>3498</v>
      </c>
      <c r="V102" s="15" t="s">
        <v>109</v>
      </c>
      <c r="W102" s="15" t="s">
        <v>3504</v>
      </c>
      <c r="X102" s="16" t="s">
        <v>3505</v>
      </c>
      <c r="Y102" s="15" t="s">
        <v>114</v>
      </c>
      <c r="Z102" s="19" t="s">
        <v>107</v>
      </c>
      <c r="AA102" s="17">
        <v>182</v>
      </c>
      <c r="AB102" s="17">
        <v>1</v>
      </c>
      <c r="AC102" s="17">
        <v>277</v>
      </c>
      <c r="AD102" s="17">
        <v>1</v>
      </c>
      <c r="AE102" s="17">
        <v>423</v>
      </c>
      <c r="AF102" s="15" t="s">
        <v>142</v>
      </c>
      <c r="AG102" s="15" t="s">
        <v>157</v>
      </c>
      <c r="AH102" s="15" t="s">
        <v>3506</v>
      </c>
      <c r="AI102" s="20">
        <v>39748.800000000003</v>
      </c>
      <c r="AJ102" s="15">
        <v>0.2</v>
      </c>
      <c r="AK102" s="15" t="s">
        <v>3507</v>
      </c>
      <c r="AL102" s="15" t="s">
        <v>3508</v>
      </c>
      <c r="AM102" s="3">
        <f>(AI102*AJ102)/2</f>
        <v>3974.8800000000006</v>
      </c>
      <c r="AN102" s="7" t="s">
        <v>107</v>
      </c>
      <c r="AO102" s="7" t="s">
        <v>107</v>
      </c>
      <c r="AP102" s="7" t="s">
        <v>107</v>
      </c>
      <c r="AQ102" s="8" t="s">
        <v>107</v>
      </c>
      <c r="AR102" s="7" t="s">
        <v>107</v>
      </c>
      <c r="AS102" s="7" t="s">
        <v>107</v>
      </c>
      <c r="AT102" s="7" t="s">
        <v>107</v>
      </c>
      <c r="AU102" s="3"/>
      <c r="AV102" s="7" t="s">
        <v>107</v>
      </c>
      <c r="AW102" s="7" t="s">
        <v>107</v>
      </c>
      <c r="AX102" s="7" t="s">
        <v>107</v>
      </c>
      <c r="AY102" s="8" t="s">
        <v>107</v>
      </c>
      <c r="AZ102" s="7" t="s">
        <v>107</v>
      </c>
      <c r="BA102" s="7" t="s">
        <v>107</v>
      </c>
      <c r="BB102" s="7" t="s">
        <v>107</v>
      </c>
      <c r="BC102" s="3"/>
      <c r="BD102" s="7" t="s">
        <v>107</v>
      </c>
      <c r="BE102" s="7" t="s">
        <v>107</v>
      </c>
      <c r="BF102" s="7" t="s">
        <v>107</v>
      </c>
      <c r="BG102" s="7" t="s">
        <v>107</v>
      </c>
      <c r="BH102" s="7" t="s">
        <v>107</v>
      </c>
      <c r="BI102" s="7" t="s">
        <v>107</v>
      </c>
      <c r="BJ102" s="7" t="s">
        <v>107</v>
      </c>
      <c r="BK102" s="3"/>
      <c r="BL102" s="7" t="s">
        <v>107</v>
      </c>
      <c r="BM102" s="7" t="s">
        <v>107</v>
      </c>
      <c r="BN102" s="7" t="s">
        <v>107</v>
      </c>
      <c r="BO102" s="8" t="s">
        <v>107</v>
      </c>
      <c r="BP102" s="7" t="s">
        <v>107</v>
      </c>
      <c r="BQ102" s="7" t="s">
        <v>107</v>
      </c>
      <c r="BR102" s="7" t="s">
        <v>107</v>
      </c>
      <c r="BS102" s="3"/>
      <c r="BT102" s="7" t="s">
        <v>107</v>
      </c>
      <c r="BU102" s="7" t="s">
        <v>107</v>
      </c>
      <c r="BV102" s="7" t="s">
        <v>107</v>
      </c>
      <c r="BW102" s="8" t="s">
        <v>107</v>
      </c>
      <c r="BX102" s="7" t="s">
        <v>107</v>
      </c>
      <c r="BY102" s="7" t="s">
        <v>107</v>
      </c>
      <c r="BZ102" s="7" t="s">
        <v>107</v>
      </c>
      <c r="CA102" s="3"/>
      <c r="CB102" s="7"/>
      <c r="CC102" s="7" t="s">
        <v>107</v>
      </c>
      <c r="CD102" s="7" t="s">
        <v>107</v>
      </c>
      <c r="CE102" s="8" t="s">
        <v>107</v>
      </c>
      <c r="CF102" s="7" t="s">
        <v>107</v>
      </c>
      <c r="CG102" s="7" t="s">
        <v>107</v>
      </c>
      <c r="CH102" s="7" t="s">
        <v>107</v>
      </c>
      <c r="CI102" s="3"/>
      <c r="CJ102" s="7"/>
      <c r="CK102" s="7" t="s">
        <v>107</v>
      </c>
      <c r="CL102" s="7" t="s">
        <v>107</v>
      </c>
      <c r="CM102" s="8" t="s">
        <v>107</v>
      </c>
      <c r="CN102" s="7" t="s">
        <v>107</v>
      </c>
      <c r="CO102" s="7" t="s">
        <v>107</v>
      </c>
      <c r="CP102" s="7" t="s">
        <v>107</v>
      </c>
      <c r="CQ102" s="3"/>
      <c r="CR102" s="7"/>
      <c r="CS102" s="7" t="s">
        <v>107</v>
      </c>
      <c r="CT102" s="7" t="s">
        <v>107</v>
      </c>
      <c r="CU102" s="7" t="s">
        <v>107</v>
      </c>
      <c r="CV102" s="7" t="s">
        <v>107</v>
      </c>
      <c r="CW102" s="7" t="s">
        <v>107</v>
      </c>
      <c r="CX102" s="7" t="s">
        <v>107</v>
      </c>
      <c r="CY102" s="3"/>
      <c r="CZ102" s="7"/>
      <c r="DA102" s="7" t="s">
        <v>107</v>
      </c>
      <c r="DB102" s="7" t="s">
        <v>107</v>
      </c>
      <c r="DC102" s="7" t="s">
        <v>107</v>
      </c>
      <c r="DD102" s="7" t="s">
        <v>107</v>
      </c>
      <c r="DE102" s="7" t="s">
        <v>107</v>
      </c>
      <c r="DF102" s="7" t="s">
        <v>107</v>
      </c>
      <c r="DG102" s="3"/>
      <c r="DH102" s="7"/>
      <c r="DI102" s="7" t="s">
        <v>107</v>
      </c>
      <c r="DJ102" s="7" t="s">
        <v>107</v>
      </c>
      <c r="DK102" s="5">
        <f>AM102</f>
        <v>3974.8800000000006</v>
      </c>
      <c r="DL102" s="15" t="s">
        <v>3508</v>
      </c>
      <c r="DM102" s="51">
        <f>DL102*0.95</f>
        <v>3776.136</v>
      </c>
    </row>
    <row r="103" spans="1:117" ht="17.25" customHeight="1" x14ac:dyDescent="0.25">
      <c r="A103" s="50" t="s">
        <v>644</v>
      </c>
      <c r="B103" s="15" t="s">
        <v>645</v>
      </c>
      <c r="C103" s="15" t="s">
        <v>646</v>
      </c>
      <c r="D103" s="15" t="s">
        <v>647</v>
      </c>
      <c r="E103" s="15" t="s">
        <v>648</v>
      </c>
      <c r="F103" s="15" t="s">
        <v>649</v>
      </c>
      <c r="G103" s="15" t="s">
        <v>650</v>
      </c>
      <c r="H103" s="15" t="s">
        <v>651</v>
      </c>
      <c r="I103" s="15" t="s">
        <v>652</v>
      </c>
      <c r="J103" s="15" t="s">
        <v>4212</v>
      </c>
      <c r="K103" s="15" t="s">
        <v>151</v>
      </c>
      <c r="L103" s="15" t="s">
        <v>649</v>
      </c>
      <c r="M103" s="15" t="s">
        <v>653</v>
      </c>
      <c r="N103" s="15" t="s">
        <v>654</v>
      </c>
      <c r="O103" s="15" t="s">
        <v>655</v>
      </c>
      <c r="P103" s="15" t="s">
        <v>656</v>
      </c>
      <c r="Q103" s="15" t="s">
        <v>657</v>
      </c>
      <c r="R103" s="15" t="s">
        <v>480</v>
      </c>
      <c r="S103" s="15" t="s">
        <v>649</v>
      </c>
      <c r="T103" s="15" t="s">
        <v>107</v>
      </c>
      <c r="U103" s="15" t="s">
        <v>658</v>
      </c>
      <c r="V103" s="15" t="s">
        <v>109</v>
      </c>
      <c r="W103" s="15" t="s">
        <v>659</v>
      </c>
      <c r="X103" s="16" t="s">
        <v>660</v>
      </c>
      <c r="Y103" s="15" t="s">
        <v>114</v>
      </c>
      <c r="Z103" s="16" t="s">
        <v>661</v>
      </c>
      <c r="AA103" s="17">
        <v>150</v>
      </c>
      <c r="AB103" s="17">
        <v>0</v>
      </c>
      <c r="AC103" s="17">
        <v>0</v>
      </c>
      <c r="AD103" s="17">
        <v>0</v>
      </c>
      <c r="AE103" s="17">
        <v>0</v>
      </c>
      <c r="AF103" s="15" t="s">
        <v>142</v>
      </c>
      <c r="AG103" s="15" t="s">
        <v>480</v>
      </c>
      <c r="AH103" s="15" t="s">
        <v>657</v>
      </c>
      <c r="AI103" s="21">
        <v>66580</v>
      </c>
      <c r="AJ103" s="15">
        <v>0.15</v>
      </c>
      <c r="AK103" s="15" t="s">
        <v>662</v>
      </c>
      <c r="AL103" s="15" t="s">
        <v>663</v>
      </c>
      <c r="AM103" s="3">
        <f>(AI103*AJ103)/2</f>
        <v>4993.5</v>
      </c>
      <c r="AN103" s="7" t="s">
        <v>107</v>
      </c>
      <c r="AO103" s="7" t="s">
        <v>107</v>
      </c>
      <c r="AP103" s="7" t="s">
        <v>107</v>
      </c>
      <c r="AQ103" s="8" t="s">
        <v>107</v>
      </c>
      <c r="AR103" s="7" t="s">
        <v>107</v>
      </c>
      <c r="AS103" s="7" t="s">
        <v>107</v>
      </c>
      <c r="AT103" s="7" t="s">
        <v>107</v>
      </c>
      <c r="AU103" s="3"/>
      <c r="AV103" s="7" t="s">
        <v>107</v>
      </c>
      <c r="AW103" s="7" t="s">
        <v>107</v>
      </c>
      <c r="AX103" s="7" t="s">
        <v>107</v>
      </c>
      <c r="AY103" s="8" t="s">
        <v>107</v>
      </c>
      <c r="AZ103" s="7" t="s">
        <v>107</v>
      </c>
      <c r="BA103" s="7" t="s">
        <v>107</v>
      </c>
      <c r="BB103" s="7" t="s">
        <v>107</v>
      </c>
      <c r="BC103" s="3"/>
      <c r="BD103" s="7" t="s">
        <v>107</v>
      </c>
      <c r="BE103" s="7" t="s">
        <v>107</v>
      </c>
      <c r="BF103" s="7" t="s">
        <v>107</v>
      </c>
      <c r="BG103" s="7" t="s">
        <v>107</v>
      </c>
      <c r="BH103" s="7" t="s">
        <v>107</v>
      </c>
      <c r="BI103" s="7" t="s">
        <v>107</v>
      </c>
      <c r="BJ103" s="7" t="s">
        <v>107</v>
      </c>
      <c r="BK103" s="3"/>
      <c r="BL103" s="7" t="s">
        <v>107</v>
      </c>
      <c r="BM103" s="7" t="s">
        <v>107</v>
      </c>
      <c r="BN103" s="7" t="s">
        <v>107</v>
      </c>
      <c r="BO103" s="8" t="s">
        <v>107</v>
      </c>
      <c r="BP103" s="7" t="s">
        <v>107</v>
      </c>
      <c r="BQ103" s="7" t="s">
        <v>107</v>
      </c>
      <c r="BR103" s="7" t="s">
        <v>107</v>
      </c>
      <c r="BS103" s="3"/>
      <c r="BT103" s="7" t="s">
        <v>107</v>
      </c>
      <c r="BU103" s="7" t="s">
        <v>107</v>
      </c>
      <c r="BV103" s="7" t="s">
        <v>107</v>
      </c>
      <c r="BW103" s="8" t="s">
        <v>107</v>
      </c>
      <c r="BX103" s="7" t="s">
        <v>107</v>
      </c>
      <c r="BY103" s="7" t="s">
        <v>107</v>
      </c>
      <c r="BZ103" s="7" t="s">
        <v>107</v>
      </c>
      <c r="CA103" s="3"/>
      <c r="CB103" s="7"/>
      <c r="CC103" s="7" t="s">
        <v>107</v>
      </c>
      <c r="CD103" s="7" t="s">
        <v>107</v>
      </c>
      <c r="CE103" s="8" t="s">
        <v>107</v>
      </c>
      <c r="CF103" s="7" t="s">
        <v>107</v>
      </c>
      <c r="CG103" s="7" t="s">
        <v>107</v>
      </c>
      <c r="CH103" s="7" t="s">
        <v>107</v>
      </c>
      <c r="CI103" s="3"/>
      <c r="CJ103" s="7"/>
      <c r="CK103" s="7" t="s">
        <v>107</v>
      </c>
      <c r="CL103" s="7" t="s">
        <v>107</v>
      </c>
      <c r="CM103" s="8" t="s">
        <v>107</v>
      </c>
      <c r="CN103" s="7" t="s">
        <v>107</v>
      </c>
      <c r="CO103" s="7" t="s">
        <v>107</v>
      </c>
      <c r="CP103" s="7" t="s">
        <v>107</v>
      </c>
      <c r="CQ103" s="3"/>
      <c r="CR103" s="7"/>
      <c r="CS103" s="7" t="s">
        <v>107</v>
      </c>
      <c r="CT103" s="7" t="s">
        <v>107</v>
      </c>
      <c r="CU103" s="7" t="s">
        <v>107</v>
      </c>
      <c r="CV103" s="7" t="s">
        <v>107</v>
      </c>
      <c r="CW103" s="7" t="s">
        <v>107</v>
      </c>
      <c r="CX103" s="7" t="s">
        <v>107</v>
      </c>
      <c r="CY103" s="3"/>
      <c r="CZ103" s="7"/>
      <c r="DA103" s="7" t="s">
        <v>107</v>
      </c>
      <c r="DB103" s="7" t="s">
        <v>107</v>
      </c>
      <c r="DC103" s="7" t="s">
        <v>107</v>
      </c>
      <c r="DD103" s="7" t="s">
        <v>107</v>
      </c>
      <c r="DE103" s="7" t="s">
        <v>107</v>
      </c>
      <c r="DF103" s="7" t="s">
        <v>107</v>
      </c>
      <c r="DG103" s="3"/>
      <c r="DH103" s="7"/>
      <c r="DI103" s="7" t="s">
        <v>107</v>
      </c>
      <c r="DJ103" s="7" t="s">
        <v>107</v>
      </c>
      <c r="DK103" s="5">
        <f>AM103</f>
        <v>4993.5</v>
      </c>
      <c r="DL103" s="15" t="s">
        <v>664</v>
      </c>
      <c r="DM103" s="51">
        <f>DL103*0.95</f>
        <v>4744.3</v>
      </c>
    </row>
    <row r="104" spans="1:117" ht="17.25" customHeight="1" x14ac:dyDescent="0.25">
      <c r="A104" s="50" t="s">
        <v>3880</v>
      </c>
      <c r="B104" s="15" t="s">
        <v>331</v>
      </c>
      <c r="C104" s="15" t="s">
        <v>332</v>
      </c>
      <c r="D104" s="15" t="s">
        <v>333</v>
      </c>
      <c r="E104" s="15" t="s">
        <v>334</v>
      </c>
      <c r="F104" s="15" t="s">
        <v>335</v>
      </c>
      <c r="G104" s="15" t="s">
        <v>336</v>
      </c>
      <c r="H104" s="15" t="s">
        <v>337</v>
      </c>
      <c r="I104" s="15" t="s">
        <v>4003</v>
      </c>
      <c r="J104" s="15" t="s">
        <v>4372</v>
      </c>
      <c r="K104" s="15" t="s">
        <v>101</v>
      </c>
      <c r="L104" s="15" t="s">
        <v>335</v>
      </c>
      <c r="M104" s="15" t="s">
        <v>338</v>
      </c>
      <c r="N104" s="15" t="s">
        <v>4032</v>
      </c>
      <c r="O104" s="15" t="s">
        <v>339</v>
      </c>
      <c r="P104" s="15" t="s">
        <v>340</v>
      </c>
      <c r="Q104" s="15" t="s">
        <v>341</v>
      </c>
      <c r="R104" s="15" t="s">
        <v>4047</v>
      </c>
      <c r="S104" s="15" t="s">
        <v>335</v>
      </c>
      <c r="T104" s="15" t="s">
        <v>107</v>
      </c>
      <c r="U104" s="15" t="s">
        <v>342</v>
      </c>
      <c r="V104" s="15" t="s">
        <v>109</v>
      </c>
      <c r="W104" s="15" t="s">
        <v>343</v>
      </c>
      <c r="X104" s="16" t="s">
        <v>344</v>
      </c>
      <c r="Y104" s="15" t="s">
        <v>185</v>
      </c>
      <c r="Z104" s="16" t="s">
        <v>345</v>
      </c>
      <c r="AA104" s="17">
        <v>1273</v>
      </c>
      <c r="AB104" s="17">
        <v>7</v>
      </c>
      <c r="AC104" s="17">
        <v>581</v>
      </c>
      <c r="AD104" s="17">
        <v>3</v>
      </c>
      <c r="AE104" s="17">
        <v>605</v>
      </c>
      <c r="AF104" s="15" t="s">
        <v>118</v>
      </c>
      <c r="AG104" s="15" t="s">
        <v>115</v>
      </c>
      <c r="AH104" s="15" t="s">
        <v>346</v>
      </c>
      <c r="AI104" s="18">
        <v>31803.200000000001</v>
      </c>
      <c r="AJ104" s="15">
        <v>0.5</v>
      </c>
      <c r="AK104" s="15" t="s">
        <v>347</v>
      </c>
      <c r="AL104" s="15" t="s">
        <v>348</v>
      </c>
      <c r="AM104" s="3">
        <f>(AI104*AJ104)/2</f>
        <v>7950.8</v>
      </c>
      <c r="AN104" s="7" t="s">
        <v>107</v>
      </c>
      <c r="AO104" s="7" t="s">
        <v>107</v>
      </c>
      <c r="AP104" s="7" t="s">
        <v>107</v>
      </c>
      <c r="AQ104" s="8" t="s">
        <v>107</v>
      </c>
      <c r="AR104" s="7" t="s">
        <v>107</v>
      </c>
      <c r="AS104" s="7" t="s">
        <v>107</v>
      </c>
      <c r="AT104" s="7" t="s">
        <v>107</v>
      </c>
      <c r="AU104" s="3"/>
      <c r="AV104" s="7" t="s">
        <v>107</v>
      </c>
      <c r="AW104" s="7" t="s">
        <v>107</v>
      </c>
      <c r="AX104" s="7" t="s">
        <v>107</v>
      </c>
      <c r="AY104" s="8" t="s">
        <v>107</v>
      </c>
      <c r="AZ104" s="7" t="s">
        <v>107</v>
      </c>
      <c r="BA104" s="7" t="s">
        <v>107</v>
      </c>
      <c r="BB104" s="7" t="s">
        <v>107</v>
      </c>
      <c r="BC104" s="3"/>
      <c r="BD104" s="7" t="s">
        <v>107</v>
      </c>
      <c r="BE104" s="7" t="s">
        <v>107</v>
      </c>
      <c r="BF104" s="7" t="s">
        <v>107</v>
      </c>
      <c r="BG104" s="7" t="s">
        <v>107</v>
      </c>
      <c r="BH104" s="7" t="s">
        <v>107</v>
      </c>
      <c r="BI104" s="7" t="s">
        <v>107</v>
      </c>
      <c r="BJ104" s="7" t="s">
        <v>107</v>
      </c>
      <c r="BK104" s="3"/>
      <c r="BL104" s="7" t="s">
        <v>107</v>
      </c>
      <c r="BM104" s="7" t="s">
        <v>107</v>
      </c>
      <c r="BN104" s="7" t="s">
        <v>107</v>
      </c>
      <c r="BO104" s="8" t="s">
        <v>107</v>
      </c>
      <c r="BP104" s="7" t="s">
        <v>107</v>
      </c>
      <c r="BQ104" s="7" t="s">
        <v>107</v>
      </c>
      <c r="BR104" s="7" t="s">
        <v>107</v>
      </c>
      <c r="BS104" s="3"/>
      <c r="BT104" s="7" t="s">
        <v>107</v>
      </c>
      <c r="BU104" s="7" t="s">
        <v>107</v>
      </c>
      <c r="BV104" s="7" t="s">
        <v>107</v>
      </c>
      <c r="BW104" s="8" t="s">
        <v>107</v>
      </c>
      <c r="BX104" s="7" t="s">
        <v>107</v>
      </c>
      <c r="BY104" s="7" t="s">
        <v>107</v>
      </c>
      <c r="BZ104" s="7" t="s">
        <v>107</v>
      </c>
      <c r="CA104" s="3"/>
      <c r="CB104" s="7"/>
      <c r="CC104" s="7" t="s">
        <v>107</v>
      </c>
      <c r="CD104" s="7" t="s">
        <v>107</v>
      </c>
      <c r="CE104" s="8" t="s">
        <v>107</v>
      </c>
      <c r="CF104" s="7" t="s">
        <v>107</v>
      </c>
      <c r="CG104" s="7" t="s">
        <v>107</v>
      </c>
      <c r="CH104" s="7" t="s">
        <v>107</v>
      </c>
      <c r="CI104" s="3"/>
      <c r="CJ104" s="7"/>
      <c r="CK104" s="7" t="s">
        <v>107</v>
      </c>
      <c r="CL104" s="7" t="s">
        <v>107</v>
      </c>
      <c r="CM104" s="8" t="s">
        <v>107</v>
      </c>
      <c r="CN104" s="7" t="s">
        <v>107</v>
      </c>
      <c r="CO104" s="7" t="s">
        <v>107</v>
      </c>
      <c r="CP104" s="7" t="s">
        <v>107</v>
      </c>
      <c r="CQ104" s="3"/>
      <c r="CR104" s="7"/>
      <c r="CS104" s="7" t="s">
        <v>107</v>
      </c>
      <c r="CT104" s="7" t="s">
        <v>107</v>
      </c>
      <c r="CU104" s="7" t="s">
        <v>107</v>
      </c>
      <c r="CV104" s="7" t="s">
        <v>107</v>
      </c>
      <c r="CW104" s="7" t="s">
        <v>107</v>
      </c>
      <c r="CX104" s="7" t="s">
        <v>107</v>
      </c>
      <c r="CY104" s="3"/>
      <c r="CZ104" s="7"/>
      <c r="DA104" s="7" t="s">
        <v>107</v>
      </c>
      <c r="DB104" s="7" t="s">
        <v>107</v>
      </c>
      <c r="DC104" s="7" t="s">
        <v>107</v>
      </c>
      <c r="DD104" s="7" t="s">
        <v>107</v>
      </c>
      <c r="DE104" s="7" t="s">
        <v>107</v>
      </c>
      <c r="DF104" s="7" t="s">
        <v>107</v>
      </c>
      <c r="DG104" s="3"/>
      <c r="DH104" s="7"/>
      <c r="DI104" s="7" t="s">
        <v>107</v>
      </c>
      <c r="DJ104" s="7" t="s">
        <v>107</v>
      </c>
      <c r="DK104" s="5">
        <f>AM104</f>
        <v>7950.8</v>
      </c>
      <c r="DL104" s="15" t="s">
        <v>349</v>
      </c>
      <c r="DM104" s="51">
        <f>DL104*0.95</f>
        <v>7553.26</v>
      </c>
    </row>
    <row r="105" spans="1:117" ht="17.25" customHeight="1" x14ac:dyDescent="0.25">
      <c r="A105" s="50" t="s">
        <v>1577</v>
      </c>
      <c r="B105" s="15" t="s">
        <v>1578</v>
      </c>
      <c r="C105" s="15" t="s">
        <v>1579</v>
      </c>
      <c r="D105" s="15" t="s">
        <v>1580</v>
      </c>
      <c r="E105" s="15" t="s">
        <v>582</v>
      </c>
      <c r="F105" s="15" t="s">
        <v>1581</v>
      </c>
      <c r="G105" s="15" t="s">
        <v>1582</v>
      </c>
      <c r="H105" s="15" t="s">
        <v>1583</v>
      </c>
      <c r="I105" s="15" t="s">
        <v>1584</v>
      </c>
      <c r="J105" s="15" t="s">
        <v>4255</v>
      </c>
      <c r="K105" s="15" t="s">
        <v>151</v>
      </c>
      <c r="L105" s="15" t="s">
        <v>1581</v>
      </c>
      <c r="M105" s="15" t="s">
        <v>1585</v>
      </c>
      <c r="N105" s="15" t="s">
        <v>1586</v>
      </c>
      <c r="O105" s="15" t="s">
        <v>1587</v>
      </c>
      <c r="P105" s="15" t="s">
        <v>1588</v>
      </c>
      <c r="Q105" s="15" t="s">
        <v>1589</v>
      </c>
      <c r="R105" s="15" t="s">
        <v>761</v>
      </c>
      <c r="S105" s="15" t="s">
        <v>1581</v>
      </c>
      <c r="T105" s="15" t="s">
        <v>107</v>
      </c>
      <c r="U105" s="15" t="s">
        <v>1590</v>
      </c>
      <c r="V105" s="15" t="s">
        <v>109</v>
      </c>
      <c r="W105" s="15" t="s">
        <v>1591</v>
      </c>
      <c r="X105" s="16" t="s">
        <v>1592</v>
      </c>
      <c r="Y105" s="15" t="s">
        <v>114</v>
      </c>
      <c r="Z105" s="16" t="s">
        <v>1593</v>
      </c>
      <c r="AA105" s="17">
        <v>210</v>
      </c>
      <c r="AB105" s="17">
        <v>1</v>
      </c>
      <c r="AC105" s="17">
        <v>158</v>
      </c>
      <c r="AD105" s="17">
        <v>1</v>
      </c>
      <c r="AE105" s="17">
        <v>298</v>
      </c>
      <c r="AF105" s="15" t="s">
        <v>118</v>
      </c>
      <c r="AG105" s="15" t="s">
        <v>460</v>
      </c>
      <c r="AH105" s="15" t="s">
        <v>1589</v>
      </c>
      <c r="AI105" s="18">
        <v>56452</v>
      </c>
      <c r="AJ105" s="15">
        <v>0.5</v>
      </c>
      <c r="AK105" s="15" t="s">
        <v>1594</v>
      </c>
      <c r="AL105" s="15" t="s">
        <v>1595</v>
      </c>
      <c r="AM105" s="3">
        <f>(AI105*AJ105)/2</f>
        <v>14113</v>
      </c>
      <c r="AN105" s="7" t="s">
        <v>107</v>
      </c>
      <c r="AO105" s="7" t="s">
        <v>107</v>
      </c>
      <c r="AP105" s="7" t="s">
        <v>107</v>
      </c>
      <c r="AQ105" s="8" t="s">
        <v>107</v>
      </c>
      <c r="AR105" s="7" t="s">
        <v>107</v>
      </c>
      <c r="AS105" s="7" t="s">
        <v>107</v>
      </c>
      <c r="AT105" s="7" t="s">
        <v>107</v>
      </c>
      <c r="AU105" s="3"/>
      <c r="AV105" s="7" t="s">
        <v>107</v>
      </c>
      <c r="AW105" s="7" t="s">
        <v>107</v>
      </c>
      <c r="AX105" s="7" t="s">
        <v>107</v>
      </c>
      <c r="AY105" s="8" t="s">
        <v>107</v>
      </c>
      <c r="AZ105" s="7" t="s">
        <v>107</v>
      </c>
      <c r="BA105" s="7" t="s">
        <v>107</v>
      </c>
      <c r="BB105" s="7" t="s">
        <v>107</v>
      </c>
      <c r="BC105" s="3"/>
      <c r="BD105" s="7" t="s">
        <v>107</v>
      </c>
      <c r="BE105" s="7" t="s">
        <v>107</v>
      </c>
      <c r="BF105" s="7" t="s">
        <v>107</v>
      </c>
      <c r="BG105" s="7" t="s">
        <v>107</v>
      </c>
      <c r="BH105" s="7" t="s">
        <v>107</v>
      </c>
      <c r="BI105" s="7" t="s">
        <v>107</v>
      </c>
      <c r="BJ105" s="7" t="s">
        <v>107</v>
      </c>
      <c r="BK105" s="3"/>
      <c r="BL105" s="7" t="s">
        <v>107</v>
      </c>
      <c r="BM105" s="7" t="s">
        <v>107</v>
      </c>
      <c r="BN105" s="7" t="s">
        <v>107</v>
      </c>
      <c r="BO105" s="8" t="s">
        <v>107</v>
      </c>
      <c r="BP105" s="7" t="s">
        <v>107</v>
      </c>
      <c r="BQ105" s="7" t="s">
        <v>107</v>
      </c>
      <c r="BR105" s="7" t="s">
        <v>107</v>
      </c>
      <c r="BS105" s="3"/>
      <c r="BT105" s="7" t="s">
        <v>107</v>
      </c>
      <c r="BU105" s="7" t="s">
        <v>107</v>
      </c>
      <c r="BV105" s="7" t="s">
        <v>107</v>
      </c>
      <c r="BW105" s="8" t="s">
        <v>107</v>
      </c>
      <c r="BX105" s="7" t="s">
        <v>107</v>
      </c>
      <c r="BY105" s="7" t="s">
        <v>107</v>
      </c>
      <c r="BZ105" s="7" t="s">
        <v>107</v>
      </c>
      <c r="CA105" s="3"/>
      <c r="CB105" s="7"/>
      <c r="CC105" s="7" t="s">
        <v>107</v>
      </c>
      <c r="CD105" s="7" t="s">
        <v>107</v>
      </c>
      <c r="CE105" s="8" t="s">
        <v>107</v>
      </c>
      <c r="CF105" s="7" t="s">
        <v>107</v>
      </c>
      <c r="CG105" s="7" t="s">
        <v>107</v>
      </c>
      <c r="CH105" s="7" t="s">
        <v>107</v>
      </c>
      <c r="CI105" s="3"/>
      <c r="CJ105" s="7"/>
      <c r="CK105" s="7" t="s">
        <v>107</v>
      </c>
      <c r="CL105" s="7" t="s">
        <v>107</v>
      </c>
      <c r="CM105" s="8" t="s">
        <v>107</v>
      </c>
      <c r="CN105" s="7" t="s">
        <v>107</v>
      </c>
      <c r="CO105" s="7" t="s">
        <v>107</v>
      </c>
      <c r="CP105" s="7" t="s">
        <v>107</v>
      </c>
      <c r="CQ105" s="3"/>
      <c r="CR105" s="7"/>
      <c r="CS105" s="7" t="s">
        <v>107</v>
      </c>
      <c r="CT105" s="7" t="s">
        <v>107</v>
      </c>
      <c r="CU105" s="7" t="s">
        <v>107</v>
      </c>
      <c r="CV105" s="7" t="s">
        <v>107</v>
      </c>
      <c r="CW105" s="7" t="s">
        <v>107</v>
      </c>
      <c r="CX105" s="7" t="s">
        <v>107</v>
      </c>
      <c r="CY105" s="3"/>
      <c r="CZ105" s="7"/>
      <c r="DA105" s="7" t="s">
        <v>107</v>
      </c>
      <c r="DB105" s="7" t="s">
        <v>107</v>
      </c>
      <c r="DC105" s="7" t="s">
        <v>107</v>
      </c>
      <c r="DD105" s="7" t="s">
        <v>107</v>
      </c>
      <c r="DE105" s="7" t="s">
        <v>107</v>
      </c>
      <c r="DF105" s="7" t="s">
        <v>107</v>
      </c>
      <c r="DG105" s="3"/>
      <c r="DH105" s="7"/>
      <c r="DI105" s="7" t="s">
        <v>107</v>
      </c>
      <c r="DJ105" s="7" t="s">
        <v>107</v>
      </c>
      <c r="DK105" s="5">
        <f>AM105</f>
        <v>14113</v>
      </c>
      <c r="DL105" s="15" t="s">
        <v>1595</v>
      </c>
      <c r="DM105" s="51">
        <f>DL105*0.95</f>
        <v>13407.349999999999</v>
      </c>
    </row>
    <row r="106" spans="1:117" ht="17.25" customHeight="1" x14ac:dyDescent="0.25">
      <c r="A106" s="50" t="s">
        <v>1859</v>
      </c>
      <c r="B106" s="15" t="s">
        <v>1860</v>
      </c>
      <c r="C106" s="15" t="s">
        <v>1861</v>
      </c>
      <c r="D106" s="15" t="s">
        <v>1862</v>
      </c>
      <c r="E106" s="15" t="s">
        <v>1863</v>
      </c>
      <c r="F106" s="15" t="s">
        <v>1864</v>
      </c>
      <c r="G106" s="15" t="s">
        <v>107</v>
      </c>
      <c r="H106" s="15" t="s">
        <v>1865</v>
      </c>
      <c r="I106" s="15" t="s">
        <v>4004</v>
      </c>
      <c r="J106" s="15" t="s">
        <v>4202</v>
      </c>
      <c r="K106" s="15" t="s">
        <v>151</v>
      </c>
      <c r="L106" s="15" t="s">
        <v>1864</v>
      </c>
      <c r="M106" s="15" t="s">
        <v>1866</v>
      </c>
      <c r="N106" s="15" t="s">
        <v>1867</v>
      </c>
      <c r="O106" s="15" t="s">
        <v>1868</v>
      </c>
      <c r="P106" s="15" t="s">
        <v>107</v>
      </c>
      <c r="Q106" s="15" t="s">
        <v>4004</v>
      </c>
      <c r="R106" s="15" t="s">
        <v>151</v>
      </c>
      <c r="S106" s="15" t="s">
        <v>1864</v>
      </c>
      <c r="T106" s="15" t="s">
        <v>107</v>
      </c>
      <c r="U106" s="15" t="s">
        <v>1866</v>
      </c>
      <c r="V106" s="15" t="s">
        <v>109</v>
      </c>
      <c r="W106" s="15" t="s">
        <v>1869</v>
      </c>
      <c r="X106" s="16" t="s">
        <v>1870</v>
      </c>
      <c r="Y106" s="15" t="s">
        <v>114</v>
      </c>
      <c r="Z106" s="16" t="s">
        <v>4085</v>
      </c>
      <c r="AA106" s="17">
        <v>190</v>
      </c>
      <c r="AB106" s="17">
        <v>1</v>
      </c>
      <c r="AC106" s="17">
        <v>100</v>
      </c>
      <c r="AD106" s="17">
        <v>0</v>
      </c>
      <c r="AE106" s="17">
        <v>0</v>
      </c>
      <c r="AF106" s="15" t="s">
        <v>142</v>
      </c>
      <c r="AG106" s="15" t="s">
        <v>132</v>
      </c>
      <c r="AH106" s="15" t="s">
        <v>1871</v>
      </c>
      <c r="AI106" s="18">
        <v>40000</v>
      </c>
      <c r="AJ106" s="15">
        <v>0.1</v>
      </c>
      <c r="AK106" s="15" t="s">
        <v>1872</v>
      </c>
      <c r="AL106" s="15" t="s">
        <v>1873</v>
      </c>
      <c r="AM106" s="3">
        <f>(AI106*AJ106)/2</f>
        <v>2000</v>
      </c>
      <c r="AN106" s="7" t="s">
        <v>107</v>
      </c>
      <c r="AO106" s="7" t="s">
        <v>107</v>
      </c>
      <c r="AP106" s="7" t="s">
        <v>107</v>
      </c>
      <c r="AQ106" s="8" t="s">
        <v>107</v>
      </c>
      <c r="AR106" s="7" t="s">
        <v>107</v>
      </c>
      <c r="AS106" s="7" t="s">
        <v>107</v>
      </c>
      <c r="AT106" s="7" t="s">
        <v>107</v>
      </c>
      <c r="AU106" s="3"/>
      <c r="AV106" s="7" t="s">
        <v>107</v>
      </c>
      <c r="AW106" s="7" t="s">
        <v>107</v>
      </c>
      <c r="AX106" s="7" t="s">
        <v>107</v>
      </c>
      <c r="AY106" s="8" t="s">
        <v>107</v>
      </c>
      <c r="AZ106" s="7" t="s">
        <v>107</v>
      </c>
      <c r="BA106" s="7" t="s">
        <v>107</v>
      </c>
      <c r="BB106" s="7" t="s">
        <v>107</v>
      </c>
      <c r="BC106" s="3"/>
      <c r="BD106" s="7" t="s">
        <v>107</v>
      </c>
      <c r="BE106" s="7" t="s">
        <v>107</v>
      </c>
      <c r="BF106" s="7" t="s">
        <v>107</v>
      </c>
      <c r="BG106" s="7" t="s">
        <v>107</v>
      </c>
      <c r="BH106" s="7" t="s">
        <v>107</v>
      </c>
      <c r="BI106" s="7" t="s">
        <v>107</v>
      </c>
      <c r="BJ106" s="7" t="s">
        <v>107</v>
      </c>
      <c r="BK106" s="3"/>
      <c r="BL106" s="7" t="s">
        <v>107</v>
      </c>
      <c r="BM106" s="7" t="s">
        <v>107</v>
      </c>
      <c r="BN106" s="7" t="s">
        <v>107</v>
      </c>
      <c r="BO106" s="8" t="s">
        <v>107</v>
      </c>
      <c r="BP106" s="7" t="s">
        <v>107</v>
      </c>
      <c r="BQ106" s="7" t="s">
        <v>107</v>
      </c>
      <c r="BR106" s="7" t="s">
        <v>107</v>
      </c>
      <c r="BS106" s="3"/>
      <c r="BT106" s="7" t="s">
        <v>107</v>
      </c>
      <c r="BU106" s="7" t="s">
        <v>107</v>
      </c>
      <c r="BV106" s="7" t="s">
        <v>107</v>
      </c>
      <c r="BW106" s="8" t="s">
        <v>107</v>
      </c>
      <c r="BX106" s="7" t="s">
        <v>107</v>
      </c>
      <c r="BY106" s="7" t="s">
        <v>107</v>
      </c>
      <c r="BZ106" s="7" t="s">
        <v>107</v>
      </c>
      <c r="CA106" s="3"/>
      <c r="CB106" s="7"/>
      <c r="CC106" s="7" t="s">
        <v>107</v>
      </c>
      <c r="CD106" s="7" t="s">
        <v>107</v>
      </c>
      <c r="CE106" s="8" t="s">
        <v>107</v>
      </c>
      <c r="CF106" s="7" t="s">
        <v>107</v>
      </c>
      <c r="CG106" s="7" t="s">
        <v>107</v>
      </c>
      <c r="CH106" s="7" t="s">
        <v>107</v>
      </c>
      <c r="CI106" s="3"/>
      <c r="CJ106" s="7"/>
      <c r="CK106" s="7" t="s">
        <v>107</v>
      </c>
      <c r="CL106" s="7" t="s">
        <v>107</v>
      </c>
      <c r="CM106" s="8" t="s">
        <v>107</v>
      </c>
      <c r="CN106" s="7" t="s">
        <v>107</v>
      </c>
      <c r="CO106" s="7" t="s">
        <v>107</v>
      </c>
      <c r="CP106" s="7" t="s">
        <v>107</v>
      </c>
      <c r="CQ106" s="3"/>
      <c r="CR106" s="7"/>
      <c r="CS106" s="7" t="s">
        <v>107</v>
      </c>
      <c r="CT106" s="7" t="s">
        <v>107</v>
      </c>
      <c r="CU106" s="7" t="s">
        <v>107</v>
      </c>
      <c r="CV106" s="7" t="s">
        <v>107</v>
      </c>
      <c r="CW106" s="7" t="s">
        <v>107</v>
      </c>
      <c r="CX106" s="7" t="s">
        <v>107</v>
      </c>
      <c r="CY106" s="3"/>
      <c r="CZ106" s="7"/>
      <c r="DA106" s="7" t="s">
        <v>107</v>
      </c>
      <c r="DB106" s="7" t="s">
        <v>107</v>
      </c>
      <c r="DC106" s="7" t="s">
        <v>107</v>
      </c>
      <c r="DD106" s="7" t="s">
        <v>107</v>
      </c>
      <c r="DE106" s="7" t="s">
        <v>107</v>
      </c>
      <c r="DF106" s="7" t="s">
        <v>107</v>
      </c>
      <c r="DG106" s="3"/>
      <c r="DH106" s="7"/>
      <c r="DI106" s="7" t="s">
        <v>107</v>
      </c>
      <c r="DJ106" s="7" t="s">
        <v>107</v>
      </c>
      <c r="DK106" s="5">
        <f>AM106</f>
        <v>2000</v>
      </c>
      <c r="DL106" s="15" t="s">
        <v>1873</v>
      </c>
      <c r="DM106" s="51">
        <f>DL106*0.95</f>
        <v>1900</v>
      </c>
    </row>
    <row r="107" spans="1:117" ht="17.25" customHeight="1" x14ac:dyDescent="0.25">
      <c r="A107" s="50" t="s">
        <v>3881</v>
      </c>
      <c r="B107" s="15" t="s">
        <v>2880</v>
      </c>
      <c r="C107" s="15" t="s">
        <v>2881</v>
      </c>
      <c r="D107" s="15" t="s">
        <v>2628</v>
      </c>
      <c r="E107" s="15" t="s">
        <v>1381</v>
      </c>
      <c r="F107" s="15" t="s">
        <v>2882</v>
      </c>
      <c r="G107" s="15" t="s">
        <v>2883</v>
      </c>
      <c r="H107" s="15" t="s">
        <v>2884</v>
      </c>
      <c r="I107" s="15" t="s">
        <v>4005</v>
      </c>
      <c r="J107" s="15" t="s">
        <v>4316</v>
      </c>
      <c r="K107" s="15" t="s">
        <v>151</v>
      </c>
      <c r="L107" s="15" t="s">
        <v>2885</v>
      </c>
      <c r="M107" s="15" t="s">
        <v>2886</v>
      </c>
      <c r="N107" s="15" t="s">
        <v>2887</v>
      </c>
      <c r="O107" s="15" t="s">
        <v>2888</v>
      </c>
      <c r="P107" s="15" t="s">
        <v>2889</v>
      </c>
      <c r="Q107" s="15" t="s">
        <v>2890</v>
      </c>
      <c r="R107" s="15" t="s">
        <v>282</v>
      </c>
      <c r="S107" s="15" t="s">
        <v>2891</v>
      </c>
      <c r="T107" s="15" t="s">
        <v>107</v>
      </c>
      <c r="U107" s="15" t="s">
        <v>2892</v>
      </c>
      <c r="V107" s="15" t="s">
        <v>109</v>
      </c>
      <c r="W107" s="15" t="s">
        <v>2893</v>
      </c>
      <c r="X107" s="16" t="s">
        <v>2894</v>
      </c>
      <c r="Y107" s="15" t="s">
        <v>114</v>
      </c>
      <c r="Z107" s="16" t="s">
        <v>2895</v>
      </c>
      <c r="AA107" s="17">
        <v>436</v>
      </c>
      <c r="AB107" s="17">
        <v>2</v>
      </c>
      <c r="AC107" s="17">
        <v>624</v>
      </c>
      <c r="AD107" s="17">
        <v>1</v>
      </c>
      <c r="AE107" s="17">
        <v>175</v>
      </c>
      <c r="AF107" s="15" t="s">
        <v>142</v>
      </c>
      <c r="AG107" s="15" t="s">
        <v>460</v>
      </c>
      <c r="AH107" s="15" t="s">
        <v>2896</v>
      </c>
      <c r="AI107" s="18">
        <v>70886</v>
      </c>
      <c r="AJ107" s="15">
        <v>0.25</v>
      </c>
      <c r="AK107" s="15" t="s">
        <v>2897</v>
      </c>
      <c r="AL107" s="15" t="s">
        <v>2898</v>
      </c>
      <c r="AM107" s="3">
        <f>(AI107*AJ107)/2</f>
        <v>8860.75</v>
      </c>
      <c r="AN107" s="7" t="s">
        <v>196</v>
      </c>
      <c r="AO107" s="7" t="s">
        <v>460</v>
      </c>
      <c r="AP107" s="7" t="s">
        <v>2899</v>
      </c>
      <c r="AQ107" s="8">
        <v>70886</v>
      </c>
      <c r="AR107" s="7">
        <v>5.0000000000000001E-3</v>
      </c>
      <c r="AS107" s="7" t="s">
        <v>766</v>
      </c>
      <c r="AT107" s="7" t="s">
        <v>2900</v>
      </c>
      <c r="AU107" s="3">
        <f>(AQ107*AR107)/2</f>
        <v>177.215</v>
      </c>
      <c r="AV107" s="7" t="s">
        <v>107</v>
      </c>
      <c r="AW107" s="7" t="s">
        <v>107</v>
      </c>
      <c r="AX107" s="7" t="s">
        <v>107</v>
      </c>
      <c r="AY107" s="8" t="s">
        <v>107</v>
      </c>
      <c r="AZ107" s="7" t="s">
        <v>107</v>
      </c>
      <c r="BA107" s="7" t="s">
        <v>107</v>
      </c>
      <c r="BB107" s="7" t="s">
        <v>107</v>
      </c>
      <c r="BC107" s="3"/>
      <c r="BD107" s="7" t="s">
        <v>107</v>
      </c>
      <c r="BE107" s="7" t="s">
        <v>107</v>
      </c>
      <c r="BF107" s="7" t="s">
        <v>107</v>
      </c>
      <c r="BG107" s="7" t="s">
        <v>107</v>
      </c>
      <c r="BH107" s="7" t="s">
        <v>107</v>
      </c>
      <c r="BI107" s="7" t="s">
        <v>107</v>
      </c>
      <c r="BJ107" s="7" t="s">
        <v>107</v>
      </c>
      <c r="BK107" s="3"/>
      <c r="BL107" s="7" t="s">
        <v>107</v>
      </c>
      <c r="BM107" s="7" t="s">
        <v>107</v>
      </c>
      <c r="BN107" s="7" t="s">
        <v>107</v>
      </c>
      <c r="BO107" s="8" t="s">
        <v>107</v>
      </c>
      <c r="BP107" s="7" t="s">
        <v>107</v>
      </c>
      <c r="BQ107" s="7" t="s">
        <v>107</v>
      </c>
      <c r="BR107" s="7" t="s">
        <v>107</v>
      </c>
      <c r="BS107" s="3"/>
      <c r="BT107" s="7" t="s">
        <v>107</v>
      </c>
      <c r="BU107" s="7" t="s">
        <v>107</v>
      </c>
      <c r="BV107" s="7" t="s">
        <v>107</v>
      </c>
      <c r="BW107" s="8" t="s">
        <v>107</v>
      </c>
      <c r="BX107" s="7" t="s">
        <v>107</v>
      </c>
      <c r="BY107" s="7" t="s">
        <v>107</v>
      </c>
      <c r="BZ107" s="7" t="s">
        <v>107</v>
      </c>
      <c r="CA107" s="3"/>
      <c r="CB107" s="7"/>
      <c r="CC107" s="7" t="s">
        <v>107</v>
      </c>
      <c r="CD107" s="7" t="s">
        <v>107</v>
      </c>
      <c r="CE107" s="8" t="s">
        <v>107</v>
      </c>
      <c r="CF107" s="7" t="s">
        <v>107</v>
      </c>
      <c r="CG107" s="7" t="s">
        <v>107</v>
      </c>
      <c r="CH107" s="7" t="s">
        <v>107</v>
      </c>
      <c r="CI107" s="3"/>
      <c r="CJ107" s="7"/>
      <c r="CK107" s="7" t="s">
        <v>107</v>
      </c>
      <c r="CL107" s="7" t="s">
        <v>107</v>
      </c>
      <c r="CM107" s="8" t="s">
        <v>107</v>
      </c>
      <c r="CN107" s="7" t="s">
        <v>107</v>
      </c>
      <c r="CO107" s="7" t="s">
        <v>107</v>
      </c>
      <c r="CP107" s="7" t="s">
        <v>107</v>
      </c>
      <c r="CQ107" s="3"/>
      <c r="CR107" s="7"/>
      <c r="CS107" s="7" t="s">
        <v>107</v>
      </c>
      <c r="CT107" s="7" t="s">
        <v>107</v>
      </c>
      <c r="CU107" s="7" t="s">
        <v>107</v>
      </c>
      <c r="CV107" s="7" t="s">
        <v>107</v>
      </c>
      <c r="CW107" s="7" t="s">
        <v>107</v>
      </c>
      <c r="CX107" s="7" t="s">
        <v>107</v>
      </c>
      <c r="CY107" s="3"/>
      <c r="CZ107" s="7"/>
      <c r="DA107" s="7" t="s">
        <v>107</v>
      </c>
      <c r="DB107" s="7" t="s">
        <v>107</v>
      </c>
      <c r="DC107" s="7" t="s">
        <v>107</v>
      </c>
      <c r="DD107" s="7" t="s">
        <v>107</v>
      </c>
      <c r="DE107" s="7" t="s">
        <v>107</v>
      </c>
      <c r="DF107" s="7" t="s">
        <v>107</v>
      </c>
      <c r="DG107" s="3"/>
      <c r="DH107" s="7"/>
      <c r="DI107" s="7" t="s">
        <v>107</v>
      </c>
      <c r="DJ107" s="7" t="s">
        <v>107</v>
      </c>
      <c r="DK107" s="5">
        <f>AM107+AU107</f>
        <v>9037.9650000000001</v>
      </c>
      <c r="DL107" s="15" t="s">
        <v>2901</v>
      </c>
      <c r="DM107" s="51">
        <f>DL107*0.95</f>
        <v>8585.15</v>
      </c>
    </row>
    <row r="108" spans="1:117" ht="17.25" customHeight="1" x14ac:dyDescent="0.25">
      <c r="A108" s="50" t="s">
        <v>3460</v>
      </c>
      <c r="B108" s="15" t="s">
        <v>3461</v>
      </c>
      <c r="C108" s="15" t="s">
        <v>270</v>
      </c>
      <c r="D108" s="15" t="s">
        <v>271</v>
      </c>
      <c r="E108" s="15" t="s">
        <v>272</v>
      </c>
      <c r="F108" s="15" t="s">
        <v>3462</v>
      </c>
      <c r="G108" s="15" t="s">
        <v>3463</v>
      </c>
      <c r="H108" s="15" t="s">
        <v>3464</v>
      </c>
      <c r="I108" s="15" t="s">
        <v>3465</v>
      </c>
      <c r="J108" s="15" t="s">
        <v>4344</v>
      </c>
      <c r="K108" s="15" t="s">
        <v>151</v>
      </c>
      <c r="L108" s="15" t="s">
        <v>3462</v>
      </c>
      <c r="M108" s="15" t="s">
        <v>3466</v>
      </c>
      <c r="N108" s="15" t="s">
        <v>3467</v>
      </c>
      <c r="O108" s="15" t="s">
        <v>3468</v>
      </c>
      <c r="P108" s="15" t="s">
        <v>3469</v>
      </c>
      <c r="Q108" s="15" t="s">
        <v>3465</v>
      </c>
      <c r="R108" s="15" t="s">
        <v>151</v>
      </c>
      <c r="S108" s="15" t="s">
        <v>3462</v>
      </c>
      <c r="T108" s="15" t="s">
        <v>107</v>
      </c>
      <c r="U108" s="15" t="s">
        <v>3466</v>
      </c>
      <c r="V108" s="15" t="s">
        <v>109</v>
      </c>
      <c r="W108" s="15" t="s">
        <v>3470</v>
      </c>
      <c r="X108" s="16" t="s">
        <v>3471</v>
      </c>
      <c r="Y108" s="15" t="s">
        <v>185</v>
      </c>
      <c r="Z108" s="16" t="s">
        <v>3472</v>
      </c>
      <c r="AA108" s="17">
        <v>3500</v>
      </c>
      <c r="AB108" s="17">
        <v>1</v>
      </c>
      <c r="AC108" s="17">
        <v>800</v>
      </c>
      <c r="AD108" s="17">
        <v>1</v>
      </c>
      <c r="AE108" s="17">
        <v>2400</v>
      </c>
      <c r="AF108" s="15" t="s">
        <v>118</v>
      </c>
      <c r="AG108" s="15" t="s">
        <v>480</v>
      </c>
      <c r="AH108" s="15" t="s">
        <v>3473</v>
      </c>
      <c r="AI108" s="18">
        <v>50232</v>
      </c>
      <c r="AJ108" s="15">
        <v>0.8</v>
      </c>
      <c r="AK108" s="15" t="s">
        <v>3474</v>
      </c>
      <c r="AL108" s="15" t="s">
        <v>3475</v>
      </c>
      <c r="AM108" s="3">
        <f>(AI108*AJ108)/2</f>
        <v>20092.800000000003</v>
      </c>
      <c r="AN108" s="7" t="s">
        <v>107</v>
      </c>
      <c r="AO108" s="7" t="s">
        <v>107</v>
      </c>
      <c r="AP108" s="7" t="s">
        <v>107</v>
      </c>
      <c r="AQ108" s="8" t="s">
        <v>107</v>
      </c>
      <c r="AR108" s="7" t="s">
        <v>107</v>
      </c>
      <c r="AS108" s="7" t="s">
        <v>107</v>
      </c>
      <c r="AT108" s="7" t="s">
        <v>107</v>
      </c>
      <c r="AU108" s="3"/>
      <c r="AV108" s="7" t="s">
        <v>107</v>
      </c>
      <c r="AW108" s="7" t="s">
        <v>107</v>
      </c>
      <c r="AX108" s="7" t="s">
        <v>107</v>
      </c>
      <c r="AY108" s="8" t="s">
        <v>107</v>
      </c>
      <c r="AZ108" s="7" t="s">
        <v>107</v>
      </c>
      <c r="BA108" s="7" t="s">
        <v>107</v>
      </c>
      <c r="BB108" s="7" t="s">
        <v>107</v>
      </c>
      <c r="BC108" s="3"/>
      <c r="BD108" s="7" t="s">
        <v>107</v>
      </c>
      <c r="BE108" s="7" t="s">
        <v>107</v>
      </c>
      <c r="BF108" s="7" t="s">
        <v>107</v>
      </c>
      <c r="BG108" s="7" t="s">
        <v>107</v>
      </c>
      <c r="BH108" s="7" t="s">
        <v>107</v>
      </c>
      <c r="BI108" s="7" t="s">
        <v>107</v>
      </c>
      <c r="BJ108" s="7" t="s">
        <v>107</v>
      </c>
      <c r="BK108" s="3"/>
      <c r="BL108" s="7" t="s">
        <v>107</v>
      </c>
      <c r="BM108" s="7" t="s">
        <v>107</v>
      </c>
      <c r="BN108" s="7" t="s">
        <v>107</v>
      </c>
      <c r="BO108" s="8" t="s">
        <v>107</v>
      </c>
      <c r="BP108" s="7" t="s">
        <v>107</v>
      </c>
      <c r="BQ108" s="7" t="s">
        <v>107</v>
      </c>
      <c r="BR108" s="7" t="s">
        <v>107</v>
      </c>
      <c r="BS108" s="3"/>
      <c r="BT108" s="7" t="s">
        <v>107</v>
      </c>
      <c r="BU108" s="7" t="s">
        <v>107</v>
      </c>
      <c r="BV108" s="7" t="s">
        <v>107</v>
      </c>
      <c r="BW108" s="8" t="s">
        <v>107</v>
      </c>
      <c r="BX108" s="7" t="s">
        <v>107</v>
      </c>
      <c r="BY108" s="7" t="s">
        <v>107</v>
      </c>
      <c r="BZ108" s="7" t="s">
        <v>107</v>
      </c>
      <c r="CA108" s="3"/>
      <c r="CB108" s="7"/>
      <c r="CC108" s="7" t="s">
        <v>107</v>
      </c>
      <c r="CD108" s="7" t="s">
        <v>107</v>
      </c>
      <c r="CE108" s="8" t="s">
        <v>107</v>
      </c>
      <c r="CF108" s="7" t="s">
        <v>107</v>
      </c>
      <c r="CG108" s="7" t="s">
        <v>107</v>
      </c>
      <c r="CH108" s="7" t="s">
        <v>107</v>
      </c>
      <c r="CI108" s="3"/>
      <c r="CJ108" s="7"/>
      <c r="CK108" s="7" t="s">
        <v>107</v>
      </c>
      <c r="CL108" s="7" t="s">
        <v>107</v>
      </c>
      <c r="CM108" s="8" t="s">
        <v>107</v>
      </c>
      <c r="CN108" s="7" t="s">
        <v>107</v>
      </c>
      <c r="CO108" s="7" t="s">
        <v>107</v>
      </c>
      <c r="CP108" s="7" t="s">
        <v>107</v>
      </c>
      <c r="CQ108" s="3"/>
      <c r="CR108" s="7"/>
      <c r="CS108" s="7" t="s">
        <v>107</v>
      </c>
      <c r="CT108" s="7" t="s">
        <v>107</v>
      </c>
      <c r="CU108" s="7" t="s">
        <v>107</v>
      </c>
      <c r="CV108" s="7" t="s">
        <v>107</v>
      </c>
      <c r="CW108" s="7" t="s">
        <v>107</v>
      </c>
      <c r="CX108" s="7" t="s">
        <v>107</v>
      </c>
      <c r="CY108" s="3"/>
      <c r="CZ108" s="7"/>
      <c r="DA108" s="7" t="s">
        <v>107</v>
      </c>
      <c r="DB108" s="7" t="s">
        <v>107</v>
      </c>
      <c r="DC108" s="7" t="s">
        <v>107</v>
      </c>
      <c r="DD108" s="7" t="s">
        <v>107</v>
      </c>
      <c r="DE108" s="7" t="s">
        <v>107</v>
      </c>
      <c r="DF108" s="7" t="s">
        <v>107</v>
      </c>
      <c r="DG108" s="3"/>
      <c r="DH108" s="7"/>
      <c r="DI108" s="7" t="s">
        <v>107</v>
      </c>
      <c r="DJ108" s="7" t="s">
        <v>107</v>
      </c>
      <c r="DK108" s="5">
        <f>AM108</f>
        <v>20092.800000000003</v>
      </c>
      <c r="DL108" s="15" t="s">
        <v>3476</v>
      </c>
      <c r="DM108" s="51">
        <f>DL108*0.95</f>
        <v>19088.16</v>
      </c>
    </row>
    <row r="109" spans="1:117" ht="17.25" customHeight="1" x14ac:dyDescent="0.25">
      <c r="A109" s="50" t="s">
        <v>540</v>
      </c>
      <c r="B109" s="15" t="s">
        <v>541</v>
      </c>
      <c r="C109" s="15" t="s">
        <v>542</v>
      </c>
      <c r="D109" s="15" t="s">
        <v>543</v>
      </c>
      <c r="E109" s="15" t="s">
        <v>544</v>
      </c>
      <c r="F109" s="15" t="s">
        <v>545</v>
      </c>
      <c r="G109" s="15" t="s">
        <v>546</v>
      </c>
      <c r="H109" s="15" t="s">
        <v>547</v>
      </c>
      <c r="I109" s="15" t="s">
        <v>4006</v>
      </c>
      <c r="J109" s="15" t="s">
        <v>4207</v>
      </c>
      <c r="K109" s="15" t="s">
        <v>101</v>
      </c>
      <c r="L109" s="15" t="s">
        <v>545</v>
      </c>
      <c r="M109" s="15" t="s">
        <v>548</v>
      </c>
      <c r="N109" s="15" t="s">
        <v>549</v>
      </c>
      <c r="O109" s="15" t="s">
        <v>545</v>
      </c>
      <c r="P109" s="15" t="s">
        <v>550</v>
      </c>
      <c r="Q109" s="15" t="s">
        <v>551</v>
      </c>
      <c r="R109" s="15" t="s">
        <v>282</v>
      </c>
      <c r="S109" s="15" t="s">
        <v>545</v>
      </c>
      <c r="T109" s="15" t="s">
        <v>107</v>
      </c>
      <c r="U109" s="15" t="s">
        <v>548</v>
      </c>
      <c r="V109" s="15" t="s">
        <v>109</v>
      </c>
      <c r="W109" s="15" t="s">
        <v>552</v>
      </c>
      <c r="X109" s="16" t="s">
        <v>553</v>
      </c>
      <c r="Y109" s="15" t="s">
        <v>216</v>
      </c>
      <c r="Z109" s="16" t="s">
        <v>554</v>
      </c>
      <c r="AA109" s="17">
        <v>190</v>
      </c>
      <c r="AB109" s="17">
        <v>0</v>
      </c>
      <c r="AC109" s="17">
        <v>0</v>
      </c>
      <c r="AD109" s="17">
        <v>1</v>
      </c>
      <c r="AE109" s="17">
        <v>750</v>
      </c>
      <c r="AF109" s="15" t="s">
        <v>142</v>
      </c>
      <c r="AG109" s="15" t="s">
        <v>282</v>
      </c>
      <c r="AH109" s="15" t="s">
        <v>551</v>
      </c>
      <c r="AI109" s="18">
        <v>38459</v>
      </c>
      <c r="AJ109" s="15">
        <v>0.75</v>
      </c>
      <c r="AK109" s="15" t="s">
        <v>555</v>
      </c>
      <c r="AL109" s="15" t="s">
        <v>556</v>
      </c>
      <c r="AM109" s="3">
        <f>(AI109*AJ109)/2</f>
        <v>14422.125</v>
      </c>
      <c r="AN109" s="7" t="s">
        <v>107</v>
      </c>
      <c r="AO109" s="7" t="s">
        <v>107</v>
      </c>
      <c r="AP109" s="7" t="s">
        <v>107</v>
      </c>
      <c r="AQ109" s="8" t="s">
        <v>107</v>
      </c>
      <c r="AR109" s="7" t="s">
        <v>107</v>
      </c>
      <c r="AS109" s="7" t="s">
        <v>107</v>
      </c>
      <c r="AT109" s="7" t="s">
        <v>107</v>
      </c>
      <c r="AU109" s="3"/>
      <c r="AV109" s="7" t="s">
        <v>107</v>
      </c>
      <c r="AW109" s="7" t="s">
        <v>107</v>
      </c>
      <c r="AX109" s="7" t="s">
        <v>107</v>
      </c>
      <c r="AY109" s="8" t="s">
        <v>107</v>
      </c>
      <c r="AZ109" s="7" t="s">
        <v>107</v>
      </c>
      <c r="BA109" s="7" t="s">
        <v>107</v>
      </c>
      <c r="BB109" s="7" t="s">
        <v>107</v>
      </c>
      <c r="BC109" s="3"/>
      <c r="BD109" s="7" t="s">
        <v>107</v>
      </c>
      <c r="BE109" s="7" t="s">
        <v>107</v>
      </c>
      <c r="BF109" s="7" t="s">
        <v>107</v>
      </c>
      <c r="BG109" s="7" t="s">
        <v>107</v>
      </c>
      <c r="BH109" s="7" t="s">
        <v>107</v>
      </c>
      <c r="BI109" s="7" t="s">
        <v>107</v>
      </c>
      <c r="BJ109" s="7" t="s">
        <v>107</v>
      </c>
      <c r="BK109" s="3"/>
      <c r="BL109" s="7" t="s">
        <v>107</v>
      </c>
      <c r="BM109" s="7" t="s">
        <v>107</v>
      </c>
      <c r="BN109" s="7" t="s">
        <v>107</v>
      </c>
      <c r="BO109" s="8" t="s">
        <v>107</v>
      </c>
      <c r="BP109" s="7" t="s">
        <v>107</v>
      </c>
      <c r="BQ109" s="7" t="s">
        <v>107</v>
      </c>
      <c r="BR109" s="7" t="s">
        <v>107</v>
      </c>
      <c r="BS109" s="3"/>
      <c r="BT109" s="7" t="s">
        <v>107</v>
      </c>
      <c r="BU109" s="7" t="s">
        <v>107</v>
      </c>
      <c r="BV109" s="7" t="s">
        <v>107</v>
      </c>
      <c r="BW109" s="8" t="s">
        <v>107</v>
      </c>
      <c r="BX109" s="7" t="s">
        <v>107</v>
      </c>
      <c r="BY109" s="7" t="s">
        <v>107</v>
      </c>
      <c r="BZ109" s="7" t="s">
        <v>107</v>
      </c>
      <c r="CA109" s="3"/>
      <c r="CB109" s="7"/>
      <c r="CC109" s="7" t="s">
        <v>107</v>
      </c>
      <c r="CD109" s="7" t="s">
        <v>107</v>
      </c>
      <c r="CE109" s="8" t="s">
        <v>107</v>
      </c>
      <c r="CF109" s="7" t="s">
        <v>107</v>
      </c>
      <c r="CG109" s="7" t="s">
        <v>107</v>
      </c>
      <c r="CH109" s="7" t="s">
        <v>107</v>
      </c>
      <c r="CI109" s="3"/>
      <c r="CJ109" s="7"/>
      <c r="CK109" s="7" t="s">
        <v>107</v>
      </c>
      <c r="CL109" s="7" t="s">
        <v>107</v>
      </c>
      <c r="CM109" s="8" t="s">
        <v>107</v>
      </c>
      <c r="CN109" s="7" t="s">
        <v>107</v>
      </c>
      <c r="CO109" s="7" t="s">
        <v>107</v>
      </c>
      <c r="CP109" s="7" t="s">
        <v>107</v>
      </c>
      <c r="CQ109" s="3"/>
      <c r="CR109" s="7"/>
      <c r="CS109" s="7" t="s">
        <v>107</v>
      </c>
      <c r="CT109" s="7" t="s">
        <v>107</v>
      </c>
      <c r="CU109" s="7" t="s">
        <v>107</v>
      </c>
      <c r="CV109" s="7" t="s">
        <v>107</v>
      </c>
      <c r="CW109" s="7" t="s">
        <v>107</v>
      </c>
      <c r="CX109" s="7" t="s">
        <v>107</v>
      </c>
      <c r="CY109" s="3"/>
      <c r="CZ109" s="7"/>
      <c r="DA109" s="7" t="s">
        <v>107</v>
      </c>
      <c r="DB109" s="7" t="s">
        <v>107</v>
      </c>
      <c r="DC109" s="7" t="s">
        <v>107</v>
      </c>
      <c r="DD109" s="7" t="s">
        <v>107</v>
      </c>
      <c r="DE109" s="7" t="s">
        <v>107</v>
      </c>
      <c r="DF109" s="7" t="s">
        <v>107</v>
      </c>
      <c r="DG109" s="3"/>
      <c r="DH109" s="7"/>
      <c r="DI109" s="7" t="s">
        <v>107</v>
      </c>
      <c r="DJ109" s="7" t="s">
        <v>107</v>
      </c>
      <c r="DK109" s="5">
        <f>AM109</f>
        <v>14422.125</v>
      </c>
      <c r="DL109" s="15" t="s">
        <v>557</v>
      </c>
      <c r="DM109" s="51" t="e">
        <f>DL109*0.95</f>
        <v>#VALUE!</v>
      </c>
    </row>
    <row r="110" spans="1:117" ht="17.25" customHeight="1" x14ac:dyDescent="0.25">
      <c r="A110" s="50" t="s">
        <v>1804</v>
      </c>
      <c r="B110" s="15" t="s">
        <v>3943</v>
      </c>
      <c r="C110" s="15" t="s">
        <v>1805</v>
      </c>
      <c r="D110" s="15" t="s">
        <v>1806</v>
      </c>
      <c r="E110" s="15" t="s">
        <v>601</v>
      </c>
      <c r="F110" s="15" t="s">
        <v>1807</v>
      </c>
      <c r="G110" s="15" t="s">
        <v>1808</v>
      </c>
      <c r="H110" s="15" t="s">
        <v>1809</v>
      </c>
      <c r="I110" s="15" t="s">
        <v>1810</v>
      </c>
      <c r="J110" s="15" t="s">
        <v>4267</v>
      </c>
      <c r="K110" s="15" t="s">
        <v>151</v>
      </c>
      <c r="L110" s="15" t="s">
        <v>1807</v>
      </c>
      <c r="M110" s="15" t="s">
        <v>1811</v>
      </c>
      <c r="N110" s="15" t="s">
        <v>1812</v>
      </c>
      <c r="O110" s="15" t="s">
        <v>1813</v>
      </c>
      <c r="P110" s="15" t="s">
        <v>1814</v>
      </c>
      <c r="Q110" s="15" t="s">
        <v>1815</v>
      </c>
      <c r="R110" s="15" t="s">
        <v>4047</v>
      </c>
      <c r="S110" s="15" t="s">
        <v>1807</v>
      </c>
      <c r="T110" s="15" t="s">
        <v>107</v>
      </c>
      <c r="U110" s="15" t="s">
        <v>1816</v>
      </c>
      <c r="V110" s="15" t="s">
        <v>109</v>
      </c>
      <c r="W110" s="15" t="s">
        <v>1817</v>
      </c>
      <c r="X110" s="16" t="s">
        <v>1818</v>
      </c>
      <c r="Y110" s="15" t="s">
        <v>114</v>
      </c>
      <c r="Z110" s="16" t="s">
        <v>1819</v>
      </c>
      <c r="AA110" s="17">
        <v>370</v>
      </c>
      <c r="AB110" s="17">
        <v>1</v>
      </c>
      <c r="AC110" s="17">
        <v>380</v>
      </c>
      <c r="AD110" s="17">
        <v>1</v>
      </c>
      <c r="AE110" s="17">
        <v>315</v>
      </c>
      <c r="AF110" s="15" t="s">
        <v>142</v>
      </c>
      <c r="AG110" s="15" t="s">
        <v>480</v>
      </c>
      <c r="AH110" s="15" t="s">
        <v>1820</v>
      </c>
      <c r="AI110" s="18">
        <v>67641.600000000006</v>
      </c>
      <c r="AJ110" s="15">
        <v>0.5</v>
      </c>
      <c r="AK110" s="15" t="s">
        <v>1821</v>
      </c>
      <c r="AL110" s="15" t="s">
        <v>1822</v>
      </c>
      <c r="AM110" s="3">
        <f>(AI110*AJ110)/2</f>
        <v>16910.400000000001</v>
      </c>
      <c r="AN110" s="7" t="s">
        <v>107</v>
      </c>
      <c r="AO110" s="7" t="s">
        <v>107</v>
      </c>
      <c r="AP110" s="7" t="s">
        <v>107</v>
      </c>
      <c r="AQ110" s="8" t="s">
        <v>107</v>
      </c>
      <c r="AR110" s="7" t="s">
        <v>107</v>
      </c>
      <c r="AS110" s="7" t="s">
        <v>107</v>
      </c>
      <c r="AT110" s="7" t="s">
        <v>107</v>
      </c>
      <c r="AU110" s="3"/>
      <c r="AV110" s="7" t="s">
        <v>107</v>
      </c>
      <c r="AW110" s="7" t="s">
        <v>107</v>
      </c>
      <c r="AX110" s="7" t="s">
        <v>107</v>
      </c>
      <c r="AY110" s="8" t="s">
        <v>107</v>
      </c>
      <c r="AZ110" s="7" t="s">
        <v>107</v>
      </c>
      <c r="BA110" s="7" t="s">
        <v>107</v>
      </c>
      <c r="BB110" s="7" t="s">
        <v>107</v>
      </c>
      <c r="BC110" s="3"/>
      <c r="BD110" s="7" t="s">
        <v>107</v>
      </c>
      <c r="BE110" s="7" t="s">
        <v>107</v>
      </c>
      <c r="BF110" s="7" t="s">
        <v>107</v>
      </c>
      <c r="BG110" s="7" t="s">
        <v>107</v>
      </c>
      <c r="BH110" s="7" t="s">
        <v>107</v>
      </c>
      <c r="BI110" s="7" t="s">
        <v>107</v>
      </c>
      <c r="BJ110" s="7" t="s">
        <v>107</v>
      </c>
      <c r="BK110" s="3"/>
      <c r="BL110" s="7" t="s">
        <v>107</v>
      </c>
      <c r="BM110" s="7" t="s">
        <v>107</v>
      </c>
      <c r="BN110" s="7" t="s">
        <v>107</v>
      </c>
      <c r="BO110" s="8" t="s">
        <v>107</v>
      </c>
      <c r="BP110" s="7" t="s">
        <v>107</v>
      </c>
      <c r="BQ110" s="7" t="s">
        <v>107</v>
      </c>
      <c r="BR110" s="7" t="s">
        <v>107</v>
      </c>
      <c r="BS110" s="3"/>
      <c r="BT110" s="7" t="s">
        <v>107</v>
      </c>
      <c r="BU110" s="7" t="s">
        <v>107</v>
      </c>
      <c r="BV110" s="7" t="s">
        <v>107</v>
      </c>
      <c r="BW110" s="8" t="s">
        <v>107</v>
      </c>
      <c r="BX110" s="7" t="s">
        <v>107</v>
      </c>
      <c r="BY110" s="7" t="s">
        <v>107</v>
      </c>
      <c r="BZ110" s="7" t="s">
        <v>107</v>
      </c>
      <c r="CA110" s="3"/>
      <c r="CB110" s="7"/>
      <c r="CC110" s="7" t="s">
        <v>107</v>
      </c>
      <c r="CD110" s="7" t="s">
        <v>107</v>
      </c>
      <c r="CE110" s="8" t="s">
        <v>107</v>
      </c>
      <c r="CF110" s="7" t="s">
        <v>107</v>
      </c>
      <c r="CG110" s="7" t="s">
        <v>107</v>
      </c>
      <c r="CH110" s="7" t="s">
        <v>107</v>
      </c>
      <c r="CI110" s="3"/>
      <c r="CJ110" s="7"/>
      <c r="CK110" s="7" t="s">
        <v>107</v>
      </c>
      <c r="CL110" s="7" t="s">
        <v>107</v>
      </c>
      <c r="CM110" s="8" t="s">
        <v>107</v>
      </c>
      <c r="CN110" s="7" t="s">
        <v>107</v>
      </c>
      <c r="CO110" s="7" t="s">
        <v>107</v>
      </c>
      <c r="CP110" s="7" t="s">
        <v>107</v>
      </c>
      <c r="CQ110" s="3"/>
      <c r="CR110" s="7"/>
      <c r="CS110" s="7" t="s">
        <v>107</v>
      </c>
      <c r="CT110" s="7" t="s">
        <v>107</v>
      </c>
      <c r="CU110" s="7" t="s">
        <v>107</v>
      </c>
      <c r="CV110" s="7" t="s">
        <v>107</v>
      </c>
      <c r="CW110" s="7" t="s">
        <v>107</v>
      </c>
      <c r="CX110" s="7" t="s">
        <v>107</v>
      </c>
      <c r="CY110" s="3"/>
      <c r="CZ110" s="7"/>
      <c r="DA110" s="7" t="s">
        <v>107</v>
      </c>
      <c r="DB110" s="7" t="s">
        <v>107</v>
      </c>
      <c r="DC110" s="7" t="s">
        <v>107</v>
      </c>
      <c r="DD110" s="7" t="s">
        <v>107</v>
      </c>
      <c r="DE110" s="7" t="s">
        <v>107</v>
      </c>
      <c r="DF110" s="7" t="s">
        <v>107</v>
      </c>
      <c r="DG110" s="3"/>
      <c r="DH110" s="7"/>
      <c r="DI110" s="7" t="s">
        <v>107</v>
      </c>
      <c r="DJ110" s="7" t="s">
        <v>107</v>
      </c>
      <c r="DK110" s="5">
        <f>AM110</f>
        <v>16910.400000000001</v>
      </c>
      <c r="DL110" s="15" t="s">
        <v>1822</v>
      </c>
      <c r="DM110" s="51">
        <f>DL110*0.95</f>
        <v>16064.880000000001</v>
      </c>
    </row>
    <row r="111" spans="1:117" ht="17.25" customHeight="1" x14ac:dyDescent="0.25">
      <c r="A111" s="50" t="s">
        <v>3882</v>
      </c>
      <c r="B111" s="15" t="s">
        <v>1650</v>
      </c>
      <c r="C111" s="15" t="s">
        <v>1651</v>
      </c>
      <c r="D111" s="15" t="s">
        <v>1652</v>
      </c>
      <c r="E111" s="15" t="s">
        <v>691</v>
      </c>
      <c r="F111" s="15" t="s">
        <v>1653</v>
      </c>
      <c r="G111" s="15" t="s">
        <v>1654</v>
      </c>
      <c r="H111" s="15" t="s">
        <v>1655</v>
      </c>
      <c r="I111" s="15" t="s">
        <v>1656</v>
      </c>
      <c r="J111" s="15" t="s">
        <v>4258</v>
      </c>
      <c r="K111" s="15" t="s">
        <v>151</v>
      </c>
      <c r="L111" s="15" t="s">
        <v>1653</v>
      </c>
      <c r="M111" s="15" t="s">
        <v>1657</v>
      </c>
      <c r="N111" s="15" t="s">
        <v>1658</v>
      </c>
      <c r="O111" s="15" t="s">
        <v>1653</v>
      </c>
      <c r="P111" s="15" t="s">
        <v>1659</v>
      </c>
      <c r="Q111" s="15" t="s">
        <v>1660</v>
      </c>
      <c r="R111" s="15" t="s">
        <v>132</v>
      </c>
      <c r="S111" s="15" t="s">
        <v>1653</v>
      </c>
      <c r="T111" s="15" t="s">
        <v>107</v>
      </c>
      <c r="U111" s="15" t="s">
        <v>1661</v>
      </c>
      <c r="V111" s="15" t="s">
        <v>109</v>
      </c>
      <c r="W111" s="15" t="s">
        <v>1662</v>
      </c>
      <c r="X111" s="16" t="s">
        <v>1663</v>
      </c>
      <c r="Y111" s="15" t="s">
        <v>114</v>
      </c>
      <c r="Z111" s="16" t="s">
        <v>1664</v>
      </c>
      <c r="AA111" s="17">
        <v>150</v>
      </c>
      <c r="AB111" s="17">
        <v>1</v>
      </c>
      <c r="AC111" s="17">
        <v>275</v>
      </c>
      <c r="AD111" s="17">
        <v>1</v>
      </c>
      <c r="AE111" s="17">
        <v>435</v>
      </c>
      <c r="AF111" s="15" t="s">
        <v>196</v>
      </c>
      <c r="AG111" s="15" t="s">
        <v>132</v>
      </c>
      <c r="AH111" s="15" t="s">
        <v>1660</v>
      </c>
      <c r="AI111" s="18">
        <v>40727.96</v>
      </c>
      <c r="AJ111" s="15">
        <v>0.35</v>
      </c>
      <c r="AK111" s="15" t="s">
        <v>1665</v>
      </c>
      <c r="AL111" s="15" t="s">
        <v>1666</v>
      </c>
      <c r="AM111" s="3">
        <f>(AI111*AJ111)/2</f>
        <v>7127.3929999999991</v>
      </c>
      <c r="AN111" s="7" t="s">
        <v>107</v>
      </c>
      <c r="AO111" s="7" t="s">
        <v>107</v>
      </c>
      <c r="AP111" s="7" t="s">
        <v>107</v>
      </c>
      <c r="AQ111" s="8" t="s">
        <v>107</v>
      </c>
      <c r="AR111" s="7" t="s">
        <v>107</v>
      </c>
      <c r="AS111" s="7" t="s">
        <v>107</v>
      </c>
      <c r="AT111" s="7" t="s">
        <v>107</v>
      </c>
      <c r="AU111" s="3"/>
      <c r="AV111" s="7" t="s">
        <v>107</v>
      </c>
      <c r="AW111" s="7" t="s">
        <v>107</v>
      </c>
      <c r="AX111" s="7" t="s">
        <v>107</v>
      </c>
      <c r="AY111" s="8" t="s">
        <v>107</v>
      </c>
      <c r="AZ111" s="7" t="s">
        <v>107</v>
      </c>
      <c r="BA111" s="7" t="s">
        <v>107</v>
      </c>
      <c r="BB111" s="7" t="s">
        <v>107</v>
      </c>
      <c r="BC111" s="3"/>
      <c r="BD111" s="7" t="s">
        <v>107</v>
      </c>
      <c r="BE111" s="7" t="s">
        <v>107</v>
      </c>
      <c r="BF111" s="7" t="s">
        <v>107</v>
      </c>
      <c r="BG111" s="7" t="s">
        <v>107</v>
      </c>
      <c r="BH111" s="7" t="s">
        <v>107</v>
      </c>
      <c r="BI111" s="7" t="s">
        <v>107</v>
      </c>
      <c r="BJ111" s="7" t="s">
        <v>107</v>
      </c>
      <c r="BK111" s="3"/>
      <c r="BL111" s="7" t="s">
        <v>107</v>
      </c>
      <c r="BM111" s="7" t="s">
        <v>107</v>
      </c>
      <c r="BN111" s="7" t="s">
        <v>107</v>
      </c>
      <c r="BO111" s="8" t="s">
        <v>107</v>
      </c>
      <c r="BP111" s="7" t="s">
        <v>107</v>
      </c>
      <c r="BQ111" s="7" t="s">
        <v>107</v>
      </c>
      <c r="BR111" s="7" t="s">
        <v>107</v>
      </c>
      <c r="BS111" s="3"/>
      <c r="BT111" s="7" t="s">
        <v>107</v>
      </c>
      <c r="BU111" s="7" t="s">
        <v>107</v>
      </c>
      <c r="BV111" s="7" t="s">
        <v>107</v>
      </c>
      <c r="BW111" s="8" t="s">
        <v>107</v>
      </c>
      <c r="BX111" s="7" t="s">
        <v>107</v>
      </c>
      <c r="BY111" s="7" t="s">
        <v>107</v>
      </c>
      <c r="BZ111" s="7" t="s">
        <v>107</v>
      </c>
      <c r="CA111" s="3"/>
      <c r="CB111" s="7"/>
      <c r="CC111" s="7" t="s">
        <v>107</v>
      </c>
      <c r="CD111" s="7" t="s">
        <v>107</v>
      </c>
      <c r="CE111" s="8" t="s">
        <v>107</v>
      </c>
      <c r="CF111" s="7" t="s">
        <v>107</v>
      </c>
      <c r="CG111" s="7" t="s">
        <v>107</v>
      </c>
      <c r="CH111" s="7" t="s">
        <v>107</v>
      </c>
      <c r="CI111" s="3"/>
      <c r="CJ111" s="7"/>
      <c r="CK111" s="7" t="s">
        <v>107</v>
      </c>
      <c r="CL111" s="7" t="s">
        <v>107</v>
      </c>
      <c r="CM111" s="8" t="s">
        <v>107</v>
      </c>
      <c r="CN111" s="7" t="s">
        <v>107</v>
      </c>
      <c r="CO111" s="7" t="s">
        <v>107</v>
      </c>
      <c r="CP111" s="7" t="s">
        <v>107</v>
      </c>
      <c r="CQ111" s="3"/>
      <c r="CR111" s="7"/>
      <c r="CS111" s="7" t="s">
        <v>107</v>
      </c>
      <c r="CT111" s="7" t="s">
        <v>107</v>
      </c>
      <c r="CU111" s="7" t="s">
        <v>107</v>
      </c>
      <c r="CV111" s="7" t="s">
        <v>107</v>
      </c>
      <c r="CW111" s="7" t="s">
        <v>107</v>
      </c>
      <c r="CX111" s="7" t="s">
        <v>107</v>
      </c>
      <c r="CY111" s="3"/>
      <c r="CZ111" s="7"/>
      <c r="DA111" s="7" t="s">
        <v>107</v>
      </c>
      <c r="DB111" s="7" t="s">
        <v>107</v>
      </c>
      <c r="DC111" s="7" t="s">
        <v>107</v>
      </c>
      <c r="DD111" s="7" t="s">
        <v>107</v>
      </c>
      <c r="DE111" s="7" t="s">
        <v>107</v>
      </c>
      <c r="DF111" s="7" t="s">
        <v>107</v>
      </c>
      <c r="DG111" s="3"/>
      <c r="DH111" s="7"/>
      <c r="DI111" s="7" t="s">
        <v>107</v>
      </c>
      <c r="DJ111" s="7" t="s">
        <v>107</v>
      </c>
      <c r="DK111" s="5">
        <f>AM111</f>
        <v>7127.3929999999991</v>
      </c>
      <c r="DL111" s="15" t="s">
        <v>1666</v>
      </c>
      <c r="DM111" s="51">
        <f>DL111*0.95</f>
        <v>6771.0204999999996</v>
      </c>
    </row>
    <row r="112" spans="1:117" ht="17.25" customHeight="1" x14ac:dyDescent="0.25">
      <c r="A112" s="50" t="s">
        <v>3883</v>
      </c>
      <c r="B112" s="15" t="s">
        <v>447</v>
      </c>
      <c r="C112" s="15" t="s">
        <v>448</v>
      </c>
      <c r="D112" s="15" t="s">
        <v>449</v>
      </c>
      <c r="E112" s="15" t="s">
        <v>450</v>
      </c>
      <c r="F112" s="15" t="s">
        <v>451</v>
      </c>
      <c r="G112" s="15" t="s">
        <v>452</v>
      </c>
      <c r="H112" s="15" t="s">
        <v>453</v>
      </c>
      <c r="I112" s="15" t="s">
        <v>454</v>
      </c>
      <c r="J112" s="15" t="s">
        <v>4203</v>
      </c>
      <c r="K112" s="15" t="s">
        <v>151</v>
      </c>
      <c r="L112" s="15" t="s">
        <v>451</v>
      </c>
      <c r="M112" s="15" t="s">
        <v>455</v>
      </c>
      <c r="N112" s="15" t="s">
        <v>456</v>
      </c>
      <c r="O112" s="15" t="s">
        <v>457</v>
      </c>
      <c r="P112" s="15" t="s">
        <v>458</v>
      </c>
      <c r="Q112" s="15" t="s">
        <v>459</v>
      </c>
      <c r="R112" s="15" t="s">
        <v>460</v>
      </c>
      <c r="S112" s="15" t="s">
        <v>451</v>
      </c>
      <c r="T112" s="15" t="s">
        <v>107</v>
      </c>
      <c r="U112" s="15" t="s">
        <v>461</v>
      </c>
      <c r="V112" s="15" t="s">
        <v>109</v>
      </c>
      <c r="W112" s="15" t="s">
        <v>462</v>
      </c>
      <c r="X112" s="16" t="s">
        <v>463</v>
      </c>
      <c r="Y112" s="15" t="s">
        <v>114</v>
      </c>
      <c r="Z112" s="16" t="s">
        <v>464</v>
      </c>
      <c r="AA112" s="17">
        <v>583</v>
      </c>
      <c r="AB112" s="17">
        <v>1</v>
      </c>
      <c r="AC112" s="17">
        <v>526</v>
      </c>
      <c r="AD112" s="17">
        <v>1</v>
      </c>
      <c r="AE112" s="17">
        <v>630</v>
      </c>
      <c r="AF112" s="15" t="s">
        <v>196</v>
      </c>
      <c r="AG112" s="15" t="s">
        <v>460</v>
      </c>
      <c r="AH112" s="15" t="s">
        <v>459</v>
      </c>
      <c r="AI112" s="18">
        <v>23550</v>
      </c>
      <c r="AJ112" s="15">
        <v>0.5</v>
      </c>
      <c r="AK112" s="15" t="s">
        <v>465</v>
      </c>
      <c r="AL112" s="15" t="s">
        <v>465</v>
      </c>
      <c r="AM112" s="3">
        <f>(AI112*AJ112)/2</f>
        <v>5887.5</v>
      </c>
      <c r="AN112" s="7" t="s">
        <v>107</v>
      </c>
      <c r="AO112" s="7" t="s">
        <v>107</v>
      </c>
      <c r="AP112" s="7" t="s">
        <v>107</v>
      </c>
      <c r="AQ112" s="8" t="s">
        <v>107</v>
      </c>
      <c r="AR112" s="7" t="s">
        <v>107</v>
      </c>
      <c r="AS112" s="7" t="s">
        <v>107</v>
      </c>
      <c r="AT112" s="7" t="s">
        <v>107</v>
      </c>
      <c r="AU112" s="3"/>
      <c r="AV112" s="7" t="s">
        <v>107</v>
      </c>
      <c r="AW112" s="7" t="s">
        <v>107</v>
      </c>
      <c r="AX112" s="7" t="s">
        <v>107</v>
      </c>
      <c r="AY112" s="8" t="s">
        <v>107</v>
      </c>
      <c r="AZ112" s="7" t="s">
        <v>107</v>
      </c>
      <c r="BA112" s="7" t="s">
        <v>107</v>
      </c>
      <c r="BB112" s="7" t="s">
        <v>107</v>
      </c>
      <c r="BC112" s="3"/>
      <c r="BD112" s="7" t="s">
        <v>107</v>
      </c>
      <c r="BE112" s="7" t="s">
        <v>107</v>
      </c>
      <c r="BF112" s="7" t="s">
        <v>107</v>
      </c>
      <c r="BG112" s="7" t="s">
        <v>107</v>
      </c>
      <c r="BH112" s="7" t="s">
        <v>107</v>
      </c>
      <c r="BI112" s="7" t="s">
        <v>107</v>
      </c>
      <c r="BJ112" s="7" t="s">
        <v>107</v>
      </c>
      <c r="BK112" s="3"/>
      <c r="BL112" s="7" t="s">
        <v>107</v>
      </c>
      <c r="BM112" s="7" t="s">
        <v>107</v>
      </c>
      <c r="BN112" s="7" t="s">
        <v>107</v>
      </c>
      <c r="BO112" s="8" t="s">
        <v>107</v>
      </c>
      <c r="BP112" s="7" t="s">
        <v>107</v>
      </c>
      <c r="BQ112" s="7" t="s">
        <v>107</v>
      </c>
      <c r="BR112" s="7" t="s">
        <v>107</v>
      </c>
      <c r="BS112" s="3"/>
      <c r="BT112" s="7" t="s">
        <v>107</v>
      </c>
      <c r="BU112" s="7" t="s">
        <v>107</v>
      </c>
      <c r="BV112" s="7" t="s">
        <v>107</v>
      </c>
      <c r="BW112" s="8" t="s">
        <v>107</v>
      </c>
      <c r="BX112" s="7" t="s">
        <v>107</v>
      </c>
      <c r="BY112" s="7" t="s">
        <v>107</v>
      </c>
      <c r="BZ112" s="7" t="s">
        <v>107</v>
      </c>
      <c r="CA112" s="3"/>
      <c r="CB112" s="7"/>
      <c r="CC112" s="7" t="s">
        <v>107</v>
      </c>
      <c r="CD112" s="7" t="s">
        <v>107</v>
      </c>
      <c r="CE112" s="8" t="s">
        <v>107</v>
      </c>
      <c r="CF112" s="7" t="s">
        <v>107</v>
      </c>
      <c r="CG112" s="7" t="s">
        <v>107</v>
      </c>
      <c r="CH112" s="7" t="s">
        <v>107</v>
      </c>
      <c r="CI112" s="3"/>
      <c r="CJ112" s="7"/>
      <c r="CK112" s="7" t="s">
        <v>107</v>
      </c>
      <c r="CL112" s="7" t="s">
        <v>107</v>
      </c>
      <c r="CM112" s="8" t="s">
        <v>107</v>
      </c>
      <c r="CN112" s="7" t="s">
        <v>107</v>
      </c>
      <c r="CO112" s="7" t="s">
        <v>107</v>
      </c>
      <c r="CP112" s="7" t="s">
        <v>107</v>
      </c>
      <c r="CQ112" s="3"/>
      <c r="CR112" s="7"/>
      <c r="CS112" s="7" t="s">
        <v>107</v>
      </c>
      <c r="CT112" s="7" t="s">
        <v>107</v>
      </c>
      <c r="CU112" s="7" t="s">
        <v>107</v>
      </c>
      <c r="CV112" s="7" t="s">
        <v>107</v>
      </c>
      <c r="CW112" s="7" t="s">
        <v>107</v>
      </c>
      <c r="CX112" s="7" t="s">
        <v>107</v>
      </c>
      <c r="CY112" s="3"/>
      <c r="CZ112" s="7"/>
      <c r="DA112" s="7" t="s">
        <v>107</v>
      </c>
      <c r="DB112" s="7" t="s">
        <v>107</v>
      </c>
      <c r="DC112" s="7" t="s">
        <v>107</v>
      </c>
      <c r="DD112" s="7" t="s">
        <v>107</v>
      </c>
      <c r="DE112" s="7" t="s">
        <v>107</v>
      </c>
      <c r="DF112" s="7" t="s">
        <v>107</v>
      </c>
      <c r="DG112" s="3"/>
      <c r="DH112" s="7"/>
      <c r="DI112" s="7" t="s">
        <v>107</v>
      </c>
      <c r="DJ112" s="7" t="s">
        <v>107</v>
      </c>
      <c r="DK112" s="5">
        <f>AM112</f>
        <v>5887.5</v>
      </c>
      <c r="DL112" s="15" t="s">
        <v>465</v>
      </c>
      <c r="DM112" s="51">
        <f>DL112*0.95</f>
        <v>11186.25</v>
      </c>
    </row>
    <row r="113" spans="1:117" ht="17.25" customHeight="1" x14ac:dyDescent="0.25">
      <c r="A113" s="50" t="s">
        <v>1264</v>
      </c>
      <c r="B113" s="15" t="s">
        <v>1265</v>
      </c>
      <c r="C113" s="15" t="s">
        <v>1266</v>
      </c>
      <c r="D113" s="15" t="s">
        <v>863</v>
      </c>
      <c r="E113" s="15" t="s">
        <v>1267</v>
      </c>
      <c r="F113" s="15" t="s">
        <v>1268</v>
      </c>
      <c r="G113" s="15" t="s">
        <v>1269</v>
      </c>
      <c r="H113" s="15" t="s">
        <v>1270</v>
      </c>
      <c r="I113" s="15" t="s">
        <v>1271</v>
      </c>
      <c r="J113" s="15" t="s">
        <v>4241</v>
      </c>
      <c r="K113" s="15" t="s">
        <v>151</v>
      </c>
      <c r="L113" s="15" t="s">
        <v>1268</v>
      </c>
      <c r="M113" s="15" t="s">
        <v>1272</v>
      </c>
      <c r="N113" s="15" t="s">
        <v>1273</v>
      </c>
      <c r="O113" s="15" t="s">
        <v>1274</v>
      </c>
      <c r="P113" s="15" t="s">
        <v>1275</v>
      </c>
      <c r="Q113" s="15" t="s">
        <v>1279</v>
      </c>
      <c r="R113" s="15" t="s">
        <v>157</v>
      </c>
      <c r="S113" s="15" t="s">
        <v>1268</v>
      </c>
      <c r="T113" s="15" t="s">
        <v>107</v>
      </c>
      <c r="U113" s="15" t="s">
        <v>1276</v>
      </c>
      <c r="V113" s="15" t="s">
        <v>109</v>
      </c>
      <c r="W113" s="15" t="s">
        <v>1277</v>
      </c>
      <c r="X113" s="16" t="s">
        <v>1278</v>
      </c>
      <c r="Y113" s="15" t="s">
        <v>112</v>
      </c>
      <c r="Z113" s="27" t="s">
        <v>4095</v>
      </c>
      <c r="AA113" s="17">
        <v>1609</v>
      </c>
      <c r="AB113" s="17">
        <v>1</v>
      </c>
      <c r="AC113" s="17">
        <v>1051</v>
      </c>
      <c r="AD113" s="17">
        <v>1</v>
      </c>
      <c r="AE113" s="17">
        <v>1610</v>
      </c>
      <c r="AF113" s="15" t="s">
        <v>196</v>
      </c>
      <c r="AG113" s="15" t="s">
        <v>157</v>
      </c>
      <c r="AH113" s="15" t="s">
        <v>1279</v>
      </c>
      <c r="AI113" s="20">
        <v>52707.199999999997</v>
      </c>
      <c r="AJ113" s="15">
        <v>0.25</v>
      </c>
      <c r="AK113" s="15" t="s">
        <v>1280</v>
      </c>
      <c r="AL113" s="15" t="s">
        <v>1281</v>
      </c>
      <c r="AM113" s="3">
        <f>(AI113*AJ113)/2</f>
        <v>6588.4</v>
      </c>
      <c r="AN113" s="7" t="s">
        <v>196</v>
      </c>
      <c r="AO113" s="7" t="s">
        <v>1282</v>
      </c>
      <c r="AP113" s="7" t="s">
        <v>1283</v>
      </c>
      <c r="AQ113" s="8">
        <v>52707.199999999997</v>
      </c>
      <c r="AR113" s="7">
        <v>0.25</v>
      </c>
      <c r="AS113" s="7" t="s">
        <v>1280</v>
      </c>
      <c r="AT113" s="7" t="s">
        <v>1281</v>
      </c>
      <c r="AU113" s="3">
        <f>(AQ113*AR113)/2</f>
        <v>6588.4</v>
      </c>
      <c r="AV113" s="7" t="s">
        <v>196</v>
      </c>
      <c r="AW113" s="7" t="s">
        <v>157</v>
      </c>
      <c r="AX113" s="7" t="s">
        <v>1284</v>
      </c>
      <c r="AY113" s="8">
        <v>52707.199999999997</v>
      </c>
      <c r="AZ113" s="7">
        <v>0.15</v>
      </c>
      <c r="BA113" s="7" t="s">
        <v>1285</v>
      </c>
      <c r="BB113" s="7" t="s">
        <v>1286</v>
      </c>
      <c r="BC113" s="3">
        <f>(AY113*AZ113)/2</f>
        <v>3953.0399999999995</v>
      </c>
      <c r="BD113" s="7" t="s">
        <v>107</v>
      </c>
      <c r="BE113" s="7" t="s">
        <v>107</v>
      </c>
      <c r="BF113" s="7" t="s">
        <v>107</v>
      </c>
      <c r="BG113" s="7" t="s">
        <v>107</v>
      </c>
      <c r="BH113" s="7" t="s">
        <v>107</v>
      </c>
      <c r="BI113" s="7" t="s">
        <v>107</v>
      </c>
      <c r="BJ113" s="7" t="s">
        <v>107</v>
      </c>
      <c r="BK113" s="3"/>
      <c r="BL113" s="7" t="s">
        <v>107</v>
      </c>
      <c r="BM113" s="7" t="s">
        <v>107</v>
      </c>
      <c r="BN113" s="7" t="s">
        <v>107</v>
      </c>
      <c r="BO113" s="8" t="s">
        <v>107</v>
      </c>
      <c r="BP113" s="7" t="s">
        <v>107</v>
      </c>
      <c r="BQ113" s="7" t="s">
        <v>107</v>
      </c>
      <c r="BR113" s="7" t="s">
        <v>107</v>
      </c>
      <c r="BS113" s="3"/>
      <c r="BT113" s="7" t="s">
        <v>107</v>
      </c>
      <c r="BU113" s="7" t="s">
        <v>107</v>
      </c>
      <c r="BV113" s="7" t="s">
        <v>107</v>
      </c>
      <c r="BW113" s="8" t="s">
        <v>107</v>
      </c>
      <c r="BX113" s="7" t="s">
        <v>107</v>
      </c>
      <c r="BY113" s="7" t="s">
        <v>107</v>
      </c>
      <c r="BZ113" s="7" t="s">
        <v>107</v>
      </c>
      <c r="CA113" s="3"/>
      <c r="CB113" s="7"/>
      <c r="CC113" s="7" t="s">
        <v>107</v>
      </c>
      <c r="CD113" s="7" t="s">
        <v>107</v>
      </c>
      <c r="CE113" s="8" t="s">
        <v>107</v>
      </c>
      <c r="CF113" s="7" t="s">
        <v>107</v>
      </c>
      <c r="CG113" s="7" t="s">
        <v>107</v>
      </c>
      <c r="CH113" s="7" t="s">
        <v>107</v>
      </c>
      <c r="CI113" s="3"/>
      <c r="CJ113" s="7"/>
      <c r="CK113" s="7" t="s">
        <v>107</v>
      </c>
      <c r="CL113" s="7" t="s">
        <v>107</v>
      </c>
      <c r="CM113" s="8" t="s">
        <v>107</v>
      </c>
      <c r="CN113" s="7" t="s">
        <v>107</v>
      </c>
      <c r="CO113" s="7" t="s">
        <v>107</v>
      </c>
      <c r="CP113" s="7" t="s">
        <v>107</v>
      </c>
      <c r="CQ113" s="3"/>
      <c r="CR113" s="7"/>
      <c r="CS113" s="7" t="s">
        <v>107</v>
      </c>
      <c r="CT113" s="7" t="s">
        <v>107</v>
      </c>
      <c r="CU113" s="7" t="s">
        <v>107</v>
      </c>
      <c r="CV113" s="7" t="s">
        <v>107</v>
      </c>
      <c r="CW113" s="7" t="s">
        <v>107</v>
      </c>
      <c r="CX113" s="7" t="s">
        <v>107</v>
      </c>
      <c r="CY113" s="3"/>
      <c r="CZ113" s="7"/>
      <c r="DA113" s="7" t="s">
        <v>107</v>
      </c>
      <c r="DB113" s="7" t="s">
        <v>107</v>
      </c>
      <c r="DC113" s="7" t="s">
        <v>107</v>
      </c>
      <c r="DD113" s="7" t="s">
        <v>107</v>
      </c>
      <c r="DE113" s="7" t="s">
        <v>107</v>
      </c>
      <c r="DF113" s="7" t="s">
        <v>107</v>
      </c>
      <c r="DG113" s="3"/>
      <c r="DH113" s="7"/>
      <c r="DI113" s="7" t="s">
        <v>107</v>
      </c>
      <c r="DJ113" s="7" t="s">
        <v>107</v>
      </c>
      <c r="DK113" s="5">
        <f>AM113+AU113+BC113</f>
        <v>17129.84</v>
      </c>
      <c r="DL113" s="15" t="s">
        <v>1287</v>
      </c>
      <c r="DM113" s="51">
        <f>DL113*0.95</f>
        <v>16273.348</v>
      </c>
    </row>
    <row r="114" spans="1:117" ht="17.25" customHeight="1" x14ac:dyDescent="0.25">
      <c r="A114" s="50" t="s">
        <v>3884</v>
      </c>
      <c r="B114" s="15" t="s">
        <v>3025</v>
      </c>
      <c r="C114" s="15" t="s">
        <v>3974</v>
      </c>
      <c r="D114" s="15" t="s">
        <v>3026</v>
      </c>
      <c r="E114" s="15" t="s">
        <v>351</v>
      </c>
      <c r="F114" s="15" t="s">
        <v>3027</v>
      </c>
      <c r="G114" s="15" t="s">
        <v>3028</v>
      </c>
      <c r="H114" s="15" t="s">
        <v>3029</v>
      </c>
      <c r="I114" s="15" t="s">
        <v>3030</v>
      </c>
      <c r="J114" s="15" t="s">
        <v>4323</v>
      </c>
      <c r="K114" s="15" t="s">
        <v>151</v>
      </c>
      <c r="L114" s="15" t="s">
        <v>3027</v>
      </c>
      <c r="M114" s="15" t="s">
        <v>3031</v>
      </c>
      <c r="N114" s="15" t="s">
        <v>3032</v>
      </c>
      <c r="O114" s="15" t="s">
        <v>3033</v>
      </c>
      <c r="P114" s="15" t="s">
        <v>3034</v>
      </c>
      <c r="Q114" s="15" t="s">
        <v>3035</v>
      </c>
      <c r="R114" s="15" t="s">
        <v>352</v>
      </c>
      <c r="S114" s="15" t="s">
        <v>3027</v>
      </c>
      <c r="T114" s="15" t="s">
        <v>107</v>
      </c>
      <c r="U114" s="15" t="s">
        <v>3036</v>
      </c>
      <c r="V114" s="15" t="s">
        <v>109</v>
      </c>
      <c r="W114" s="15" t="s">
        <v>3037</v>
      </c>
      <c r="X114" s="16" t="s">
        <v>3038</v>
      </c>
      <c r="Y114" s="15" t="s">
        <v>185</v>
      </c>
      <c r="Z114" s="16" t="s">
        <v>3039</v>
      </c>
      <c r="AA114" s="17">
        <v>2202</v>
      </c>
      <c r="AB114" s="17">
        <v>1</v>
      </c>
      <c r="AC114" s="17">
        <v>678</v>
      </c>
      <c r="AD114" s="17">
        <v>1</v>
      </c>
      <c r="AE114" s="17">
        <v>1383</v>
      </c>
      <c r="AF114" s="15" t="s">
        <v>196</v>
      </c>
      <c r="AG114" s="15" t="s">
        <v>460</v>
      </c>
      <c r="AH114" s="15" t="s">
        <v>3040</v>
      </c>
      <c r="AI114" s="18">
        <v>61464</v>
      </c>
      <c r="AJ114" s="15">
        <v>0.75</v>
      </c>
      <c r="AK114" s="15" t="s">
        <v>3041</v>
      </c>
      <c r="AL114" s="15" t="s">
        <v>3042</v>
      </c>
      <c r="AM114" s="3">
        <f>(AI114*AJ114)/2</f>
        <v>23049</v>
      </c>
      <c r="AN114" s="7" t="s">
        <v>107</v>
      </c>
      <c r="AO114" s="7" t="s">
        <v>107</v>
      </c>
      <c r="AP114" s="7" t="s">
        <v>107</v>
      </c>
      <c r="AQ114" s="8" t="s">
        <v>107</v>
      </c>
      <c r="AR114" s="7" t="s">
        <v>107</v>
      </c>
      <c r="AS114" s="7" t="s">
        <v>107</v>
      </c>
      <c r="AT114" s="7" t="s">
        <v>107</v>
      </c>
      <c r="AU114" s="3"/>
      <c r="AV114" s="7" t="s">
        <v>107</v>
      </c>
      <c r="AW114" s="7" t="s">
        <v>107</v>
      </c>
      <c r="AX114" s="7" t="s">
        <v>107</v>
      </c>
      <c r="AY114" s="8" t="s">
        <v>107</v>
      </c>
      <c r="AZ114" s="7" t="s">
        <v>107</v>
      </c>
      <c r="BA114" s="7" t="s">
        <v>107</v>
      </c>
      <c r="BB114" s="7" t="s">
        <v>107</v>
      </c>
      <c r="BC114" s="3"/>
      <c r="BD114" s="7" t="s">
        <v>107</v>
      </c>
      <c r="BE114" s="7" t="s">
        <v>107</v>
      </c>
      <c r="BF114" s="7" t="s">
        <v>107</v>
      </c>
      <c r="BG114" s="7" t="s">
        <v>107</v>
      </c>
      <c r="BH114" s="7" t="s">
        <v>107</v>
      </c>
      <c r="BI114" s="7" t="s">
        <v>107</v>
      </c>
      <c r="BJ114" s="7" t="s">
        <v>107</v>
      </c>
      <c r="BK114" s="3"/>
      <c r="BL114" s="7" t="s">
        <v>107</v>
      </c>
      <c r="BM114" s="7" t="s">
        <v>107</v>
      </c>
      <c r="BN114" s="7" t="s">
        <v>107</v>
      </c>
      <c r="BO114" s="8" t="s">
        <v>107</v>
      </c>
      <c r="BP114" s="7" t="s">
        <v>107</v>
      </c>
      <c r="BQ114" s="7" t="s">
        <v>107</v>
      </c>
      <c r="BR114" s="7" t="s">
        <v>107</v>
      </c>
      <c r="BS114" s="3"/>
      <c r="BT114" s="7" t="s">
        <v>107</v>
      </c>
      <c r="BU114" s="7" t="s">
        <v>107</v>
      </c>
      <c r="BV114" s="7" t="s">
        <v>107</v>
      </c>
      <c r="BW114" s="8" t="s">
        <v>107</v>
      </c>
      <c r="BX114" s="7" t="s">
        <v>107</v>
      </c>
      <c r="BY114" s="7" t="s">
        <v>107</v>
      </c>
      <c r="BZ114" s="7" t="s">
        <v>107</v>
      </c>
      <c r="CA114" s="3"/>
      <c r="CB114" s="7"/>
      <c r="CC114" s="7" t="s">
        <v>107</v>
      </c>
      <c r="CD114" s="7" t="s">
        <v>107</v>
      </c>
      <c r="CE114" s="8" t="s">
        <v>107</v>
      </c>
      <c r="CF114" s="7" t="s">
        <v>107</v>
      </c>
      <c r="CG114" s="7" t="s">
        <v>107</v>
      </c>
      <c r="CH114" s="7" t="s">
        <v>107</v>
      </c>
      <c r="CI114" s="3"/>
      <c r="CJ114" s="7"/>
      <c r="CK114" s="7" t="s">
        <v>107</v>
      </c>
      <c r="CL114" s="7" t="s">
        <v>107</v>
      </c>
      <c r="CM114" s="8" t="s">
        <v>107</v>
      </c>
      <c r="CN114" s="7" t="s">
        <v>107</v>
      </c>
      <c r="CO114" s="7" t="s">
        <v>107</v>
      </c>
      <c r="CP114" s="7" t="s">
        <v>107</v>
      </c>
      <c r="CQ114" s="3"/>
      <c r="CR114" s="7"/>
      <c r="CS114" s="7" t="s">
        <v>107</v>
      </c>
      <c r="CT114" s="7" t="s">
        <v>107</v>
      </c>
      <c r="CU114" s="7" t="s">
        <v>107</v>
      </c>
      <c r="CV114" s="7" t="s">
        <v>107</v>
      </c>
      <c r="CW114" s="7" t="s">
        <v>107</v>
      </c>
      <c r="CX114" s="7" t="s">
        <v>107</v>
      </c>
      <c r="CY114" s="3"/>
      <c r="CZ114" s="7"/>
      <c r="DA114" s="7" t="s">
        <v>107</v>
      </c>
      <c r="DB114" s="7" t="s">
        <v>107</v>
      </c>
      <c r="DC114" s="7" t="s">
        <v>107</v>
      </c>
      <c r="DD114" s="7" t="s">
        <v>107</v>
      </c>
      <c r="DE114" s="7" t="s">
        <v>107</v>
      </c>
      <c r="DF114" s="7" t="s">
        <v>107</v>
      </c>
      <c r="DG114" s="3"/>
      <c r="DH114" s="7"/>
      <c r="DI114" s="7" t="s">
        <v>107</v>
      </c>
      <c r="DJ114" s="7" t="s">
        <v>107</v>
      </c>
      <c r="DK114" s="5">
        <f>AM114</f>
        <v>23049</v>
      </c>
      <c r="DL114" s="15" t="s">
        <v>3043</v>
      </c>
      <c r="DM114" s="51">
        <f>DL114*0.95</f>
        <v>21896.55</v>
      </c>
    </row>
    <row r="115" spans="1:117" ht="17.25" customHeight="1" x14ac:dyDescent="0.25">
      <c r="A115" s="50" t="s">
        <v>2448</v>
      </c>
      <c r="B115" s="15" t="s">
        <v>2449</v>
      </c>
      <c r="C115" s="15" t="s">
        <v>2450</v>
      </c>
      <c r="D115" s="15" t="s">
        <v>2451</v>
      </c>
      <c r="E115" s="15" t="s">
        <v>1435</v>
      </c>
      <c r="F115" s="15" t="s">
        <v>2452</v>
      </c>
      <c r="G115" s="15" t="s">
        <v>2453</v>
      </c>
      <c r="H115" s="15" t="s">
        <v>2454</v>
      </c>
      <c r="I115" s="15" t="s">
        <v>2455</v>
      </c>
      <c r="J115" s="15" t="s">
        <v>4295</v>
      </c>
      <c r="K115" s="15" t="s">
        <v>151</v>
      </c>
      <c r="L115" s="15" t="s">
        <v>2452</v>
      </c>
      <c r="M115" s="15" t="s">
        <v>2456</v>
      </c>
      <c r="N115" s="15" t="s">
        <v>2457</v>
      </c>
      <c r="O115" s="15" t="s">
        <v>2458</v>
      </c>
      <c r="P115" s="15" t="s">
        <v>2459</v>
      </c>
      <c r="Q115" s="15" t="s">
        <v>2460</v>
      </c>
      <c r="R115" s="15" t="s">
        <v>132</v>
      </c>
      <c r="S115" s="15" t="s">
        <v>2452</v>
      </c>
      <c r="T115" s="15" t="s">
        <v>107</v>
      </c>
      <c r="U115" s="15" t="s">
        <v>2461</v>
      </c>
      <c r="V115" s="15" t="s">
        <v>109</v>
      </c>
      <c r="W115" s="15" t="s">
        <v>2462</v>
      </c>
      <c r="X115" s="16" t="s">
        <v>2463</v>
      </c>
      <c r="Y115" s="15" t="s">
        <v>216</v>
      </c>
      <c r="Z115" s="16" t="s">
        <v>2464</v>
      </c>
      <c r="AA115" s="17">
        <v>925</v>
      </c>
      <c r="AB115" s="17">
        <v>1</v>
      </c>
      <c r="AC115" s="17">
        <v>759</v>
      </c>
      <c r="AD115" s="17">
        <v>1</v>
      </c>
      <c r="AE115" s="17">
        <v>818</v>
      </c>
      <c r="AF115" s="15" t="s">
        <v>118</v>
      </c>
      <c r="AG115" s="15" t="s">
        <v>132</v>
      </c>
      <c r="AH115" s="15" t="s">
        <v>2465</v>
      </c>
      <c r="AI115" s="21">
        <v>67371</v>
      </c>
      <c r="AJ115" s="15">
        <v>0.2</v>
      </c>
      <c r="AK115" s="15" t="s">
        <v>2466</v>
      </c>
      <c r="AL115" s="15" t="s">
        <v>2467</v>
      </c>
      <c r="AM115" s="3">
        <f>(AI115*AJ115)/2</f>
        <v>6737.1</v>
      </c>
      <c r="AN115" s="7" t="s">
        <v>118</v>
      </c>
      <c r="AO115" s="7" t="s">
        <v>157</v>
      </c>
      <c r="AP115" s="7" t="s">
        <v>2468</v>
      </c>
      <c r="AQ115" s="8">
        <v>59571</v>
      </c>
      <c r="AR115" s="7">
        <v>0.15</v>
      </c>
      <c r="AS115" s="7" t="s">
        <v>2469</v>
      </c>
      <c r="AT115" s="7" t="s">
        <v>2470</v>
      </c>
      <c r="AU115" s="3">
        <f>(AQ115*AR115)/2</f>
        <v>4467.8249999999998</v>
      </c>
      <c r="AV115" s="7" t="s">
        <v>107</v>
      </c>
      <c r="AW115" s="7" t="s">
        <v>107</v>
      </c>
      <c r="AX115" s="7" t="s">
        <v>107</v>
      </c>
      <c r="AY115" s="8" t="s">
        <v>107</v>
      </c>
      <c r="AZ115" s="7" t="s">
        <v>107</v>
      </c>
      <c r="BA115" s="7" t="s">
        <v>107</v>
      </c>
      <c r="BB115" s="7" t="s">
        <v>107</v>
      </c>
      <c r="BC115" s="3"/>
      <c r="BD115" s="7" t="s">
        <v>107</v>
      </c>
      <c r="BE115" s="7" t="s">
        <v>107</v>
      </c>
      <c r="BF115" s="7" t="s">
        <v>107</v>
      </c>
      <c r="BG115" s="7" t="s">
        <v>107</v>
      </c>
      <c r="BH115" s="7" t="s">
        <v>107</v>
      </c>
      <c r="BI115" s="7" t="s">
        <v>107</v>
      </c>
      <c r="BJ115" s="7" t="s">
        <v>107</v>
      </c>
      <c r="BK115" s="3"/>
      <c r="BL115" s="7" t="s">
        <v>107</v>
      </c>
      <c r="BM115" s="7" t="s">
        <v>107</v>
      </c>
      <c r="BN115" s="7" t="s">
        <v>107</v>
      </c>
      <c r="BO115" s="8" t="s">
        <v>107</v>
      </c>
      <c r="BP115" s="7" t="s">
        <v>107</v>
      </c>
      <c r="BQ115" s="7" t="s">
        <v>107</v>
      </c>
      <c r="BR115" s="7" t="s">
        <v>107</v>
      </c>
      <c r="BS115" s="3"/>
      <c r="BT115" s="7" t="s">
        <v>107</v>
      </c>
      <c r="BU115" s="7" t="s">
        <v>107</v>
      </c>
      <c r="BV115" s="7" t="s">
        <v>107</v>
      </c>
      <c r="BW115" s="8" t="s">
        <v>107</v>
      </c>
      <c r="BX115" s="7" t="s">
        <v>107</v>
      </c>
      <c r="BY115" s="7" t="s">
        <v>107</v>
      </c>
      <c r="BZ115" s="7" t="s">
        <v>107</v>
      </c>
      <c r="CA115" s="3"/>
      <c r="CB115" s="7"/>
      <c r="CC115" s="7" t="s">
        <v>107</v>
      </c>
      <c r="CD115" s="7" t="s">
        <v>107</v>
      </c>
      <c r="CE115" s="8" t="s">
        <v>107</v>
      </c>
      <c r="CF115" s="7" t="s">
        <v>107</v>
      </c>
      <c r="CG115" s="7" t="s">
        <v>107</v>
      </c>
      <c r="CH115" s="7" t="s">
        <v>107</v>
      </c>
      <c r="CI115" s="3"/>
      <c r="CJ115" s="7"/>
      <c r="CK115" s="7" t="s">
        <v>107</v>
      </c>
      <c r="CL115" s="7" t="s">
        <v>107</v>
      </c>
      <c r="CM115" s="8" t="s">
        <v>107</v>
      </c>
      <c r="CN115" s="7" t="s">
        <v>107</v>
      </c>
      <c r="CO115" s="7" t="s">
        <v>107</v>
      </c>
      <c r="CP115" s="7" t="s">
        <v>107</v>
      </c>
      <c r="CQ115" s="3"/>
      <c r="CR115" s="7"/>
      <c r="CS115" s="7" t="s">
        <v>107</v>
      </c>
      <c r="CT115" s="7" t="s">
        <v>107</v>
      </c>
      <c r="CU115" s="7" t="s">
        <v>107</v>
      </c>
      <c r="CV115" s="7" t="s">
        <v>107</v>
      </c>
      <c r="CW115" s="7" t="s">
        <v>107</v>
      </c>
      <c r="CX115" s="7" t="s">
        <v>107</v>
      </c>
      <c r="CY115" s="3"/>
      <c r="CZ115" s="7"/>
      <c r="DA115" s="7" t="s">
        <v>107</v>
      </c>
      <c r="DB115" s="7" t="s">
        <v>107</v>
      </c>
      <c r="DC115" s="7" t="s">
        <v>107</v>
      </c>
      <c r="DD115" s="7" t="s">
        <v>107</v>
      </c>
      <c r="DE115" s="7" t="s">
        <v>107</v>
      </c>
      <c r="DF115" s="7" t="s">
        <v>107</v>
      </c>
      <c r="DG115" s="3"/>
      <c r="DH115" s="7"/>
      <c r="DI115" s="7" t="s">
        <v>107</v>
      </c>
      <c r="DJ115" s="7" t="s">
        <v>107</v>
      </c>
      <c r="DK115" s="5">
        <f>AM115+AU115</f>
        <v>11204.924999999999</v>
      </c>
      <c r="DL115" s="15" t="s">
        <v>2471</v>
      </c>
      <c r="DM115" s="51">
        <f>DL115*0.95</f>
        <v>10644.75</v>
      </c>
    </row>
    <row r="116" spans="1:117" ht="17.25" customHeight="1" x14ac:dyDescent="0.25">
      <c r="A116" s="50" t="s">
        <v>3786</v>
      </c>
      <c r="B116" s="15" t="s">
        <v>3787</v>
      </c>
      <c r="C116" s="15" t="s">
        <v>3788</v>
      </c>
      <c r="D116" s="15" t="s">
        <v>3789</v>
      </c>
      <c r="E116" s="15" t="s">
        <v>1863</v>
      </c>
      <c r="F116" s="15" t="s">
        <v>3790</v>
      </c>
      <c r="G116" s="15" t="s">
        <v>3791</v>
      </c>
      <c r="H116" s="15" t="s">
        <v>3792</v>
      </c>
      <c r="I116" s="15" t="s">
        <v>3793</v>
      </c>
      <c r="J116" s="15" t="s">
        <v>4361</v>
      </c>
      <c r="K116" s="15" t="s">
        <v>151</v>
      </c>
      <c r="L116" s="15" t="s">
        <v>3790</v>
      </c>
      <c r="M116" s="15" t="s">
        <v>3794</v>
      </c>
      <c r="N116" s="15" t="s">
        <v>3795</v>
      </c>
      <c r="O116" s="15" t="s">
        <v>3796</v>
      </c>
      <c r="P116" s="15" t="s">
        <v>3797</v>
      </c>
      <c r="Q116" s="15" t="s">
        <v>3798</v>
      </c>
      <c r="R116" s="15" t="s">
        <v>1758</v>
      </c>
      <c r="S116" s="15" t="s">
        <v>3790</v>
      </c>
      <c r="T116" s="15" t="s">
        <v>107</v>
      </c>
      <c r="U116" s="15" t="s">
        <v>3799</v>
      </c>
      <c r="V116" s="15" t="s">
        <v>109</v>
      </c>
      <c r="W116" s="15" t="s">
        <v>3800</v>
      </c>
      <c r="X116" s="16" t="s">
        <v>3801</v>
      </c>
      <c r="Y116" s="15" t="s">
        <v>114</v>
      </c>
      <c r="Z116" s="16" t="s">
        <v>3802</v>
      </c>
      <c r="AA116" s="17">
        <v>293</v>
      </c>
      <c r="AB116" s="17">
        <v>1</v>
      </c>
      <c r="AC116" s="17">
        <v>575</v>
      </c>
      <c r="AD116" s="17">
        <v>1</v>
      </c>
      <c r="AE116" s="17">
        <v>950</v>
      </c>
      <c r="AF116" s="15" t="s">
        <v>107</v>
      </c>
      <c r="AG116" s="15" t="s">
        <v>132</v>
      </c>
      <c r="AH116" s="15" t="s">
        <v>3803</v>
      </c>
      <c r="AI116" s="21">
        <v>55952</v>
      </c>
      <c r="AJ116" s="15">
        <v>0.5</v>
      </c>
      <c r="AK116" s="15" t="s">
        <v>3804</v>
      </c>
      <c r="AL116" s="15" t="s">
        <v>3805</v>
      </c>
      <c r="AM116" s="3">
        <f>(AI116*AJ116)/2</f>
        <v>13988</v>
      </c>
      <c r="AN116" s="7" t="s">
        <v>107</v>
      </c>
      <c r="AO116" s="7" t="s">
        <v>107</v>
      </c>
      <c r="AP116" s="7" t="s">
        <v>107</v>
      </c>
      <c r="AQ116" s="8" t="s">
        <v>107</v>
      </c>
      <c r="AR116" s="7" t="s">
        <v>107</v>
      </c>
      <c r="AS116" s="7" t="s">
        <v>107</v>
      </c>
      <c r="AT116" s="7" t="s">
        <v>107</v>
      </c>
      <c r="AU116" s="3"/>
      <c r="AV116" s="7" t="s">
        <v>107</v>
      </c>
      <c r="AW116" s="7" t="s">
        <v>107</v>
      </c>
      <c r="AX116" s="7" t="s">
        <v>107</v>
      </c>
      <c r="AY116" s="8" t="s">
        <v>107</v>
      </c>
      <c r="AZ116" s="7" t="s">
        <v>107</v>
      </c>
      <c r="BA116" s="7" t="s">
        <v>107</v>
      </c>
      <c r="BB116" s="7" t="s">
        <v>107</v>
      </c>
      <c r="BC116" s="3"/>
      <c r="BD116" s="7" t="s">
        <v>107</v>
      </c>
      <c r="BE116" s="7" t="s">
        <v>107</v>
      </c>
      <c r="BF116" s="7" t="s">
        <v>107</v>
      </c>
      <c r="BG116" s="7" t="s">
        <v>107</v>
      </c>
      <c r="BH116" s="7" t="s">
        <v>107</v>
      </c>
      <c r="BI116" s="7" t="s">
        <v>107</v>
      </c>
      <c r="BJ116" s="7" t="s">
        <v>107</v>
      </c>
      <c r="BK116" s="3"/>
      <c r="BL116" s="7" t="s">
        <v>107</v>
      </c>
      <c r="BM116" s="7" t="s">
        <v>107</v>
      </c>
      <c r="BN116" s="7" t="s">
        <v>107</v>
      </c>
      <c r="BO116" s="8" t="s">
        <v>107</v>
      </c>
      <c r="BP116" s="7" t="s">
        <v>107</v>
      </c>
      <c r="BQ116" s="7" t="s">
        <v>107</v>
      </c>
      <c r="BR116" s="7" t="s">
        <v>107</v>
      </c>
      <c r="BS116" s="3"/>
      <c r="BT116" s="7" t="s">
        <v>107</v>
      </c>
      <c r="BU116" s="7" t="s">
        <v>107</v>
      </c>
      <c r="BV116" s="7" t="s">
        <v>107</v>
      </c>
      <c r="BW116" s="8" t="s">
        <v>107</v>
      </c>
      <c r="BX116" s="7" t="s">
        <v>107</v>
      </c>
      <c r="BY116" s="7" t="s">
        <v>107</v>
      </c>
      <c r="BZ116" s="7" t="s">
        <v>107</v>
      </c>
      <c r="CA116" s="3"/>
      <c r="CB116" s="7"/>
      <c r="CC116" s="7" t="s">
        <v>107</v>
      </c>
      <c r="CD116" s="7" t="s">
        <v>107</v>
      </c>
      <c r="CE116" s="8" t="s">
        <v>107</v>
      </c>
      <c r="CF116" s="7" t="s">
        <v>107</v>
      </c>
      <c r="CG116" s="7" t="s">
        <v>107</v>
      </c>
      <c r="CH116" s="7" t="s">
        <v>107</v>
      </c>
      <c r="CI116" s="3"/>
      <c r="CJ116" s="7"/>
      <c r="CK116" s="7" t="s">
        <v>107</v>
      </c>
      <c r="CL116" s="7" t="s">
        <v>107</v>
      </c>
      <c r="CM116" s="8" t="s">
        <v>107</v>
      </c>
      <c r="CN116" s="7" t="s">
        <v>107</v>
      </c>
      <c r="CO116" s="7" t="s">
        <v>107</v>
      </c>
      <c r="CP116" s="7" t="s">
        <v>107</v>
      </c>
      <c r="CQ116" s="3"/>
      <c r="CR116" s="7"/>
      <c r="CS116" s="7" t="s">
        <v>107</v>
      </c>
      <c r="CT116" s="7" t="s">
        <v>107</v>
      </c>
      <c r="CU116" s="7" t="s">
        <v>107</v>
      </c>
      <c r="CV116" s="7" t="s">
        <v>107</v>
      </c>
      <c r="CW116" s="7" t="s">
        <v>107</v>
      </c>
      <c r="CX116" s="7" t="s">
        <v>107</v>
      </c>
      <c r="CY116" s="3"/>
      <c r="CZ116" s="7"/>
      <c r="DA116" s="7" t="s">
        <v>107</v>
      </c>
      <c r="DB116" s="7" t="s">
        <v>107</v>
      </c>
      <c r="DC116" s="7" t="s">
        <v>107</v>
      </c>
      <c r="DD116" s="7" t="s">
        <v>107</v>
      </c>
      <c r="DE116" s="7" t="s">
        <v>107</v>
      </c>
      <c r="DF116" s="7" t="s">
        <v>107</v>
      </c>
      <c r="DG116" s="3"/>
      <c r="DH116" s="7"/>
      <c r="DI116" s="7" t="s">
        <v>107</v>
      </c>
      <c r="DJ116" s="7" t="s">
        <v>107</v>
      </c>
      <c r="DK116" s="5">
        <f>AM116</f>
        <v>13988</v>
      </c>
      <c r="DL116" s="15" t="s">
        <v>3806</v>
      </c>
      <c r="DM116" s="51">
        <f>DL116*0.95</f>
        <v>13288.599999999999</v>
      </c>
    </row>
    <row r="117" spans="1:117" ht="17.25" customHeight="1" x14ac:dyDescent="0.25">
      <c r="A117" s="50" t="s">
        <v>3885</v>
      </c>
      <c r="B117" s="15" t="s">
        <v>1942</v>
      </c>
      <c r="C117" s="15" t="s">
        <v>1943</v>
      </c>
      <c r="D117" s="15" t="s">
        <v>1944</v>
      </c>
      <c r="E117" s="15" t="s">
        <v>1519</v>
      </c>
      <c r="F117" s="15" t="s">
        <v>1945</v>
      </c>
      <c r="G117" s="15" t="s">
        <v>1946</v>
      </c>
      <c r="H117" s="15" t="s">
        <v>1947</v>
      </c>
      <c r="I117" s="15" t="s">
        <v>1948</v>
      </c>
      <c r="J117" s="15" t="s">
        <v>4272</v>
      </c>
      <c r="K117" s="15" t="s">
        <v>151</v>
      </c>
      <c r="L117" s="15" t="s">
        <v>1945</v>
      </c>
      <c r="M117" s="15" t="s">
        <v>1949</v>
      </c>
      <c r="N117" s="15" t="s">
        <v>1950</v>
      </c>
      <c r="O117" s="15" t="s">
        <v>1951</v>
      </c>
      <c r="P117" s="15" t="s">
        <v>1952</v>
      </c>
      <c r="Q117" s="15" t="s">
        <v>1953</v>
      </c>
      <c r="R117" s="15" t="s">
        <v>1678</v>
      </c>
      <c r="S117" s="15" t="s">
        <v>1945</v>
      </c>
      <c r="T117" s="15" t="s">
        <v>107</v>
      </c>
      <c r="U117" s="15" t="s">
        <v>1954</v>
      </c>
      <c r="V117" s="15" t="s">
        <v>109</v>
      </c>
      <c r="W117" s="15" t="s">
        <v>1955</v>
      </c>
      <c r="X117" s="16" t="s">
        <v>1956</v>
      </c>
      <c r="Y117" s="15" t="s">
        <v>184</v>
      </c>
      <c r="Z117" s="16" t="s">
        <v>4089</v>
      </c>
      <c r="AA117" s="17">
        <v>225</v>
      </c>
      <c r="AB117" s="17">
        <v>0</v>
      </c>
      <c r="AC117" s="17">
        <v>0</v>
      </c>
      <c r="AD117" s="17">
        <v>0</v>
      </c>
      <c r="AE117" s="17">
        <v>0</v>
      </c>
      <c r="AF117" s="15" t="s">
        <v>142</v>
      </c>
      <c r="AG117" s="15" t="s">
        <v>480</v>
      </c>
      <c r="AH117" s="15" t="s">
        <v>1957</v>
      </c>
      <c r="AI117" s="21">
        <v>86652</v>
      </c>
      <c r="AJ117" s="15">
        <v>0.25</v>
      </c>
      <c r="AK117" s="15" t="s">
        <v>1958</v>
      </c>
      <c r="AL117" s="15" t="s">
        <v>1959</v>
      </c>
      <c r="AM117" s="3">
        <f>(AI117*AJ117)/2</f>
        <v>10831.5</v>
      </c>
      <c r="AN117" s="7" t="s">
        <v>107</v>
      </c>
      <c r="AO117" s="7" t="s">
        <v>107</v>
      </c>
      <c r="AP117" s="7" t="s">
        <v>107</v>
      </c>
      <c r="AQ117" s="8" t="s">
        <v>107</v>
      </c>
      <c r="AR117" s="7" t="s">
        <v>107</v>
      </c>
      <c r="AS117" s="7" t="s">
        <v>107</v>
      </c>
      <c r="AT117" s="7" t="s">
        <v>107</v>
      </c>
      <c r="AU117" s="3"/>
      <c r="AV117" s="7" t="s">
        <v>107</v>
      </c>
      <c r="AW117" s="7" t="s">
        <v>107</v>
      </c>
      <c r="AX117" s="7" t="s">
        <v>107</v>
      </c>
      <c r="AY117" s="8" t="s">
        <v>107</v>
      </c>
      <c r="AZ117" s="7" t="s">
        <v>107</v>
      </c>
      <c r="BA117" s="7" t="s">
        <v>107</v>
      </c>
      <c r="BB117" s="7" t="s">
        <v>107</v>
      </c>
      <c r="BC117" s="3"/>
      <c r="BD117" s="7" t="s">
        <v>107</v>
      </c>
      <c r="BE117" s="7" t="s">
        <v>107</v>
      </c>
      <c r="BF117" s="7" t="s">
        <v>107</v>
      </c>
      <c r="BG117" s="7" t="s">
        <v>107</v>
      </c>
      <c r="BH117" s="7" t="s">
        <v>107</v>
      </c>
      <c r="BI117" s="7" t="s">
        <v>107</v>
      </c>
      <c r="BJ117" s="7" t="s">
        <v>107</v>
      </c>
      <c r="BK117" s="3"/>
      <c r="BL117" s="7" t="s">
        <v>107</v>
      </c>
      <c r="BM117" s="7" t="s">
        <v>107</v>
      </c>
      <c r="BN117" s="7" t="s">
        <v>107</v>
      </c>
      <c r="BO117" s="8" t="s">
        <v>107</v>
      </c>
      <c r="BP117" s="7" t="s">
        <v>107</v>
      </c>
      <c r="BQ117" s="7" t="s">
        <v>107</v>
      </c>
      <c r="BR117" s="7" t="s">
        <v>107</v>
      </c>
      <c r="BS117" s="3"/>
      <c r="BT117" s="7" t="s">
        <v>107</v>
      </c>
      <c r="BU117" s="7" t="s">
        <v>107</v>
      </c>
      <c r="BV117" s="7" t="s">
        <v>107</v>
      </c>
      <c r="BW117" s="8" t="s">
        <v>107</v>
      </c>
      <c r="BX117" s="7" t="s">
        <v>107</v>
      </c>
      <c r="BY117" s="7" t="s">
        <v>107</v>
      </c>
      <c r="BZ117" s="7" t="s">
        <v>107</v>
      </c>
      <c r="CA117" s="3"/>
      <c r="CB117" s="7"/>
      <c r="CC117" s="7" t="s">
        <v>107</v>
      </c>
      <c r="CD117" s="7" t="s">
        <v>107</v>
      </c>
      <c r="CE117" s="8" t="s">
        <v>107</v>
      </c>
      <c r="CF117" s="7" t="s">
        <v>107</v>
      </c>
      <c r="CG117" s="7" t="s">
        <v>107</v>
      </c>
      <c r="CH117" s="7" t="s">
        <v>107</v>
      </c>
      <c r="CI117" s="3"/>
      <c r="CJ117" s="7"/>
      <c r="CK117" s="7" t="s">
        <v>107</v>
      </c>
      <c r="CL117" s="7" t="s">
        <v>107</v>
      </c>
      <c r="CM117" s="8" t="s">
        <v>107</v>
      </c>
      <c r="CN117" s="7" t="s">
        <v>107</v>
      </c>
      <c r="CO117" s="7" t="s">
        <v>107</v>
      </c>
      <c r="CP117" s="7" t="s">
        <v>107</v>
      </c>
      <c r="CQ117" s="3"/>
      <c r="CR117" s="7"/>
      <c r="CS117" s="7" t="s">
        <v>107</v>
      </c>
      <c r="CT117" s="7" t="s">
        <v>107</v>
      </c>
      <c r="CU117" s="7" t="s">
        <v>107</v>
      </c>
      <c r="CV117" s="7" t="s">
        <v>107</v>
      </c>
      <c r="CW117" s="7" t="s">
        <v>107</v>
      </c>
      <c r="CX117" s="7" t="s">
        <v>107</v>
      </c>
      <c r="CY117" s="3"/>
      <c r="CZ117" s="7"/>
      <c r="DA117" s="7" t="s">
        <v>107</v>
      </c>
      <c r="DB117" s="7" t="s">
        <v>107</v>
      </c>
      <c r="DC117" s="7" t="s">
        <v>107</v>
      </c>
      <c r="DD117" s="7" t="s">
        <v>107</v>
      </c>
      <c r="DE117" s="7" t="s">
        <v>107</v>
      </c>
      <c r="DF117" s="7" t="s">
        <v>107</v>
      </c>
      <c r="DG117" s="3"/>
      <c r="DH117" s="7"/>
      <c r="DI117" s="7" t="s">
        <v>107</v>
      </c>
      <c r="DJ117" s="7" t="s">
        <v>107</v>
      </c>
      <c r="DK117" s="5">
        <f>AM117</f>
        <v>10831.5</v>
      </c>
      <c r="DL117" s="15" t="s">
        <v>1959</v>
      </c>
      <c r="DM117" s="51">
        <f>DL117*0.95</f>
        <v>10289.449999999999</v>
      </c>
    </row>
    <row r="118" spans="1:117" ht="17.25" customHeight="1" x14ac:dyDescent="0.25">
      <c r="A118" s="50" t="s">
        <v>3886</v>
      </c>
      <c r="B118" s="15" t="s">
        <v>3176</v>
      </c>
      <c r="C118" s="15" t="s">
        <v>3175</v>
      </c>
      <c r="D118" s="15" t="s">
        <v>350</v>
      </c>
      <c r="E118" s="15" t="s">
        <v>351</v>
      </c>
      <c r="F118" s="15" t="s">
        <v>3177</v>
      </c>
      <c r="G118" s="15" t="s">
        <v>3178</v>
      </c>
      <c r="H118" s="15" t="s">
        <v>3179</v>
      </c>
      <c r="I118" s="15" t="s">
        <v>3180</v>
      </c>
      <c r="J118" s="15" t="s">
        <v>4331</v>
      </c>
      <c r="K118" s="15" t="s">
        <v>151</v>
      </c>
      <c r="L118" s="15" t="s">
        <v>3177</v>
      </c>
      <c r="M118" s="15" t="s">
        <v>3181</v>
      </c>
      <c r="N118" s="15" t="s">
        <v>3182</v>
      </c>
      <c r="O118" s="15" t="s">
        <v>3183</v>
      </c>
      <c r="P118" s="15" t="s">
        <v>107</v>
      </c>
      <c r="Q118" s="15" t="s">
        <v>3184</v>
      </c>
      <c r="R118" s="15" t="s">
        <v>3185</v>
      </c>
      <c r="S118" s="15" t="s">
        <v>3177</v>
      </c>
      <c r="T118" s="15" t="s">
        <v>107</v>
      </c>
      <c r="U118" s="15" t="s">
        <v>3186</v>
      </c>
      <c r="V118" s="15" t="s">
        <v>109</v>
      </c>
      <c r="W118" s="15" t="s">
        <v>3187</v>
      </c>
      <c r="X118" s="16" t="s">
        <v>3188</v>
      </c>
      <c r="Y118" s="15" t="s">
        <v>184</v>
      </c>
      <c r="Z118" s="26" t="s">
        <v>4093</v>
      </c>
      <c r="AA118" s="17">
        <v>1523</v>
      </c>
      <c r="AB118" s="17">
        <v>1</v>
      </c>
      <c r="AC118" s="17">
        <v>892</v>
      </c>
      <c r="AD118" s="17">
        <v>1</v>
      </c>
      <c r="AE118" s="17">
        <v>1160</v>
      </c>
      <c r="AF118" s="15" t="s">
        <v>118</v>
      </c>
      <c r="AG118" s="15" t="s">
        <v>3185</v>
      </c>
      <c r="AH118" s="15" t="s">
        <v>3184</v>
      </c>
      <c r="AI118" s="21">
        <v>54608</v>
      </c>
      <c r="AJ118" s="15">
        <v>1</v>
      </c>
      <c r="AK118" s="15" t="s">
        <v>3189</v>
      </c>
      <c r="AL118" s="15" t="s">
        <v>3190</v>
      </c>
      <c r="AM118" s="3">
        <f>(AI118*AJ118)/2</f>
        <v>27304</v>
      </c>
      <c r="AN118" s="7" t="s">
        <v>107</v>
      </c>
      <c r="AO118" s="7" t="s">
        <v>107</v>
      </c>
      <c r="AP118" s="7" t="s">
        <v>107</v>
      </c>
      <c r="AQ118" s="8" t="s">
        <v>107</v>
      </c>
      <c r="AR118" s="7" t="s">
        <v>107</v>
      </c>
      <c r="AS118" s="7" t="s">
        <v>107</v>
      </c>
      <c r="AT118" s="7" t="s">
        <v>107</v>
      </c>
      <c r="AU118" s="3"/>
      <c r="AV118" s="7" t="s">
        <v>107</v>
      </c>
      <c r="AW118" s="7" t="s">
        <v>107</v>
      </c>
      <c r="AX118" s="7" t="s">
        <v>107</v>
      </c>
      <c r="AY118" s="8" t="s">
        <v>107</v>
      </c>
      <c r="AZ118" s="7" t="s">
        <v>107</v>
      </c>
      <c r="BA118" s="7" t="s">
        <v>107</v>
      </c>
      <c r="BB118" s="7" t="s">
        <v>107</v>
      </c>
      <c r="BC118" s="3"/>
      <c r="BD118" s="7" t="s">
        <v>107</v>
      </c>
      <c r="BE118" s="7" t="s">
        <v>107</v>
      </c>
      <c r="BF118" s="7" t="s">
        <v>107</v>
      </c>
      <c r="BG118" s="7" t="s">
        <v>107</v>
      </c>
      <c r="BH118" s="7" t="s">
        <v>107</v>
      </c>
      <c r="BI118" s="7" t="s">
        <v>107</v>
      </c>
      <c r="BJ118" s="7" t="s">
        <v>107</v>
      </c>
      <c r="BK118" s="3"/>
      <c r="BL118" s="7" t="s">
        <v>107</v>
      </c>
      <c r="BM118" s="7" t="s">
        <v>107</v>
      </c>
      <c r="BN118" s="7" t="s">
        <v>107</v>
      </c>
      <c r="BO118" s="8" t="s">
        <v>107</v>
      </c>
      <c r="BP118" s="7" t="s">
        <v>107</v>
      </c>
      <c r="BQ118" s="7" t="s">
        <v>107</v>
      </c>
      <c r="BR118" s="7" t="s">
        <v>107</v>
      </c>
      <c r="BS118" s="3"/>
      <c r="BT118" s="7" t="s">
        <v>107</v>
      </c>
      <c r="BU118" s="7" t="s">
        <v>107</v>
      </c>
      <c r="BV118" s="7" t="s">
        <v>107</v>
      </c>
      <c r="BW118" s="8" t="s">
        <v>107</v>
      </c>
      <c r="BX118" s="7" t="s">
        <v>107</v>
      </c>
      <c r="BY118" s="7" t="s">
        <v>107</v>
      </c>
      <c r="BZ118" s="7" t="s">
        <v>107</v>
      </c>
      <c r="CA118" s="3"/>
      <c r="CB118" s="7"/>
      <c r="CC118" s="7" t="s">
        <v>107</v>
      </c>
      <c r="CD118" s="7" t="s">
        <v>107</v>
      </c>
      <c r="CE118" s="8" t="s">
        <v>107</v>
      </c>
      <c r="CF118" s="7" t="s">
        <v>107</v>
      </c>
      <c r="CG118" s="7" t="s">
        <v>107</v>
      </c>
      <c r="CH118" s="7" t="s">
        <v>107</v>
      </c>
      <c r="CI118" s="3"/>
      <c r="CJ118" s="7"/>
      <c r="CK118" s="7" t="s">
        <v>107</v>
      </c>
      <c r="CL118" s="7" t="s">
        <v>107</v>
      </c>
      <c r="CM118" s="8" t="s">
        <v>107</v>
      </c>
      <c r="CN118" s="7" t="s">
        <v>107</v>
      </c>
      <c r="CO118" s="7" t="s">
        <v>107</v>
      </c>
      <c r="CP118" s="7" t="s">
        <v>107</v>
      </c>
      <c r="CQ118" s="3"/>
      <c r="CR118" s="7"/>
      <c r="CS118" s="7" t="s">
        <v>107</v>
      </c>
      <c r="CT118" s="7" t="s">
        <v>107</v>
      </c>
      <c r="CU118" s="7" t="s">
        <v>107</v>
      </c>
      <c r="CV118" s="7" t="s">
        <v>107</v>
      </c>
      <c r="CW118" s="7" t="s">
        <v>107</v>
      </c>
      <c r="CX118" s="7" t="s">
        <v>107</v>
      </c>
      <c r="CY118" s="3"/>
      <c r="CZ118" s="7"/>
      <c r="DA118" s="7" t="s">
        <v>107</v>
      </c>
      <c r="DB118" s="7" t="s">
        <v>107</v>
      </c>
      <c r="DC118" s="7" t="s">
        <v>107</v>
      </c>
      <c r="DD118" s="7" t="s">
        <v>107</v>
      </c>
      <c r="DE118" s="7" t="s">
        <v>107</v>
      </c>
      <c r="DF118" s="7" t="s">
        <v>107</v>
      </c>
      <c r="DG118" s="3"/>
      <c r="DH118" s="7"/>
      <c r="DI118" s="7" t="s">
        <v>107</v>
      </c>
      <c r="DJ118" s="7" t="s">
        <v>107</v>
      </c>
      <c r="DK118" s="5">
        <f>AM118</f>
        <v>27304</v>
      </c>
      <c r="DL118" s="15" t="s">
        <v>3190</v>
      </c>
      <c r="DM118" s="51">
        <f>DL118*0.95</f>
        <v>25938.799999999999</v>
      </c>
    </row>
    <row r="119" spans="1:117" ht="17.25" customHeight="1" x14ac:dyDescent="0.25">
      <c r="A119" s="50" t="s">
        <v>1427</v>
      </c>
      <c r="B119" s="15" t="s">
        <v>3944</v>
      </c>
      <c r="C119" s="15" t="s">
        <v>1301</v>
      </c>
      <c r="D119" s="15" t="s">
        <v>1302</v>
      </c>
      <c r="E119" s="15" t="s">
        <v>1303</v>
      </c>
      <c r="F119" s="15" t="s">
        <v>1304</v>
      </c>
      <c r="G119" s="15" t="s">
        <v>1305</v>
      </c>
      <c r="H119" s="15" t="s">
        <v>1306</v>
      </c>
      <c r="I119" s="15" t="s">
        <v>1307</v>
      </c>
      <c r="J119" s="15" t="s">
        <v>4247</v>
      </c>
      <c r="K119" s="15" t="s">
        <v>151</v>
      </c>
      <c r="L119" s="15" t="s">
        <v>1308</v>
      </c>
      <c r="M119" s="15" t="s">
        <v>1309</v>
      </c>
      <c r="N119" s="15" t="s">
        <v>1310</v>
      </c>
      <c r="O119" s="15" t="s">
        <v>1311</v>
      </c>
      <c r="P119" s="15" t="s">
        <v>1312</v>
      </c>
      <c r="Q119" s="15" t="s">
        <v>1313</v>
      </c>
      <c r="R119" s="15" t="s">
        <v>157</v>
      </c>
      <c r="S119" s="15" t="s">
        <v>1304</v>
      </c>
      <c r="T119" s="15" t="s">
        <v>107</v>
      </c>
      <c r="U119" s="15" t="s">
        <v>1314</v>
      </c>
      <c r="V119" s="15" t="s">
        <v>109</v>
      </c>
      <c r="W119" s="15" t="s">
        <v>1315</v>
      </c>
      <c r="X119" s="16" t="s">
        <v>1428</v>
      </c>
      <c r="Y119" s="15" t="s">
        <v>184</v>
      </c>
      <c r="Z119" s="16" t="s">
        <v>1316</v>
      </c>
      <c r="AA119" s="17">
        <v>975</v>
      </c>
      <c r="AB119" s="17">
        <v>1</v>
      </c>
      <c r="AC119" s="17">
        <v>460</v>
      </c>
      <c r="AD119" s="17">
        <v>1</v>
      </c>
      <c r="AE119" s="17">
        <v>470</v>
      </c>
      <c r="AF119" s="15" t="s">
        <v>118</v>
      </c>
      <c r="AG119" s="15" t="s">
        <v>157</v>
      </c>
      <c r="AH119" s="15" t="s">
        <v>1313</v>
      </c>
      <c r="AI119" s="21">
        <v>47632</v>
      </c>
      <c r="AJ119" s="15">
        <v>0.125</v>
      </c>
      <c r="AK119" s="15" t="s">
        <v>1429</v>
      </c>
      <c r="AL119" s="15" t="s">
        <v>1430</v>
      </c>
      <c r="AM119" s="3">
        <f>(AI119*AJ119)/2</f>
        <v>2977</v>
      </c>
      <c r="AN119" s="7" t="s">
        <v>107</v>
      </c>
      <c r="AO119" s="7" t="s">
        <v>107</v>
      </c>
      <c r="AP119" s="7" t="s">
        <v>107</v>
      </c>
      <c r="AQ119" s="8" t="s">
        <v>107</v>
      </c>
      <c r="AR119" s="7" t="s">
        <v>107</v>
      </c>
      <c r="AS119" s="7" t="s">
        <v>107</v>
      </c>
      <c r="AT119" s="7" t="s">
        <v>107</v>
      </c>
      <c r="AU119" s="3"/>
      <c r="AV119" s="7" t="s">
        <v>107</v>
      </c>
      <c r="AW119" s="7" t="s">
        <v>107</v>
      </c>
      <c r="AX119" s="7" t="s">
        <v>107</v>
      </c>
      <c r="AY119" s="8" t="s">
        <v>107</v>
      </c>
      <c r="AZ119" s="7" t="s">
        <v>107</v>
      </c>
      <c r="BA119" s="7" t="s">
        <v>107</v>
      </c>
      <c r="BB119" s="7" t="s">
        <v>107</v>
      </c>
      <c r="BC119" s="3"/>
      <c r="BD119" s="7" t="s">
        <v>107</v>
      </c>
      <c r="BE119" s="7" t="s">
        <v>107</v>
      </c>
      <c r="BF119" s="7" t="s">
        <v>107</v>
      </c>
      <c r="BG119" s="7" t="s">
        <v>107</v>
      </c>
      <c r="BH119" s="7" t="s">
        <v>107</v>
      </c>
      <c r="BI119" s="7" t="s">
        <v>107</v>
      </c>
      <c r="BJ119" s="7" t="s">
        <v>107</v>
      </c>
      <c r="BK119" s="3"/>
      <c r="BL119" s="7" t="s">
        <v>107</v>
      </c>
      <c r="BM119" s="7" t="s">
        <v>107</v>
      </c>
      <c r="BN119" s="7" t="s">
        <v>107</v>
      </c>
      <c r="BO119" s="8" t="s">
        <v>107</v>
      </c>
      <c r="BP119" s="7" t="s">
        <v>107</v>
      </c>
      <c r="BQ119" s="7" t="s">
        <v>107</v>
      </c>
      <c r="BR119" s="7" t="s">
        <v>107</v>
      </c>
      <c r="BS119" s="3"/>
      <c r="BT119" s="7" t="s">
        <v>107</v>
      </c>
      <c r="BU119" s="7" t="s">
        <v>107</v>
      </c>
      <c r="BV119" s="7" t="s">
        <v>107</v>
      </c>
      <c r="BW119" s="8" t="s">
        <v>107</v>
      </c>
      <c r="BX119" s="7" t="s">
        <v>107</v>
      </c>
      <c r="BY119" s="7" t="s">
        <v>107</v>
      </c>
      <c r="BZ119" s="7" t="s">
        <v>107</v>
      </c>
      <c r="CA119" s="3"/>
      <c r="CB119" s="7"/>
      <c r="CC119" s="7" t="s">
        <v>107</v>
      </c>
      <c r="CD119" s="7" t="s">
        <v>107</v>
      </c>
      <c r="CE119" s="8" t="s">
        <v>107</v>
      </c>
      <c r="CF119" s="7" t="s">
        <v>107</v>
      </c>
      <c r="CG119" s="7" t="s">
        <v>107</v>
      </c>
      <c r="CH119" s="7" t="s">
        <v>107</v>
      </c>
      <c r="CI119" s="3"/>
      <c r="CJ119" s="7"/>
      <c r="CK119" s="7" t="s">
        <v>107</v>
      </c>
      <c r="CL119" s="7" t="s">
        <v>107</v>
      </c>
      <c r="CM119" s="8" t="s">
        <v>107</v>
      </c>
      <c r="CN119" s="7" t="s">
        <v>107</v>
      </c>
      <c r="CO119" s="7" t="s">
        <v>107</v>
      </c>
      <c r="CP119" s="7" t="s">
        <v>107</v>
      </c>
      <c r="CQ119" s="3"/>
      <c r="CR119" s="7"/>
      <c r="CS119" s="7" t="s">
        <v>107</v>
      </c>
      <c r="CT119" s="7" t="s">
        <v>107</v>
      </c>
      <c r="CU119" s="7" t="s">
        <v>107</v>
      </c>
      <c r="CV119" s="7" t="s">
        <v>107</v>
      </c>
      <c r="CW119" s="7" t="s">
        <v>107</v>
      </c>
      <c r="CX119" s="7" t="s">
        <v>107</v>
      </c>
      <c r="CY119" s="3"/>
      <c r="CZ119" s="7"/>
      <c r="DA119" s="7" t="s">
        <v>107</v>
      </c>
      <c r="DB119" s="7" t="s">
        <v>107</v>
      </c>
      <c r="DC119" s="7" t="s">
        <v>107</v>
      </c>
      <c r="DD119" s="7" t="s">
        <v>107</v>
      </c>
      <c r="DE119" s="7" t="s">
        <v>107</v>
      </c>
      <c r="DF119" s="7" t="s">
        <v>107</v>
      </c>
      <c r="DG119" s="3"/>
      <c r="DH119" s="7"/>
      <c r="DI119" s="7" t="s">
        <v>107</v>
      </c>
      <c r="DJ119" s="7" t="s">
        <v>107</v>
      </c>
      <c r="DK119" s="5">
        <f>AM119</f>
        <v>2977</v>
      </c>
      <c r="DL119" s="15" t="s">
        <v>1430</v>
      </c>
      <c r="DM119" s="51">
        <f>DL119*0.95</f>
        <v>2828.15</v>
      </c>
    </row>
    <row r="120" spans="1:117" ht="17.25" customHeight="1" x14ac:dyDescent="0.25">
      <c r="A120" s="50" t="s">
        <v>3693</v>
      </c>
      <c r="B120" s="15" t="s">
        <v>3694</v>
      </c>
      <c r="C120" s="15" t="s">
        <v>3695</v>
      </c>
      <c r="D120" s="15" t="s">
        <v>3696</v>
      </c>
      <c r="E120" s="15" t="s">
        <v>168</v>
      </c>
      <c r="F120" s="15" t="s">
        <v>3697</v>
      </c>
      <c r="G120" s="15" t="s">
        <v>3698</v>
      </c>
      <c r="H120" s="15" t="s">
        <v>3699</v>
      </c>
      <c r="I120" s="15" t="s">
        <v>3700</v>
      </c>
      <c r="J120" s="15" t="s">
        <v>4357</v>
      </c>
      <c r="K120" s="15" t="s">
        <v>151</v>
      </c>
      <c r="L120" s="15" t="s">
        <v>3697</v>
      </c>
      <c r="M120" s="15" t="s">
        <v>3701</v>
      </c>
      <c r="N120" s="15" t="s">
        <v>3702</v>
      </c>
      <c r="O120" s="15" t="s">
        <v>3703</v>
      </c>
      <c r="P120" s="15" t="s">
        <v>3704</v>
      </c>
      <c r="Q120" s="15" t="s">
        <v>3705</v>
      </c>
      <c r="R120" s="15" t="s">
        <v>132</v>
      </c>
      <c r="S120" s="15" t="s">
        <v>3706</v>
      </c>
      <c r="T120" s="15" t="s">
        <v>107</v>
      </c>
      <c r="U120" s="15" t="s">
        <v>3707</v>
      </c>
      <c r="V120" s="15" t="s">
        <v>109</v>
      </c>
      <c r="W120" s="15" t="s">
        <v>3708</v>
      </c>
      <c r="X120" s="16" t="s">
        <v>3709</v>
      </c>
      <c r="Y120" s="15" t="s">
        <v>112</v>
      </c>
      <c r="Z120" s="16" t="s">
        <v>3710</v>
      </c>
      <c r="AA120" s="17">
        <v>1706</v>
      </c>
      <c r="AB120" s="17">
        <v>2</v>
      </c>
      <c r="AC120" s="17">
        <v>950</v>
      </c>
      <c r="AD120" s="17">
        <v>1</v>
      </c>
      <c r="AE120" s="17">
        <v>1240</v>
      </c>
      <c r="AF120" s="15" t="s">
        <v>142</v>
      </c>
      <c r="AG120" s="15" t="s">
        <v>460</v>
      </c>
      <c r="AH120" s="15" t="s">
        <v>3711</v>
      </c>
      <c r="AI120" s="21">
        <v>60382</v>
      </c>
      <c r="AJ120" s="15">
        <v>0.1</v>
      </c>
      <c r="AK120" s="15" t="s">
        <v>3712</v>
      </c>
      <c r="AL120" s="15" t="s">
        <v>3713</v>
      </c>
      <c r="AM120" s="3">
        <f>(AI120*AJ120)/2</f>
        <v>3019.1000000000004</v>
      </c>
      <c r="AN120" s="7" t="s">
        <v>118</v>
      </c>
      <c r="AO120" s="7" t="s">
        <v>460</v>
      </c>
      <c r="AP120" s="7" t="s">
        <v>3714</v>
      </c>
      <c r="AQ120" s="8">
        <v>60382</v>
      </c>
      <c r="AR120" s="7">
        <v>0.06</v>
      </c>
      <c r="AS120" s="7" t="s">
        <v>3715</v>
      </c>
      <c r="AT120" s="7" t="s">
        <v>3716</v>
      </c>
      <c r="AU120" s="3">
        <f>(AQ120*AR120)/2</f>
        <v>1811.46</v>
      </c>
      <c r="AV120" s="7" t="s">
        <v>196</v>
      </c>
      <c r="AW120" s="7" t="s">
        <v>460</v>
      </c>
      <c r="AX120" s="7" t="s">
        <v>3717</v>
      </c>
      <c r="AY120" s="8">
        <v>60382</v>
      </c>
      <c r="AZ120" s="7">
        <v>0.02</v>
      </c>
      <c r="BA120" s="7" t="s">
        <v>3718</v>
      </c>
      <c r="BB120" s="7" t="s">
        <v>3719</v>
      </c>
      <c r="BC120" s="3">
        <f>(AY120*AZ120)/2</f>
        <v>603.82000000000005</v>
      </c>
      <c r="BD120" s="7" t="s">
        <v>107</v>
      </c>
      <c r="BE120" s="7" t="s">
        <v>107</v>
      </c>
      <c r="BF120" s="7" t="s">
        <v>107</v>
      </c>
      <c r="BG120" s="7" t="s">
        <v>107</v>
      </c>
      <c r="BH120" s="7" t="s">
        <v>107</v>
      </c>
      <c r="BI120" s="7" t="s">
        <v>107</v>
      </c>
      <c r="BJ120" s="7" t="s">
        <v>107</v>
      </c>
      <c r="BK120" s="3"/>
      <c r="BL120" s="7" t="s">
        <v>107</v>
      </c>
      <c r="BM120" s="7" t="s">
        <v>107</v>
      </c>
      <c r="BN120" s="7" t="s">
        <v>107</v>
      </c>
      <c r="BO120" s="8" t="s">
        <v>107</v>
      </c>
      <c r="BP120" s="7" t="s">
        <v>107</v>
      </c>
      <c r="BQ120" s="7" t="s">
        <v>107</v>
      </c>
      <c r="BR120" s="7" t="s">
        <v>107</v>
      </c>
      <c r="BS120" s="3"/>
      <c r="BT120" s="7" t="s">
        <v>107</v>
      </c>
      <c r="BU120" s="7" t="s">
        <v>107</v>
      </c>
      <c r="BV120" s="7" t="s">
        <v>107</v>
      </c>
      <c r="BW120" s="8" t="s">
        <v>107</v>
      </c>
      <c r="BX120" s="7" t="s">
        <v>107</v>
      </c>
      <c r="BY120" s="7" t="s">
        <v>107</v>
      </c>
      <c r="BZ120" s="7" t="s">
        <v>107</v>
      </c>
      <c r="CA120" s="3"/>
      <c r="CB120" s="7"/>
      <c r="CC120" s="7" t="s">
        <v>107</v>
      </c>
      <c r="CD120" s="7" t="s">
        <v>107</v>
      </c>
      <c r="CE120" s="8" t="s">
        <v>107</v>
      </c>
      <c r="CF120" s="7" t="s">
        <v>107</v>
      </c>
      <c r="CG120" s="7" t="s">
        <v>107</v>
      </c>
      <c r="CH120" s="7" t="s">
        <v>107</v>
      </c>
      <c r="CI120" s="3"/>
      <c r="CJ120" s="7"/>
      <c r="CK120" s="7" t="s">
        <v>107</v>
      </c>
      <c r="CL120" s="7" t="s">
        <v>107</v>
      </c>
      <c r="CM120" s="8" t="s">
        <v>107</v>
      </c>
      <c r="CN120" s="7" t="s">
        <v>107</v>
      </c>
      <c r="CO120" s="7" t="s">
        <v>107</v>
      </c>
      <c r="CP120" s="7" t="s">
        <v>107</v>
      </c>
      <c r="CQ120" s="3"/>
      <c r="CR120" s="7"/>
      <c r="CS120" s="7" t="s">
        <v>107</v>
      </c>
      <c r="CT120" s="7" t="s">
        <v>107</v>
      </c>
      <c r="CU120" s="7" t="s">
        <v>107</v>
      </c>
      <c r="CV120" s="7" t="s">
        <v>107</v>
      </c>
      <c r="CW120" s="7" t="s">
        <v>107</v>
      </c>
      <c r="CX120" s="7" t="s">
        <v>107</v>
      </c>
      <c r="CY120" s="3"/>
      <c r="CZ120" s="7"/>
      <c r="DA120" s="7" t="s">
        <v>107</v>
      </c>
      <c r="DB120" s="7" t="s">
        <v>107</v>
      </c>
      <c r="DC120" s="7" t="s">
        <v>107</v>
      </c>
      <c r="DD120" s="7" t="s">
        <v>107</v>
      </c>
      <c r="DE120" s="7" t="s">
        <v>107</v>
      </c>
      <c r="DF120" s="7" t="s">
        <v>107</v>
      </c>
      <c r="DG120" s="3"/>
      <c r="DH120" s="7"/>
      <c r="DI120" s="7" t="s">
        <v>107</v>
      </c>
      <c r="DJ120" s="7" t="s">
        <v>107</v>
      </c>
      <c r="DK120" s="5">
        <f>AM120+AU120+BC120</f>
        <v>5434.38</v>
      </c>
      <c r="DL120" s="15" t="s">
        <v>3720</v>
      </c>
      <c r="DM120" s="51">
        <f>DL120*0.95</f>
        <v>5161.3499999999995</v>
      </c>
    </row>
    <row r="121" spans="1:117" ht="17.25" customHeight="1" x14ac:dyDescent="0.25">
      <c r="A121" s="50" t="s">
        <v>1766</v>
      </c>
      <c r="B121" s="15" t="s">
        <v>1767</v>
      </c>
      <c r="C121" s="15" t="s">
        <v>166</v>
      </c>
      <c r="D121" s="15" t="s">
        <v>1768</v>
      </c>
      <c r="E121" s="15" t="s">
        <v>168</v>
      </c>
      <c r="F121" s="15" t="s">
        <v>1769</v>
      </c>
      <c r="G121" s="15" t="s">
        <v>1770</v>
      </c>
      <c r="H121" s="15" t="s">
        <v>1771</v>
      </c>
      <c r="I121" s="15" t="s">
        <v>1772</v>
      </c>
      <c r="J121" s="15" t="s">
        <v>4265</v>
      </c>
      <c r="K121" s="15" t="s">
        <v>151</v>
      </c>
      <c r="L121" s="15" t="s">
        <v>1769</v>
      </c>
      <c r="M121" s="15" t="s">
        <v>1773</v>
      </c>
      <c r="N121" s="15" t="s">
        <v>1772</v>
      </c>
      <c r="O121" s="15" t="s">
        <v>1769</v>
      </c>
      <c r="P121" s="15" t="s">
        <v>1773</v>
      </c>
      <c r="Q121" s="15" t="s">
        <v>1774</v>
      </c>
      <c r="R121" s="15" t="s">
        <v>480</v>
      </c>
      <c r="S121" s="15" t="s">
        <v>1769</v>
      </c>
      <c r="T121" s="15" t="s">
        <v>107</v>
      </c>
      <c r="U121" s="15" t="s">
        <v>1775</v>
      </c>
      <c r="V121" s="15" t="s">
        <v>109</v>
      </c>
      <c r="W121" s="15" t="s">
        <v>1776</v>
      </c>
      <c r="X121" s="16" t="s">
        <v>1777</v>
      </c>
      <c r="Y121" s="15" t="s">
        <v>114</v>
      </c>
      <c r="Z121" s="16" t="s">
        <v>1778</v>
      </c>
      <c r="AA121" s="17">
        <v>102</v>
      </c>
      <c r="AB121" s="17">
        <v>0</v>
      </c>
      <c r="AC121" s="17">
        <v>0</v>
      </c>
      <c r="AD121" s="17">
        <v>0</v>
      </c>
      <c r="AE121" s="17">
        <v>0</v>
      </c>
      <c r="AF121" s="15" t="s">
        <v>142</v>
      </c>
      <c r="AG121" s="15" t="s">
        <v>480</v>
      </c>
      <c r="AH121" s="15" t="s">
        <v>1774</v>
      </c>
      <c r="AI121" s="20">
        <v>56201.599999999999</v>
      </c>
      <c r="AJ121" s="15">
        <v>0.25</v>
      </c>
      <c r="AK121" s="15" t="s">
        <v>1779</v>
      </c>
      <c r="AL121" s="15" t="s">
        <v>1780</v>
      </c>
      <c r="AM121" s="3">
        <f>(AI121*AJ121)/2</f>
        <v>7025.2</v>
      </c>
      <c r="AN121" s="7" t="s">
        <v>107</v>
      </c>
      <c r="AO121" s="7" t="s">
        <v>107</v>
      </c>
      <c r="AP121" s="7" t="s">
        <v>107</v>
      </c>
      <c r="AQ121" s="8" t="s">
        <v>107</v>
      </c>
      <c r="AR121" s="7" t="s">
        <v>107</v>
      </c>
      <c r="AS121" s="7" t="s">
        <v>107</v>
      </c>
      <c r="AT121" s="7" t="s">
        <v>107</v>
      </c>
      <c r="AU121" s="3"/>
      <c r="AV121" s="7" t="s">
        <v>107</v>
      </c>
      <c r="AW121" s="7" t="s">
        <v>107</v>
      </c>
      <c r="AX121" s="7" t="s">
        <v>107</v>
      </c>
      <c r="AY121" s="8" t="s">
        <v>107</v>
      </c>
      <c r="AZ121" s="7" t="s">
        <v>107</v>
      </c>
      <c r="BA121" s="7" t="s">
        <v>107</v>
      </c>
      <c r="BB121" s="7" t="s">
        <v>107</v>
      </c>
      <c r="BC121" s="3"/>
      <c r="BD121" s="7" t="s">
        <v>107</v>
      </c>
      <c r="BE121" s="7" t="s">
        <v>107</v>
      </c>
      <c r="BF121" s="7" t="s">
        <v>107</v>
      </c>
      <c r="BG121" s="7" t="s">
        <v>107</v>
      </c>
      <c r="BH121" s="7" t="s">
        <v>107</v>
      </c>
      <c r="BI121" s="7" t="s">
        <v>107</v>
      </c>
      <c r="BJ121" s="7" t="s">
        <v>107</v>
      </c>
      <c r="BK121" s="3"/>
      <c r="BL121" s="7" t="s">
        <v>107</v>
      </c>
      <c r="BM121" s="7" t="s">
        <v>107</v>
      </c>
      <c r="BN121" s="7" t="s">
        <v>107</v>
      </c>
      <c r="BO121" s="8" t="s">
        <v>107</v>
      </c>
      <c r="BP121" s="7" t="s">
        <v>107</v>
      </c>
      <c r="BQ121" s="7" t="s">
        <v>107</v>
      </c>
      <c r="BR121" s="7" t="s">
        <v>107</v>
      </c>
      <c r="BS121" s="3"/>
      <c r="BT121" s="7" t="s">
        <v>107</v>
      </c>
      <c r="BU121" s="7" t="s">
        <v>107</v>
      </c>
      <c r="BV121" s="7" t="s">
        <v>107</v>
      </c>
      <c r="BW121" s="8" t="s">
        <v>107</v>
      </c>
      <c r="BX121" s="7" t="s">
        <v>107</v>
      </c>
      <c r="BY121" s="7" t="s">
        <v>107</v>
      </c>
      <c r="BZ121" s="7" t="s">
        <v>107</v>
      </c>
      <c r="CA121" s="3"/>
      <c r="CB121" s="7"/>
      <c r="CC121" s="7" t="s">
        <v>107</v>
      </c>
      <c r="CD121" s="7" t="s">
        <v>107</v>
      </c>
      <c r="CE121" s="8" t="s">
        <v>107</v>
      </c>
      <c r="CF121" s="7" t="s">
        <v>107</v>
      </c>
      <c r="CG121" s="7" t="s">
        <v>107</v>
      </c>
      <c r="CH121" s="7" t="s">
        <v>107</v>
      </c>
      <c r="CI121" s="3"/>
      <c r="CJ121" s="7"/>
      <c r="CK121" s="7" t="s">
        <v>107</v>
      </c>
      <c r="CL121" s="7" t="s">
        <v>107</v>
      </c>
      <c r="CM121" s="8" t="s">
        <v>107</v>
      </c>
      <c r="CN121" s="7" t="s">
        <v>107</v>
      </c>
      <c r="CO121" s="7" t="s">
        <v>107</v>
      </c>
      <c r="CP121" s="7" t="s">
        <v>107</v>
      </c>
      <c r="CQ121" s="3"/>
      <c r="CR121" s="7"/>
      <c r="CS121" s="7" t="s">
        <v>107</v>
      </c>
      <c r="CT121" s="7" t="s">
        <v>107</v>
      </c>
      <c r="CU121" s="7" t="s">
        <v>107</v>
      </c>
      <c r="CV121" s="7" t="s">
        <v>107</v>
      </c>
      <c r="CW121" s="7" t="s">
        <v>107</v>
      </c>
      <c r="CX121" s="7" t="s">
        <v>107</v>
      </c>
      <c r="CY121" s="3"/>
      <c r="CZ121" s="7"/>
      <c r="DA121" s="7" t="s">
        <v>107</v>
      </c>
      <c r="DB121" s="7" t="s">
        <v>107</v>
      </c>
      <c r="DC121" s="7" t="s">
        <v>107</v>
      </c>
      <c r="DD121" s="7" t="s">
        <v>107</v>
      </c>
      <c r="DE121" s="7" t="s">
        <v>107</v>
      </c>
      <c r="DF121" s="7" t="s">
        <v>107</v>
      </c>
      <c r="DG121" s="3"/>
      <c r="DH121" s="7"/>
      <c r="DI121" s="7" t="s">
        <v>107</v>
      </c>
      <c r="DJ121" s="7" t="s">
        <v>107</v>
      </c>
      <c r="DK121" s="5">
        <f>AM121</f>
        <v>7025.2</v>
      </c>
      <c r="DL121" s="15" t="s">
        <v>1780</v>
      </c>
      <c r="DM121" s="51">
        <f>DL121*0.95</f>
        <v>6673.94</v>
      </c>
    </row>
    <row r="122" spans="1:117" ht="17.25" customHeight="1" x14ac:dyDescent="0.25">
      <c r="A122" s="50" t="s">
        <v>3825</v>
      </c>
      <c r="B122" s="15" t="s">
        <v>3826</v>
      </c>
      <c r="C122" s="15" t="s">
        <v>3827</v>
      </c>
      <c r="D122" s="15" t="s">
        <v>3828</v>
      </c>
      <c r="E122" s="15" t="s">
        <v>582</v>
      </c>
      <c r="F122" s="15" t="s">
        <v>3829</v>
      </c>
      <c r="G122" s="15" t="s">
        <v>3830</v>
      </c>
      <c r="H122" s="15" t="s">
        <v>3831</v>
      </c>
      <c r="I122" s="15" t="s">
        <v>3832</v>
      </c>
      <c r="J122" s="15" t="s">
        <v>4376</v>
      </c>
      <c r="K122" s="15" t="s">
        <v>151</v>
      </c>
      <c r="L122" s="15" t="s">
        <v>3833</v>
      </c>
      <c r="M122" s="15" t="s">
        <v>3834</v>
      </c>
      <c r="N122" s="15" t="s">
        <v>3835</v>
      </c>
      <c r="O122" s="15" t="s">
        <v>3836</v>
      </c>
      <c r="P122" s="15" t="s">
        <v>3837</v>
      </c>
      <c r="Q122" s="15" t="s">
        <v>3838</v>
      </c>
      <c r="R122" s="15" t="s">
        <v>4047</v>
      </c>
      <c r="S122" s="15" t="s">
        <v>3829</v>
      </c>
      <c r="T122" s="15" t="s">
        <v>107</v>
      </c>
      <c r="U122" s="15" t="s">
        <v>3839</v>
      </c>
      <c r="V122" s="15" t="s">
        <v>181</v>
      </c>
      <c r="W122" s="15" t="s">
        <v>107</v>
      </c>
      <c r="X122" s="16" t="s">
        <v>3840</v>
      </c>
      <c r="Y122" s="15" t="s">
        <v>114</v>
      </c>
      <c r="Z122" s="16" t="s">
        <v>3841</v>
      </c>
      <c r="AA122" s="17">
        <v>563</v>
      </c>
      <c r="AB122" s="17">
        <v>1</v>
      </c>
      <c r="AC122" s="17">
        <v>697</v>
      </c>
      <c r="AD122" s="17">
        <v>1</v>
      </c>
      <c r="AE122" s="17">
        <v>1013</v>
      </c>
      <c r="AF122" s="15" t="s">
        <v>196</v>
      </c>
      <c r="AG122" s="15" t="s">
        <v>460</v>
      </c>
      <c r="AH122" s="15" t="s">
        <v>3842</v>
      </c>
      <c r="AI122" s="18">
        <v>30753</v>
      </c>
      <c r="AJ122" s="15">
        <v>0.25</v>
      </c>
      <c r="AK122" s="15" t="s">
        <v>3843</v>
      </c>
      <c r="AL122" s="15" t="s">
        <v>3844</v>
      </c>
      <c r="AM122" s="3">
        <f>(AI122*AJ122)/2</f>
        <v>3844.125</v>
      </c>
      <c r="AN122" s="7" t="s">
        <v>107</v>
      </c>
      <c r="AO122" s="7" t="s">
        <v>107</v>
      </c>
      <c r="AP122" s="7" t="s">
        <v>107</v>
      </c>
      <c r="AQ122" s="8" t="s">
        <v>107</v>
      </c>
      <c r="AR122" s="7" t="s">
        <v>107</v>
      </c>
      <c r="AS122" s="7" t="s">
        <v>107</v>
      </c>
      <c r="AT122" s="7" t="s">
        <v>107</v>
      </c>
      <c r="AU122" s="3"/>
      <c r="AV122" s="7" t="s">
        <v>107</v>
      </c>
      <c r="AW122" s="7" t="s">
        <v>107</v>
      </c>
      <c r="AX122" s="7" t="s">
        <v>107</v>
      </c>
      <c r="AY122" s="8" t="s">
        <v>107</v>
      </c>
      <c r="AZ122" s="7" t="s">
        <v>107</v>
      </c>
      <c r="BA122" s="7" t="s">
        <v>107</v>
      </c>
      <c r="BB122" s="7" t="s">
        <v>107</v>
      </c>
      <c r="BC122" s="3"/>
      <c r="BD122" s="7" t="s">
        <v>107</v>
      </c>
      <c r="BE122" s="7" t="s">
        <v>107</v>
      </c>
      <c r="BF122" s="7" t="s">
        <v>107</v>
      </c>
      <c r="BG122" s="7" t="s">
        <v>107</v>
      </c>
      <c r="BH122" s="7" t="s">
        <v>107</v>
      </c>
      <c r="BI122" s="7" t="s">
        <v>107</v>
      </c>
      <c r="BJ122" s="7" t="s">
        <v>107</v>
      </c>
      <c r="BK122" s="3"/>
      <c r="BL122" s="7" t="s">
        <v>107</v>
      </c>
      <c r="BM122" s="7" t="s">
        <v>107</v>
      </c>
      <c r="BN122" s="7" t="s">
        <v>107</v>
      </c>
      <c r="BO122" s="8" t="s">
        <v>107</v>
      </c>
      <c r="BP122" s="7" t="s">
        <v>107</v>
      </c>
      <c r="BQ122" s="7" t="s">
        <v>107</v>
      </c>
      <c r="BR122" s="7" t="s">
        <v>107</v>
      </c>
      <c r="BS122" s="3"/>
      <c r="BT122" s="7" t="s">
        <v>107</v>
      </c>
      <c r="BU122" s="7" t="s">
        <v>107</v>
      </c>
      <c r="BV122" s="7" t="s">
        <v>107</v>
      </c>
      <c r="BW122" s="8" t="s">
        <v>107</v>
      </c>
      <c r="BX122" s="7" t="s">
        <v>107</v>
      </c>
      <c r="BY122" s="7" t="s">
        <v>107</v>
      </c>
      <c r="BZ122" s="7" t="s">
        <v>107</v>
      </c>
      <c r="CA122" s="3"/>
      <c r="CB122" s="7"/>
      <c r="CC122" s="7" t="s">
        <v>107</v>
      </c>
      <c r="CD122" s="7" t="s">
        <v>107</v>
      </c>
      <c r="CE122" s="8" t="s">
        <v>107</v>
      </c>
      <c r="CF122" s="7" t="s">
        <v>107</v>
      </c>
      <c r="CG122" s="7" t="s">
        <v>107</v>
      </c>
      <c r="CH122" s="7" t="s">
        <v>107</v>
      </c>
      <c r="CI122" s="3"/>
      <c r="CJ122" s="7"/>
      <c r="CK122" s="7" t="s">
        <v>107</v>
      </c>
      <c r="CL122" s="7" t="s">
        <v>107</v>
      </c>
      <c r="CM122" s="8" t="s">
        <v>107</v>
      </c>
      <c r="CN122" s="7" t="s">
        <v>107</v>
      </c>
      <c r="CO122" s="7" t="s">
        <v>107</v>
      </c>
      <c r="CP122" s="7" t="s">
        <v>107</v>
      </c>
      <c r="CQ122" s="3"/>
      <c r="CR122" s="7"/>
      <c r="CS122" s="7" t="s">
        <v>107</v>
      </c>
      <c r="CT122" s="7" t="s">
        <v>107</v>
      </c>
      <c r="CU122" s="7" t="s">
        <v>107</v>
      </c>
      <c r="CV122" s="7" t="s">
        <v>107</v>
      </c>
      <c r="CW122" s="7" t="s">
        <v>107</v>
      </c>
      <c r="CX122" s="7" t="s">
        <v>107</v>
      </c>
      <c r="CY122" s="3"/>
      <c r="CZ122" s="7"/>
      <c r="DA122" s="7" t="s">
        <v>107</v>
      </c>
      <c r="DB122" s="7" t="s">
        <v>107</v>
      </c>
      <c r="DC122" s="7" t="s">
        <v>107</v>
      </c>
      <c r="DD122" s="7" t="s">
        <v>107</v>
      </c>
      <c r="DE122" s="7" t="s">
        <v>107</v>
      </c>
      <c r="DF122" s="7" t="s">
        <v>107</v>
      </c>
      <c r="DG122" s="3"/>
      <c r="DH122" s="7"/>
      <c r="DI122" s="7" t="s">
        <v>107</v>
      </c>
      <c r="DJ122" s="7" t="s">
        <v>107</v>
      </c>
      <c r="DK122" s="5">
        <f>AM122</f>
        <v>3844.125</v>
      </c>
      <c r="DL122" s="15" t="s">
        <v>3844</v>
      </c>
      <c r="DM122" s="51">
        <f>DL122*0.95</f>
        <v>3651.7999999999997</v>
      </c>
    </row>
    <row r="123" spans="1:117" ht="17.25" customHeight="1" x14ac:dyDescent="0.25">
      <c r="A123" s="50" t="s">
        <v>3887</v>
      </c>
      <c r="B123" s="15" t="s">
        <v>3945</v>
      </c>
      <c r="C123" s="15" t="s">
        <v>3975</v>
      </c>
      <c r="D123" s="15" t="s">
        <v>2472</v>
      </c>
      <c r="E123" s="15" t="s">
        <v>351</v>
      </c>
      <c r="F123" s="15" t="s">
        <v>2473</v>
      </c>
      <c r="G123" s="15" t="s">
        <v>2474</v>
      </c>
      <c r="H123" s="15" t="s">
        <v>2475</v>
      </c>
      <c r="I123" s="15" t="s">
        <v>4007</v>
      </c>
      <c r="J123" s="15" t="s">
        <v>4296</v>
      </c>
      <c r="K123" s="15" t="s">
        <v>151</v>
      </c>
      <c r="L123" s="15" t="s">
        <v>2476</v>
      </c>
      <c r="M123" s="15" t="s">
        <v>2477</v>
      </c>
      <c r="N123" s="15" t="s">
        <v>2478</v>
      </c>
      <c r="O123" s="15" t="s">
        <v>2479</v>
      </c>
      <c r="P123" s="15" t="s">
        <v>107</v>
      </c>
      <c r="Q123" s="15" t="s">
        <v>2480</v>
      </c>
      <c r="R123" s="15" t="s">
        <v>2481</v>
      </c>
      <c r="S123" s="15" t="s">
        <v>2473</v>
      </c>
      <c r="T123" s="15" t="s">
        <v>107</v>
      </c>
      <c r="U123" s="15" t="s">
        <v>2482</v>
      </c>
      <c r="V123" s="15" t="s">
        <v>109</v>
      </c>
      <c r="W123" s="15" t="s">
        <v>2483</v>
      </c>
      <c r="X123" s="16" t="s">
        <v>2484</v>
      </c>
      <c r="Y123" s="15" t="s">
        <v>114</v>
      </c>
      <c r="Z123" s="16" t="s">
        <v>2485</v>
      </c>
      <c r="AA123" s="17">
        <v>950</v>
      </c>
      <c r="AB123" s="17">
        <v>1</v>
      </c>
      <c r="AC123" s="17">
        <v>480</v>
      </c>
      <c r="AD123" s="17">
        <v>1</v>
      </c>
      <c r="AE123" s="17">
        <v>780</v>
      </c>
      <c r="AF123" s="15" t="s">
        <v>196</v>
      </c>
      <c r="AG123" s="15" t="s">
        <v>157</v>
      </c>
      <c r="AH123" s="15" t="s">
        <v>2480</v>
      </c>
      <c r="AI123" s="18">
        <v>67309</v>
      </c>
      <c r="AJ123" s="15">
        <v>0.25</v>
      </c>
      <c r="AK123" s="15" t="s">
        <v>2486</v>
      </c>
      <c r="AL123" s="15" t="s">
        <v>2487</v>
      </c>
      <c r="AM123" s="3">
        <f>(AI123*AJ123)/2</f>
        <v>8413.625</v>
      </c>
      <c r="AN123" s="7" t="s">
        <v>107</v>
      </c>
      <c r="AO123" s="7" t="s">
        <v>107</v>
      </c>
      <c r="AP123" s="7" t="s">
        <v>107</v>
      </c>
      <c r="AQ123" s="8" t="s">
        <v>107</v>
      </c>
      <c r="AR123" s="7" t="s">
        <v>107</v>
      </c>
      <c r="AS123" s="7" t="s">
        <v>107</v>
      </c>
      <c r="AT123" s="7" t="s">
        <v>107</v>
      </c>
      <c r="AU123" s="3"/>
      <c r="AV123" s="7" t="s">
        <v>107</v>
      </c>
      <c r="AW123" s="7" t="s">
        <v>107</v>
      </c>
      <c r="AX123" s="7" t="s">
        <v>107</v>
      </c>
      <c r="AY123" s="8" t="s">
        <v>107</v>
      </c>
      <c r="AZ123" s="7" t="s">
        <v>107</v>
      </c>
      <c r="BA123" s="7" t="s">
        <v>107</v>
      </c>
      <c r="BB123" s="7" t="s">
        <v>107</v>
      </c>
      <c r="BC123" s="3"/>
      <c r="BD123" s="7" t="s">
        <v>107</v>
      </c>
      <c r="BE123" s="7" t="s">
        <v>107</v>
      </c>
      <c r="BF123" s="7" t="s">
        <v>107</v>
      </c>
      <c r="BG123" s="7" t="s">
        <v>107</v>
      </c>
      <c r="BH123" s="7" t="s">
        <v>107</v>
      </c>
      <c r="BI123" s="7" t="s">
        <v>107</v>
      </c>
      <c r="BJ123" s="7" t="s">
        <v>107</v>
      </c>
      <c r="BK123" s="3"/>
      <c r="BL123" s="7" t="s">
        <v>107</v>
      </c>
      <c r="BM123" s="7" t="s">
        <v>107</v>
      </c>
      <c r="BN123" s="7" t="s">
        <v>107</v>
      </c>
      <c r="BO123" s="8" t="s">
        <v>107</v>
      </c>
      <c r="BP123" s="7" t="s">
        <v>107</v>
      </c>
      <c r="BQ123" s="7" t="s">
        <v>107</v>
      </c>
      <c r="BR123" s="7" t="s">
        <v>107</v>
      </c>
      <c r="BS123" s="3"/>
      <c r="BT123" s="7" t="s">
        <v>107</v>
      </c>
      <c r="BU123" s="7" t="s">
        <v>107</v>
      </c>
      <c r="BV123" s="7" t="s">
        <v>107</v>
      </c>
      <c r="BW123" s="8" t="s">
        <v>107</v>
      </c>
      <c r="BX123" s="7" t="s">
        <v>107</v>
      </c>
      <c r="BY123" s="7" t="s">
        <v>107</v>
      </c>
      <c r="BZ123" s="7" t="s">
        <v>107</v>
      </c>
      <c r="CA123" s="3"/>
      <c r="CB123" s="7"/>
      <c r="CC123" s="7" t="s">
        <v>107</v>
      </c>
      <c r="CD123" s="7" t="s">
        <v>107</v>
      </c>
      <c r="CE123" s="8" t="s">
        <v>107</v>
      </c>
      <c r="CF123" s="7" t="s">
        <v>107</v>
      </c>
      <c r="CG123" s="7" t="s">
        <v>107</v>
      </c>
      <c r="CH123" s="7" t="s">
        <v>107</v>
      </c>
      <c r="CI123" s="3"/>
      <c r="CJ123" s="7"/>
      <c r="CK123" s="7" t="s">
        <v>107</v>
      </c>
      <c r="CL123" s="7" t="s">
        <v>107</v>
      </c>
      <c r="CM123" s="8" t="s">
        <v>107</v>
      </c>
      <c r="CN123" s="7" t="s">
        <v>107</v>
      </c>
      <c r="CO123" s="7" t="s">
        <v>107</v>
      </c>
      <c r="CP123" s="7" t="s">
        <v>107</v>
      </c>
      <c r="CQ123" s="3"/>
      <c r="CR123" s="7"/>
      <c r="CS123" s="7" t="s">
        <v>107</v>
      </c>
      <c r="CT123" s="7" t="s">
        <v>107</v>
      </c>
      <c r="CU123" s="7" t="s">
        <v>107</v>
      </c>
      <c r="CV123" s="7" t="s">
        <v>107</v>
      </c>
      <c r="CW123" s="7" t="s">
        <v>107</v>
      </c>
      <c r="CX123" s="7" t="s">
        <v>107</v>
      </c>
      <c r="CY123" s="3"/>
      <c r="CZ123" s="7"/>
      <c r="DA123" s="7" t="s">
        <v>107</v>
      </c>
      <c r="DB123" s="7" t="s">
        <v>107</v>
      </c>
      <c r="DC123" s="7" t="s">
        <v>107</v>
      </c>
      <c r="DD123" s="7" t="s">
        <v>107</v>
      </c>
      <c r="DE123" s="7" t="s">
        <v>107</v>
      </c>
      <c r="DF123" s="7" t="s">
        <v>107</v>
      </c>
      <c r="DG123" s="3"/>
      <c r="DH123" s="7"/>
      <c r="DI123" s="7" t="s">
        <v>107</v>
      </c>
      <c r="DJ123" s="7" t="s">
        <v>107</v>
      </c>
      <c r="DK123" s="5">
        <f>AM123</f>
        <v>8413.625</v>
      </c>
      <c r="DL123" s="15" t="s">
        <v>2487</v>
      </c>
      <c r="DM123" s="51">
        <f>DL123*0.95</f>
        <v>7992.9484999999986</v>
      </c>
    </row>
    <row r="124" spans="1:117" ht="17.25" customHeight="1" x14ac:dyDescent="0.25">
      <c r="A124" s="50" t="s">
        <v>927</v>
      </c>
      <c r="B124" s="15" t="s">
        <v>928</v>
      </c>
      <c r="C124" s="15" t="s">
        <v>431</v>
      </c>
      <c r="D124" s="15" t="s">
        <v>432</v>
      </c>
      <c r="E124" s="15" t="s">
        <v>433</v>
      </c>
      <c r="F124" s="15" t="s">
        <v>929</v>
      </c>
      <c r="G124" s="15" t="s">
        <v>930</v>
      </c>
      <c r="H124" s="15" t="s">
        <v>931</v>
      </c>
      <c r="I124" s="15" t="s">
        <v>932</v>
      </c>
      <c r="J124" s="15" t="s">
        <v>4225</v>
      </c>
      <c r="K124" s="15" t="s">
        <v>151</v>
      </c>
      <c r="L124" s="15" t="s">
        <v>933</v>
      </c>
      <c r="M124" s="15" t="s">
        <v>934</v>
      </c>
      <c r="N124" s="15" t="s">
        <v>935</v>
      </c>
      <c r="O124" s="15" t="s">
        <v>936</v>
      </c>
      <c r="P124" s="15" t="s">
        <v>937</v>
      </c>
      <c r="Q124" s="15" t="s">
        <v>938</v>
      </c>
      <c r="R124" s="15" t="s">
        <v>939</v>
      </c>
      <c r="S124" s="15" t="s">
        <v>929</v>
      </c>
      <c r="T124" s="15" t="s">
        <v>107</v>
      </c>
      <c r="U124" s="15" t="s">
        <v>940</v>
      </c>
      <c r="V124" s="15" t="s">
        <v>109</v>
      </c>
      <c r="W124" s="15" t="s">
        <v>941</v>
      </c>
      <c r="X124" s="16" t="s">
        <v>942</v>
      </c>
      <c r="Y124" s="15" t="s">
        <v>184</v>
      </c>
      <c r="Z124" s="16" t="s">
        <v>943</v>
      </c>
      <c r="AA124" s="17">
        <v>180</v>
      </c>
      <c r="AB124" s="17">
        <v>1</v>
      </c>
      <c r="AC124" s="17">
        <v>260</v>
      </c>
      <c r="AD124" s="17">
        <v>1</v>
      </c>
      <c r="AE124" s="17">
        <v>275</v>
      </c>
      <c r="AF124" s="15" t="s">
        <v>118</v>
      </c>
      <c r="AG124" s="15" t="s">
        <v>132</v>
      </c>
      <c r="AH124" s="15" t="s">
        <v>944</v>
      </c>
      <c r="AI124" s="18">
        <v>53258.400000000001</v>
      </c>
      <c r="AJ124" s="15">
        <v>0.7</v>
      </c>
      <c r="AK124" s="15" t="s">
        <v>945</v>
      </c>
      <c r="AL124" s="15" t="s">
        <v>946</v>
      </c>
      <c r="AM124" s="3">
        <f>(AI124*AJ124)/2</f>
        <v>18640.439999999999</v>
      </c>
      <c r="AN124" s="7" t="s">
        <v>118</v>
      </c>
      <c r="AO124" s="7" t="s">
        <v>480</v>
      </c>
      <c r="AP124" s="7" t="s">
        <v>947</v>
      </c>
      <c r="AQ124" s="8">
        <v>46134.400000000001</v>
      </c>
      <c r="AR124" s="7">
        <v>0.7</v>
      </c>
      <c r="AS124" s="7" t="s">
        <v>948</v>
      </c>
      <c r="AT124" s="7" t="s">
        <v>949</v>
      </c>
      <c r="AU124" s="3">
        <f>(AQ124*AR124)/2</f>
        <v>16147.039999999999</v>
      </c>
      <c r="AV124" s="7" t="s">
        <v>107</v>
      </c>
      <c r="AW124" s="7" t="s">
        <v>107</v>
      </c>
      <c r="AX124" s="7" t="s">
        <v>107</v>
      </c>
      <c r="AY124" s="8" t="s">
        <v>107</v>
      </c>
      <c r="AZ124" s="7" t="s">
        <v>107</v>
      </c>
      <c r="BA124" s="7" t="s">
        <v>107</v>
      </c>
      <c r="BB124" s="7" t="s">
        <v>107</v>
      </c>
      <c r="BC124" s="3"/>
      <c r="BD124" s="7" t="s">
        <v>107</v>
      </c>
      <c r="BE124" s="7" t="s">
        <v>107</v>
      </c>
      <c r="BF124" s="7" t="s">
        <v>107</v>
      </c>
      <c r="BG124" s="7" t="s">
        <v>107</v>
      </c>
      <c r="BH124" s="7" t="s">
        <v>107</v>
      </c>
      <c r="BI124" s="7" t="s">
        <v>107</v>
      </c>
      <c r="BJ124" s="7" t="s">
        <v>107</v>
      </c>
      <c r="BK124" s="3"/>
      <c r="BL124" s="7" t="s">
        <v>107</v>
      </c>
      <c r="BM124" s="7" t="s">
        <v>107</v>
      </c>
      <c r="BN124" s="7" t="s">
        <v>107</v>
      </c>
      <c r="BO124" s="8" t="s">
        <v>107</v>
      </c>
      <c r="BP124" s="7" t="s">
        <v>107</v>
      </c>
      <c r="BQ124" s="7" t="s">
        <v>107</v>
      </c>
      <c r="BR124" s="7" t="s">
        <v>107</v>
      </c>
      <c r="BS124" s="3"/>
      <c r="BT124" s="7" t="s">
        <v>107</v>
      </c>
      <c r="BU124" s="7" t="s">
        <v>107</v>
      </c>
      <c r="BV124" s="7" t="s">
        <v>107</v>
      </c>
      <c r="BW124" s="8" t="s">
        <v>107</v>
      </c>
      <c r="BX124" s="7" t="s">
        <v>107</v>
      </c>
      <c r="BY124" s="7" t="s">
        <v>107</v>
      </c>
      <c r="BZ124" s="7" t="s">
        <v>107</v>
      </c>
      <c r="CA124" s="3"/>
      <c r="CB124" s="7"/>
      <c r="CC124" s="7" t="s">
        <v>107</v>
      </c>
      <c r="CD124" s="7" t="s">
        <v>107</v>
      </c>
      <c r="CE124" s="8" t="s">
        <v>107</v>
      </c>
      <c r="CF124" s="7" t="s">
        <v>107</v>
      </c>
      <c r="CG124" s="7" t="s">
        <v>107</v>
      </c>
      <c r="CH124" s="7" t="s">
        <v>107</v>
      </c>
      <c r="CI124" s="3"/>
      <c r="CJ124" s="7"/>
      <c r="CK124" s="7" t="s">
        <v>107</v>
      </c>
      <c r="CL124" s="7" t="s">
        <v>107</v>
      </c>
      <c r="CM124" s="8" t="s">
        <v>107</v>
      </c>
      <c r="CN124" s="7" t="s">
        <v>107</v>
      </c>
      <c r="CO124" s="7" t="s">
        <v>107</v>
      </c>
      <c r="CP124" s="7" t="s">
        <v>107</v>
      </c>
      <c r="CQ124" s="3"/>
      <c r="CR124" s="7"/>
      <c r="CS124" s="7" t="s">
        <v>107</v>
      </c>
      <c r="CT124" s="7" t="s">
        <v>107</v>
      </c>
      <c r="CU124" s="7" t="s">
        <v>107</v>
      </c>
      <c r="CV124" s="7" t="s">
        <v>107</v>
      </c>
      <c r="CW124" s="7" t="s">
        <v>107</v>
      </c>
      <c r="CX124" s="7" t="s">
        <v>107</v>
      </c>
      <c r="CY124" s="3"/>
      <c r="CZ124" s="7"/>
      <c r="DA124" s="7" t="s">
        <v>107</v>
      </c>
      <c r="DB124" s="7" t="s">
        <v>107</v>
      </c>
      <c r="DC124" s="7" t="s">
        <v>107</v>
      </c>
      <c r="DD124" s="7" t="s">
        <v>107</v>
      </c>
      <c r="DE124" s="7" t="s">
        <v>107</v>
      </c>
      <c r="DF124" s="7" t="s">
        <v>107</v>
      </c>
      <c r="DG124" s="3"/>
      <c r="DH124" s="7"/>
      <c r="DI124" s="7" t="s">
        <v>107</v>
      </c>
      <c r="DJ124" s="7" t="s">
        <v>107</v>
      </c>
      <c r="DK124" s="5">
        <f>AM124+AU124</f>
        <v>34787.479999999996</v>
      </c>
      <c r="DL124" s="15" t="s">
        <v>950</v>
      </c>
      <c r="DM124" s="51">
        <f>DL124*0.95</f>
        <v>33048.106</v>
      </c>
    </row>
    <row r="125" spans="1:117" ht="17.25" customHeight="1" x14ac:dyDescent="0.25">
      <c r="A125" s="50" t="s">
        <v>3888</v>
      </c>
      <c r="B125" s="15" t="s">
        <v>3946</v>
      </c>
      <c r="C125" s="15" t="s">
        <v>398</v>
      </c>
      <c r="D125" s="15" t="s">
        <v>399</v>
      </c>
      <c r="E125" s="15" t="s">
        <v>400</v>
      </c>
      <c r="F125" s="15" t="s">
        <v>401</v>
      </c>
      <c r="G125" s="15" t="s">
        <v>402</v>
      </c>
      <c r="H125" s="15" t="s">
        <v>403</v>
      </c>
      <c r="I125" s="15" t="s">
        <v>404</v>
      </c>
      <c r="J125" s="15" t="s">
        <v>4375</v>
      </c>
      <c r="K125" s="15" t="s">
        <v>101</v>
      </c>
      <c r="L125" s="15" t="s">
        <v>401</v>
      </c>
      <c r="M125" s="15" t="s">
        <v>405</v>
      </c>
      <c r="N125" s="15" t="s">
        <v>406</v>
      </c>
      <c r="O125" s="15" t="s">
        <v>407</v>
      </c>
      <c r="P125" s="15" t="s">
        <v>408</v>
      </c>
      <c r="Q125" s="15" t="s">
        <v>404</v>
      </c>
      <c r="R125" s="15" t="s">
        <v>101</v>
      </c>
      <c r="S125" s="15" t="s">
        <v>401</v>
      </c>
      <c r="T125" s="15" t="s">
        <v>107</v>
      </c>
      <c r="U125" s="15" t="s">
        <v>405</v>
      </c>
      <c r="V125" s="15" t="s">
        <v>181</v>
      </c>
      <c r="W125" s="15" t="s">
        <v>107</v>
      </c>
      <c r="X125" s="16" t="s">
        <v>409</v>
      </c>
      <c r="Y125" s="15" t="s">
        <v>114</v>
      </c>
      <c r="Z125" s="16" t="s">
        <v>410</v>
      </c>
      <c r="AA125" s="17">
        <v>392</v>
      </c>
      <c r="AB125" s="17">
        <v>0</v>
      </c>
      <c r="AC125" s="17">
        <v>0</v>
      </c>
      <c r="AD125" s="17">
        <v>1</v>
      </c>
      <c r="AE125" s="17">
        <v>300</v>
      </c>
      <c r="AF125" s="15" t="s">
        <v>196</v>
      </c>
      <c r="AG125" s="15" t="s">
        <v>115</v>
      </c>
      <c r="AH125" s="15" t="s">
        <v>411</v>
      </c>
      <c r="AI125" s="18">
        <v>29024</v>
      </c>
      <c r="AJ125" s="15">
        <v>0.25</v>
      </c>
      <c r="AK125" s="15" t="s">
        <v>412</v>
      </c>
      <c r="AL125" s="15" t="s">
        <v>413</v>
      </c>
      <c r="AM125" s="3">
        <f>(AI125*AJ125)/2</f>
        <v>3628</v>
      </c>
      <c r="AN125" s="7" t="s">
        <v>107</v>
      </c>
      <c r="AO125" s="7" t="s">
        <v>107</v>
      </c>
      <c r="AP125" s="7" t="s">
        <v>107</v>
      </c>
      <c r="AQ125" s="8" t="s">
        <v>107</v>
      </c>
      <c r="AR125" s="7" t="s">
        <v>107</v>
      </c>
      <c r="AS125" s="7" t="s">
        <v>107</v>
      </c>
      <c r="AT125" s="7" t="s">
        <v>107</v>
      </c>
      <c r="AU125" s="3"/>
      <c r="AV125" s="7" t="s">
        <v>107</v>
      </c>
      <c r="AW125" s="7" t="s">
        <v>107</v>
      </c>
      <c r="AX125" s="7" t="s">
        <v>107</v>
      </c>
      <c r="AY125" s="8" t="s">
        <v>107</v>
      </c>
      <c r="AZ125" s="7" t="s">
        <v>107</v>
      </c>
      <c r="BA125" s="7" t="s">
        <v>107</v>
      </c>
      <c r="BB125" s="7" t="s">
        <v>107</v>
      </c>
      <c r="BC125" s="3"/>
      <c r="BD125" s="7" t="s">
        <v>107</v>
      </c>
      <c r="BE125" s="7" t="s">
        <v>107</v>
      </c>
      <c r="BF125" s="7" t="s">
        <v>107</v>
      </c>
      <c r="BG125" s="7" t="s">
        <v>107</v>
      </c>
      <c r="BH125" s="7" t="s">
        <v>107</v>
      </c>
      <c r="BI125" s="7" t="s">
        <v>107</v>
      </c>
      <c r="BJ125" s="7" t="s">
        <v>107</v>
      </c>
      <c r="BK125" s="3"/>
      <c r="BL125" s="7" t="s">
        <v>107</v>
      </c>
      <c r="BM125" s="7" t="s">
        <v>107</v>
      </c>
      <c r="BN125" s="7" t="s">
        <v>107</v>
      </c>
      <c r="BO125" s="8" t="s">
        <v>107</v>
      </c>
      <c r="BP125" s="7" t="s">
        <v>107</v>
      </c>
      <c r="BQ125" s="7" t="s">
        <v>107</v>
      </c>
      <c r="BR125" s="7" t="s">
        <v>107</v>
      </c>
      <c r="BS125" s="3"/>
      <c r="BT125" s="7" t="s">
        <v>107</v>
      </c>
      <c r="BU125" s="7" t="s">
        <v>107</v>
      </c>
      <c r="BV125" s="7" t="s">
        <v>107</v>
      </c>
      <c r="BW125" s="8" t="s">
        <v>107</v>
      </c>
      <c r="BX125" s="7" t="s">
        <v>107</v>
      </c>
      <c r="BY125" s="7" t="s">
        <v>107</v>
      </c>
      <c r="BZ125" s="7" t="s">
        <v>107</v>
      </c>
      <c r="CA125" s="3"/>
      <c r="CB125" s="7"/>
      <c r="CC125" s="7" t="s">
        <v>107</v>
      </c>
      <c r="CD125" s="7" t="s">
        <v>107</v>
      </c>
      <c r="CE125" s="8" t="s">
        <v>107</v>
      </c>
      <c r="CF125" s="7" t="s">
        <v>107</v>
      </c>
      <c r="CG125" s="7" t="s">
        <v>107</v>
      </c>
      <c r="CH125" s="7" t="s">
        <v>107</v>
      </c>
      <c r="CI125" s="3"/>
      <c r="CJ125" s="7"/>
      <c r="CK125" s="7" t="s">
        <v>107</v>
      </c>
      <c r="CL125" s="7" t="s">
        <v>107</v>
      </c>
      <c r="CM125" s="8" t="s">
        <v>107</v>
      </c>
      <c r="CN125" s="7" t="s">
        <v>107</v>
      </c>
      <c r="CO125" s="7" t="s">
        <v>107</v>
      </c>
      <c r="CP125" s="7" t="s">
        <v>107</v>
      </c>
      <c r="CQ125" s="3"/>
      <c r="CR125" s="7"/>
      <c r="CS125" s="7" t="s">
        <v>107</v>
      </c>
      <c r="CT125" s="7" t="s">
        <v>107</v>
      </c>
      <c r="CU125" s="7" t="s">
        <v>107</v>
      </c>
      <c r="CV125" s="7" t="s">
        <v>107</v>
      </c>
      <c r="CW125" s="7" t="s">
        <v>107</v>
      </c>
      <c r="CX125" s="7" t="s">
        <v>107</v>
      </c>
      <c r="CY125" s="3"/>
      <c r="CZ125" s="7"/>
      <c r="DA125" s="7" t="s">
        <v>107</v>
      </c>
      <c r="DB125" s="7" t="s">
        <v>107</v>
      </c>
      <c r="DC125" s="7" t="s">
        <v>107</v>
      </c>
      <c r="DD125" s="7" t="s">
        <v>107</v>
      </c>
      <c r="DE125" s="7" t="s">
        <v>107</v>
      </c>
      <c r="DF125" s="7" t="s">
        <v>107</v>
      </c>
      <c r="DG125" s="3"/>
      <c r="DH125" s="7"/>
      <c r="DI125" s="7" t="s">
        <v>107</v>
      </c>
      <c r="DJ125" s="7" t="s">
        <v>107</v>
      </c>
      <c r="DK125" s="5">
        <f>AM125</f>
        <v>3628</v>
      </c>
      <c r="DL125" s="15" t="s">
        <v>413</v>
      </c>
      <c r="DM125" s="51">
        <f>DL125*0.95</f>
        <v>3446.6</v>
      </c>
    </row>
    <row r="126" spans="1:117" ht="17.25" customHeight="1" x14ac:dyDescent="0.25">
      <c r="A126" s="50" t="s">
        <v>1455</v>
      </c>
      <c r="B126" s="15" t="s">
        <v>1456</v>
      </c>
      <c r="C126" s="15" t="s">
        <v>1457</v>
      </c>
      <c r="D126" s="15" t="s">
        <v>1458</v>
      </c>
      <c r="E126" s="15" t="s">
        <v>1267</v>
      </c>
      <c r="F126" s="15" t="s">
        <v>1459</v>
      </c>
      <c r="G126" s="15" t="s">
        <v>1460</v>
      </c>
      <c r="H126" s="15" t="s">
        <v>1461</v>
      </c>
      <c r="I126" s="15" t="s">
        <v>1462</v>
      </c>
      <c r="J126" s="15" t="s">
        <v>4249</v>
      </c>
      <c r="K126" s="15" t="s">
        <v>151</v>
      </c>
      <c r="L126" s="15" t="s">
        <v>1463</v>
      </c>
      <c r="M126" s="15" t="s">
        <v>1464</v>
      </c>
      <c r="N126" s="15" t="s">
        <v>1465</v>
      </c>
      <c r="O126" s="15" t="s">
        <v>1466</v>
      </c>
      <c r="P126" s="15" t="s">
        <v>1467</v>
      </c>
      <c r="Q126" s="15" t="s">
        <v>1462</v>
      </c>
      <c r="R126" s="15" t="s">
        <v>151</v>
      </c>
      <c r="S126" s="15" t="s">
        <v>1463</v>
      </c>
      <c r="T126" s="15" t="s">
        <v>107</v>
      </c>
      <c r="U126" s="15" t="s">
        <v>1464</v>
      </c>
      <c r="V126" s="15" t="s">
        <v>109</v>
      </c>
      <c r="W126" s="15" t="s">
        <v>1468</v>
      </c>
      <c r="X126" s="16" t="s">
        <v>1469</v>
      </c>
      <c r="Y126" s="15" t="s">
        <v>137</v>
      </c>
      <c r="Z126" s="16" t="s">
        <v>1470</v>
      </c>
      <c r="AA126" s="17">
        <v>775</v>
      </c>
      <c r="AB126" s="17">
        <v>1</v>
      </c>
      <c r="AC126" s="17">
        <v>375</v>
      </c>
      <c r="AD126" s="17">
        <v>1</v>
      </c>
      <c r="AE126" s="17">
        <v>500</v>
      </c>
      <c r="AF126" s="15" t="s">
        <v>142</v>
      </c>
      <c r="AG126" s="15" t="s">
        <v>480</v>
      </c>
      <c r="AH126" s="15" t="s">
        <v>1471</v>
      </c>
      <c r="AI126" s="18">
        <v>50190.400000000001</v>
      </c>
      <c r="AJ126" s="15">
        <v>0.8</v>
      </c>
      <c r="AK126" s="15" t="s">
        <v>1472</v>
      </c>
      <c r="AL126" s="15" t="s">
        <v>1473</v>
      </c>
      <c r="AM126" s="3">
        <f>(AI126*AJ126)/2</f>
        <v>20076.160000000003</v>
      </c>
      <c r="AN126" s="7" t="s">
        <v>196</v>
      </c>
      <c r="AO126" s="7" t="s">
        <v>480</v>
      </c>
      <c r="AP126" s="7" t="s">
        <v>1474</v>
      </c>
      <c r="AQ126" s="8">
        <v>48484.800000000003</v>
      </c>
      <c r="AR126" s="7">
        <v>0.3</v>
      </c>
      <c r="AS126" s="7" t="s">
        <v>1475</v>
      </c>
      <c r="AT126" s="7" t="s">
        <v>1476</v>
      </c>
      <c r="AU126" s="3">
        <f>(AQ126*AR126)/2</f>
        <v>7272.72</v>
      </c>
      <c r="AV126" s="7" t="s">
        <v>107</v>
      </c>
      <c r="AW126" s="7" t="s">
        <v>107</v>
      </c>
      <c r="AX126" s="7" t="s">
        <v>107</v>
      </c>
      <c r="AY126" s="8" t="s">
        <v>107</v>
      </c>
      <c r="AZ126" s="7" t="s">
        <v>107</v>
      </c>
      <c r="BA126" s="7" t="s">
        <v>107</v>
      </c>
      <c r="BB126" s="7" t="s">
        <v>107</v>
      </c>
      <c r="BC126" s="3"/>
      <c r="BD126" s="7" t="s">
        <v>107</v>
      </c>
      <c r="BE126" s="7" t="s">
        <v>107</v>
      </c>
      <c r="BF126" s="7" t="s">
        <v>107</v>
      </c>
      <c r="BG126" s="7" t="s">
        <v>107</v>
      </c>
      <c r="BH126" s="7" t="s">
        <v>107</v>
      </c>
      <c r="BI126" s="7" t="s">
        <v>107</v>
      </c>
      <c r="BJ126" s="7" t="s">
        <v>107</v>
      </c>
      <c r="BK126" s="3"/>
      <c r="BL126" s="7" t="s">
        <v>107</v>
      </c>
      <c r="BM126" s="7" t="s">
        <v>107</v>
      </c>
      <c r="BN126" s="7" t="s">
        <v>107</v>
      </c>
      <c r="BO126" s="8" t="s">
        <v>107</v>
      </c>
      <c r="BP126" s="7" t="s">
        <v>107</v>
      </c>
      <c r="BQ126" s="7" t="s">
        <v>107</v>
      </c>
      <c r="BR126" s="7" t="s">
        <v>107</v>
      </c>
      <c r="BS126" s="3"/>
      <c r="BT126" s="7" t="s">
        <v>107</v>
      </c>
      <c r="BU126" s="7" t="s">
        <v>107</v>
      </c>
      <c r="BV126" s="7" t="s">
        <v>107</v>
      </c>
      <c r="BW126" s="8" t="s">
        <v>107</v>
      </c>
      <c r="BX126" s="7" t="s">
        <v>107</v>
      </c>
      <c r="BY126" s="7" t="s">
        <v>107</v>
      </c>
      <c r="BZ126" s="7" t="s">
        <v>107</v>
      </c>
      <c r="CA126" s="3"/>
      <c r="CB126" s="7"/>
      <c r="CC126" s="7" t="s">
        <v>107</v>
      </c>
      <c r="CD126" s="7" t="s">
        <v>107</v>
      </c>
      <c r="CE126" s="8" t="s">
        <v>107</v>
      </c>
      <c r="CF126" s="7" t="s">
        <v>107</v>
      </c>
      <c r="CG126" s="7" t="s">
        <v>107</v>
      </c>
      <c r="CH126" s="7" t="s">
        <v>107</v>
      </c>
      <c r="CI126" s="3"/>
      <c r="CJ126" s="7"/>
      <c r="CK126" s="7" t="s">
        <v>107</v>
      </c>
      <c r="CL126" s="7" t="s">
        <v>107</v>
      </c>
      <c r="CM126" s="8" t="s">
        <v>107</v>
      </c>
      <c r="CN126" s="7" t="s">
        <v>107</v>
      </c>
      <c r="CO126" s="7" t="s">
        <v>107</v>
      </c>
      <c r="CP126" s="7" t="s">
        <v>107</v>
      </c>
      <c r="CQ126" s="3"/>
      <c r="CR126" s="7"/>
      <c r="CS126" s="7" t="s">
        <v>107</v>
      </c>
      <c r="CT126" s="7" t="s">
        <v>107</v>
      </c>
      <c r="CU126" s="7" t="s">
        <v>107</v>
      </c>
      <c r="CV126" s="7" t="s">
        <v>107</v>
      </c>
      <c r="CW126" s="7" t="s">
        <v>107</v>
      </c>
      <c r="CX126" s="7" t="s">
        <v>107</v>
      </c>
      <c r="CY126" s="3"/>
      <c r="CZ126" s="7"/>
      <c r="DA126" s="7" t="s">
        <v>107</v>
      </c>
      <c r="DB126" s="7" t="s">
        <v>107</v>
      </c>
      <c r="DC126" s="7" t="s">
        <v>107</v>
      </c>
      <c r="DD126" s="7" t="s">
        <v>107</v>
      </c>
      <c r="DE126" s="7" t="s">
        <v>107</v>
      </c>
      <c r="DF126" s="7" t="s">
        <v>107</v>
      </c>
      <c r="DG126" s="3"/>
      <c r="DH126" s="7"/>
      <c r="DI126" s="7" t="s">
        <v>107</v>
      </c>
      <c r="DJ126" s="7" t="s">
        <v>107</v>
      </c>
      <c r="DK126" s="5">
        <f>AM126+AU126</f>
        <v>27348.880000000005</v>
      </c>
      <c r="DL126" s="15" t="s">
        <v>1477</v>
      </c>
      <c r="DM126" s="51">
        <f>DL126*0.95</f>
        <v>25981.436000000002</v>
      </c>
    </row>
    <row r="127" spans="1:117" ht="17.25" customHeight="1" x14ac:dyDescent="0.25">
      <c r="A127" s="50" t="s">
        <v>2269</v>
      </c>
      <c r="B127" s="15" t="s">
        <v>2270</v>
      </c>
      <c r="C127" s="15" t="s">
        <v>2271</v>
      </c>
      <c r="D127" s="15" t="s">
        <v>2272</v>
      </c>
      <c r="E127" s="15" t="s">
        <v>515</v>
      </c>
      <c r="F127" s="15" t="s">
        <v>2273</v>
      </c>
      <c r="G127" s="15" t="s">
        <v>2274</v>
      </c>
      <c r="H127" s="15" t="s">
        <v>2275</v>
      </c>
      <c r="I127" s="15" t="s">
        <v>2276</v>
      </c>
      <c r="J127" s="15" t="s">
        <v>4286</v>
      </c>
      <c r="K127" s="15" t="s">
        <v>151</v>
      </c>
      <c r="L127" s="15" t="s">
        <v>2273</v>
      </c>
      <c r="M127" s="15" t="s">
        <v>2277</v>
      </c>
      <c r="N127" s="15" t="s">
        <v>2278</v>
      </c>
      <c r="O127" s="15" t="s">
        <v>2279</v>
      </c>
      <c r="P127" s="15" t="s">
        <v>2280</v>
      </c>
      <c r="Q127" s="15" t="s">
        <v>2281</v>
      </c>
      <c r="R127" s="15" t="s">
        <v>480</v>
      </c>
      <c r="S127" s="15" t="s">
        <v>2273</v>
      </c>
      <c r="T127" s="15" t="s">
        <v>107</v>
      </c>
      <c r="U127" s="15" t="s">
        <v>2282</v>
      </c>
      <c r="V127" s="15" t="s">
        <v>109</v>
      </c>
      <c r="W127" s="15" t="s">
        <v>2283</v>
      </c>
      <c r="X127" s="16" t="s">
        <v>2284</v>
      </c>
      <c r="Y127" s="15" t="s">
        <v>112</v>
      </c>
      <c r="Z127" s="16" t="s">
        <v>2285</v>
      </c>
      <c r="AA127" s="17">
        <v>370</v>
      </c>
      <c r="AB127" s="17">
        <v>0</v>
      </c>
      <c r="AC127" s="17">
        <v>0</v>
      </c>
      <c r="AD127" s="17">
        <v>0</v>
      </c>
      <c r="AE127" s="17">
        <v>0</v>
      </c>
      <c r="AF127" s="15" t="s">
        <v>142</v>
      </c>
      <c r="AG127" s="15" t="s">
        <v>480</v>
      </c>
      <c r="AH127" s="15" t="s">
        <v>2281</v>
      </c>
      <c r="AI127" s="20">
        <v>60320</v>
      </c>
      <c r="AJ127" s="15">
        <v>0.154</v>
      </c>
      <c r="AK127" s="15" t="s">
        <v>2286</v>
      </c>
      <c r="AL127" s="15" t="s">
        <v>2287</v>
      </c>
      <c r="AM127" s="3">
        <f>(AI127*AJ127)/2</f>
        <v>4644.6400000000003</v>
      </c>
      <c r="AN127" s="7" t="s">
        <v>107</v>
      </c>
      <c r="AO127" s="7" t="s">
        <v>107</v>
      </c>
      <c r="AP127" s="7" t="s">
        <v>107</v>
      </c>
      <c r="AQ127" s="8" t="s">
        <v>107</v>
      </c>
      <c r="AR127" s="7" t="s">
        <v>107</v>
      </c>
      <c r="AS127" s="7" t="s">
        <v>107</v>
      </c>
      <c r="AT127" s="7" t="s">
        <v>107</v>
      </c>
      <c r="AU127" s="3"/>
      <c r="AV127" s="7" t="s">
        <v>107</v>
      </c>
      <c r="AW127" s="7" t="s">
        <v>107</v>
      </c>
      <c r="AX127" s="7" t="s">
        <v>107</v>
      </c>
      <c r="AY127" s="8" t="s">
        <v>107</v>
      </c>
      <c r="AZ127" s="7" t="s">
        <v>107</v>
      </c>
      <c r="BA127" s="7" t="s">
        <v>107</v>
      </c>
      <c r="BB127" s="7" t="s">
        <v>107</v>
      </c>
      <c r="BC127" s="3"/>
      <c r="BD127" s="7" t="s">
        <v>107</v>
      </c>
      <c r="BE127" s="7" t="s">
        <v>107</v>
      </c>
      <c r="BF127" s="7" t="s">
        <v>107</v>
      </c>
      <c r="BG127" s="7" t="s">
        <v>107</v>
      </c>
      <c r="BH127" s="7" t="s">
        <v>107</v>
      </c>
      <c r="BI127" s="7" t="s">
        <v>107</v>
      </c>
      <c r="BJ127" s="7" t="s">
        <v>107</v>
      </c>
      <c r="BK127" s="3"/>
      <c r="BL127" s="7" t="s">
        <v>107</v>
      </c>
      <c r="BM127" s="7" t="s">
        <v>107</v>
      </c>
      <c r="BN127" s="7" t="s">
        <v>107</v>
      </c>
      <c r="BO127" s="8" t="s">
        <v>107</v>
      </c>
      <c r="BP127" s="7" t="s">
        <v>107</v>
      </c>
      <c r="BQ127" s="7" t="s">
        <v>107</v>
      </c>
      <c r="BR127" s="7" t="s">
        <v>107</v>
      </c>
      <c r="BS127" s="3"/>
      <c r="BT127" s="7" t="s">
        <v>107</v>
      </c>
      <c r="BU127" s="7" t="s">
        <v>107</v>
      </c>
      <c r="BV127" s="7" t="s">
        <v>107</v>
      </c>
      <c r="BW127" s="8" t="s">
        <v>107</v>
      </c>
      <c r="BX127" s="7" t="s">
        <v>107</v>
      </c>
      <c r="BY127" s="7" t="s">
        <v>107</v>
      </c>
      <c r="BZ127" s="7" t="s">
        <v>107</v>
      </c>
      <c r="CA127" s="3"/>
      <c r="CB127" s="7"/>
      <c r="CC127" s="7" t="s">
        <v>107</v>
      </c>
      <c r="CD127" s="7" t="s">
        <v>107</v>
      </c>
      <c r="CE127" s="8" t="s">
        <v>107</v>
      </c>
      <c r="CF127" s="7" t="s">
        <v>107</v>
      </c>
      <c r="CG127" s="7" t="s">
        <v>107</v>
      </c>
      <c r="CH127" s="7" t="s">
        <v>107</v>
      </c>
      <c r="CI127" s="3"/>
      <c r="CJ127" s="7"/>
      <c r="CK127" s="7" t="s">
        <v>107</v>
      </c>
      <c r="CL127" s="7" t="s">
        <v>107</v>
      </c>
      <c r="CM127" s="8" t="s">
        <v>107</v>
      </c>
      <c r="CN127" s="7" t="s">
        <v>107</v>
      </c>
      <c r="CO127" s="7" t="s">
        <v>107</v>
      </c>
      <c r="CP127" s="7" t="s">
        <v>107</v>
      </c>
      <c r="CQ127" s="3"/>
      <c r="CR127" s="7"/>
      <c r="CS127" s="7" t="s">
        <v>107</v>
      </c>
      <c r="CT127" s="7" t="s">
        <v>107</v>
      </c>
      <c r="CU127" s="7" t="s">
        <v>107</v>
      </c>
      <c r="CV127" s="7" t="s">
        <v>107</v>
      </c>
      <c r="CW127" s="7" t="s">
        <v>107</v>
      </c>
      <c r="CX127" s="7" t="s">
        <v>107</v>
      </c>
      <c r="CY127" s="3"/>
      <c r="CZ127" s="7"/>
      <c r="DA127" s="7" t="s">
        <v>107</v>
      </c>
      <c r="DB127" s="7" t="s">
        <v>107</v>
      </c>
      <c r="DC127" s="7" t="s">
        <v>107</v>
      </c>
      <c r="DD127" s="7" t="s">
        <v>107</v>
      </c>
      <c r="DE127" s="7" t="s">
        <v>107</v>
      </c>
      <c r="DF127" s="7" t="s">
        <v>107</v>
      </c>
      <c r="DG127" s="3"/>
      <c r="DH127" s="7"/>
      <c r="DI127" s="7" t="s">
        <v>107</v>
      </c>
      <c r="DJ127" s="7" t="s">
        <v>107</v>
      </c>
      <c r="DK127" s="5">
        <f>AM127</f>
        <v>4644.6400000000003</v>
      </c>
      <c r="DL127" s="15" t="s">
        <v>2287</v>
      </c>
      <c r="DM127" s="51">
        <f>DL127*0.95</f>
        <v>4412.4080000000004</v>
      </c>
    </row>
    <row r="128" spans="1:117" ht="17.25" customHeight="1" x14ac:dyDescent="0.25">
      <c r="A128" s="50" t="s">
        <v>3889</v>
      </c>
      <c r="B128" s="15" t="s">
        <v>3329</v>
      </c>
      <c r="C128" s="15" t="s">
        <v>3330</v>
      </c>
      <c r="D128" s="15" t="s">
        <v>3331</v>
      </c>
      <c r="E128" s="15" t="s">
        <v>3332</v>
      </c>
      <c r="F128" s="15" t="s">
        <v>3333</v>
      </c>
      <c r="G128" s="15" t="s">
        <v>3334</v>
      </c>
      <c r="H128" s="15" t="s">
        <v>3335</v>
      </c>
      <c r="I128" s="15" t="s">
        <v>4008</v>
      </c>
      <c r="J128" s="15" t="s">
        <v>4338</v>
      </c>
      <c r="K128" s="15" t="s">
        <v>101</v>
      </c>
      <c r="L128" s="15" t="s">
        <v>3333</v>
      </c>
      <c r="M128" s="15" t="s">
        <v>3336</v>
      </c>
      <c r="N128" s="15" t="s">
        <v>3337</v>
      </c>
      <c r="O128" s="15" t="s">
        <v>3333</v>
      </c>
      <c r="P128" s="15" t="s">
        <v>3338</v>
      </c>
      <c r="Q128" s="15" t="s">
        <v>3339</v>
      </c>
      <c r="R128" s="15" t="s">
        <v>115</v>
      </c>
      <c r="S128" s="15" t="s">
        <v>3333</v>
      </c>
      <c r="T128" s="15" t="s">
        <v>107</v>
      </c>
      <c r="U128" s="15" t="s">
        <v>3340</v>
      </c>
      <c r="V128" s="15" t="s">
        <v>109</v>
      </c>
      <c r="W128" s="15" t="s">
        <v>3341</v>
      </c>
      <c r="X128" s="16" t="s">
        <v>3342</v>
      </c>
      <c r="Y128" s="15" t="s">
        <v>814</v>
      </c>
      <c r="Z128" s="16" t="s">
        <v>3343</v>
      </c>
      <c r="AA128" s="17">
        <v>760</v>
      </c>
      <c r="AB128" s="17">
        <v>5</v>
      </c>
      <c r="AC128" s="17">
        <v>825</v>
      </c>
      <c r="AD128" s="17">
        <v>0</v>
      </c>
      <c r="AE128" s="17">
        <v>0</v>
      </c>
      <c r="AF128" s="15" t="s">
        <v>142</v>
      </c>
      <c r="AG128" s="15" t="s">
        <v>115</v>
      </c>
      <c r="AH128" s="15" t="s">
        <v>3339</v>
      </c>
      <c r="AI128" s="18">
        <v>44803.199999999997</v>
      </c>
      <c r="AJ128" s="15">
        <v>0.8</v>
      </c>
      <c r="AK128" s="15" t="s">
        <v>3344</v>
      </c>
      <c r="AL128" s="15" t="s">
        <v>3345</v>
      </c>
      <c r="AM128" s="3">
        <f>(AI128*AJ128)/2</f>
        <v>17921.28</v>
      </c>
      <c r="AN128" s="7" t="s">
        <v>107</v>
      </c>
      <c r="AO128" s="7" t="s">
        <v>107</v>
      </c>
      <c r="AP128" s="7" t="s">
        <v>107</v>
      </c>
      <c r="AQ128" s="8" t="s">
        <v>107</v>
      </c>
      <c r="AR128" s="7" t="s">
        <v>107</v>
      </c>
      <c r="AS128" s="7" t="s">
        <v>107</v>
      </c>
      <c r="AT128" s="7" t="s">
        <v>107</v>
      </c>
      <c r="AU128" s="3"/>
      <c r="AV128" s="7" t="s">
        <v>107</v>
      </c>
      <c r="AW128" s="7" t="s">
        <v>107</v>
      </c>
      <c r="AX128" s="7" t="s">
        <v>107</v>
      </c>
      <c r="AY128" s="8" t="s">
        <v>107</v>
      </c>
      <c r="AZ128" s="7" t="s">
        <v>107</v>
      </c>
      <c r="BA128" s="7" t="s">
        <v>107</v>
      </c>
      <c r="BB128" s="7" t="s">
        <v>107</v>
      </c>
      <c r="BC128" s="3"/>
      <c r="BD128" s="7" t="s">
        <v>107</v>
      </c>
      <c r="BE128" s="7" t="s">
        <v>107</v>
      </c>
      <c r="BF128" s="7" t="s">
        <v>107</v>
      </c>
      <c r="BG128" s="7" t="s">
        <v>107</v>
      </c>
      <c r="BH128" s="7" t="s">
        <v>107</v>
      </c>
      <c r="BI128" s="7" t="s">
        <v>107</v>
      </c>
      <c r="BJ128" s="7" t="s">
        <v>107</v>
      </c>
      <c r="BK128" s="3"/>
      <c r="BL128" s="7" t="s">
        <v>107</v>
      </c>
      <c r="BM128" s="7" t="s">
        <v>107</v>
      </c>
      <c r="BN128" s="7" t="s">
        <v>107</v>
      </c>
      <c r="BO128" s="8" t="s">
        <v>107</v>
      </c>
      <c r="BP128" s="7" t="s">
        <v>107</v>
      </c>
      <c r="BQ128" s="7" t="s">
        <v>107</v>
      </c>
      <c r="BR128" s="7" t="s">
        <v>107</v>
      </c>
      <c r="BS128" s="3"/>
      <c r="BT128" s="7" t="s">
        <v>107</v>
      </c>
      <c r="BU128" s="7" t="s">
        <v>107</v>
      </c>
      <c r="BV128" s="7" t="s">
        <v>107</v>
      </c>
      <c r="BW128" s="8" t="s">
        <v>107</v>
      </c>
      <c r="BX128" s="7" t="s">
        <v>107</v>
      </c>
      <c r="BY128" s="7" t="s">
        <v>107</v>
      </c>
      <c r="BZ128" s="7" t="s">
        <v>107</v>
      </c>
      <c r="CA128" s="3"/>
      <c r="CB128" s="7"/>
      <c r="CC128" s="7" t="s">
        <v>107</v>
      </c>
      <c r="CD128" s="7" t="s">
        <v>107</v>
      </c>
      <c r="CE128" s="8" t="s">
        <v>107</v>
      </c>
      <c r="CF128" s="7" t="s">
        <v>107</v>
      </c>
      <c r="CG128" s="7" t="s">
        <v>107</v>
      </c>
      <c r="CH128" s="7" t="s">
        <v>107</v>
      </c>
      <c r="CI128" s="3"/>
      <c r="CJ128" s="7"/>
      <c r="CK128" s="7" t="s">
        <v>107</v>
      </c>
      <c r="CL128" s="7" t="s">
        <v>107</v>
      </c>
      <c r="CM128" s="8" t="s">
        <v>107</v>
      </c>
      <c r="CN128" s="7" t="s">
        <v>107</v>
      </c>
      <c r="CO128" s="7" t="s">
        <v>107</v>
      </c>
      <c r="CP128" s="7" t="s">
        <v>107</v>
      </c>
      <c r="CQ128" s="3"/>
      <c r="CR128" s="7"/>
      <c r="CS128" s="7" t="s">
        <v>107</v>
      </c>
      <c r="CT128" s="7" t="s">
        <v>107</v>
      </c>
      <c r="CU128" s="7" t="s">
        <v>107</v>
      </c>
      <c r="CV128" s="7" t="s">
        <v>107</v>
      </c>
      <c r="CW128" s="7" t="s">
        <v>107</v>
      </c>
      <c r="CX128" s="7" t="s">
        <v>107</v>
      </c>
      <c r="CY128" s="3"/>
      <c r="CZ128" s="7"/>
      <c r="DA128" s="7" t="s">
        <v>107</v>
      </c>
      <c r="DB128" s="7" t="s">
        <v>107</v>
      </c>
      <c r="DC128" s="7" t="s">
        <v>107</v>
      </c>
      <c r="DD128" s="7" t="s">
        <v>107</v>
      </c>
      <c r="DE128" s="7" t="s">
        <v>107</v>
      </c>
      <c r="DF128" s="7" t="s">
        <v>107</v>
      </c>
      <c r="DG128" s="3"/>
      <c r="DH128" s="7"/>
      <c r="DI128" s="7" t="s">
        <v>107</v>
      </c>
      <c r="DJ128" s="7" t="s">
        <v>107</v>
      </c>
      <c r="DK128" s="5">
        <f>AM128</f>
        <v>17921.28</v>
      </c>
      <c r="DL128" s="15" t="s">
        <v>3345</v>
      </c>
      <c r="DM128" s="51">
        <f>DL128*0.95</f>
        <v>17025.215999999997</v>
      </c>
    </row>
    <row r="129" spans="1:117" ht="17.25" customHeight="1" x14ac:dyDescent="0.25">
      <c r="A129" s="50" t="s">
        <v>3890</v>
      </c>
      <c r="B129" s="15" t="s">
        <v>3947</v>
      </c>
      <c r="C129" s="15" t="s">
        <v>974</v>
      </c>
      <c r="D129" s="15" t="s">
        <v>975</v>
      </c>
      <c r="E129" s="15" t="s">
        <v>976</v>
      </c>
      <c r="F129" s="15" t="s">
        <v>977</v>
      </c>
      <c r="G129" s="15" t="s">
        <v>978</v>
      </c>
      <c r="H129" s="15" t="s">
        <v>979</v>
      </c>
      <c r="I129" s="15" t="s">
        <v>980</v>
      </c>
      <c r="J129" s="15" t="s">
        <v>4227</v>
      </c>
      <c r="K129" s="15" t="s">
        <v>151</v>
      </c>
      <c r="L129" s="15" t="s">
        <v>977</v>
      </c>
      <c r="M129" s="15" t="s">
        <v>981</v>
      </c>
      <c r="N129" s="15" t="s">
        <v>982</v>
      </c>
      <c r="O129" s="15" t="s">
        <v>983</v>
      </c>
      <c r="P129" s="15" t="s">
        <v>984</v>
      </c>
      <c r="Q129" s="15" t="s">
        <v>985</v>
      </c>
      <c r="R129" s="15" t="s">
        <v>986</v>
      </c>
      <c r="S129" s="15" t="s">
        <v>977</v>
      </c>
      <c r="T129" s="15" t="s">
        <v>107</v>
      </c>
      <c r="U129" s="15" t="s">
        <v>987</v>
      </c>
      <c r="V129" s="15" t="s">
        <v>109</v>
      </c>
      <c r="W129" s="15" t="s">
        <v>988</v>
      </c>
      <c r="X129" s="16" t="s">
        <v>989</v>
      </c>
      <c r="Y129" s="15" t="s">
        <v>107</v>
      </c>
      <c r="Z129" s="16" t="s">
        <v>990</v>
      </c>
      <c r="AA129" s="17">
        <v>0</v>
      </c>
      <c r="AB129" s="17">
        <v>3</v>
      </c>
      <c r="AC129" s="17">
        <v>900</v>
      </c>
      <c r="AD129" s="17">
        <v>2</v>
      </c>
      <c r="AE129" s="17">
        <v>3000</v>
      </c>
      <c r="AF129" s="15" t="s">
        <v>142</v>
      </c>
      <c r="AG129" s="15" t="s">
        <v>480</v>
      </c>
      <c r="AH129" s="15" t="s">
        <v>991</v>
      </c>
      <c r="AI129" s="18">
        <v>67350.399999999994</v>
      </c>
      <c r="AJ129" s="15">
        <v>0.25</v>
      </c>
      <c r="AK129" s="15" t="s">
        <v>992</v>
      </c>
      <c r="AL129" s="15" t="s">
        <v>993</v>
      </c>
      <c r="AM129" s="3">
        <f>(AI129*AJ129)/2</f>
        <v>8418.7999999999993</v>
      </c>
      <c r="AN129" s="7" t="s">
        <v>196</v>
      </c>
      <c r="AO129" s="7" t="s">
        <v>460</v>
      </c>
      <c r="AP129" s="7" t="s">
        <v>994</v>
      </c>
      <c r="AQ129" s="8">
        <v>67350.399999999994</v>
      </c>
      <c r="AR129" s="7">
        <v>0.1</v>
      </c>
      <c r="AS129" s="7" t="s">
        <v>995</v>
      </c>
      <c r="AT129" s="7" t="s">
        <v>996</v>
      </c>
      <c r="AU129" s="3">
        <f>(AQ129*AR129)/2</f>
        <v>3367.52</v>
      </c>
      <c r="AV129" s="7" t="s">
        <v>107</v>
      </c>
      <c r="AW129" s="7" t="s">
        <v>107</v>
      </c>
      <c r="AX129" s="7" t="s">
        <v>107</v>
      </c>
      <c r="AY129" s="8" t="s">
        <v>107</v>
      </c>
      <c r="AZ129" s="7" t="s">
        <v>107</v>
      </c>
      <c r="BA129" s="7" t="s">
        <v>107</v>
      </c>
      <c r="BB129" s="7" t="s">
        <v>107</v>
      </c>
      <c r="BC129" s="3"/>
      <c r="BD129" s="7" t="s">
        <v>107</v>
      </c>
      <c r="BE129" s="7" t="s">
        <v>107</v>
      </c>
      <c r="BF129" s="7" t="s">
        <v>107</v>
      </c>
      <c r="BG129" s="7" t="s">
        <v>107</v>
      </c>
      <c r="BH129" s="7" t="s">
        <v>107</v>
      </c>
      <c r="BI129" s="7" t="s">
        <v>107</v>
      </c>
      <c r="BJ129" s="7" t="s">
        <v>107</v>
      </c>
      <c r="BK129" s="3"/>
      <c r="BL129" s="7" t="s">
        <v>107</v>
      </c>
      <c r="BM129" s="7" t="s">
        <v>107</v>
      </c>
      <c r="BN129" s="7" t="s">
        <v>107</v>
      </c>
      <c r="BO129" s="8" t="s">
        <v>107</v>
      </c>
      <c r="BP129" s="7" t="s">
        <v>107</v>
      </c>
      <c r="BQ129" s="7" t="s">
        <v>107</v>
      </c>
      <c r="BR129" s="7" t="s">
        <v>107</v>
      </c>
      <c r="BS129" s="3"/>
      <c r="BT129" s="7" t="s">
        <v>107</v>
      </c>
      <c r="BU129" s="7" t="s">
        <v>107</v>
      </c>
      <c r="BV129" s="7" t="s">
        <v>107</v>
      </c>
      <c r="BW129" s="8" t="s">
        <v>107</v>
      </c>
      <c r="BX129" s="7" t="s">
        <v>107</v>
      </c>
      <c r="BY129" s="7" t="s">
        <v>107</v>
      </c>
      <c r="BZ129" s="7" t="s">
        <v>107</v>
      </c>
      <c r="CA129" s="3"/>
      <c r="CB129" s="7"/>
      <c r="CC129" s="7" t="s">
        <v>107</v>
      </c>
      <c r="CD129" s="7" t="s">
        <v>107</v>
      </c>
      <c r="CE129" s="8" t="s">
        <v>107</v>
      </c>
      <c r="CF129" s="7" t="s">
        <v>107</v>
      </c>
      <c r="CG129" s="7" t="s">
        <v>107</v>
      </c>
      <c r="CH129" s="7" t="s">
        <v>107</v>
      </c>
      <c r="CI129" s="3"/>
      <c r="CJ129" s="7"/>
      <c r="CK129" s="7" t="s">
        <v>107</v>
      </c>
      <c r="CL129" s="7" t="s">
        <v>107</v>
      </c>
      <c r="CM129" s="8" t="s">
        <v>107</v>
      </c>
      <c r="CN129" s="7" t="s">
        <v>107</v>
      </c>
      <c r="CO129" s="7" t="s">
        <v>107</v>
      </c>
      <c r="CP129" s="7" t="s">
        <v>107</v>
      </c>
      <c r="CQ129" s="3"/>
      <c r="CR129" s="7"/>
      <c r="CS129" s="7" t="s">
        <v>107</v>
      </c>
      <c r="CT129" s="7" t="s">
        <v>107</v>
      </c>
      <c r="CU129" s="7" t="s">
        <v>107</v>
      </c>
      <c r="CV129" s="7" t="s">
        <v>107</v>
      </c>
      <c r="CW129" s="7" t="s">
        <v>107</v>
      </c>
      <c r="CX129" s="7" t="s">
        <v>107</v>
      </c>
      <c r="CY129" s="3"/>
      <c r="CZ129" s="7"/>
      <c r="DA129" s="7" t="s">
        <v>107</v>
      </c>
      <c r="DB129" s="7" t="s">
        <v>107</v>
      </c>
      <c r="DC129" s="7" t="s">
        <v>107</v>
      </c>
      <c r="DD129" s="7" t="s">
        <v>107</v>
      </c>
      <c r="DE129" s="7" t="s">
        <v>107</v>
      </c>
      <c r="DF129" s="7" t="s">
        <v>107</v>
      </c>
      <c r="DG129" s="3"/>
      <c r="DH129" s="7"/>
      <c r="DI129" s="7" t="s">
        <v>107</v>
      </c>
      <c r="DJ129" s="7" t="s">
        <v>107</v>
      </c>
      <c r="DK129" s="5">
        <f>AM129+AU129</f>
        <v>11786.32</v>
      </c>
      <c r="DL129" s="15" t="s">
        <v>997</v>
      </c>
      <c r="DM129" s="51">
        <f>DL129*0.95</f>
        <v>11197.003999999999</v>
      </c>
    </row>
    <row r="130" spans="1:117" ht="17.25" customHeight="1" x14ac:dyDescent="0.25">
      <c r="A130" s="50" t="s">
        <v>3561</v>
      </c>
      <c r="B130" s="15" t="s">
        <v>3562</v>
      </c>
      <c r="C130" s="15" t="s">
        <v>3563</v>
      </c>
      <c r="D130" s="15" t="s">
        <v>3564</v>
      </c>
      <c r="E130" s="15" t="s">
        <v>297</v>
      </c>
      <c r="F130" s="15" t="s">
        <v>3565</v>
      </c>
      <c r="G130" s="15" t="s">
        <v>3566</v>
      </c>
      <c r="H130" s="15" t="s">
        <v>3567</v>
      </c>
      <c r="I130" s="15" t="s">
        <v>3568</v>
      </c>
      <c r="J130" s="15" t="s">
        <v>4350</v>
      </c>
      <c r="K130" s="15" t="s">
        <v>151</v>
      </c>
      <c r="L130" s="15" t="s">
        <v>3565</v>
      </c>
      <c r="M130" s="15" t="s">
        <v>3569</v>
      </c>
      <c r="N130" s="15" t="s">
        <v>3570</v>
      </c>
      <c r="O130" s="15" t="s">
        <v>3571</v>
      </c>
      <c r="P130" s="15" t="s">
        <v>3572</v>
      </c>
      <c r="Q130" s="15" t="s">
        <v>3568</v>
      </c>
      <c r="R130" s="15" t="s">
        <v>151</v>
      </c>
      <c r="S130" s="15" t="s">
        <v>3565</v>
      </c>
      <c r="T130" s="15" t="s">
        <v>107</v>
      </c>
      <c r="U130" s="15" t="s">
        <v>3569</v>
      </c>
      <c r="V130" s="15" t="s">
        <v>109</v>
      </c>
      <c r="W130" s="15" t="s">
        <v>3573</v>
      </c>
      <c r="X130" s="16" t="s">
        <v>3574</v>
      </c>
      <c r="Y130" s="15" t="s">
        <v>216</v>
      </c>
      <c r="Z130" s="16" t="s">
        <v>3575</v>
      </c>
      <c r="AA130" s="17">
        <v>300</v>
      </c>
      <c r="AB130" s="17">
        <v>0</v>
      </c>
      <c r="AC130" s="17">
        <v>0</v>
      </c>
      <c r="AD130" s="17">
        <v>1</v>
      </c>
      <c r="AE130" s="17">
        <v>30</v>
      </c>
      <c r="AF130" s="15" t="s">
        <v>142</v>
      </c>
      <c r="AG130" s="15" t="s">
        <v>480</v>
      </c>
      <c r="AH130" s="15" t="s">
        <v>3576</v>
      </c>
      <c r="AI130" s="21">
        <v>65166</v>
      </c>
      <c r="AJ130" s="15">
        <v>0.5</v>
      </c>
      <c r="AK130" s="15" t="s">
        <v>3577</v>
      </c>
      <c r="AL130" s="15" t="s">
        <v>3578</v>
      </c>
      <c r="AM130" s="3">
        <f>(AI130*AJ130)/2</f>
        <v>16291.5</v>
      </c>
      <c r="AN130" s="7" t="s">
        <v>107</v>
      </c>
      <c r="AO130" s="7" t="s">
        <v>107</v>
      </c>
      <c r="AP130" s="7" t="s">
        <v>107</v>
      </c>
      <c r="AQ130" s="8" t="s">
        <v>107</v>
      </c>
      <c r="AR130" s="7" t="s">
        <v>107</v>
      </c>
      <c r="AS130" s="7" t="s">
        <v>107</v>
      </c>
      <c r="AT130" s="7" t="s">
        <v>107</v>
      </c>
      <c r="AU130" s="3"/>
      <c r="AV130" s="7" t="s">
        <v>107</v>
      </c>
      <c r="AW130" s="7" t="s">
        <v>107</v>
      </c>
      <c r="AX130" s="7" t="s">
        <v>107</v>
      </c>
      <c r="AY130" s="8" t="s">
        <v>107</v>
      </c>
      <c r="AZ130" s="7" t="s">
        <v>107</v>
      </c>
      <c r="BA130" s="7" t="s">
        <v>107</v>
      </c>
      <c r="BB130" s="7" t="s">
        <v>107</v>
      </c>
      <c r="BC130" s="3"/>
      <c r="BD130" s="7" t="s">
        <v>107</v>
      </c>
      <c r="BE130" s="7" t="s">
        <v>107</v>
      </c>
      <c r="BF130" s="7" t="s">
        <v>107</v>
      </c>
      <c r="BG130" s="7" t="s">
        <v>107</v>
      </c>
      <c r="BH130" s="7" t="s">
        <v>107</v>
      </c>
      <c r="BI130" s="7" t="s">
        <v>107</v>
      </c>
      <c r="BJ130" s="7" t="s">
        <v>107</v>
      </c>
      <c r="BK130" s="3"/>
      <c r="BL130" s="7" t="s">
        <v>107</v>
      </c>
      <c r="BM130" s="7" t="s">
        <v>107</v>
      </c>
      <c r="BN130" s="7" t="s">
        <v>107</v>
      </c>
      <c r="BO130" s="8" t="s">
        <v>107</v>
      </c>
      <c r="BP130" s="7" t="s">
        <v>107</v>
      </c>
      <c r="BQ130" s="7" t="s">
        <v>107</v>
      </c>
      <c r="BR130" s="7" t="s">
        <v>107</v>
      </c>
      <c r="BS130" s="3"/>
      <c r="BT130" s="7" t="s">
        <v>107</v>
      </c>
      <c r="BU130" s="7" t="s">
        <v>107</v>
      </c>
      <c r="BV130" s="7" t="s">
        <v>107</v>
      </c>
      <c r="BW130" s="8" t="s">
        <v>107</v>
      </c>
      <c r="BX130" s="7" t="s">
        <v>107</v>
      </c>
      <c r="BY130" s="7" t="s">
        <v>107</v>
      </c>
      <c r="BZ130" s="7" t="s">
        <v>107</v>
      </c>
      <c r="CA130" s="3"/>
      <c r="CB130" s="7"/>
      <c r="CC130" s="7" t="s">
        <v>107</v>
      </c>
      <c r="CD130" s="7" t="s">
        <v>107</v>
      </c>
      <c r="CE130" s="8" t="s">
        <v>107</v>
      </c>
      <c r="CF130" s="7" t="s">
        <v>107</v>
      </c>
      <c r="CG130" s="7" t="s">
        <v>107</v>
      </c>
      <c r="CH130" s="7" t="s">
        <v>107</v>
      </c>
      <c r="CI130" s="3"/>
      <c r="CJ130" s="7"/>
      <c r="CK130" s="7" t="s">
        <v>107</v>
      </c>
      <c r="CL130" s="7" t="s">
        <v>107</v>
      </c>
      <c r="CM130" s="8" t="s">
        <v>107</v>
      </c>
      <c r="CN130" s="7" t="s">
        <v>107</v>
      </c>
      <c r="CO130" s="7" t="s">
        <v>107</v>
      </c>
      <c r="CP130" s="7" t="s">
        <v>107</v>
      </c>
      <c r="CQ130" s="3"/>
      <c r="CR130" s="7"/>
      <c r="CS130" s="7" t="s">
        <v>107</v>
      </c>
      <c r="CT130" s="7" t="s">
        <v>107</v>
      </c>
      <c r="CU130" s="7" t="s">
        <v>107</v>
      </c>
      <c r="CV130" s="7" t="s">
        <v>107</v>
      </c>
      <c r="CW130" s="7" t="s">
        <v>107</v>
      </c>
      <c r="CX130" s="7" t="s">
        <v>107</v>
      </c>
      <c r="CY130" s="3"/>
      <c r="CZ130" s="7"/>
      <c r="DA130" s="7" t="s">
        <v>107</v>
      </c>
      <c r="DB130" s="7" t="s">
        <v>107</v>
      </c>
      <c r="DC130" s="7" t="s">
        <v>107</v>
      </c>
      <c r="DD130" s="7" t="s">
        <v>107</v>
      </c>
      <c r="DE130" s="7" t="s">
        <v>107</v>
      </c>
      <c r="DF130" s="7" t="s">
        <v>107</v>
      </c>
      <c r="DG130" s="3"/>
      <c r="DH130" s="7"/>
      <c r="DI130" s="7" t="s">
        <v>107</v>
      </c>
      <c r="DJ130" s="7" t="s">
        <v>107</v>
      </c>
      <c r="DK130" s="5">
        <f>AM130</f>
        <v>16291.5</v>
      </c>
      <c r="DL130" s="15" t="s">
        <v>3578</v>
      </c>
      <c r="DM130" s="51">
        <f>DL130*0.95</f>
        <v>15477.4</v>
      </c>
    </row>
    <row r="131" spans="1:117" ht="17.25" customHeight="1" x14ac:dyDescent="0.25">
      <c r="A131" s="50" t="s">
        <v>3891</v>
      </c>
      <c r="B131" s="15" t="s">
        <v>3948</v>
      </c>
      <c r="C131" s="15" t="s">
        <v>3976</v>
      </c>
      <c r="D131" s="15" t="s">
        <v>1214</v>
      </c>
      <c r="E131" s="15" t="s">
        <v>691</v>
      </c>
      <c r="F131" s="15" t="s">
        <v>1215</v>
      </c>
      <c r="G131" s="15" t="s">
        <v>1216</v>
      </c>
      <c r="H131" s="15" t="s">
        <v>1217</v>
      </c>
      <c r="I131" s="15" t="s">
        <v>4009</v>
      </c>
      <c r="J131" s="15" t="s">
        <v>4238</v>
      </c>
      <c r="K131" s="15" t="s">
        <v>151</v>
      </c>
      <c r="L131" s="15" t="s">
        <v>1215</v>
      </c>
      <c r="M131" s="15" t="s">
        <v>1218</v>
      </c>
      <c r="N131" s="15" t="s">
        <v>4033</v>
      </c>
      <c r="O131" s="15" t="s">
        <v>1215</v>
      </c>
      <c r="P131" s="15" t="s">
        <v>107</v>
      </c>
      <c r="Q131" s="15" t="s">
        <v>1223</v>
      </c>
      <c r="R131" s="15" t="s">
        <v>157</v>
      </c>
      <c r="S131" s="15" t="s">
        <v>1215</v>
      </c>
      <c r="T131" s="15" t="s">
        <v>107</v>
      </c>
      <c r="U131" s="15" t="s">
        <v>1219</v>
      </c>
      <c r="V131" s="15" t="s">
        <v>109</v>
      </c>
      <c r="W131" s="15" t="s">
        <v>1220</v>
      </c>
      <c r="X131" s="16" t="s">
        <v>1221</v>
      </c>
      <c r="Y131" s="15" t="s">
        <v>112</v>
      </c>
      <c r="Z131" s="16" t="s">
        <v>1222</v>
      </c>
      <c r="AA131" s="17">
        <v>240</v>
      </c>
      <c r="AB131" s="17">
        <v>1</v>
      </c>
      <c r="AC131" s="17">
        <v>363</v>
      </c>
      <c r="AD131" s="17">
        <v>1</v>
      </c>
      <c r="AE131" s="17">
        <v>790</v>
      </c>
      <c r="AF131" s="15" t="s">
        <v>142</v>
      </c>
      <c r="AG131" s="15" t="s">
        <v>157</v>
      </c>
      <c r="AH131" s="15" t="s">
        <v>1223</v>
      </c>
      <c r="AI131" s="20">
        <v>52083.32</v>
      </c>
      <c r="AJ131" s="15">
        <v>0.3</v>
      </c>
      <c r="AK131" s="15" t="s">
        <v>1224</v>
      </c>
      <c r="AL131" s="15" t="s">
        <v>1225</v>
      </c>
      <c r="AM131" s="3">
        <f>(AI131*AJ131)/2</f>
        <v>7812.4979999999996</v>
      </c>
      <c r="AN131" s="7" t="s">
        <v>107</v>
      </c>
      <c r="AO131" s="7" t="s">
        <v>107</v>
      </c>
      <c r="AP131" s="7" t="s">
        <v>107</v>
      </c>
      <c r="AQ131" s="8" t="s">
        <v>107</v>
      </c>
      <c r="AR131" s="7" t="s">
        <v>107</v>
      </c>
      <c r="AS131" s="7" t="s">
        <v>107</v>
      </c>
      <c r="AT131" s="7" t="s">
        <v>107</v>
      </c>
      <c r="AU131" s="3"/>
      <c r="AV131" s="7" t="s">
        <v>107</v>
      </c>
      <c r="AW131" s="7" t="s">
        <v>107</v>
      </c>
      <c r="AX131" s="7" t="s">
        <v>107</v>
      </c>
      <c r="AY131" s="8" t="s">
        <v>107</v>
      </c>
      <c r="AZ131" s="7" t="s">
        <v>107</v>
      </c>
      <c r="BA131" s="7" t="s">
        <v>107</v>
      </c>
      <c r="BB131" s="7" t="s">
        <v>107</v>
      </c>
      <c r="BC131" s="3"/>
      <c r="BD131" s="7" t="s">
        <v>107</v>
      </c>
      <c r="BE131" s="7" t="s">
        <v>107</v>
      </c>
      <c r="BF131" s="7" t="s">
        <v>107</v>
      </c>
      <c r="BG131" s="7" t="s">
        <v>107</v>
      </c>
      <c r="BH131" s="7" t="s">
        <v>107</v>
      </c>
      <c r="BI131" s="7" t="s">
        <v>107</v>
      </c>
      <c r="BJ131" s="7" t="s">
        <v>107</v>
      </c>
      <c r="BK131" s="3"/>
      <c r="BL131" s="7" t="s">
        <v>107</v>
      </c>
      <c r="BM131" s="7" t="s">
        <v>107</v>
      </c>
      <c r="BN131" s="7" t="s">
        <v>107</v>
      </c>
      <c r="BO131" s="8" t="s">
        <v>107</v>
      </c>
      <c r="BP131" s="7" t="s">
        <v>107</v>
      </c>
      <c r="BQ131" s="7" t="s">
        <v>107</v>
      </c>
      <c r="BR131" s="7" t="s">
        <v>107</v>
      </c>
      <c r="BS131" s="3"/>
      <c r="BT131" s="7" t="s">
        <v>107</v>
      </c>
      <c r="BU131" s="7" t="s">
        <v>107</v>
      </c>
      <c r="BV131" s="7" t="s">
        <v>107</v>
      </c>
      <c r="BW131" s="8" t="s">
        <v>107</v>
      </c>
      <c r="BX131" s="7" t="s">
        <v>107</v>
      </c>
      <c r="BY131" s="7" t="s">
        <v>107</v>
      </c>
      <c r="BZ131" s="7" t="s">
        <v>107</v>
      </c>
      <c r="CA131" s="3"/>
      <c r="CB131" s="7"/>
      <c r="CC131" s="7" t="s">
        <v>107</v>
      </c>
      <c r="CD131" s="7" t="s">
        <v>107</v>
      </c>
      <c r="CE131" s="8" t="s">
        <v>107</v>
      </c>
      <c r="CF131" s="7" t="s">
        <v>107</v>
      </c>
      <c r="CG131" s="7" t="s">
        <v>107</v>
      </c>
      <c r="CH131" s="7" t="s">
        <v>107</v>
      </c>
      <c r="CI131" s="3"/>
      <c r="CJ131" s="7"/>
      <c r="CK131" s="7" t="s">
        <v>107</v>
      </c>
      <c r="CL131" s="7" t="s">
        <v>107</v>
      </c>
      <c r="CM131" s="8" t="s">
        <v>107</v>
      </c>
      <c r="CN131" s="7" t="s">
        <v>107</v>
      </c>
      <c r="CO131" s="7" t="s">
        <v>107</v>
      </c>
      <c r="CP131" s="7" t="s">
        <v>107</v>
      </c>
      <c r="CQ131" s="3"/>
      <c r="CR131" s="7"/>
      <c r="CS131" s="7" t="s">
        <v>107</v>
      </c>
      <c r="CT131" s="7" t="s">
        <v>107</v>
      </c>
      <c r="CU131" s="7" t="s">
        <v>107</v>
      </c>
      <c r="CV131" s="7" t="s">
        <v>107</v>
      </c>
      <c r="CW131" s="7" t="s">
        <v>107</v>
      </c>
      <c r="CX131" s="7" t="s">
        <v>107</v>
      </c>
      <c r="CY131" s="3"/>
      <c r="CZ131" s="7"/>
      <c r="DA131" s="7" t="s">
        <v>107</v>
      </c>
      <c r="DB131" s="7" t="s">
        <v>107</v>
      </c>
      <c r="DC131" s="7" t="s">
        <v>107</v>
      </c>
      <c r="DD131" s="7" t="s">
        <v>107</v>
      </c>
      <c r="DE131" s="7" t="s">
        <v>107</v>
      </c>
      <c r="DF131" s="7" t="s">
        <v>107</v>
      </c>
      <c r="DG131" s="3"/>
      <c r="DH131" s="7"/>
      <c r="DI131" s="7" t="s">
        <v>107</v>
      </c>
      <c r="DJ131" s="7" t="s">
        <v>107</v>
      </c>
      <c r="DK131" s="5">
        <f>AM131</f>
        <v>7812.4979999999996</v>
      </c>
      <c r="DL131" s="15" t="s">
        <v>1225</v>
      </c>
      <c r="DM131" s="51">
        <f>DL131*0.95</f>
        <v>7421.875</v>
      </c>
    </row>
    <row r="132" spans="1:117" ht="17.25" customHeight="1" x14ac:dyDescent="0.25">
      <c r="A132" s="50" t="s">
        <v>353</v>
      </c>
      <c r="B132" s="15" t="s">
        <v>354</v>
      </c>
      <c r="C132" s="15" t="s">
        <v>355</v>
      </c>
      <c r="D132" s="15" t="s">
        <v>356</v>
      </c>
      <c r="E132" s="15" t="s">
        <v>357</v>
      </c>
      <c r="F132" s="15" t="s">
        <v>358</v>
      </c>
      <c r="G132" s="15" t="s">
        <v>359</v>
      </c>
      <c r="H132" s="15" t="s">
        <v>360</v>
      </c>
      <c r="I132" s="15" t="s">
        <v>361</v>
      </c>
      <c r="J132" s="15" t="s">
        <v>4373</v>
      </c>
      <c r="K132" s="15" t="s">
        <v>101</v>
      </c>
      <c r="L132" s="15" t="s">
        <v>362</v>
      </c>
      <c r="M132" s="15" t="s">
        <v>363</v>
      </c>
      <c r="N132" s="15" t="s">
        <v>364</v>
      </c>
      <c r="O132" s="15" t="s">
        <v>365</v>
      </c>
      <c r="P132" s="15" t="s">
        <v>366</v>
      </c>
      <c r="Q132" s="15" t="s">
        <v>367</v>
      </c>
      <c r="R132" s="15" t="s">
        <v>368</v>
      </c>
      <c r="S132" s="15" t="s">
        <v>358</v>
      </c>
      <c r="T132" s="15" t="s">
        <v>107</v>
      </c>
      <c r="U132" s="15" t="s">
        <v>369</v>
      </c>
      <c r="V132" s="15" t="s">
        <v>109</v>
      </c>
      <c r="W132" s="15" t="s">
        <v>370</v>
      </c>
      <c r="X132" s="16" t="s">
        <v>371</v>
      </c>
      <c r="Y132" s="15" t="s">
        <v>185</v>
      </c>
      <c r="Z132" s="16" t="s">
        <v>4083</v>
      </c>
      <c r="AA132" s="17">
        <v>800</v>
      </c>
      <c r="AB132" s="17">
        <v>2</v>
      </c>
      <c r="AC132" s="17">
        <v>200</v>
      </c>
      <c r="AD132" s="17">
        <v>5</v>
      </c>
      <c r="AE132" s="17">
        <v>66</v>
      </c>
      <c r="AF132" s="15" t="s">
        <v>118</v>
      </c>
      <c r="AG132" s="15" t="s">
        <v>115</v>
      </c>
      <c r="AH132" s="28" t="s">
        <v>372</v>
      </c>
      <c r="AI132" s="18">
        <v>51000</v>
      </c>
      <c r="AJ132" s="15">
        <v>0.3</v>
      </c>
      <c r="AK132" s="15" t="s">
        <v>373</v>
      </c>
      <c r="AL132" s="15" t="s">
        <v>374</v>
      </c>
      <c r="AM132" s="3">
        <f>(AI132*AJ132)/2</f>
        <v>7650</v>
      </c>
      <c r="AN132" s="7" t="s">
        <v>118</v>
      </c>
      <c r="AO132" s="7" t="s">
        <v>115</v>
      </c>
      <c r="AP132" s="7" t="s">
        <v>372</v>
      </c>
      <c r="AQ132" s="8">
        <v>51000</v>
      </c>
      <c r="AR132" s="7">
        <v>0.5</v>
      </c>
      <c r="AS132" s="7" t="s">
        <v>375</v>
      </c>
      <c r="AT132" s="7" t="s">
        <v>376</v>
      </c>
      <c r="AU132" s="3">
        <f>(AQ132*AR132)/2</f>
        <v>12750</v>
      </c>
      <c r="AV132" s="7" t="s">
        <v>118</v>
      </c>
      <c r="AW132" s="7" t="s">
        <v>115</v>
      </c>
      <c r="AX132" s="7" t="s">
        <v>372</v>
      </c>
      <c r="AY132" s="8">
        <v>51000</v>
      </c>
      <c r="AZ132" s="7">
        <v>0.8</v>
      </c>
      <c r="BA132" s="7" t="s">
        <v>377</v>
      </c>
      <c r="BB132" s="7" t="s">
        <v>378</v>
      </c>
      <c r="BC132" s="3">
        <f>(AY132*AZ132)/2</f>
        <v>20400</v>
      </c>
      <c r="BD132" s="7" t="s">
        <v>107</v>
      </c>
      <c r="BE132" s="7" t="s">
        <v>107</v>
      </c>
      <c r="BF132" s="7" t="s">
        <v>107</v>
      </c>
      <c r="BG132" s="7" t="s">
        <v>107</v>
      </c>
      <c r="BH132" s="7" t="s">
        <v>107</v>
      </c>
      <c r="BI132" s="7" t="s">
        <v>107</v>
      </c>
      <c r="BJ132" s="7" t="s">
        <v>107</v>
      </c>
      <c r="BK132" s="3"/>
      <c r="BL132" s="7" t="s">
        <v>107</v>
      </c>
      <c r="BM132" s="7" t="s">
        <v>107</v>
      </c>
      <c r="BN132" s="7" t="s">
        <v>107</v>
      </c>
      <c r="BO132" s="8" t="s">
        <v>107</v>
      </c>
      <c r="BP132" s="7" t="s">
        <v>107</v>
      </c>
      <c r="BQ132" s="7" t="s">
        <v>107</v>
      </c>
      <c r="BR132" s="7" t="s">
        <v>107</v>
      </c>
      <c r="BS132" s="3"/>
      <c r="BT132" s="7" t="s">
        <v>107</v>
      </c>
      <c r="BU132" s="7" t="s">
        <v>107</v>
      </c>
      <c r="BV132" s="7" t="s">
        <v>107</v>
      </c>
      <c r="BW132" s="8" t="s">
        <v>107</v>
      </c>
      <c r="BX132" s="7" t="s">
        <v>107</v>
      </c>
      <c r="BY132" s="7" t="s">
        <v>107</v>
      </c>
      <c r="BZ132" s="7" t="s">
        <v>107</v>
      </c>
      <c r="CA132" s="3"/>
      <c r="CB132" s="7"/>
      <c r="CC132" s="7" t="s">
        <v>107</v>
      </c>
      <c r="CD132" s="7" t="s">
        <v>107</v>
      </c>
      <c r="CE132" s="8" t="s">
        <v>107</v>
      </c>
      <c r="CF132" s="7" t="s">
        <v>107</v>
      </c>
      <c r="CG132" s="7" t="s">
        <v>107</v>
      </c>
      <c r="CH132" s="7" t="s">
        <v>107</v>
      </c>
      <c r="CI132" s="3"/>
      <c r="CJ132" s="7"/>
      <c r="CK132" s="7" t="s">
        <v>107</v>
      </c>
      <c r="CL132" s="7" t="s">
        <v>107</v>
      </c>
      <c r="CM132" s="8" t="s">
        <v>107</v>
      </c>
      <c r="CN132" s="7" t="s">
        <v>107</v>
      </c>
      <c r="CO132" s="7" t="s">
        <v>107</v>
      </c>
      <c r="CP132" s="7" t="s">
        <v>107</v>
      </c>
      <c r="CQ132" s="3"/>
      <c r="CR132" s="7"/>
      <c r="CS132" s="7" t="s">
        <v>107</v>
      </c>
      <c r="CT132" s="7" t="s">
        <v>107</v>
      </c>
      <c r="CU132" s="7" t="s">
        <v>107</v>
      </c>
      <c r="CV132" s="7" t="s">
        <v>107</v>
      </c>
      <c r="CW132" s="7" t="s">
        <v>107</v>
      </c>
      <c r="CX132" s="7" t="s">
        <v>107</v>
      </c>
      <c r="CY132" s="3"/>
      <c r="CZ132" s="7"/>
      <c r="DA132" s="7" t="s">
        <v>107</v>
      </c>
      <c r="DB132" s="7" t="s">
        <v>107</v>
      </c>
      <c r="DC132" s="7" t="s">
        <v>107</v>
      </c>
      <c r="DD132" s="7" t="s">
        <v>107</v>
      </c>
      <c r="DE132" s="7" t="s">
        <v>107</v>
      </c>
      <c r="DF132" s="7" t="s">
        <v>107</v>
      </c>
      <c r="DG132" s="3"/>
      <c r="DH132" s="7"/>
      <c r="DI132" s="7" t="s">
        <v>107</v>
      </c>
      <c r="DJ132" s="7" t="s">
        <v>107</v>
      </c>
      <c r="DK132" s="5">
        <f>AM132+AU132+BC132</f>
        <v>40800</v>
      </c>
      <c r="DL132" s="15" t="s">
        <v>377</v>
      </c>
      <c r="DM132" s="51">
        <f>DL132*0.95</f>
        <v>38760</v>
      </c>
    </row>
    <row r="133" spans="1:117" ht="17.25" customHeight="1" x14ac:dyDescent="0.25">
      <c r="A133" s="50" t="s">
        <v>198</v>
      </c>
      <c r="B133" s="15" t="s">
        <v>199</v>
      </c>
      <c r="C133" s="15" t="s">
        <v>200</v>
      </c>
      <c r="D133" s="15" t="s">
        <v>201</v>
      </c>
      <c r="E133" s="15" t="s">
        <v>202</v>
      </c>
      <c r="F133" s="15" t="s">
        <v>203</v>
      </c>
      <c r="G133" s="15" t="s">
        <v>204</v>
      </c>
      <c r="H133" s="15" t="s">
        <v>205</v>
      </c>
      <c r="I133" s="15" t="s">
        <v>206</v>
      </c>
      <c r="J133" s="15" t="s">
        <v>4366</v>
      </c>
      <c r="K133" s="15" t="s">
        <v>151</v>
      </c>
      <c r="L133" s="15" t="s">
        <v>203</v>
      </c>
      <c r="M133" s="15" t="s">
        <v>207</v>
      </c>
      <c r="N133" s="15" t="s">
        <v>208</v>
      </c>
      <c r="O133" s="15" t="s">
        <v>209</v>
      </c>
      <c r="P133" s="15" t="s">
        <v>210</v>
      </c>
      <c r="Q133" s="15" t="s">
        <v>211</v>
      </c>
      <c r="R133" s="15" t="s">
        <v>4047</v>
      </c>
      <c r="S133" s="15" t="s">
        <v>212</v>
      </c>
      <c r="T133" s="15" t="s">
        <v>107</v>
      </c>
      <c r="U133" s="15" t="s">
        <v>213</v>
      </c>
      <c r="V133" s="15" t="s">
        <v>109</v>
      </c>
      <c r="W133" s="15" t="s">
        <v>214</v>
      </c>
      <c r="X133" s="16" t="s">
        <v>215</v>
      </c>
      <c r="Y133" s="15" t="s">
        <v>216</v>
      </c>
      <c r="Z133" s="16" t="s">
        <v>217</v>
      </c>
      <c r="AA133" s="17">
        <v>1800</v>
      </c>
      <c r="AB133" s="17">
        <v>2</v>
      </c>
      <c r="AC133" s="17">
        <v>200</v>
      </c>
      <c r="AD133" s="17">
        <v>2</v>
      </c>
      <c r="AE133" s="17">
        <v>400</v>
      </c>
      <c r="AF133" s="15" t="s">
        <v>142</v>
      </c>
      <c r="AG133" s="15" t="s">
        <v>132</v>
      </c>
      <c r="AH133" s="15" t="s">
        <v>218</v>
      </c>
      <c r="AI133" s="18">
        <v>45365</v>
      </c>
      <c r="AJ133" s="15">
        <v>0.25</v>
      </c>
      <c r="AK133" s="15" t="s">
        <v>220</v>
      </c>
      <c r="AL133" s="15" t="s">
        <v>221</v>
      </c>
      <c r="AM133" s="3">
        <f>(AI133*AJ133)/2</f>
        <v>5670.625</v>
      </c>
      <c r="AN133" s="7" t="s">
        <v>196</v>
      </c>
      <c r="AO133" s="7" t="s">
        <v>132</v>
      </c>
      <c r="AP133" s="7" t="s">
        <v>222</v>
      </c>
      <c r="AQ133" s="8">
        <v>45365</v>
      </c>
      <c r="AR133" s="7">
        <v>0.75</v>
      </c>
      <c r="AS133" s="7" t="s">
        <v>223</v>
      </c>
      <c r="AT133" s="7" t="s">
        <v>224</v>
      </c>
      <c r="AU133" s="3">
        <f>(AQ133*AR133)/2</f>
        <v>17011.875</v>
      </c>
      <c r="AV133" s="7" t="s">
        <v>107</v>
      </c>
      <c r="AW133" s="7" t="s">
        <v>107</v>
      </c>
      <c r="AX133" s="7" t="s">
        <v>107</v>
      </c>
      <c r="AY133" s="8" t="s">
        <v>107</v>
      </c>
      <c r="AZ133" s="7" t="s">
        <v>107</v>
      </c>
      <c r="BA133" s="7" t="s">
        <v>107</v>
      </c>
      <c r="BB133" s="7" t="s">
        <v>107</v>
      </c>
      <c r="BC133" s="3"/>
      <c r="BD133" s="7" t="s">
        <v>107</v>
      </c>
      <c r="BE133" s="7" t="s">
        <v>107</v>
      </c>
      <c r="BF133" s="7" t="s">
        <v>107</v>
      </c>
      <c r="BG133" s="7" t="s">
        <v>107</v>
      </c>
      <c r="BH133" s="7" t="s">
        <v>107</v>
      </c>
      <c r="BI133" s="7" t="s">
        <v>107</v>
      </c>
      <c r="BJ133" s="7" t="s">
        <v>107</v>
      </c>
      <c r="BK133" s="3"/>
      <c r="BL133" s="7" t="s">
        <v>107</v>
      </c>
      <c r="BM133" s="7" t="s">
        <v>107</v>
      </c>
      <c r="BN133" s="7" t="s">
        <v>107</v>
      </c>
      <c r="BO133" s="8" t="s">
        <v>107</v>
      </c>
      <c r="BP133" s="7" t="s">
        <v>107</v>
      </c>
      <c r="BQ133" s="7" t="s">
        <v>107</v>
      </c>
      <c r="BR133" s="7" t="s">
        <v>107</v>
      </c>
      <c r="BS133" s="3"/>
      <c r="BT133" s="7" t="s">
        <v>107</v>
      </c>
      <c r="BU133" s="7" t="s">
        <v>107</v>
      </c>
      <c r="BV133" s="7" t="s">
        <v>107</v>
      </c>
      <c r="BW133" s="8" t="s">
        <v>107</v>
      </c>
      <c r="BX133" s="7" t="s">
        <v>107</v>
      </c>
      <c r="BY133" s="7" t="s">
        <v>107</v>
      </c>
      <c r="BZ133" s="7" t="s">
        <v>107</v>
      </c>
      <c r="CA133" s="3"/>
      <c r="CB133" s="7"/>
      <c r="CC133" s="7" t="s">
        <v>107</v>
      </c>
      <c r="CD133" s="7" t="s">
        <v>107</v>
      </c>
      <c r="CE133" s="8" t="s">
        <v>107</v>
      </c>
      <c r="CF133" s="7" t="s">
        <v>107</v>
      </c>
      <c r="CG133" s="7" t="s">
        <v>107</v>
      </c>
      <c r="CH133" s="7" t="s">
        <v>107</v>
      </c>
      <c r="CI133" s="3"/>
      <c r="CJ133" s="7"/>
      <c r="CK133" s="7" t="s">
        <v>107</v>
      </c>
      <c r="CL133" s="7" t="s">
        <v>107</v>
      </c>
      <c r="CM133" s="8" t="s">
        <v>107</v>
      </c>
      <c r="CN133" s="7" t="s">
        <v>107</v>
      </c>
      <c r="CO133" s="7" t="s">
        <v>107</v>
      </c>
      <c r="CP133" s="7" t="s">
        <v>107</v>
      </c>
      <c r="CQ133" s="3"/>
      <c r="CR133" s="7"/>
      <c r="CS133" s="7" t="s">
        <v>107</v>
      </c>
      <c r="CT133" s="7" t="s">
        <v>107</v>
      </c>
      <c r="CU133" s="7" t="s">
        <v>107</v>
      </c>
      <c r="CV133" s="7" t="s">
        <v>107</v>
      </c>
      <c r="CW133" s="7" t="s">
        <v>107</v>
      </c>
      <c r="CX133" s="7" t="s">
        <v>107</v>
      </c>
      <c r="CY133" s="3"/>
      <c r="CZ133" s="7"/>
      <c r="DA133" s="7" t="s">
        <v>107</v>
      </c>
      <c r="DB133" s="7" t="s">
        <v>107</v>
      </c>
      <c r="DC133" s="7" t="s">
        <v>107</v>
      </c>
      <c r="DD133" s="7" t="s">
        <v>107</v>
      </c>
      <c r="DE133" s="7" t="s">
        <v>107</v>
      </c>
      <c r="DF133" s="7" t="s">
        <v>107</v>
      </c>
      <c r="DG133" s="3"/>
      <c r="DH133" s="7"/>
      <c r="DI133" s="7" t="s">
        <v>107</v>
      </c>
      <c r="DJ133" s="7" t="s">
        <v>107</v>
      </c>
      <c r="DK133" s="5">
        <f>AM133+AU133</f>
        <v>22682.5</v>
      </c>
      <c r="DL133" s="15" t="s">
        <v>225</v>
      </c>
      <c r="DM133" s="51">
        <f>DL133*0.95</f>
        <v>21548.289499999999</v>
      </c>
    </row>
    <row r="134" spans="1:117" ht="17.25" customHeight="1" x14ac:dyDescent="0.25">
      <c r="A134" s="50" t="s">
        <v>3892</v>
      </c>
      <c r="B134" s="15" t="s">
        <v>1498</v>
      </c>
      <c r="C134" s="15" t="s">
        <v>1499</v>
      </c>
      <c r="D134" s="15" t="s">
        <v>1500</v>
      </c>
      <c r="E134" s="15" t="s">
        <v>1381</v>
      </c>
      <c r="F134" s="15" t="s">
        <v>1501</v>
      </c>
      <c r="G134" s="15" t="s">
        <v>1502</v>
      </c>
      <c r="H134" s="15" t="s">
        <v>1503</v>
      </c>
      <c r="I134" s="15" t="s">
        <v>1504</v>
      </c>
      <c r="J134" s="15" t="s">
        <v>4251</v>
      </c>
      <c r="K134" s="15" t="s">
        <v>151</v>
      </c>
      <c r="L134" s="15" t="s">
        <v>1501</v>
      </c>
      <c r="M134" s="15" t="s">
        <v>1505</v>
      </c>
      <c r="N134" s="15" t="s">
        <v>1506</v>
      </c>
      <c r="O134" s="15" t="s">
        <v>1507</v>
      </c>
      <c r="P134" s="15" t="s">
        <v>1508</v>
      </c>
      <c r="Q134" s="15" t="s">
        <v>1504</v>
      </c>
      <c r="R134" s="15" t="s">
        <v>151</v>
      </c>
      <c r="S134" s="15" t="s">
        <v>1501</v>
      </c>
      <c r="T134" s="15" t="s">
        <v>107</v>
      </c>
      <c r="U134" s="15" t="s">
        <v>1505</v>
      </c>
      <c r="V134" s="15" t="s">
        <v>109</v>
      </c>
      <c r="W134" s="15" t="s">
        <v>1509</v>
      </c>
      <c r="X134" s="16" t="s">
        <v>1510</v>
      </c>
      <c r="Y134" s="15" t="s">
        <v>184</v>
      </c>
      <c r="Z134" s="16" t="s">
        <v>1511</v>
      </c>
      <c r="AA134" s="17">
        <v>115</v>
      </c>
      <c r="AB134" s="17">
        <v>1</v>
      </c>
      <c r="AC134" s="17">
        <v>125</v>
      </c>
      <c r="AD134" s="17">
        <v>1</v>
      </c>
      <c r="AE134" s="17">
        <v>691</v>
      </c>
      <c r="AF134" s="15" t="s">
        <v>118</v>
      </c>
      <c r="AG134" s="15" t="s">
        <v>157</v>
      </c>
      <c r="AH134" s="15" t="s">
        <v>1512</v>
      </c>
      <c r="AI134" s="18">
        <v>61856</v>
      </c>
      <c r="AJ134" s="15">
        <v>0.25</v>
      </c>
      <c r="AK134" s="15" t="s">
        <v>1513</v>
      </c>
      <c r="AL134" s="15" t="s">
        <v>1514</v>
      </c>
      <c r="AM134" s="3">
        <f>(AI134*AJ134)/2</f>
        <v>7732</v>
      </c>
      <c r="AN134" s="7" t="s">
        <v>107</v>
      </c>
      <c r="AO134" s="7" t="s">
        <v>107</v>
      </c>
      <c r="AP134" s="7" t="s">
        <v>107</v>
      </c>
      <c r="AQ134" s="8" t="s">
        <v>107</v>
      </c>
      <c r="AR134" s="7" t="s">
        <v>107</v>
      </c>
      <c r="AS134" s="7" t="s">
        <v>107</v>
      </c>
      <c r="AT134" s="7" t="s">
        <v>107</v>
      </c>
      <c r="AU134" s="3"/>
      <c r="AV134" s="7" t="s">
        <v>107</v>
      </c>
      <c r="AW134" s="7" t="s">
        <v>107</v>
      </c>
      <c r="AX134" s="7" t="s">
        <v>107</v>
      </c>
      <c r="AY134" s="8" t="s">
        <v>107</v>
      </c>
      <c r="AZ134" s="7" t="s">
        <v>107</v>
      </c>
      <c r="BA134" s="7" t="s">
        <v>107</v>
      </c>
      <c r="BB134" s="7" t="s">
        <v>107</v>
      </c>
      <c r="BC134" s="3"/>
      <c r="BD134" s="7" t="s">
        <v>107</v>
      </c>
      <c r="BE134" s="7" t="s">
        <v>107</v>
      </c>
      <c r="BF134" s="7" t="s">
        <v>107</v>
      </c>
      <c r="BG134" s="7" t="s">
        <v>107</v>
      </c>
      <c r="BH134" s="7" t="s">
        <v>107</v>
      </c>
      <c r="BI134" s="7" t="s">
        <v>107</v>
      </c>
      <c r="BJ134" s="7" t="s">
        <v>107</v>
      </c>
      <c r="BK134" s="3"/>
      <c r="BL134" s="7" t="s">
        <v>107</v>
      </c>
      <c r="BM134" s="7" t="s">
        <v>107</v>
      </c>
      <c r="BN134" s="7" t="s">
        <v>107</v>
      </c>
      <c r="BO134" s="8" t="s">
        <v>107</v>
      </c>
      <c r="BP134" s="7" t="s">
        <v>107</v>
      </c>
      <c r="BQ134" s="7" t="s">
        <v>107</v>
      </c>
      <c r="BR134" s="7" t="s">
        <v>107</v>
      </c>
      <c r="BS134" s="3"/>
      <c r="BT134" s="7" t="s">
        <v>107</v>
      </c>
      <c r="BU134" s="7" t="s">
        <v>107</v>
      </c>
      <c r="BV134" s="7" t="s">
        <v>107</v>
      </c>
      <c r="BW134" s="8" t="s">
        <v>107</v>
      </c>
      <c r="BX134" s="7" t="s">
        <v>107</v>
      </c>
      <c r="BY134" s="7" t="s">
        <v>107</v>
      </c>
      <c r="BZ134" s="7" t="s">
        <v>107</v>
      </c>
      <c r="CA134" s="3"/>
      <c r="CB134" s="7"/>
      <c r="CC134" s="7" t="s">
        <v>107</v>
      </c>
      <c r="CD134" s="7" t="s">
        <v>107</v>
      </c>
      <c r="CE134" s="8" t="s">
        <v>107</v>
      </c>
      <c r="CF134" s="7" t="s">
        <v>107</v>
      </c>
      <c r="CG134" s="7" t="s">
        <v>107</v>
      </c>
      <c r="CH134" s="7" t="s">
        <v>107</v>
      </c>
      <c r="CI134" s="3"/>
      <c r="CJ134" s="7"/>
      <c r="CK134" s="7" t="s">
        <v>107</v>
      </c>
      <c r="CL134" s="7" t="s">
        <v>107</v>
      </c>
      <c r="CM134" s="8" t="s">
        <v>107</v>
      </c>
      <c r="CN134" s="7" t="s">
        <v>107</v>
      </c>
      <c r="CO134" s="7" t="s">
        <v>107</v>
      </c>
      <c r="CP134" s="7" t="s">
        <v>107</v>
      </c>
      <c r="CQ134" s="3"/>
      <c r="CR134" s="7"/>
      <c r="CS134" s="7" t="s">
        <v>107</v>
      </c>
      <c r="CT134" s="7" t="s">
        <v>107</v>
      </c>
      <c r="CU134" s="7" t="s">
        <v>107</v>
      </c>
      <c r="CV134" s="7" t="s">
        <v>107</v>
      </c>
      <c r="CW134" s="7" t="s">
        <v>107</v>
      </c>
      <c r="CX134" s="7" t="s">
        <v>107</v>
      </c>
      <c r="CY134" s="3"/>
      <c r="CZ134" s="7"/>
      <c r="DA134" s="7" t="s">
        <v>107</v>
      </c>
      <c r="DB134" s="7" t="s">
        <v>107</v>
      </c>
      <c r="DC134" s="7" t="s">
        <v>107</v>
      </c>
      <c r="DD134" s="7" t="s">
        <v>107</v>
      </c>
      <c r="DE134" s="7" t="s">
        <v>107</v>
      </c>
      <c r="DF134" s="7" t="s">
        <v>107</v>
      </c>
      <c r="DG134" s="3"/>
      <c r="DH134" s="7"/>
      <c r="DI134" s="7" t="s">
        <v>107</v>
      </c>
      <c r="DJ134" s="7" t="s">
        <v>107</v>
      </c>
      <c r="DK134" s="5">
        <f>AM134</f>
        <v>7732</v>
      </c>
      <c r="DL134" s="15" t="s">
        <v>1514</v>
      </c>
      <c r="DM134" s="51">
        <f>DL134*0.95</f>
        <v>7345.4</v>
      </c>
    </row>
    <row r="135" spans="1:117" ht="17.25" customHeight="1" x14ac:dyDescent="0.25">
      <c r="A135" s="50" t="s">
        <v>3893</v>
      </c>
      <c r="B135" s="15" t="s">
        <v>998</v>
      </c>
      <c r="C135" s="15" t="s">
        <v>999</v>
      </c>
      <c r="D135" s="15" t="s">
        <v>1000</v>
      </c>
      <c r="E135" s="15" t="s">
        <v>601</v>
      </c>
      <c r="F135" s="15" t="s">
        <v>1001</v>
      </c>
      <c r="G135" s="15" t="s">
        <v>1002</v>
      </c>
      <c r="H135" s="15" t="s">
        <v>1003</v>
      </c>
      <c r="I135" s="15" t="s">
        <v>1004</v>
      </c>
      <c r="J135" s="15" t="s">
        <v>4228</v>
      </c>
      <c r="K135" s="15" t="s">
        <v>151</v>
      </c>
      <c r="L135" s="15" t="s">
        <v>1001</v>
      </c>
      <c r="M135" s="15" t="s">
        <v>1005</v>
      </c>
      <c r="N135" s="15" t="s">
        <v>1006</v>
      </c>
      <c r="O135" s="15" t="s">
        <v>1007</v>
      </c>
      <c r="P135" s="15" t="s">
        <v>1008</v>
      </c>
      <c r="Q135" s="15" t="s">
        <v>1009</v>
      </c>
      <c r="R135" s="15" t="s">
        <v>761</v>
      </c>
      <c r="S135" s="15" t="s">
        <v>1010</v>
      </c>
      <c r="T135" s="15" t="s">
        <v>107</v>
      </c>
      <c r="U135" s="15" t="s">
        <v>1011</v>
      </c>
      <c r="V135" s="15" t="s">
        <v>109</v>
      </c>
      <c r="W135" s="15" t="s">
        <v>1012</v>
      </c>
      <c r="X135" s="16" t="s">
        <v>1013</v>
      </c>
      <c r="Y135" s="15" t="s">
        <v>112</v>
      </c>
      <c r="Z135" s="16" t="s">
        <v>1014</v>
      </c>
      <c r="AA135" s="17">
        <v>450</v>
      </c>
      <c r="AB135" s="17">
        <v>0</v>
      </c>
      <c r="AC135" s="17">
        <v>0</v>
      </c>
      <c r="AD135" s="17">
        <v>0</v>
      </c>
      <c r="AE135" s="17">
        <v>0</v>
      </c>
      <c r="AF135" s="15" t="s">
        <v>142</v>
      </c>
      <c r="AG135" s="15" t="s">
        <v>480</v>
      </c>
      <c r="AH135" s="15" t="s">
        <v>1009</v>
      </c>
      <c r="AI135" s="20">
        <v>72904</v>
      </c>
      <c r="AJ135" s="15">
        <v>0.25</v>
      </c>
      <c r="AK135" s="15" t="s">
        <v>1015</v>
      </c>
      <c r="AL135" s="15" t="s">
        <v>1016</v>
      </c>
      <c r="AM135" s="3">
        <f>(AI135*AJ135)/2</f>
        <v>9113</v>
      </c>
      <c r="AN135" s="7" t="s">
        <v>107</v>
      </c>
      <c r="AO135" s="7" t="s">
        <v>107</v>
      </c>
      <c r="AP135" s="7" t="s">
        <v>107</v>
      </c>
      <c r="AQ135" s="8" t="s">
        <v>107</v>
      </c>
      <c r="AR135" s="7" t="s">
        <v>107</v>
      </c>
      <c r="AS135" s="7" t="s">
        <v>107</v>
      </c>
      <c r="AT135" s="7" t="s">
        <v>107</v>
      </c>
      <c r="AU135" s="3"/>
      <c r="AV135" s="7" t="s">
        <v>107</v>
      </c>
      <c r="AW135" s="7" t="s">
        <v>107</v>
      </c>
      <c r="AX135" s="7" t="s">
        <v>107</v>
      </c>
      <c r="AY135" s="8" t="s">
        <v>107</v>
      </c>
      <c r="AZ135" s="7" t="s">
        <v>107</v>
      </c>
      <c r="BA135" s="7" t="s">
        <v>107</v>
      </c>
      <c r="BB135" s="7" t="s">
        <v>107</v>
      </c>
      <c r="BC135" s="3"/>
      <c r="BD135" s="7" t="s">
        <v>107</v>
      </c>
      <c r="BE135" s="7" t="s">
        <v>107</v>
      </c>
      <c r="BF135" s="7" t="s">
        <v>107</v>
      </c>
      <c r="BG135" s="7" t="s">
        <v>107</v>
      </c>
      <c r="BH135" s="7" t="s">
        <v>107</v>
      </c>
      <c r="BI135" s="7" t="s">
        <v>107</v>
      </c>
      <c r="BJ135" s="7" t="s">
        <v>107</v>
      </c>
      <c r="BK135" s="3"/>
      <c r="BL135" s="7" t="s">
        <v>107</v>
      </c>
      <c r="BM135" s="7" t="s">
        <v>107</v>
      </c>
      <c r="BN135" s="7" t="s">
        <v>107</v>
      </c>
      <c r="BO135" s="8" t="s">
        <v>107</v>
      </c>
      <c r="BP135" s="7" t="s">
        <v>107</v>
      </c>
      <c r="BQ135" s="7" t="s">
        <v>107</v>
      </c>
      <c r="BR135" s="7" t="s">
        <v>107</v>
      </c>
      <c r="BS135" s="3"/>
      <c r="BT135" s="7" t="s">
        <v>107</v>
      </c>
      <c r="BU135" s="7" t="s">
        <v>107</v>
      </c>
      <c r="BV135" s="7" t="s">
        <v>107</v>
      </c>
      <c r="BW135" s="8" t="s">
        <v>107</v>
      </c>
      <c r="BX135" s="7" t="s">
        <v>107</v>
      </c>
      <c r="BY135" s="7" t="s">
        <v>107</v>
      </c>
      <c r="BZ135" s="7" t="s">
        <v>107</v>
      </c>
      <c r="CA135" s="3"/>
      <c r="CB135" s="7"/>
      <c r="CC135" s="7" t="s">
        <v>107</v>
      </c>
      <c r="CD135" s="7" t="s">
        <v>107</v>
      </c>
      <c r="CE135" s="8" t="s">
        <v>107</v>
      </c>
      <c r="CF135" s="7" t="s">
        <v>107</v>
      </c>
      <c r="CG135" s="7" t="s">
        <v>107</v>
      </c>
      <c r="CH135" s="7" t="s">
        <v>107</v>
      </c>
      <c r="CI135" s="3"/>
      <c r="CJ135" s="7"/>
      <c r="CK135" s="7" t="s">
        <v>107</v>
      </c>
      <c r="CL135" s="7" t="s">
        <v>107</v>
      </c>
      <c r="CM135" s="8" t="s">
        <v>107</v>
      </c>
      <c r="CN135" s="7" t="s">
        <v>107</v>
      </c>
      <c r="CO135" s="7" t="s">
        <v>107</v>
      </c>
      <c r="CP135" s="7" t="s">
        <v>107</v>
      </c>
      <c r="CQ135" s="3"/>
      <c r="CR135" s="7"/>
      <c r="CS135" s="7" t="s">
        <v>107</v>
      </c>
      <c r="CT135" s="7" t="s">
        <v>107</v>
      </c>
      <c r="CU135" s="7" t="s">
        <v>107</v>
      </c>
      <c r="CV135" s="7" t="s">
        <v>107</v>
      </c>
      <c r="CW135" s="7" t="s">
        <v>107</v>
      </c>
      <c r="CX135" s="7" t="s">
        <v>107</v>
      </c>
      <c r="CY135" s="3"/>
      <c r="CZ135" s="7"/>
      <c r="DA135" s="7" t="s">
        <v>107</v>
      </c>
      <c r="DB135" s="7" t="s">
        <v>107</v>
      </c>
      <c r="DC135" s="7" t="s">
        <v>107</v>
      </c>
      <c r="DD135" s="7" t="s">
        <v>107</v>
      </c>
      <c r="DE135" s="7" t="s">
        <v>107</v>
      </c>
      <c r="DF135" s="7" t="s">
        <v>107</v>
      </c>
      <c r="DG135" s="3"/>
      <c r="DH135" s="7"/>
      <c r="DI135" s="7" t="s">
        <v>107</v>
      </c>
      <c r="DJ135" s="7" t="s">
        <v>107</v>
      </c>
      <c r="DK135" s="5">
        <f>AM135</f>
        <v>9113</v>
      </c>
      <c r="DL135" s="15" t="s">
        <v>1016</v>
      </c>
      <c r="DM135" s="51">
        <f>DL135*0.95</f>
        <v>8657.35</v>
      </c>
    </row>
    <row r="136" spans="1:117" ht="17.25" customHeight="1" x14ac:dyDescent="0.25">
      <c r="A136" s="50" t="s">
        <v>1034</v>
      </c>
      <c r="B136" s="15" t="s">
        <v>3949</v>
      </c>
      <c r="C136" s="15" t="s">
        <v>1035</v>
      </c>
      <c r="D136" s="15" t="s">
        <v>1036</v>
      </c>
      <c r="E136" s="15" t="s">
        <v>1037</v>
      </c>
      <c r="F136" s="15" t="s">
        <v>1038</v>
      </c>
      <c r="G136" s="15" t="s">
        <v>1039</v>
      </c>
      <c r="H136" s="15" t="s">
        <v>1040</v>
      </c>
      <c r="I136" s="15" t="s">
        <v>1041</v>
      </c>
      <c r="J136" s="15" t="s">
        <v>4230</v>
      </c>
      <c r="K136" s="15" t="s">
        <v>151</v>
      </c>
      <c r="L136" s="15" t="s">
        <v>1038</v>
      </c>
      <c r="M136" s="15" t="s">
        <v>1042</v>
      </c>
      <c r="N136" s="15" t="s">
        <v>1043</v>
      </c>
      <c r="O136" s="15" t="s">
        <v>1044</v>
      </c>
      <c r="P136" s="15" t="s">
        <v>1045</v>
      </c>
      <c r="Q136" s="15" t="s">
        <v>1046</v>
      </c>
      <c r="R136" s="15" t="s">
        <v>157</v>
      </c>
      <c r="S136" s="15" t="s">
        <v>1038</v>
      </c>
      <c r="T136" s="15" t="s">
        <v>107</v>
      </c>
      <c r="U136" s="15" t="s">
        <v>1047</v>
      </c>
      <c r="V136" s="15" t="s">
        <v>109</v>
      </c>
      <c r="W136" s="15" t="s">
        <v>1048</v>
      </c>
      <c r="X136" s="16" t="s">
        <v>1049</v>
      </c>
      <c r="Y136" s="15" t="s">
        <v>114</v>
      </c>
      <c r="Z136" s="16" t="s">
        <v>1050</v>
      </c>
      <c r="AA136" s="17">
        <v>86</v>
      </c>
      <c r="AB136" s="17">
        <v>0</v>
      </c>
      <c r="AC136" s="17">
        <v>0</v>
      </c>
      <c r="AD136" s="17">
        <v>0</v>
      </c>
      <c r="AE136" s="17">
        <v>0</v>
      </c>
      <c r="AF136" s="15" t="s">
        <v>142</v>
      </c>
      <c r="AG136" s="15" t="s">
        <v>157</v>
      </c>
      <c r="AH136" s="15" t="s">
        <v>1051</v>
      </c>
      <c r="AI136" s="21">
        <v>47590</v>
      </c>
      <c r="AJ136" s="15">
        <v>4.1799999999999997E-2</v>
      </c>
      <c r="AK136" s="15" t="s">
        <v>1052</v>
      </c>
      <c r="AL136" s="15" t="s">
        <v>1053</v>
      </c>
      <c r="AM136" s="3">
        <f>(AI136*AJ136)/2</f>
        <v>994.63099999999997</v>
      </c>
      <c r="AN136" s="7" t="s">
        <v>107</v>
      </c>
      <c r="AO136" s="7" t="s">
        <v>107</v>
      </c>
      <c r="AP136" s="7" t="s">
        <v>107</v>
      </c>
      <c r="AQ136" s="8" t="s">
        <v>107</v>
      </c>
      <c r="AR136" s="7" t="s">
        <v>107</v>
      </c>
      <c r="AS136" s="7" t="s">
        <v>107</v>
      </c>
      <c r="AT136" s="7" t="s">
        <v>107</v>
      </c>
      <c r="AU136" s="3"/>
      <c r="AV136" s="7" t="s">
        <v>107</v>
      </c>
      <c r="AW136" s="7" t="s">
        <v>107</v>
      </c>
      <c r="AX136" s="7" t="s">
        <v>107</v>
      </c>
      <c r="AY136" s="8" t="s">
        <v>107</v>
      </c>
      <c r="AZ136" s="7" t="s">
        <v>107</v>
      </c>
      <c r="BA136" s="7" t="s">
        <v>107</v>
      </c>
      <c r="BB136" s="7" t="s">
        <v>107</v>
      </c>
      <c r="BC136" s="3"/>
      <c r="BD136" s="7" t="s">
        <v>107</v>
      </c>
      <c r="BE136" s="7" t="s">
        <v>107</v>
      </c>
      <c r="BF136" s="7" t="s">
        <v>107</v>
      </c>
      <c r="BG136" s="7" t="s">
        <v>107</v>
      </c>
      <c r="BH136" s="7" t="s">
        <v>107</v>
      </c>
      <c r="BI136" s="7" t="s">
        <v>107</v>
      </c>
      <c r="BJ136" s="7" t="s">
        <v>107</v>
      </c>
      <c r="BK136" s="3"/>
      <c r="BL136" s="7" t="s">
        <v>107</v>
      </c>
      <c r="BM136" s="7" t="s">
        <v>107</v>
      </c>
      <c r="BN136" s="7" t="s">
        <v>107</v>
      </c>
      <c r="BO136" s="8" t="s">
        <v>107</v>
      </c>
      <c r="BP136" s="7" t="s">
        <v>107</v>
      </c>
      <c r="BQ136" s="7" t="s">
        <v>107</v>
      </c>
      <c r="BR136" s="7" t="s">
        <v>107</v>
      </c>
      <c r="BS136" s="3"/>
      <c r="BT136" s="7" t="s">
        <v>107</v>
      </c>
      <c r="BU136" s="7" t="s">
        <v>107</v>
      </c>
      <c r="BV136" s="7" t="s">
        <v>107</v>
      </c>
      <c r="BW136" s="8" t="s">
        <v>107</v>
      </c>
      <c r="BX136" s="7" t="s">
        <v>107</v>
      </c>
      <c r="BY136" s="7" t="s">
        <v>107</v>
      </c>
      <c r="BZ136" s="7" t="s">
        <v>107</v>
      </c>
      <c r="CA136" s="3"/>
      <c r="CB136" s="7"/>
      <c r="CC136" s="7" t="s">
        <v>107</v>
      </c>
      <c r="CD136" s="7" t="s">
        <v>107</v>
      </c>
      <c r="CE136" s="8" t="s">
        <v>107</v>
      </c>
      <c r="CF136" s="7" t="s">
        <v>107</v>
      </c>
      <c r="CG136" s="7" t="s">
        <v>107</v>
      </c>
      <c r="CH136" s="7" t="s">
        <v>107</v>
      </c>
      <c r="CI136" s="3"/>
      <c r="CJ136" s="7"/>
      <c r="CK136" s="7" t="s">
        <v>107</v>
      </c>
      <c r="CL136" s="7" t="s">
        <v>107</v>
      </c>
      <c r="CM136" s="8" t="s">
        <v>107</v>
      </c>
      <c r="CN136" s="7" t="s">
        <v>107</v>
      </c>
      <c r="CO136" s="7" t="s">
        <v>107</v>
      </c>
      <c r="CP136" s="7" t="s">
        <v>107</v>
      </c>
      <c r="CQ136" s="3"/>
      <c r="CR136" s="7"/>
      <c r="CS136" s="7" t="s">
        <v>107</v>
      </c>
      <c r="CT136" s="7" t="s">
        <v>107</v>
      </c>
      <c r="CU136" s="7" t="s">
        <v>107</v>
      </c>
      <c r="CV136" s="7" t="s">
        <v>107</v>
      </c>
      <c r="CW136" s="7" t="s">
        <v>107</v>
      </c>
      <c r="CX136" s="7" t="s">
        <v>107</v>
      </c>
      <c r="CY136" s="3"/>
      <c r="CZ136" s="7"/>
      <c r="DA136" s="7" t="s">
        <v>107</v>
      </c>
      <c r="DB136" s="7" t="s">
        <v>107</v>
      </c>
      <c r="DC136" s="7" t="s">
        <v>107</v>
      </c>
      <c r="DD136" s="7" t="s">
        <v>107</v>
      </c>
      <c r="DE136" s="7" t="s">
        <v>107</v>
      </c>
      <c r="DF136" s="7" t="s">
        <v>107</v>
      </c>
      <c r="DG136" s="3"/>
      <c r="DH136" s="7"/>
      <c r="DI136" s="7" t="s">
        <v>107</v>
      </c>
      <c r="DJ136" s="7" t="s">
        <v>107</v>
      </c>
      <c r="DK136" s="5">
        <f>AM136</f>
        <v>994.63099999999997</v>
      </c>
      <c r="DL136" s="15" t="s">
        <v>1053</v>
      </c>
      <c r="DM136" s="51">
        <f>DL136*0.95</f>
        <v>944.8984999999999</v>
      </c>
    </row>
    <row r="137" spans="1:117" ht="17.25" customHeight="1" x14ac:dyDescent="0.25">
      <c r="A137" s="50" t="s">
        <v>1478</v>
      </c>
      <c r="B137" s="15" t="s">
        <v>3950</v>
      </c>
      <c r="C137" s="15" t="s">
        <v>1479</v>
      </c>
      <c r="D137" s="15" t="s">
        <v>1480</v>
      </c>
      <c r="E137" s="15" t="s">
        <v>351</v>
      </c>
      <c r="F137" s="15" t="s">
        <v>1481</v>
      </c>
      <c r="G137" s="15" t="s">
        <v>1482</v>
      </c>
      <c r="H137" s="15" t="s">
        <v>1483</v>
      </c>
      <c r="I137" s="15" t="s">
        <v>1484</v>
      </c>
      <c r="J137" s="15" t="s">
        <v>4250</v>
      </c>
      <c r="K137" s="15" t="s">
        <v>151</v>
      </c>
      <c r="L137" s="15" t="s">
        <v>1485</v>
      </c>
      <c r="M137" s="15" t="s">
        <v>1486</v>
      </c>
      <c r="N137" s="15" t="s">
        <v>1487</v>
      </c>
      <c r="O137" s="15" t="s">
        <v>1488</v>
      </c>
      <c r="P137" s="15" t="s">
        <v>1489</v>
      </c>
      <c r="Q137" s="15" t="s">
        <v>1490</v>
      </c>
      <c r="R137" s="15" t="s">
        <v>368</v>
      </c>
      <c r="S137" s="15" t="s">
        <v>1481</v>
      </c>
      <c r="T137" s="15" t="s">
        <v>107</v>
      </c>
      <c r="U137" s="15" t="s">
        <v>1491</v>
      </c>
      <c r="V137" s="15" t="s">
        <v>109</v>
      </c>
      <c r="W137" s="15" t="s">
        <v>1492</v>
      </c>
      <c r="X137" s="16" t="s">
        <v>1493</v>
      </c>
      <c r="Y137" s="15" t="s">
        <v>184</v>
      </c>
      <c r="Z137" s="16" t="s">
        <v>1494</v>
      </c>
      <c r="AA137" s="17">
        <v>1162</v>
      </c>
      <c r="AB137" s="17">
        <v>1</v>
      </c>
      <c r="AC137" s="17">
        <v>609</v>
      </c>
      <c r="AD137" s="17">
        <v>1</v>
      </c>
      <c r="AE137" s="17">
        <v>863</v>
      </c>
      <c r="AF137" s="15" t="s">
        <v>142</v>
      </c>
      <c r="AG137" s="15" t="s">
        <v>480</v>
      </c>
      <c r="AH137" s="15" t="s">
        <v>1490</v>
      </c>
      <c r="AI137" s="18">
        <v>68777.38</v>
      </c>
      <c r="AJ137" s="15">
        <v>1</v>
      </c>
      <c r="AK137" s="15" t="s">
        <v>1495</v>
      </c>
      <c r="AL137" s="15" t="s">
        <v>1496</v>
      </c>
      <c r="AM137" s="3">
        <f>(AI137*AJ137)/2</f>
        <v>34388.69</v>
      </c>
      <c r="AN137" s="7" t="s">
        <v>196</v>
      </c>
      <c r="AO137" s="7" t="s">
        <v>480</v>
      </c>
      <c r="AP137" s="7" t="s">
        <v>1497</v>
      </c>
      <c r="AQ137" s="8">
        <v>68777.38</v>
      </c>
      <c r="AR137" s="7">
        <v>1</v>
      </c>
      <c r="AS137" s="7" t="s">
        <v>1495</v>
      </c>
      <c r="AT137" s="7" t="s">
        <v>1496</v>
      </c>
      <c r="AU137" s="3">
        <f>(AQ137*AR137)/2</f>
        <v>34388.69</v>
      </c>
      <c r="AV137" s="7" t="s">
        <v>107</v>
      </c>
      <c r="AW137" s="7" t="s">
        <v>107</v>
      </c>
      <c r="AX137" s="7" t="s">
        <v>107</v>
      </c>
      <c r="AY137" s="8" t="s">
        <v>107</v>
      </c>
      <c r="AZ137" s="7" t="s">
        <v>107</v>
      </c>
      <c r="BA137" s="7" t="s">
        <v>107</v>
      </c>
      <c r="BB137" s="7" t="s">
        <v>107</v>
      </c>
      <c r="BC137" s="3"/>
      <c r="BD137" s="7" t="s">
        <v>107</v>
      </c>
      <c r="BE137" s="7" t="s">
        <v>107</v>
      </c>
      <c r="BF137" s="7" t="s">
        <v>107</v>
      </c>
      <c r="BG137" s="7" t="s">
        <v>107</v>
      </c>
      <c r="BH137" s="7" t="s">
        <v>107</v>
      </c>
      <c r="BI137" s="7" t="s">
        <v>107</v>
      </c>
      <c r="BJ137" s="7" t="s">
        <v>107</v>
      </c>
      <c r="BK137" s="3"/>
      <c r="BL137" s="7" t="s">
        <v>107</v>
      </c>
      <c r="BM137" s="7" t="s">
        <v>107</v>
      </c>
      <c r="BN137" s="7" t="s">
        <v>107</v>
      </c>
      <c r="BO137" s="8" t="s">
        <v>107</v>
      </c>
      <c r="BP137" s="7" t="s">
        <v>107</v>
      </c>
      <c r="BQ137" s="7" t="s">
        <v>107</v>
      </c>
      <c r="BR137" s="7" t="s">
        <v>107</v>
      </c>
      <c r="BS137" s="3"/>
      <c r="BT137" s="7" t="s">
        <v>107</v>
      </c>
      <c r="BU137" s="7" t="s">
        <v>107</v>
      </c>
      <c r="BV137" s="7" t="s">
        <v>107</v>
      </c>
      <c r="BW137" s="8" t="s">
        <v>107</v>
      </c>
      <c r="BX137" s="7" t="s">
        <v>107</v>
      </c>
      <c r="BY137" s="7" t="s">
        <v>107</v>
      </c>
      <c r="BZ137" s="7" t="s">
        <v>107</v>
      </c>
      <c r="CA137" s="3"/>
      <c r="CB137" s="7"/>
      <c r="CC137" s="7" t="s">
        <v>107</v>
      </c>
      <c r="CD137" s="7" t="s">
        <v>107</v>
      </c>
      <c r="CE137" s="8" t="s">
        <v>107</v>
      </c>
      <c r="CF137" s="7" t="s">
        <v>107</v>
      </c>
      <c r="CG137" s="7" t="s">
        <v>107</v>
      </c>
      <c r="CH137" s="7" t="s">
        <v>107</v>
      </c>
      <c r="CI137" s="3"/>
      <c r="CJ137" s="7"/>
      <c r="CK137" s="7" t="s">
        <v>107</v>
      </c>
      <c r="CL137" s="7" t="s">
        <v>107</v>
      </c>
      <c r="CM137" s="8" t="s">
        <v>107</v>
      </c>
      <c r="CN137" s="7" t="s">
        <v>107</v>
      </c>
      <c r="CO137" s="7" t="s">
        <v>107</v>
      </c>
      <c r="CP137" s="7" t="s">
        <v>107</v>
      </c>
      <c r="CQ137" s="3"/>
      <c r="CR137" s="7"/>
      <c r="CS137" s="7" t="s">
        <v>107</v>
      </c>
      <c r="CT137" s="7" t="s">
        <v>107</v>
      </c>
      <c r="CU137" s="7" t="s">
        <v>107</v>
      </c>
      <c r="CV137" s="7" t="s">
        <v>107</v>
      </c>
      <c r="CW137" s="7" t="s">
        <v>107</v>
      </c>
      <c r="CX137" s="7" t="s">
        <v>107</v>
      </c>
      <c r="CY137" s="3"/>
      <c r="CZ137" s="7"/>
      <c r="DA137" s="7" t="s">
        <v>107</v>
      </c>
      <c r="DB137" s="7" t="s">
        <v>107</v>
      </c>
      <c r="DC137" s="7" t="s">
        <v>107</v>
      </c>
      <c r="DD137" s="7" t="s">
        <v>107</v>
      </c>
      <c r="DE137" s="7" t="s">
        <v>107</v>
      </c>
      <c r="DF137" s="7" t="s">
        <v>107</v>
      </c>
      <c r="DG137" s="3"/>
      <c r="DH137" s="7"/>
      <c r="DI137" s="7" t="s">
        <v>107</v>
      </c>
      <c r="DJ137" s="7" t="s">
        <v>107</v>
      </c>
      <c r="DK137" s="5">
        <f>AM137+AU137</f>
        <v>68777.38</v>
      </c>
      <c r="DL137" s="15" t="s">
        <v>1495</v>
      </c>
      <c r="DM137" s="51">
        <f>DL137*0.95</f>
        <v>65338.510999999999</v>
      </c>
    </row>
    <row r="138" spans="1:117" ht="17.25" customHeight="1" x14ac:dyDescent="0.25">
      <c r="A138" s="50" t="s">
        <v>2792</v>
      </c>
      <c r="B138" s="15" t="s">
        <v>2793</v>
      </c>
      <c r="C138" s="15" t="s">
        <v>2527</v>
      </c>
      <c r="D138" s="15" t="s">
        <v>2528</v>
      </c>
      <c r="E138" s="15" t="s">
        <v>2529</v>
      </c>
      <c r="F138" s="15" t="s">
        <v>2794</v>
      </c>
      <c r="G138" s="15" t="s">
        <v>2531</v>
      </c>
      <c r="H138" s="15" t="s">
        <v>2795</v>
      </c>
      <c r="I138" s="15" t="s">
        <v>4010</v>
      </c>
      <c r="J138" s="15" t="s">
        <v>4311</v>
      </c>
      <c r="K138" s="15" t="s">
        <v>101</v>
      </c>
      <c r="L138" s="15" t="s">
        <v>2794</v>
      </c>
      <c r="M138" s="15" t="s">
        <v>107</v>
      </c>
      <c r="N138" s="15" t="s">
        <v>2796</v>
      </c>
      <c r="O138" s="15" t="s">
        <v>2797</v>
      </c>
      <c r="P138" s="15" t="s">
        <v>2798</v>
      </c>
      <c r="Q138" s="15" t="s">
        <v>2803</v>
      </c>
      <c r="R138" s="15" t="s">
        <v>115</v>
      </c>
      <c r="S138" s="15" t="s">
        <v>2794</v>
      </c>
      <c r="T138" s="15" t="s">
        <v>107</v>
      </c>
      <c r="U138" s="15" t="s">
        <v>2799</v>
      </c>
      <c r="V138" s="15" t="s">
        <v>109</v>
      </c>
      <c r="W138" s="15" t="s">
        <v>2800</v>
      </c>
      <c r="X138" s="16" t="s">
        <v>2801</v>
      </c>
      <c r="Y138" s="15" t="s">
        <v>1126</v>
      </c>
      <c r="Z138" s="16" t="s">
        <v>2802</v>
      </c>
      <c r="AA138" s="17">
        <v>825</v>
      </c>
      <c r="AB138" s="17">
        <v>2</v>
      </c>
      <c r="AC138" s="17">
        <v>225</v>
      </c>
      <c r="AD138" s="17">
        <v>4</v>
      </c>
      <c r="AE138" s="17">
        <v>525</v>
      </c>
      <c r="AF138" s="15" t="s">
        <v>118</v>
      </c>
      <c r="AG138" s="15" t="s">
        <v>115</v>
      </c>
      <c r="AH138" s="15" t="s">
        <v>2803</v>
      </c>
      <c r="AI138" s="20">
        <v>28104.959999999999</v>
      </c>
      <c r="AJ138" s="15">
        <v>1</v>
      </c>
      <c r="AK138" s="15" t="s">
        <v>2804</v>
      </c>
      <c r="AL138" s="15" t="s">
        <v>2805</v>
      </c>
      <c r="AM138" s="3">
        <f>(AI138*AJ138)/2</f>
        <v>14052.48</v>
      </c>
      <c r="AN138" s="7" t="s">
        <v>107</v>
      </c>
      <c r="AO138" s="7" t="s">
        <v>107</v>
      </c>
      <c r="AP138" s="7" t="s">
        <v>107</v>
      </c>
      <c r="AQ138" s="8" t="s">
        <v>107</v>
      </c>
      <c r="AR138" s="7" t="s">
        <v>107</v>
      </c>
      <c r="AS138" s="7" t="s">
        <v>107</v>
      </c>
      <c r="AT138" s="7" t="s">
        <v>107</v>
      </c>
      <c r="AU138" s="3"/>
      <c r="AV138" s="7" t="s">
        <v>107</v>
      </c>
      <c r="AW138" s="7" t="s">
        <v>107</v>
      </c>
      <c r="AX138" s="7" t="s">
        <v>107</v>
      </c>
      <c r="AY138" s="8" t="s">
        <v>107</v>
      </c>
      <c r="AZ138" s="7" t="s">
        <v>107</v>
      </c>
      <c r="BA138" s="7" t="s">
        <v>107</v>
      </c>
      <c r="BB138" s="7" t="s">
        <v>107</v>
      </c>
      <c r="BC138" s="3"/>
      <c r="BD138" s="7" t="s">
        <v>107</v>
      </c>
      <c r="BE138" s="7" t="s">
        <v>107</v>
      </c>
      <c r="BF138" s="7" t="s">
        <v>107</v>
      </c>
      <c r="BG138" s="7" t="s">
        <v>107</v>
      </c>
      <c r="BH138" s="7" t="s">
        <v>107</v>
      </c>
      <c r="BI138" s="7" t="s">
        <v>107</v>
      </c>
      <c r="BJ138" s="7" t="s">
        <v>107</v>
      </c>
      <c r="BK138" s="3"/>
      <c r="BL138" s="7" t="s">
        <v>107</v>
      </c>
      <c r="BM138" s="7" t="s">
        <v>107</v>
      </c>
      <c r="BN138" s="7" t="s">
        <v>107</v>
      </c>
      <c r="BO138" s="8" t="s">
        <v>107</v>
      </c>
      <c r="BP138" s="7" t="s">
        <v>107</v>
      </c>
      <c r="BQ138" s="7" t="s">
        <v>107</v>
      </c>
      <c r="BR138" s="7" t="s">
        <v>107</v>
      </c>
      <c r="BS138" s="3"/>
      <c r="BT138" s="7" t="s">
        <v>107</v>
      </c>
      <c r="BU138" s="7" t="s">
        <v>107</v>
      </c>
      <c r="BV138" s="7" t="s">
        <v>107</v>
      </c>
      <c r="BW138" s="8" t="s">
        <v>107</v>
      </c>
      <c r="BX138" s="7" t="s">
        <v>107</v>
      </c>
      <c r="BY138" s="7" t="s">
        <v>107</v>
      </c>
      <c r="BZ138" s="7" t="s">
        <v>107</v>
      </c>
      <c r="CA138" s="3"/>
      <c r="CB138" s="7"/>
      <c r="CC138" s="7" t="s">
        <v>107</v>
      </c>
      <c r="CD138" s="7" t="s">
        <v>107</v>
      </c>
      <c r="CE138" s="8" t="s">
        <v>107</v>
      </c>
      <c r="CF138" s="7" t="s">
        <v>107</v>
      </c>
      <c r="CG138" s="7" t="s">
        <v>107</v>
      </c>
      <c r="CH138" s="7" t="s">
        <v>107</v>
      </c>
      <c r="CI138" s="3"/>
      <c r="CJ138" s="7"/>
      <c r="CK138" s="7" t="s">
        <v>107</v>
      </c>
      <c r="CL138" s="7" t="s">
        <v>107</v>
      </c>
      <c r="CM138" s="8" t="s">
        <v>107</v>
      </c>
      <c r="CN138" s="7" t="s">
        <v>107</v>
      </c>
      <c r="CO138" s="7" t="s">
        <v>107</v>
      </c>
      <c r="CP138" s="7" t="s">
        <v>107</v>
      </c>
      <c r="CQ138" s="3"/>
      <c r="CR138" s="7"/>
      <c r="CS138" s="7" t="s">
        <v>107</v>
      </c>
      <c r="CT138" s="7" t="s">
        <v>107</v>
      </c>
      <c r="CU138" s="7" t="s">
        <v>107</v>
      </c>
      <c r="CV138" s="7" t="s">
        <v>107</v>
      </c>
      <c r="CW138" s="7" t="s">
        <v>107</v>
      </c>
      <c r="CX138" s="7" t="s">
        <v>107</v>
      </c>
      <c r="CY138" s="3"/>
      <c r="CZ138" s="7"/>
      <c r="DA138" s="7" t="s">
        <v>107</v>
      </c>
      <c r="DB138" s="7" t="s">
        <v>107</v>
      </c>
      <c r="DC138" s="7" t="s">
        <v>107</v>
      </c>
      <c r="DD138" s="7" t="s">
        <v>107</v>
      </c>
      <c r="DE138" s="7" t="s">
        <v>107</v>
      </c>
      <c r="DF138" s="7" t="s">
        <v>107</v>
      </c>
      <c r="DG138" s="3"/>
      <c r="DH138" s="7"/>
      <c r="DI138" s="7" t="s">
        <v>107</v>
      </c>
      <c r="DJ138" s="7" t="s">
        <v>107</v>
      </c>
      <c r="DK138" s="5">
        <f>AM138</f>
        <v>14052.48</v>
      </c>
      <c r="DL138" s="15" t="s">
        <v>2805</v>
      </c>
      <c r="DM138" s="51">
        <f>DL138*0.95</f>
        <v>13349.856</v>
      </c>
    </row>
    <row r="139" spans="1:117" ht="17.25" customHeight="1" x14ac:dyDescent="0.25">
      <c r="A139" s="50" t="s">
        <v>2772</v>
      </c>
      <c r="B139" s="15" t="s">
        <v>2773</v>
      </c>
      <c r="C139" s="15" t="s">
        <v>2774</v>
      </c>
      <c r="D139" s="15" t="s">
        <v>2775</v>
      </c>
      <c r="E139" s="15" t="s">
        <v>1381</v>
      </c>
      <c r="F139" s="15" t="s">
        <v>2776</v>
      </c>
      <c r="G139" s="15" t="s">
        <v>2777</v>
      </c>
      <c r="H139" s="15" t="s">
        <v>2778</v>
      </c>
      <c r="I139" s="15" t="s">
        <v>2779</v>
      </c>
      <c r="J139" s="15" t="s">
        <v>4310</v>
      </c>
      <c r="K139" s="15" t="s">
        <v>151</v>
      </c>
      <c r="L139" s="15" t="s">
        <v>2776</v>
      </c>
      <c r="M139" s="15" t="s">
        <v>2780</v>
      </c>
      <c r="N139" s="15" t="s">
        <v>2781</v>
      </c>
      <c r="O139" s="15" t="s">
        <v>2782</v>
      </c>
      <c r="P139" s="15" t="s">
        <v>2783</v>
      </c>
      <c r="Q139" s="15" t="s">
        <v>2784</v>
      </c>
      <c r="R139" s="15" t="s">
        <v>1740</v>
      </c>
      <c r="S139" s="15" t="s">
        <v>2776</v>
      </c>
      <c r="T139" s="15" t="s">
        <v>107</v>
      </c>
      <c r="U139" s="15" t="s">
        <v>2785</v>
      </c>
      <c r="V139" s="15" t="s">
        <v>109</v>
      </c>
      <c r="W139" s="15" t="s">
        <v>2786</v>
      </c>
      <c r="X139" s="16" t="s">
        <v>2787</v>
      </c>
      <c r="Y139" s="15" t="s">
        <v>184</v>
      </c>
      <c r="Z139" s="16" t="s">
        <v>2788</v>
      </c>
      <c r="AA139" s="17">
        <v>300</v>
      </c>
      <c r="AB139" s="17">
        <v>0</v>
      </c>
      <c r="AC139" s="17">
        <v>0</v>
      </c>
      <c r="AD139" s="17">
        <v>0</v>
      </c>
      <c r="AE139" s="17">
        <v>0</v>
      </c>
      <c r="AF139" s="15" t="s">
        <v>142</v>
      </c>
      <c r="AG139" s="15" t="s">
        <v>480</v>
      </c>
      <c r="AH139" s="15" t="s">
        <v>2789</v>
      </c>
      <c r="AI139" s="18">
        <v>68952</v>
      </c>
      <c r="AJ139" s="15">
        <v>0.04</v>
      </c>
      <c r="AK139" s="15" t="s">
        <v>2790</v>
      </c>
      <c r="AL139" s="15" t="s">
        <v>2791</v>
      </c>
      <c r="AM139" s="3">
        <f>(AI139*AJ139)/2</f>
        <v>1379.04</v>
      </c>
      <c r="AN139" s="7" t="s">
        <v>107</v>
      </c>
      <c r="AO139" s="7" t="s">
        <v>107</v>
      </c>
      <c r="AP139" s="7" t="s">
        <v>107</v>
      </c>
      <c r="AQ139" s="8" t="s">
        <v>107</v>
      </c>
      <c r="AR139" s="7" t="s">
        <v>107</v>
      </c>
      <c r="AS139" s="7" t="s">
        <v>107</v>
      </c>
      <c r="AT139" s="7" t="s">
        <v>107</v>
      </c>
      <c r="AU139" s="3"/>
      <c r="AV139" s="7" t="s">
        <v>107</v>
      </c>
      <c r="AW139" s="7" t="s">
        <v>107</v>
      </c>
      <c r="AX139" s="7" t="s">
        <v>107</v>
      </c>
      <c r="AY139" s="8" t="s">
        <v>107</v>
      </c>
      <c r="AZ139" s="7" t="s">
        <v>107</v>
      </c>
      <c r="BA139" s="7" t="s">
        <v>107</v>
      </c>
      <c r="BB139" s="7" t="s">
        <v>107</v>
      </c>
      <c r="BC139" s="3"/>
      <c r="BD139" s="7" t="s">
        <v>107</v>
      </c>
      <c r="BE139" s="7" t="s">
        <v>107</v>
      </c>
      <c r="BF139" s="7" t="s">
        <v>107</v>
      </c>
      <c r="BG139" s="7" t="s">
        <v>107</v>
      </c>
      <c r="BH139" s="7" t="s">
        <v>107</v>
      </c>
      <c r="BI139" s="7" t="s">
        <v>107</v>
      </c>
      <c r="BJ139" s="7" t="s">
        <v>107</v>
      </c>
      <c r="BK139" s="3"/>
      <c r="BL139" s="7" t="s">
        <v>107</v>
      </c>
      <c r="BM139" s="7" t="s">
        <v>107</v>
      </c>
      <c r="BN139" s="7" t="s">
        <v>107</v>
      </c>
      <c r="BO139" s="8" t="s">
        <v>107</v>
      </c>
      <c r="BP139" s="7" t="s">
        <v>107</v>
      </c>
      <c r="BQ139" s="7" t="s">
        <v>107</v>
      </c>
      <c r="BR139" s="7" t="s">
        <v>107</v>
      </c>
      <c r="BS139" s="3"/>
      <c r="BT139" s="7" t="s">
        <v>107</v>
      </c>
      <c r="BU139" s="7" t="s">
        <v>107</v>
      </c>
      <c r="BV139" s="7" t="s">
        <v>107</v>
      </c>
      <c r="BW139" s="8" t="s">
        <v>107</v>
      </c>
      <c r="BX139" s="7" t="s">
        <v>107</v>
      </c>
      <c r="BY139" s="7" t="s">
        <v>107</v>
      </c>
      <c r="BZ139" s="7" t="s">
        <v>107</v>
      </c>
      <c r="CA139" s="3"/>
      <c r="CB139" s="7"/>
      <c r="CC139" s="7" t="s">
        <v>107</v>
      </c>
      <c r="CD139" s="7" t="s">
        <v>107</v>
      </c>
      <c r="CE139" s="8" t="s">
        <v>107</v>
      </c>
      <c r="CF139" s="7" t="s">
        <v>107</v>
      </c>
      <c r="CG139" s="7" t="s">
        <v>107</v>
      </c>
      <c r="CH139" s="7" t="s">
        <v>107</v>
      </c>
      <c r="CI139" s="3"/>
      <c r="CJ139" s="7"/>
      <c r="CK139" s="7" t="s">
        <v>107</v>
      </c>
      <c r="CL139" s="7" t="s">
        <v>107</v>
      </c>
      <c r="CM139" s="8" t="s">
        <v>107</v>
      </c>
      <c r="CN139" s="7" t="s">
        <v>107</v>
      </c>
      <c r="CO139" s="7" t="s">
        <v>107</v>
      </c>
      <c r="CP139" s="7" t="s">
        <v>107</v>
      </c>
      <c r="CQ139" s="3"/>
      <c r="CR139" s="7"/>
      <c r="CS139" s="7" t="s">
        <v>107</v>
      </c>
      <c r="CT139" s="7" t="s">
        <v>107</v>
      </c>
      <c r="CU139" s="7" t="s">
        <v>107</v>
      </c>
      <c r="CV139" s="7" t="s">
        <v>107</v>
      </c>
      <c r="CW139" s="7" t="s">
        <v>107</v>
      </c>
      <c r="CX139" s="7" t="s">
        <v>107</v>
      </c>
      <c r="CY139" s="3"/>
      <c r="CZ139" s="7"/>
      <c r="DA139" s="7" t="s">
        <v>107</v>
      </c>
      <c r="DB139" s="7" t="s">
        <v>107</v>
      </c>
      <c r="DC139" s="7" t="s">
        <v>107</v>
      </c>
      <c r="DD139" s="7" t="s">
        <v>107</v>
      </c>
      <c r="DE139" s="7" t="s">
        <v>107</v>
      </c>
      <c r="DF139" s="7" t="s">
        <v>107</v>
      </c>
      <c r="DG139" s="3"/>
      <c r="DH139" s="7"/>
      <c r="DI139" s="7" t="s">
        <v>107</v>
      </c>
      <c r="DJ139" s="7" t="s">
        <v>107</v>
      </c>
      <c r="DK139" s="5">
        <f>AM139</f>
        <v>1379.04</v>
      </c>
      <c r="DL139" s="15" t="s">
        <v>2791</v>
      </c>
      <c r="DM139" s="51">
        <f>DL139*0.95</f>
        <v>1310.088</v>
      </c>
    </row>
    <row r="140" spans="1:117" ht="17.25" customHeight="1" x14ac:dyDescent="0.25">
      <c r="A140" s="50" t="s">
        <v>1336</v>
      </c>
      <c r="B140" s="15" t="s">
        <v>1337</v>
      </c>
      <c r="C140" s="15" t="s">
        <v>1338</v>
      </c>
      <c r="D140" s="15" t="s">
        <v>219</v>
      </c>
      <c r="E140" s="15" t="s">
        <v>1339</v>
      </c>
      <c r="F140" s="15" t="s">
        <v>1340</v>
      </c>
      <c r="G140" s="15" t="s">
        <v>1341</v>
      </c>
      <c r="H140" s="15" t="s">
        <v>1342</v>
      </c>
      <c r="I140" s="15" t="s">
        <v>1343</v>
      </c>
      <c r="J140" s="15" t="s">
        <v>4244</v>
      </c>
      <c r="K140" s="15" t="s">
        <v>101</v>
      </c>
      <c r="L140" s="15" t="s">
        <v>1344</v>
      </c>
      <c r="M140" s="15" t="s">
        <v>1345</v>
      </c>
      <c r="N140" s="15" t="s">
        <v>1346</v>
      </c>
      <c r="O140" s="15" t="s">
        <v>1347</v>
      </c>
      <c r="P140" s="15" t="s">
        <v>1348</v>
      </c>
      <c r="Q140" s="15" t="s">
        <v>1349</v>
      </c>
      <c r="R140" s="15" t="s">
        <v>282</v>
      </c>
      <c r="S140" s="15" t="s">
        <v>1350</v>
      </c>
      <c r="T140" s="15" t="s">
        <v>107</v>
      </c>
      <c r="U140" s="15" t="s">
        <v>1351</v>
      </c>
      <c r="V140" s="15" t="s">
        <v>109</v>
      </c>
      <c r="W140" s="15" t="s">
        <v>1352</v>
      </c>
      <c r="X140" s="16" t="s">
        <v>1353</v>
      </c>
      <c r="Y140" s="15" t="s">
        <v>136</v>
      </c>
      <c r="Z140" s="16" t="s">
        <v>1354</v>
      </c>
      <c r="AA140" s="17">
        <v>700</v>
      </c>
      <c r="AB140" s="17">
        <v>3</v>
      </c>
      <c r="AC140" s="17">
        <v>450</v>
      </c>
      <c r="AD140" s="17">
        <v>3</v>
      </c>
      <c r="AE140" s="17">
        <v>500</v>
      </c>
      <c r="AF140" s="15" t="s">
        <v>142</v>
      </c>
      <c r="AG140" s="15" t="s">
        <v>115</v>
      </c>
      <c r="AH140" s="15" t="s">
        <v>1355</v>
      </c>
      <c r="AI140" s="18">
        <v>49171.199999999997</v>
      </c>
      <c r="AJ140" s="15">
        <v>1</v>
      </c>
      <c r="AK140" s="15" t="s">
        <v>1356</v>
      </c>
      <c r="AL140" s="15" t="s">
        <v>1357</v>
      </c>
      <c r="AM140" s="3">
        <f>(AI140*AJ140)/2</f>
        <v>24585.599999999999</v>
      </c>
      <c r="AN140" s="7" t="s">
        <v>196</v>
      </c>
      <c r="AO140" s="7" t="s">
        <v>115</v>
      </c>
      <c r="AP140" s="7" t="s">
        <v>1358</v>
      </c>
      <c r="AQ140" s="8">
        <v>49171.199999999997</v>
      </c>
      <c r="AR140" s="7">
        <v>0.25</v>
      </c>
      <c r="AS140" s="7" t="s">
        <v>1359</v>
      </c>
      <c r="AT140" s="7" t="s">
        <v>1360</v>
      </c>
      <c r="AU140" s="3">
        <f>(AQ140*AR140)/2</f>
        <v>6146.4</v>
      </c>
      <c r="AV140" s="7" t="s">
        <v>107</v>
      </c>
      <c r="AW140" s="7" t="s">
        <v>107</v>
      </c>
      <c r="AX140" s="7" t="s">
        <v>107</v>
      </c>
      <c r="AY140" s="8" t="s">
        <v>107</v>
      </c>
      <c r="AZ140" s="7" t="s">
        <v>107</v>
      </c>
      <c r="BA140" s="7" t="s">
        <v>107</v>
      </c>
      <c r="BB140" s="7" t="s">
        <v>107</v>
      </c>
      <c r="BC140" s="3"/>
      <c r="BD140" s="7" t="s">
        <v>107</v>
      </c>
      <c r="BE140" s="7" t="s">
        <v>107</v>
      </c>
      <c r="BF140" s="7" t="s">
        <v>107</v>
      </c>
      <c r="BG140" s="7" t="s">
        <v>107</v>
      </c>
      <c r="BH140" s="7" t="s">
        <v>107</v>
      </c>
      <c r="BI140" s="7" t="s">
        <v>107</v>
      </c>
      <c r="BJ140" s="7" t="s">
        <v>107</v>
      </c>
      <c r="BK140" s="3"/>
      <c r="BL140" s="7" t="s">
        <v>107</v>
      </c>
      <c r="BM140" s="7" t="s">
        <v>107</v>
      </c>
      <c r="BN140" s="7" t="s">
        <v>107</v>
      </c>
      <c r="BO140" s="8" t="s">
        <v>107</v>
      </c>
      <c r="BP140" s="7" t="s">
        <v>107</v>
      </c>
      <c r="BQ140" s="7" t="s">
        <v>107</v>
      </c>
      <c r="BR140" s="7" t="s">
        <v>107</v>
      </c>
      <c r="BS140" s="3"/>
      <c r="BT140" s="7" t="s">
        <v>107</v>
      </c>
      <c r="BU140" s="7" t="s">
        <v>107</v>
      </c>
      <c r="BV140" s="7" t="s">
        <v>107</v>
      </c>
      <c r="BW140" s="8" t="s">
        <v>107</v>
      </c>
      <c r="BX140" s="7" t="s">
        <v>107</v>
      </c>
      <c r="BY140" s="7" t="s">
        <v>107</v>
      </c>
      <c r="BZ140" s="7" t="s">
        <v>107</v>
      </c>
      <c r="CA140" s="3"/>
      <c r="CB140" s="7"/>
      <c r="CC140" s="7" t="s">
        <v>107</v>
      </c>
      <c r="CD140" s="7" t="s">
        <v>107</v>
      </c>
      <c r="CE140" s="8" t="s">
        <v>107</v>
      </c>
      <c r="CF140" s="7" t="s">
        <v>107</v>
      </c>
      <c r="CG140" s="7" t="s">
        <v>107</v>
      </c>
      <c r="CH140" s="7" t="s">
        <v>107</v>
      </c>
      <c r="CI140" s="3"/>
      <c r="CJ140" s="7"/>
      <c r="CK140" s="7" t="s">
        <v>107</v>
      </c>
      <c r="CL140" s="7" t="s">
        <v>107</v>
      </c>
      <c r="CM140" s="8" t="s">
        <v>107</v>
      </c>
      <c r="CN140" s="7" t="s">
        <v>107</v>
      </c>
      <c r="CO140" s="7" t="s">
        <v>107</v>
      </c>
      <c r="CP140" s="7" t="s">
        <v>107</v>
      </c>
      <c r="CQ140" s="3"/>
      <c r="CR140" s="7"/>
      <c r="CS140" s="7" t="s">
        <v>107</v>
      </c>
      <c r="CT140" s="7" t="s">
        <v>107</v>
      </c>
      <c r="CU140" s="7" t="s">
        <v>107</v>
      </c>
      <c r="CV140" s="7" t="s">
        <v>107</v>
      </c>
      <c r="CW140" s="7" t="s">
        <v>107</v>
      </c>
      <c r="CX140" s="7" t="s">
        <v>107</v>
      </c>
      <c r="CY140" s="3"/>
      <c r="CZ140" s="7"/>
      <c r="DA140" s="7" t="s">
        <v>107</v>
      </c>
      <c r="DB140" s="7" t="s">
        <v>107</v>
      </c>
      <c r="DC140" s="7" t="s">
        <v>107</v>
      </c>
      <c r="DD140" s="7" t="s">
        <v>107</v>
      </c>
      <c r="DE140" s="7" t="s">
        <v>107</v>
      </c>
      <c r="DF140" s="7" t="s">
        <v>107</v>
      </c>
      <c r="DG140" s="3"/>
      <c r="DH140" s="7"/>
      <c r="DI140" s="7" t="s">
        <v>107</v>
      </c>
      <c r="DJ140" s="7" t="s">
        <v>107</v>
      </c>
      <c r="DK140" s="5">
        <f>AM140+AU140</f>
        <v>30732</v>
      </c>
      <c r="DL140" s="15" t="s">
        <v>1361</v>
      </c>
      <c r="DM140" s="51">
        <f>DL140*0.95</f>
        <v>29195.399999999998</v>
      </c>
    </row>
    <row r="141" spans="1:117" ht="17.25" customHeight="1" x14ac:dyDescent="0.25">
      <c r="A141" s="50" t="s">
        <v>1541</v>
      </c>
      <c r="B141" s="15" t="s">
        <v>1542</v>
      </c>
      <c r="C141" s="15" t="s">
        <v>1338</v>
      </c>
      <c r="D141" s="15" t="s">
        <v>219</v>
      </c>
      <c r="E141" s="15" t="s">
        <v>1339</v>
      </c>
      <c r="F141" s="15" t="s">
        <v>1543</v>
      </c>
      <c r="G141" s="15" t="s">
        <v>1544</v>
      </c>
      <c r="H141" s="15" t="s">
        <v>1545</v>
      </c>
      <c r="I141" s="15" t="s">
        <v>4011</v>
      </c>
      <c r="J141" s="15" t="s">
        <v>4253</v>
      </c>
      <c r="K141" s="15" t="s">
        <v>151</v>
      </c>
      <c r="L141" s="15" t="s">
        <v>1543</v>
      </c>
      <c r="M141" s="15" t="s">
        <v>1546</v>
      </c>
      <c r="N141" s="15" t="s">
        <v>1547</v>
      </c>
      <c r="O141" s="15" t="s">
        <v>1548</v>
      </c>
      <c r="P141" s="15" t="s">
        <v>1549</v>
      </c>
      <c r="Q141" s="15" t="s">
        <v>1550</v>
      </c>
      <c r="R141" s="15" t="s">
        <v>179</v>
      </c>
      <c r="S141" s="15" t="s">
        <v>1551</v>
      </c>
      <c r="T141" s="15" t="s">
        <v>107</v>
      </c>
      <c r="U141" s="15" t="s">
        <v>1552</v>
      </c>
      <c r="V141" s="15" t="s">
        <v>109</v>
      </c>
      <c r="W141" s="15" t="s">
        <v>1553</v>
      </c>
      <c r="X141" s="16" t="s">
        <v>1554</v>
      </c>
      <c r="Y141" s="15" t="s">
        <v>112</v>
      </c>
      <c r="Z141" s="16" t="s">
        <v>1555</v>
      </c>
      <c r="AA141" s="17">
        <v>1742</v>
      </c>
      <c r="AB141" s="17">
        <v>0</v>
      </c>
      <c r="AC141" s="17">
        <v>0</v>
      </c>
      <c r="AD141" s="17">
        <v>0</v>
      </c>
      <c r="AE141" s="17">
        <v>0</v>
      </c>
      <c r="AF141" s="15" t="s">
        <v>142</v>
      </c>
      <c r="AG141" s="15" t="s">
        <v>480</v>
      </c>
      <c r="AH141" s="15" t="s">
        <v>1556</v>
      </c>
      <c r="AI141" s="18">
        <v>58886</v>
      </c>
      <c r="AJ141" s="15">
        <v>0.69</v>
      </c>
      <c r="AK141" s="15" t="s">
        <v>1557</v>
      </c>
      <c r="AL141" s="15" t="s">
        <v>1558</v>
      </c>
      <c r="AM141" s="3">
        <f>(AI141*AJ141)/2</f>
        <v>20315.669999999998</v>
      </c>
      <c r="AN141" s="7" t="s">
        <v>107</v>
      </c>
      <c r="AO141" s="7" t="s">
        <v>107</v>
      </c>
      <c r="AP141" s="7" t="s">
        <v>107</v>
      </c>
      <c r="AQ141" s="8" t="s">
        <v>107</v>
      </c>
      <c r="AR141" s="7" t="s">
        <v>107</v>
      </c>
      <c r="AS141" s="7" t="s">
        <v>107</v>
      </c>
      <c r="AT141" s="7" t="s">
        <v>107</v>
      </c>
      <c r="AU141" s="3"/>
      <c r="AV141" s="7" t="s">
        <v>107</v>
      </c>
      <c r="AW141" s="7" t="s">
        <v>107</v>
      </c>
      <c r="AX141" s="7" t="s">
        <v>107</v>
      </c>
      <c r="AY141" s="8" t="s">
        <v>107</v>
      </c>
      <c r="AZ141" s="7" t="s">
        <v>107</v>
      </c>
      <c r="BA141" s="7" t="s">
        <v>107</v>
      </c>
      <c r="BB141" s="7" t="s">
        <v>107</v>
      </c>
      <c r="BC141" s="3"/>
      <c r="BD141" s="7" t="s">
        <v>107</v>
      </c>
      <c r="BE141" s="7" t="s">
        <v>107</v>
      </c>
      <c r="BF141" s="7" t="s">
        <v>107</v>
      </c>
      <c r="BG141" s="7" t="s">
        <v>107</v>
      </c>
      <c r="BH141" s="7" t="s">
        <v>107</v>
      </c>
      <c r="BI141" s="7" t="s">
        <v>107</v>
      </c>
      <c r="BJ141" s="7" t="s">
        <v>107</v>
      </c>
      <c r="BK141" s="3"/>
      <c r="BL141" s="7" t="s">
        <v>107</v>
      </c>
      <c r="BM141" s="7" t="s">
        <v>107</v>
      </c>
      <c r="BN141" s="7" t="s">
        <v>107</v>
      </c>
      <c r="BO141" s="8" t="s">
        <v>107</v>
      </c>
      <c r="BP141" s="7" t="s">
        <v>107</v>
      </c>
      <c r="BQ141" s="7" t="s">
        <v>107</v>
      </c>
      <c r="BR141" s="7" t="s">
        <v>107</v>
      </c>
      <c r="BS141" s="3"/>
      <c r="BT141" s="7" t="s">
        <v>107</v>
      </c>
      <c r="BU141" s="7" t="s">
        <v>107</v>
      </c>
      <c r="BV141" s="7" t="s">
        <v>107</v>
      </c>
      <c r="BW141" s="8" t="s">
        <v>107</v>
      </c>
      <c r="BX141" s="7" t="s">
        <v>107</v>
      </c>
      <c r="BY141" s="7" t="s">
        <v>107</v>
      </c>
      <c r="BZ141" s="7" t="s">
        <v>107</v>
      </c>
      <c r="CA141" s="3"/>
      <c r="CB141" s="7"/>
      <c r="CC141" s="7" t="s">
        <v>107</v>
      </c>
      <c r="CD141" s="7" t="s">
        <v>107</v>
      </c>
      <c r="CE141" s="8" t="s">
        <v>107</v>
      </c>
      <c r="CF141" s="7" t="s">
        <v>107</v>
      </c>
      <c r="CG141" s="7" t="s">
        <v>107</v>
      </c>
      <c r="CH141" s="7" t="s">
        <v>107</v>
      </c>
      <c r="CI141" s="3"/>
      <c r="CJ141" s="7"/>
      <c r="CK141" s="7" t="s">
        <v>107</v>
      </c>
      <c r="CL141" s="7" t="s">
        <v>107</v>
      </c>
      <c r="CM141" s="8" t="s">
        <v>107</v>
      </c>
      <c r="CN141" s="7" t="s">
        <v>107</v>
      </c>
      <c r="CO141" s="7" t="s">
        <v>107</v>
      </c>
      <c r="CP141" s="7" t="s">
        <v>107</v>
      </c>
      <c r="CQ141" s="3"/>
      <c r="CR141" s="7"/>
      <c r="CS141" s="7" t="s">
        <v>107</v>
      </c>
      <c r="CT141" s="7" t="s">
        <v>107</v>
      </c>
      <c r="CU141" s="7" t="s">
        <v>107</v>
      </c>
      <c r="CV141" s="7" t="s">
        <v>107</v>
      </c>
      <c r="CW141" s="7" t="s">
        <v>107</v>
      </c>
      <c r="CX141" s="7" t="s">
        <v>107</v>
      </c>
      <c r="CY141" s="3"/>
      <c r="CZ141" s="7"/>
      <c r="DA141" s="7" t="s">
        <v>107</v>
      </c>
      <c r="DB141" s="7" t="s">
        <v>107</v>
      </c>
      <c r="DC141" s="7" t="s">
        <v>107</v>
      </c>
      <c r="DD141" s="7" t="s">
        <v>107</v>
      </c>
      <c r="DE141" s="7" t="s">
        <v>107</v>
      </c>
      <c r="DF141" s="7" t="s">
        <v>107</v>
      </c>
      <c r="DG141" s="3"/>
      <c r="DH141" s="7"/>
      <c r="DI141" s="7" t="s">
        <v>107</v>
      </c>
      <c r="DJ141" s="7" t="s">
        <v>107</v>
      </c>
      <c r="DK141" s="5">
        <f>AM141</f>
        <v>20315.669999999998</v>
      </c>
      <c r="DL141" s="15" t="s">
        <v>1558</v>
      </c>
      <c r="DM141" s="51">
        <f>DL141*0.95</f>
        <v>19300.2</v>
      </c>
    </row>
    <row r="142" spans="1:117" ht="17.25" customHeight="1" x14ac:dyDescent="0.25">
      <c r="A142" s="50" t="s">
        <v>1194</v>
      </c>
      <c r="B142" s="15" t="s">
        <v>1195</v>
      </c>
      <c r="C142" s="15" t="s">
        <v>1196</v>
      </c>
      <c r="D142" s="15" t="s">
        <v>1197</v>
      </c>
      <c r="E142" s="15" t="s">
        <v>1037</v>
      </c>
      <c r="F142" s="15" t="s">
        <v>1198</v>
      </c>
      <c r="G142" s="15" t="s">
        <v>1199</v>
      </c>
      <c r="H142" s="15" t="s">
        <v>1200</v>
      </c>
      <c r="I142" s="15" t="s">
        <v>1201</v>
      </c>
      <c r="J142" s="15" t="s">
        <v>4237</v>
      </c>
      <c r="K142" s="15" t="s">
        <v>151</v>
      </c>
      <c r="L142" s="15" t="s">
        <v>1198</v>
      </c>
      <c r="M142" s="15" t="s">
        <v>1202</v>
      </c>
      <c r="N142" s="15" t="s">
        <v>1203</v>
      </c>
      <c r="O142" s="15" t="s">
        <v>1204</v>
      </c>
      <c r="P142" s="15" t="s">
        <v>1205</v>
      </c>
      <c r="Q142" s="15" t="s">
        <v>1206</v>
      </c>
      <c r="R142" s="15" t="s">
        <v>157</v>
      </c>
      <c r="S142" s="15" t="s">
        <v>1198</v>
      </c>
      <c r="T142" s="15" t="s">
        <v>107</v>
      </c>
      <c r="U142" s="15" t="s">
        <v>1207</v>
      </c>
      <c r="V142" s="15" t="s">
        <v>109</v>
      </c>
      <c r="W142" s="15" t="s">
        <v>1208</v>
      </c>
      <c r="X142" s="16" t="s">
        <v>1209</v>
      </c>
      <c r="Y142" s="15" t="s">
        <v>114</v>
      </c>
      <c r="Z142" s="16" t="s">
        <v>1210</v>
      </c>
      <c r="AA142" s="17">
        <v>243</v>
      </c>
      <c r="AB142" s="17">
        <v>1</v>
      </c>
      <c r="AC142" s="17">
        <v>342</v>
      </c>
      <c r="AD142" s="17">
        <v>2</v>
      </c>
      <c r="AE142" s="17">
        <v>1285</v>
      </c>
      <c r="AF142" s="15" t="s">
        <v>196</v>
      </c>
      <c r="AG142" s="15" t="s">
        <v>157</v>
      </c>
      <c r="AH142" s="15" t="s">
        <v>1206</v>
      </c>
      <c r="AI142" s="21">
        <v>29370</v>
      </c>
      <c r="AJ142" s="15">
        <v>0.25</v>
      </c>
      <c r="AK142" s="15" t="s">
        <v>1211</v>
      </c>
      <c r="AL142" s="15" t="s">
        <v>1212</v>
      </c>
      <c r="AM142" s="3">
        <f>(AI142*AJ142)/2</f>
        <v>3671.25</v>
      </c>
      <c r="AN142" s="7" t="s">
        <v>107</v>
      </c>
      <c r="AO142" s="7" t="s">
        <v>107</v>
      </c>
      <c r="AP142" s="7" t="s">
        <v>107</v>
      </c>
      <c r="AQ142" s="8" t="s">
        <v>107</v>
      </c>
      <c r="AR142" s="7" t="s">
        <v>107</v>
      </c>
      <c r="AS142" s="7" t="s">
        <v>107</v>
      </c>
      <c r="AT142" s="7" t="s">
        <v>107</v>
      </c>
      <c r="AU142" s="3"/>
      <c r="AV142" s="7" t="s">
        <v>107</v>
      </c>
      <c r="AW142" s="7" t="s">
        <v>107</v>
      </c>
      <c r="AX142" s="7" t="s">
        <v>107</v>
      </c>
      <c r="AY142" s="8" t="s">
        <v>107</v>
      </c>
      <c r="AZ142" s="7" t="s">
        <v>107</v>
      </c>
      <c r="BA142" s="7" t="s">
        <v>107</v>
      </c>
      <c r="BB142" s="7" t="s">
        <v>107</v>
      </c>
      <c r="BC142" s="3"/>
      <c r="BD142" s="7" t="s">
        <v>107</v>
      </c>
      <c r="BE142" s="7" t="s">
        <v>107</v>
      </c>
      <c r="BF142" s="7" t="s">
        <v>107</v>
      </c>
      <c r="BG142" s="7" t="s">
        <v>107</v>
      </c>
      <c r="BH142" s="7" t="s">
        <v>107</v>
      </c>
      <c r="BI142" s="7" t="s">
        <v>107</v>
      </c>
      <c r="BJ142" s="7" t="s">
        <v>107</v>
      </c>
      <c r="BK142" s="3"/>
      <c r="BL142" s="7" t="s">
        <v>107</v>
      </c>
      <c r="BM142" s="7" t="s">
        <v>107</v>
      </c>
      <c r="BN142" s="7" t="s">
        <v>107</v>
      </c>
      <c r="BO142" s="8" t="s">
        <v>107</v>
      </c>
      <c r="BP142" s="7" t="s">
        <v>107</v>
      </c>
      <c r="BQ142" s="7" t="s">
        <v>107</v>
      </c>
      <c r="BR142" s="7" t="s">
        <v>107</v>
      </c>
      <c r="BS142" s="3"/>
      <c r="BT142" s="7" t="s">
        <v>107</v>
      </c>
      <c r="BU142" s="7" t="s">
        <v>107</v>
      </c>
      <c r="BV142" s="7" t="s">
        <v>107</v>
      </c>
      <c r="BW142" s="8" t="s">
        <v>107</v>
      </c>
      <c r="BX142" s="7" t="s">
        <v>107</v>
      </c>
      <c r="BY142" s="7" t="s">
        <v>107</v>
      </c>
      <c r="BZ142" s="7" t="s">
        <v>107</v>
      </c>
      <c r="CA142" s="3"/>
      <c r="CB142" s="7"/>
      <c r="CC142" s="7" t="s">
        <v>107</v>
      </c>
      <c r="CD142" s="7" t="s">
        <v>107</v>
      </c>
      <c r="CE142" s="8" t="s">
        <v>107</v>
      </c>
      <c r="CF142" s="7" t="s">
        <v>107</v>
      </c>
      <c r="CG142" s="7" t="s">
        <v>107</v>
      </c>
      <c r="CH142" s="7" t="s">
        <v>107</v>
      </c>
      <c r="CI142" s="3"/>
      <c r="CJ142" s="7"/>
      <c r="CK142" s="7" t="s">
        <v>107</v>
      </c>
      <c r="CL142" s="7" t="s">
        <v>107</v>
      </c>
      <c r="CM142" s="8" t="s">
        <v>107</v>
      </c>
      <c r="CN142" s="7" t="s">
        <v>107</v>
      </c>
      <c r="CO142" s="7" t="s">
        <v>107</v>
      </c>
      <c r="CP142" s="7" t="s">
        <v>107</v>
      </c>
      <c r="CQ142" s="3"/>
      <c r="CR142" s="7"/>
      <c r="CS142" s="7" t="s">
        <v>107</v>
      </c>
      <c r="CT142" s="7" t="s">
        <v>107</v>
      </c>
      <c r="CU142" s="7" t="s">
        <v>107</v>
      </c>
      <c r="CV142" s="7" t="s">
        <v>107</v>
      </c>
      <c r="CW142" s="7" t="s">
        <v>107</v>
      </c>
      <c r="CX142" s="7" t="s">
        <v>107</v>
      </c>
      <c r="CY142" s="3"/>
      <c r="CZ142" s="7"/>
      <c r="DA142" s="7" t="s">
        <v>107</v>
      </c>
      <c r="DB142" s="7" t="s">
        <v>107</v>
      </c>
      <c r="DC142" s="7" t="s">
        <v>107</v>
      </c>
      <c r="DD142" s="7" t="s">
        <v>107</v>
      </c>
      <c r="DE142" s="7" t="s">
        <v>107</v>
      </c>
      <c r="DF142" s="7" t="s">
        <v>107</v>
      </c>
      <c r="DG142" s="3"/>
      <c r="DH142" s="7"/>
      <c r="DI142" s="7" t="s">
        <v>107</v>
      </c>
      <c r="DJ142" s="7" t="s">
        <v>107</v>
      </c>
      <c r="DK142" s="5">
        <f>AM142</f>
        <v>3671.25</v>
      </c>
      <c r="DL142" s="15" t="s">
        <v>1213</v>
      </c>
      <c r="DM142" s="51">
        <f>DL142*0.95</f>
        <v>3487.6875</v>
      </c>
    </row>
    <row r="143" spans="1:117" ht="17.25" customHeight="1" x14ac:dyDescent="0.25">
      <c r="A143" s="50" t="s">
        <v>3894</v>
      </c>
      <c r="B143" s="15" t="s">
        <v>3951</v>
      </c>
      <c r="C143" s="15" t="s">
        <v>2701</v>
      </c>
      <c r="D143" s="15" t="s">
        <v>2702</v>
      </c>
      <c r="E143" s="15" t="s">
        <v>351</v>
      </c>
      <c r="F143" s="15" t="s">
        <v>2703</v>
      </c>
      <c r="G143" s="15" t="s">
        <v>2704</v>
      </c>
      <c r="H143" s="15" t="s">
        <v>2705</v>
      </c>
      <c r="I143" s="15" t="s">
        <v>2706</v>
      </c>
      <c r="J143" s="15" t="s">
        <v>4307</v>
      </c>
      <c r="K143" s="15" t="s">
        <v>151</v>
      </c>
      <c r="L143" s="15" t="s">
        <v>2703</v>
      </c>
      <c r="M143" s="15" t="s">
        <v>2707</v>
      </c>
      <c r="N143" s="15" t="s">
        <v>2708</v>
      </c>
      <c r="O143" s="15" t="s">
        <v>2709</v>
      </c>
      <c r="P143" s="15" t="s">
        <v>2710</v>
      </c>
      <c r="Q143" s="15" t="s">
        <v>2711</v>
      </c>
      <c r="R143" s="15" t="s">
        <v>2712</v>
      </c>
      <c r="S143" s="15" t="s">
        <v>2703</v>
      </c>
      <c r="T143" s="15" t="s">
        <v>107</v>
      </c>
      <c r="U143" s="15" t="s">
        <v>2713</v>
      </c>
      <c r="V143" s="15" t="s">
        <v>109</v>
      </c>
      <c r="W143" s="15" t="s">
        <v>2714</v>
      </c>
      <c r="X143" s="16" t="s">
        <v>2715</v>
      </c>
      <c r="Y143" s="15" t="s">
        <v>114</v>
      </c>
      <c r="Z143" s="16" t="s">
        <v>2716</v>
      </c>
      <c r="AA143" s="17">
        <v>399</v>
      </c>
      <c r="AB143" s="17">
        <v>1</v>
      </c>
      <c r="AC143" s="17">
        <v>400</v>
      </c>
      <c r="AD143" s="17">
        <v>0</v>
      </c>
      <c r="AE143" s="17">
        <v>0</v>
      </c>
      <c r="AF143" s="15" t="s">
        <v>142</v>
      </c>
      <c r="AG143" s="15" t="s">
        <v>157</v>
      </c>
      <c r="AH143" s="28" t="s">
        <v>2717</v>
      </c>
      <c r="AI143" s="18">
        <v>74510</v>
      </c>
      <c r="AJ143" s="15">
        <v>0.75</v>
      </c>
      <c r="AK143" s="15" t="s">
        <v>2718</v>
      </c>
      <c r="AL143" s="15" t="s">
        <v>2719</v>
      </c>
      <c r="AM143" s="3">
        <f>(AI143*AJ143)/2</f>
        <v>27941.25</v>
      </c>
      <c r="AN143" s="7" t="s">
        <v>107</v>
      </c>
      <c r="AO143" s="7" t="s">
        <v>107</v>
      </c>
      <c r="AP143" s="7" t="s">
        <v>107</v>
      </c>
      <c r="AQ143" s="8" t="s">
        <v>107</v>
      </c>
      <c r="AR143" s="7" t="s">
        <v>107</v>
      </c>
      <c r="AS143" s="7" t="s">
        <v>107</v>
      </c>
      <c r="AT143" s="7" t="s">
        <v>107</v>
      </c>
      <c r="AU143" s="3"/>
      <c r="AV143" s="7" t="s">
        <v>107</v>
      </c>
      <c r="AW143" s="7" t="s">
        <v>107</v>
      </c>
      <c r="AX143" s="7" t="s">
        <v>107</v>
      </c>
      <c r="AY143" s="8" t="s">
        <v>107</v>
      </c>
      <c r="AZ143" s="7" t="s">
        <v>107</v>
      </c>
      <c r="BA143" s="7" t="s">
        <v>107</v>
      </c>
      <c r="BB143" s="7" t="s">
        <v>107</v>
      </c>
      <c r="BC143" s="3"/>
      <c r="BD143" s="7" t="s">
        <v>107</v>
      </c>
      <c r="BE143" s="7" t="s">
        <v>107</v>
      </c>
      <c r="BF143" s="7" t="s">
        <v>107</v>
      </c>
      <c r="BG143" s="7" t="s">
        <v>107</v>
      </c>
      <c r="BH143" s="7" t="s">
        <v>107</v>
      </c>
      <c r="BI143" s="7" t="s">
        <v>107</v>
      </c>
      <c r="BJ143" s="7" t="s">
        <v>107</v>
      </c>
      <c r="BK143" s="3"/>
      <c r="BL143" s="7" t="s">
        <v>107</v>
      </c>
      <c r="BM143" s="7" t="s">
        <v>107</v>
      </c>
      <c r="BN143" s="7" t="s">
        <v>107</v>
      </c>
      <c r="BO143" s="8" t="s">
        <v>107</v>
      </c>
      <c r="BP143" s="7" t="s">
        <v>107</v>
      </c>
      <c r="BQ143" s="7" t="s">
        <v>107</v>
      </c>
      <c r="BR143" s="7" t="s">
        <v>107</v>
      </c>
      <c r="BS143" s="3"/>
      <c r="BT143" s="7" t="s">
        <v>107</v>
      </c>
      <c r="BU143" s="7" t="s">
        <v>107</v>
      </c>
      <c r="BV143" s="7" t="s">
        <v>107</v>
      </c>
      <c r="BW143" s="8" t="s">
        <v>107</v>
      </c>
      <c r="BX143" s="7" t="s">
        <v>107</v>
      </c>
      <c r="BY143" s="7" t="s">
        <v>107</v>
      </c>
      <c r="BZ143" s="7" t="s">
        <v>107</v>
      </c>
      <c r="CA143" s="3"/>
      <c r="CB143" s="7"/>
      <c r="CC143" s="7" t="s">
        <v>107</v>
      </c>
      <c r="CD143" s="7" t="s">
        <v>107</v>
      </c>
      <c r="CE143" s="8" t="s">
        <v>107</v>
      </c>
      <c r="CF143" s="7" t="s">
        <v>107</v>
      </c>
      <c r="CG143" s="7" t="s">
        <v>107</v>
      </c>
      <c r="CH143" s="7" t="s">
        <v>107</v>
      </c>
      <c r="CI143" s="3"/>
      <c r="CJ143" s="7"/>
      <c r="CK143" s="7" t="s">
        <v>107</v>
      </c>
      <c r="CL143" s="7" t="s">
        <v>107</v>
      </c>
      <c r="CM143" s="8" t="s">
        <v>107</v>
      </c>
      <c r="CN143" s="7" t="s">
        <v>107</v>
      </c>
      <c r="CO143" s="7" t="s">
        <v>107</v>
      </c>
      <c r="CP143" s="7" t="s">
        <v>107</v>
      </c>
      <c r="CQ143" s="3"/>
      <c r="CR143" s="7"/>
      <c r="CS143" s="7" t="s">
        <v>107</v>
      </c>
      <c r="CT143" s="7" t="s">
        <v>107</v>
      </c>
      <c r="CU143" s="7" t="s">
        <v>107</v>
      </c>
      <c r="CV143" s="7" t="s">
        <v>107</v>
      </c>
      <c r="CW143" s="7" t="s">
        <v>107</v>
      </c>
      <c r="CX143" s="7" t="s">
        <v>107</v>
      </c>
      <c r="CY143" s="3"/>
      <c r="CZ143" s="7"/>
      <c r="DA143" s="7" t="s">
        <v>107</v>
      </c>
      <c r="DB143" s="7" t="s">
        <v>107</v>
      </c>
      <c r="DC143" s="7" t="s">
        <v>107</v>
      </c>
      <c r="DD143" s="7" t="s">
        <v>107</v>
      </c>
      <c r="DE143" s="7" t="s">
        <v>107</v>
      </c>
      <c r="DF143" s="7" t="s">
        <v>107</v>
      </c>
      <c r="DG143" s="3"/>
      <c r="DH143" s="7"/>
      <c r="DI143" s="7" t="s">
        <v>107</v>
      </c>
      <c r="DJ143" s="7" t="s">
        <v>107</v>
      </c>
      <c r="DK143" s="5">
        <f>AM143</f>
        <v>27941.25</v>
      </c>
      <c r="DL143" s="15" t="s">
        <v>2720</v>
      </c>
      <c r="DM143" s="51">
        <f>DL143*0.95</f>
        <v>26543.949999999997</v>
      </c>
    </row>
    <row r="144" spans="1:117" ht="17.25" customHeight="1" x14ac:dyDescent="0.25">
      <c r="A144" s="50" t="s">
        <v>3854</v>
      </c>
      <c r="B144" s="15" t="s">
        <v>906</v>
      </c>
      <c r="C144" s="15" t="s">
        <v>907</v>
      </c>
      <c r="D144" s="15" t="s">
        <v>908</v>
      </c>
      <c r="E144" s="15" t="s">
        <v>909</v>
      </c>
      <c r="F144" s="15" t="s">
        <v>910</v>
      </c>
      <c r="G144" s="15" t="s">
        <v>911</v>
      </c>
      <c r="H144" s="15" t="s">
        <v>912</v>
      </c>
      <c r="I144" s="15" t="s">
        <v>913</v>
      </c>
      <c r="J144" s="15" t="s">
        <v>4224</v>
      </c>
      <c r="K144" s="15" t="s">
        <v>151</v>
      </c>
      <c r="L144" s="15" t="s">
        <v>914</v>
      </c>
      <c r="M144" s="15" t="s">
        <v>915</v>
      </c>
      <c r="N144" s="15" t="s">
        <v>916</v>
      </c>
      <c r="O144" s="15" t="s">
        <v>917</v>
      </c>
      <c r="P144" s="15" t="s">
        <v>918</v>
      </c>
      <c r="Q144" s="15" t="s">
        <v>919</v>
      </c>
      <c r="R144" s="15" t="s">
        <v>132</v>
      </c>
      <c r="S144" s="15" t="s">
        <v>920</v>
      </c>
      <c r="T144" s="15" t="s">
        <v>107</v>
      </c>
      <c r="U144" s="15" t="s">
        <v>921</v>
      </c>
      <c r="V144" s="15" t="s">
        <v>109</v>
      </c>
      <c r="W144" s="15" t="s">
        <v>922</v>
      </c>
      <c r="X144" s="16" t="s">
        <v>923</v>
      </c>
      <c r="Y144" s="15" t="s">
        <v>137</v>
      </c>
      <c r="Z144" s="16" t="s">
        <v>924</v>
      </c>
      <c r="AA144" s="17">
        <v>1440</v>
      </c>
      <c r="AB144" s="17">
        <v>1</v>
      </c>
      <c r="AC144" s="17">
        <v>875</v>
      </c>
      <c r="AD144" s="17">
        <v>1</v>
      </c>
      <c r="AE144" s="17">
        <v>1500</v>
      </c>
      <c r="AF144" s="15" t="s">
        <v>118</v>
      </c>
      <c r="AG144" s="15" t="s">
        <v>132</v>
      </c>
      <c r="AH144" s="15" t="s">
        <v>919</v>
      </c>
      <c r="AI144" s="18">
        <v>74651.199999999997</v>
      </c>
      <c r="AJ144" s="15">
        <v>0.9</v>
      </c>
      <c r="AK144" s="15" t="s">
        <v>925</v>
      </c>
      <c r="AL144" s="15" t="s">
        <v>926</v>
      </c>
      <c r="AM144" s="3">
        <f>(AI144*AJ144)/2</f>
        <v>33593.040000000001</v>
      </c>
      <c r="AN144" s="7" t="s">
        <v>107</v>
      </c>
      <c r="AO144" s="7" t="s">
        <v>107</v>
      </c>
      <c r="AP144" s="7" t="s">
        <v>107</v>
      </c>
      <c r="AQ144" s="8" t="s">
        <v>107</v>
      </c>
      <c r="AR144" s="7" t="s">
        <v>107</v>
      </c>
      <c r="AS144" s="7" t="s">
        <v>107</v>
      </c>
      <c r="AT144" s="7" t="s">
        <v>107</v>
      </c>
      <c r="AU144" s="3"/>
      <c r="AV144" s="7" t="s">
        <v>107</v>
      </c>
      <c r="AW144" s="7" t="s">
        <v>107</v>
      </c>
      <c r="AX144" s="7" t="s">
        <v>107</v>
      </c>
      <c r="AY144" s="8" t="s">
        <v>107</v>
      </c>
      <c r="AZ144" s="7" t="s">
        <v>107</v>
      </c>
      <c r="BA144" s="7" t="s">
        <v>107</v>
      </c>
      <c r="BB144" s="7" t="s">
        <v>107</v>
      </c>
      <c r="BC144" s="3"/>
      <c r="BD144" s="7" t="s">
        <v>107</v>
      </c>
      <c r="BE144" s="7" t="s">
        <v>107</v>
      </c>
      <c r="BF144" s="7" t="s">
        <v>107</v>
      </c>
      <c r="BG144" s="7" t="s">
        <v>107</v>
      </c>
      <c r="BH144" s="7" t="s">
        <v>107</v>
      </c>
      <c r="BI144" s="7" t="s">
        <v>107</v>
      </c>
      <c r="BJ144" s="7" t="s">
        <v>107</v>
      </c>
      <c r="BK144" s="3"/>
      <c r="BL144" s="7" t="s">
        <v>107</v>
      </c>
      <c r="BM144" s="7" t="s">
        <v>107</v>
      </c>
      <c r="BN144" s="7" t="s">
        <v>107</v>
      </c>
      <c r="BO144" s="8" t="s">
        <v>107</v>
      </c>
      <c r="BP144" s="7" t="s">
        <v>107</v>
      </c>
      <c r="BQ144" s="7" t="s">
        <v>107</v>
      </c>
      <c r="BR144" s="7" t="s">
        <v>107</v>
      </c>
      <c r="BS144" s="3"/>
      <c r="BT144" s="7" t="s">
        <v>107</v>
      </c>
      <c r="BU144" s="7" t="s">
        <v>107</v>
      </c>
      <c r="BV144" s="7" t="s">
        <v>107</v>
      </c>
      <c r="BW144" s="8" t="s">
        <v>107</v>
      </c>
      <c r="BX144" s="7" t="s">
        <v>107</v>
      </c>
      <c r="BY144" s="7" t="s">
        <v>107</v>
      </c>
      <c r="BZ144" s="7" t="s">
        <v>107</v>
      </c>
      <c r="CA144" s="3"/>
      <c r="CB144" s="7"/>
      <c r="CC144" s="7" t="s">
        <v>107</v>
      </c>
      <c r="CD144" s="7" t="s">
        <v>107</v>
      </c>
      <c r="CE144" s="8" t="s">
        <v>107</v>
      </c>
      <c r="CF144" s="7" t="s">
        <v>107</v>
      </c>
      <c r="CG144" s="7" t="s">
        <v>107</v>
      </c>
      <c r="CH144" s="7" t="s">
        <v>107</v>
      </c>
      <c r="CI144" s="3"/>
      <c r="CJ144" s="7"/>
      <c r="CK144" s="7" t="s">
        <v>107</v>
      </c>
      <c r="CL144" s="7" t="s">
        <v>107</v>
      </c>
      <c r="CM144" s="8" t="s">
        <v>107</v>
      </c>
      <c r="CN144" s="7" t="s">
        <v>107</v>
      </c>
      <c r="CO144" s="7" t="s">
        <v>107</v>
      </c>
      <c r="CP144" s="7" t="s">
        <v>107</v>
      </c>
      <c r="CQ144" s="3"/>
      <c r="CR144" s="7"/>
      <c r="CS144" s="7" t="s">
        <v>107</v>
      </c>
      <c r="CT144" s="7" t="s">
        <v>107</v>
      </c>
      <c r="CU144" s="7" t="s">
        <v>107</v>
      </c>
      <c r="CV144" s="7" t="s">
        <v>107</v>
      </c>
      <c r="CW144" s="7" t="s">
        <v>107</v>
      </c>
      <c r="CX144" s="7" t="s">
        <v>107</v>
      </c>
      <c r="CY144" s="3"/>
      <c r="CZ144" s="7"/>
      <c r="DA144" s="7" t="s">
        <v>107</v>
      </c>
      <c r="DB144" s="7" t="s">
        <v>107</v>
      </c>
      <c r="DC144" s="7" t="s">
        <v>107</v>
      </c>
      <c r="DD144" s="7" t="s">
        <v>107</v>
      </c>
      <c r="DE144" s="7" t="s">
        <v>107</v>
      </c>
      <c r="DF144" s="7" t="s">
        <v>107</v>
      </c>
      <c r="DG144" s="3"/>
      <c r="DH144" s="7"/>
      <c r="DI144" s="7" t="s">
        <v>107</v>
      </c>
      <c r="DJ144" s="7" t="s">
        <v>107</v>
      </c>
      <c r="DK144" s="3">
        <f>AM144</f>
        <v>33593.040000000001</v>
      </c>
      <c r="DL144" s="15" t="s">
        <v>926</v>
      </c>
      <c r="DM144" s="51">
        <f>DL144*0.95</f>
        <v>31913.387999999999</v>
      </c>
    </row>
    <row r="145" spans="1:117" ht="17.25" customHeight="1" x14ac:dyDescent="0.25">
      <c r="A145" s="50" t="s">
        <v>1377</v>
      </c>
      <c r="B145" s="15" t="s">
        <v>1378</v>
      </c>
      <c r="C145" s="15" t="s">
        <v>1379</v>
      </c>
      <c r="D145" s="15" t="s">
        <v>1380</v>
      </c>
      <c r="E145" s="15" t="s">
        <v>1381</v>
      </c>
      <c r="F145" s="15" t="s">
        <v>1382</v>
      </c>
      <c r="G145" s="15" t="s">
        <v>1383</v>
      </c>
      <c r="H145" s="15" t="s">
        <v>1384</v>
      </c>
      <c r="I145" s="15" t="s">
        <v>1385</v>
      </c>
      <c r="J145" s="15" t="s">
        <v>4245</v>
      </c>
      <c r="K145" s="15" t="s">
        <v>151</v>
      </c>
      <c r="L145" s="15" t="s">
        <v>1386</v>
      </c>
      <c r="M145" s="15" t="s">
        <v>1387</v>
      </c>
      <c r="N145" s="15" t="s">
        <v>1388</v>
      </c>
      <c r="O145" s="15" t="s">
        <v>1389</v>
      </c>
      <c r="P145" s="15" t="s">
        <v>1390</v>
      </c>
      <c r="Q145" s="15" t="s">
        <v>1391</v>
      </c>
      <c r="R145" s="15" t="s">
        <v>1392</v>
      </c>
      <c r="S145" s="15" t="s">
        <v>1393</v>
      </c>
      <c r="T145" s="15" t="s">
        <v>107</v>
      </c>
      <c r="U145" s="15" t="s">
        <v>1394</v>
      </c>
      <c r="V145" s="15" t="s">
        <v>109</v>
      </c>
      <c r="W145" s="15" t="s">
        <v>1395</v>
      </c>
      <c r="X145" s="16" t="s">
        <v>1396</v>
      </c>
      <c r="Y145" s="15" t="s">
        <v>184</v>
      </c>
      <c r="Z145" s="16" t="s">
        <v>1397</v>
      </c>
      <c r="AA145" s="17">
        <v>864</v>
      </c>
      <c r="AB145" s="17">
        <v>0</v>
      </c>
      <c r="AC145" s="17">
        <v>0</v>
      </c>
      <c r="AD145" s="17">
        <v>0</v>
      </c>
      <c r="AE145" s="17">
        <v>0</v>
      </c>
      <c r="AF145" s="15" t="s">
        <v>142</v>
      </c>
      <c r="AG145" s="15" t="s">
        <v>460</v>
      </c>
      <c r="AH145" s="15" t="s">
        <v>1391</v>
      </c>
      <c r="AI145" s="18">
        <v>71841</v>
      </c>
      <c r="AJ145" s="15">
        <v>0.5</v>
      </c>
      <c r="AK145" s="15" t="s">
        <v>1398</v>
      </c>
      <c r="AL145" s="15" t="s">
        <v>1399</v>
      </c>
      <c r="AM145" s="3">
        <f>(AI145*AJ145)/2</f>
        <v>17960.25</v>
      </c>
      <c r="AN145" s="7" t="s">
        <v>107</v>
      </c>
      <c r="AO145" s="7" t="s">
        <v>107</v>
      </c>
      <c r="AP145" s="7" t="s">
        <v>107</v>
      </c>
      <c r="AQ145" s="8" t="s">
        <v>107</v>
      </c>
      <c r="AR145" s="7" t="s">
        <v>107</v>
      </c>
      <c r="AS145" s="7" t="s">
        <v>107</v>
      </c>
      <c r="AT145" s="7" t="s">
        <v>107</v>
      </c>
      <c r="AU145" s="3"/>
      <c r="AV145" s="7" t="s">
        <v>107</v>
      </c>
      <c r="AW145" s="7" t="s">
        <v>107</v>
      </c>
      <c r="AX145" s="7" t="s">
        <v>107</v>
      </c>
      <c r="AY145" s="8" t="s">
        <v>107</v>
      </c>
      <c r="AZ145" s="7" t="s">
        <v>107</v>
      </c>
      <c r="BA145" s="7" t="s">
        <v>107</v>
      </c>
      <c r="BB145" s="7" t="s">
        <v>107</v>
      </c>
      <c r="BC145" s="3"/>
      <c r="BD145" s="7" t="s">
        <v>107</v>
      </c>
      <c r="BE145" s="7" t="s">
        <v>107</v>
      </c>
      <c r="BF145" s="7" t="s">
        <v>107</v>
      </c>
      <c r="BG145" s="7" t="s">
        <v>107</v>
      </c>
      <c r="BH145" s="7" t="s">
        <v>107</v>
      </c>
      <c r="BI145" s="7" t="s">
        <v>107</v>
      </c>
      <c r="BJ145" s="7" t="s">
        <v>107</v>
      </c>
      <c r="BK145" s="3"/>
      <c r="BL145" s="7" t="s">
        <v>107</v>
      </c>
      <c r="BM145" s="7" t="s">
        <v>107</v>
      </c>
      <c r="BN145" s="7" t="s">
        <v>107</v>
      </c>
      <c r="BO145" s="8" t="s">
        <v>107</v>
      </c>
      <c r="BP145" s="7" t="s">
        <v>107</v>
      </c>
      <c r="BQ145" s="7" t="s">
        <v>107</v>
      </c>
      <c r="BR145" s="7" t="s">
        <v>107</v>
      </c>
      <c r="BS145" s="3"/>
      <c r="BT145" s="7" t="s">
        <v>107</v>
      </c>
      <c r="BU145" s="7" t="s">
        <v>107</v>
      </c>
      <c r="BV145" s="7" t="s">
        <v>107</v>
      </c>
      <c r="BW145" s="8" t="s">
        <v>107</v>
      </c>
      <c r="BX145" s="7" t="s">
        <v>107</v>
      </c>
      <c r="BY145" s="7" t="s">
        <v>107</v>
      </c>
      <c r="BZ145" s="7" t="s">
        <v>107</v>
      </c>
      <c r="CA145" s="3"/>
      <c r="CB145" s="7"/>
      <c r="CC145" s="7" t="s">
        <v>107</v>
      </c>
      <c r="CD145" s="7" t="s">
        <v>107</v>
      </c>
      <c r="CE145" s="8" t="s">
        <v>107</v>
      </c>
      <c r="CF145" s="7" t="s">
        <v>107</v>
      </c>
      <c r="CG145" s="7" t="s">
        <v>107</v>
      </c>
      <c r="CH145" s="7" t="s">
        <v>107</v>
      </c>
      <c r="CI145" s="3"/>
      <c r="CJ145" s="7"/>
      <c r="CK145" s="7" t="s">
        <v>107</v>
      </c>
      <c r="CL145" s="7" t="s">
        <v>107</v>
      </c>
      <c r="CM145" s="8" t="s">
        <v>107</v>
      </c>
      <c r="CN145" s="7" t="s">
        <v>107</v>
      </c>
      <c r="CO145" s="7" t="s">
        <v>107</v>
      </c>
      <c r="CP145" s="7" t="s">
        <v>107</v>
      </c>
      <c r="CQ145" s="3"/>
      <c r="CR145" s="7"/>
      <c r="CS145" s="7" t="s">
        <v>107</v>
      </c>
      <c r="CT145" s="7" t="s">
        <v>107</v>
      </c>
      <c r="CU145" s="7" t="s">
        <v>107</v>
      </c>
      <c r="CV145" s="7" t="s">
        <v>107</v>
      </c>
      <c r="CW145" s="7" t="s">
        <v>107</v>
      </c>
      <c r="CX145" s="7" t="s">
        <v>107</v>
      </c>
      <c r="CY145" s="3"/>
      <c r="CZ145" s="7"/>
      <c r="DA145" s="7" t="s">
        <v>107</v>
      </c>
      <c r="DB145" s="7" t="s">
        <v>107</v>
      </c>
      <c r="DC145" s="7" t="s">
        <v>107</v>
      </c>
      <c r="DD145" s="7" t="s">
        <v>107</v>
      </c>
      <c r="DE145" s="7" t="s">
        <v>107</v>
      </c>
      <c r="DF145" s="7" t="s">
        <v>107</v>
      </c>
      <c r="DG145" s="3"/>
      <c r="DH145" s="7"/>
      <c r="DI145" s="7" t="s">
        <v>107</v>
      </c>
      <c r="DJ145" s="7" t="s">
        <v>107</v>
      </c>
      <c r="DK145" s="5">
        <f>AM145</f>
        <v>17960.25</v>
      </c>
      <c r="DL145" s="15" t="s">
        <v>1400</v>
      </c>
      <c r="DM145" s="51">
        <f>DL145*0.95</f>
        <v>17062.95</v>
      </c>
    </row>
    <row r="146" spans="1:117" ht="17.25" customHeight="1" x14ac:dyDescent="0.25">
      <c r="A146" s="50" t="s">
        <v>1991</v>
      </c>
      <c r="B146" s="15" t="s">
        <v>1992</v>
      </c>
      <c r="C146" s="15" t="s">
        <v>1993</v>
      </c>
      <c r="D146" s="15" t="s">
        <v>1994</v>
      </c>
      <c r="E146" s="15" t="s">
        <v>1228</v>
      </c>
      <c r="F146" s="15" t="s">
        <v>1995</v>
      </c>
      <c r="G146" s="15" t="s">
        <v>1996</v>
      </c>
      <c r="H146" s="15" t="s">
        <v>1997</v>
      </c>
      <c r="I146" s="15" t="s">
        <v>1998</v>
      </c>
      <c r="J146" s="15" t="s">
        <v>4274</v>
      </c>
      <c r="K146" s="15" t="s">
        <v>151</v>
      </c>
      <c r="L146" s="15" t="s">
        <v>1995</v>
      </c>
      <c r="M146" s="15" t="s">
        <v>1999</v>
      </c>
      <c r="N146" s="15" t="s">
        <v>2000</v>
      </c>
      <c r="O146" s="15" t="s">
        <v>2001</v>
      </c>
      <c r="P146" s="15" t="s">
        <v>2002</v>
      </c>
      <c r="Q146" s="15" t="s">
        <v>2003</v>
      </c>
      <c r="R146" s="15" t="s">
        <v>282</v>
      </c>
      <c r="S146" s="15" t="s">
        <v>2004</v>
      </c>
      <c r="T146" s="15" t="s">
        <v>107</v>
      </c>
      <c r="U146" s="15" t="s">
        <v>2005</v>
      </c>
      <c r="V146" s="15" t="s">
        <v>109</v>
      </c>
      <c r="W146" s="15" t="s">
        <v>2006</v>
      </c>
      <c r="X146" s="16" t="s">
        <v>2007</v>
      </c>
      <c r="Y146" s="15" t="s">
        <v>814</v>
      </c>
      <c r="Z146" s="16" t="s">
        <v>2008</v>
      </c>
      <c r="AA146" s="17">
        <v>1150</v>
      </c>
      <c r="AB146" s="17">
        <v>3</v>
      </c>
      <c r="AC146" s="17">
        <v>500</v>
      </c>
      <c r="AD146" s="17">
        <v>1</v>
      </c>
      <c r="AE146" s="17">
        <v>500</v>
      </c>
      <c r="AF146" s="15" t="s">
        <v>142</v>
      </c>
      <c r="AG146" s="15" t="s">
        <v>480</v>
      </c>
      <c r="AH146" s="15" t="s">
        <v>2009</v>
      </c>
      <c r="AI146" s="20">
        <v>54766.400000000001</v>
      </c>
      <c r="AJ146" s="15">
        <v>0.75</v>
      </c>
      <c r="AK146" s="15" t="s">
        <v>2010</v>
      </c>
      <c r="AL146" s="15" t="s">
        <v>2011</v>
      </c>
      <c r="AM146" s="3">
        <f>(AI146*AJ146)/2</f>
        <v>20537.400000000001</v>
      </c>
      <c r="AN146" s="7" t="s">
        <v>142</v>
      </c>
      <c r="AO146" s="7" t="s">
        <v>480</v>
      </c>
      <c r="AP146" s="7" t="s">
        <v>2012</v>
      </c>
      <c r="AQ146" s="8">
        <v>54766.400000000001</v>
      </c>
      <c r="AR146" s="7">
        <v>0.75</v>
      </c>
      <c r="AS146" s="7" t="s">
        <v>2010</v>
      </c>
      <c r="AT146" s="7" t="s">
        <v>2011</v>
      </c>
      <c r="AU146" s="3">
        <f>(AQ146*AR146)/2</f>
        <v>20537.400000000001</v>
      </c>
      <c r="AV146" s="7" t="s">
        <v>196</v>
      </c>
      <c r="AW146" s="7" t="s">
        <v>480</v>
      </c>
      <c r="AX146" s="7" t="s">
        <v>2013</v>
      </c>
      <c r="AY146" s="8">
        <v>54766.400000000001</v>
      </c>
      <c r="AZ146" s="7">
        <v>0.5</v>
      </c>
      <c r="BA146" s="7" t="s">
        <v>2014</v>
      </c>
      <c r="BB146" s="7" t="s">
        <v>2015</v>
      </c>
      <c r="BC146" s="3">
        <f>(AY146*AZ146)/2</f>
        <v>13691.6</v>
      </c>
      <c r="BD146" s="7" t="s">
        <v>196</v>
      </c>
      <c r="BE146" s="7" t="s">
        <v>480</v>
      </c>
      <c r="BF146" s="7" t="s">
        <v>4096</v>
      </c>
      <c r="BG146" s="11">
        <v>54766.400000000001</v>
      </c>
      <c r="BH146" s="7">
        <v>0.5</v>
      </c>
      <c r="BI146" s="7" t="s">
        <v>2014</v>
      </c>
      <c r="BJ146" s="7" t="s">
        <v>2015</v>
      </c>
      <c r="BK146" s="3">
        <f>(BG146*BH146)/2</f>
        <v>13691.6</v>
      </c>
      <c r="BL146" s="7" t="s">
        <v>107</v>
      </c>
      <c r="BM146" s="7" t="s">
        <v>107</v>
      </c>
      <c r="BN146" s="7" t="s">
        <v>107</v>
      </c>
      <c r="BO146" s="8" t="s">
        <v>107</v>
      </c>
      <c r="BP146" s="7" t="s">
        <v>107</v>
      </c>
      <c r="BQ146" s="7" t="s">
        <v>107</v>
      </c>
      <c r="BR146" s="7" t="s">
        <v>107</v>
      </c>
      <c r="BS146" s="3"/>
      <c r="BT146" s="7" t="s">
        <v>107</v>
      </c>
      <c r="BU146" s="7" t="s">
        <v>107</v>
      </c>
      <c r="BV146" s="7" t="s">
        <v>107</v>
      </c>
      <c r="BW146" s="8" t="s">
        <v>107</v>
      </c>
      <c r="BX146" s="7" t="s">
        <v>107</v>
      </c>
      <c r="BY146" s="7" t="s">
        <v>107</v>
      </c>
      <c r="BZ146" s="7" t="s">
        <v>107</v>
      </c>
      <c r="CA146" s="3"/>
      <c r="CB146" s="7"/>
      <c r="CC146" s="7" t="s">
        <v>107</v>
      </c>
      <c r="CD146" s="7" t="s">
        <v>107</v>
      </c>
      <c r="CE146" s="8" t="s">
        <v>107</v>
      </c>
      <c r="CF146" s="7" t="s">
        <v>107</v>
      </c>
      <c r="CG146" s="7" t="s">
        <v>107</v>
      </c>
      <c r="CH146" s="7" t="s">
        <v>107</v>
      </c>
      <c r="CI146" s="3"/>
      <c r="CJ146" s="7"/>
      <c r="CK146" s="7" t="s">
        <v>107</v>
      </c>
      <c r="CL146" s="7" t="s">
        <v>107</v>
      </c>
      <c r="CM146" s="8" t="s">
        <v>107</v>
      </c>
      <c r="CN146" s="7" t="s">
        <v>107</v>
      </c>
      <c r="CO146" s="7" t="s">
        <v>107</v>
      </c>
      <c r="CP146" s="7" t="s">
        <v>107</v>
      </c>
      <c r="CQ146" s="3"/>
      <c r="CR146" s="7"/>
      <c r="CS146" s="7" t="s">
        <v>107</v>
      </c>
      <c r="CT146" s="7" t="s">
        <v>107</v>
      </c>
      <c r="CU146" s="7" t="s">
        <v>107</v>
      </c>
      <c r="CV146" s="7" t="s">
        <v>107</v>
      </c>
      <c r="CW146" s="7" t="s">
        <v>107</v>
      </c>
      <c r="CX146" s="7" t="s">
        <v>107</v>
      </c>
      <c r="CY146" s="3"/>
      <c r="CZ146" s="7"/>
      <c r="DA146" s="7" t="s">
        <v>107</v>
      </c>
      <c r="DB146" s="7" t="s">
        <v>107</v>
      </c>
      <c r="DC146" s="7" t="s">
        <v>107</v>
      </c>
      <c r="DD146" s="7" t="s">
        <v>107</v>
      </c>
      <c r="DE146" s="7" t="s">
        <v>107</v>
      </c>
      <c r="DF146" s="7" t="s">
        <v>107</v>
      </c>
      <c r="DG146" s="3"/>
      <c r="DH146" s="7"/>
      <c r="DI146" s="7" t="s">
        <v>107</v>
      </c>
      <c r="DJ146" s="7" t="s">
        <v>107</v>
      </c>
      <c r="DK146" s="5">
        <f>AM146+AU146+BC146+BK146</f>
        <v>68458</v>
      </c>
      <c r="DL146" s="15" t="s">
        <v>2016</v>
      </c>
      <c r="DM146" s="51">
        <f>DL146*0.95</f>
        <v>65035.1</v>
      </c>
    </row>
    <row r="147" spans="1:117" ht="17.25" customHeight="1" x14ac:dyDescent="0.25">
      <c r="A147" s="50" t="s">
        <v>3895</v>
      </c>
      <c r="B147" s="15" t="s">
        <v>1727</v>
      </c>
      <c r="C147" s="15" t="s">
        <v>1728</v>
      </c>
      <c r="D147" s="15" t="s">
        <v>1729</v>
      </c>
      <c r="E147" s="15" t="s">
        <v>691</v>
      </c>
      <c r="F147" s="15" t="s">
        <v>1730</v>
      </c>
      <c r="G147" s="15" t="s">
        <v>1731</v>
      </c>
      <c r="H147" s="15" t="s">
        <v>1732</v>
      </c>
      <c r="I147" s="15" t="s">
        <v>4012</v>
      </c>
      <c r="J147" s="15" t="s">
        <v>4263</v>
      </c>
      <c r="K147" s="15" t="s">
        <v>151</v>
      </c>
      <c r="L147" s="15" t="s">
        <v>1730</v>
      </c>
      <c r="M147" s="15" t="s">
        <v>1733</v>
      </c>
      <c r="N147" s="15" t="s">
        <v>1734</v>
      </c>
      <c r="O147" s="15" t="s">
        <v>1730</v>
      </c>
      <c r="P147" s="15" t="s">
        <v>1735</v>
      </c>
      <c r="Q147" s="15" t="s">
        <v>1741</v>
      </c>
      <c r="R147" s="15" t="s">
        <v>282</v>
      </c>
      <c r="S147" s="15" t="s">
        <v>1730</v>
      </c>
      <c r="T147" s="15" t="s">
        <v>107</v>
      </c>
      <c r="U147" s="15" t="s">
        <v>1736</v>
      </c>
      <c r="V147" s="15" t="s">
        <v>109</v>
      </c>
      <c r="W147" s="15" t="s">
        <v>1737</v>
      </c>
      <c r="X147" s="16" t="s">
        <v>1738</v>
      </c>
      <c r="Y147" s="15" t="s">
        <v>107</v>
      </c>
      <c r="Z147" s="16" t="s">
        <v>1739</v>
      </c>
      <c r="AA147" s="17">
        <v>0</v>
      </c>
      <c r="AB147" s="17">
        <v>1</v>
      </c>
      <c r="AC147" s="17">
        <v>169</v>
      </c>
      <c r="AD147" s="17">
        <v>1</v>
      </c>
      <c r="AE147" s="17">
        <v>79</v>
      </c>
      <c r="AF147" s="15" t="s">
        <v>142</v>
      </c>
      <c r="AG147" s="15" t="s">
        <v>282</v>
      </c>
      <c r="AH147" s="15" t="s">
        <v>1741</v>
      </c>
      <c r="AI147" s="20">
        <v>53934.400000000001</v>
      </c>
      <c r="AJ147" s="15">
        <v>0.25</v>
      </c>
      <c r="AK147" s="15" t="s">
        <v>1742</v>
      </c>
      <c r="AL147" s="15" t="s">
        <v>1743</v>
      </c>
      <c r="AM147" s="3">
        <f>(AI147*AJ147)/2</f>
        <v>6741.8</v>
      </c>
      <c r="AN147" s="7" t="s">
        <v>107</v>
      </c>
      <c r="AO147" s="7"/>
      <c r="AP147" s="7" t="s">
        <v>107</v>
      </c>
      <c r="AQ147" s="8" t="s">
        <v>107</v>
      </c>
      <c r="AR147" s="7" t="s">
        <v>107</v>
      </c>
      <c r="AS147" s="7" t="s">
        <v>107</v>
      </c>
      <c r="AT147" s="7" t="s">
        <v>107</v>
      </c>
      <c r="AU147" s="3"/>
      <c r="AV147" s="7" t="s">
        <v>107</v>
      </c>
      <c r="AW147" s="7" t="s">
        <v>107</v>
      </c>
      <c r="AX147" s="7" t="s">
        <v>107</v>
      </c>
      <c r="AY147" s="8" t="s">
        <v>107</v>
      </c>
      <c r="AZ147" s="7" t="s">
        <v>107</v>
      </c>
      <c r="BA147" s="7" t="s">
        <v>107</v>
      </c>
      <c r="BB147" s="7" t="s">
        <v>107</v>
      </c>
      <c r="BC147" s="3"/>
      <c r="BD147" s="7" t="s">
        <v>107</v>
      </c>
      <c r="BE147" s="7" t="s">
        <v>107</v>
      </c>
      <c r="BF147" s="7" t="s">
        <v>107</v>
      </c>
      <c r="BG147" s="7" t="s">
        <v>107</v>
      </c>
      <c r="BH147" s="7" t="s">
        <v>107</v>
      </c>
      <c r="BI147" s="7" t="s">
        <v>107</v>
      </c>
      <c r="BJ147" s="7" t="s">
        <v>107</v>
      </c>
      <c r="BK147" s="3"/>
      <c r="BL147" s="7" t="s">
        <v>107</v>
      </c>
      <c r="BM147" s="7" t="s">
        <v>107</v>
      </c>
      <c r="BN147" s="7" t="s">
        <v>107</v>
      </c>
      <c r="BO147" s="8" t="s">
        <v>107</v>
      </c>
      <c r="BP147" s="7" t="s">
        <v>107</v>
      </c>
      <c r="BQ147" s="7" t="s">
        <v>107</v>
      </c>
      <c r="BR147" s="7" t="s">
        <v>107</v>
      </c>
      <c r="BS147" s="3"/>
      <c r="BT147" s="7" t="s">
        <v>107</v>
      </c>
      <c r="BU147" s="7" t="s">
        <v>107</v>
      </c>
      <c r="BV147" s="7" t="s">
        <v>107</v>
      </c>
      <c r="BW147" s="8" t="s">
        <v>107</v>
      </c>
      <c r="BX147" s="7" t="s">
        <v>107</v>
      </c>
      <c r="BY147" s="7" t="s">
        <v>107</v>
      </c>
      <c r="BZ147" s="7" t="s">
        <v>107</v>
      </c>
      <c r="CA147" s="3"/>
      <c r="CB147" s="7"/>
      <c r="CC147" s="7" t="s">
        <v>107</v>
      </c>
      <c r="CD147" s="7" t="s">
        <v>107</v>
      </c>
      <c r="CE147" s="8" t="s">
        <v>107</v>
      </c>
      <c r="CF147" s="7" t="s">
        <v>107</v>
      </c>
      <c r="CG147" s="7" t="s">
        <v>107</v>
      </c>
      <c r="CH147" s="7" t="s">
        <v>107</v>
      </c>
      <c r="CI147" s="3"/>
      <c r="CJ147" s="7"/>
      <c r="CK147" s="7" t="s">
        <v>107</v>
      </c>
      <c r="CL147" s="7" t="s">
        <v>107</v>
      </c>
      <c r="CM147" s="8" t="s">
        <v>107</v>
      </c>
      <c r="CN147" s="7" t="s">
        <v>107</v>
      </c>
      <c r="CO147" s="7" t="s">
        <v>107</v>
      </c>
      <c r="CP147" s="7" t="s">
        <v>107</v>
      </c>
      <c r="CQ147" s="3"/>
      <c r="CR147" s="7"/>
      <c r="CS147" s="7" t="s">
        <v>107</v>
      </c>
      <c r="CT147" s="7" t="s">
        <v>107</v>
      </c>
      <c r="CU147" s="7" t="s">
        <v>107</v>
      </c>
      <c r="CV147" s="7" t="s">
        <v>107</v>
      </c>
      <c r="CW147" s="7" t="s">
        <v>107</v>
      </c>
      <c r="CX147" s="7" t="s">
        <v>107</v>
      </c>
      <c r="CY147" s="3"/>
      <c r="CZ147" s="7"/>
      <c r="DA147" s="7" t="s">
        <v>107</v>
      </c>
      <c r="DB147" s="7" t="s">
        <v>107</v>
      </c>
      <c r="DC147" s="7" t="s">
        <v>107</v>
      </c>
      <c r="DD147" s="7" t="s">
        <v>107</v>
      </c>
      <c r="DE147" s="7" t="s">
        <v>107</v>
      </c>
      <c r="DF147" s="7" t="s">
        <v>107</v>
      </c>
      <c r="DG147" s="3"/>
      <c r="DH147" s="7"/>
      <c r="DI147" s="7" t="s">
        <v>107</v>
      </c>
      <c r="DJ147" s="7" t="s">
        <v>107</v>
      </c>
      <c r="DK147" s="5">
        <f>AM147</f>
        <v>6741.8</v>
      </c>
      <c r="DL147" s="15" t="s">
        <v>1743</v>
      </c>
      <c r="DM147" s="51">
        <f>DL147*0.95</f>
        <v>6406.1350000000002</v>
      </c>
    </row>
    <row r="148" spans="1:117" ht="17.25" customHeight="1" x14ac:dyDescent="0.25">
      <c r="A148" s="50" t="s">
        <v>3895</v>
      </c>
      <c r="B148" s="15" t="s">
        <v>3952</v>
      </c>
      <c r="C148" s="15" t="s">
        <v>1687</v>
      </c>
      <c r="D148" s="15" t="s">
        <v>3307</v>
      </c>
      <c r="E148" s="15" t="s">
        <v>1381</v>
      </c>
      <c r="F148" s="15" t="s">
        <v>3308</v>
      </c>
      <c r="G148" s="15" t="s">
        <v>3309</v>
      </c>
      <c r="H148" s="15" t="s">
        <v>3310</v>
      </c>
      <c r="I148" s="15" t="s">
        <v>3311</v>
      </c>
      <c r="J148" s="15" t="s">
        <v>4337</v>
      </c>
      <c r="K148" s="15" t="s">
        <v>151</v>
      </c>
      <c r="L148" s="15" t="s">
        <v>3308</v>
      </c>
      <c r="M148" s="15" t="s">
        <v>3312</v>
      </c>
      <c r="N148" s="15" t="s">
        <v>3313</v>
      </c>
      <c r="O148" s="15" t="s">
        <v>3314</v>
      </c>
      <c r="P148" s="15" t="s">
        <v>3315</v>
      </c>
      <c r="Q148" s="15" t="s">
        <v>3316</v>
      </c>
      <c r="R148" s="15" t="s">
        <v>761</v>
      </c>
      <c r="S148" s="15" t="s">
        <v>3308</v>
      </c>
      <c r="T148" s="15" t="s">
        <v>107</v>
      </c>
      <c r="U148" s="15" t="s">
        <v>3317</v>
      </c>
      <c r="V148" s="15" t="s">
        <v>109</v>
      </c>
      <c r="W148" s="15" t="s">
        <v>3318</v>
      </c>
      <c r="X148" s="16" t="s">
        <v>3319</v>
      </c>
      <c r="Y148" s="15" t="s">
        <v>216</v>
      </c>
      <c r="Z148" s="16" t="s">
        <v>3320</v>
      </c>
      <c r="AA148" s="17">
        <v>984</v>
      </c>
      <c r="AB148" s="17">
        <v>1</v>
      </c>
      <c r="AC148" s="17">
        <v>300</v>
      </c>
      <c r="AD148" s="17">
        <v>1</v>
      </c>
      <c r="AE148" s="17">
        <v>100</v>
      </c>
      <c r="AF148" s="15" t="s">
        <v>142</v>
      </c>
      <c r="AG148" s="15" t="s">
        <v>460</v>
      </c>
      <c r="AH148" s="15" t="s">
        <v>3316</v>
      </c>
      <c r="AI148" s="21">
        <v>35850</v>
      </c>
      <c r="AJ148" s="15">
        <v>1</v>
      </c>
      <c r="AK148" s="15" t="s">
        <v>3321</v>
      </c>
      <c r="AL148" s="15" t="s">
        <v>3322</v>
      </c>
      <c r="AM148" s="3">
        <f>(AI148*AJ148)/2</f>
        <v>17925</v>
      </c>
      <c r="AN148" s="7" t="s">
        <v>196</v>
      </c>
      <c r="AO148" s="7" t="s">
        <v>460</v>
      </c>
      <c r="AP148" s="7" t="s">
        <v>3323</v>
      </c>
      <c r="AQ148" s="8">
        <v>68100</v>
      </c>
      <c r="AR148" s="7">
        <v>0.15</v>
      </c>
      <c r="AS148" s="7" t="s">
        <v>3324</v>
      </c>
      <c r="AT148" s="7" t="s">
        <v>3325</v>
      </c>
      <c r="AU148" s="3">
        <f>(AQ148*AR148)/2</f>
        <v>5107.5</v>
      </c>
      <c r="AV148" s="7" t="s">
        <v>196</v>
      </c>
      <c r="AW148" s="7" t="s">
        <v>460</v>
      </c>
      <c r="AX148" s="7" t="s">
        <v>3326</v>
      </c>
      <c r="AY148" s="8">
        <v>68100</v>
      </c>
      <c r="AZ148" s="7">
        <v>0.15</v>
      </c>
      <c r="BA148" s="7" t="s">
        <v>3324</v>
      </c>
      <c r="BB148" s="7" t="s">
        <v>3325</v>
      </c>
      <c r="BC148" s="3">
        <f>(AY148*AZ148)/2</f>
        <v>5107.5</v>
      </c>
      <c r="BD148" s="7" t="s">
        <v>196</v>
      </c>
      <c r="BE148" s="7" t="s">
        <v>460</v>
      </c>
      <c r="BF148" s="7" t="s">
        <v>3327</v>
      </c>
      <c r="BG148" s="14">
        <v>68100</v>
      </c>
      <c r="BH148" s="7">
        <v>0.15</v>
      </c>
      <c r="BI148" s="7" t="s">
        <v>3324</v>
      </c>
      <c r="BJ148" s="7" t="s">
        <v>3325</v>
      </c>
      <c r="BK148" s="3">
        <f>(BG148*BH148)/2</f>
        <v>5107.5</v>
      </c>
      <c r="BL148" s="7" t="s">
        <v>107</v>
      </c>
      <c r="BM148" s="7" t="s">
        <v>107</v>
      </c>
      <c r="BN148" s="7" t="s">
        <v>107</v>
      </c>
      <c r="BO148" s="8" t="s">
        <v>107</v>
      </c>
      <c r="BP148" s="7" t="s">
        <v>107</v>
      </c>
      <c r="BQ148" s="7" t="s">
        <v>107</v>
      </c>
      <c r="BR148" s="7" t="s">
        <v>107</v>
      </c>
      <c r="BS148" s="3"/>
      <c r="BT148" s="7" t="s">
        <v>107</v>
      </c>
      <c r="BU148" s="7" t="s">
        <v>107</v>
      </c>
      <c r="BV148" s="7" t="s">
        <v>107</v>
      </c>
      <c r="BW148" s="8" t="s">
        <v>107</v>
      </c>
      <c r="BX148" s="7" t="s">
        <v>107</v>
      </c>
      <c r="BY148" s="7" t="s">
        <v>107</v>
      </c>
      <c r="BZ148" s="7" t="s">
        <v>107</v>
      </c>
      <c r="CA148" s="3"/>
      <c r="CB148" s="7"/>
      <c r="CC148" s="7" t="s">
        <v>107</v>
      </c>
      <c r="CD148" s="7" t="s">
        <v>107</v>
      </c>
      <c r="CE148" s="8" t="s">
        <v>107</v>
      </c>
      <c r="CF148" s="7" t="s">
        <v>107</v>
      </c>
      <c r="CG148" s="7" t="s">
        <v>107</v>
      </c>
      <c r="CH148" s="7" t="s">
        <v>107</v>
      </c>
      <c r="CI148" s="3"/>
      <c r="CJ148" s="7"/>
      <c r="CK148" s="7" t="s">
        <v>107</v>
      </c>
      <c r="CL148" s="7" t="s">
        <v>107</v>
      </c>
      <c r="CM148" s="8" t="s">
        <v>107</v>
      </c>
      <c r="CN148" s="7" t="s">
        <v>107</v>
      </c>
      <c r="CO148" s="7" t="s">
        <v>107</v>
      </c>
      <c r="CP148" s="7" t="s">
        <v>107</v>
      </c>
      <c r="CQ148" s="3"/>
      <c r="CR148" s="7"/>
      <c r="CS148" s="7" t="s">
        <v>107</v>
      </c>
      <c r="CT148" s="7" t="s">
        <v>107</v>
      </c>
      <c r="CU148" s="7" t="s">
        <v>107</v>
      </c>
      <c r="CV148" s="7" t="s">
        <v>107</v>
      </c>
      <c r="CW148" s="7" t="s">
        <v>107</v>
      </c>
      <c r="CX148" s="7" t="s">
        <v>107</v>
      </c>
      <c r="CY148" s="3"/>
      <c r="CZ148" s="7"/>
      <c r="DA148" s="7" t="s">
        <v>107</v>
      </c>
      <c r="DB148" s="7" t="s">
        <v>107</v>
      </c>
      <c r="DC148" s="7" t="s">
        <v>107</v>
      </c>
      <c r="DD148" s="7" t="s">
        <v>107</v>
      </c>
      <c r="DE148" s="7" t="s">
        <v>107</v>
      </c>
      <c r="DF148" s="7" t="s">
        <v>107</v>
      </c>
      <c r="DG148" s="3"/>
      <c r="DH148" s="7"/>
      <c r="DI148" s="7" t="s">
        <v>107</v>
      </c>
      <c r="DJ148" s="7" t="s">
        <v>107</v>
      </c>
      <c r="DK148" s="5">
        <f>AM148+AU148+BC148+BK148</f>
        <v>33247.5</v>
      </c>
      <c r="DL148" s="15" t="s">
        <v>3328</v>
      </c>
      <c r="DM148" s="51">
        <f>DL148*0.95</f>
        <v>31586.55</v>
      </c>
    </row>
    <row r="149" spans="1:117" ht="17.25" customHeight="1" x14ac:dyDescent="0.25">
      <c r="A149" s="50" t="s">
        <v>2139</v>
      </c>
      <c r="B149" s="15" t="s">
        <v>2140</v>
      </c>
      <c r="C149" s="15" t="s">
        <v>2141</v>
      </c>
      <c r="D149" s="15" t="s">
        <v>2142</v>
      </c>
      <c r="E149" s="15" t="s">
        <v>1267</v>
      </c>
      <c r="F149" s="15" t="s">
        <v>2143</v>
      </c>
      <c r="G149" s="15" t="s">
        <v>2144</v>
      </c>
      <c r="H149" s="15" t="s">
        <v>2145</v>
      </c>
      <c r="I149" s="15" t="s">
        <v>2146</v>
      </c>
      <c r="J149" s="15" t="s">
        <v>4279</v>
      </c>
      <c r="K149" s="15" t="s">
        <v>101</v>
      </c>
      <c r="L149" s="15" t="s">
        <v>2147</v>
      </c>
      <c r="M149" s="15" t="s">
        <v>2148</v>
      </c>
      <c r="N149" s="15" t="s">
        <v>2149</v>
      </c>
      <c r="O149" s="15" t="s">
        <v>2150</v>
      </c>
      <c r="P149" s="15" t="s">
        <v>2151</v>
      </c>
      <c r="Q149" s="15" t="s">
        <v>2152</v>
      </c>
      <c r="R149" s="15" t="s">
        <v>261</v>
      </c>
      <c r="S149" s="15" t="s">
        <v>2153</v>
      </c>
      <c r="T149" s="15" t="s">
        <v>107</v>
      </c>
      <c r="U149" s="15" t="s">
        <v>2154</v>
      </c>
      <c r="V149" s="15" t="s">
        <v>109</v>
      </c>
      <c r="W149" s="15" t="s">
        <v>2155</v>
      </c>
      <c r="X149" s="16" t="s">
        <v>2156</v>
      </c>
      <c r="Y149" s="15" t="s">
        <v>216</v>
      </c>
      <c r="Z149" s="16" t="s">
        <v>2157</v>
      </c>
      <c r="AA149" s="17">
        <v>1085</v>
      </c>
      <c r="AB149" s="17">
        <v>1</v>
      </c>
      <c r="AC149" s="17">
        <v>611</v>
      </c>
      <c r="AD149" s="17">
        <v>1</v>
      </c>
      <c r="AE149" s="17">
        <v>828</v>
      </c>
      <c r="AF149" s="15" t="s">
        <v>118</v>
      </c>
      <c r="AG149" s="15" t="s">
        <v>115</v>
      </c>
      <c r="AH149" s="15" t="s">
        <v>2158</v>
      </c>
      <c r="AI149" s="18">
        <v>45537.599999999999</v>
      </c>
      <c r="AJ149" s="15">
        <v>0.5</v>
      </c>
      <c r="AK149" s="15" t="s">
        <v>2159</v>
      </c>
      <c r="AL149" s="15" t="s">
        <v>2160</v>
      </c>
      <c r="AM149" s="3">
        <f>(AI149*AJ149)/2</f>
        <v>11384.4</v>
      </c>
      <c r="AN149" s="7" t="s">
        <v>196</v>
      </c>
      <c r="AO149" s="7" t="s">
        <v>107</v>
      </c>
      <c r="AP149" s="7" t="s">
        <v>107</v>
      </c>
      <c r="AQ149" s="8" t="s">
        <v>107</v>
      </c>
      <c r="AR149" s="7" t="s">
        <v>107</v>
      </c>
      <c r="AS149" s="7" t="s">
        <v>107</v>
      </c>
      <c r="AT149" s="7" t="s">
        <v>107</v>
      </c>
      <c r="AU149" s="3"/>
      <c r="AV149" s="7" t="s">
        <v>107</v>
      </c>
      <c r="AW149" s="7" t="s">
        <v>107</v>
      </c>
      <c r="AX149" s="7" t="s">
        <v>107</v>
      </c>
      <c r="AY149" s="8" t="s">
        <v>107</v>
      </c>
      <c r="AZ149" s="7" t="s">
        <v>107</v>
      </c>
      <c r="BA149" s="7" t="s">
        <v>107</v>
      </c>
      <c r="BB149" s="7" t="s">
        <v>107</v>
      </c>
      <c r="BC149" s="3"/>
      <c r="BD149" s="7" t="s">
        <v>107</v>
      </c>
      <c r="BE149" s="7" t="s">
        <v>107</v>
      </c>
      <c r="BF149" s="7" t="s">
        <v>107</v>
      </c>
      <c r="BG149" s="7" t="s">
        <v>107</v>
      </c>
      <c r="BH149" s="7" t="s">
        <v>107</v>
      </c>
      <c r="BI149" s="7" t="s">
        <v>107</v>
      </c>
      <c r="BJ149" s="7" t="s">
        <v>107</v>
      </c>
      <c r="BK149" s="3"/>
      <c r="BL149" s="7" t="s">
        <v>107</v>
      </c>
      <c r="BM149" s="7" t="s">
        <v>107</v>
      </c>
      <c r="BN149" s="7" t="s">
        <v>107</v>
      </c>
      <c r="BO149" s="8" t="s">
        <v>107</v>
      </c>
      <c r="BP149" s="7" t="s">
        <v>107</v>
      </c>
      <c r="BQ149" s="7" t="s">
        <v>107</v>
      </c>
      <c r="BR149" s="7" t="s">
        <v>107</v>
      </c>
      <c r="BS149" s="3"/>
      <c r="BT149" s="7" t="s">
        <v>107</v>
      </c>
      <c r="BU149" s="7" t="s">
        <v>107</v>
      </c>
      <c r="BV149" s="7" t="s">
        <v>107</v>
      </c>
      <c r="BW149" s="8" t="s">
        <v>107</v>
      </c>
      <c r="BX149" s="7" t="s">
        <v>107</v>
      </c>
      <c r="BY149" s="7" t="s">
        <v>107</v>
      </c>
      <c r="BZ149" s="7" t="s">
        <v>107</v>
      </c>
      <c r="CA149" s="3"/>
      <c r="CB149" s="7"/>
      <c r="CC149" s="7" t="s">
        <v>107</v>
      </c>
      <c r="CD149" s="7" t="s">
        <v>107</v>
      </c>
      <c r="CE149" s="8" t="s">
        <v>107</v>
      </c>
      <c r="CF149" s="7" t="s">
        <v>107</v>
      </c>
      <c r="CG149" s="7" t="s">
        <v>107</v>
      </c>
      <c r="CH149" s="7" t="s">
        <v>107</v>
      </c>
      <c r="CI149" s="3"/>
      <c r="CJ149" s="7"/>
      <c r="CK149" s="7" t="s">
        <v>107</v>
      </c>
      <c r="CL149" s="7" t="s">
        <v>107</v>
      </c>
      <c r="CM149" s="8" t="s">
        <v>107</v>
      </c>
      <c r="CN149" s="7" t="s">
        <v>107</v>
      </c>
      <c r="CO149" s="7" t="s">
        <v>107</v>
      </c>
      <c r="CP149" s="7" t="s">
        <v>107</v>
      </c>
      <c r="CQ149" s="3"/>
      <c r="CR149" s="7"/>
      <c r="CS149" s="7" t="s">
        <v>107</v>
      </c>
      <c r="CT149" s="7" t="s">
        <v>107</v>
      </c>
      <c r="CU149" s="7" t="s">
        <v>107</v>
      </c>
      <c r="CV149" s="7" t="s">
        <v>107</v>
      </c>
      <c r="CW149" s="7" t="s">
        <v>107</v>
      </c>
      <c r="CX149" s="7" t="s">
        <v>107</v>
      </c>
      <c r="CY149" s="3"/>
      <c r="CZ149" s="7"/>
      <c r="DA149" s="7" t="s">
        <v>107</v>
      </c>
      <c r="DB149" s="7" t="s">
        <v>107</v>
      </c>
      <c r="DC149" s="7" t="s">
        <v>107</v>
      </c>
      <c r="DD149" s="7" t="s">
        <v>107</v>
      </c>
      <c r="DE149" s="7" t="s">
        <v>107</v>
      </c>
      <c r="DF149" s="7" t="s">
        <v>107</v>
      </c>
      <c r="DG149" s="3"/>
      <c r="DH149" s="7"/>
      <c r="DI149" s="7" t="s">
        <v>107</v>
      </c>
      <c r="DJ149" s="7" t="s">
        <v>107</v>
      </c>
      <c r="DK149" s="5">
        <f>AM149</f>
        <v>11384.4</v>
      </c>
      <c r="DL149" s="15" t="s">
        <v>2161</v>
      </c>
      <c r="DM149" s="51">
        <f>DL149*0.95</f>
        <v>10815.179999999998</v>
      </c>
    </row>
    <row r="150" spans="1:117" ht="17.25" customHeight="1" x14ac:dyDescent="0.25">
      <c r="A150" s="50" t="s">
        <v>3444</v>
      </c>
      <c r="B150" s="15" t="s">
        <v>3445</v>
      </c>
      <c r="C150" s="15" t="s">
        <v>1825</v>
      </c>
      <c r="D150" s="15" t="s">
        <v>1826</v>
      </c>
      <c r="E150" s="15" t="s">
        <v>1321</v>
      </c>
      <c r="F150" s="15" t="s">
        <v>3446</v>
      </c>
      <c r="G150" s="15" t="s">
        <v>3447</v>
      </c>
      <c r="H150" s="15" t="s">
        <v>3448</v>
      </c>
      <c r="I150" s="15" t="s">
        <v>3449</v>
      </c>
      <c r="J150" s="15" t="s">
        <v>4343</v>
      </c>
      <c r="K150" s="15" t="s">
        <v>151</v>
      </c>
      <c r="L150" s="15" t="s">
        <v>3446</v>
      </c>
      <c r="M150" s="15" t="s">
        <v>3450</v>
      </c>
      <c r="N150" s="15" t="s">
        <v>3451</v>
      </c>
      <c r="O150" s="15" t="s">
        <v>3446</v>
      </c>
      <c r="P150" s="15" t="s">
        <v>3452</v>
      </c>
      <c r="Q150" s="15" t="s">
        <v>3453</v>
      </c>
      <c r="R150" s="15" t="s">
        <v>157</v>
      </c>
      <c r="S150" s="15" t="s">
        <v>3454</v>
      </c>
      <c r="T150" s="15" t="s">
        <v>107</v>
      </c>
      <c r="U150" s="15" t="s">
        <v>3455</v>
      </c>
      <c r="V150" s="15" t="s">
        <v>109</v>
      </c>
      <c r="W150" s="15" t="s">
        <v>3456</v>
      </c>
      <c r="X150" s="16" t="s">
        <v>3457</v>
      </c>
      <c r="Y150" s="15" t="s">
        <v>184</v>
      </c>
      <c r="Z150" s="16" t="s">
        <v>4078</v>
      </c>
      <c r="AA150" s="17">
        <v>400</v>
      </c>
      <c r="AB150" s="17">
        <v>1</v>
      </c>
      <c r="AC150" s="17">
        <v>150</v>
      </c>
      <c r="AD150" s="17">
        <v>1</v>
      </c>
      <c r="AE150" s="17">
        <v>0</v>
      </c>
      <c r="AF150" s="15" t="s">
        <v>142</v>
      </c>
      <c r="AG150" s="15" t="s">
        <v>157</v>
      </c>
      <c r="AH150" s="15" t="s">
        <v>3453</v>
      </c>
      <c r="AI150" s="18">
        <v>45756</v>
      </c>
      <c r="AJ150" s="15">
        <v>0.2</v>
      </c>
      <c r="AK150" s="15" t="s">
        <v>3458</v>
      </c>
      <c r="AL150" s="15" t="s">
        <v>3459</v>
      </c>
      <c r="AM150" s="3">
        <f>(AI150*AJ150)/2</f>
        <v>4575.6000000000004</v>
      </c>
      <c r="AN150" s="7" t="s">
        <v>107</v>
      </c>
      <c r="AO150" s="7" t="s">
        <v>107</v>
      </c>
      <c r="AP150" s="7" t="s">
        <v>107</v>
      </c>
      <c r="AQ150" s="8" t="s">
        <v>107</v>
      </c>
      <c r="AR150" s="7" t="s">
        <v>107</v>
      </c>
      <c r="AS150" s="7" t="s">
        <v>107</v>
      </c>
      <c r="AT150" s="7" t="s">
        <v>107</v>
      </c>
      <c r="AU150" s="3"/>
      <c r="AV150" s="7" t="s">
        <v>107</v>
      </c>
      <c r="AW150" s="7" t="s">
        <v>107</v>
      </c>
      <c r="AX150" s="7" t="s">
        <v>107</v>
      </c>
      <c r="AY150" s="8" t="s">
        <v>107</v>
      </c>
      <c r="AZ150" s="7" t="s">
        <v>107</v>
      </c>
      <c r="BA150" s="7" t="s">
        <v>107</v>
      </c>
      <c r="BB150" s="7" t="s">
        <v>107</v>
      </c>
      <c r="BC150" s="3"/>
      <c r="BD150" s="7" t="s">
        <v>107</v>
      </c>
      <c r="BE150" s="7" t="s">
        <v>107</v>
      </c>
      <c r="BF150" s="7" t="s">
        <v>107</v>
      </c>
      <c r="BG150" s="7" t="s">
        <v>107</v>
      </c>
      <c r="BH150" s="7" t="s">
        <v>107</v>
      </c>
      <c r="BI150" s="7" t="s">
        <v>107</v>
      </c>
      <c r="BJ150" s="7" t="s">
        <v>107</v>
      </c>
      <c r="BK150" s="3"/>
      <c r="BL150" s="7" t="s">
        <v>107</v>
      </c>
      <c r="BM150" s="7" t="s">
        <v>107</v>
      </c>
      <c r="BN150" s="7" t="s">
        <v>107</v>
      </c>
      <c r="BO150" s="8" t="s">
        <v>107</v>
      </c>
      <c r="BP150" s="7" t="s">
        <v>107</v>
      </c>
      <c r="BQ150" s="7" t="s">
        <v>107</v>
      </c>
      <c r="BR150" s="7" t="s">
        <v>107</v>
      </c>
      <c r="BS150" s="3"/>
      <c r="BT150" s="7" t="s">
        <v>107</v>
      </c>
      <c r="BU150" s="7" t="s">
        <v>107</v>
      </c>
      <c r="BV150" s="7" t="s">
        <v>107</v>
      </c>
      <c r="BW150" s="8" t="s">
        <v>107</v>
      </c>
      <c r="BX150" s="7" t="s">
        <v>107</v>
      </c>
      <c r="BY150" s="7" t="s">
        <v>107</v>
      </c>
      <c r="BZ150" s="7" t="s">
        <v>107</v>
      </c>
      <c r="CA150" s="3"/>
      <c r="CB150" s="7"/>
      <c r="CC150" s="7" t="s">
        <v>107</v>
      </c>
      <c r="CD150" s="7" t="s">
        <v>107</v>
      </c>
      <c r="CE150" s="8" t="s">
        <v>107</v>
      </c>
      <c r="CF150" s="7" t="s">
        <v>107</v>
      </c>
      <c r="CG150" s="7" t="s">
        <v>107</v>
      </c>
      <c r="CH150" s="7" t="s">
        <v>107</v>
      </c>
      <c r="CI150" s="3"/>
      <c r="CJ150" s="7"/>
      <c r="CK150" s="7" t="s">
        <v>107</v>
      </c>
      <c r="CL150" s="7" t="s">
        <v>107</v>
      </c>
      <c r="CM150" s="8" t="s">
        <v>107</v>
      </c>
      <c r="CN150" s="7" t="s">
        <v>107</v>
      </c>
      <c r="CO150" s="7" t="s">
        <v>107</v>
      </c>
      <c r="CP150" s="7" t="s">
        <v>107</v>
      </c>
      <c r="CQ150" s="3"/>
      <c r="CR150" s="7"/>
      <c r="CS150" s="7" t="s">
        <v>107</v>
      </c>
      <c r="CT150" s="7" t="s">
        <v>107</v>
      </c>
      <c r="CU150" s="7" t="s">
        <v>107</v>
      </c>
      <c r="CV150" s="7" t="s">
        <v>107</v>
      </c>
      <c r="CW150" s="7" t="s">
        <v>107</v>
      </c>
      <c r="CX150" s="7" t="s">
        <v>107</v>
      </c>
      <c r="CY150" s="3"/>
      <c r="CZ150" s="7"/>
      <c r="DA150" s="7" t="s">
        <v>107</v>
      </c>
      <c r="DB150" s="7" t="s">
        <v>107</v>
      </c>
      <c r="DC150" s="7" t="s">
        <v>107</v>
      </c>
      <c r="DD150" s="7" t="s">
        <v>107</v>
      </c>
      <c r="DE150" s="7" t="s">
        <v>107</v>
      </c>
      <c r="DF150" s="7" t="s">
        <v>107</v>
      </c>
      <c r="DG150" s="3"/>
      <c r="DH150" s="7"/>
      <c r="DI150" s="7" t="s">
        <v>107</v>
      </c>
      <c r="DJ150" s="7" t="s">
        <v>107</v>
      </c>
      <c r="DK150" s="5">
        <f>AM150</f>
        <v>4575.6000000000004</v>
      </c>
      <c r="DL150" s="15" t="s">
        <v>3459</v>
      </c>
      <c r="DM150" s="51">
        <f>DL150*0.95</f>
        <v>4346.25</v>
      </c>
    </row>
    <row r="151" spans="1:117" ht="17.25" customHeight="1" x14ac:dyDescent="0.25">
      <c r="A151" s="50" t="s">
        <v>1431</v>
      </c>
      <c r="B151" s="15" t="s">
        <v>1432</v>
      </c>
      <c r="C151" s="15" t="s">
        <v>1433</v>
      </c>
      <c r="D151" s="15" t="s">
        <v>1434</v>
      </c>
      <c r="E151" s="15" t="s">
        <v>1435</v>
      </c>
      <c r="F151" s="15" t="s">
        <v>1436</v>
      </c>
      <c r="G151" s="15" t="s">
        <v>1437</v>
      </c>
      <c r="H151" s="15" t="s">
        <v>1438</v>
      </c>
      <c r="I151" s="15" t="s">
        <v>4013</v>
      </c>
      <c r="J151" s="15" t="s">
        <v>4248</v>
      </c>
      <c r="K151" s="15" t="s">
        <v>151</v>
      </c>
      <c r="L151" s="15" t="s">
        <v>1436</v>
      </c>
      <c r="M151" s="15" t="s">
        <v>1439</v>
      </c>
      <c r="N151" s="15" t="s">
        <v>1440</v>
      </c>
      <c r="O151" s="15" t="s">
        <v>1441</v>
      </c>
      <c r="P151" s="15" t="s">
        <v>1442</v>
      </c>
      <c r="Q151" s="15" t="s">
        <v>1448</v>
      </c>
      <c r="R151" s="15" t="s">
        <v>352</v>
      </c>
      <c r="S151" s="15" t="s">
        <v>1443</v>
      </c>
      <c r="T151" s="15" t="s">
        <v>107</v>
      </c>
      <c r="U151" s="15" t="s">
        <v>1444</v>
      </c>
      <c r="V151" s="15" t="s">
        <v>109</v>
      </c>
      <c r="W151" s="15" t="s">
        <v>1445</v>
      </c>
      <c r="X151" s="16" t="s">
        <v>1446</v>
      </c>
      <c r="Y151" s="15" t="s">
        <v>107</v>
      </c>
      <c r="Z151" s="16" t="s">
        <v>1447</v>
      </c>
      <c r="AA151" s="17">
        <v>0</v>
      </c>
      <c r="AB151" s="17">
        <v>1</v>
      </c>
      <c r="AC151" s="17">
        <v>450</v>
      </c>
      <c r="AD151" s="17">
        <v>1</v>
      </c>
      <c r="AE151" s="17">
        <v>1850</v>
      </c>
      <c r="AF151" s="15" t="s">
        <v>142</v>
      </c>
      <c r="AG151" s="15" t="s">
        <v>480</v>
      </c>
      <c r="AH151" s="15" t="s">
        <v>1448</v>
      </c>
      <c r="AI151" s="18">
        <v>61693</v>
      </c>
      <c r="AJ151" s="15">
        <v>0.35</v>
      </c>
      <c r="AK151" s="15" t="s">
        <v>1449</v>
      </c>
      <c r="AL151" s="15" t="s">
        <v>1450</v>
      </c>
      <c r="AM151" s="3">
        <f>(AI151*AJ151)/2</f>
        <v>10796.275</v>
      </c>
      <c r="AN151" s="7" t="s">
        <v>196</v>
      </c>
      <c r="AO151" s="7" t="s">
        <v>480</v>
      </c>
      <c r="AP151" s="7" t="s">
        <v>1451</v>
      </c>
      <c r="AQ151" s="8">
        <v>61693</v>
      </c>
      <c r="AR151" s="7">
        <v>0.4</v>
      </c>
      <c r="AS151" s="7" t="s">
        <v>1452</v>
      </c>
      <c r="AT151" s="7" t="s">
        <v>1453</v>
      </c>
      <c r="AU151" s="3">
        <f>(AQ151*AR151)/2</f>
        <v>12338.6</v>
      </c>
      <c r="AV151" s="7" t="s">
        <v>107</v>
      </c>
      <c r="AW151" s="7" t="s">
        <v>107</v>
      </c>
      <c r="AX151" s="7" t="s">
        <v>107</v>
      </c>
      <c r="AY151" s="8" t="s">
        <v>107</v>
      </c>
      <c r="AZ151" s="7" t="s">
        <v>107</v>
      </c>
      <c r="BA151" s="7" t="s">
        <v>107</v>
      </c>
      <c r="BB151" s="7" t="s">
        <v>107</v>
      </c>
      <c r="BC151" s="3"/>
      <c r="BD151" s="7" t="s">
        <v>107</v>
      </c>
      <c r="BE151" s="7" t="s">
        <v>107</v>
      </c>
      <c r="BF151" s="7" t="s">
        <v>107</v>
      </c>
      <c r="BG151" s="7" t="s">
        <v>107</v>
      </c>
      <c r="BH151" s="7" t="s">
        <v>107</v>
      </c>
      <c r="BI151" s="7" t="s">
        <v>107</v>
      </c>
      <c r="BJ151" s="7" t="s">
        <v>107</v>
      </c>
      <c r="BK151" s="3"/>
      <c r="BL151" s="7" t="s">
        <v>107</v>
      </c>
      <c r="BM151" s="7" t="s">
        <v>107</v>
      </c>
      <c r="BN151" s="7" t="s">
        <v>107</v>
      </c>
      <c r="BO151" s="8" t="s">
        <v>107</v>
      </c>
      <c r="BP151" s="7" t="s">
        <v>107</v>
      </c>
      <c r="BQ151" s="7" t="s">
        <v>107</v>
      </c>
      <c r="BR151" s="7" t="s">
        <v>107</v>
      </c>
      <c r="BS151" s="3"/>
      <c r="BT151" s="7" t="s">
        <v>107</v>
      </c>
      <c r="BU151" s="7" t="s">
        <v>107</v>
      </c>
      <c r="BV151" s="7" t="s">
        <v>107</v>
      </c>
      <c r="BW151" s="8" t="s">
        <v>107</v>
      </c>
      <c r="BX151" s="7" t="s">
        <v>107</v>
      </c>
      <c r="BY151" s="7" t="s">
        <v>107</v>
      </c>
      <c r="BZ151" s="7" t="s">
        <v>107</v>
      </c>
      <c r="CA151" s="3"/>
      <c r="CB151" s="7"/>
      <c r="CC151" s="7" t="s">
        <v>107</v>
      </c>
      <c r="CD151" s="7" t="s">
        <v>107</v>
      </c>
      <c r="CE151" s="8" t="s">
        <v>107</v>
      </c>
      <c r="CF151" s="7" t="s">
        <v>107</v>
      </c>
      <c r="CG151" s="7" t="s">
        <v>107</v>
      </c>
      <c r="CH151" s="7" t="s">
        <v>107</v>
      </c>
      <c r="CI151" s="3"/>
      <c r="CJ151" s="7"/>
      <c r="CK151" s="7" t="s">
        <v>107</v>
      </c>
      <c r="CL151" s="7" t="s">
        <v>107</v>
      </c>
      <c r="CM151" s="8" t="s">
        <v>107</v>
      </c>
      <c r="CN151" s="7" t="s">
        <v>107</v>
      </c>
      <c r="CO151" s="7" t="s">
        <v>107</v>
      </c>
      <c r="CP151" s="7" t="s">
        <v>107</v>
      </c>
      <c r="CQ151" s="3"/>
      <c r="CR151" s="7"/>
      <c r="CS151" s="7" t="s">
        <v>107</v>
      </c>
      <c r="CT151" s="7" t="s">
        <v>107</v>
      </c>
      <c r="CU151" s="7" t="s">
        <v>107</v>
      </c>
      <c r="CV151" s="7" t="s">
        <v>107</v>
      </c>
      <c r="CW151" s="7" t="s">
        <v>107</v>
      </c>
      <c r="CX151" s="7" t="s">
        <v>107</v>
      </c>
      <c r="CY151" s="3"/>
      <c r="CZ151" s="7"/>
      <c r="DA151" s="7" t="s">
        <v>107</v>
      </c>
      <c r="DB151" s="7" t="s">
        <v>107</v>
      </c>
      <c r="DC151" s="7" t="s">
        <v>107</v>
      </c>
      <c r="DD151" s="7" t="s">
        <v>107</v>
      </c>
      <c r="DE151" s="7" t="s">
        <v>107</v>
      </c>
      <c r="DF151" s="7" t="s">
        <v>107</v>
      </c>
      <c r="DG151" s="3"/>
      <c r="DH151" s="7"/>
      <c r="DI151" s="7" t="s">
        <v>107</v>
      </c>
      <c r="DJ151" s="7" t="s">
        <v>107</v>
      </c>
      <c r="DK151" s="5">
        <f>AM151+AU151</f>
        <v>23134.875</v>
      </c>
      <c r="DL151" s="15" t="s">
        <v>1454</v>
      </c>
      <c r="DM151" s="51">
        <f>DL151*0.95</f>
        <v>21977.3</v>
      </c>
    </row>
    <row r="152" spans="1:117" ht="17.25" customHeight="1" x14ac:dyDescent="0.25">
      <c r="A152" s="50" t="s">
        <v>3896</v>
      </c>
      <c r="B152" s="15" t="s">
        <v>1632</v>
      </c>
      <c r="C152" s="15" t="s">
        <v>1633</v>
      </c>
      <c r="D152" s="15" t="s">
        <v>1634</v>
      </c>
      <c r="E152" s="15" t="s">
        <v>357</v>
      </c>
      <c r="F152" s="15" t="s">
        <v>1635</v>
      </c>
      <c r="G152" s="15" t="s">
        <v>1636</v>
      </c>
      <c r="H152" s="15" t="s">
        <v>1637</v>
      </c>
      <c r="I152" s="15" t="s">
        <v>1638</v>
      </c>
      <c r="J152" s="15" t="s">
        <v>4257</v>
      </c>
      <c r="K152" s="15" t="s">
        <v>151</v>
      </c>
      <c r="L152" s="15" t="s">
        <v>1635</v>
      </c>
      <c r="M152" s="15" t="s">
        <v>1639</v>
      </c>
      <c r="N152" s="15" t="s">
        <v>1640</v>
      </c>
      <c r="O152" s="15" t="s">
        <v>1641</v>
      </c>
      <c r="P152" s="15" t="s">
        <v>1642</v>
      </c>
      <c r="Q152" s="15" t="s">
        <v>1643</v>
      </c>
      <c r="R152" s="15" t="s">
        <v>480</v>
      </c>
      <c r="S152" s="15" t="s">
        <v>1635</v>
      </c>
      <c r="T152" s="15" t="s">
        <v>107</v>
      </c>
      <c r="U152" s="15" t="s">
        <v>1644</v>
      </c>
      <c r="V152" s="15" t="s">
        <v>109</v>
      </c>
      <c r="W152" s="15" t="s">
        <v>1645</v>
      </c>
      <c r="X152" s="16" t="s">
        <v>1646</v>
      </c>
      <c r="Y152" s="15" t="s">
        <v>184</v>
      </c>
      <c r="Z152" s="16" t="s">
        <v>1647</v>
      </c>
      <c r="AA152" s="17">
        <v>820</v>
      </c>
      <c r="AB152" s="17">
        <v>1</v>
      </c>
      <c r="AC152" s="17">
        <v>320</v>
      </c>
      <c r="AD152" s="17">
        <v>1</v>
      </c>
      <c r="AE152" s="17">
        <v>630</v>
      </c>
      <c r="AF152" s="15" t="s">
        <v>118</v>
      </c>
      <c r="AG152" s="15" t="s">
        <v>480</v>
      </c>
      <c r="AH152" s="15" t="s">
        <v>1643</v>
      </c>
      <c r="AI152" s="21">
        <v>60320</v>
      </c>
      <c r="AJ152" s="15">
        <v>0.8</v>
      </c>
      <c r="AK152" s="15" t="s">
        <v>1648</v>
      </c>
      <c r="AL152" s="15" t="s">
        <v>1649</v>
      </c>
      <c r="AM152" s="3">
        <f>(AI152*AJ152)/2</f>
        <v>24128</v>
      </c>
      <c r="AN152" s="7" t="s">
        <v>107</v>
      </c>
      <c r="AO152" s="7" t="s">
        <v>107</v>
      </c>
      <c r="AP152" s="7" t="s">
        <v>107</v>
      </c>
      <c r="AQ152" s="8" t="s">
        <v>107</v>
      </c>
      <c r="AR152" s="7" t="s">
        <v>107</v>
      </c>
      <c r="AS152" s="7" t="s">
        <v>107</v>
      </c>
      <c r="AT152" s="7" t="s">
        <v>107</v>
      </c>
      <c r="AU152" s="3"/>
      <c r="AV152" s="7" t="s">
        <v>107</v>
      </c>
      <c r="AW152" s="7" t="s">
        <v>107</v>
      </c>
      <c r="AX152" s="7" t="s">
        <v>107</v>
      </c>
      <c r="AY152" s="8" t="s">
        <v>107</v>
      </c>
      <c r="AZ152" s="7" t="s">
        <v>107</v>
      </c>
      <c r="BA152" s="7" t="s">
        <v>107</v>
      </c>
      <c r="BB152" s="7" t="s">
        <v>107</v>
      </c>
      <c r="BC152" s="3"/>
      <c r="BD152" s="7" t="s">
        <v>107</v>
      </c>
      <c r="BE152" s="7" t="s">
        <v>107</v>
      </c>
      <c r="BF152" s="7" t="s">
        <v>107</v>
      </c>
      <c r="BG152" s="7" t="s">
        <v>107</v>
      </c>
      <c r="BH152" s="7" t="s">
        <v>107</v>
      </c>
      <c r="BI152" s="7" t="s">
        <v>107</v>
      </c>
      <c r="BJ152" s="7" t="s">
        <v>107</v>
      </c>
      <c r="BK152" s="3"/>
      <c r="BL152" s="7" t="s">
        <v>107</v>
      </c>
      <c r="BM152" s="7" t="s">
        <v>107</v>
      </c>
      <c r="BN152" s="7" t="s">
        <v>107</v>
      </c>
      <c r="BO152" s="8" t="s">
        <v>107</v>
      </c>
      <c r="BP152" s="7" t="s">
        <v>107</v>
      </c>
      <c r="BQ152" s="7" t="s">
        <v>107</v>
      </c>
      <c r="BR152" s="7" t="s">
        <v>107</v>
      </c>
      <c r="BS152" s="3"/>
      <c r="BT152" s="7" t="s">
        <v>107</v>
      </c>
      <c r="BU152" s="7" t="s">
        <v>107</v>
      </c>
      <c r="BV152" s="7" t="s">
        <v>107</v>
      </c>
      <c r="BW152" s="8" t="s">
        <v>107</v>
      </c>
      <c r="BX152" s="7" t="s">
        <v>107</v>
      </c>
      <c r="BY152" s="7" t="s">
        <v>107</v>
      </c>
      <c r="BZ152" s="7" t="s">
        <v>107</v>
      </c>
      <c r="CA152" s="3"/>
      <c r="CB152" s="7"/>
      <c r="CC152" s="7" t="s">
        <v>107</v>
      </c>
      <c r="CD152" s="7" t="s">
        <v>107</v>
      </c>
      <c r="CE152" s="8" t="s">
        <v>107</v>
      </c>
      <c r="CF152" s="7" t="s">
        <v>107</v>
      </c>
      <c r="CG152" s="7" t="s">
        <v>107</v>
      </c>
      <c r="CH152" s="7" t="s">
        <v>107</v>
      </c>
      <c r="CI152" s="3"/>
      <c r="CJ152" s="7"/>
      <c r="CK152" s="7" t="s">
        <v>107</v>
      </c>
      <c r="CL152" s="7" t="s">
        <v>107</v>
      </c>
      <c r="CM152" s="8" t="s">
        <v>107</v>
      </c>
      <c r="CN152" s="7" t="s">
        <v>107</v>
      </c>
      <c r="CO152" s="7" t="s">
        <v>107</v>
      </c>
      <c r="CP152" s="7" t="s">
        <v>107</v>
      </c>
      <c r="CQ152" s="3"/>
      <c r="CR152" s="7"/>
      <c r="CS152" s="7" t="s">
        <v>107</v>
      </c>
      <c r="CT152" s="7" t="s">
        <v>107</v>
      </c>
      <c r="CU152" s="7" t="s">
        <v>107</v>
      </c>
      <c r="CV152" s="7" t="s">
        <v>107</v>
      </c>
      <c r="CW152" s="7" t="s">
        <v>107</v>
      </c>
      <c r="CX152" s="7" t="s">
        <v>107</v>
      </c>
      <c r="CY152" s="3"/>
      <c r="CZ152" s="7"/>
      <c r="DA152" s="7" t="s">
        <v>107</v>
      </c>
      <c r="DB152" s="7" t="s">
        <v>107</v>
      </c>
      <c r="DC152" s="7" t="s">
        <v>107</v>
      </c>
      <c r="DD152" s="7" t="s">
        <v>107</v>
      </c>
      <c r="DE152" s="7" t="s">
        <v>107</v>
      </c>
      <c r="DF152" s="7" t="s">
        <v>107</v>
      </c>
      <c r="DG152" s="3"/>
      <c r="DH152" s="7"/>
      <c r="DI152" s="7" t="s">
        <v>107</v>
      </c>
      <c r="DJ152" s="7" t="s">
        <v>107</v>
      </c>
      <c r="DK152" s="5">
        <f>AM152</f>
        <v>24128</v>
      </c>
      <c r="DL152" s="15" t="s">
        <v>1649</v>
      </c>
      <c r="DM152" s="51">
        <f>DL152*0.95</f>
        <v>22921.599999999999</v>
      </c>
    </row>
    <row r="153" spans="1:117" ht="17.25" customHeight="1" x14ac:dyDescent="0.25">
      <c r="A153" s="50" t="s">
        <v>865</v>
      </c>
      <c r="B153" s="15" t="s">
        <v>866</v>
      </c>
      <c r="C153" s="15" t="s">
        <v>867</v>
      </c>
      <c r="D153" s="15" t="s">
        <v>868</v>
      </c>
      <c r="E153" s="15" t="s">
        <v>351</v>
      </c>
      <c r="F153" s="15" t="s">
        <v>869</v>
      </c>
      <c r="G153" s="15" t="s">
        <v>870</v>
      </c>
      <c r="H153" s="15" t="s">
        <v>871</v>
      </c>
      <c r="I153" s="15" t="s">
        <v>872</v>
      </c>
      <c r="J153" s="15" t="s">
        <v>4222</v>
      </c>
      <c r="K153" s="15" t="s">
        <v>151</v>
      </c>
      <c r="L153" s="15" t="s">
        <v>873</v>
      </c>
      <c r="M153" s="15" t="s">
        <v>874</v>
      </c>
      <c r="N153" s="15" t="s">
        <v>4034</v>
      </c>
      <c r="O153" s="15" t="s">
        <v>875</v>
      </c>
      <c r="P153" s="15" t="s">
        <v>876</v>
      </c>
      <c r="Q153" s="15" t="s">
        <v>877</v>
      </c>
      <c r="R153" s="15" t="s">
        <v>878</v>
      </c>
      <c r="S153" s="15" t="s">
        <v>869</v>
      </c>
      <c r="T153" s="15" t="s">
        <v>107</v>
      </c>
      <c r="U153" s="15" t="s">
        <v>879</v>
      </c>
      <c r="V153" s="15" t="s">
        <v>109</v>
      </c>
      <c r="W153" s="15" t="s">
        <v>880</v>
      </c>
      <c r="X153" s="16" t="s">
        <v>881</v>
      </c>
      <c r="Y153" s="15" t="s">
        <v>185</v>
      </c>
      <c r="Z153" s="16" t="s">
        <v>882</v>
      </c>
      <c r="AA153" s="17">
        <v>504</v>
      </c>
      <c r="AB153" s="17">
        <v>2</v>
      </c>
      <c r="AC153" s="17">
        <v>510</v>
      </c>
      <c r="AD153" s="17">
        <v>1</v>
      </c>
      <c r="AE153" s="17">
        <v>602</v>
      </c>
      <c r="AF153" s="15" t="s">
        <v>142</v>
      </c>
      <c r="AG153" s="15" t="s">
        <v>157</v>
      </c>
      <c r="AH153" s="15" t="s">
        <v>883</v>
      </c>
      <c r="AI153" s="18">
        <v>67975</v>
      </c>
      <c r="AJ153" s="15">
        <v>1</v>
      </c>
      <c r="AK153" s="15" t="s">
        <v>884</v>
      </c>
      <c r="AL153" s="15" t="s">
        <v>885</v>
      </c>
      <c r="AM153" s="3">
        <f>(AI153*AJ153)/2</f>
        <v>33987.5</v>
      </c>
      <c r="AN153" s="7" t="s">
        <v>142</v>
      </c>
      <c r="AO153" s="7" t="s">
        <v>157</v>
      </c>
      <c r="AP153" s="7" t="s">
        <v>886</v>
      </c>
      <c r="AQ153" s="8">
        <v>67975</v>
      </c>
      <c r="AR153" s="7">
        <v>0.5</v>
      </c>
      <c r="AS153" s="7" t="s">
        <v>885</v>
      </c>
      <c r="AT153" s="7" t="s">
        <v>887</v>
      </c>
      <c r="AU153" s="3">
        <f>(AQ153*AR153)/2</f>
        <v>16993.75</v>
      </c>
      <c r="AV153" s="7" t="s">
        <v>196</v>
      </c>
      <c r="AW153" s="7" t="s">
        <v>157</v>
      </c>
      <c r="AX153" s="7" t="s">
        <v>888</v>
      </c>
      <c r="AY153" s="8">
        <v>67975</v>
      </c>
      <c r="AZ153" s="7">
        <v>0.25</v>
      </c>
      <c r="BA153" s="7" t="s">
        <v>887</v>
      </c>
      <c r="BB153" s="7" t="s">
        <v>889</v>
      </c>
      <c r="BC153" s="3">
        <f>(AY153*AZ153)/2</f>
        <v>8496.875</v>
      </c>
      <c r="BD153" s="7" t="s">
        <v>107</v>
      </c>
      <c r="BE153" s="7" t="s">
        <v>107</v>
      </c>
      <c r="BF153" s="7" t="s">
        <v>107</v>
      </c>
      <c r="BG153" s="7" t="s">
        <v>107</v>
      </c>
      <c r="BH153" s="7" t="s">
        <v>107</v>
      </c>
      <c r="BI153" s="7" t="s">
        <v>107</v>
      </c>
      <c r="BJ153" s="7" t="s">
        <v>107</v>
      </c>
      <c r="BK153" s="3"/>
      <c r="BL153" s="7" t="s">
        <v>107</v>
      </c>
      <c r="BM153" s="7" t="s">
        <v>107</v>
      </c>
      <c r="BN153" s="7" t="s">
        <v>107</v>
      </c>
      <c r="BO153" s="8" t="s">
        <v>107</v>
      </c>
      <c r="BP153" s="7" t="s">
        <v>107</v>
      </c>
      <c r="BQ153" s="7" t="s">
        <v>107</v>
      </c>
      <c r="BR153" s="7" t="s">
        <v>107</v>
      </c>
      <c r="BS153" s="3"/>
      <c r="BT153" s="7" t="s">
        <v>107</v>
      </c>
      <c r="BU153" s="7" t="s">
        <v>107</v>
      </c>
      <c r="BV153" s="7" t="s">
        <v>107</v>
      </c>
      <c r="BW153" s="8" t="s">
        <v>107</v>
      </c>
      <c r="BX153" s="7" t="s">
        <v>107</v>
      </c>
      <c r="BY153" s="7" t="s">
        <v>107</v>
      </c>
      <c r="BZ153" s="7" t="s">
        <v>107</v>
      </c>
      <c r="CA153" s="3"/>
      <c r="CB153" s="7"/>
      <c r="CC153" s="7" t="s">
        <v>107</v>
      </c>
      <c r="CD153" s="7" t="s">
        <v>107</v>
      </c>
      <c r="CE153" s="8" t="s">
        <v>107</v>
      </c>
      <c r="CF153" s="7" t="s">
        <v>107</v>
      </c>
      <c r="CG153" s="7" t="s">
        <v>107</v>
      </c>
      <c r="CH153" s="7" t="s">
        <v>107</v>
      </c>
      <c r="CI153" s="3"/>
      <c r="CJ153" s="7"/>
      <c r="CK153" s="7" t="s">
        <v>107</v>
      </c>
      <c r="CL153" s="7" t="s">
        <v>107</v>
      </c>
      <c r="CM153" s="8" t="s">
        <v>107</v>
      </c>
      <c r="CN153" s="7" t="s">
        <v>107</v>
      </c>
      <c r="CO153" s="7" t="s">
        <v>107</v>
      </c>
      <c r="CP153" s="7" t="s">
        <v>107</v>
      </c>
      <c r="CQ153" s="3"/>
      <c r="CR153" s="7"/>
      <c r="CS153" s="7" t="s">
        <v>107</v>
      </c>
      <c r="CT153" s="7" t="s">
        <v>107</v>
      </c>
      <c r="CU153" s="7" t="s">
        <v>107</v>
      </c>
      <c r="CV153" s="7" t="s">
        <v>107</v>
      </c>
      <c r="CW153" s="7" t="s">
        <v>107</v>
      </c>
      <c r="CX153" s="7" t="s">
        <v>107</v>
      </c>
      <c r="CY153" s="3"/>
      <c r="CZ153" s="7"/>
      <c r="DA153" s="7" t="s">
        <v>107</v>
      </c>
      <c r="DB153" s="7" t="s">
        <v>107</v>
      </c>
      <c r="DC153" s="7" t="s">
        <v>107</v>
      </c>
      <c r="DD153" s="7" t="s">
        <v>107</v>
      </c>
      <c r="DE153" s="7" t="s">
        <v>107</v>
      </c>
      <c r="DF153" s="7" t="s">
        <v>107</v>
      </c>
      <c r="DG153" s="3"/>
      <c r="DH153" s="7"/>
      <c r="DI153" s="7" t="s">
        <v>107</v>
      </c>
      <c r="DJ153" s="7" t="s">
        <v>107</v>
      </c>
      <c r="DK153" s="5">
        <f>AM153+AU153+BC153</f>
        <v>59478.125</v>
      </c>
      <c r="DL153" s="15" t="s">
        <v>890</v>
      </c>
      <c r="DM153" s="51">
        <f>DL153*0.95</f>
        <v>56504.223499999993</v>
      </c>
    </row>
    <row r="154" spans="1:117" ht="17.25" customHeight="1" x14ac:dyDescent="0.25">
      <c r="A154" s="50" t="s">
        <v>687</v>
      </c>
      <c r="B154" s="15" t="s">
        <v>688</v>
      </c>
      <c r="C154" s="15" t="s">
        <v>689</v>
      </c>
      <c r="D154" s="15" t="s">
        <v>690</v>
      </c>
      <c r="E154" s="15" t="s">
        <v>691</v>
      </c>
      <c r="F154" s="15" t="s">
        <v>692</v>
      </c>
      <c r="G154" s="15" t="s">
        <v>693</v>
      </c>
      <c r="H154" s="15" t="s">
        <v>694</v>
      </c>
      <c r="I154" s="15" t="s">
        <v>695</v>
      </c>
      <c r="J154" s="15" t="s">
        <v>4214</v>
      </c>
      <c r="K154" s="15" t="s">
        <v>151</v>
      </c>
      <c r="L154" s="15" t="s">
        <v>692</v>
      </c>
      <c r="M154" s="15" t="s">
        <v>696</v>
      </c>
      <c r="N154" s="15" t="s">
        <v>697</v>
      </c>
      <c r="O154" s="15" t="s">
        <v>698</v>
      </c>
      <c r="P154" s="15" t="s">
        <v>699</v>
      </c>
      <c r="Q154" s="15" t="s">
        <v>695</v>
      </c>
      <c r="R154" s="15" t="s">
        <v>700</v>
      </c>
      <c r="S154" s="15" t="s">
        <v>692</v>
      </c>
      <c r="T154" s="15" t="s">
        <v>107</v>
      </c>
      <c r="U154" s="15" t="s">
        <v>696</v>
      </c>
      <c r="V154" s="15" t="s">
        <v>109</v>
      </c>
      <c r="W154" s="15" t="s">
        <v>701</v>
      </c>
      <c r="X154" s="16" t="s">
        <v>702</v>
      </c>
      <c r="Y154" s="15" t="s">
        <v>114</v>
      </c>
      <c r="Z154" s="22" t="s">
        <v>703</v>
      </c>
      <c r="AA154" s="17">
        <v>785</v>
      </c>
      <c r="AB154" s="17">
        <v>1</v>
      </c>
      <c r="AC154" s="17">
        <v>713</v>
      </c>
      <c r="AD154" s="17">
        <v>1</v>
      </c>
      <c r="AE154" s="17">
        <v>689</v>
      </c>
      <c r="AF154" s="15" t="s">
        <v>196</v>
      </c>
      <c r="AG154" s="15" t="s">
        <v>157</v>
      </c>
      <c r="AH154" s="15" t="s">
        <v>704</v>
      </c>
      <c r="AI154" s="21">
        <v>41184</v>
      </c>
      <c r="AJ154" s="15">
        <v>0.25</v>
      </c>
      <c r="AK154" s="15" t="s">
        <v>705</v>
      </c>
      <c r="AL154" s="15" t="s">
        <v>706</v>
      </c>
      <c r="AM154" s="3">
        <f>(AI154*AJ154)/2</f>
        <v>5148</v>
      </c>
      <c r="AN154" s="7" t="s">
        <v>107</v>
      </c>
      <c r="AO154" s="7" t="s">
        <v>107</v>
      </c>
      <c r="AP154" s="7" t="s">
        <v>107</v>
      </c>
      <c r="AQ154" s="8" t="s">
        <v>107</v>
      </c>
      <c r="AR154" s="7" t="s">
        <v>107</v>
      </c>
      <c r="AS154" s="7" t="s">
        <v>107</v>
      </c>
      <c r="AT154" s="7" t="s">
        <v>107</v>
      </c>
      <c r="AU154" s="3"/>
      <c r="AV154" s="7" t="s">
        <v>107</v>
      </c>
      <c r="AW154" s="7" t="s">
        <v>107</v>
      </c>
      <c r="AX154" s="7" t="s">
        <v>107</v>
      </c>
      <c r="AY154" s="8" t="s">
        <v>107</v>
      </c>
      <c r="AZ154" s="7" t="s">
        <v>107</v>
      </c>
      <c r="BA154" s="7" t="s">
        <v>107</v>
      </c>
      <c r="BB154" s="7" t="s">
        <v>107</v>
      </c>
      <c r="BC154" s="3"/>
      <c r="BD154" s="7" t="s">
        <v>107</v>
      </c>
      <c r="BE154" s="7" t="s">
        <v>107</v>
      </c>
      <c r="BF154" s="7" t="s">
        <v>107</v>
      </c>
      <c r="BG154" s="7" t="s">
        <v>107</v>
      </c>
      <c r="BH154" s="7" t="s">
        <v>107</v>
      </c>
      <c r="BI154" s="7" t="s">
        <v>107</v>
      </c>
      <c r="BJ154" s="7" t="s">
        <v>107</v>
      </c>
      <c r="BK154" s="3"/>
      <c r="BL154" s="7" t="s">
        <v>107</v>
      </c>
      <c r="BM154" s="7" t="s">
        <v>107</v>
      </c>
      <c r="BN154" s="7" t="s">
        <v>107</v>
      </c>
      <c r="BO154" s="8" t="s">
        <v>107</v>
      </c>
      <c r="BP154" s="7" t="s">
        <v>107</v>
      </c>
      <c r="BQ154" s="7" t="s">
        <v>107</v>
      </c>
      <c r="BR154" s="7" t="s">
        <v>107</v>
      </c>
      <c r="BS154" s="3"/>
      <c r="BT154" s="7" t="s">
        <v>107</v>
      </c>
      <c r="BU154" s="7" t="s">
        <v>107</v>
      </c>
      <c r="BV154" s="7" t="s">
        <v>107</v>
      </c>
      <c r="BW154" s="8" t="s">
        <v>107</v>
      </c>
      <c r="BX154" s="7" t="s">
        <v>107</v>
      </c>
      <c r="BY154" s="7" t="s">
        <v>107</v>
      </c>
      <c r="BZ154" s="7" t="s">
        <v>107</v>
      </c>
      <c r="CA154" s="3"/>
      <c r="CB154" s="7"/>
      <c r="CC154" s="7" t="s">
        <v>107</v>
      </c>
      <c r="CD154" s="7" t="s">
        <v>107</v>
      </c>
      <c r="CE154" s="8" t="s">
        <v>107</v>
      </c>
      <c r="CF154" s="7" t="s">
        <v>107</v>
      </c>
      <c r="CG154" s="7" t="s">
        <v>107</v>
      </c>
      <c r="CH154" s="7" t="s">
        <v>107</v>
      </c>
      <c r="CI154" s="3"/>
      <c r="CJ154" s="7"/>
      <c r="CK154" s="7" t="s">
        <v>107</v>
      </c>
      <c r="CL154" s="7" t="s">
        <v>107</v>
      </c>
      <c r="CM154" s="8" t="s">
        <v>107</v>
      </c>
      <c r="CN154" s="7" t="s">
        <v>107</v>
      </c>
      <c r="CO154" s="7" t="s">
        <v>107</v>
      </c>
      <c r="CP154" s="7" t="s">
        <v>107</v>
      </c>
      <c r="CQ154" s="3"/>
      <c r="CR154" s="7"/>
      <c r="CS154" s="7" t="s">
        <v>107</v>
      </c>
      <c r="CT154" s="7" t="s">
        <v>107</v>
      </c>
      <c r="CU154" s="7" t="s">
        <v>107</v>
      </c>
      <c r="CV154" s="7" t="s">
        <v>107</v>
      </c>
      <c r="CW154" s="7" t="s">
        <v>107</v>
      </c>
      <c r="CX154" s="7" t="s">
        <v>107</v>
      </c>
      <c r="CY154" s="3"/>
      <c r="CZ154" s="7"/>
      <c r="DA154" s="7" t="s">
        <v>107</v>
      </c>
      <c r="DB154" s="7" t="s">
        <v>107</v>
      </c>
      <c r="DC154" s="7" t="s">
        <v>107</v>
      </c>
      <c r="DD154" s="7" t="s">
        <v>107</v>
      </c>
      <c r="DE154" s="7" t="s">
        <v>107</v>
      </c>
      <c r="DF154" s="7" t="s">
        <v>107</v>
      </c>
      <c r="DG154" s="3"/>
      <c r="DH154" s="7"/>
      <c r="DI154" s="7" t="s">
        <v>107</v>
      </c>
      <c r="DJ154" s="7" t="s">
        <v>107</v>
      </c>
      <c r="DK154" s="5">
        <f>AM154</f>
        <v>5148</v>
      </c>
      <c r="DL154" s="15" t="s">
        <v>706</v>
      </c>
      <c r="DM154" s="51">
        <f>DL154*0.95</f>
        <v>4890.5999999999995</v>
      </c>
    </row>
    <row r="155" spans="1:117" ht="17.25" customHeight="1" x14ac:dyDescent="0.25">
      <c r="A155" s="50" t="s">
        <v>3897</v>
      </c>
      <c r="B155" s="15" t="s">
        <v>2863</v>
      </c>
      <c r="C155" s="15" t="s">
        <v>2864</v>
      </c>
      <c r="D155" s="15" t="s">
        <v>2865</v>
      </c>
      <c r="E155" s="15" t="s">
        <v>2568</v>
      </c>
      <c r="F155" s="15" t="s">
        <v>2866</v>
      </c>
      <c r="G155" s="15" t="s">
        <v>2867</v>
      </c>
      <c r="H155" s="15" t="s">
        <v>2868</v>
      </c>
      <c r="I155" s="15" t="s">
        <v>2869</v>
      </c>
      <c r="J155" s="15" t="s">
        <v>4315</v>
      </c>
      <c r="K155" s="15" t="s">
        <v>151</v>
      </c>
      <c r="L155" s="15" t="s">
        <v>2866</v>
      </c>
      <c r="M155" s="15" t="s">
        <v>2870</v>
      </c>
      <c r="N155" s="15" t="s">
        <v>2871</v>
      </c>
      <c r="O155" s="15" t="s">
        <v>2866</v>
      </c>
      <c r="P155" s="15" t="s">
        <v>107</v>
      </c>
      <c r="Q155" s="15" t="s">
        <v>2872</v>
      </c>
      <c r="R155" s="15" t="s">
        <v>132</v>
      </c>
      <c r="S155" s="15" t="s">
        <v>2866</v>
      </c>
      <c r="T155" s="15" t="s">
        <v>107</v>
      </c>
      <c r="U155" s="15" t="s">
        <v>2873</v>
      </c>
      <c r="V155" s="15" t="s">
        <v>109</v>
      </c>
      <c r="W155" s="15" t="s">
        <v>2874</v>
      </c>
      <c r="X155" s="16" t="s">
        <v>2875</v>
      </c>
      <c r="Y155" s="15" t="s">
        <v>112</v>
      </c>
      <c r="Z155" s="16" t="s">
        <v>2876</v>
      </c>
      <c r="AA155" s="17">
        <v>692</v>
      </c>
      <c r="AB155" s="17">
        <v>1</v>
      </c>
      <c r="AC155" s="17">
        <v>205</v>
      </c>
      <c r="AD155" s="17">
        <v>1</v>
      </c>
      <c r="AE155" s="17">
        <v>351</v>
      </c>
      <c r="AF155" s="15" t="s">
        <v>196</v>
      </c>
      <c r="AG155" s="15" t="s">
        <v>132</v>
      </c>
      <c r="AH155" s="15" t="s">
        <v>2872</v>
      </c>
      <c r="AI155" s="20">
        <v>33633.599999999999</v>
      </c>
      <c r="AJ155" s="15">
        <v>0.6</v>
      </c>
      <c r="AK155" s="15" t="s">
        <v>2877</v>
      </c>
      <c r="AL155" s="15" t="s">
        <v>2878</v>
      </c>
      <c r="AM155" s="3">
        <f>(AI155*AJ155)/2</f>
        <v>10090.08</v>
      </c>
      <c r="AN155" s="7" t="s">
        <v>107</v>
      </c>
      <c r="AO155" s="7" t="s">
        <v>107</v>
      </c>
      <c r="AP155" s="7" t="s">
        <v>107</v>
      </c>
      <c r="AQ155" s="8" t="s">
        <v>107</v>
      </c>
      <c r="AR155" s="7" t="s">
        <v>107</v>
      </c>
      <c r="AS155" s="7" t="s">
        <v>107</v>
      </c>
      <c r="AT155" s="7" t="s">
        <v>107</v>
      </c>
      <c r="AU155" s="3"/>
      <c r="AV155" s="7" t="s">
        <v>107</v>
      </c>
      <c r="AW155" s="7" t="s">
        <v>107</v>
      </c>
      <c r="AX155" s="7" t="s">
        <v>107</v>
      </c>
      <c r="AY155" s="8" t="s">
        <v>107</v>
      </c>
      <c r="AZ155" s="7" t="s">
        <v>107</v>
      </c>
      <c r="BA155" s="7" t="s">
        <v>107</v>
      </c>
      <c r="BB155" s="7" t="s">
        <v>107</v>
      </c>
      <c r="BC155" s="3"/>
      <c r="BD155" s="7" t="s">
        <v>107</v>
      </c>
      <c r="BE155" s="7" t="s">
        <v>107</v>
      </c>
      <c r="BF155" s="7" t="s">
        <v>107</v>
      </c>
      <c r="BG155" s="7" t="s">
        <v>107</v>
      </c>
      <c r="BH155" s="7" t="s">
        <v>107</v>
      </c>
      <c r="BI155" s="7" t="s">
        <v>107</v>
      </c>
      <c r="BJ155" s="7" t="s">
        <v>107</v>
      </c>
      <c r="BK155" s="3"/>
      <c r="BL155" s="7" t="s">
        <v>107</v>
      </c>
      <c r="BM155" s="7" t="s">
        <v>107</v>
      </c>
      <c r="BN155" s="7" t="s">
        <v>107</v>
      </c>
      <c r="BO155" s="8" t="s">
        <v>107</v>
      </c>
      <c r="BP155" s="7" t="s">
        <v>107</v>
      </c>
      <c r="BQ155" s="7" t="s">
        <v>107</v>
      </c>
      <c r="BR155" s="7" t="s">
        <v>107</v>
      </c>
      <c r="BS155" s="3"/>
      <c r="BT155" s="7" t="s">
        <v>107</v>
      </c>
      <c r="BU155" s="7" t="s">
        <v>107</v>
      </c>
      <c r="BV155" s="7" t="s">
        <v>107</v>
      </c>
      <c r="BW155" s="8" t="s">
        <v>107</v>
      </c>
      <c r="BX155" s="7" t="s">
        <v>107</v>
      </c>
      <c r="BY155" s="7" t="s">
        <v>107</v>
      </c>
      <c r="BZ155" s="7" t="s">
        <v>107</v>
      </c>
      <c r="CA155" s="3"/>
      <c r="CB155" s="7"/>
      <c r="CC155" s="7" t="s">
        <v>107</v>
      </c>
      <c r="CD155" s="7" t="s">
        <v>107</v>
      </c>
      <c r="CE155" s="8" t="s">
        <v>107</v>
      </c>
      <c r="CF155" s="7" t="s">
        <v>107</v>
      </c>
      <c r="CG155" s="7" t="s">
        <v>107</v>
      </c>
      <c r="CH155" s="7" t="s">
        <v>107</v>
      </c>
      <c r="CI155" s="3"/>
      <c r="CJ155" s="7"/>
      <c r="CK155" s="7" t="s">
        <v>107</v>
      </c>
      <c r="CL155" s="7" t="s">
        <v>107</v>
      </c>
      <c r="CM155" s="8" t="s">
        <v>107</v>
      </c>
      <c r="CN155" s="7" t="s">
        <v>107</v>
      </c>
      <c r="CO155" s="7" t="s">
        <v>107</v>
      </c>
      <c r="CP155" s="7" t="s">
        <v>107</v>
      </c>
      <c r="CQ155" s="3"/>
      <c r="CR155" s="7"/>
      <c r="CS155" s="7" t="s">
        <v>107</v>
      </c>
      <c r="CT155" s="7" t="s">
        <v>107</v>
      </c>
      <c r="CU155" s="7" t="s">
        <v>107</v>
      </c>
      <c r="CV155" s="7" t="s">
        <v>107</v>
      </c>
      <c r="CW155" s="7" t="s">
        <v>107</v>
      </c>
      <c r="CX155" s="7" t="s">
        <v>107</v>
      </c>
      <c r="CY155" s="3"/>
      <c r="CZ155" s="7"/>
      <c r="DA155" s="7" t="s">
        <v>107</v>
      </c>
      <c r="DB155" s="7" t="s">
        <v>107</v>
      </c>
      <c r="DC155" s="7" t="s">
        <v>107</v>
      </c>
      <c r="DD155" s="7" t="s">
        <v>107</v>
      </c>
      <c r="DE155" s="7" t="s">
        <v>107</v>
      </c>
      <c r="DF155" s="7" t="s">
        <v>107</v>
      </c>
      <c r="DG155" s="3"/>
      <c r="DH155" s="7"/>
      <c r="DI155" s="7" t="s">
        <v>107</v>
      </c>
      <c r="DJ155" s="7" t="s">
        <v>107</v>
      </c>
      <c r="DK155" s="5">
        <f>AM155</f>
        <v>10090.08</v>
      </c>
      <c r="DL155" s="15" t="s">
        <v>2879</v>
      </c>
      <c r="DM155" s="51">
        <f>DL155*0.95</f>
        <v>9585.5759999999991</v>
      </c>
    </row>
    <row r="156" spans="1:117" ht="17.25" customHeight="1" x14ac:dyDescent="0.25">
      <c r="A156" s="50" t="s">
        <v>3898</v>
      </c>
      <c r="B156" s="15" t="s">
        <v>3953</v>
      </c>
      <c r="C156" s="15" t="s">
        <v>1017</v>
      </c>
      <c r="D156" s="15" t="s">
        <v>1018</v>
      </c>
      <c r="E156" s="15" t="s">
        <v>1019</v>
      </c>
      <c r="F156" s="15" t="s">
        <v>1020</v>
      </c>
      <c r="G156" s="15" t="s">
        <v>1021</v>
      </c>
      <c r="H156" s="15" t="s">
        <v>1022</v>
      </c>
      <c r="I156" s="15" t="s">
        <v>1027</v>
      </c>
      <c r="J156" s="15" t="s">
        <v>4229</v>
      </c>
      <c r="K156" s="15" t="s">
        <v>151</v>
      </c>
      <c r="L156" s="15" t="s">
        <v>1020</v>
      </c>
      <c r="M156" s="15" t="s">
        <v>1023</v>
      </c>
      <c r="N156" s="15" t="s">
        <v>1024</v>
      </c>
      <c r="O156" s="15" t="s">
        <v>1025</v>
      </c>
      <c r="P156" s="15" t="s">
        <v>1026</v>
      </c>
      <c r="Q156" s="15" t="s">
        <v>1027</v>
      </c>
      <c r="R156" s="15" t="s">
        <v>151</v>
      </c>
      <c r="S156" s="15" t="s">
        <v>1020</v>
      </c>
      <c r="T156" s="15" t="s">
        <v>107</v>
      </c>
      <c r="U156" s="15" t="s">
        <v>1028</v>
      </c>
      <c r="V156" s="15" t="s">
        <v>181</v>
      </c>
      <c r="W156" s="15" t="s">
        <v>107</v>
      </c>
      <c r="X156" s="16" t="s">
        <v>1029</v>
      </c>
      <c r="Y156" s="15" t="s">
        <v>107</v>
      </c>
      <c r="Z156" s="29" t="s">
        <v>4090</v>
      </c>
      <c r="AA156" s="17">
        <v>0</v>
      </c>
      <c r="AB156" s="17">
        <v>1</v>
      </c>
      <c r="AC156" s="17">
        <v>300</v>
      </c>
      <c r="AD156" s="17">
        <v>0</v>
      </c>
      <c r="AE156" s="17">
        <v>0</v>
      </c>
      <c r="AF156" s="15" t="s">
        <v>196</v>
      </c>
      <c r="AG156" s="15" t="s">
        <v>480</v>
      </c>
      <c r="AH156" s="15" t="s">
        <v>1030</v>
      </c>
      <c r="AI156" s="18">
        <v>20186</v>
      </c>
      <c r="AJ156" s="15">
        <v>0.25</v>
      </c>
      <c r="AK156" s="15" t="s">
        <v>1031</v>
      </c>
      <c r="AL156" s="15" t="s">
        <v>1032</v>
      </c>
      <c r="AM156" s="3">
        <f>(AI156*AJ156)/2</f>
        <v>2523.25</v>
      </c>
      <c r="AN156" s="7" t="s">
        <v>107</v>
      </c>
      <c r="AO156" s="7" t="s">
        <v>107</v>
      </c>
      <c r="AP156" s="7" t="s">
        <v>107</v>
      </c>
      <c r="AQ156" s="8" t="s">
        <v>107</v>
      </c>
      <c r="AR156" s="7" t="s">
        <v>107</v>
      </c>
      <c r="AS156" s="7" t="s">
        <v>107</v>
      </c>
      <c r="AT156" s="7" t="s">
        <v>107</v>
      </c>
      <c r="AU156" s="3"/>
      <c r="AV156" s="7" t="s">
        <v>107</v>
      </c>
      <c r="AW156" s="7" t="s">
        <v>107</v>
      </c>
      <c r="AX156" s="7" t="s">
        <v>107</v>
      </c>
      <c r="AY156" s="8" t="s">
        <v>107</v>
      </c>
      <c r="AZ156" s="7" t="s">
        <v>107</v>
      </c>
      <c r="BA156" s="7" t="s">
        <v>107</v>
      </c>
      <c r="BB156" s="7" t="s">
        <v>107</v>
      </c>
      <c r="BC156" s="3"/>
      <c r="BD156" s="7" t="s">
        <v>107</v>
      </c>
      <c r="BE156" s="7" t="s">
        <v>107</v>
      </c>
      <c r="BF156" s="7" t="s">
        <v>107</v>
      </c>
      <c r="BG156" s="7" t="s">
        <v>107</v>
      </c>
      <c r="BH156" s="7" t="s">
        <v>107</v>
      </c>
      <c r="BI156" s="7" t="s">
        <v>107</v>
      </c>
      <c r="BJ156" s="7" t="s">
        <v>107</v>
      </c>
      <c r="BK156" s="3"/>
      <c r="BL156" s="7" t="s">
        <v>107</v>
      </c>
      <c r="BM156" s="7" t="s">
        <v>107</v>
      </c>
      <c r="BN156" s="7" t="s">
        <v>107</v>
      </c>
      <c r="BO156" s="8" t="s">
        <v>107</v>
      </c>
      <c r="BP156" s="7" t="s">
        <v>107</v>
      </c>
      <c r="BQ156" s="7" t="s">
        <v>107</v>
      </c>
      <c r="BR156" s="7" t="s">
        <v>107</v>
      </c>
      <c r="BS156" s="3"/>
      <c r="BT156" s="7" t="s">
        <v>107</v>
      </c>
      <c r="BU156" s="7" t="s">
        <v>107</v>
      </c>
      <c r="BV156" s="7" t="s">
        <v>107</v>
      </c>
      <c r="BW156" s="8" t="s">
        <v>107</v>
      </c>
      <c r="BX156" s="7" t="s">
        <v>107</v>
      </c>
      <c r="BY156" s="7" t="s">
        <v>107</v>
      </c>
      <c r="BZ156" s="7" t="s">
        <v>107</v>
      </c>
      <c r="CA156" s="3"/>
      <c r="CB156" s="7"/>
      <c r="CC156" s="7" t="s">
        <v>107</v>
      </c>
      <c r="CD156" s="7" t="s">
        <v>107</v>
      </c>
      <c r="CE156" s="8" t="s">
        <v>107</v>
      </c>
      <c r="CF156" s="7" t="s">
        <v>107</v>
      </c>
      <c r="CG156" s="7" t="s">
        <v>107</v>
      </c>
      <c r="CH156" s="7" t="s">
        <v>107</v>
      </c>
      <c r="CI156" s="3"/>
      <c r="CJ156" s="7"/>
      <c r="CK156" s="7" t="s">
        <v>107</v>
      </c>
      <c r="CL156" s="7" t="s">
        <v>107</v>
      </c>
      <c r="CM156" s="8" t="s">
        <v>107</v>
      </c>
      <c r="CN156" s="7" t="s">
        <v>107</v>
      </c>
      <c r="CO156" s="7" t="s">
        <v>107</v>
      </c>
      <c r="CP156" s="7" t="s">
        <v>107</v>
      </c>
      <c r="CQ156" s="3"/>
      <c r="CR156" s="7"/>
      <c r="CS156" s="7" t="s">
        <v>107</v>
      </c>
      <c r="CT156" s="7" t="s">
        <v>107</v>
      </c>
      <c r="CU156" s="7" t="s">
        <v>107</v>
      </c>
      <c r="CV156" s="7" t="s">
        <v>107</v>
      </c>
      <c r="CW156" s="7" t="s">
        <v>107</v>
      </c>
      <c r="CX156" s="7" t="s">
        <v>107</v>
      </c>
      <c r="CY156" s="3"/>
      <c r="CZ156" s="7"/>
      <c r="DA156" s="7" t="s">
        <v>107</v>
      </c>
      <c r="DB156" s="7" t="s">
        <v>107</v>
      </c>
      <c r="DC156" s="7" t="s">
        <v>107</v>
      </c>
      <c r="DD156" s="7" t="s">
        <v>107</v>
      </c>
      <c r="DE156" s="7" t="s">
        <v>107</v>
      </c>
      <c r="DF156" s="7" t="s">
        <v>107</v>
      </c>
      <c r="DG156" s="3"/>
      <c r="DH156" s="7"/>
      <c r="DI156" s="7" t="s">
        <v>107</v>
      </c>
      <c r="DJ156" s="7" t="s">
        <v>107</v>
      </c>
      <c r="DK156" s="5">
        <f>AM156</f>
        <v>2523.25</v>
      </c>
      <c r="DL156" s="15" t="s">
        <v>1033</v>
      </c>
      <c r="DM156" s="51">
        <f>DL156*0.95</f>
        <v>2397.0875000000001</v>
      </c>
    </row>
    <row r="157" spans="1:117" ht="17.25" customHeight="1" x14ac:dyDescent="0.25">
      <c r="A157" s="50" t="s">
        <v>3094</v>
      </c>
      <c r="B157" s="15" t="s">
        <v>3095</v>
      </c>
      <c r="C157" s="15" t="s">
        <v>3096</v>
      </c>
      <c r="D157" s="15" t="s">
        <v>3097</v>
      </c>
      <c r="E157" s="15" t="s">
        <v>1435</v>
      </c>
      <c r="F157" s="15" t="s">
        <v>3098</v>
      </c>
      <c r="G157" s="15" t="s">
        <v>3099</v>
      </c>
      <c r="H157" s="15" t="s">
        <v>3100</v>
      </c>
      <c r="I157" s="15" t="s">
        <v>3101</v>
      </c>
      <c r="J157" s="15" t="s">
        <v>4327</v>
      </c>
      <c r="K157" s="15" t="s">
        <v>101</v>
      </c>
      <c r="L157" s="15" t="s">
        <v>3102</v>
      </c>
      <c r="M157" s="15" t="s">
        <v>3103</v>
      </c>
      <c r="N157" s="15" t="s">
        <v>3104</v>
      </c>
      <c r="O157" s="15" t="s">
        <v>3098</v>
      </c>
      <c r="P157" s="15" t="s">
        <v>3105</v>
      </c>
      <c r="Q157" s="15" t="s">
        <v>3106</v>
      </c>
      <c r="R157" s="15" t="s">
        <v>132</v>
      </c>
      <c r="S157" s="15" t="s">
        <v>3107</v>
      </c>
      <c r="T157" s="15" t="s">
        <v>107</v>
      </c>
      <c r="U157" s="15" t="s">
        <v>3108</v>
      </c>
      <c r="V157" s="15" t="s">
        <v>109</v>
      </c>
      <c r="W157" s="15" t="s">
        <v>3109</v>
      </c>
      <c r="X157" s="16" t="s">
        <v>3110</v>
      </c>
      <c r="Y157" s="15" t="s">
        <v>742</v>
      </c>
      <c r="Z157" s="16" t="s">
        <v>3111</v>
      </c>
      <c r="AA157" s="17">
        <v>3400</v>
      </c>
      <c r="AB157" s="17">
        <v>4</v>
      </c>
      <c r="AC157" s="17">
        <v>1750</v>
      </c>
      <c r="AD157" s="17">
        <v>4</v>
      </c>
      <c r="AE157" s="17">
        <v>1670</v>
      </c>
      <c r="AF157" s="15" t="s">
        <v>118</v>
      </c>
      <c r="AG157" s="15" t="s">
        <v>115</v>
      </c>
      <c r="AH157" s="15" t="s">
        <v>3112</v>
      </c>
      <c r="AI157" s="18">
        <v>53945.64</v>
      </c>
      <c r="AJ157" s="15">
        <v>0.69</v>
      </c>
      <c r="AK157" s="15" t="s">
        <v>3113</v>
      </c>
      <c r="AL157" s="15" t="s">
        <v>3114</v>
      </c>
      <c r="AM157" s="3">
        <f>(AI157*AJ157)/2</f>
        <v>18611.245799999997</v>
      </c>
      <c r="AN157" s="7" t="s">
        <v>118</v>
      </c>
      <c r="AO157" s="7" t="s">
        <v>115</v>
      </c>
      <c r="AP157" s="7" t="s">
        <v>3115</v>
      </c>
      <c r="AQ157" s="8">
        <v>53945.64</v>
      </c>
      <c r="AR157" s="7">
        <v>0.69</v>
      </c>
      <c r="AS157" s="7" t="s">
        <v>3113</v>
      </c>
      <c r="AT157" s="7" t="s">
        <v>3114</v>
      </c>
      <c r="AU157" s="3">
        <f>(AQ157*AR157)/2</f>
        <v>18611.245799999997</v>
      </c>
      <c r="AV157" s="7" t="s">
        <v>142</v>
      </c>
      <c r="AW157" s="7" t="s">
        <v>115</v>
      </c>
      <c r="AX157" s="7" t="s">
        <v>3116</v>
      </c>
      <c r="AY157" s="8">
        <v>53945.64</v>
      </c>
      <c r="AZ157" s="7">
        <v>0.69</v>
      </c>
      <c r="BA157" s="7" t="s">
        <v>3113</v>
      </c>
      <c r="BB157" s="7" t="s">
        <v>3114</v>
      </c>
      <c r="BC157" s="3">
        <f>(AY157*AZ157)/2</f>
        <v>18611.245799999997</v>
      </c>
      <c r="BD157" s="7" t="s">
        <v>142</v>
      </c>
      <c r="BE157" s="7" t="s">
        <v>503</v>
      </c>
      <c r="BF157" s="7" t="s">
        <v>3117</v>
      </c>
      <c r="BG157" s="12">
        <v>53945.64</v>
      </c>
      <c r="BH157" s="7">
        <v>0.4</v>
      </c>
      <c r="BI157" s="7" t="s">
        <v>3118</v>
      </c>
      <c r="BJ157" s="7" t="s">
        <v>3119</v>
      </c>
      <c r="BK157" s="3">
        <f>(BG157*BH157)/2</f>
        <v>10789.128000000001</v>
      </c>
      <c r="BL157" s="7" t="s">
        <v>142</v>
      </c>
      <c r="BM157" s="7" t="s">
        <v>115</v>
      </c>
      <c r="BN157" s="7" t="s">
        <v>3120</v>
      </c>
      <c r="BO157" s="8">
        <v>53946.64</v>
      </c>
      <c r="BP157" s="7">
        <v>0.4</v>
      </c>
      <c r="BQ157" s="7" t="s">
        <v>3118</v>
      </c>
      <c r="BR157" s="7" t="s">
        <v>3119</v>
      </c>
      <c r="BS157" s="3">
        <f>(BO157*BP157)/2</f>
        <v>10789.328000000001</v>
      </c>
      <c r="BT157" s="7" t="s">
        <v>142</v>
      </c>
      <c r="BU157" s="7" t="s">
        <v>132</v>
      </c>
      <c r="BV157" s="7" t="s">
        <v>3106</v>
      </c>
      <c r="BW157" s="8">
        <v>62579.51</v>
      </c>
      <c r="BX157" s="7">
        <v>0.2</v>
      </c>
      <c r="BY157" s="7" t="s">
        <v>3121</v>
      </c>
      <c r="BZ157" s="7" t="s">
        <v>3122</v>
      </c>
      <c r="CA157" s="3">
        <f>(BW157*BX157)/2</f>
        <v>6257.9510000000009</v>
      </c>
      <c r="CB157" s="7"/>
      <c r="CC157" s="7" t="s">
        <v>107</v>
      </c>
      <c r="CD157" s="7" t="s">
        <v>107</v>
      </c>
      <c r="CE157" s="8" t="s">
        <v>107</v>
      </c>
      <c r="CF157" s="7" t="s">
        <v>107</v>
      </c>
      <c r="CG157" s="7" t="s">
        <v>107</v>
      </c>
      <c r="CH157" s="7" t="s">
        <v>107</v>
      </c>
      <c r="CI157" s="3"/>
      <c r="CJ157" s="7"/>
      <c r="CK157" s="7" t="s">
        <v>107</v>
      </c>
      <c r="CL157" s="7" t="s">
        <v>107</v>
      </c>
      <c r="CM157" s="8" t="s">
        <v>107</v>
      </c>
      <c r="CN157" s="7" t="s">
        <v>107</v>
      </c>
      <c r="CO157" s="7" t="s">
        <v>107</v>
      </c>
      <c r="CP157" s="7" t="s">
        <v>107</v>
      </c>
      <c r="CQ157" s="3"/>
      <c r="CR157" s="7"/>
      <c r="CS157" s="7" t="s">
        <v>107</v>
      </c>
      <c r="CT157" s="7" t="s">
        <v>107</v>
      </c>
      <c r="CU157" s="7" t="s">
        <v>107</v>
      </c>
      <c r="CV157" s="7" t="s">
        <v>107</v>
      </c>
      <c r="CW157" s="7" t="s">
        <v>107</v>
      </c>
      <c r="CX157" s="7" t="s">
        <v>107</v>
      </c>
      <c r="CY157" s="3"/>
      <c r="CZ157" s="7"/>
      <c r="DA157" s="7" t="s">
        <v>107</v>
      </c>
      <c r="DB157" s="7" t="s">
        <v>107</v>
      </c>
      <c r="DC157" s="7" t="s">
        <v>107</v>
      </c>
      <c r="DD157" s="7" t="s">
        <v>107</v>
      </c>
      <c r="DE157" s="7" t="s">
        <v>107</v>
      </c>
      <c r="DF157" s="7" t="s">
        <v>107</v>
      </c>
      <c r="DG157" s="3"/>
      <c r="DH157" s="7"/>
      <c r="DI157" s="7" t="s">
        <v>107</v>
      </c>
      <c r="DJ157" s="7" t="s">
        <v>107</v>
      </c>
      <c r="DK157" s="5">
        <f>AM157+AU157+BC157+BK157+BS157+CA157</f>
        <v>83670.14439999999</v>
      </c>
      <c r="DL157" s="15" t="s">
        <v>3123</v>
      </c>
      <c r="DM157" s="51">
        <f>DL157*0.95</f>
        <v>79486.813500000004</v>
      </c>
    </row>
    <row r="158" spans="1:117" ht="17.25" customHeight="1" x14ac:dyDescent="0.25">
      <c r="A158" s="50" t="s">
        <v>3855</v>
      </c>
      <c r="B158" s="15" t="s">
        <v>2721</v>
      </c>
      <c r="C158" s="15" t="s">
        <v>2722</v>
      </c>
      <c r="D158" s="15" t="s">
        <v>820</v>
      </c>
      <c r="E158" s="15" t="s">
        <v>168</v>
      </c>
      <c r="F158" s="15" t="s">
        <v>2723</v>
      </c>
      <c r="G158" s="15" t="s">
        <v>2724</v>
      </c>
      <c r="H158" s="15" t="s">
        <v>2725</v>
      </c>
      <c r="I158" s="15" t="s">
        <v>2726</v>
      </c>
      <c r="J158" s="15" t="s">
        <v>4308</v>
      </c>
      <c r="K158" s="15" t="s">
        <v>151</v>
      </c>
      <c r="L158" s="15" t="s">
        <v>2727</v>
      </c>
      <c r="M158" s="15" t="s">
        <v>2728</v>
      </c>
      <c r="N158" s="15" t="s">
        <v>2729</v>
      </c>
      <c r="O158" s="15" t="s">
        <v>2730</v>
      </c>
      <c r="P158" s="15" t="s">
        <v>2731</v>
      </c>
      <c r="Q158" s="15" t="s">
        <v>2732</v>
      </c>
      <c r="R158" s="15" t="s">
        <v>2733</v>
      </c>
      <c r="S158" s="15" t="s">
        <v>2723</v>
      </c>
      <c r="T158" s="15" t="s">
        <v>107</v>
      </c>
      <c r="U158" s="15" t="s">
        <v>2734</v>
      </c>
      <c r="V158" s="15" t="s">
        <v>109</v>
      </c>
      <c r="W158" s="15" t="s">
        <v>2735</v>
      </c>
      <c r="X158" s="16" t="s">
        <v>2736</v>
      </c>
      <c r="Y158" s="15" t="s">
        <v>216</v>
      </c>
      <c r="Z158" s="16" t="s">
        <v>2737</v>
      </c>
      <c r="AA158" s="17">
        <v>275</v>
      </c>
      <c r="AB158" s="17">
        <v>1</v>
      </c>
      <c r="AC158" s="17">
        <v>300</v>
      </c>
      <c r="AD158" s="17">
        <v>2</v>
      </c>
      <c r="AE158" s="17">
        <v>2600</v>
      </c>
      <c r="AF158" s="15" t="s">
        <v>142</v>
      </c>
      <c r="AG158" s="15" t="s">
        <v>157</v>
      </c>
      <c r="AH158" s="15" t="s">
        <v>2738</v>
      </c>
      <c r="AI158" s="18">
        <v>71656</v>
      </c>
      <c r="AJ158" s="15">
        <v>0.8</v>
      </c>
      <c r="AK158" s="15" t="s">
        <v>2739</v>
      </c>
      <c r="AL158" s="15" t="s">
        <v>2740</v>
      </c>
      <c r="AM158" s="3">
        <f>(AI158*AJ158)/2</f>
        <v>28662.400000000001</v>
      </c>
      <c r="AN158" s="7" t="s">
        <v>118</v>
      </c>
      <c r="AO158" s="7" t="s">
        <v>157</v>
      </c>
      <c r="AP158" s="7" t="s">
        <v>2741</v>
      </c>
      <c r="AQ158" s="8">
        <v>70075</v>
      </c>
      <c r="AR158" s="7">
        <v>0.3</v>
      </c>
      <c r="AS158" s="7" t="s">
        <v>2742</v>
      </c>
      <c r="AT158" s="7" t="s">
        <v>2743</v>
      </c>
      <c r="AU158" s="3">
        <f>(AQ158*AR158)/2</f>
        <v>10511.25</v>
      </c>
      <c r="AV158" s="7" t="s">
        <v>196</v>
      </c>
      <c r="AW158" s="7" t="s">
        <v>157</v>
      </c>
      <c r="AX158" s="7" t="s">
        <v>2744</v>
      </c>
      <c r="AY158" s="8">
        <v>68203</v>
      </c>
      <c r="AZ158" s="7">
        <v>0.15</v>
      </c>
      <c r="BA158" s="7" t="s">
        <v>2745</v>
      </c>
      <c r="BB158" s="7" t="s">
        <v>2746</v>
      </c>
      <c r="BC158" s="3">
        <f>(AY158*AZ158)/2</f>
        <v>5115.2249999999995</v>
      </c>
      <c r="BD158" s="7" t="s">
        <v>107</v>
      </c>
      <c r="BE158" s="7" t="s">
        <v>107</v>
      </c>
      <c r="BF158" s="7" t="s">
        <v>107</v>
      </c>
      <c r="BG158" s="7" t="s">
        <v>107</v>
      </c>
      <c r="BH158" s="7" t="s">
        <v>107</v>
      </c>
      <c r="BI158" s="7" t="s">
        <v>107</v>
      </c>
      <c r="BJ158" s="7" t="s">
        <v>107</v>
      </c>
      <c r="BK158" s="3"/>
      <c r="BL158" s="7" t="s">
        <v>107</v>
      </c>
      <c r="BM158" s="7" t="s">
        <v>107</v>
      </c>
      <c r="BN158" s="7" t="s">
        <v>107</v>
      </c>
      <c r="BO158" s="8" t="s">
        <v>107</v>
      </c>
      <c r="BP158" s="7" t="s">
        <v>107</v>
      </c>
      <c r="BQ158" s="7" t="s">
        <v>107</v>
      </c>
      <c r="BR158" s="7" t="s">
        <v>107</v>
      </c>
      <c r="BS158" s="3"/>
      <c r="BT158" s="7" t="s">
        <v>107</v>
      </c>
      <c r="BU158" s="7" t="s">
        <v>107</v>
      </c>
      <c r="BV158" s="7" t="s">
        <v>107</v>
      </c>
      <c r="BW158" s="8" t="s">
        <v>107</v>
      </c>
      <c r="BX158" s="7" t="s">
        <v>107</v>
      </c>
      <c r="BY158" s="7" t="s">
        <v>107</v>
      </c>
      <c r="BZ158" s="7" t="s">
        <v>107</v>
      </c>
      <c r="CA158" s="3"/>
      <c r="CB158" s="7"/>
      <c r="CC158" s="7" t="s">
        <v>107</v>
      </c>
      <c r="CD158" s="7" t="s">
        <v>107</v>
      </c>
      <c r="CE158" s="8" t="s">
        <v>107</v>
      </c>
      <c r="CF158" s="7" t="s">
        <v>107</v>
      </c>
      <c r="CG158" s="7" t="s">
        <v>107</v>
      </c>
      <c r="CH158" s="7" t="s">
        <v>107</v>
      </c>
      <c r="CI158" s="3"/>
      <c r="CJ158" s="7"/>
      <c r="CK158" s="7" t="s">
        <v>107</v>
      </c>
      <c r="CL158" s="7" t="s">
        <v>107</v>
      </c>
      <c r="CM158" s="8" t="s">
        <v>107</v>
      </c>
      <c r="CN158" s="7" t="s">
        <v>107</v>
      </c>
      <c r="CO158" s="7" t="s">
        <v>107</v>
      </c>
      <c r="CP158" s="7" t="s">
        <v>107</v>
      </c>
      <c r="CQ158" s="3"/>
      <c r="CR158" s="7"/>
      <c r="CS158" s="7" t="s">
        <v>107</v>
      </c>
      <c r="CT158" s="7" t="s">
        <v>107</v>
      </c>
      <c r="CU158" s="7" t="s">
        <v>107</v>
      </c>
      <c r="CV158" s="7" t="s">
        <v>107</v>
      </c>
      <c r="CW158" s="7" t="s">
        <v>107</v>
      </c>
      <c r="CX158" s="7" t="s">
        <v>107</v>
      </c>
      <c r="CY158" s="3"/>
      <c r="CZ158" s="7"/>
      <c r="DA158" s="7" t="s">
        <v>107</v>
      </c>
      <c r="DB158" s="7" t="s">
        <v>107</v>
      </c>
      <c r="DC158" s="7" t="s">
        <v>107</v>
      </c>
      <c r="DD158" s="7" t="s">
        <v>107</v>
      </c>
      <c r="DE158" s="7" t="s">
        <v>107</v>
      </c>
      <c r="DF158" s="7" t="s">
        <v>107</v>
      </c>
      <c r="DG158" s="3"/>
      <c r="DH158" s="7"/>
      <c r="DI158" s="7" t="s">
        <v>107</v>
      </c>
      <c r="DJ158" s="7" t="s">
        <v>107</v>
      </c>
      <c r="DK158" s="3">
        <f>AM158+AU158+BC158</f>
        <v>44288.875</v>
      </c>
      <c r="DL158" s="15" t="s">
        <v>2747</v>
      </c>
      <c r="DM158" s="51">
        <f>DL158*0.95</f>
        <v>42075.5</v>
      </c>
    </row>
    <row r="159" spans="1:117" ht="17.25" customHeight="1" x14ac:dyDescent="0.25">
      <c r="A159" s="50" t="s">
        <v>3899</v>
      </c>
      <c r="B159" s="15" t="s">
        <v>818</v>
      </c>
      <c r="C159" s="15" t="s">
        <v>819</v>
      </c>
      <c r="D159" s="15" t="s">
        <v>820</v>
      </c>
      <c r="E159" s="15" t="s">
        <v>168</v>
      </c>
      <c r="F159" s="15" t="s">
        <v>821</v>
      </c>
      <c r="G159" s="15" t="s">
        <v>822</v>
      </c>
      <c r="H159" s="15" t="s">
        <v>823</v>
      </c>
      <c r="I159" s="15" t="s">
        <v>824</v>
      </c>
      <c r="J159" s="15" t="s">
        <v>4220</v>
      </c>
      <c r="K159" s="15" t="s">
        <v>151</v>
      </c>
      <c r="L159" s="15" t="s">
        <v>821</v>
      </c>
      <c r="M159" s="15" t="s">
        <v>825</v>
      </c>
      <c r="N159" s="15" t="s">
        <v>826</v>
      </c>
      <c r="O159" s="15" t="s">
        <v>827</v>
      </c>
      <c r="P159" s="15" t="s">
        <v>828</v>
      </c>
      <c r="Q159" s="15" t="s">
        <v>829</v>
      </c>
      <c r="R159" s="15" t="s">
        <v>132</v>
      </c>
      <c r="S159" s="15" t="s">
        <v>830</v>
      </c>
      <c r="T159" s="15" t="s">
        <v>107</v>
      </c>
      <c r="U159" s="15" t="s">
        <v>831</v>
      </c>
      <c r="V159" s="15" t="s">
        <v>109</v>
      </c>
      <c r="W159" s="15" t="s">
        <v>832</v>
      </c>
      <c r="X159" s="16" t="s">
        <v>833</v>
      </c>
      <c r="Y159" s="15" t="s">
        <v>112</v>
      </c>
      <c r="Z159" s="16" t="s">
        <v>834</v>
      </c>
      <c r="AA159" s="17">
        <v>325</v>
      </c>
      <c r="AB159" s="17">
        <v>2</v>
      </c>
      <c r="AC159" s="17">
        <v>400</v>
      </c>
      <c r="AD159" s="17">
        <v>0</v>
      </c>
      <c r="AE159" s="17">
        <v>0</v>
      </c>
      <c r="AF159" s="15" t="s">
        <v>142</v>
      </c>
      <c r="AG159" s="15" t="s">
        <v>480</v>
      </c>
      <c r="AH159" s="15" t="s">
        <v>836</v>
      </c>
      <c r="AI159" s="20">
        <v>60777.599999999999</v>
      </c>
      <c r="AJ159" s="15">
        <v>0.4</v>
      </c>
      <c r="AK159" s="15" t="s">
        <v>837</v>
      </c>
      <c r="AL159" s="15" t="s">
        <v>838</v>
      </c>
      <c r="AM159" s="3">
        <f>(AI159*AJ159)/2</f>
        <v>12155.52</v>
      </c>
      <c r="AN159" s="7" t="s">
        <v>142</v>
      </c>
      <c r="AO159" s="7" t="s">
        <v>480</v>
      </c>
      <c r="AP159" s="7" t="s">
        <v>839</v>
      </c>
      <c r="AQ159" s="8">
        <v>60777.599999999999</v>
      </c>
      <c r="AR159" s="7">
        <v>0.25</v>
      </c>
      <c r="AS159" s="7" t="s">
        <v>840</v>
      </c>
      <c r="AT159" s="7" t="s">
        <v>841</v>
      </c>
      <c r="AU159" s="3">
        <f>(AQ159*AR159)/2</f>
        <v>7597.2</v>
      </c>
      <c r="AV159" s="7" t="s">
        <v>142</v>
      </c>
      <c r="AW159" s="7" t="s">
        <v>480</v>
      </c>
      <c r="AX159" s="7" t="s">
        <v>842</v>
      </c>
      <c r="AY159" s="8">
        <v>60777.599999999999</v>
      </c>
      <c r="AZ159" s="7">
        <v>0.1</v>
      </c>
      <c r="BA159" s="7" t="s">
        <v>843</v>
      </c>
      <c r="BB159" s="7" t="s">
        <v>844</v>
      </c>
      <c r="BC159" s="3">
        <f>(AY159*AZ159)/2</f>
        <v>3038.88</v>
      </c>
      <c r="BD159" s="7" t="s">
        <v>107</v>
      </c>
      <c r="BE159" s="7" t="s">
        <v>107</v>
      </c>
      <c r="BF159" s="7" t="s">
        <v>107</v>
      </c>
      <c r="BG159" s="7" t="s">
        <v>107</v>
      </c>
      <c r="BH159" s="7" t="s">
        <v>107</v>
      </c>
      <c r="BI159" s="7" t="s">
        <v>107</v>
      </c>
      <c r="BJ159" s="7" t="s">
        <v>107</v>
      </c>
      <c r="BK159" s="3"/>
      <c r="BL159" s="7" t="s">
        <v>107</v>
      </c>
      <c r="BM159" s="7" t="s">
        <v>107</v>
      </c>
      <c r="BN159" s="7" t="s">
        <v>107</v>
      </c>
      <c r="BO159" s="8" t="s">
        <v>107</v>
      </c>
      <c r="BP159" s="7" t="s">
        <v>107</v>
      </c>
      <c r="BQ159" s="7" t="s">
        <v>107</v>
      </c>
      <c r="BR159" s="7" t="s">
        <v>107</v>
      </c>
      <c r="BS159" s="3"/>
      <c r="BT159" s="7" t="s">
        <v>107</v>
      </c>
      <c r="BU159" s="7" t="s">
        <v>107</v>
      </c>
      <c r="BV159" s="7" t="s">
        <v>107</v>
      </c>
      <c r="BW159" s="8" t="s">
        <v>107</v>
      </c>
      <c r="BX159" s="7" t="s">
        <v>107</v>
      </c>
      <c r="BY159" s="7" t="s">
        <v>107</v>
      </c>
      <c r="BZ159" s="7" t="s">
        <v>107</v>
      </c>
      <c r="CA159" s="3"/>
      <c r="CB159" s="7"/>
      <c r="CC159" s="7" t="s">
        <v>107</v>
      </c>
      <c r="CD159" s="7" t="s">
        <v>107</v>
      </c>
      <c r="CE159" s="8" t="s">
        <v>107</v>
      </c>
      <c r="CF159" s="7" t="s">
        <v>107</v>
      </c>
      <c r="CG159" s="7" t="s">
        <v>107</v>
      </c>
      <c r="CH159" s="7" t="s">
        <v>107</v>
      </c>
      <c r="CI159" s="3"/>
      <c r="CJ159" s="7"/>
      <c r="CK159" s="7" t="s">
        <v>107</v>
      </c>
      <c r="CL159" s="7" t="s">
        <v>107</v>
      </c>
      <c r="CM159" s="8" t="s">
        <v>107</v>
      </c>
      <c r="CN159" s="7" t="s">
        <v>107</v>
      </c>
      <c r="CO159" s="7" t="s">
        <v>107</v>
      </c>
      <c r="CP159" s="7" t="s">
        <v>107</v>
      </c>
      <c r="CQ159" s="3"/>
      <c r="CR159" s="7"/>
      <c r="CS159" s="7" t="s">
        <v>107</v>
      </c>
      <c r="CT159" s="7" t="s">
        <v>107</v>
      </c>
      <c r="CU159" s="7" t="s">
        <v>107</v>
      </c>
      <c r="CV159" s="7" t="s">
        <v>107</v>
      </c>
      <c r="CW159" s="7" t="s">
        <v>107</v>
      </c>
      <c r="CX159" s="7" t="s">
        <v>107</v>
      </c>
      <c r="CY159" s="3"/>
      <c r="CZ159" s="7"/>
      <c r="DA159" s="7" t="s">
        <v>107</v>
      </c>
      <c r="DB159" s="7" t="s">
        <v>107</v>
      </c>
      <c r="DC159" s="7" t="s">
        <v>107</v>
      </c>
      <c r="DD159" s="7" t="s">
        <v>107</v>
      </c>
      <c r="DE159" s="7" t="s">
        <v>107</v>
      </c>
      <c r="DF159" s="7" t="s">
        <v>107</v>
      </c>
      <c r="DG159" s="3"/>
      <c r="DH159" s="7"/>
      <c r="DI159" s="7" t="s">
        <v>107</v>
      </c>
      <c r="DJ159" s="7" t="s">
        <v>107</v>
      </c>
      <c r="DK159" s="5">
        <f>AM159+AU159+BC159</f>
        <v>22791.600000000002</v>
      </c>
      <c r="DL159" s="15" t="s">
        <v>845</v>
      </c>
      <c r="DM159" s="51">
        <f>DL159*0.95</f>
        <v>21652.019999999997</v>
      </c>
    </row>
    <row r="160" spans="1:117" ht="17.25" customHeight="1" x14ac:dyDescent="0.25">
      <c r="A160" s="50" t="s">
        <v>558</v>
      </c>
      <c r="B160" s="15" t="s">
        <v>559</v>
      </c>
      <c r="C160" s="15" t="s">
        <v>560</v>
      </c>
      <c r="D160" s="15" t="s">
        <v>561</v>
      </c>
      <c r="E160" s="15" t="s">
        <v>297</v>
      </c>
      <c r="F160" s="15" t="s">
        <v>562</v>
      </c>
      <c r="G160" s="15" t="s">
        <v>563</v>
      </c>
      <c r="H160" s="15" t="s">
        <v>564</v>
      </c>
      <c r="I160" s="15" t="s">
        <v>565</v>
      </c>
      <c r="J160" s="15" t="s">
        <v>4208</v>
      </c>
      <c r="K160" s="15" t="s">
        <v>151</v>
      </c>
      <c r="L160" s="15" t="s">
        <v>562</v>
      </c>
      <c r="M160" s="15" t="s">
        <v>566</v>
      </c>
      <c r="N160" s="15" t="s">
        <v>567</v>
      </c>
      <c r="O160" s="15" t="s">
        <v>568</v>
      </c>
      <c r="P160" s="15" t="s">
        <v>569</v>
      </c>
      <c r="Q160" s="15" t="s">
        <v>570</v>
      </c>
      <c r="R160" s="15" t="s">
        <v>157</v>
      </c>
      <c r="S160" s="15" t="s">
        <v>562</v>
      </c>
      <c r="T160" s="15" t="s">
        <v>107</v>
      </c>
      <c r="U160" s="15" t="s">
        <v>571</v>
      </c>
      <c r="V160" s="15" t="s">
        <v>109</v>
      </c>
      <c r="W160" s="15" t="s">
        <v>572</v>
      </c>
      <c r="X160" s="16" t="s">
        <v>573</v>
      </c>
      <c r="Y160" s="15" t="s">
        <v>114</v>
      </c>
      <c r="Z160" s="16" t="s">
        <v>574</v>
      </c>
      <c r="AA160" s="17">
        <v>300</v>
      </c>
      <c r="AB160" s="17">
        <v>0</v>
      </c>
      <c r="AC160" s="17">
        <v>0</v>
      </c>
      <c r="AD160" s="17">
        <v>0</v>
      </c>
      <c r="AE160" s="17">
        <v>0</v>
      </c>
      <c r="AF160" s="15" t="s">
        <v>142</v>
      </c>
      <c r="AG160" s="15" t="s">
        <v>157</v>
      </c>
      <c r="AH160" s="15" t="s">
        <v>570</v>
      </c>
      <c r="AI160" s="20">
        <v>61318.400000000001</v>
      </c>
      <c r="AJ160" s="15">
        <v>0.7</v>
      </c>
      <c r="AK160" s="15" t="s">
        <v>575</v>
      </c>
      <c r="AL160" s="15" t="s">
        <v>576</v>
      </c>
      <c r="AM160" s="3">
        <f>(AI160*AJ160)/2</f>
        <v>21461.439999999999</v>
      </c>
      <c r="AN160" s="7" t="s">
        <v>107</v>
      </c>
      <c r="AO160" s="7" t="s">
        <v>107</v>
      </c>
      <c r="AP160" s="7" t="s">
        <v>107</v>
      </c>
      <c r="AQ160" s="8" t="s">
        <v>107</v>
      </c>
      <c r="AR160" s="7" t="s">
        <v>107</v>
      </c>
      <c r="AS160" s="7" t="s">
        <v>107</v>
      </c>
      <c r="AT160" s="7" t="s">
        <v>107</v>
      </c>
      <c r="AU160" s="3"/>
      <c r="AV160" s="7" t="s">
        <v>107</v>
      </c>
      <c r="AW160" s="7" t="s">
        <v>107</v>
      </c>
      <c r="AX160" s="7" t="s">
        <v>107</v>
      </c>
      <c r="AY160" s="8"/>
      <c r="AZ160" s="7" t="s">
        <v>107</v>
      </c>
      <c r="BA160" s="7" t="s">
        <v>107</v>
      </c>
      <c r="BB160" s="7" t="s">
        <v>107</v>
      </c>
      <c r="BC160" s="3"/>
      <c r="BD160" s="7" t="s">
        <v>107</v>
      </c>
      <c r="BE160" s="7" t="s">
        <v>107</v>
      </c>
      <c r="BF160" s="7" t="s">
        <v>107</v>
      </c>
      <c r="BG160" s="7" t="s">
        <v>107</v>
      </c>
      <c r="BH160" s="7" t="s">
        <v>107</v>
      </c>
      <c r="BI160" s="7" t="s">
        <v>107</v>
      </c>
      <c r="BJ160" s="7" t="s">
        <v>107</v>
      </c>
      <c r="BK160" s="3"/>
      <c r="BL160" s="7" t="s">
        <v>107</v>
      </c>
      <c r="BM160" s="7" t="s">
        <v>107</v>
      </c>
      <c r="BN160" s="7" t="s">
        <v>107</v>
      </c>
      <c r="BO160" s="8" t="s">
        <v>107</v>
      </c>
      <c r="BP160" s="7" t="s">
        <v>107</v>
      </c>
      <c r="BQ160" s="7" t="s">
        <v>107</v>
      </c>
      <c r="BR160" s="7" t="s">
        <v>107</v>
      </c>
      <c r="BS160" s="3"/>
      <c r="BT160" s="7" t="s">
        <v>107</v>
      </c>
      <c r="BU160" s="7" t="s">
        <v>107</v>
      </c>
      <c r="BV160" s="7" t="s">
        <v>107</v>
      </c>
      <c r="BW160" s="8" t="s">
        <v>107</v>
      </c>
      <c r="BX160" s="7" t="s">
        <v>107</v>
      </c>
      <c r="BY160" s="7" t="s">
        <v>107</v>
      </c>
      <c r="BZ160" s="7" t="s">
        <v>107</v>
      </c>
      <c r="CA160" s="3"/>
      <c r="CB160" s="7"/>
      <c r="CC160" s="7" t="s">
        <v>107</v>
      </c>
      <c r="CD160" s="7" t="s">
        <v>107</v>
      </c>
      <c r="CE160" s="8" t="s">
        <v>107</v>
      </c>
      <c r="CF160" s="7" t="s">
        <v>107</v>
      </c>
      <c r="CG160" s="7" t="s">
        <v>107</v>
      </c>
      <c r="CH160" s="7" t="s">
        <v>107</v>
      </c>
      <c r="CI160" s="3"/>
      <c r="CJ160" s="7"/>
      <c r="CK160" s="7" t="s">
        <v>107</v>
      </c>
      <c r="CL160" s="7" t="s">
        <v>107</v>
      </c>
      <c r="CM160" s="8" t="s">
        <v>107</v>
      </c>
      <c r="CN160" s="7" t="s">
        <v>107</v>
      </c>
      <c r="CO160" s="7" t="s">
        <v>107</v>
      </c>
      <c r="CP160" s="7" t="s">
        <v>107</v>
      </c>
      <c r="CQ160" s="3"/>
      <c r="CR160" s="7"/>
      <c r="CS160" s="7" t="s">
        <v>107</v>
      </c>
      <c r="CT160" s="7" t="s">
        <v>107</v>
      </c>
      <c r="CU160" s="7" t="s">
        <v>107</v>
      </c>
      <c r="CV160" s="7" t="s">
        <v>107</v>
      </c>
      <c r="CW160" s="7" t="s">
        <v>107</v>
      </c>
      <c r="CX160" s="7" t="s">
        <v>107</v>
      </c>
      <c r="CY160" s="3"/>
      <c r="CZ160" s="7"/>
      <c r="DA160" s="7" t="s">
        <v>107</v>
      </c>
      <c r="DB160" s="7" t="s">
        <v>107</v>
      </c>
      <c r="DC160" s="7" t="s">
        <v>107</v>
      </c>
      <c r="DD160" s="7" t="s">
        <v>107</v>
      </c>
      <c r="DE160" s="7" t="s">
        <v>107</v>
      </c>
      <c r="DF160" s="7" t="s">
        <v>107</v>
      </c>
      <c r="DG160" s="3"/>
      <c r="DH160" s="7"/>
      <c r="DI160" s="7" t="s">
        <v>107</v>
      </c>
      <c r="DJ160" s="7" t="s">
        <v>107</v>
      </c>
      <c r="DK160" s="5">
        <f>AM160</f>
        <v>21461.439999999999</v>
      </c>
      <c r="DL160" s="15" t="s">
        <v>577</v>
      </c>
      <c r="DM160" s="51">
        <f>DL160*0.95</f>
        <v>20388.367999999999</v>
      </c>
    </row>
    <row r="161" spans="1:117" ht="17.25" customHeight="1" x14ac:dyDescent="0.25">
      <c r="A161" s="50" t="s">
        <v>164</v>
      </c>
      <c r="B161" s="15" t="s">
        <v>165</v>
      </c>
      <c r="C161" s="15" t="s">
        <v>166</v>
      </c>
      <c r="D161" s="15" t="s">
        <v>167</v>
      </c>
      <c r="E161" s="15" t="s">
        <v>168</v>
      </c>
      <c r="F161" s="15" t="s">
        <v>169</v>
      </c>
      <c r="G161" s="15" t="s">
        <v>170</v>
      </c>
      <c r="H161" s="15" t="s">
        <v>171</v>
      </c>
      <c r="I161" s="15" t="s">
        <v>172</v>
      </c>
      <c r="J161" s="15" t="s">
        <v>4365</v>
      </c>
      <c r="K161" s="15" t="s">
        <v>151</v>
      </c>
      <c r="L161" s="15" t="s">
        <v>173</v>
      </c>
      <c r="M161" s="15" t="s">
        <v>174</v>
      </c>
      <c r="N161" s="15" t="s">
        <v>175</v>
      </c>
      <c r="O161" s="15" t="s">
        <v>176</v>
      </c>
      <c r="P161" s="15" t="s">
        <v>177</v>
      </c>
      <c r="Q161" s="15" t="s">
        <v>178</v>
      </c>
      <c r="R161" s="15" t="s">
        <v>179</v>
      </c>
      <c r="S161" s="15" t="s">
        <v>169</v>
      </c>
      <c r="T161" s="15" t="s">
        <v>107</v>
      </c>
      <c r="U161" s="15" t="s">
        <v>180</v>
      </c>
      <c r="V161" s="15" t="s">
        <v>181</v>
      </c>
      <c r="W161" s="15" t="s">
        <v>107</v>
      </c>
      <c r="X161" s="16" t="s">
        <v>182</v>
      </c>
      <c r="Y161" s="15" t="s">
        <v>138</v>
      </c>
      <c r="Z161" s="16" t="s">
        <v>183</v>
      </c>
      <c r="AA161" s="17">
        <v>0</v>
      </c>
      <c r="AB161" s="17">
        <v>2</v>
      </c>
      <c r="AC161" s="17">
        <v>1019</v>
      </c>
      <c r="AD161" s="17">
        <v>7</v>
      </c>
      <c r="AE161" s="17">
        <v>8717</v>
      </c>
      <c r="AF161" s="15" t="s">
        <v>196</v>
      </c>
      <c r="AG161" s="15" t="s">
        <v>157</v>
      </c>
      <c r="AH161" s="15" t="s">
        <v>186</v>
      </c>
      <c r="AI161" s="18">
        <v>58429.279999999999</v>
      </c>
      <c r="AJ161" s="15">
        <v>0.5</v>
      </c>
      <c r="AK161" s="15" t="s">
        <v>187</v>
      </c>
      <c r="AL161" s="15" t="s">
        <v>188</v>
      </c>
      <c r="AM161" s="3">
        <f>(AI161*AJ161)/2</f>
        <v>14607.32</v>
      </c>
      <c r="AN161" s="7" t="s">
        <v>196</v>
      </c>
      <c r="AO161" s="7" t="s">
        <v>157</v>
      </c>
      <c r="AP161" s="7" t="s">
        <v>189</v>
      </c>
      <c r="AQ161" s="8">
        <v>58429.279999999999</v>
      </c>
      <c r="AR161" s="7">
        <v>0.5</v>
      </c>
      <c r="AS161" s="7" t="s">
        <v>187</v>
      </c>
      <c r="AT161" s="7" t="s">
        <v>188</v>
      </c>
      <c r="AU161" s="3">
        <f>(AQ161*AR161)/2</f>
        <v>14607.32</v>
      </c>
      <c r="AV161" s="7" t="s">
        <v>196</v>
      </c>
      <c r="AW161" s="7" t="s">
        <v>157</v>
      </c>
      <c r="AX161" s="7" t="s">
        <v>190</v>
      </c>
      <c r="AY161" s="8">
        <v>58429.279999999999</v>
      </c>
      <c r="AZ161" s="7">
        <v>0.5</v>
      </c>
      <c r="BA161" s="7" t="s">
        <v>187</v>
      </c>
      <c r="BB161" s="7" t="s">
        <v>188</v>
      </c>
      <c r="BC161" s="3">
        <f>(AY161*AZ161)/2</f>
        <v>14607.32</v>
      </c>
      <c r="BD161" s="7" t="s">
        <v>196</v>
      </c>
      <c r="BE161" s="7" t="s">
        <v>157</v>
      </c>
      <c r="BF161" s="7" t="s">
        <v>191</v>
      </c>
      <c r="BG161" s="7">
        <v>58429.279999999999</v>
      </c>
      <c r="BH161" s="7">
        <v>0.5</v>
      </c>
      <c r="BI161" s="7" t="s">
        <v>187</v>
      </c>
      <c r="BJ161" s="7" t="s">
        <v>188</v>
      </c>
      <c r="BK161" s="3">
        <f>(BG161*BH161)/2</f>
        <v>14607.32</v>
      </c>
      <c r="BL161" s="7" t="s">
        <v>196</v>
      </c>
      <c r="BM161" s="7" t="s">
        <v>157</v>
      </c>
      <c r="BN161" s="7" t="s">
        <v>192</v>
      </c>
      <c r="BO161" s="8">
        <v>58429.279999999999</v>
      </c>
      <c r="BP161" s="7">
        <v>0.5</v>
      </c>
      <c r="BQ161" s="7" t="s">
        <v>187</v>
      </c>
      <c r="BR161" s="7" t="s">
        <v>188</v>
      </c>
      <c r="BS161" s="3">
        <f>(BO161*BP161)/2</f>
        <v>14607.32</v>
      </c>
      <c r="BT161" s="7" t="s">
        <v>196</v>
      </c>
      <c r="BU161" s="7" t="s">
        <v>157</v>
      </c>
      <c r="BV161" s="7" t="s">
        <v>193</v>
      </c>
      <c r="BW161" s="8">
        <v>58429.279999999999</v>
      </c>
      <c r="BX161" s="7">
        <v>0.5</v>
      </c>
      <c r="BY161" s="7" t="s">
        <v>187</v>
      </c>
      <c r="BZ161" s="7" t="s">
        <v>188</v>
      </c>
      <c r="CA161" s="3">
        <f>(BW161*BX161)/2</f>
        <v>14607.32</v>
      </c>
      <c r="CB161" s="7"/>
      <c r="CC161" s="7" t="s">
        <v>157</v>
      </c>
      <c r="CD161" s="7" t="s">
        <v>194</v>
      </c>
      <c r="CE161" s="8">
        <v>58429.279999999999</v>
      </c>
      <c r="CF161" s="7">
        <v>0.5</v>
      </c>
      <c r="CG161" s="7" t="s">
        <v>187</v>
      </c>
      <c r="CH161" s="7" t="s">
        <v>188</v>
      </c>
      <c r="CI161" s="3">
        <f>(CE161*CF161)/2</f>
        <v>14607.32</v>
      </c>
      <c r="CJ161" s="7"/>
      <c r="CK161" s="7" t="s">
        <v>157</v>
      </c>
      <c r="CL161" s="7" t="s">
        <v>195</v>
      </c>
      <c r="CM161" s="8">
        <v>58429.279999999999</v>
      </c>
      <c r="CN161" s="7">
        <v>0.5</v>
      </c>
      <c r="CO161" s="7" t="s">
        <v>187</v>
      </c>
      <c r="CP161" s="7" t="s">
        <v>188</v>
      </c>
      <c r="CQ161" s="3">
        <f>(CM161*CN161)/2</f>
        <v>14607.32</v>
      </c>
      <c r="CR161" s="7"/>
      <c r="CS161" s="7" t="s">
        <v>107</v>
      </c>
      <c r="CT161" s="7" t="s">
        <v>107</v>
      </c>
      <c r="CU161" s="7" t="s">
        <v>107</v>
      </c>
      <c r="CV161" s="7" t="s">
        <v>107</v>
      </c>
      <c r="CW161" s="7" t="s">
        <v>107</v>
      </c>
      <c r="CX161" s="7" t="s">
        <v>107</v>
      </c>
      <c r="CY161" s="3"/>
      <c r="CZ161" s="7"/>
      <c r="DA161" s="7" t="s">
        <v>107</v>
      </c>
      <c r="DB161" s="7" t="s">
        <v>107</v>
      </c>
      <c r="DC161" s="7" t="s">
        <v>107</v>
      </c>
      <c r="DD161" s="7" t="s">
        <v>107</v>
      </c>
      <c r="DE161" s="7" t="s">
        <v>107</v>
      </c>
      <c r="DF161" s="7" t="s">
        <v>107</v>
      </c>
      <c r="DG161" s="3"/>
      <c r="DH161" s="7"/>
      <c r="DI161" s="7" t="s">
        <v>107</v>
      </c>
      <c r="DJ161" s="7" t="s">
        <v>107</v>
      </c>
      <c r="DK161" s="5">
        <f>AM161+AU161+BC161+BK161+BS161+CA161+CI161+CQ161</f>
        <v>116858.56000000003</v>
      </c>
      <c r="DL161" s="15" t="s">
        <v>197</v>
      </c>
      <c r="DM161" s="51">
        <f>DL161*0.95</f>
        <v>111015.632</v>
      </c>
    </row>
    <row r="162" spans="1:117" ht="17.25" customHeight="1" x14ac:dyDescent="0.25">
      <c r="A162" s="50" t="s">
        <v>3900</v>
      </c>
      <c r="B162" s="15" t="s">
        <v>3954</v>
      </c>
      <c r="C162" s="15" t="s">
        <v>3240</v>
      </c>
      <c r="D162" s="15" t="s">
        <v>3241</v>
      </c>
      <c r="E162" s="15" t="s">
        <v>1519</v>
      </c>
      <c r="F162" s="15" t="s">
        <v>3242</v>
      </c>
      <c r="G162" s="15" t="s">
        <v>3243</v>
      </c>
      <c r="H162" s="15" t="s">
        <v>3244</v>
      </c>
      <c r="I162" s="15" t="s">
        <v>4014</v>
      </c>
      <c r="J162" s="15" t="s">
        <v>4334</v>
      </c>
      <c r="K162" s="15" t="s">
        <v>151</v>
      </c>
      <c r="L162" s="15" t="s">
        <v>3245</v>
      </c>
      <c r="M162" s="15" t="s">
        <v>3246</v>
      </c>
      <c r="N162" s="15" t="s">
        <v>3247</v>
      </c>
      <c r="O162" s="15" t="s">
        <v>3248</v>
      </c>
      <c r="P162" s="15" t="s">
        <v>3249</v>
      </c>
      <c r="Q162" s="15" t="s">
        <v>3250</v>
      </c>
      <c r="R162" s="15" t="s">
        <v>179</v>
      </c>
      <c r="S162" s="15" t="s">
        <v>3251</v>
      </c>
      <c r="T162" s="15" t="s">
        <v>107</v>
      </c>
      <c r="U162" s="15" t="s">
        <v>3252</v>
      </c>
      <c r="V162" s="15" t="s">
        <v>181</v>
      </c>
      <c r="W162" s="15" t="s">
        <v>107</v>
      </c>
      <c r="X162" s="16" t="s">
        <v>3253</v>
      </c>
      <c r="Y162" s="15" t="s">
        <v>184</v>
      </c>
      <c r="Z162" s="16" t="s">
        <v>3254</v>
      </c>
      <c r="AA162" s="17">
        <v>1427</v>
      </c>
      <c r="AB162" s="17">
        <v>1</v>
      </c>
      <c r="AC162" s="17">
        <v>419</v>
      </c>
      <c r="AD162" s="17">
        <v>1</v>
      </c>
      <c r="AE162" s="17">
        <v>1221</v>
      </c>
      <c r="AF162" s="15" t="s">
        <v>118</v>
      </c>
      <c r="AG162" s="15" t="s">
        <v>460</v>
      </c>
      <c r="AH162" s="28" t="s">
        <v>372</v>
      </c>
      <c r="AI162" s="18">
        <v>60216</v>
      </c>
      <c r="AJ162" s="15">
        <v>0.35</v>
      </c>
      <c r="AK162" s="15" t="s">
        <v>3255</v>
      </c>
      <c r="AL162" s="15" t="s">
        <v>3256</v>
      </c>
      <c r="AM162" s="3">
        <f>(AI162*AJ162)/2</f>
        <v>10537.8</v>
      </c>
      <c r="AN162" s="7" t="s">
        <v>118</v>
      </c>
      <c r="AO162" s="7" t="s">
        <v>107</v>
      </c>
      <c r="AP162" s="7" t="s">
        <v>107</v>
      </c>
      <c r="AQ162" s="8" t="s">
        <v>107</v>
      </c>
      <c r="AR162" s="7" t="s">
        <v>107</v>
      </c>
      <c r="AS162" s="7" t="s">
        <v>107</v>
      </c>
      <c r="AT162" s="7" t="s">
        <v>107</v>
      </c>
      <c r="AU162" s="3"/>
      <c r="AV162" s="7" t="s">
        <v>107</v>
      </c>
      <c r="AW162" s="7" t="s">
        <v>107</v>
      </c>
      <c r="AX162" s="7" t="s">
        <v>107</v>
      </c>
      <c r="AY162" s="8"/>
      <c r="AZ162" s="7" t="s">
        <v>107</v>
      </c>
      <c r="BA162" s="7" t="s">
        <v>107</v>
      </c>
      <c r="BB162" s="7" t="s">
        <v>107</v>
      </c>
      <c r="BC162" s="3"/>
      <c r="BD162" s="7" t="s">
        <v>107</v>
      </c>
      <c r="BE162" s="7" t="s">
        <v>107</v>
      </c>
      <c r="BF162" s="7" t="s">
        <v>107</v>
      </c>
      <c r="BG162" s="7" t="s">
        <v>107</v>
      </c>
      <c r="BH162" s="7" t="s">
        <v>107</v>
      </c>
      <c r="BI162" s="7" t="s">
        <v>107</v>
      </c>
      <c r="BJ162" s="7" t="s">
        <v>107</v>
      </c>
      <c r="BK162" s="3"/>
      <c r="BL162" s="7" t="s">
        <v>107</v>
      </c>
      <c r="BM162" s="7" t="s">
        <v>107</v>
      </c>
      <c r="BN162" s="7" t="s">
        <v>107</v>
      </c>
      <c r="BO162" s="8" t="s">
        <v>107</v>
      </c>
      <c r="BP162" s="7" t="s">
        <v>107</v>
      </c>
      <c r="BQ162" s="7" t="s">
        <v>107</v>
      </c>
      <c r="BR162" s="7" t="s">
        <v>107</v>
      </c>
      <c r="BS162" s="3"/>
      <c r="BT162" s="7" t="s">
        <v>107</v>
      </c>
      <c r="BU162" s="7" t="s">
        <v>107</v>
      </c>
      <c r="BV162" s="7" t="s">
        <v>107</v>
      </c>
      <c r="BW162" s="8" t="s">
        <v>107</v>
      </c>
      <c r="BX162" s="7" t="s">
        <v>107</v>
      </c>
      <c r="BY162" s="7" t="s">
        <v>107</v>
      </c>
      <c r="BZ162" s="7" t="s">
        <v>107</v>
      </c>
      <c r="CA162" s="3"/>
      <c r="CB162" s="7"/>
      <c r="CC162" s="7" t="s">
        <v>107</v>
      </c>
      <c r="CD162" s="7" t="s">
        <v>107</v>
      </c>
      <c r="CE162" s="8" t="s">
        <v>107</v>
      </c>
      <c r="CF162" s="7" t="s">
        <v>107</v>
      </c>
      <c r="CG162" s="7" t="s">
        <v>107</v>
      </c>
      <c r="CH162" s="7" t="s">
        <v>107</v>
      </c>
      <c r="CI162" s="3"/>
      <c r="CJ162" s="7"/>
      <c r="CK162" s="7" t="s">
        <v>107</v>
      </c>
      <c r="CL162" s="7" t="s">
        <v>107</v>
      </c>
      <c r="CM162" s="8" t="s">
        <v>107</v>
      </c>
      <c r="CN162" s="7" t="s">
        <v>107</v>
      </c>
      <c r="CO162" s="7" t="s">
        <v>107</v>
      </c>
      <c r="CP162" s="7" t="s">
        <v>107</v>
      </c>
      <c r="CQ162" s="3"/>
      <c r="CR162" s="7"/>
      <c r="CS162" s="7" t="s">
        <v>107</v>
      </c>
      <c r="CT162" s="7" t="s">
        <v>107</v>
      </c>
      <c r="CU162" s="7" t="s">
        <v>107</v>
      </c>
      <c r="CV162" s="7" t="s">
        <v>107</v>
      </c>
      <c r="CW162" s="7" t="s">
        <v>107</v>
      </c>
      <c r="CX162" s="7" t="s">
        <v>107</v>
      </c>
      <c r="CY162" s="3"/>
      <c r="CZ162" s="7"/>
      <c r="DA162" s="7" t="s">
        <v>107</v>
      </c>
      <c r="DB162" s="7" t="s">
        <v>107</v>
      </c>
      <c r="DC162" s="7" t="s">
        <v>107</v>
      </c>
      <c r="DD162" s="7" t="s">
        <v>107</v>
      </c>
      <c r="DE162" s="7" t="s">
        <v>107</v>
      </c>
      <c r="DF162" s="7" t="s">
        <v>107</v>
      </c>
      <c r="DG162" s="3"/>
      <c r="DH162" s="7"/>
      <c r="DI162" s="7" t="s">
        <v>107</v>
      </c>
      <c r="DJ162" s="7" t="s">
        <v>107</v>
      </c>
      <c r="DK162" s="5">
        <f>AM162</f>
        <v>10537.8</v>
      </c>
      <c r="DL162" s="15" t="s">
        <v>3256</v>
      </c>
      <c r="DM162" s="51">
        <f>DL162*0.95</f>
        <v>10010.909999999998</v>
      </c>
    </row>
    <row r="163" spans="1:117" ht="17.25" customHeight="1" x14ac:dyDescent="0.25">
      <c r="A163" s="50" t="s">
        <v>1110</v>
      </c>
      <c r="B163" s="15" t="s">
        <v>1111</v>
      </c>
      <c r="C163" s="15" t="s">
        <v>1112</v>
      </c>
      <c r="D163" s="15" t="s">
        <v>1113</v>
      </c>
      <c r="E163" s="15" t="s">
        <v>297</v>
      </c>
      <c r="F163" s="15" t="s">
        <v>1114</v>
      </c>
      <c r="G163" s="15" t="s">
        <v>1115</v>
      </c>
      <c r="H163" s="15" t="s">
        <v>1116</v>
      </c>
      <c r="I163" s="15" t="s">
        <v>1117</v>
      </c>
      <c r="J163" s="15" t="s">
        <v>4234</v>
      </c>
      <c r="K163" s="15" t="s">
        <v>151</v>
      </c>
      <c r="L163" s="15" t="s">
        <v>1114</v>
      </c>
      <c r="M163" s="15" t="s">
        <v>1118</v>
      </c>
      <c r="N163" s="15" t="s">
        <v>1119</v>
      </c>
      <c r="O163" s="15" t="s">
        <v>1120</v>
      </c>
      <c r="P163" s="15" t="s">
        <v>1121</v>
      </c>
      <c r="Q163" s="15" t="s">
        <v>1122</v>
      </c>
      <c r="R163" s="15" t="s">
        <v>157</v>
      </c>
      <c r="S163" s="15" t="s">
        <v>1114</v>
      </c>
      <c r="T163" s="15" t="s">
        <v>107</v>
      </c>
      <c r="U163" s="15" t="s">
        <v>1123</v>
      </c>
      <c r="V163" s="15" t="s">
        <v>109</v>
      </c>
      <c r="W163" s="15" t="s">
        <v>1124</v>
      </c>
      <c r="X163" s="16" t="s">
        <v>1125</v>
      </c>
      <c r="Y163" s="15" t="s">
        <v>1126</v>
      </c>
      <c r="Z163" s="16" t="s">
        <v>1127</v>
      </c>
      <c r="AA163" s="17">
        <v>400</v>
      </c>
      <c r="AB163" s="17">
        <v>1</v>
      </c>
      <c r="AC163" s="17">
        <v>300</v>
      </c>
      <c r="AD163" s="17">
        <v>1</v>
      </c>
      <c r="AE163" s="17">
        <v>300</v>
      </c>
      <c r="AF163" s="15" t="s">
        <v>118</v>
      </c>
      <c r="AG163" s="15" t="s">
        <v>157</v>
      </c>
      <c r="AH163" s="15" t="s">
        <v>1122</v>
      </c>
      <c r="AI163" s="18">
        <v>62920.1</v>
      </c>
      <c r="AJ163" s="15">
        <v>0.75</v>
      </c>
      <c r="AK163" s="15" t="s">
        <v>1128</v>
      </c>
      <c r="AL163" s="15" t="s">
        <v>1129</v>
      </c>
      <c r="AM163" s="3">
        <f>(AI163*AJ163)/2</f>
        <v>23595.037499999999</v>
      </c>
      <c r="AN163" s="7" t="s">
        <v>118</v>
      </c>
      <c r="AO163" s="7" t="s">
        <v>157</v>
      </c>
      <c r="AP163" s="7" t="s">
        <v>1130</v>
      </c>
      <c r="AQ163" s="8">
        <v>62920.1</v>
      </c>
      <c r="AR163" s="7">
        <v>0.75</v>
      </c>
      <c r="AS163" s="7" t="s">
        <v>1128</v>
      </c>
      <c r="AT163" s="7" t="s">
        <v>1129</v>
      </c>
      <c r="AU163" s="3">
        <f>(AQ163*AR163)/2</f>
        <v>23595.037499999999</v>
      </c>
      <c r="AV163" s="7" t="s">
        <v>118</v>
      </c>
      <c r="AW163" s="7" t="s">
        <v>157</v>
      </c>
      <c r="AX163" s="7" t="s">
        <v>1131</v>
      </c>
      <c r="AY163" s="8">
        <v>62920.1</v>
      </c>
      <c r="AZ163" s="7">
        <v>0.75</v>
      </c>
      <c r="BA163" s="7" t="s">
        <v>1128</v>
      </c>
      <c r="BB163" s="7" t="s">
        <v>1129</v>
      </c>
      <c r="BC163" s="3">
        <f>(AY163*AZ163)/2</f>
        <v>23595.037499999999</v>
      </c>
      <c r="BD163" s="7" t="s">
        <v>107</v>
      </c>
      <c r="BE163" s="7" t="s">
        <v>107</v>
      </c>
      <c r="BF163" s="7" t="s">
        <v>107</v>
      </c>
      <c r="BG163" s="7" t="s">
        <v>107</v>
      </c>
      <c r="BH163" s="7" t="s">
        <v>107</v>
      </c>
      <c r="BI163" s="7" t="s">
        <v>107</v>
      </c>
      <c r="BJ163" s="7" t="s">
        <v>107</v>
      </c>
      <c r="BK163" s="3"/>
      <c r="BL163" s="7" t="s">
        <v>107</v>
      </c>
      <c r="BM163" s="7" t="s">
        <v>107</v>
      </c>
      <c r="BN163" s="7" t="s">
        <v>107</v>
      </c>
      <c r="BO163" s="8" t="s">
        <v>107</v>
      </c>
      <c r="BP163" s="7" t="s">
        <v>107</v>
      </c>
      <c r="BQ163" s="7" t="s">
        <v>107</v>
      </c>
      <c r="BR163" s="7" t="s">
        <v>107</v>
      </c>
      <c r="BS163" s="3"/>
      <c r="BT163" s="7" t="s">
        <v>107</v>
      </c>
      <c r="BU163" s="7" t="s">
        <v>107</v>
      </c>
      <c r="BV163" s="7" t="s">
        <v>107</v>
      </c>
      <c r="BW163" s="8" t="s">
        <v>107</v>
      </c>
      <c r="BX163" s="7" t="s">
        <v>107</v>
      </c>
      <c r="BY163" s="7" t="s">
        <v>107</v>
      </c>
      <c r="BZ163" s="7" t="s">
        <v>107</v>
      </c>
      <c r="CA163" s="3"/>
      <c r="CB163" s="7"/>
      <c r="CC163" s="7" t="s">
        <v>107</v>
      </c>
      <c r="CD163" s="7" t="s">
        <v>107</v>
      </c>
      <c r="CE163" s="8" t="s">
        <v>107</v>
      </c>
      <c r="CF163" s="7" t="s">
        <v>107</v>
      </c>
      <c r="CG163" s="7" t="s">
        <v>107</v>
      </c>
      <c r="CH163" s="7" t="s">
        <v>107</v>
      </c>
      <c r="CI163" s="3"/>
      <c r="CJ163" s="7"/>
      <c r="CK163" s="7" t="s">
        <v>107</v>
      </c>
      <c r="CL163" s="7" t="s">
        <v>107</v>
      </c>
      <c r="CM163" s="8" t="s">
        <v>107</v>
      </c>
      <c r="CN163" s="7" t="s">
        <v>107</v>
      </c>
      <c r="CO163" s="7" t="s">
        <v>107</v>
      </c>
      <c r="CP163" s="7" t="s">
        <v>107</v>
      </c>
      <c r="CQ163" s="3"/>
      <c r="CR163" s="7"/>
      <c r="CS163" s="7" t="s">
        <v>107</v>
      </c>
      <c r="CT163" s="7" t="s">
        <v>107</v>
      </c>
      <c r="CU163" s="7" t="s">
        <v>107</v>
      </c>
      <c r="CV163" s="7" t="s">
        <v>107</v>
      </c>
      <c r="CW163" s="7" t="s">
        <v>107</v>
      </c>
      <c r="CX163" s="7" t="s">
        <v>107</v>
      </c>
      <c r="CY163" s="3"/>
      <c r="CZ163" s="7"/>
      <c r="DA163" s="7" t="s">
        <v>107</v>
      </c>
      <c r="DB163" s="7" t="s">
        <v>107</v>
      </c>
      <c r="DC163" s="7" t="s">
        <v>107</v>
      </c>
      <c r="DD163" s="7" t="s">
        <v>107</v>
      </c>
      <c r="DE163" s="7" t="s">
        <v>107</v>
      </c>
      <c r="DF163" s="7" t="s">
        <v>107</v>
      </c>
      <c r="DG163" s="3"/>
      <c r="DH163" s="7"/>
      <c r="DI163" s="7" t="s">
        <v>107</v>
      </c>
      <c r="DJ163" s="7" t="s">
        <v>107</v>
      </c>
      <c r="DK163" s="5">
        <f>AM163+AU163+BC163</f>
        <v>70785.112499999988</v>
      </c>
      <c r="DL163" s="15" t="s">
        <v>1132</v>
      </c>
      <c r="DM163" s="51">
        <f>DL163*0.95</f>
        <v>67245.863999999987</v>
      </c>
    </row>
    <row r="164" spans="1:117" ht="17.25" customHeight="1" x14ac:dyDescent="0.25">
      <c r="A164" s="50" t="s">
        <v>2423</v>
      </c>
      <c r="B164" s="15" t="s">
        <v>2424</v>
      </c>
      <c r="C164" s="15" t="s">
        <v>2425</v>
      </c>
      <c r="D164" s="15" t="s">
        <v>2426</v>
      </c>
      <c r="E164" s="15" t="s">
        <v>1435</v>
      </c>
      <c r="F164" s="15" t="s">
        <v>2427</v>
      </c>
      <c r="G164" s="15" t="s">
        <v>2428</v>
      </c>
      <c r="H164" s="15" t="s">
        <v>2429</v>
      </c>
      <c r="I164" s="15" t="s">
        <v>2430</v>
      </c>
      <c r="J164" s="15" t="s">
        <v>4294</v>
      </c>
      <c r="K164" s="15" t="s">
        <v>151</v>
      </c>
      <c r="L164" s="15" t="s">
        <v>2427</v>
      </c>
      <c r="M164" s="15" t="s">
        <v>2431</v>
      </c>
      <c r="N164" s="15" t="s">
        <v>2432</v>
      </c>
      <c r="O164" s="15" t="s">
        <v>2433</v>
      </c>
      <c r="P164" s="15" t="s">
        <v>2434</v>
      </c>
      <c r="Q164" s="15" t="s">
        <v>2435</v>
      </c>
      <c r="R164" s="15" t="s">
        <v>282</v>
      </c>
      <c r="S164" s="15" t="s">
        <v>2436</v>
      </c>
      <c r="T164" s="15" t="s">
        <v>107</v>
      </c>
      <c r="U164" s="15" t="s">
        <v>2437</v>
      </c>
      <c r="V164" s="15" t="s">
        <v>109</v>
      </c>
      <c r="W164" s="15" t="s">
        <v>2438</v>
      </c>
      <c r="X164" s="16" t="s">
        <v>2439</v>
      </c>
      <c r="Y164" s="15" t="s">
        <v>216</v>
      </c>
      <c r="Z164" s="16" t="s">
        <v>2440</v>
      </c>
      <c r="AA164" s="17">
        <v>1100</v>
      </c>
      <c r="AB164" s="17">
        <v>1</v>
      </c>
      <c r="AC164" s="17">
        <v>200</v>
      </c>
      <c r="AD164" s="17">
        <v>1</v>
      </c>
      <c r="AE164" s="17">
        <v>700</v>
      </c>
      <c r="AF164" s="15" t="s">
        <v>142</v>
      </c>
      <c r="AG164" s="15" t="s">
        <v>157</v>
      </c>
      <c r="AH164" s="15" t="s">
        <v>2441</v>
      </c>
      <c r="AI164" s="18">
        <v>7440</v>
      </c>
      <c r="AJ164" s="15">
        <v>1</v>
      </c>
      <c r="AK164" s="15" t="s">
        <v>2442</v>
      </c>
      <c r="AL164" s="15" t="s">
        <v>2443</v>
      </c>
      <c r="AM164" s="3">
        <f>(AI164*AJ164)/2</f>
        <v>3720</v>
      </c>
      <c r="AN164" s="7" t="s">
        <v>196</v>
      </c>
      <c r="AO164" s="7" t="s">
        <v>157</v>
      </c>
      <c r="AP164" s="7" t="s">
        <v>2444</v>
      </c>
      <c r="AQ164" s="8">
        <v>44491</v>
      </c>
      <c r="AR164" s="7">
        <v>0.65</v>
      </c>
      <c r="AS164" s="7" t="s">
        <v>2445</v>
      </c>
      <c r="AT164" s="7" t="s">
        <v>2446</v>
      </c>
      <c r="AU164" s="3">
        <f>(AQ164*AR164)/2</f>
        <v>14459.575000000001</v>
      </c>
      <c r="AV164" s="7" t="s">
        <v>107</v>
      </c>
      <c r="AW164" s="7" t="s">
        <v>107</v>
      </c>
      <c r="AX164" s="7" t="s">
        <v>107</v>
      </c>
      <c r="AY164" s="8" t="s">
        <v>107</v>
      </c>
      <c r="AZ164" s="7" t="s">
        <v>107</v>
      </c>
      <c r="BA164" s="7" t="s">
        <v>107</v>
      </c>
      <c r="BB164" s="7" t="s">
        <v>107</v>
      </c>
      <c r="BC164" s="3"/>
      <c r="BD164" s="7" t="s">
        <v>107</v>
      </c>
      <c r="BE164" s="7" t="s">
        <v>107</v>
      </c>
      <c r="BF164" s="7" t="s">
        <v>107</v>
      </c>
      <c r="BG164" s="7" t="s">
        <v>107</v>
      </c>
      <c r="BH164" s="7" t="s">
        <v>107</v>
      </c>
      <c r="BI164" s="7" t="s">
        <v>107</v>
      </c>
      <c r="BJ164" s="7" t="s">
        <v>107</v>
      </c>
      <c r="BK164" s="3"/>
      <c r="BL164" s="7" t="s">
        <v>107</v>
      </c>
      <c r="BM164" s="7" t="s">
        <v>107</v>
      </c>
      <c r="BN164" s="7" t="s">
        <v>107</v>
      </c>
      <c r="BO164" s="8" t="s">
        <v>107</v>
      </c>
      <c r="BP164" s="7" t="s">
        <v>107</v>
      </c>
      <c r="BQ164" s="7" t="s">
        <v>107</v>
      </c>
      <c r="BR164" s="7" t="s">
        <v>107</v>
      </c>
      <c r="BS164" s="3"/>
      <c r="BT164" s="7" t="s">
        <v>107</v>
      </c>
      <c r="BU164" s="7" t="s">
        <v>107</v>
      </c>
      <c r="BV164" s="7" t="s">
        <v>107</v>
      </c>
      <c r="BW164" s="8" t="s">
        <v>107</v>
      </c>
      <c r="BX164" s="7" t="s">
        <v>107</v>
      </c>
      <c r="BY164" s="7" t="s">
        <v>107</v>
      </c>
      <c r="BZ164" s="7" t="s">
        <v>107</v>
      </c>
      <c r="CA164" s="3"/>
      <c r="CB164" s="7"/>
      <c r="CC164" s="7" t="s">
        <v>107</v>
      </c>
      <c r="CD164" s="7" t="s">
        <v>107</v>
      </c>
      <c r="CE164" s="8" t="s">
        <v>107</v>
      </c>
      <c r="CF164" s="7" t="s">
        <v>107</v>
      </c>
      <c r="CG164" s="7" t="s">
        <v>107</v>
      </c>
      <c r="CH164" s="7" t="s">
        <v>107</v>
      </c>
      <c r="CI164" s="3"/>
      <c r="CJ164" s="7"/>
      <c r="CK164" s="7" t="s">
        <v>107</v>
      </c>
      <c r="CL164" s="7" t="s">
        <v>107</v>
      </c>
      <c r="CM164" s="8" t="s">
        <v>107</v>
      </c>
      <c r="CN164" s="7" t="s">
        <v>107</v>
      </c>
      <c r="CO164" s="7" t="s">
        <v>107</v>
      </c>
      <c r="CP164" s="7" t="s">
        <v>107</v>
      </c>
      <c r="CQ164" s="3"/>
      <c r="CR164" s="7"/>
      <c r="CS164" s="7" t="s">
        <v>107</v>
      </c>
      <c r="CT164" s="7" t="s">
        <v>107</v>
      </c>
      <c r="CU164" s="7" t="s">
        <v>107</v>
      </c>
      <c r="CV164" s="7" t="s">
        <v>107</v>
      </c>
      <c r="CW164" s="7" t="s">
        <v>107</v>
      </c>
      <c r="CX164" s="7" t="s">
        <v>107</v>
      </c>
      <c r="CY164" s="3"/>
      <c r="CZ164" s="7"/>
      <c r="DA164" s="7" t="s">
        <v>107</v>
      </c>
      <c r="DB164" s="7" t="s">
        <v>107</v>
      </c>
      <c r="DC164" s="7" t="s">
        <v>107</v>
      </c>
      <c r="DD164" s="7" t="s">
        <v>107</v>
      </c>
      <c r="DE164" s="7" t="s">
        <v>107</v>
      </c>
      <c r="DF164" s="7" t="s">
        <v>107</v>
      </c>
      <c r="DG164" s="3"/>
      <c r="DH164" s="7"/>
      <c r="DI164" s="7" t="s">
        <v>107</v>
      </c>
      <c r="DJ164" s="7" t="s">
        <v>107</v>
      </c>
      <c r="DK164" s="5">
        <f>AM164+AU164</f>
        <v>18179.575000000001</v>
      </c>
      <c r="DL164" s="15" t="s">
        <v>2447</v>
      </c>
      <c r="DM164" s="51">
        <f>DL164*0.95</f>
        <v>17366</v>
      </c>
    </row>
    <row r="165" spans="1:117" ht="17.25" customHeight="1" x14ac:dyDescent="0.25">
      <c r="A165" s="50" t="s">
        <v>2564</v>
      </c>
      <c r="B165" s="15" t="s">
        <v>2565</v>
      </c>
      <c r="C165" s="15" t="s">
        <v>2566</v>
      </c>
      <c r="D165" s="15" t="s">
        <v>2567</v>
      </c>
      <c r="E165" s="15" t="s">
        <v>2568</v>
      </c>
      <c r="F165" s="15" t="s">
        <v>2569</v>
      </c>
      <c r="G165" s="15" t="s">
        <v>2570</v>
      </c>
      <c r="H165" s="15" t="s">
        <v>2571</v>
      </c>
      <c r="I165" s="15" t="s">
        <v>4015</v>
      </c>
      <c r="J165" s="15" t="s">
        <v>4301</v>
      </c>
      <c r="K165" s="15" t="s">
        <v>151</v>
      </c>
      <c r="L165" s="15" t="s">
        <v>2569</v>
      </c>
      <c r="M165" s="15" t="s">
        <v>2572</v>
      </c>
      <c r="N165" s="15" t="s">
        <v>2573</v>
      </c>
      <c r="O165" s="15" t="s">
        <v>2574</v>
      </c>
      <c r="P165" s="15" t="s">
        <v>107</v>
      </c>
      <c r="Q165" s="15" t="s">
        <v>2575</v>
      </c>
      <c r="R165" s="15" t="s">
        <v>157</v>
      </c>
      <c r="S165" s="15" t="s">
        <v>2569</v>
      </c>
      <c r="T165" s="15" t="s">
        <v>107</v>
      </c>
      <c r="U165" s="15" t="s">
        <v>2576</v>
      </c>
      <c r="V165" s="15" t="s">
        <v>109</v>
      </c>
      <c r="W165" s="15" t="s">
        <v>2577</v>
      </c>
      <c r="X165" s="16" t="s">
        <v>2578</v>
      </c>
      <c r="Y165" s="15" t="s">
        <v>114</v>
      </c>
      <c r="Z165" s="16" t="s">
        <v>2579</v>
      </c>
      <c r="AA165" s="17">
        <v>150</v>
      </c>
      <c r="AB165" s="17">
        <v>0</v>
      </c>
      <c r="AC165" s="17">
        <v>0</v>
      </c>
      <c r="AD165" s="17">
        <v>0</v>
      </c>
      <c r="AE165" s="17">
        <v>0</v>
      </c>
      <c r="AF165" s="15" t="s">
        <v>142</v>
      </c>
      <c r="AG165" s="15" t="s">
        <v>157</v>
      </c>
      <c r="AH165" s="15" t="s">
        <v>2575</v>
      </c>
      <c r="AI165" s="21">
        <v>38000</v>
      </c>
      <c r="AJ165" s="15">
        <v>0.11</v>
      </c>
      <c r="AK165" s="15" t="s">
        <v>2580</v>
      </c>
      <c r="AL165" s="15" t="s">
        <v>2581</v>
      </c>
      <c r="AM165" s="3">
        <f>(AI165*AJ165)/2</f>
        <v>2090</v>
      </c>
      <c r="AN165" s="7" t="s">
        <v>107</v>
      </c>
      <c r="AO165" s="7" t="s">
        <v>107</v>
      </c>
      <c r="AP165" s="7" t="s">
        <v>107</v>
      </c>
      <c r="AQ165" s="8" t="s">
        <v>107</v>
      </c>
      <c r="AR165" s="7" t="s">
        <v>107</v>
      </c>
      <c r="AS165" s="7" t="s">
        <v>107</v>
      </c>
      <c r="AT165" s="7" t="s">
        <v>107</v>
      </c>
      <c r="AU165" s="3"/>
      <c r="AV165" s="7" t="s">
        <v>107</v>
      </c>
      <c r="AW165" s="7" t="s">
        <v>107</v>
      </c>
      <c r="AX165" s="7" t="s">
        <v>107</v>
      </c>
      <c r="AY165" s="8" t="s">
        <v>107</v>
      </c>
      <c r="AZ165" s="7" t="s">
        <v>107</v>
      </c>
      <c r="BA165" s="7" t="s">
        <v>107</v>
      </c>
      <c r="BB165" s="7" t="s">
        <v>107</v>
      </c>
      <c r="BC165" s="3"/>
      <c r="BD165" s="7" t="s">
        <v>107</v>
      </c>
      <c r="BE165" s="7" t="s">
        <v>107</v>
      </c>
      <c r="BF165" s="7" t="s">
        <v>107</v>
      </c>
      <c r="BG165" s="7" t="s">
        <v>107</v>
      </c>
      <c r="BH165" s="7" t="s">
        <v>107</v>
      </c>
      <c r="BI165" s="7" t="s">
        <v>107</v>
      </c>
      <c r="BJ165" s="7" t="s">
        <v>107</v>
      </c>
      <c r="BK165" s="3"/>
      <c r="BL165" s="7" t="s">
        <v>107</v>
      </c>
      <c r="BM165" s="7" t="s">
        <v>107</v>
      </c>
      <c r="BN165" s="7" t="s">
        <v>107</v>
      </c>
      <c r="BO165" s="8" t="s">
        <v>107</v>
      </c>
      <c r="BP165" s="7" t="s">
        <v>107</v>
      </c>
      <c r="BQ165" s="7" t="s">
        <v>107</v>
      </c>
      <c r="BR165" s="7" t="s">
        <v>107</v>
      </c>
      <c r="BS165" s="3"/>
      <c r="BT165" s="7" t="s">
        <v>107</v>
      </c>
      <c r="BU165" s="7" t="s">
        <v>107</v>
      </c>
      <c r="BV165" s="7" t="s">
        <v>107</v>
      </c>
      <c r="BW165" s="8" t="s">
        <v>107</v>
      </c>
      <c r="BX165" s="7" t="s">
        <v>107</v>
      </c>
      <c r="BY165" s="7" t="s">
        <v>107</v>
      </c>
      <c r="BZ165" s="7" t="s">
        <v>107</v>
      </c>
      <c r="CA165" s="3"/>
      <c r="CB165" s="7"/>
      <c r="CC165" s="7" t="s">
        <v>107</v>
      </c>
      <c r="CD165" s="7" t="s">
        <v>107</v>
      </c>
      <c r="CE165" s="8" t="s">
        <v>107</v>
      </c>
      <c r="CF165" s="7" t="s">
        <v>107</v>
      </c>
      <c r="CG165" s="7" t="s">
        <v>107</v>
      </c>
      <c r="CH165" s="7" t="s">
        <v>107</v>
      </c>
      <c r="CI165" s="3"/>
      <c r="CJ165" s="7"/>
      <c r="CK165" s="7" t="s">
        <v>107</v>
      </c>
      <c r="CL165" s="7" t="s">
        <v>107</v>
      </c>
      <c r="CM165" s="8" t="s">
        <v>107</v>
      </c>
      <c r="CN165" s="7" t="s">
        <v>107</v>
      </c>
      <c r="CO165" s="7" t="s">
        <v>107</v>
      </c>
      <c r="CP165" s="7" t="s">
        <v>107</v>
      </c>
      <c r="CQ165" s="3"/>
      <c r="CR165" s="7"/>
      <c r="CS165" s="7" t="s">
        <v>107</v>
      </c>
      <c r="CT165" s="7" t="s">
        <v>107</v>
      </c>
      <c r="CU165" s="7" t="s">
        <v>107</v>
      </c>
      <c r="CV165" s="7" t="s">
        <v>107</v>
      </c>
      <c r="CW165" s="7" t="s">
        <v>107</v>
      </c>
      <c r="CX165" s="7" t="s">
        <v>107</v>
      </c>
      <c r="CY165" s="3"/>
      <c r="CZ165" s="7"/>
      <c r="DA165" s="7" t="s">
        <v>107</v>
      </c>
      <c r="DB165" s="7" t="s">
        <v>107</v>
      </c>
      <c r="DC165" s="7" t="s">
        <v>107</v>
      </c>
      <c r="DD165" s="7" t="s">
        <v>107</v>
      </c>
      <c r="DE165" s="7" t="s">
        <v>107</v>
      </c>
      <c r="DF165" s="7" t="s">
        <v>107</v>
      </c>
      <c r="DG165" s="3"/>
      <c r="DH165" s="7"/>
      <c r="DI165" s="7" t="s">
        <v>107</v>
      </c>
      <c r="DJ165" s="7" t="s">
        <v>107</v>
      </c>
      <c r="DK165" s="5">
        <f>AM165</f>
        <v>2090</v>
      </c>
      <c r="DL165" s="15" t="s">
        <v>2581</v>
      </c>
      <c r="DM165" s="51">
        <f>DL165*0.95</f>
        <v>1985.5</v>
      </c>
    </row>
    <row r="166" spans="1:117" ht="17.25" customHeight="1" x14ac:dyDescent="0.25">
      <c r="A166" s="50" t="s">
        <v>2249</v>
      </c>
      <c r="B166" s="15" t="s">
        <v>2250</v>
      </c>
      <c r="C166" s="15" t="s">
        <v>749</v>
      </c>
      <c r="D166" s="15" t="s">
        <v>750</v>
      </c>
      <c r="E166" s="15" t="s">
        <v>751</v>
      </c>
      <c r="F166" s="15" t="s">
        <v>2251</v>
      </c>
      <c r="G166" s="15" t="s">
        <v>2252</v>
      </c>
      <c r="H166" s="15" t="s">
        <v>2253</v>
      </c>
      <c r="I166" s="15" t="s">
        <v>2254</v>
      </c>
      <c r="J166" s="15" t="s">
        <v>4285</v>
      </c>
      <c r="K166" s="15" t="s">
        <v>101</v>
      </c>
      <c r="L166" s="15" t="s">
        <v>2251</v>
      </c>
      <c r="M166" s="15" t="s">
        <v>2255</v>
      </c>
      <c r="N166" s="15" t="s">
        <v>2256</v>
      </c>
      <c r="O166" s="15" t="s">
        <v>2257</v>
      </c>
      <c r="P166" s="15" t="s">
        <v>2258</v>
      </c>
      <c r="Q166" s="15" t="s">
        <v>2259</v>
      </c>
      <c r="R166" s="15" t="s">
        <v>2260</v>
      </c>
      <c r="S166" s="15" t="s">
        <v>2257</v>
      </c>
      <c r="T166" s="15" t="s">
        <v>107</v>
      </c>
      <c r="U166" s="15" t="s">
        <v>2261</v>
      </c>
      <c r="V166" s="15" t="s">
        <v>109</v>
      </c>
      <c r="W166" s="15" t="s">
        <v>2262</v>
      </c>
      <c r="X166" s="16" t="s">
        <v>2263</v>
      </c>
      <c r="Y166" s="15" t="s">
        <v>184</v>
      </c>
      <c r="Z166" s="16" t="s">
        <v>2264</v>
      </c>
      <c r="AA166" s="17">
        <v>225</v>
      </c>
      <c r="AB166" s="17">
        <v>0</v>
      </c>
      <c r="AC166" s="17">
        <v>0</v>
      </c>
      <c r="AD166" s="17">
        <v>0</v>
      </c>
      <c r="AE166" s="17">
        <v>0</v>
      </c>
      <c r="AF166" s="15" t="s">
        <v>142</v>
      </c>
      <c r="AG166" s="15" t="s">
        <v>115</v>
      </c>
      <c r="AH166" s="15" t="s">
        <v>2265</v>
      </c>
      <c r="AI166" s="18">
        <v>56410.879999999997</v>
      </c>
      <c r="AJ166" s="15">
        <v>0.17019000000000001</v>
      </c>
      <c r="AK166" s="15" t="s">
        <v>2266</v>
      </c>
      <c r="AL166" s="15" t="s">
        <v>2267</v>
      </c>
      <c r="AM166" s="3">
        <f>(AI166*AJ166)/2</f>
        <v>4800.2838336000004</v>
      </c>
      <c r="AN166" s="7" t="s">
        <v>107</v>
      </c>
      <c r="AO166" s="7" t="s">
        <v>107</v>
      </c>
      <c r="AP166" s="7" t="s">
        <v>107</v>
      </c>
      <c r="AQ166" s="8" t="s">
        <v>107</v>
      </c>
      <c r="AR166" s="7" t="s">
        <v>107</v>
      </c>
      <c r="AS166" s="7" t="s">
        <v>107</v>
      </c>
      <c r="AT166" s="7" t="s">
        <v>107</v>
      </c>
      <c r="AU166" s="3"/>
      <c r="AV166" s="7" t="s">
        <v>107</v>
      </c>
      <c r="AW166" s="7" t="s">
        <v>107</v>
      </c>
      <c r="AX166" s="7" t="s">
        <v>107</v>
      </c>
      <c r="AY166" s="8" t="s">
        <v>107</v>
      </c>
      <c r="AZ166" s="7" t="s">
        <v>107</v>
      </c>
      <c r="BA166" s="7" t="s">
        <v>107</v>
      </c>
      <c r="BB166" s="7" t="s">
        <v>107</v>
      </c>
      <c r="BC166" s="3"/>
      <c r="BD166" s="7" t="s">
        <v>107</v>
      </c>
      <c r="BE166" s="7" t="s">
        <v>107</v>
      </c>
      <c r="BF166" s="7" t="s">
        <v>107</v>
      </c>
      <c r="BG166" s="7" t="s">
        <v>107</v>
      </c>
      <c r="BH166" s="7" t="s">
        <v>107</v>
      </c>
      <c r="BI166" s="7" t="s">
        <v>107</v>
      </c>
      <c r="BJ166" s="7" t="s">
        <v>107</v>
      </c>
      <c r="BK166" s="3"/>
      <c r="BL166" s="7" t="s">
        <v>107</v>
      </c>
      <c r="BM166" s="7" t="s">
        <v>107</v>
      </c>
      <c r="BN166" s="7" t="s">
        <v>107</v>
      </c>
      <c r="BO166" s="8" t="s">
        <v>107</v>
      </c>
      <c r="BP166" s="7" t="s">
        <v>107</v>
      </c>
      <c r="BQ166" s="7" t="s">
        <v>107</v>
      </c>
      <c r="BR166" s="7" t="s">
        <v>107</v>
      </c>
      <c r="BS166" s="3"/>
      <c r="BT166" s="7" t="s">
        <v>107</v>
      </c>
      <c r="BU166" s="7" t="s">
        <v>107</v>
      </c>
      <c r="BV166" s="7" t="s">
        <v>107</v>
      </c>
      <c r="BW166" s="8" t="s">
        <v>107</v>
      </c>
      <c r="BX166" s="7" t="s">
        <v>107</v>
      </c>
      <c r="BY166" s="7" t="s">
        <v>107</v>
      </c>
      <c r="BZ166" s="7" t="s">
        <v>107</v>
      </c>
      <c r="CA166" s="3"/>
      <c r="CB166" s="7"/>
      <c r="CC166" s="7" t="s">
        <v>107</v>
      </c>
      <c r="CD166" s="7" t="s">
        <v>107</v>
      </c>
      <c r="CE166" s="8" t="s">
        <v>107</v>
      </c>
      <c r="CF166" s="7" t="s">
        <v>107</v>
      </c>
      <c r="CG166" s="7" t="s">
        <v>107</v>
      </c>
      <c r="CH166" s="7" t="s">
        <v>107</v>
      </c>
      <c r="CI166" s="3"/>
      <c r="CJ166" s="7"/>
      <c r="CK166" s="7" t="s">
        <v>107</v>
      </c>
      <c r="CL166" s="7" t="s">
        <v>107</v>
      </c>
      <c r="CM166" s="8" t="s">
        <v>107</v>
      </c>
      <c r="CN166" s="7" t="s">
        <v>107</v>
      </c>
      <c r="CO166" s="7" t="s">
        <v>107</v>
      </c>
      <c r="CP166" s="7" t="s">
        <v>107</v>
      </c>
      <c r="CQ166" s="3"/>
      <c r="CR166" s="7"/>
      <c r="CS166" s="7" t="s">
        <v>107</v>
      </c>
      <c r="CT166" s="7" t="s">
        <v>107</v>
      </c>
      <c r="CU166" s="7" t="s">
        <v>107</v>
      </c>
      <c r="CV166" s="7" t="s">
        <v>107</v>
      </c>
      <c r="CW166" s="7" t="s">
        <v>107</v>
      </c>
      <c r="CX166" s="7" t="s">
        <v>107</v>
      </c>
      <c r="CY166" s="3"/>
      <c r="CZ166" s="7"/>
      <c r="DA166" s="7" t="s">
        <v>107</v>
      </c>
      <c r="DB166" s="7" t="s">
        <v>107</v>
      </c>
      <c r="DC166" s="7" t="s">
        <v>107</v>
      </c>
      <c r="DD166" s="7" t="s">
        <v>107</v>
      </c>
      <c r="DE166" s="7" t="s">
        <v>107</v>
      </c>
      <c r="DF166" s="7" t="s">
        <v>107</v>
      </c>
      <c r="DG166" s="3"/>
      <c r="DH166" s="7"/>
      <c r="DI166" s="7" t="s">
        <v>107</v>
      </c>
      <c r="DJ166" s="7" t="s">
        <v>107</v>
      </c>
      <c r="DK166" s="5">
        <f>AM166</f>
        <v>4800.2838336000004</v>
      </c>
      <c r="DL166" s="15" t="s">
        <v>2268</v>
      </c>
      <c r="DM166" s="51">
        <f>DL166*0.95</f>
        <v>4560.3325000000004</v>
      </c>
    </row>
    <row r="167" spans="1:117" ht="17.25" customHeight="1" x14ac:dyDescent="0.25">
      <c r="A167" s="50" t="s">
        <v>597</v>
      </c>
      <c r="B167" s="15" t="s">
        <v>598</v>
      </c>
      <c r="C167" s="15" t="s">
        <v>599</v>
      </c>
      <c r="D167" s="15" t="s">
        <v>600</v>
      </c>
      <c r="E167" s="15" t="s">
        <v>601</v>
      </c>
      <c r="F167" s="15" t="s">
        <v>602</v>
      </c>
      <c r="G167" s="15" t="s">
        <v>603</v>
      </c>
      <c r="H167" s="15" t="s">
        <v>604</v>
      </c>
      <c r="I167" s="15" t="s">
        <v>605</v>
      </c>
      <c r="J167" s="15" t="s">
        <v>4210</v>
      </c>
      <c r="K167" s="15" t="s">
        <v>151</v>
      </c>
      <c r="L167" s="15" t="s">
        <v>606</v>
      </c>
      <c r="M167" s="15" t="s">
        <v>607</v>
      </c>
      <c r="N167" s="15" t="s">
        <v>608</v>
      </c>
      <c r="O167" s="15" t="s">
        <v>609</v>
      </c>
      <c r="P167" s="15" t="s">
        <v>610</v>
      </c>
      <c r="Q167" s="15" t="s">
        <v>611</v>
      </c>
      <c r="R167" s="15" t="s">
        <v>480</v>
      </c>
      <c r="S167" s="15" t="s">
        <v>612</v>
      </c>
      <c r="T167" s="15" t="s">
        <v>107</v>
      </c>
      <c r="U167" s="15" t="s">
        <v>613</v>
      </c>
      <c r="V167" s="15" t="s">
        <v>109</v>
      </c>
      <c r="W167" s="15" t="s">
        <v>614</v>
      </c>
      <c r="X167" s="16" t="s">
        <v>615</v>
      </c>
      <c r="Y167" s="15" t="s">
        <v>137</v>
      </c>
      <c r="Z167" s="16" t="s">
        <v>616</v>
      </c>
      <c r="AA167" s="17">
        <v>470</v>
      </c>
      <c r="AB167" s="17">
        <v>2</v>
      </c>
      <c r="AC167" s="17">
        <v>440</v>
      </c>
      <c r="AD167" s="17">
        <v>0</v>
      </c>
      <c r="AE167" s="17">
        <v>0</v>
      </c>
      <c r="AF167" s="15" t="s">
        <v>142</v>
      </c>
      <c r="AG167" s="15" t="s">
        <v>480</v>
      </c>
      <c r="AH167" s="15" t="s">
        <v>611</v>
      </c>
      <c r="AI167" s="18">
        <v>77400</v>
      </c>
      <c r="AJ167" s="15">
        <v>0.75</v>
      </c>
      <c r="AK167" s="15" t="s">
        <v>617</v>
      </c>
      <c r="AL167" s="15" t="s">
        <v>618</v>
      </c>
      <c r="AM167" s="3">
        <f>(AI167*AJ167)/2</f>
        <v>29025</v>
      </c>
      <c r="AN167" s="7" t="s">
        <v>142</v>
      </c>
      <c r="AO167" s="7" t="s">
        <v>480</v>
      </c>
      <c r="AP167" s="7" t="s">
        <v>619</v>
      </c>
      <c r="AQ167" s="8">
        <v>77400</v>
      </c>
      <c r="AR167" s="7">
        <v>0.25</v>
      </c>
      <c r="AS167" s="7" t="s">
        <v>620</v>
      </c>
      <c r="AT167" s="7" t="s">
        <v>621</v>
      </c>
      <c r="AU167" s="3">
        <f>(AQ167*AR167)/2</f>
        <v>9675</v>
      </c>
      <c r="AV167" s="7" t="s">
        <v>107</v>
      </c>
      <c r="AW167" s="7" t="s">
        <v>107</v>
      </c>
      <c r="AX167" s="7" t="s">
        <v>107</v>
      </c>
      <c r="AY167" s="8" t="s">
        <v>107</v>
      </c>
      <c r="AZ167" s="7" t="s">
        <v>107</v>
      </c>
      <c r="BA167" s="7" t="s">
        <v>107</v>
      </c>
      <c r="BB167" s="7" t="s">
        <v>107</v>
      </c>
      <c r="BC167" s="3"/>
      <c r="BD167" s="7" t="s">
        <v>107</v>
      </c>
      <c r="BE167" s="7" t="s">
        <v>107</v>
      </c>
      <c r="BF167" s="7" t="s">
        <v>107</v>
      </c>
      <c r="BG167" s="7" t="s">
        <v>107</v>
      </c>
      <c r="BH167" s="7" t="s">
        <v>107</v>
      </c>
      <c r="BI167" s="7" t="s">
        <v>107</v>
      </c>
      <c r="BJ167" s="7" t="s">
        <v>107</v>
      </c>
      <c r="BK167" s="3"/>
      <c r="BL167" s="7" t="s">
        <v>107</v>
      </c>
      <c r="BM167" s="7" t="s">
        <v>107</v>
      </c>
      <c r="BN167" s="7" t="s">
        <v>107</v>
      </c>
      <c r="BO167" s="8" t="s">
        <v>107</v>
      </c>
      <c r="BP167" s="7" t="s">
        <v>107</v>
      </c>
      <c r="BQ167" s="7" t="s">
        <v>107</v>
      </c>
      <c r="BR167" s="7" t="s">
        <v>107</v>
      </c>
      <c r="BS167" s="3"/>
      <c r="BT167" s="7" t="s">
        <v>107</v>
      </c>
      <c r="BU167" s="7" t="s">
        <v>107</v>
      </c>
      <c r="BV167" s="7" t="s">
        <v>107</v>
      </c>
      <c r="BW167" s="8" t="s">
        <v>107</v>
      </c>
      <c r="BX167" s="7" t="s">
        <v>107</v>
      </c>
      <c r="BY167" s="7" t="s">
        <v>107</v>
      </c>
      <c r="BZ167" s="7" t="s">
        <v>107</v>
      </c>
      <c r="CA167" s="3"/>
      <c r="CB167" s="7"/>
      <c r="CC167" s="7" t="s">
        <v>107</v>
      </c>
      <c r="CD167" s="7" t="s">
        <v>107</v>
      </c>
      <c r="CE167" s="8" t="s">
        <v>107</v>
      </c>
      <c r="CF167" s="7" t="s">
        <v>107</v>
      </c>
      <c r="CG167" s="7" t="s">
        <v>107</v>
      </c>
      <c r="CH167" s="7" t="s">
        <v>107</v>
      </c>
      <c r="CI167" s="3"/>
      <c r="CJ167" s="7"/>
      <c r="CK167" s="7" t="s">
        <v>107</v>
      </c>
      <c r="CL167" s="7" t="s">
        <v>107</v>
      </c>
      <c r="CM167" s="8" t="s">
        <v>107</v>
      </c>
      <c r="CN167" s="7" t="s">
        <v>107</v>
      </c>
      <c r="CO167" s="7" t="s">
        <v>107</v>
      </c>
      <c r="CP167" s="7" t="s">
        <v>107</v>
      </c>
      <c r="CQ167" s="3"/>
      <c r="CR167" s="7"/>
      <c r="CS167" s="7" t="s">
        <v>107</v>
      </c>
      <c r="CT167" s="7" t="s">
        <v>107</v>
      </c>
      <c r="CU167" s="7" t="s">
        <v>107</v>
      </c>
      <c r="CV167" s="7" t="s">
        <v>107</v>
      </c>
      <c r="CW167" s="7" t="s">
        <v>107</v>
      </c>
      <c r="CX167" s="7" t="s">
        <v>107</v>
      </c>
      <c r="CY167" s="3"/>
      <c r="CZ167" s="7"/>
      <c r="DA167" s="7" t="s">
        <v>107</v>
      </c>
      <c r="DB167" s="7" t="s">
        <v>107</v>
      </c>
      <c r="DC167" s="7" t="s">
        <v>107</v>
      </c>
      <c r="DD167" s="7" t="s">
        <v>107</v>
      </c>
      <c r="DE167" s="7" t="s">
        <v>107</v>
      </c>
      <c r="DF167" s="7" t="s">
        <v>107</v>
      </c>
      <c r="DG167" s="3"/>
      <c r="DH167" s="7"/>
      <c r="DI167" s="7" t="s">
        <v>107</v>
      </c>
      <c r="DJ167" s="7" t="s">
        <v>107</v>
      </c>
      <c r="DK167" s="5">
        <f>AM167+AU167</f>
        <v>38700</v>
      </c>
      <c r="DL167" s="15" t="s">
        <v>622</v>
      </c>
      <c r="DM167" s="51">
        <f>DL167*0.95</f>
        <v>36765</v>
      </c>
    </row>
    <row r="168" spans="1:117" ht="17.25" customHeight="1" x14ac:dyDescent="0.25">
      <c r="A168" s="50" t="s">
        <v>3901</v>
      </c>
      <c r="B168" s="15" t="s">
        <v>3807</v>
      </c>
      <c r="C168" s="15" t="s">
        <v>3808</v>
      </c>
      <c r="D168" s="15" t="s">
        <v>3809</v>
      </c>
      <c r="E168" s="15" t="s">
        <v>3810</v>
      </c>
      <c r="F168" s="15" t="s">
        <v>3811</v>
      </c>
      <c r="G168" s="15" t="s">
        <v>3812</v>
      </c>
      <c r="H168" s="15" t="s">
        <v>3813</v>
      </c>
      <c r="I168" s="15" t="s">
        <v>3814</v>
      </c>
      <c r="J168" s="15" t="s">
        <v>4362</v>
      </c>
      <c r="K168" s="15" t="s">
        <v>151</v>
      </c>
      <c r="L168" s="15" t="s">
        <v>3811</v>
      </c>
      <c r="M168" s="15" t="s">
        <v>3815</v>
      </c>
      <c r="N168" s="15" t="s">
        <v>3816</v>
      </c>
      <c r="O168" s="15" t="s">
        <v>3817</v>
      </c>
      <c r="P168" s="15" t="s">
        <v>107</v>
      </c>
      <c r="Q168" s="15" t="s">
        <v>3818</v>
      </c>
      <c r="R168" s="15" t="s">
        <v>480</v>
      </c>
      <c r="S168" s="15" t="s">
        <v>3811</v>
      </c>
      <c r="T168" s="15" t="s">
        <v>107</v>
      </c>
      <c r="U168" s="15" t="s">
        <v>3819</v>
      </c>
      <c r="V168" s="15" t="s">
        <v>109</v>
      </c>
      <c r="W168" s="15" t="s">
        <v>3820</v>
      </c>
      <c r="X168" s="16" t="s">
        <v>3821</v>
      </c>
      <c r="Y168" s="15" t="s">
        <v>216</v>
      </c>
      <c r="Z168" s="30" t="s">
        <v>4087</v>
      </c>
      <c r="AA168" s="17">
        <v>157</v>
      </c>
      <c r="AB168" s="17">
        <v>1</v>
      </c>
      <c r="AC168" s="17">
        <v>134</v>
      </c>
      <c r="AD168" s="17">
        <v>1</v>
      </c>
      <c r="AE168" s="17">
        <v>560</v>
      </c>
      <c r="AF168" s="15" t="s">
        <v>196</v>
      </c>
      <c r="AG168" s="15" t="s">
        <v>460</v>
      </c>
      <c r="AH168" s="15" t="s">
        <v>3818</v>
      </c>
      <c r="AI168" s="18">
        <v>44553.599999999999</v>
      </c>
      <c r="AJ168" s="15">
        <v>0.25</v>
      </c>
      <c r="AK168" s="15" t="s">
        <v>3822</v>
      </c>
      <c r="AL168" s="15" t="s">
        <v>3823</v>
      </c>
      <c r="AM168" s="3">
        <f>(AI168*AJ168)/2</f>
        <v>5569.2</v>
      </c>
      <c r="AN168" s="7" t="s">
        <v>107</v>
      </c>
      <c r="AO168" s="7" t="s">
        <v>107</v>
      </c>
      <c r="AP168" s="7" t="s">
        <v>107</v>
      </c>
      <c r="AQ168" s="8" t="s">
        <v>107</v>
      </c>
      <c r="AR168" s="7" t="s">
        <v>107</v>
      </c>
      <c r="AS168" s="7" t="s">
        <v>107</v>
      </c>
      <c r="AT168" s="7" t="s">
        <v>107</v>
      </c>
      <c r="AU168" s="3"/>
      <c r="AV168" s="7" t="s">
        <v>107</v>
      </c>
      <c r="AW168" s="7" t="s">
        <v>107</v>
      </c>
      <c r="AX168" s="7" t="s">
        <v>107</v>
      </c>
      <c r="AY168" s="8" t="s">
        <v>107</v>
      </c>
      <c r="AZ168" s="7" t="s">
        <v>107</v>
      </c>
      <c r="BA168" s="7" t="s">
        <v>107</v>
      </c>
      <c r="BB168" s="7" t="s">
        <v>107</v>
      </c>
      <c r="BC168" s="3"/>
      <c r="BD168" s="7" t="s">
        <v>107</v>
      </c>
      <c r="BE168" s="7" t="s">
        <v>107</v>
      </c>
      <c r="BF168" s="7" t="s">
        <v>107</v>
      </c>
      <c r="BG168" s="7" t="s">
        <v>107</v>
      </c>
      <c r="BH168" s="7" t="s">
        <v>107</v>
      </c>
      <c r="BI168" s="7" t="s">
        <v>107</v>
      </c>
      <c r="BJ168" s="7" t="s">
        <v>107</v>
      </c>
      <c r="BK168" s="3"/>
      <c r="BL168" s="7" t="s">
        <v>107</v>
      </c>
      <c r="BM168" s="7" t="s">
        <v>107</v>
      </c>
      <c r="BN168" s="7" t="s">
        <v>107</v>
      </c>
      <c r="BO168" s="8" t="s">
        <v>107</v>
      </c>
      <c r="BP168" s="7" t="s">
        <v>107</v>
      </c>
      <c r="BQ168" s="7" t="s">
        <v>107</v>
      </c>
      <c r="BR168" s="7" t="s">
        <v>107</v>
      </c>
      <c r="BS168" s="3"/>
      <c r="BT168" s="7" t="s">
        <v>107</v>
      </c>
      <c r="BU168" s="7" t="s">
        <v>107</v>
      </c>
      <c r="BV168" s="7" t="s">
        <v>107</v>
      </c>
      <c r="BW168" s="8" t="s">
        <v>107</v>
      </c>
      <c r="BX168" s="7" t="s">
        <v>107</v>
      </c>
      <c r="BY168" s="7" t="s">
        <v>107</v>
      </c>
      <c r="BZ168" s="7" t="s">
        <v>107</v>
      </c>
      <c r="CA168" s="3"/>
      <c r="CB168" s="7"/>
      <c r="CC168" s="7" t="s">
        <v>107</v>
      </c>
      <c r="CD168" s="7" t="s">
        <v>107</v>
      </c>
      <c r="CE168" s="8" t="s">
        <v>107</v>
      </c>
      <c r="CF168" s="7" t="s">
        <v>107</v>
      </c>
      <c r="CG168" s="7" t="s">
        <v>107</v>
      </c>
      <c r="CH168" s="7" t="s">
        <v>107</v>
      </c>
      <c r="CI168" s="3"/>
      <c r="CJ168" s="7"/>
      <c r="CK168" s="7" t="s">
        <v>107</v>
      </c>
      <c r="CL168" s="7" t="s">
        <v>107</v>
      </c>
      <c r="CM168" s="8" t="s">
        <v>107</v>
      </c>
      <c r="CN168" s="7" t="s">
        <v>107</v>
      </c>
      <c r="CO168" s="7" t="s">
        <v>107</v>
      </c>
      <c r="CP168" s="7" t="s">
        <v>107</v>
      </c>
      <c r="CQ168" s="3"/>
      <c r="CR168" s="7"/>
      <c r="CS168" s="7" t="s">
        <v>107</v>
      </c>
      <c r="CT168" s="7" t="s">
        <v>107</v>
      </c>
      <c r="CU168" s="7" t="s">
        <v>107</v>
      </c>
      <c r="CV168" s="7" t="s">
        <v>107</v>
      </c>
      <c r="CW168" s="7" t="s">
        <v>107</v>
      </c>
      <c r="CX168" s="7" t="s">
        <v>107</v>
      </c>
      <c r="CY168" s="3"/>
      <c r="CZ168" s="7"/>
      <c r="DA168" s="7" t="s">
        <v>107</v>
      </c>
      <c r="DB168" s="7" t="s">
        <v>107</v>
      </c>
      <c r="DC168" s="7" t="s">
        <v>107</v>
      </c>
      <c r="DD168" s="7" t="s">
        <v>107</v>
      </c>
      <c r="DE168" s="7" t="s">
        <v>107</v>
      </c>
      <c r="DF168" s="7" t="s">
        <v>107</v>
      </c>
      <c r="DG168" s="3"/>
      <c r="DH168" s="7"/>
      <c r="DI168" s="7" t="s">
        <v>107</v>
      </c>
      <c r="DJ168" s="7" t="s">
        <v>107</v>
      </c>
      <c r="DK168" s="5">
        <f>AM168</f>
        <v>5569.2</v>
      </c>
      <c r="DL168" s="15" t="s">
        <v>3824</v>
      </c>
      <c r="DM168" s="51">
        <f>DL168*0.95</f>
        <v>5290.55</v>
      </c>
    </row>
    <row r="169" spans="1:117" ht="17.25" customHeight="1" x14ac:dyDescent="0.25">
      <c r="A169" s="50" t="s">
        <v>3904</v>
      </c>
      <c r="B169" s="15" t="s">
        <v>3509</v>
      </c>
      <c r="C169" s="15" t="s">
        <v>3977</v>
      </c>
      <c r="D169" s="15" t="s">
        <v>3510</v>
      </c>
      <c r="E169" s="15" t="s">
        <v>3511</v>
      </c>
      <c r="F169" s="15" t="s">
        <v>3512</v>
      </c>
      <c r="G169" s="15" t="s">
        <v>3513</v>
      </c>
      <c r="H169" s="15" t="s">
        <v>3514</v>
      </c>
      <c r="I169" s="15" t="s">
        <v>3515</v>
      </c>
      <c r="J169" s="15" t="s">
        <v>4347</v>
      </c>
      <c r="K169" s="15" t="s">
        <v>151</v>
      </c>
      <c r="L169" s="15" t="s">
        <v>3512</v>
      </c>
      <c r="M169" s="15" t="s">
        <v>3516</v>
      </c>
      <c r="N169" s="15" t="s">
        <v>3517</v>
      </c>
      <c r="O169" s="15" t="s">
        <v>3518</v>
      </c>
      <c r="P169" s="15" t="s">
        <v>3519</v>
      </c>
      <c r="Q169" s="15" t="s">
        <v>3520</v>
      </c>
      <c r="R169" s="15" t="s">
        <v>700</v>
      </c>
      <c r="S169" s="15" t="s">
        <v>3521</v>
      </c>
      <c r="T169" s="15" t="s">
        <v>107</v>
      </c>
      <c r="U169" s="15" t="s">
        <v>3516</v>
      </c>
      <c r="V169" s="15" t="s">
        <v>109</v>
      </c>
      <c r="W169" s="15" t="s">
        <v>3522</v>
      </c>
      <c r="X169" s="16" t="s">
        <v>3523</v>
      </c>
      <c r="Y169" s="15" t="s">
        <v>3524</v>
      </c>
      <c r="Z169" s="16" t="s">
        <v>3525</v>
      </c>
      <c r="AA169" s="17">
        <v>76</v>
      </c>
      <c r="AB169" s="17">
        <v>1</v>
      </c>
      <c r="AC169" s="17">
        <v>274</v>
      </c>
      <c r="AD169" s="17">
        <v>1</v>
      </c>
      <c r="AE169" s="17">
        <v>456</v>
      </c>
      <c r="AF169" s="15" t="s">
        <v>142</v>
      </c>
      <c r="AG169" s="15" t="s">
        <v>151</v>
      </c>
      <c r="AH169" s="15" t="s">
        <v>3520</v>
      </c>
      <c r="AI169" s="18">
        <v>39322.800000000003</v>
      </c>
      <c r="AJ169" s="15">
        <v>0.5</v>
      </c>
      <c r="AK169" s="15" t="s">
        <v>3526</v>
      </c>
      <c r="AL169" s="15" t="s">
        <v>3527</v>
      </c>
      <c r="AM169" s="3">
        <f>(AI169*AJ169)/2</f>
        <v>9830.7000000000007</v>
      </c>
      <c r="AN169" s="7" t="s">
        <v>107</v>
      </c>
      <c r="AO169" s="7" t="s">
        <v>107</v>
      </c>
      <c r="AP169" s="7" t="s">
        <v>107</v>
      </c>
      <c r="AQ169" s="8" t="s">
        <v>107</v>
      </c>
      <c r="AR169" s="7" t="s">
        <v>107</v>
      </c>
      <c r="AS169" s="7" t="s">
        <v>107</v>
      </c>
      <c r="AT169" s="7" t="s">
        <v>107</v>
      </c>
      <c r="AU169" s="3"/>
      <c r="AV169" s="7" t="s">
        <v>107</v>
      </c>
      <c r="AW169" s="7" t="s">
        <v>107</v>
      </c>
      <c r="AX169" s="7" t="s">
        <v>107</v>
      </c>
      <c r="AY169" s="8" t="s">
        <v>107</v>
      </c>
      <c r="AZ169" s="7" t="s">
        <v>107</v>
      </c>
      <c r="BA169" s="7" t="s">
        <v>107</v>
      </c>
      <c r="BB169" s="7" t="s">
        <v>107</v>
      </c>
      <c r="BC169" s="3"/>
      <c r="BD169" s="7" t="s">
        <v>107</v>
      </c>
      <c r="BE169" s="7" t="s">
        <v>107</v>
      </c>
      <c r="BF169" s="7" t="s">
        <v>107</v>
      </c>
      <c r="BG169" s="7" t="s">
        <v>107</v>
      </c>
      <c r="BH169" s="7" t="s">
        <v>107</v>
      </c>
      <c r="BI169" s="7" t="s">
        <v>107</v>
      </c>
      <c r="BJ169" s="7" t="s">
        <v>107</v>
      </c>
      <c r="BK169" s="3"/>
      <c r="BL169" s="7" t="s">
        <v>107</v>
      </c>
      <c r="BM169" s="7" t="s">
        <v>107</v>
      </c>
      <c r="BN169" s="7" t="s">
        <v>107</v>
      </c>
      <c r="BO169" s="8" t="s">
        <v>107</v>
      </c>
      <c r="BP169" s="7" t="s">
        <v>107</v>
      </c>
      <c r="BQ169" s="7" t="s">
        <v>107</v>
      </c>
      <c r="BR169" s="7" t="s">
        <v>107</v>
      </c>
      <c r="BS169" s="3"/>
      <c r="BT169" s="7" t="s">
        <v>107</v>
      </c>
      <c r="BU169" s="7" t="s">
        <v>107</v>
      </c>
      <c r="BV169" s="7" t="s">
        <v>107</v>
      </c>
      <c r="BW169" s="8" t="s">
        <v>107</v>
      </c>
      <c r="BX169" s="7" t="s">
        <v>107</v>
      </c>
      <c r="BY169" s="7" t="s">
        <v>107</v>
      </c>
      <c r="BZ169" s="7" t="s">
        <v>107</v>
      </c>
      <c r="CA169" s="3"/>
      <c r="CB169" s="7"/>
      <c r="CC169" s="7" t="s">
        <v>107</v>
      </c>
      <c r="CD169" s="7" t="s">
        <v>107</v>
      </c>
      <c r="CE169" s="8" t="s">
        <v>107</v>
      </c>
      <c r="CF169" s="7" t="s">
        <v>107</v>
      </c>
      <c r="CG169" s="7" t="s">
        <v>107</v>
      </c>
      <c r="CH169" s="7" t="s">
        <v>107</v>
      </c>
      <c r="CI169" s="3"/>
      <c r="CJ169" s="7"/>
      <c r="CK169" s="7" t="s">
        <v>107</v>
      </c>
      <c r="CL169" s="7" t="s">
        <v>107</v>
      </c>
      <c r="CM169" s="8" t="s">
        <v>107</v>
      </c>
      <c r="CN169" s="7" t="s">
        <v>107</v>
      </c>
      <c r="CO169" s="7" t="s">
        <v>107</v>
      </c>
      <c r="CP169" s="7" t="s">
        <v>107</v>
      </c>
      <c r="CQ169" s="3"/>
      <c r="CR169" s="7"/>
      <c r="CS169" s="7" t="s">
        <v>107</v>
      </c>
      <c r="CT169" s="7" t="s">
        <v>107</v>
      </c>
      <c r="CU169" s="7" t="s">
        <v>107</v>
      </c>
      <c r="CV169" s="7" t="s">
        <v>107</v>
      </c>
      <c r="CW169" s="7" t="s">
        <v>107</v>
      </c>
      <c r="CX169" s="7" t="s">
        <v>107</v>
      </c>
      <c r="CY169" s="3"/>
      <c r="CZ169" s="7"/>
      <c r="DA169" s="7" t="s">
        <v>107</v>
      </c>
      <c r="DB169" s="7" t="s">
        <v>107</v>
      </c>
      <c r="DC169" s="7" t="s">
        <v>107</v>
      </c>
      <c r="DD169" s="7" t="s">
        <v>107</v>
      </c>
      <c r="DE169" s="7" t="s">
        <v>107</v>
      </c>
      <c r="DF169" s="7" t="s">
        <v>107</v>
      </c>
      <c r="DG169" s="3"/>
      <c r="DH169" s="7"/>
      <c r="DI169" s="7" t="s">
        <v>107</v>
      </c>
      <c r="DJ169" s="7" t="s">
        <v>107</v>
      </c>
      <c r="DK169" s="5">
        <f>AM169</f>
        <v>9830.7000000000007</v>
      </c>
      <c r="DL169" s="15" t="s">
        <v>3527</v>
      </c>
      <c r="DM169" s="51">
        <f>DL169*0.95</f>
        <v>9339.1650000000009</v>
      </c>
    </row>
    <row r="170" spans="1:117" ht="17.25" customHeight="1" x14ac:dyDescent="0.25">
      <c r="A170" s="50" t="s">
        <v>3902</v>
      </c>
      <c r="B170" s="15" t="s">
        <v>623</v>
      </c>
      <c r="C170" s="15" t="s">
        <v>624</v>
      </c>
      <c r="D170" s="15" t="s">
        <v>625</v>
      </c>
      <c r="E170" s="15" t="s">
        <v>626</v>
      </c>
      <c r="F170" s="15" t="s">
        <v>627</v>
      </c>
      <c r="G170" s="15" t="s">
        <v>628</v>
      </c>
      <c r="H170" s="15" t="s">
        <v>629</v>
      </c>
      <c r="I170" s="15" t="s">
        <v>630</v>
      </c>
      <c r="J170" s="15" t="s">
        <v>4211</v>
      </c>
      <c r="K170" s="15" t="s">
        <v>101</v>
      </c>
      <c r="L170" s="15" t="s">
        <v>627</v>
      </c>
      <c r="M170" s="15" t="s">
        <v>631</v>
      </c>
      <c r="N170" s="15" t="s">
        <v>632</v>
      </c>
      <c r="O170" s="15" t="s">
        <v>633</v>
      </c>
      <c r="P170" s="15" t="s">
        <v>634</v>
      </c>
      <c r="Q170" s="15" t="s">
        <v>635</v>
      </c>
      <c r="R170" s="15" t="s">
        <v>261</v>
      </c>
      <c r="S170" s="15" t="s">
        <v>627</v>
      </c>
      <c r="T170" s="15" t="s">
        <v>107</v>
      </c>
      <c r="U170" s="15" t="s">
        <v>636</v>
      </c>
      <c r="V170" s="15" t="s">
        <v>109</v>
      </c>
      <c r="W170" s="15" t="s">
        <v>637</v>
      </c>
      <c r="X170" s="16" t="s">
        <v>638</v>
      </c>
      <c r="Y170" s="15" t="s">
        <v>184</v>
      </c>
      <c r="Z170" s="16" t="s">
        <v>639</v>
      </c>
      <c r="AA170" s="17">
        <v>650</v>
      </c>
      <c r="AB170" s="17">
        <v>2</v>
      </c>
      <c r="AC170" s="17">
        <v>289</v>
      </c>
      <c r="AD170" s="17">
        <v>0</v>
      </c>
      <c r="AE170" s="17">
        <v>0</v>
      </c>
      <c r="AF170" s="15" t="s">
        <v>142</v>
      </c>
      <c r="AG170" s="15" t="s">
        <v>640</v>
      </c>
      <c r="AH170" s="15" t="s">
        <v>635</v>
      </c>
      <c r="AI170" s="18">
        <v>46792.76</v>
      </c>
      <c r="AJ170" s="15">
        <v>0.65</v>
      </c>
      <c r="AK170" s="15" t="s">
        <v>641</v>
      </c>
      <c r="AL170" s="15" t="s">
        <v>642</v>
      </c>
      <c r="AM170" s="3">
        <f>(AI170*AJ170)/2</f>
        <v>15207.647000000001</v>
      </c>
      <c r="AN170" s="7" t="s">
        <v>107</v>
      </c>
      <c r="AO170" s="7" t="s">
        <v>107</v>
      </c>
      <c r="AP170" s="7" t="s">
        <v>107</v>
      </c>
      <c r="AQ170" s="8" t="s">
        <v>107</v>
      </c>
      <c r="AR170" s="7" t="s">
        <v>107</v>
      </c>
      <c r="AS170" s="7" t="s">
        <v>107</v>
      </c>
      <c r="AT170" s="7" t="s">
        <v>107</v>
      </c>
      <c r="AU170" s="3"/>
      <c r="AV170" s="7" t="s">
        <v>107</v>
      </c>
      <c r="AW170" s="7" t="s">
        <v>107</v>
      </c>
      <c r="AX170" s="7" t="s">
        <v>107</v>
      </c>
      <c r="AY170" s="8" t="s">
        <v>107</v>
      </c>
      <c r="AZ170" s="7" t="s">
        <v>107</v>
      </c>
      <c r="BA170" s="7" t="s">
        <v>107</v>
      </c>
      <c r="BB170" s="7" t="s">
        <v>107</v>
      </c>
      <c r="BC170" s="3"/>
      <c r="BD170" s="7" t="s">
        <v>107</v>
      </c>
      <c r="BE170" s="7" t="s">
        <v>107</v>
      </c>
      <c r="BF170" s="7" t="s">
        <v>107</v>
      </c>
      <c r="BG170" s="7" t="s">
        <v>107</v>
      </c>
      <c r="BH170" s="7" t="s">
        <v>107</v>
      </c>
      <c r="BI170" s="7" t="s">
        <v>107</v>
      </c>
      <c r="BJ170" s="7" t="s">
        <v>107</v>
      </c>
      <c r="BK170" s="3"/>
      <c r="BL170" s="7" t="s">
        <v>107</v>
      </c>
      <c r="BM170" s="7" t="s">
        <v>107</v>
      </c>
      <c r="BN170" s="7" t="s">
        <v>107</v>
      </c>
      <c r="BO170" s="8" t="s">
        <v>107</v>
      </c>
      <c r="BP170" s="7" t="s">
        <v>107</v>
      </c>
      <c r="BQ170" s="7" t="s">
        <v>107</v>
      </c>
      <c r="BR170" s="7" t="s">
        <v>107</v>
      </c>
      <c r="BS170" s="3"/>
      <c r="BT170" s="7" t="s">
        <v>107</v>
      </c>
      <c r="BU170" s="7" t="s">
        <v>107</v>
      </c>
      <c r="BV170" s="7" t="s">
        <v>107</v>
      </c>
      <c r="BW170" s="8" t="s">
        <v>107</v>
      </c>
      <c r="BX170" s="7" t="s">
        <v>107</v>
      </c>
      <c r="BY170" s="7" t="s">
        <v>107</v>
      </c>
      <c r="BZ170" s="7" t="s">
        <v>107</v>
      </c>
      <c r="CA170" s="3"/>
      <c r="CB170" s="7"/>
      <c r="CC170" s="7" t="s">
        <v>107</v>
      </c>
      <c r="CD170" s="7" t="s">
        <v>107</v>
      </c>
      <c r="CE170" s="8" t="s">
        <v>107</v>
      </c>
      <c r="CF170" s="7" t="s">
        <v>107</v>
      </c>
      <c r="CG170" s="7" t="s">
        <v>107</v>
      </c>
      <c r="CH170" s="7" t="s">
        <v>107</v>
      </c>
      <c r="CI170" s="3"/>
      <c r="CJ170" s="7"/>
      <c r="CK170" s="7" t="s">
        <v>107</v>
      </c>
      <c r="CL170" s="7" t="s">
        <v>107</v>
      </c>
      <c r="CM170" s="8" t="s">
        <v>107</v>
      </c>
      <c r="CN170" s="7" t="s">
        <v>107</v>
      </c>
      <c r="CO170" s="7" t="s">
        <v>107</v>
      </c>
      <c r="CP170" s="7" t="s">
        <v>107</v>
      </c>
      <c r="CQ170" s="3"/>
      <c r="CR170" s="7"/>
      <c r="CS170" s="7" t="s">
        <v>107</v>
      </c>
      <c r="CT170" s="7" t="s">
        <v>107</v>
      </c>
      <c r="CU170" s="7" t="s">
        <v>107</v>
      </c>
      <c r="CV170" s="7" t="s">
        <v>107</v>
      </c>
      <c r="CW170" s="7" t="s">
        <v>107</v>
      </c>
      <c r="CX170" s="7" t="s">
        <v>107</v>
      </c>
      <c r="CY170" s="3"/>
      <c r="CZ170" s="7"/>
      <c r="DA170" s="7" t="s">
        <v>107</v>
      </c>
      <c r="DB170" s="7" t="s">
        <v>107</v>
      </c>
      <c r="DC170" s="7" t="s">
        <v>107</v>
      </c>
      <c r="DD170" s="7" t="s">
        <v>107</v>
      </c>
      <c r="DE170" s="7" t="s">
        <v>107</v>
      </c>
      <c r="DF170" s="7" t="s">
        <v>107</v>
      </c>
      <c r="DG170" s="3"/>
      <c r="DH170" s="7"/>
      <c r="DI170" s="7" t="s">
        <v>107</v>
      </c>
      <c r="DJ170" s="7" t="s">
        <v>107</v>
      </c>
      <c r="DK170" s="5">
        <f>AM170</f>
        <v>15207.647000000001</v>
      </c>
      <c r="DL170" s="15" t="s">
        <v>643</v>
      </c>
      <c r="DM170" s="51">
        <f>DL170*0.95</f>
        <v>14447.257999999998</v>
      </c>
    </row>
    <row r="171" spans="1:117" ht="17.25" customHeight="1" x14ac:dyDescent="0.25">
      <c r="A171" s="50" t="s">
        <v>2902</v>
      </c>
      <c r="B171" s="15" t="s">
        <v>2903</v>
      </c>
      <c r="C171" s="15" t="s">
        <v>2904</v>
      </c>
      <c r="D171" s="15" t="s">
        <v>625</v>
      </c>
      <c r="E171" s="15" t="s">
        <v>626</v>
      </c>
      <c r="F171" s="15" t="s">
        <v>2905</v>
      </c>
      <c r="G171" s="15" t="s">
        <v>2906</v>
      </c>
      <c r="H171" s="15" t="s">
        <v>2907</v>
      </c>
      <c r="I171" s="15" t="s">
        <v>2908</v>
      </c>
      <c r="J171" s="15" t="s">
        <v>4317</v>
      </c>
      <c r="K171" s="15" t="s">
        <v>151</v>
      </c>
      <c r="L171" s="15" t="s">
        <v>2909</v>
      </c>
      <c r="M171" s="15" t="s">
        <v>2910</v>
      </c>
      <c r="N171" s="15" t="s">
        <v>2911</v>
      </c>
      <c r="O171" s="15" t="s">
        <v>2912</v>
      </c>
      <c r="P171" s="15" t="s">
        <v>2913</v>
      </c>
      <c r="Q171" s="15" t="s">
        <v>2914</v>
      </c>
      <c r="R171" s="15" t="s">
        <v>460</v>
      </c>
      <c r="S171" s="15" t="s">
        <v>2905</v>
      </c>
      <c r="T171" s="15" t="s">
        <v>107</v>
      </c>
      <c r="U171" s="15" t="s">
        <v>2915</v>
      </c>
      <c r="V171" s="15" t="s">
        <v>109</v>
      </c>
      <c r="W171" s="15" t="s">
        <v>2916</v>
      </c>
      <c r="X171" s="16" t="s">
        <v>2917</v>
      </c>
      <c r="Y171" s="15" t="s">
        <v>114</v>
      </c>
      <c r="Z171" s="16" t="s">
        <v>2918</v>
      </c>
      <c r="AA171" s="17">
        <v>150</v>
      </c>
      <c r="AB171" s="17">
        <v>1</v>
      </c>
      <c r="AC171" s="17">
        <v>150</v>
      </c>
      <c r="AD171" s="17">
        <v>0</v>
      </c>
      <c r="AE171" s="17">
        <v>0</v>
      </c>
      <c r="AF171" s="15" t="s">
        <v>142</v>
      </c>
      <c r="AG171" s="15" t="s">
        <v>480</v>
      </c>
      <c r="AH171" s="15" t="s">
        <v>2919</v>
      </c>
      <c r="AI171" s="18">
        <v>46000</v>
      </c>
      <c r="AJ171" s="15">
        <v>0.25</v>
      </c>
      <c r="AK171" s="15" t="s">
        <v>2920</v>
      </c>
      <c r="AL171" s="15" t="s">
        <v>2921</v>
      </c>
      <c r="AM171" s="3">
        <f>(AI171*AJ171)/2</f>
        <v>5750</v>
      </c>
      <c r="AN171" s="7" t="s">
        <v>107</v>
      </c>
      <c r="AO171" s="7" t="s">
        <v>107</v>
      </c>
      <c r="AP171" s="7" t="s">
        <v>107</v>
      </c>
      <c r="AQ171" s="8" t="s">
        <v>107</v>
      </c>
      <c r="AR171" s="7" t="s">
        <v>107</v>
      </c>
      <c r="AS171" s="7" t="s">
        <v>107</v>
      </c>
      <c r="AT171" s="7" t="s">
        <v>107</v>
      </c>
      <c r="AU171" s="3"/>
      <c r="AV171" s="7" t="s">
        <v>107</v>
      </c>
      <c r="AW171" s="7" t="s">
        <v>107</v>
      </c>
      <c r="AX171" s="7" t="s">
        <v>107</v>
      </c>
      <c r="AY171" s="8" t="s">
        <v>107</v>
      </c>
      <c r="AZ171" s="7" t="s">
        <v>107</v>
      </c>
      <c r="BA171" s="7" t="s">
        <v>107</v>
      </c>
      <c r="BB171" s="7" t="s">
        <v>107</v>
      </c>
      <c r="BC171" s="3"/>
      <c r="BD171" s="7" t="s">
        <v>107</v>
      </c>
      <c r="BE171" s="7" t="s">
        <v>107</v>
      </c>
      <c r="BF171" s="7" t="s">
        <v>107</v>
      </c>
      <c r="BG171" s="7" t="s">
        <v>107</v>
      </c>
      <c r="BH171" s="7" t="s">
        <v>107</v>
      </c>
      <c r="BI171" s="7" t="s">
        <v>107</v>
      </c>
      <c r="BJ171" s="7" t="s">
        <v>107</v>
      </c>
      <c r="BK171" s="3"/>
      <c r="BL171" s="7" t="s">
        <v>107</v>
      </c>
      <c r="BM171" s="7" t="s">
        <v>107</v>
      </c>
      <c r="BN171" s="7" t="s">
        <v>107</v>
      </c>
      <c r="BO171" s="8" t="s">
        <v>107</v>
      </c>
      <c r="BP171" s="7" t="s">
        <v>107</v>
      </c>
      <c r="BQ171" s="7" t="s">
        <v>107</v>
      </c>
      <c r="BR171" s="7" t="s">
        <v>107</v>
      </c>
      <c r="BS171" s="3"/>
      <c r="BT171" s="7" t="s">
        <v>107</v>
      </c>
      <c r="BU171" s="7" t="s">
        <v>107</v>
      </c>
      <c r="BV171" s="7" t="s">
        <v>107</v>
      </c>
      <c r="BW171" s="8" t="s">
        <v>107</v>
      </c>
      <c r="BX171" s="7" t="s">
        <v>107</v>
      </c>
      <c r="BY171" s="7" t="s">
        <v>107</v>
      </c>
      <c r="BZ171" s="7" t="s">
        <v>107</v>
      </c>
      <c r="CA171" s="3"/>
      <c r="CB171" s="7"/>
      <c r="CC171" s="7" t="s">
        <v>107</v>
      </c>
      <c r="CD171" s="7" t="s">
        <v>107</v>
      </c>
      <c r="CE171" s="8" t="s">
        <v>107</v>
      </c>
      <c r="CF171" s="7" t="s">
        <v>107</v>
      </c>
      <c r="CG171" s="7" t="s">
        <v>107</v>
      </c>
      <c r="CH171" s="7" t="s">
        <v>107</v>
      </c>
      <c r="CI171" s="3"/>
      <c r="CJ171" s="7"/>
      <c r="CK171" s="7" t="s">
        <v>107</v>
      </c>
      <c r="CL171" s="7" t="s">
        <v>107</v>
      </c>
      <c r="CM171" s="8" t="s">
        <v>107</v>
      </c>
      <c r="CN171" s="7" t="s">
        <v>107</v>
      </c>
      <c r="CO171" s="7" t="s">
        <v>107</v>
      </c>
      <c r="CP171" s="7" t="s">
        <v>107</v>
      </c>
      <c r="CQ171" s="3"/>
      <c r="CR171" s="7"/>
      <c r="CS171" s="7" t="s">
        <v>107</v>
      </c>
      <c r="CT171" s="7" t="s">
        <v>107</v>
      </c>
      <c r="CU171" s="7" t="s">
        <v>107</v>
      </c>
      <c r="CV171" s="7" t="s">
        <v>107</v>
      </c>
      <c r="CW171" s="7" t="s">
        <v>107</v>
      </c>
      <c r="CX171" s="7" t="s">
        <v>107</v>
      </c>
      <c r="CY171" s="3"/>
      <c r="CZ171" s="7"/>
      <c r="DA171" s="7" t="s">
        <v>107</v>
      </c>
      <c r="DB171" s="7" t="s">
        <v>107</v>
      </c>
      <c r="DC171" s="7" t="s">
        <v>107</v>
      </c>
      <c r="DD171" s="7" t="s">
        <v>107</v>
      </c>
      <c r="DE171" s="7" t="s">
        <v>107</v>
      </c>
      <c r="DF171" s="7" t="s">
        <v>107</v>
      </c>
      <c r="DG171" s="3"/>
      <c r="DH171" s="7"/>
      <c r="DI171" s="7" t="s">
        <v>107</v>
      </c>
      <c r="DJ171" s="7" t="s">
        <v>107</v>
      </c>
      <c r="DK171" s="5">
        <f>AM171</f>
        <v>5750</v>
      </c>
      <c r="DL171" s="15" t="s">
        <v>2921</v>
      </c>
      <c r="DM171" s="51">
        <f>DL171*0.95</f>
        <v>5462.5</v>
      </c>
    </row>
    <row r="172" spans="1:117" ht="17.25" customHeight="1" x14ac:dyDescent="0.25">
      <c r="A172" s="52" t="s">
        <v>1848</v>
      </c>
      <c r="B172" s="33" t="s">
        <v>3955</v>
      </c>
      <c r="C172" s="33" t="s">
        <v>1849</v>
      </c>
      <c r="D172" s="33" t="s">
        <v>1850</v>
      </c>
      <c r="E172" s="33" t="s">
        <v>1519</v>
      </c>
      <c r="F172" s="33" t="s">
        <v>1851</v>
      </c>
      <c r="G172" s="33" t="s">
        <v>1852</v>
      </c>
      <c r="H172" s="33" t="s">
        <v>1853</v>
      </c>
      <c r="I172" s="33" t="s">
        <v>4180</v>
      </c>
      <c r="J172" s="33" t="s">
        <v>4381</v>
      </c>
      <c r="K172" s="33" t="s">
        <v>151</v>
      </c>
      <c r="L172" s="33" t="s">
        <v>1851</v>
      </c>
      <c r="M172" s="33" t="s">
        <v>107</v>
      </c>
      <c r="N172" s="33" t="s">
        <v>1855</v>
      </c>
      <c r="O172" s="33" t="s">
        <v>1856</v>
      </c>
      <c r="P172" s="33" t="s">
        <v>1854</v>
      </c>
      <c r="Q172" s="33" t="s">
        <v>4180</v>
      </c>
      <c r="R172" s="33" t="s">
        <v>151</v>
      </c>
      <c r="S172" s="33" t="s">
        <v>1851</v>
      </c>
      <c r="T172" s="33" t="s">
        <v>107</v>
      </c>
      <c r="U172" s="33" t="s">
        <v>1854</v>
      </c>
      <c r="V172" s="33" t="s">
        <v>109</v>
      </c>
      <c r="W172" s="33" t="s">
        <v>1857</v>
      </c>
      <c r="X172" s="26" t="s">
        <v>4181</v>
      </c>
      <c r="Y172" s="33" t="s">
        <v>107</v>
      </c>
      <c r="Z172" s="26" t="s">
        <v>4182</v>
      </c>
      <c r="AA172" s="36">
        <v>0</v>
      </c>
      <c r="AB172" s="33">
        <v>3</v>
      </c>
      <c r="AC172" s="33">
        <v>325</v>
      </c>
      <c r="AD172" s="36">
        <v>0</v>
      </c>
      <c r="AE172" s="36">
        <v>0</v>
      </c>
      <c r="AF172" s="33" t="s">
        <v>142</v>
      </c>
      <c r="AG172" s="33" t="s">
        <v>460</v>
      </c>
      <c r="AH172" s="33" t="s">
        <v>1858</v>
      </c>
      <c r="AI172" s="33">
        <v>65296</v>
      </c>
      <c r="AJ172" s="33">
        <v>0.63</v>
      </c>
      <c r="AK172" s="33">
        <v>41136</v>
      </c>
      <c r="AL172" s="33">
        <v>20568</v>
      </c>
      <c r="AM172" s="33">
        <f>(AI172*AJ172)/2</f>
        <v>20568.240000000002</v>
      </c>
      <c r="AN172" s="7"/>
      <c r="AO172" s="7"/>
      <c r="AP172" s="7"/>
      <c r="AQ172" s="8"/>
      <c r="AR172" s="7"/>
      <c r="AS172" s="7"/>
      <c r="AT172" s="7"/>
      <c r="AU172" s="33" t="s">
        <v>107</v>
      </c>
      <c r="AV172" s="33" t="s">
        <v>107</v>
      </c>
      <c r="AW172" s="33" t="s">
        <v>107</v>
      </c>
      <c r="AX172" s="33" t="s">
        <v>107</v>
      </c>
      <c r="AY172" s="33" t="s">
        <v>107</v>
      </c>
      <c r="AZ172" s="33" t="s">
        <v>107</v>
      </c>
      <c r="BA172" s="33" t="s">
        <v>107</v>
      </c>
      <c r="BB172" s="33" t="s">
        <v>107</v>
      </c>
      <c r="BC172" s="33" t="s">
        <v>107</v>
      </c>
      <c r="BD172" s="33" t="s">
        <v>107</v>
      </c>
      <c r="BE172" s="33" t="s">
        <v>107</v>
      </c>
      <c r="BF172" s="33" t="s">
        <v>107</v>
      </c>
      <c r="BG172" s="33" t="s">
        <v>107</v>
      </c>
      <c r="BH172" s="33" t="s">
        <v>107</v>
      </c>
      <c r="BI172" s="33" t="s">
        <v>107</v>
      </c>
      <c r="BJ172" s="33" t="s">
        <v>107</v>
      </c>
      <c r="BK172" s="33" t="s">
        <v>107</v>
      </c>
      <c r="BL172" s="33" t="s">
        <v>107</v>
      </c>
      <c r="BM172" s="33" t="s">
        <v>107</v>
      </c>
      <c r="BN172" s="33" t="s">
        <v>107</v>
      </c>
      <c r="BO172" s="33" t="s">
        <v>107</v>
      </c>
      <c r="BP172" s="33" t="s">
        <v>107</v>
      </c>
      <c r="BQ172" s="33" t="s">
        <v>107</v>
      </c>
      <c r="BR172" s="33" t="s">
        <v>107</v>
      </c>
      <c r="BS172" s="33" t="s">
        <v>107</v>
      </c>
      <c r="BT172" s="33" t="s">
        <v>107</v>
      </c>
      <c r="BU172" s="33" t="s">
        <v>107</v>
      </c>
      <c r="BV172" s="33" t="s">
        <v>107</v>
      </c>
      <c r="BW172" s="33" t="s">
        <v>107</v>
      </c>
      <c r="BX172" s="33" t="s">
        <v>107</v>
      </c>
      <c r="BY172" s="33" t="s">
        <v>107</v>
      </c>
      <c r="BZ172" s="33" t="s">
        <v>107</v>
      </c>
      <c r="CA172" s="33" t="s">
        <v>107</v>
      </c>
      <c r="CB172" s="33" t="s">
        <v>107</v>
      </c>
      <c r="CC172" s="33" t="s">
        <v>107</v>
      </c>
      <c r="CD172" s="33" t="s">
        <v>107</v>
      </c>
      <c r="CE172" s="33" t="s">
        <v>107</v>
      </c>
      <c r="CF172" s="33" t="s">
        <v>107</v>
      </c>
      <c r="CG172" s="33" t="s">
        <v>107</v>
      </c>
      <c r="CH172" s="33" t="s">
        <v>107</v>
      </c>
      <c r="CI172" s="33" t="s">
        <v>107</v>
      </c>
      <c r="CJ172" s="33" t="s">
        <v>107</v>
      </c>
      <c r="CK172" s="33" t="s">
        <v>107</v>
      </c>
      <c r="CL172" s="33" t="s">
        <v>107</v>
      </c>
      <c r="CM172" s="33" t="s">
        <v>107</v>
      </c>
      <c r="CN172" s="33" t="s">
        <v>107</v>
      </c>
      <c r="CO172" s="33" t="s">
        <v>107</v>
      </c>
      <c r="CP172" s="33" t="s">
        <v>107</v>
      </c>
      <c r="CQ172" s="33" t="s">
        <v>107</v>
      </c>
      <c r="CR172" s="33" t="s">
        <v>107</v>
      </c>
      <c r="CS172" s="33" t="s">
        <v>107</v>
      </c>
      <c r="CT172" s="33" t="s">
        <v>107</v>
      </c>
      <c r="CU172" s="33" t="s">
        <v>107</v>
      </c>
      <c r="CV172" s="33" t="s">
        <v>107</v>
      </c>
      <c r="CW172" s="33" t="s">
        <v>107</v>
      </c>
      <c r="CX172" s="33" t="s">
        <v>107</v>
      </c>
      <c r="CY172" s="33" t="s">
        <v>107</v>
      </c>
      <c r="CZ172" s="33" t="s">
        <v>107</v>
      </c>
      <c r="DA172" s="33" t="s">
        <v>107</v>
      </c>
      <c r="DB172" s="33" t="s">
        <v>107</v>
      </c>
      <c r="DC172" s="33" t="s">
        <v>107</v>
      </c>
      <c r="DD172" s="33" t="s">
        <v>107</v>
      </c>
      <c r="DE172" s="33" t="s">
        <v>107</v>
      </c>
      <c r="DF172" s="33" t="s">
        <v>107</v>
      </c>
      <c r="DG172" s="33" t="s">
        <v>107</v>
      </c>
      <c r="DH172" s="33" t="s">
        <v>107</v>
      </c>
      <c r="DI172" s="33" t="s">
        <v>107</v>
      </c>
      <c r="DJ172" s="33" t="s">
        <v>107</v>
      </c>
      <c r="DK172" s="33">
        <v>20568.240000000002</v>
      </c>
      <c r="DL172" s="33" t="s">
        <v>107</v>
      </c>
      <c r="DM172" s="51" t="e">
        <f>DL172*0.95</f>
        <v>#VALUE!</v>
      </c>
    </row>
    <row r="173" spans="1:117" s="6" customFormat="1" ht="17.25" customHeight="1" x14ac:dyDescent="0.25">
      <c r="A173" s="50" t="s">
        <v>3903</v>
      </c>
      <c r="B173" s="15" t="s">
        <v>3956</v>
      </c>
      <c r="C173" s="15" t="s">
        <v>891</v>
      </c>
      <c r="D173" s="15" t="s">
        <v>892</v>
      </c>
      <c r="E173" s="15" t="s">
        <v>893</v>
      </c>
      <c r="F173" s="15" t="s">
        <v>894</v>
      </c>
      <c r="G173" s="15" t="s">
        <v>895</v>
      </c>
      <c r="H173" s="15" t="s">
        <v>896</v>
      </c>
      <c r="I173" s="15" t="s">
        <v>4016</v>
      </c>
      <c r="J173" s="15" t="s">
        <v>4223</v>
      </c>
      <c r="K173" s="15" t="s">
        <v>151</v>
      </c>
      <c r="L173" s="15" t="s">
        <v>894</v>
      </c>
      <c r="M173" s="15" t="s">
        <v>897</v>
      </c>
      <c r="N173" s="15" t="s">
        <v>898</v>
      </c>
      <c r="O173" s="15" t="s">
        <v>899</v>
      </c>
      <c r="P173" s="15" t="s">
        <v>900</v>
      </c>
      <c r="Q173" s="15" t="s">
        <v>901</v>
      </c>
      <c r="R173" s="15" t="s">
        <v>157</v>
      </c>
      <c r="S173" s="15" t="s">
        <v>894</v>
      </c>
      <c r="T173" s="15" t="s">
        <v>107</v>
      </c>
      <c r="U173" s="15" t="s">
        <v>897</v>
      </c>
      <c r="V173" s="15" t="s">
        <v>181</v>
      </c>
      <c r="W173" s="15" t="s">
        <v>107</v>
      </c>
      <c r="X173" s="16" t="s">
        <v>902</v>
      </c>
      <c r="Y173" s="15" t="s">
        <v>107</v>
      </c>
      <c r="Z173" s="16" t="s">
        <v>903</v>
      </c>
      <c r="AA173" s="17">
        <v>0</v>
      </c>
      <c r="AB173" s="17">
        <v>1</v>
      </c>
      <c r="AC173" s="17">
        <v>100</v>
      </c>
      <c r="AD173" s="17">
        <v>0</v>
      </c>
      <c r="AE173" s="17">
        <v>0</v>
      </c>
      <c r="AF173" s="15" t="s">
        <v>142</v>
      </c>
      <c r="AG173" s="15" t="s">
        <v>157</v>
      </c>
      <c r="AH173" s="15" t="s">
        <v>901</v>
      </c>
      <c r="AI173" s="20">
        <v>42619.199999999997</v>
      </c>
      <c r="AJ173" s="15">
        <v>0.2</v>
      </c>
      <c r="AK173" s="15" t="s">
        <v>904</v>
      </c>
      <c r="AL173" s="15" t="s">
        <v>905</v>
      </c>
      <c r="AM173" s="3">
        <f>(AI173*AJ173)/2</f>
        <v>4261.92</v>
      </c>
      <c r="AN173" s="7" t="s">
        <v>107</v>
      </c>
      <c r="AO173" s="7" t="s">
        <v>107</v>
      </c>
      <c r="AP173" s="7" t="s">
        <v>107</v>
      </c>
      <c r="AQ173" s="8" t="s">
        <v>107</v>
      </c>
      <c r="AR173" s="7" t="s">
        <v>107</v>
      </c>
      <c r="AS173" s="7" t="s">
        <v>107</v>
      </c>
      <c r="AT173" s="7" t="s">
        <v>107</v>
      </c>
      <c r="AU173" s="3"/>
      <c r="AV173" s="7" t="s">
        <v>107</v>
      </c>
      <c r="AW173" s="7" t="s">
        <v>107</v>
      </c>
      <c r="AX173" s="7" t="s">
        <v>107</v>
      </c>
      <c r="AY173" s="8" t="s">
        <v>107</v>
      </c>
      <c r="AZ173" s="7" t="s">
        <v>107</v>
      </c>
      <c r="BA173" s="7" t="s">
        <v>107</v>
      </c>
      <c r="BB173" s="7" t="s">
        <v>107</v>
      </c>
      <c r="BC173" s="3"/>
      <c r="BD173" s="7" t="s">
        <v>107</v>
      </c>
      <c r="BE173" s="7" t="s">
        <v>107</v>
      </c>
      <c r="BF173" s="7" t="s">
        <v>107</v>
      </c>
      <c r="BG173" s="7" t="s">
        <v>107</v>
      </c>
      <c r="BH173" s="7" t="s">
        <v>107</v>
      </c>
      <c r="BI173" s="7" t="s">
        <v>107</v>
      </c>
      <c r="BJ173" s="7" t="s">
        <v>107</v>
      </c>
      <c r="BK173" s="3"/>
      <c r="BL173" s="7" t="s">
        <v>107</v>
      </c>
      <c r="BM173" s="7" t="s">
        <v>107</v>
      </c>
      <c r="BN173" s="7" t="s">
        <v>107</v>
      </c>
      <c r="BO173" s="8" t="s">
        <v>107</v>
      </c>
      <c r="BP173" s="7" t="s">
        <v>107</v>
      </c>
      <c r="BQ173" s="7" t="s">
        <v>107</v>
      </c>
      <c r="BR173" s="7" t="s">
        <v>107</v>
      </c>
      <c r="BS173" s="3"/>
      <c r="BT173" s="7" t="s">
        <v>107</v>
      </c>
      <c r="BU173" s="7" t="s">
        <v>107</v>
      </c>
      <c r="BV173" s="7" t="s">
        <v>107</v>
      </c>
      <c r="BW173" s="8" t="s">
        <v>107</v>
      </c>
      <c r="BX173" s="7" t="s">
        <v>107</v>
      </c>
      <c r="BY173" s="7" t="s">
        <v>107</v>
      </c>
      <c r="BZ173" s="7" t="s">
        <v>107</v>
      </c>
      <c r="CA173" s="3"/>
      <c r="CB173" s="7"/>
      <c r="CC173" s="7" t="s">
        <v>107</v>
      </c>
      <c r="CD173" s="7" t="s">
        <v>107</v>
      </c>
      <c r="CE173" s="8" t="s">
        <v>107</v>
      </c>
      <c r="CF173" s="7" t="s">
        <v>107</v>
      </c>
      <c r="CG173" s="7" t="s">
        <v>107</v>
      </c>
      <c r="CH173" s="7" t="s">
        <v>107</v>
      </c>
      <c r="CI173" s="3"/>
      <c r="CJ173" s="7"/>
      <c r="CK173" s="7" t="s">
        <v>107</v>
      </c>
      <c r="CL173" s="7" t="s">
        <v>107</v>
      </c>
      <c r="CM173" s="8" t="s">
        <v>107</v>
      </c>
      <c r="CN173" s="7" t="s">
        <v>107</v>
      </c>
      <c r="CO173" s="7" t="s">
        <v>107</v>
      </c>
      <c r="CP173" s="7" t="s">
        <v>107</v>
      </c>
      <c r="CQ173" s="3"/>
      <c r="CR173" s="7"/>
      <c r="CS173" s="7" t="s">
        <v>107</v>
      </c>
      <c r="CT173" s="7" t="s">
        <v>107</v>
      </c>
      <c r="CU173" s="7" t="s">
        <v>107</v>
      </c>
      <c r="CV173" s="7" t="s">
        <v>107</v>
      </c>
      <c r="CW173" s="7" t="s">
        <v>107</v>
      </c>
      <c r="CX173" s="7" t="s">
        <v>107</v>
      </c>
      <c r="CY173" s="3"/>
      <c r="CZ173" s="7"/>
      <c r="DA173" s="7" t="s">
        <v>107</v>
      </c>
      <c r="DB173" s="7" t="s">
        <v>107</v>
      </c>
      <c r="DC173" s="7" t="s">
        <v>107</v>
      </c>
      <c r="DD173" s="7" t="s">
        <v>107</v>
      </c>
      <c r="DE173" s="7" t="s">
        <v>107</v>
      </c>
      <c r="DF173" s="7" t="s">
        <v>107</v>
      </c>
      <c r="DG173" s="3"/>
      <c r="DH173" s="7"/>
      <c r="DI173" s="7" t="s">
        <v>107</v>
      </c>
      <c r="DJ173" s="7" t="s">
        <v>107</v>
      </c>
      <c r="DK173" s="5">
        <f>AM173</f>
        <v>4261.92</v>
      </c>
      <c r="DL173" s="15" t="s">
        <v>905</v>
      </c>
      <c r="DM173" s="51">
        <f>DL173*0.95</f>
        <v>4048.8240000000001</v>
      </c>
    </row>
    <row r="174" spans="1:117" ht="17.25" customHeight="1" x14ac:dyDescent="0.25">
      <c r="A174" s="50" t="s">
        <v>2506</v>
      </c>
      <c r="B174" s="15" t="s">
        <v>2507</v>
      </c>
      <c r="C174" s="15" t="s">
        <v>2508</v>
      </c>
      <c r="D174" s="15" t="s">
        <v>2509</v>
      </c>
      <c r="E174" s="15" t="s">
        <v>450</v>
      </c>
      <c r="F174" s="15" t="s">
        <v>2510</v>
      </c>
      <c r="G174" s="15" t="s">
        <v>2511</v>
      </c>
      <c r="H174" s="15" t="s">
        <v>2512</v>
      </c>
      <c r="I174" s="15" t="s">
        <v>2513</v>
      </c>
      <c r="J174" s="15" t="s">
        <v>4298</v>
      </c>
      <c r="K174" s="15" t="s">
        <v>151</v>
      </c>
      <c r="L174" s="15" t="s">
        <v>2510</v>
      </c>
      <c r="M174" s="15" t="s">
        <v>2514</v>
      </c>
      <c r="N174" s="15" t="s">
        <v>2515</v>
      </c>
      <c r="O174" s="15" t="s">
        <v>2516</v>
      </c>
      <c r="P174" s="15" t="s">
        <v>107</v>
      </c>
      <c r="Q174" s="15" t="s">
        <v>2517</v>
      </c>
      <c r="R174" s="15" t="s">
        <v>2518</v>
      </c>
      <c r="S174" s="15" t="s">
        <v>2510</v>
      </c>
      <c r="T174" s="15" t="s">
        <v>107</v>
      </c>
      <c r="U174" s="15" t="s">
        <v>2519</v>
      </c>
      <c r="V174" s="15" t="s">
        <v>109</v>
      </c>
      <c r="W174" s="15" t="s">
        <v>2520</v>
      </c>
      <c r="X174" s="16" t="s">
        <v>2521</v>
      </c>
      <c r="Y174" s="15" t="s">
        <v>184</v>
      </c>
      <c r="Z174" s="16" t="s">
        <v>2522</v>
      </c>
      <c r="AA174" s="17">
        <v>428</v>
      </c>
      <c r="AB174" s="17">
        <v>0</v>
      </c>
      <c r="AC174" s="17">
        <v>0</v>
      </c>
      <c r="AD174" s="17">
        <v>1</v>
      </c>
      <c r="AE174" s="17">
        <v>391</v>
      </c>
      <c r="AF174" s="15" t="s">
        <v>142</v>
      </c>
      <c r="AG174" s="15" t="s">
        <v>157</v>
      </c>
      <c r="AH174" s="15" t="s">
        <v>2523</v>
      </c>
      <c r="AI174" s="18">
        <v>20000</v>
      </c>
      <c r="AJ174" s="15">
        <v>0.5</v>
      </c>
      <c r="AK174" s="15" t="s">
        <v>2524</v>
      </c>
      <c r="AL174" s="15" t="s">
        <v>2525</v>
      </c>
      <c r="AM174" s="3">
        <f>(AI174*AJ174)/2</f>
        <v>5000</v>
      </c>
      <c r="AN174" s="7" t="s">
        <v>107</v>
      </c>
      <c r="AO174" s="7" t="s">
        <v>107</v>
      </c>
      <c r="AP174" s="7" t="s">
        <v>107</v>
      </c>
      <c r="AQ174" s="8" t="s">
        <v>107</v>
      </c>
      <c r="AR174" s="7" t="s">
        <v>107</v>
      </c>
      <c r="AS174" s="7" t="s">
        <v>107</v>
      </c>
      <c r="AT174" s="7" t="s">
        <v>107</v>
      </c>
      <c r="AU174" s="3"/>
      <c r="AV174" s="7" t="s">
        <v>107</v>
      </c>
      <c r="AW174" s="7" t="s">
        <v>107</v>
      </c>
      <c r="AX174" s="7" t="s">
        <v>107</v>
      </c>
      <c r="AY174" s="8" t="s">
        <v>107</v>
      </c>
      <c r="AZ174" s="7" t="s">
        <v>107</v>
      </c>
      <c r="BA174" s="7" t="s">
        <v>107</v>
      </c>
      <c r="BB174" s="7" t="s">
        <v>107</v>
      </c>
      <c r="BC174" s="3"/>
      <c r="BD174" s="7" t="s">
        <v>107</v>
      </c>
      <c r="BE174" s="7" t="s">
        <v>107</v>
      </c>
      <c r="BF174" s="7" t="s">
        <v>107</v>
      </c>
      <c r="BG174" s="7" t="s">
        <v>107</v>
      </c>
      <c r="BH174" s="7" t="s">
        <v>107</v>
      </c>
      <c r="BI174" s="7" t="s">
        <v>107</v>
      </c>
      <c r="BJ174" s="7" t="s">
        <v>107</v>
      </c>
      <c r="BK174" s="3"/>
      <c r="BL174" s="7" t="s">
        <v>107</v>
      </c>
      <c r="BM174" s="7" t="s">
        <v>107</v>
      </c>
      <c r="BN174" s="7" t="s">
        <v>107</v>
      </c>
      <c r="BO174" s="8" t="s">
        <v>107</v>
      </c>
      <c r="BP174" s="7" t="s">
        <v>107</v>
      </c>
      <c r="BQ174" s="7" t="s">
        <v>107</v>
      </c>
      <c r="BR174" s="7" t="s">
        <v>107</v>
      </c>
      <c r="BS174" s="3"/>
      <c r="BT174" s="7" t="s">
        <v>107</v>
      </c>
      <c r="BU174" s="7" t="s">
        <v>107</v>
      </c>
      <c r="BV174" s="7" t="s">
        <v>107</v>
      </c>
      <c r="BW174" s="8" t="s">
        <v>107</v>
      </c>
      <c r="BX174" s="7" t="s">
        <v>107</v>
      </c>
      <c r="BY174" s="7" t="s">
        <v>107</v>
      </c>
      <c r="BZ174" s="7" t="s">
        <v>107</v>
      </c>
      <c r="CA174" s="3"/>
      <c r="CB174" s="7"/>
      <c r="CC174" s="7" t="s">
        <v>107</v>
      </c>
      <c r="CD174" s="7" t="s">
        <v>107</v>
      </c>
      <c r="CE174" s="8" t="s">
        <v>107</v>
      </c>
      <c r="CF174" s="7" t="s">
        <v>107</v>
      </c>
      <c r="CG174" s="7" t="s">
        <v>107</v>
      </c>
      <c r="CH174" s="7" t="s">
        <v>107</v>
      </c>
      <c r="CI174" s="3"/>
      <c r="CJ174" s="7"/>
      <c r="CK174" s="7" t="s">
        <v>107</v>
      </c>
      <c r="CL174" s="7" t="s">
        <v>107</v>
      </c>
      <c r="CM174" s="8" t="s">
        <v>107</v>
      </c>
      <c r="CN174" s="7" t="s">
        <v>107</v>
      </c>
      <c r="CO174" s="7" t="s">
        <v>107</v>
      </c>
      <c r="CP174" s="7" t="s">
        <v>107</v>
      </c>
      <c r="CQ174" s="3"/>
      <c r="CR174" s="7"/>
      <c r="CS174" s="7" t="s">
        <v>107</v>
      </c>
      <c r="CT174" s="7" t="s">
        <v>107</v>
      </c>
      <c r="CU174" s="7" t="s">
        <v>107</v>
      </c>
      <c r="CV174" s="7" t="s">
        <v>107</v>
      </c>
      <c r="CW174" s="7" t="s">
        <v>107</v>
      </c>
      <c r="CX174" s="7" t="s">
        <v>107</v>
      </c>
      <c r="CY174" s="3"/>
      <c r="CZ174" s="7"/>
      <c r="DA174" s="7" t="s">
        <v>107</v>
      </c>
      <c r="DB174" s="7" t="s">
        <v>107</v>
      </c>
      <c r="DC174" s="7" t="s">
        <v>107</v>
      </c>
      <c r="DD174" s="7" t="s">
        <v>107</v>
      </c>
      <c r="DE174" s="7" t="s">
        <v>107</v>
      </c>
      <c r="DF174" s="7" t="s">
        <v>107</v>
      </c>
      <c r="DG174" s="3"/>
      <c r="DH174" s="7"/>
      <c r="DI174" s="7" t="s">
        <v>107</v>
      </c>
      <c r="DJ174" s="7" t="s">
        <v>107</v>
      </c>
      <c r="DK174" s="5">
        <f>AM174</f>
        <v>5000</v>
      </c>
      <c r="DL174" s="15" t="s">
        <v>2525</v>
      </c>
      <c r="DM174" s="51">
        <f>DL174*0.95</f>
        <v>4750</v>
      </c>
    </row>
    <row r="175" spans="1:117" ht="17.25" customHeight="1" x14ac:dyDescent="0.25">
      <c r="A175" s="50" t="s">
        <v>2384</v>
      </c>
      <c r="B175" s="15" t="s">
        <v>2385</v>
      </c>
      <c r="C175" s="15" t="s">
        <v>2386</v>
      </c>
      <c r="D175" s="15" t="s">
        <v>2387</v>
      </c>
      <c r="E175" s="15" t="s">
        <v>909</v>
      </c>
      <c r="F175" s="15" t="s">
        <v>2388</v>
      </c>
      <c r="G175" s="15" t="s">
        <v>2389</v>
      </c>
      <c r="H175" s="15" t="s">
        <v>2390</v>
      </c>
      <c r="I175" s="15" t="s">
        <v>2391</v>
      </c>
      <c r="J175" s="15" t="s">
        <v>4292</v>
      </c>
      <c r="K175" s="15" t="s">
        <v>101</v>
      </c>
      <c r="L175" s="15" t="s">
        <v>2392</v>
      </c>
      <c r="M175" s="15" t="s">
        <v>2393</v>
      </c>
      <c r="N175" s="15" t="s">
        <v>2394</v>
      </c>
      <c r="O175" s="15" t="s">
        <v>2395</v>
      </c>
      <c r="P175" s="15" t="s">
        <v>2396</v>
      </c>
      <c r="Q175" s="15" t="s">
        <v>2397</v>
      </c>
      <c r="R175" s="15" t="s">
        <v>2398</v>
      </c>
      <c r="S175" s="15" t="s">
        <v>2399</v>
      </c>
      <c r="T175" s="15" t="s">
        <v>107</v>
      </c>
      <c r="U175" s="15" t="s">
        <v>2400</v>
      </c>
      <c r="V175" s="15" t="s">
        <v>109</v>
      </c>
      <c r="W175" s="15" t="s">
        <v>2401</v>
      </c>
      <c r="X175" s="16" t="s">
        <v>2402</v>
      </c>
      <c r="Y175" s="15" t="s">
        <v>814</v>
      </c>
      <c r="Z175" s="16" t="s">
        <v>2403</v>
      </c>
      <c r="AA175" s="17">
        <v>1199</v>
      </c>
      <c r="AB175" s="17">
        <v>2</v>
      </c>
      <c r="AC175" s="17">
        <v>181</v>
      </c>
      <c r="AD175" s="17">
        <v>0</v>
      </c>
      <c r="AE175" s="17">
        <v>0</v>
      </c>
      <c r="AF175" s="15" t="s">
        <v>142</v>
      </c>
      <c r="AG175" s="15" t="s">
        <v>115</v>
      </c>
      <c r="AH175" s="15" t="s">
        <v>2404</v>
      </c>
      <c r="AI175" s="20">
        <v>60403.199999999997</v>
      </c>
      <c r="AJ175" s="15">
        <v>0.75</v>
      </c>
      <c r="AK175" s="15" t="s">
        <v>2405</v>
      </c>
      <c r="AL175" s="15" t="s">
        <v>2406</v>
      </c>
      <c r="AM175" s="3">
        <f>(AI175*AJ175)/2</f>
        <v>22651.199999999997</v>
      </c>
      <c r="AN175" s="7" t="s">
        <v>142</v>
      </c>
      <c r="AO175" s="7" t="s">
        <v>503</v>
      </c>
      <c r="AP175" s="7" t="s">
        <v>4061</v>
      </c>
      <c r="AQ175" s="8">
        <v>60403.199999999997</v>
      </c>
      <c r="AR175" s="7">
        <v>0.75</v>
      </c>
      <c r="AS175" s="7" t="s">
        <v>2405</v>
      </c>
      <c r="AT175" s="7" t="s">
        <v>2406</v>
      </c>
      <c r="AU175" s="3">
        <f>(AQ175*AR175)/2</f>
        <v>22651.199999999997</v>
      </c>
      <c r="AV175" s="7" t="s">
        <v>107</v>
      </c>
      <c r="AW175" s="7" t="s">
        <v>107</v>
      </c>
      <c r="AX175" s="7" t="s">
        <v>107</v>
      </c>
      <c r="AY175" s="8" t="s">
        <v>107</v>
      </c>
      <c r="AZ175" s="7" t="s">
        <v>107</v>
      </c>
      <c r="BA175" s="7" t="s">
        <v>107</v>
      </c>
      <c r="BB175" s="7" t="s">
        <v>107</v>
      </c>
      <c r="BC175" s="3"/>
      <c r="BD175" s="7" t="s">
        <v>107</v>
      </c>
      <c r="BE175" s="7" t="s">
        <v>107</v>
      </c>
      <c r="BF175" s="7" t="s">
        <v>107</v>
      </c>
      <c r="BG175" s="7" t="s">
        <v>107</v>
      </c>
      <c r="BH175" s="7" t="s">
        <v>107</v>
      </c>
      <c r="BI175" s="7" t="s">
        <v>107</v>
      </c>
      <c r="BJ175" s="7" t="s">
        <v>107</v>
      </c>
      <c r="BK175" s="3"/>
      <c r="BL175" s="7" t="s">
        <v>107</v>
      </c>
      <c r="BM175" s="7" t="s">
        <v>107</v>
      </c>
      <c r="BN175" s="7" t="s">
        <v>107</v>
      </c>
      <c r="BO175" s="8" t="s">
        <v>107</v>
      </c>
      <c r="BP175" s="7" t="s">
        <v>107</v>
      </c>
      <c r="BQ175" s="7" t="s">
        <v>107</v>
      </c>
      <c r="BR175" s="7" t="s">
        <v>107</v>
      </c>
      <c r="BS175" s="3"/>
      <c r="BT175" s="7" t="s">
        <v>107</v>
      </c>
      <c r="BU175" s="7" t="s">
        <v>107</v>
      </c>
      <c r="BV175" s="7" t="s">
        <v>107</v>
      </c>
      <c r="BW175" s="8" t="s">
        <v>107</v>
      </c>
      <c r="BX175" s="7" t="s">
        <v>107</v>
      </c>
      <c r="BY175" s="7" t="s">
        <v>107</v>
      </c>
      <c r="BZ175" s="7" t="s">
        <v>107</v>
      </c>
      <c r="CA175" s="3"/>
      <c r="CB175" s="7"/>
      <c r="CC175" s="7" t="s">
        <v>107</v>
      </c>
      <c r="CD175" s="7" t="s">
        <v>107</v>
      </c>
      <c r="CE175" s="8" t="s">
        <v>107</v>
      </c>
      <c r="CF175" s="7" t="s">
        <v>107</v>
      </c>
      <c r="CG175" s="7" t="s">
        <v>107</v>
      </c>
      <c r="CH175" s="7" t="s">
        <v>107</v>
      </c>
      <c r="CI175" s="3"/>
      <c r="CJ175" s="7"/>
      <c r="CK175" s="7" t="s">
        <v>107</v>
      </c>
      <c r="CL175" s="7" t="s">
        <v>107</v>
      </c>
      <c r="CM175" s="8" t="s">
        <v>107</v>
      </c>
      <c r="CN175" s="7" t="s">
        <v>107</v>
      </c>
      <c r="CO175" s="7" t="s">
        <v>107</v>
      </c>
      <c r="CP175" s="7" t="s">
        <v>107</v>
      </c>
      <c r="CQ175" s="3"/>
      <c r="CR175" s="7"/>
      <c r="CS175" s="7" t="s">
        <v>107</v>
      </c>
      <c r="CT175" s="7" t="s">
        <v>107</v>
      </c>
      <c r="CU175" s="7" t="s">
        <v>107</v>
      </c>
      <c r="CV175" s="7" t="s">
        <v>107</v>
      </c>
      <c r="CW175" s="7" t="s">
        <v>107</v>
      </c>
      <c r="CX175" s="7" t="s">
        <v>107</v>
      </c>
      <c r="CY175" s="3"/>
      <c r="CZ175" s="7"/>
      <c r="DA175" s="7" t="s">
        <v>107</v>
      </c>
      <c r="DB175" s="7" t="s">
        <v>107</v>
      </c>
      <c r="DC175" s="7" t="s">
        <v>107</v>
      </c>
      <c r="DD175" s="7" t="s">
        <v>107</v>
      </c>
      <c r="DE175" s="7" t="s">
        <v>107</v>
      </c>
      <c r="DF175" s="7" t="s">
        <v>107</v>
      </c>
      <c r="DG175" s="3"/>
      <c r="DH175" s="7"/>
      <c r="DI175" s="7" t="s">
        <v>107</v>
      </c>
      <c r="DJ175" s="7" t="s">
        <v>107</v>
      </c>
      <c r="DK175" s="5">
        <f>AM175+AU175</f>
        <v>45302.399999999994</v>
      </c>
      <c r="DL175" s="15" t="s">
        <v>2405</v>
      </c>
      <c r="DM175" s="51">
        <f>DL175*0.95</f>
        <v>43037.279999999999</v>
      </c>
    </row>
    <row r="176" spans="1:117" ht="17.25" customHeight="1" x14ac:dyDescent="0.25">
      <c r="A176" s="50" t="s">
        <v>2960</v>
      </c>
      <c r="B176" s="15" t="s">
        <v>3957</v>
      </c>
      <c r="C176" s="15" t="s">
        <v>2961</v>
      </c>
      <c r="D176" s="15" t="s">
        <v>2962</v>
      </c>
      <c r="E176" s="15" t="s">
        <v>450</v>
      </c>
      <c r="F176" s="15" t="s">
        <v>2963</v>
      </c>
      <c r="G176" s="15" t="s">
        <v>2964</v>
      </c>
      <c r="H176" s="15" t="s">
        <v>2965</v>
      </c>
      <c r="I176" s="15" t="s">
        <v>2966</v>
      </c>
      <c r="J176" s="15" t="s">
        <v>4320</v>
      </c>
      <c r="K176" s="15" t="s">
        <v>151</v>
      </c>
      <c r="L176" s="15" t="s">
        <v>2967</v>
      </c>
      <c r="M176" s="15" t="s">
        <v>2968</v>
      </c>
      <c r="N176" s="15" t="s">
        <v>2969</v>
      </c>
      <c r="O176" s="15" t="s">
        <v>2970</v>
      </c>
      <c r="P176" s="15" t="s">
        <v>2971</v>
      </c>
      <c r="Q176" s="15" t="s">
        <v>2972</v>
      </c>
      <c r="R176" s="15" t="s">
        <v>179</v>
      </c>
      <c r="S176" s="15" t="s">
        <v>2963</v>
      </c>
      <c r="T176" s="15" t="s">
        <v>107</v>
      </c>
      <c r="U176" s="15" t="s">
        <v>2973</v>
      </c>
      <c r="V176" s="15" t="s">
        <v>109</v>
      </c>
      <c r="W176" s="15" t="s">
        <v>2974</v>
      </c>
      <c r="X176" s="16" t="s">
        <v>2975</v>
      </c>
      <c r="Y176" s="15" t="s">
        <v>112</v>
      </c>
      <c r="Z176" s="16" t="s">
        <v>4383</v>
      </c>
      <c r="AA176" s="17">
        <v>900</v>
      </c>
      <c r="AB176" s="17">
        <v>0</v>
      </c>
      <c r="AC176" s="17">
        <v>0</v>
      </c>
      <c r="AD176" s="17">
        <v>1</v>
      </c>
      <c r="AE176" s="17">
        <v>410</v>
      </c>
      <c r="AF176" s="15" t="s">
        <v>196</v>
      </c>
      <c r="AG176" s="15" t="s">
        <v>157</v>
      </c>
      <c r="AH176" s="15" t="s">
        <v>2976</v>
      </c>
      <c r="AI176" s="21">
        <v>56500</v>
      </c>
      <c r="AJ176" s="15">
        <v>0.3</v>
      </c>
      <c r="AK176" s="15" t="s">
        <v>2977</v>
      </c>
      <c r="AL176" s="15" t="s">
        <v>2978</v>
      </c>
      <c r="AM176" s="3">
        <f>(AI176*AJ176)/2</f>
        <v>8475</v>
      </c>
      <c r="AN176" s="7" t="s">
        <v>196</v>
      </c>
      <c r="AO176" s="7" t="s">
        <v>1282</v>
      </c>
      <c r="AP176" s="7" t="s">
        <v>2979</v>
      </c>
      <c r="AQ176" s="8">
        <v>56500</v>
      </c>
      <c r="AR176" s="7">
        <v>0.4</v>
      </c>
      <c r="AS176" s="7" t="s">
        <v>2980</v>
      </c>
      <c r="AT176" s="7" t="s">
        <v>2981</v>
      </c>
      <c r="AU176" s="3">
        <f>(AQ176*AR176)/2</f>
        <v>11300</v>
      </c>
      <c r="AV176" s="7" t="s">
        <v>107</v>
      </c>
      <c r="AW176" s="7" t="s">
        <v>107</v>
      </c>
      <c r="AX176" s="7" t="s">
        <v>107</v>
      </c>
      <c r="AY176" s="8" t="s">
        <v>107</v>
      </c>
      <c r="AZ176" s="7" t="s">
        <v>107</v>
      </c>
      <c r="BA176" s="7" t="s">
        <v>107</v>
      </c>
      <c r="BB176" s="7" t="s">
        <v>107</v>
      </c>
      <c r="BC176" s="3"/>
      <c r="BD176" s="7" t="s">
        <v>107</v>
      </c>
      <c r="BE176" s="7" t="s">
        <v>107</v>
      </c>
      <c r="BF176" s="7" t="s">
        <v>107</v>
      </c>
      <c r="BG176" s="7" t="s">
        <v>107</v>
      </c>
      <c r="BH176" s="7" t="s">
        <v>107</v>
      </c>
      <c r="BI176" s="7" t="s">
        <v>107</v>
      </c>
      <c r="BJ176" s="7" t="s">
        <v>107</v>
      </c>
      <c r="BK176" s="3"/>
      <c r="BL176" s="7" t="s">
        <v>107</v>
      </c>
      <c r="BM176" s="7" t="s">
        <v>107</v>
      </c>
      <c r="BN176" s="7" t="s">
        <v>107</v>
      </c>
      <c r="BO176" s="8" t="s">
        <v>107</v>
      </c>
      <c r="BP176" s="7" t="s">
        <v>107</v>
      </c>
      <c r="BQ176" s="7" t="s">
        <v>107</v>
      </c>
      <c r="BR176" s="7" t="s">
        <v>107</v>
      </c>
      <c r="BS176" s="3"/>
      <c r="BT176" s="7" t="s">
        <v>107</v>
      </c>
      <c r="BU176" s="7" t="s">
        <v>107</v>
      </c>
      <c r="BV176" s="7" t="s">
        <v>107</v>
      </c>
      <c r="BW176" s="8" t="s">
        <v>107</v>
      </c>
      <c r="BX176" s="7" t="s">
        <v>107</v>
      </c>
      <c r="BY176" s="7" t="s">
        <v>107</v>
      </c>
      <c r="BZ176" s="7" t="s">
        <v>107</v>
      </c>
      <c r="CA176" s="3"/>
      <c r="CB176" s="7"/>
      <c r="CC176" s="7" t="s">
        <v>107</v>
      </c>
      <c r="CD176" s="7" t="s">
        <v>107</v>
      </c>
      <c r="CE176" s="8" t="s">
        <v>107</v>
      </c>
      <c r="CF176" s="7" t="s">
        <v>107</v>
      </c>
      <c r="CG176" s="7" t="s">
        <v>107</v>
      </c>
      <c r="CH176" s="7" t="s">
        <v>107</v>
      </c>
      <c r="CI176" s="3"/>
      <c r="CJ176" s="7"/>
      <c r="CK176" s="7" t="s">
        <v>107</v>
      </c>
      <c r="CL176" s="7" t="s">
        <v>107</v>
      </c>
      <c r="CM176" s="8" t="s">
        <v>107</v>
      </c>
      <c r="CN176" s="7" t="s">
        <v>107</v>
      </c>
      <c r="CO176" s="7" t="s">
        <v>107</v>
      </c>
      <c r="CP176" s="7" t="s">
        <v>107</v>
      </c>
      <c r="CQ176" s="3"/>
      <c r="CR176" s="7"/>
      <c r="CS176" s="7" t="s">
        <v>107</v>
      </c>
      <c r="CT176" s="7" t="s">
        <v>107</v>
      </c>
      <c r="CU176" s="7" t="s">
        <v>107</v>
      </c>
      <c r="CV176" s="7" t="s">
        <v>107</v>
      </c>
      <c r="CW176" s="7" t="s">
        <v>107</v>
      </c>
      <c r="CX176" s="7" t="s">
        <v>107</v>
      </c>
      <c r="CY176" s="3"/>
      <c r="CZ176" s="7"/>
      <c r="DA176" s="7" t="s">
        <v>107</v>
      </c>
      <c r="DB176" s="7" t="s">
        <v>107</v>
      </c>
      <c r="DC176" s="7" t="s">
        <v>107</v>
      </c>
      <c r="DD176" s="7" t="s">
        <v>107</v>
      </c>
      <c r="DE176" s="7" t="s">
        <v>107</v>
      </c>
      <c r="DF176" s="7" t="s">
        <v>107</v>
      </c>
      <c r="DG176" s="3"/>
      <c r="DH176" s="7"/>
      <c r="DI176" s="7" t="s">
        <v>107</v>
      </c>
      <c r="DJ176" s="7" t="s">
        <v>107</v>
      </c>
      <c r="DK176" s="5">
        <f>AM176+AU176</f>
        <v>19775</v>
      </c>
      <c r="DL176" s="15" t="s">
        <v>2982</v>
      </c>
      <c r="DM176" s="51">
        <f>DL176*0.95</f>
        <v>18786.25</v>
      </c>
    </row>
    <row r="177" spans="1:117" ht="17.25" customHeight="1" x14ac:dyDescent="0.25">
      <c r="A177" s="50" t="s">
        <v>3906</v>
      </c>
      <c r="B177" s="15" t="s">
        <v>3958</v>
      </c>
      <c r="C177" s="15" t="s">
        <v>3544</v>
      </c>
      <c r="D177" s="15" t="s">
        <v>3545</v>
      </c>
      <c r="E177" s="15" t="s">
        <v>351</v>
      </c>
      <c r="F177" s="15" t="s">
        <v>3546</v>
      </c>
      <c r="G177" s="15" t="s">
        <v>3547</v>
      </c>
      <c r="H177" s="15" t="s">
        <v>3548</v>
      </c>
      <c r="I177" s="15" t="s">
        <v>3549</v>
      </c>
      <c r="J177" s="15" t="s">
        <v>4349</v>
      </c>
      <c r="K177" s="15" t="s">
        <v>151</v>
      </c>
      <c r="L177" s="15" t="s">
        <v>3546</v>
      </c>
      <c r="M177" s="15" t="s">
        <v>3550</v>
      </c>
      <c r="N177" s="15" t="s">
        <v>3551</v>
      </c>
      <c r="O177" s="15" t="s">
        <v>3552</v>
      </c>
      <c r="P177" s="15" t="s">
        <v>3553</v>
      </c>
      <c r="Q177" s="15" t="s">
        <v>3554</v>
      </c>
      <c r="R177" s="15" t="s">
        <v>157</v>
      </c>
      <c r="S177" s="15" t="s">
        <v>3546</v>
      </c>
      <c r="T177" s="15" t="s">
        <v>107</v>
      </c>
      <c r="U177" s="15" t="s">
        <v>3555</v>
      </c>
      <c r="V177" s="15" t="s">
        <v>109</v>
      </c>
      <c r="W177" s="15" t="s">
        <v>3556</v>
      </c>
      <c r="X177" s="16" t="s">
        <v>3557</v>
      </c>
      <c r="Y177" s="15" t="s">
        <v>184</v>
      </c>
      <c r="Z177" s="16" t="s">
        <v>4082</v>
      </c>
      <c r="AA177" s="17">
        <v>900</v>
      </c>
      <c r="AB177" s="17">
        <v>1</v>
      </c>
      <c r="AC177" s="17">
        <v>600</v>
      </c>
      <c r="AD177" s="17">
        <v>1</v>
      </c>
      <c r="AE177" s="17">
        <v>700</v>
      </c>
      <c r="AF177" s="15" t="s">
        <v>118</v>
      </c>
      <c r="AG177" s="15" t="s">
        <v>157</v>
      </c>
      <c r="AH177" s="15" t="s">
        <v>3558</v>
      </c>
      <c r="AI177" s="18">
        <v>64407</v>
      </c>
      <c r="AJ177" s="15">
        <v>0.7</v>
      </c>
      <c r="AK177" s="15" t="s">
        <v>3559</v>
      </c>
      <c r="AL177" s="15" t="s">
        <v>3560</v>
      </c>
      <c r="AM177" s="3">
        <f>(AI177*AJ177)/2</f>
        <v>22542.449999999997</v>
      </c>
      <c r="AN177" s="7" t="s">
        <v>107</v>
      </c>
      <c r="AO177" s="7" t="s">
        <v>107</v>
      </c>
      <c r="AP177" s="7" t="s">
        <v>107</v>
      </c>
      <c r="AQ177" s="8" t="s">
        <v>107</v>
      </c>
      <c r="AR177" s="7"/>
      <c r="AS177" s="7" t="s">
        <v>107</v>
      </c>
      <c r="AT177" s="7" t="s">
        <v>107</v>
      </c>
      <c r="AU177" s="3"/>
      <c r="AV177" s="7" t="s">
        <v>107</v>
      </c>
      <c r="AW177" s="7" t="s">
        <v>107</v>
      </c>
      <c r="AX177" s="7" t="s">
        <v>107</v>
      </c>
      <c r="AY177" s="8" t="s">
        <v>107</v>
      </c>
      <c r="AZ177" s="7" t="s">
        <v>107</v>
      </c>
      <c r="BA177" s="7" t="s">
        <v>107</v>
      </c>
      <c r="BB177" s="7" t="s">
        <v>107</v>
      </c>
      <c r="BC177" s="3"/>
      <c r="BD177" s="7" t="s">
        <v>107</v>
      </c>
      <c r="BE177" s="7" t="s">
        <v>107</v>
      </c>
      <c r="BF177" s="7" t="s">
        <v>107</v>
      </c>
      <c r="BG177" s="7" t="s">
        <v>107</v>
      </c>
      <c r="BH177" s="7" t="s">
        <v>107</v>
      </c>
      <c r="BI177" s="7" t="s">
        <v>107</v>
      </c>
      <c r="BJ177" s="7" t="s">
        <v>107</v>
      </c>
      <c r="BK177" s="3"/>
      <c r="BL177" s="7" t="s">
        <v>107</v>
      </c>
      <c r="BM177" s="7" t="s">
        <v>107</v>
      </c>
      <c r="BN177" s="7" t="s">
        <v>107</v>
      </c>
      <c r="BO177" s="8" t="s">
        <v>107</v>
      </c>
      <c r="BP177" s="7" t="s">
        <v>107</v>
      </c>
      <c r="BQ177" s="7" t="s">
        <v>107</v>
      </c>
      <c r="BR177" s="7" t="s">
        <v>107</v>
      </c>
      <c r="BS177" s="3"/>
      <c r="BT177" s="7" t="s">
        <v>107</v>
      </c>
      <c r="BU177" s="7" t="s">
        <v>107</v>
      </c>
      <c r="BV177" s="7" t="s">
        <v>107</v>
      </c>
      <c r="BW177" s="8" t="s">
        <v>107</v>
      </c>
      <c r="BX177" s="7" t="s">
        <v>107</v>
      </c>
      <c r="BY177" s="7" t="s">
        <v>107</v>
      </c>
      <c r="BZ177" s="7" t="s">
        <v>107</v>
      </c>
      <c r="CA177" s="3"/>
      <c r="CB177" s="7"/>
      <c r="CC177" s="7" t="s">
        <v>107</v>
      </c>
      <c r="CD177" s="7" t="s">
        <v>107</v>
      </c>
      <c r="CE177" s="8" t="s">
        <v>107</v>
      </c>
      <c r="CF177" s="7" t="s">
        <v>107</v>
      </c>
      <c r="CG177" s="7" t="s">
        <v>107</v>
      </c>
      <c r="CH177" s="7" t="s">
        <v>107</v>
      </c>
      <c r="CI177" s="3"/>
      <c r="CJ177" s="7"/>
      <c r="CK177" s="7" t="s">
        <v>107</v>
      </c>
      <c r="CL177" s="7" t="s">
        <v>107</v>
      </c>
      <c r="CM177" s="8" t="s">
        <v>107</v>
      </c>
      <c r="CN177" s="7" t="s">
        <v>107</v>
      </c>
      <c r="CO177" s="7" t="s">
        <v>107</v>
      </c>
      <c r="CP177" s="7" t="s">
        <v>107</v>
      </c>
      <c r="CQ177" s="3"/>
      <c r="CR177" s="7"/>
      <c r="CS177" s="7" t="s">
        <v>107</v>
      </c>
      <c r="CT177" s="7" t="s">
        <v>107</v>
      </c>
      <c r="CU177" s="7" t="s">
        <v>107</v>
      </c>
      <c r="CV177" s="7" t="s">
        <v>107</v>
      </c>
      <c r="CW177" s="7" t="s">
        <v>107</v>
      </c>
      <c r="CX177" s="7" t="s">
        <v>107</v>
      </c>
      <c r="CY177" s="3"/>
      <c r="CZ177" s="7"/>
      <c r="DA177" s="7" t="s">
        <v>107</v>
      </c>
      <c r="DB177" s="7" t="s">
        <v>107</v>
      </c>
      <c r="DC177" s="7" t="s">
        <v>107</v>
      </c>
      <c r="DD177" s="7" t="s">
        <v>107</v>
      </c>
      <c r="DE177" s="7" t="s">
        <v>107</v>
      </c>
      <c r="DF177" s="7" t="s">
        <v>107</v>
      </c>
      <c r="DG177" s="3"/>
      <c r="DH177" s="7"/>
      <c r="DI177" s="7" t="s">
        <v>107</v>
      </c>
      <c r="DJ177" s="7" t="s">
        <v>107</v>
      </c>
      <c r="DK177" s="5">
        <f>AM177</f>
        <v>22542.449999999997</v>
      </c>
      <c r="DL177" s="15" t="s">
        <v>3560</v>
      </c>
      <c r="DM177" s="51">
        <f>DL177*0.95</f>
        <v>21414.899999999998</v>
      </c>
    </row>
    <row r="178" spans="1:117" ht="17.25" customHeight="1" x14ac:dyDescent="0.25">
      <c r="A178" s="53" t="s">
        <v>3907</v>
      </c>
      <c r="B178" s="7" t="s">
        <v>3721</v>
      </c>
      <c r="C178" s="7" t="s">
        <v>468</v>
      </c>
      <c r="D178" s="7" t="s">
        <v>469</v>
      </c>
      <c r="E178" s="7" t="s">
        <v>470</v>
      </c>
      <c r="F178" s="7" t="s">
        <v>3722</v>
      </c>
      <c r="G178" s="7" t="s">
        <v>3723</v>
      </c>
      <c r="H178" s="7" t="s">
        <v>3724</v>
      </c>
      <c r="I178" s="7" t="s">
        <v>3725</v>
      </c>
      <c r="J178" s="7" t="s">
        <v>4358</v>
      </c>
      <c r="K178" s="7" t="s">
        <v>101</v>
      </c>
      <c r="L178" s="7" t="s">
        <v>3726</v>
      </c>
      <c r="M178" s="7" t="s">
        <v>3727</v>
      </c>
      <c r="N178" s="7" t="s">
        <v>3728</v>
      </c>
      <c r="O178" s="7" t="s">
        <v>3729</v>
      </c>
      <c r="P178" s="7" t="s">
        <v>3730</v>
      </c>
      <c r="Q178" s="7" t="s">
        <v>3731</v>
      </c>
      <c r="R178" s="7" t="s">
        <v>3732</v>
      </c>
      <c r="S178" s="7" t="s">
        <v>3733</v>
      </c>
      <c r="T178" s="7" t="s">
        <v>107</v>
      </c>
      <c r="U178" s="7" t="s">
        <v>3734</v>
      </c>
      <c r="V178" s="7" t="s">
        <v>109</v>
      </c>
      <c r="W178" s="7" t="s">
        <v>3735</v>
      </c>
      <c r="X178" s="22" t="s">
        <v>3736</v>
      </c>
      <c r="Y178" s="7" t="s">
        <v>814</v>
      </c>
      <c r="Z178" s="22" t="s">
        <v>3737</v>
      </c>
      <c r="AA178" s="31">
        <v>368</v>
      </c>
      <c r="AB178" s="31">
        <v>4</v>
      </c>
      <c r="AC178" s="31">
        <v>0</v>
      </c>
      <c r="AD178" s="31">
        <v>4</v>
      </c>
      <c r="AE178" s="31">
        <v>0</v>
      </c>
      <c r="AF178" s="7" t="s">
        <v>142</v>
      </c>
      <c r="AG178" s="7" t="s">
        <v>115</v>
      </c>
      <c r="AH178" s="7" t="s">
        <v>3738</v>
      </c>
      <c r="AI178" s="32">
        <v>48776</v>
      </c>
      <c r="AJ178" s="7">
        <v>0.1</v>
      </c>
      <c r="AK178" s="7" t="s">
        <v>3739</v>
      </c>
      <c r="AL178" s="7" t="s">
        <v>3740</v>
      </c>
      <c r="AM178" s="3">
        <f>(AI178*AJ178)/2</f>
        <v>2438.8000000000002</v>
      </c>
      <c r="AN178" s="7" t="s">
        <v>107</v>
      </c>
      <c r="AO178" s="7" t="s">
        <v>261</v>
      </c>
      <c r="AP178" s="7" t="s">
        <v>3741</v>
      </c>
      <c r="AQ178" s="8">
        <v>65372</v>
      </c>
      <c r="AR178" s="7">
        <v>0.01</v>
      </c>
      <c r="AS178" s="7" t="s">
        <v>3742</v>
      </c>
      <c r="AT178" s="7" t="s">
        <v>786</v>
      </c>
      <c r="AU178" s="3">
        <f>(AQ178*AR178)/2</f>
        <v>326.86</v>
      </c>
      <c r="AV178" s="7" t="s">
        <v>107</v>
      </c>
      <c r="AW178" s="7" t="s">
        <v>368</v>
      </c>
      <c r="AX178" s="7" t="s">
        <v>3743</v>
      </c>
      <c r="AY178" s="8">
        <v>46800</v>
      </c>
      <c r="AZ178" s="7">
        <v>0.01</v>
      </c>
      <c r="BA178" s="7" t="s">
        <v>3091</v>
      </c>
      <c r="BB178" s="7" t="s">
        <v>3744</v>
      </c>
      <c r="BC178" s="3">
        <f>(AY178*AZ178)/2</f>
        <v>234</v>
      </c>
      <c r="BD178" s="7" t="s">
        <v>107</v>
      </c>
      <c r="BE178" s="7" t="s">
        <v>132</v>
      </c>
      <c r="BF178" s="7" t="s">
        <v>3745</v>
      </c>
      <c r="BG178" s="7">
        <v>49920</v>
      </c>
      <c r="BH178" s="7">
        <v>0.01</v>
      </c>
      <c r="BI178" s="7" t="s">
        <v>161</v>
      </c>
      <c r="BJ178" s="7" t="s">
        <v>683</v>
      </c>
      <c r="BK178" s="3">
        <f>(BG178*BH178)/2</f>
        <v>249.6</v>
      </c>
      <c r="BL178" s="7" t="s">
        <v>107</v>
      </c>
      <c r="BM178" s="7" t="s">
        <v>282</v>
      </c>
      <c r="BN178" s="7" t="s">
        <v>3746</v>
      </c>
      <c r="BO178" s="8">
        <v>54080</v>
      </c>
      <c r="BP178" s="7">
        <v>0.01</v>
      </c>
      <c r="BQ178" s="7" t="s">
        <v>2814</v>
      </c>
      <c r="BR178" s="7" t="s">
        <v>3747</v>
      </c>
      <c r="BS178" s="3">
        <f>(BO178*BP178)/2</f>
        <v>270.39999999999998</v>
      </c>
      <c r="BT178" s="7" t="s">
        <v>107</v>
      </c>
      <c r="BU178" s="7" t="s">
        <v>107</v>
      </c>
      <c r="BV178" s="7" t="s">
        <v>107</v>
      </c>
      <c r="BW178" s="8" t="s">
        <v>107</v>
      </c>
      <c r="BX178" s="7" t="s">
        <v>107</v>
      </c>
      <c r="BY178" s="7" t="s">
        <v>107</v>
      </c>
      <c r="BZ178" s="7" t="s">
        <v>107</v>
      </c>
      <c r="CA178" s="3"/>
      <c r="CB178" s="7"/>
      <c r="CC178" s="7" t="s">
        <v>107</v>
      </c>
      <c r="CD178" s="7" t="s">
        <v>107</v>
      </c>
      <c r="CE178" s="8" t="s">
        <v>107</v>
      </c>
      <c r="CF178" s="7" t="s">
        <v>107</v>
      </c>
      <c r="CG178" s="7" t="s">
        <v>107</v>
      </c>
      <c r="CH178" s="7" t="s">
        <v>107</v>
      </c>
      <c r="CI178" s="3"/>
      <c r="CJ178" s="7"/>
      <c r="CK178" s="7" t="s">
        <v>107</v>
      </c>
      <c r="CL178" s="7" t="s">
        <v>107</v>
      </c>
      <c r="CM178" s="8" t="s">
        <v>107</v>
      </c>
      <c r="CN178" s="7" t="s">
        <v>107</v>
      </c>
      <c r="CO178" s="7" t="s">
        <v>107</v>
      </c>
      <c r="CP178" s="7" t="s">
        <v>107</v>
      </c>
      <c r="CQ178" s="3"/>
      <c r="CR178" s="7"/>
      <c r="CS178" s="7" t="s">
        <v>107</v>
      </c>
      <c r="CT178" s="7" t="s">
        <v>107</v>
      </c>
      <c r="CU178" s="7" t="s">
        <v>107</v>
      </c>
      <c r="CV178" s="7" t="s">
        <v>107</v>
      </c>
      <c r="CW178" s="7" t="s">
        <v>107</v>
      </c>
      <c r="CX178" s="7" t="s">
        <v>107</v>
      </c>
      <c r="CY178" s="3"/>
      <c r="CZ178" s="7"/>
      <c r="DA178" s="7" t="s">
        <v>107</v>
      </c>
      <c r="DB178" s="7" t="s">
        <v>107</v>
      </c>
      <c r="DC178" s="7" t="s">
        <v>107</v>
      </c>
      <c r="DD178" s="7" t="s">
        <v>107</v>
      </c>
      <c r="DE178" s="7" t="s">
        <v>107</v>
      </c>
      <c r="DF178" s="7" t="s">
        <v>107</v>
      </c>
      <c r="DG178" s="3"/>
      <c r="DH178" s="7"/>
      <c r="DI178" s="7" t="s">
        <v>107</v>
      </c>
      <c r="DJ178" s="7" t="s">
        <v>107</v>
      </c>
      <c r="DK178" s="5">
        <f>AM178+AU178+BC178+BK178</f>
        <v>3249.26</v>
      </c>
      <c r="DL178" s="7" t="s">
        <v>3748</v>
      </c>
      <c r="DM178" s="51">
        <f>DL178*0.95</f>
        <v>3343.5249999999996</v>
      </c>
    </row>
    <row r="179" spans="1:117" ht="17.25" customHeight="1" x14ac:dyDescent="0.25">
      <c r="A179" s="50" t="s">
        <v>3767</v>
      </c>
      <c r="B179" s="15" t="s">
        <v>3768</v>
      </c>
      <c r="C179" s="15" t="s">
        <v>3769</v>
      </c>
      <c r="D179" s="15" t="s">
        <v>3770</v>
      </c>
      <c r="E179" s="15" t="s">
        <v>168</v>
      </c>
      <c r="F179" s="15" t="s">
        <v>3771</v>
      </c>
      <c r="G179" s="15" t="s">
        <v>3772</v>
      </c>
      <c r="H179" s="15" t="s">
        <v>3773</v>
      </c>
      <c r="I179" s="15" t="s">
        <v>3774</v>
      </c>
      <c r="J179" s="15" t="s">
        <v>4360</v>
      </c>
      <c r="K179" s="15" t="s">
        <v>151</v>
      </c>
      <c r="L179" s="15" t="s">
        <v>3771</v>
      </c>
      <c r="M179" s="15" t="s">
        <v>107</v>
      </c>
      <c r="N179" s="15" t="s">
        <v>3775</v>
      </c>
      <c r="O179" s="15" t="s">
        <v>3776</v>
      </c>
      <c r="P179" s="15" t="s">
        <v>107</v>
      </c>
      <c r="Q179" s="15" t="s">
        <v>3777</v>
      </c>
      <c r="R179" s="15" t="s">
        <v>352</v>
      </c>
      <c r="S179" s="15" t="s">
        <v>3778</v>
      </c>
      <c r="T179" s="15" t="s">
        <v>107</v>
      </c>
      <c r="U179" s="15" t="s">
        <v>3779</v>
      </c>
      <c r="V179" s="15" t="s">
        <v>109</v>
      </c>
      <c r="W179" s="15" t="s">
        <v>3780</v>
      </c>
      <c r="X179" s="16" t="s">
        <v>3781</v>
      </c>
      <c r="Y179" s="15" t="s">
        <v>216</v>
      </c>
      <c r="Z179" s="16" t="s">
        <v>3782</v>
      </c>
      <c r="AA179" s="17">
        <v>370</v>
      </c>
      <c r="AB179" s="17">
        <v>2</v>
      </c>
      <c r="AC179" s="17">
        <v>719</v>
      </c>
      <c r="AD179" s="17">
        <v>0</v>
      </c>
      <c r="AE179" s="17">
        <v>0</v>
      </c>
      <c r="AF179" s="15" t="s">
        <v>142</v>
      </c>
      <c r="AG179" s="15" t="s">
        <v>460</v>
      </c>
      <c r="AH179" s="15" t="s">
        <v>3777</v>
      </c>
      <c r="AI179" s="18">
        <v>31312</v>
      </c>
      <c r="AJ179" s="15">
        <v>0.3</v>
      </c>
      <c r="AK179" s="15" t="s">
        <v>3783</v>
      </c>
      <c r="AL179" s="15" t="s">
        <v>3784</v>
      </c>
      <c r="AM179" s="3">
        <f>(AI179*AJ179)/2</f>
        <v>4696.8</v>
      </c>
      <c r="AN179" s="7" t="s">
        <v>107</v>
      </c>
      <c r="AO179" s="7" t="s">
        <v>107</v>
      </c>
      <c r="AP179" s="7" t="s">
        <v>107</v>
      </c>
      <c r="AQ179" s="8" t="s">
        <v>107</v>
      </c>
      <c r="AR179" s="7" t="s">
        <v>107</v>
      </c>
      <c r="AS179" s="7" t="s">
        <v>107</v>
      </c>
      <c r="AT179" s="7" t="s">
        <v>107</v>
      </c>
      <c r="AU179" s="3"/>
      <c r="AV179" s="7" t="s">
        <v>107</v>
      </c>
      <c r="AW179" s="7" t="s">
        <v>107</v>
      </c>
      <c r="AX179" s="7" t="s">
        <v>107</v>
      </c>
      <c r="AY179" s="8" t="s">
        <v>107</v>
      </c>
      <c r="AZ179" s="7" t="s">
        <v>107</v>
      </c>
      <c r="BA179" s="7" t="s">
        <v>107</v>
      </c>
      <c r="BB179" s="7" t="s">
        <v>107</v>
      </c>
      <c r="BC179" s="3"/>
      <c r="BD179" s="7" t="s">
        <v>107</v>
      </c>
      <c r="BE179" s="7" t="s">
        <v>107</v>
      </c>
      <c r="BF179" s="7" t="s">
        <v>107</v>
      </c>
      <c r="BG179" s="7" t="s">
        <v>107</v>
      </c>
      <c r="BH179" s="7" t="s">
        <v>107</v>
      </c>
      <c r="BI179" s="7" t="s">
        <v>107</v>
      </c>
      <c r="BJ179" s="7" t="s">
        <v>107</v>
      </c>
      <c r="BK179" s="3"/>
      <c r="BL179" s="7" t="s">
        <v>107</v>
      </c>
      <c r="BM179" s="7" t="s">
        <v>107</v>
      </c>
      <c r="BN179" s="7" t="s">
        <v>107</v>
      </c>
      <c r="BO179" s="8" t="s">
        <v>107</v>
      </c>
      <c r="BP179" s="7" t="s">
        <v>107</v>
      </c>
      <c r="BQ179" s="7" t="s">
        <v>107</v>
      </c>
      <c r="BR179" s="7" t="s">
        <v>107</v>
      </c>
      <c r="BS179" s="3"/>
      <c r="BT179" s="7" t="s">
        <v>107</v>
      </c>
      <c r="BU179" s="7" t="s">
        <v>107</v>
      </c>
      <c r="BV179" s="7" t="s">
        <v>107</v>
      </c>
      <c r="BW179" s="8" t="s">
        <v>107</v>
      </c>
      <c r="BX179" s="7" t="s">
        <v>107</v>
      </c>
      <c r="BY179" s="7" t="s">
        <v>107</v>
      </c>
      <c r="BZ179" s="7" t="s">
        <v>107</v>
      </c>
      <c r="CA179" s="3"/>
      <c r="CB179" s="7"/>
      <c r="CC179" s="7" t="s">
        <v>107</v>
      </c>
      <c r="CD179" s="7" t="s">
        <v>107</v>
      </c>
      <c r="CE179" s="8" t="s">
        <v>107</v>
      </c>
      <c r="CF179" s="7" t="s">
        <v>107</v>
      </c>
      <c r="CG179" s="7" t="s">
        <v>107</v>
      </c>
      <c r="CH179" s="7" t="s">
        <v>107</v>
      </c>
      <c r="CI179" s="3"/>
      <c r="CJ179" s="7"/>
      <c r="CK179" s="7" t="s">
        <v>107</v>
      </c>
      <c r="CL179" s="7" t="s">
        <v>107</v>
      </c>
      <c r="CM179" s="8" t="s">
        <v>107</v>
      </c>
      <c r="CN179" s="7" t="s">
        <v>107</v>
      </c>
      <c r="CO179" s="7" t="s">
        <v>107</v>
      </c>
      <c r="CP179" s="7" t="s">
        <v>107</v>
      </c>
      <c r="CQ179" s="3"/>
      <c r="CR179" s="7"/>
      <c r="CS179" s="7" t="s">
        <v>107</v>
      </c>
      <c r="CT179" s="7" t="s">
        <v>107</v>
      </c>
      <c r="CU179" s="7" t="s">
        <v>107</v>
      </c>
      <c r="CV179" s="7" t="s">
        <v>107</v>
      </c>
      <c r="CW179" s="7" t="s">
        <v>107</v>
      </c>
      <c r="CX179" s="7" t="s">
        <v>107</v>
      </c>
      <c r="CY179" s="3"/>
      <c r="CZ179" s="7"/>
      <c r="DA179" s="7" t="s">
        <v>107</v>
      </c>
      <c r="DB179" s="7" t="s">
        <v>107</v>
      </c>
      <c r="DC179" s="7" t="s">
        <v>107</v>
      </c>
      <c r="DD179" s="7" t="s">
        <v>107</v>
      </c>
      <c r="DE179" s="7" t="s">
        <v>107</v>
      </c>
      <c r="DF179" s="7" t="s">
        <v>107</v>
      </c>
      <c r="DG179" s="3"/>
      <c r="DH179" s="7"/>
      <c r="DI179" s="7" t="s">
        <v>107</v>
      </c>
      <c r="DJ179" s="7" t="s">
        <v>107</v>
      </c>
      <c r="DK179" s="5">
        <f>AM179</f>
        <v>4696.8</v>
      </c>
      <c r="DL179" s="15" t="s">
        <v>3785</v>
      </c>
      <c r="DM179" s="51">
        <f>DL179*0.95</f>
        <v>4461.96</v>
      </c>
    </row>
    <row r="180" spans="1:117" s="6" customFormat="1" ht="17.25" customHeight="1" x14ac:dyDescent="0.25">
      <c r="A180" s="50" t="s">
        <v>2071</v>
      </c>
      <c r="B180" s="15" t="s">
        <v>3959</v>
      </c>
      <c r="C180" s="15" t="s">
        <v>2072</v>
      </c>
      <c r="D180" s="15" t="s">
        <v>2073</v>
      </c>
      <c r="E180" s="15" t="s">
        <v>2074</v>
      </c>
      <c r="F180" s="15" t="s">
        <v>2075</v>
      </c>
      <c r="G180" s="15" t="s">
        <v>2076</v>
      </c>
      <c r="H180" s="15" t="s">
        <v>2077</v>
      </c>
      <c r="I180" s="15" t="s">
        <v>2078</v>
      </c>
      <c r="J180" s="15" t="s">
        <v>4276</v>
      </c>
      <c r="K180" s="15" t="s">
        <v>151</v>
      </c>
      <c r="L180" s="15" t="s">
        <v>2075</v>
      </c>
      <c r="M180" s="15" t="s">
        <v>2079</v>
      </c>
      <c r="N180" s="15" t="s">
        <v>2080</v>
      </c>
      <c r="O180" s="15" t="s">
        <v>2081</v>
      </c>
      <c r="P180" s="15" t="s">
        <v>2082</v>
      </c>
      <c r="Q180" s="15" t="s">
        <v>2083</v>
      </c>
      <c r="R180" s="15" t="s">
        <v>157</v>
      </c>
      <c r="S180" s="15" t="s">
        <v>2075</v>
      </c>
      <c r="T180" s="15" t="s">
        <v>107</v>
      </c>
      <c r="U180" s="15" t="s">
        <v>2084</v>
      </c>
      <c r="V180" s="15" t="s">
        <v>181</v>
      </c>
      <c r="W180" s="15" t="s">
        <v>107</v>
      </c>
      <c r="X180" s="16" t="s">
        <v>2085</v>
      </c>
      <c r="Y180" s="15" t="s">
        <v>184</v>
      </c>
      <c r="Z180" s="16" t="s">
        <v>2086</v>
      </c>
      <c r="AA180" s="17">
        <v>919</v>
      </c>
      <c r="AB180" s="17">
        <v>1</v>
      </c>
      <c r="AC180" s="17">
        <v>435</v>
      </c>
      <c r="AD180" s="17">
        <v>1</v>
      </c>
      <c r="AE180" s="17">
        <v>651</v>
      </c>
      <c r="AF180" s="15" t="s">
        <v>196</v>
      </c>
      <c r="AG180" s="15" t="s">
        <v>157</v>
      </c>
      <c r="AH180" s="15" t="s">
        <v>2083</v>
      </c>
      <c r="AI180" s="20">
        <v>42952</v>
      </c>
      <c r="AJ180" s="15">
        <v>0.15</v>
      </c>
      <c r="AK180" s="15" t="s">
        <v>2087</v>
      </c>
      <c r="AL180" s="15" t="s">
        <v>2088</v>
      </c>
      <c r="AM180" s="3">
        <f>(AI180*AJ180)/2</f>
        <v>3221.4</v>
      </c>
      <c r="AN180" s="7" t="s">
        <v>107</v>
      </c>
      <c r="AO180" s="7" t="s">
        <v>107</v>
      </c>
      <c r="AP180" s="7" t="s">
        <v>107</v>
      </c>
      <c r="AQ180" s="8" t="s">
        <v>107</v>
      </c>
      <c r="AR180" s="7" t="s">
        <v>107</v>
      </c>
      <c r="AS180" s="7" t="s">
        <v>107</v>
      </c>
      <c r="AT180" s="7" t="s">
        <v>107</v>
      </c>
      <c r="AU180" s="3"/>
      <c r="AV180" s="7" t="s">
        <v>107</v>
      </c>
      <c r="AW180" s="7" t="s">
        <v>107</v>
      </c>
      <c r="AX180" s="7" t="s">
        <v>107</v>
      </c>
      <c r="AY180" s="8" t="s">
        <v>107</v>
      </c>
      <c r="AZ180" s="7" t="s">
        <v>107</v>
      </c>
      <c r="BA180" s="7" t="s">
        <v>107</v>
      </c>
      <c r="BB180" s="7" t="s">
        <v>107</v>
      </c>
      <c r="BC180" s="3"/>
      <c r="BD180" s="7" t="s">
        <v>107</v>
      </c>
      <c r="BE180" s="7" t="s">
        <v>107</v>
      </c>
      <c r="BF180" s="7" t="s">
        <v>107</v>
      </c>
      <c r="BG180" s="7" t="s">
        <v>107</v>
      </c>
      <c r="BH180" s="7" t="s">
        <v>107</v>
      </c>
      <c r="BI180" s="7" t="s">
        <v>107</v>
      </c>
      <c r="BJ180" s="7" t="s">
        <v>107</v>
      </c>
      <c r="BK180" s="3"/>
      <c r="BL180" s="7" t="s">
        <v>107</v>
      </c>
      <c r="BM180" s="7" t="s">
        <v>107</v>
      </c>
      <c r="BN180" s="7" t="s">
        <v>107</v>
      </c>
      <c r="BO180" s="8" t="s">
        <v>107</v>
      </c>
      <c r="BP180" s="7" t="s">
        <v>107</v>
      </c>
      <c r="BQ180" s="7" t="s">
        <v>107</v>
      </c>
      <c r="BR180" s="7" t="s">
        <v>107</v>
      </c>
      <c r="BS180" s="3"/>
      <c r="BT180" s="7" t="s">
        <v>107</v>
      </c>
      <c r="BU180" s="7" t="s">
        <v>107</v>
      </c>
      <c r="BV180" s="7" t="s">
        <v>107</v>
      </c>
      <c r="BW180" s="8" t="s">
        <v>107</v>
      </c>
      <c r="BX180" s="7" t="s">
        <v>107</v>
      </c>
      <c r="BY180" s="7" t="s">
        <v>107</v>
      </c>
      <c r="BZ180" s="7" t="s">
        <v>107</v>
      </c>
      <c r="CA180" s="3"/>
      <c r="CB180" s="7"/>
      <c r="CC180" s="7" t="s">
        <v>107</v>
      </c>
      <c r="CD180" s="7" t="s">
        <v>107</v>
      </c>
      <c r="CE180" s="8" t="s">
        <v>107</v>
      </c>
      <c r="CF180" s="7" t="s">
        <v>107</v>
      </c>
      <c r="CG180" s="7" t="s">
        <v>107</v>
      </c>
      <c r="CH180" s="7" t="s">
        <v>107</v>
      </c>
      <c r="CI180" s="3"/>
      <c r="CJ180" s="7"/>
      <c r="CK180" s="7" t="s">
        <v>107</v>
      </c>
      <c r="CL180" s="7" t="s">
        <v>107</v>
      </c>
      <c r="CM180" s="8" t="s">
        <v>107</v>
      </c>
      <c r="CN180" s="7" t="s">
        <v>107</v>
      </c>
      <c r="CO180" s="7" t="s">
        <v>107</v>
      </c>
      <c r="CP180" s="7" t="s">
        <v>107</v>
      </c>
      <c r="CQ180" s="3"/>
      <c r="CR180" s="7"/>
      <c r="CS180" s="7" t="s">
        <v>107</v>
      </c>
      <c r="CT180" s="7" t="s">
        <v>107</v>
      </c>
      <c r="CU180" s="7" t="s">
        <v>107</v>
      </c>
      <c r="CV180" s="7" t="s">
        <v>107</v>
      </c>
      <c r="CW180" s="7" t="s">
        <v>107</v>
      </c>
      <c r="CX180" s="7" t="s">
        <v>107</v>
      </c>
      <c r="CY180" s="3"/>
      <c r="CZ180" s="7"/>
      <c r="DA180" s="7" t="s">
        <v>107</v>
      </c>
      <c r="DB180" s="7" t="s">
        <v>107</v>
      </c>
      <c r="DC180" s="7" t="s">
        <v>107</v>
      </c>
      <c r="DD180" s="7" t="s">
        <v>107</v>
      </c>
      <c r="DE180" s="7" t="s">
        <v>107</v>
      </c>
      <c r="DF180" s="7" t="s">
        <v>107</v>
      </c>
      <c r="DG180" s="3"/>
      <c r="DH180" s="7"/>
      <c r="DI180" s="7" t="s">
        <v>107</v>
      </c>
      <c r="DJ180" s="7" t="s">
        <v>107</v>
      </c>
      <c r="DK180" s="5">
        <f>AM180</f>
        <v>3221.4</v>
      </c>
      <c r="DL180" s="15" t="s">
        <v>2088</v>
      </c>
      <c r="DM180" s="51">
        <f>DL180*0.95</f>
        <v>3060.33</v>
      </c>
    </row>
    <row r="181" spans="1:117" ht="17.25" customHeight="1" x14ac:dyDescent="0.25">
      <c r="A181" s="50" t="s">
        <v>2328</v>
      </c>
      <c r="B181" s="15" t="s">
        <v>2329</v>
      </c>
      <c r="C181" s="15" t="s">
        <v>2330</v>
      </c>
      <c r="D181" s="15" t="s">
        <v>2331</v>
      </c>
      <c r="E181" s="15" t="s">
        <v>2332</v>
      </c>
      <c r="F181" s="15" t="s">
        <v>2333</v>
      </c>
      <c r="G181" s="15" t="s">
        <v>2334</v>
      </c>
      <c r="H181" s="15" t="s">
        <v>2335</v>
      </c>
      <c r="I181" s="15" t="s">
        <v>2336</v>
      </c>
      <c r="J181" s="15" t="s">
        <v>4289</v>
      </c>
      <c r="K181" s="15" t="s">
        <v>151</v>
      </c>
      <c r="L181" s="15" t="s">
        <v>2333</v>
      </c>
      <c r="M181" s="15" t="s">
        <v>2337</v>
      </c>
      <c r="N181" s="15" t="s">
        <v>2338</v>
      </c>
      <c r="O181" s="15" t="s">
        <v>2339</v>
      </c>
      <c r="P181" s="15" t="s">
        <v>2340</v>
      </c>
      <c r="Q181" s="15" t="s">
        <v>2341</v>
      </c>
      <c r="R181" s="15" t="s">
        <v>157</v>
      </c>
      <c r="S181" s="15" t="s">
        <v>2333</v>
      </c>
      <c r="T181" s="15" t="s">
        <v>107</v>
      </c>
      <c r="U181" s="15" t="s">
        <v>2342</v>
      </c>
      <c r="V181" s="15" t="s">
        <v>109</v>
      </c>
      <c r="W181" s="15" t="s">
        <v>2343</v>
      </c>
      <c r="X181" s="16" t="s">
        <v>2344</v>
      </c>
      <c r="Y181" s="15" t="s">
        <v>114</v>
      </c>
      <c r="Z181" s="16" t="s">
        <v>2345</v>
      </c>
      <c r="AA181" s="17">
        <v>125</v>
      </c>
      <c r="AB181" s="17">
        <v>0</v>
      </c>
      <c r="AC181" s="17">
        <v>0</v>
      </c>
      <c r="AD181" s="17">
        <v>0</v>
      </c>
      <c r="AE181" s="17">
        <v>0</v>
      </c>
      <c r="AF181" s="15" t="s">
        <v>142</v>
      </c>
      <c r="AG181" s="15" t="s">
        <v>157</v>
      </c>
      <c r="AH181" s="15" t="s">
        <v>2346</v>
      </c>
      <c r="AI181" s="18">
        <v>46030.400000000001</v>
      </c>
      <c r="AJ181" s="15">
        <v>0.04</v>
      </c>
      <c r="AK181" s="15" t="s">
        <v>2347</v>
      </c>
      <c r="AL181" s="15" t="s">
        <v>2348</v>
      </c>
      <c r="AM181" s="3">
        <f>(AI181*AJ181)/2</f>
        <v>920.60800000000006</v>
      </c>
      <c r="AN181" s="7" t="s">
        <v>107</v>
      </c>
      <c r="AO181" s="7" t="s">
        <v>107</v>
      </c>
      <c r="AP181" s="7" t="s">
        <v>107</v>
      </c>
      <c r="AQ181" s="8" t="s">
        <v>107</v>
      </c>
      <c r="AR181" s="7" t="s">
        <v>107</v>
      </c>
      <c r="AS181" s="7" t="s">
        <v>107</v>
      </c>
      <c r="AT181" s="7" t="s">
        <v>107</v>
      </c>
      <c r="AU181" s="3"/>
      <c r="AV181" s="7" t="s">
        <v>107</v>
      </c>
      <c r="AW181" s="7" t="s">
        <v>107</v>
      </c>
      <c r="AX181" s="7" t="s">
        <v>107</v>
      </c>
      <c r="AY181" s="8" t="s">
        <v>107</v>
      </c>
      <c r="AZ181" s="7" t="s">
        <v>107</v>
      </c>
      <c r="BA181" s="7" t="s">
        <v>107</v>
      </c>
      <c r="BB181" s="7" t="s">
        <v>107</v>
      </c>
      <c r="BC181" s="3"/>
      <c r="BD181" s="7" t="s">
        <v>107</v>
      </c>
      <c r="BE181" s="7" t="s">
        <v>107</v>
      </c>
      <c r="BF181" s="7" t="s">
        <v>107</v>
      </c>
      <c r="BG181" s="7" t="s">
        <v>107</v>
      </c>
      <c r="BH181" s="7" t="s">
        <v>107</v>
      </c>
      <c r="BI181" s="7" t="s">
        <v>107</v>
      </c>
      <c r="BJ181" s="7" t="s">
        <v>107</v>
      </c>
      <c r="BK181" s="3"/>
      <c r="BL181" s="7" t="s">
        <v>107</v>
      </c>
      <c r="BM181" s="7" t="s">
        <v>107</v>
      </c>
      <c r="BN181" s="7" t="s">
        <v>107</v>
      </c>
      <c r="BO181" s="8" t="s">
        <v>107</v>
      </c>
      <c r="BP181" s="7" t="s">
        <v>107</v>
      </c>
      <c r="BQ181" s="7" t="s">
        <v>107</v>
      </c>
      <c r="BR181" s="7" t="s">
        <v>107</v>
      </c>
      <c r="BS181" s="3"/>
      <c r="BT181" s="7" t="s">
        <v>107</v>
      </c>
      <c r="BU181" s="7" t="s">
        <v>107</v>
      </c>
      <c r="BV181" s="7" t="s">
        <v>107</v>
      </c>
      <c r="BW181" s="8" t="s">
        <v>107</v>
      </c>
      <c r="BX181" s="7" t="s">
        <v>107</v>
      </c>
      <c r="BY181" s="7" t="s">
        <v>107</v>
      </c>
      <c r="BZ181" s="7" t="s">
        <v>107</v>
      </c>
      <c r="CA181" s="3"/>
      <c r="CB181" s="7"/>
      <c r="CC181" s="7" t="s">
        <v>107</v>
      </c>
      <c r="CD181" s="7" t="s">
        <v>107</v>
      </c>
      <c r="CE181" s="8" t="s">
        <v>107</v>
      </c>
      <c r="CF181" s="7" t="s">
        <v>107</v>
      </c>
      <c r="CG181" s="7" t="s">
        <v>107</v>
      </c>
      <c r="CH181" s="7" t="s">
        <v>107</v>
      </c>
      <c r="CI181" s="3"/>
      <c r="CJ181" s="7"/>
      <c r="CK181" s="7" t="s">
        <v>107</v>
      </c>
      <c r="CL181" s="7" t="s">
        <v>107</v>
      </c>
      <c r="CM181" s="8" t="s">
        <v>107</v>
      </c>
      <c r="CN181" s="7" t="s">
        <v>107</v>
      </c>
      <c r="CO181" s="7" t="s">
        <v>107</v>
      </c>
      <c r="CP181" s="7" t="s">
        <v>107</v>
      </c>
      <c r="CQ181" s="3"/>
      <c r="CR181" s="7"/>
      <c r="CS181" s="7" t="s">
        <v>107</v>
      </c>
      <c r="CT181" s="7" t="s">
        <v>107</v>
      </c>
      <c r="CU181" s="7" t="s">
        <v>107</v>
      </c>
      <c r="CV181" s="7" t="s">
        <v>107</v>
      </c>
      <c r="CW181" s="7" t="s">
        <v>107</v>
      </c>
      <c r="CX181" s="7" t="s">
        <v>107</v>
      </c>
      <c r="CY181" s="3"/>
      <c r="CZ181" s="7"/>
      <c r="DA181" s="7" t="s">
        <v>107</v>
      </c>
      <c r="DB181" s="7" t="s">
        <v>107</v>
      </c>
      <c r="DC181" s="7" t="s">
        <v>107</v>
      </c>
      <c r="DD181" s="7" t="s">
        <v>107</v>
      </c>
      <c r="DE181" s="7" t="s">
        <v>107</v>
      </c>
      <c r="DF181" s="7" t="s">
        <v>107</v>
      </c>
      <c r="DG181" s="3"/>
      <c r="DH181" s="7"/>
      <c r="DI181" s="7" t="s">
        <v>107</v>
      </c>
      <c r="DJ181" s="7" t="s">
        <v>107</v>
      </c>
      <c r="DK181" s="5">
        <f>AM181</f>
        <v>920.60800000000006</v>
      </c>
      <c r="DL181" s="15" t="s">
        <v>2348</v>
      </c>
      <c r="DM181" s="51">
        <f>DL181*0.95</f>
        <v>874.57949999999994</v>
      </c>
    </row>
    <row r="182" spans="1:117" ht="17.25" customHeight="1" x14ac:dyDescent="0.25">
      <c r="A182" s="50" t="s">
        <v>1317</v>
      </c>
      <c r="B182" s="15" t="s">
        <v>1318</v>
      </c>
      <c r="C182" s="15" t="s">
        <v>1319</v>
      </c>
      <c r="D182" s="15" t="s">
        <v>1320</v>
      </c>
      <c r="E182" s="15" t="s">
        <v>1321</v>
      </c>
      <c r="F182" s="15" t="s">
        <v>1322</v>
      </c>
      <c r="G182" s="15" t="s">
        <v>1323</v>
      </c>
      <c r="H182" s="15" t="s">
        <v>1324</v>
      </c>
      <c r="I182" s="15" t="s">
        <v>1325</v>
      </c>
      <c r="J182" s="15" t="s">
        <v>4243</v>
      </c>
      <c r="K182" s="15" t="s">
        <v>151</v>
      </c>
      <c r="L182" s="15" t="s">
        <v>1322</v>
      </c>
      <c r="M182" s="15" t="s">
        <v>1326</v>
      </c>
      <c r="N182" s="15" t="s">
        <v>1327</v>
      </c>
      <c r="O182" s="15" t="s">
        <v>1322</v>
      </c>
      <c r="P182" s="15" t="s">
        <v>1328</v>
      </c>
      <c r="Q182" s="15" t="s">
        <v>1329</v>
      </c>
      <c r="R182" s="15" t="s">
        <v>179</v>
      </c>
      <c r="S182" s="15" t="s">
        <v>1322</v>
      </c>
      <c r="T182" s="15" t="s">
        <v>107</v>
      </c>
      <c r="U182" s="15" t="s">
        <v>1330</v>
      </c>
      <c r="V182" s="15" t="s">
        <v>109</v>
      </c>
      <c r="W182" s="15" t="s">
        <v>1331</v>
      </c>
      <c r="X182" s="16" t="s">
        <v>1332</v>
      </c>
      <c r="Y182" s="15" t="s">
        <v>114</v>
      </c>
      <c r="Z182" s="16" t="s">
        <v>1333</v>
      </c>
      <c r="AA182" s="17">
        <v>150</v>
      </c>
      <c r="AB182" s="17">
        <v>1</v>
      </c>
      <c r="AC182" s="17">
        <v>160</v>
      </c>
      <c r="AD182" s="17">
        <v>0</v>
      </c>
      <c r="AE182" s="17">
        <v>0</v>
      </c>
      <c r="AF182" s="15" t="s">
        <v>142</v>
      </c>
      <c r="AG182" s="15" t="s">
        <v>179</v>
      </c>
      <c r="AH182" s="15" t="s">
        <v>1329</v>
      </c>
      <c r="AI182" s="18">
        <v>30160</v>
      </c>
      <c r="AJ182" s="15">
        <v>0.75</v>
      </c>
      <c r="AK182" s="15" t="s">
        <v>1334</v>
      </c>
      <c r="AL182" s="15" t="s">
        <v>1335</v>
      </c>
      <c r="AM182" s="3">
        <f>(AI182*AJ182)/2</f>
        <v>11310</v>
      </c>
      <c r="AN182" s="7" t="s">
        <v>107</v>
      </c>
      <c r="AO182" s="7" t="s">
        <v>107</v>
      </c>
      <c r="AP182" s="7" t="s">
        <v>107</v>
      </c>
      <c r="AQ182" s="8" t="s">
        <v>107</v>
      </c>
      <c r="AR182" s="7" t="s">
        <v>107</v>
      </c>
      <c r="AS182" s="7" t="s">
        <v>107</v>
      </c>
      <c r="AT182" s="7" t="s">
        <v>107</v>
      </c>
      <c r="AU182" s="3"/>
      <c r="AV182" s="7" t="s">
        <v>107</v>
      </c>
      <c r="AW182" s="7" t="s">
        <v>107</v>
      </c>
      <c r="AX182" s="7" t="s">
        <v>107</v>
      </c>
      <c r="AY182" s="8" t="s">
        <v>107</v>
      </c>
      <c r="AZ182" s="7" t="s">
        <v>107</v>
      </c>
      <c r="BA182" s="7" t="s">
        <v>107</v>
      </c>
      <c r="BB182" s="7" t="s">
        <v>107</v>
      </c>
      <c r="BC182" s="3"/>
      <c r="BD182" s="7" t="s">
        <v>107</v>
      </c>
      <c r="BE182" s="7" t="s">
        <v>107</v>
      </c>
      <c r="BF182" s="7" t="s">
        <v>107</v>
      </c>
      <c r="BG182" s="7" t="s">
        <v>107</v>
      </c>
      <c r="BH182" s="7" t="s">
        <v>107</v>
      </c>
      <c r="BI182" s="7" t="s">
        <v>107</v>
      </c>
      <c r="BJ182" s="7" t="s">
        <v>107</v>
      </c>
      <c r="BK182" s="3"/>
      <c r="BL182" s="7" t="s">
        <v>107</v>
      </c>
      <c r="BM182" s="7" t="s">
        <v>107</v>
      </c>
      <c r="BN182" s="7" t="s">
        <v>107</v>
      </c>
      <c r="BO182" s="8" t="s">
        <v>107</v>
      </c>
      <c r="BP182" s="7" t="s">
        <v>107</v>
      </c>
      <c r="BQ182" s="7" t="s">
        <v>107</v>
      </c>
      <c r="BR182" s="7" t="s">
        <v>107</v>
      </c>
      <c r="BS182" s="3"/>
      <c r="BT182" s="7" t="s">
        <v>107</v>
      </c>
      <c r="BU182" s="7" t="s">
        <v>107</v>
      </c>
      <c r="BV182" s="7" t="s">
        <v>107</v>
      </c>
      <c r="BW182" s="8" t="s">
        <v>107</v>
      </c>
      <c r="BX182" s="7" t="s">
        <v>107</v>
      </c>
      <c r="BY182" s="7" t="s">
        <v>107</v>
      </c>
      <c r="BZ182" s="7" t="s">
        <v>107</v>
      </c>
      <c r="CA182" s="3"/>
      <c r="CB182" s="7"/>
      <c r="CC182" s="7" t="s">
        <v>107</v>
      </c>
      <c r="CD182" s="7" t="s">
        <v>107</v>
      </c>
      <c r="CE182" s="8" t="s">
        <v>107</v>
      </c>
      <c r="CF182" s="7" t="s">
        <v>107</v>
      </c>
      <c r="CG182" s="7" t="s">
        <v>107</v>
      </c>
      <c r="CH182" s="7" t="s">
        <v>107</v>
      </c>
      <c r="CI182" s="3"/>
      <c r="CJ182" s="7"/>
      <c r="CK182" s="7" t="s">
        <v>107</v>
      </c>
      <c r="CL182" s="7" t="s">
        <v>107</v>
      </c>
      <c r="CM182" s="8" t="s">
        <v>107</v>
      </c>
      <c r="CN182" s="7" t="s">
        <v>107</v>
      </c>
      <c r="CO182" s="7" t="s">
        <v>107</v>
      </c>
      <c r="CP182" s="7" t="s">
        <v>107</v>
      </c>
      <c r="CQ182" s="3"/>
      <c r="CR182" s="7"/>
      <c r="CS182" s="7" t="s">
        <v>107</v>
      </c>
      <c r="CT182" s="7" t="s">
        <v>107</v>
      </c>
      <c r="CU182" s="7" t="s">
        <v>107</v>
      </c>
      <c r="CV182" s="7" t="s">
        <v>107</v>
      </c>
      <c r="CW182" s="7" t="s">
        <v>107</v>
      </c>
      <c r="CX182" s="7" t="s">
        <v>107</v>
      </c>
      <c r="CY182" s="3"/>
      <c r="CZ182" s="7"/>
      <c r="DA182" s="7" t="s">
        <v>107</v>
      </c>
      <c r="DB182" s="7" t="s">
        <v>107</v>
      </c>
      <c r="DC182" s="7" t="s">
        <v>107</v>
      </c>
      <c r="DD182" s="7" t="s">
        <v>107</v>
      </c>
      <c r="DE182" s="7" t="s">
        <v>107</v>
      </c>
      <c r="DF182" s="7" t="s">
        <v>107</v>
      </c>
      <c r="DG182" s="3"/>
      <c r="DH182" s="7"/>
      <c r="DI182" s="7" t="s">
        <v>107</v>
      </c>
      <c r="DJ182" s="7" t="s">
        <v>107</v>
      </c>
      <c r="DK182" s="5">
        <f>AM182</f>
        <v>11310</v>
      </c>
      <c r="DL182" s="15" t="s">
        <v>1335</v>
      </c>
      <c r="DM182" s="51">
        <f>DL182*0.95</f>
        <v>10744.5</v>
      </c>
    </row>
    <row r="183" spans="1:117" ht="17.25" customHeight="1" x14ac:dyDescent="0.25">
      <c r="A183" s="50" t="s">
        <v>951</v>
      </c>
      <c r="B183" s="15" t="s">
        <v>952</v>
      </c>
      <c r="C183" s="15" t="s">
        <v>953</v>
      </c>
      <c r="D183" s="15" t="s">
        <v>954</v>
      </c>
      <c r="E183" s="15" t="s">
        <v>601</v>
      </c>
      <c r="F183" s="15" t="s">
        <v>955</v>
      </c>
      <c r="G183" s="15" t="s">
        <v>956</v>
      </c>
      <c r="H183" s="15" t="s">
        <v>957</v>
      </c>
      <c r="I183" s="15" t="s">
        <v>958</v>
      </c>
      <c r="J183" s="15" t="s">
        <v>4226</v>
      </c>
      <c r="K183" s="15" t="s">
        <v>151</v>
      </c>
      <c r="L183" s="15" t="s">
        <v>959</v>
      </c>
      <c r="M183" s="15" t="s">
        <v>960</v>
      </c>
      <c r="N183" s="15" t="s">
        <v>961</v>
      </c>
      <c r="O183" s="15" t="s">
        <v>962</v>
      </c>
      <c r="P183" s="15" t="s">
        <v>963</v>
      </c>
      <c r="Q183" s="15" t="s">
        <v>964</v>
      </c>
      <c r="R183" s="15" t="s">
        <v>761</v>
      </c>
      <c r="S183" s="15" t="s">
        <v>965</v>
      </c>
      <c r="T183" s="15" t="s">
        <v>107</v>
      </c>
      <c r="U183" s="15" t="s">
        <v>966</v>
      </c>
      <c r="V183" s="15" t="s">
        <v>109</v>
      </c>
      <c r="W183" s="15" t="s">
        <v>967</v>
      </c>
      <c r="X183" s="16" t="s">
        <v>968</v>
      </c>
      <c r="Y183" s="15" t="s">
        <v>969</v>
      </c>
      <c r="Z183" s="16" t="s">
        <v>970</v>
      </c>
      <c r="AA183" s="17">
        <v>781</v>
      </c>
      <c r="AB183" s="17">
        <v>0</v>
      </c>
      <c r="AC183" s="17">
        <v>0</v>
      </c>
      <c r="AD183" s="17">
        <v>0</v>
      </c>
      <c r="AE183" s="17">
        <v>0</v>
      </c>
      <c r="AF183" s="15" t="s">
        <v>142</v>
      </c>
      <c r="AG183" s="15" t="s">
        <v>460</v>
      </c>
      <c r="AH183" s="15" t="s">
        <v>964</v>
      </c>
      <c r="AI183" s="18">
        <v>75004.800000000003</v>
      </c>
      <c r="AJ183" s="15">
        <v>0.7</v>
      </c>
      <c r="AK183" s="15" t="s">
        <v>971</v>
      </c>
      <c r="AL183" s="15" t="s">
        <v>972</v>
      </c>
      <c r="AM183" s="3">
        <f>(AI183*AJ183)/2</f>
        <v>26251.68</v>
      </c>
      <c r="AN183" s="7" t="s">
        <v>142</v>
      </c>
      <c r="AO183" s="7" t="s">
        <v>460</v>
      </c>
      <c r="AP183" s="7" t="s">
        <v>973</v>
      </c>
      <c r="AQ183" s="8">
        <v>75004.800000000003</v>
      </c>
      <c r="AR183" s="7">
        <v>0.7</v>
      </c>
      <c r="AS183" s="7" t="s">
        <v>971</v>
      </c>
      <c r="AT183" s="7" t="s">
        <v>972</v>
      </c>
      <c r="AU183" s="3">
        <f>(AQ183*AR183)/2</f>
        <v>26251.68</v>
      </c>
      <c r="AV183" s="7" t="s">
        <v>107</v>
      </c>
      <c r="AW183" s="7" t="s">
        <v>107</v>
      </c>
      <c r="AX183" s="7" t="s">
        <v>107</v>
      </c>
      <c r="AY183" s="8" t="s">
        <v>107</v>
      </c>
      <c r="AZ183" s="7" t="s">
        <v>107</v>
      </c>
      <c r="BA183" s="7" t="s">
        <v>107</v>
      </c>
      <c r="BB183" s="7" t="s">
        <v>107</v>
      </c>
      <c r="BC183" s="3"/>
      <c r="BD183" s="7" t="s">
        <v>107</v>
      </c>
      <c r="BE183" s="7" t="s">
        <v>107</v>
      </c>
      <c r="BF183" s="7" t="s">
        <v>107</v>
      </c>
      <c r="BG183" s="7" t="s">
        <v>107</v>
      </c>
      <c r="BH183" s="7" t="s">
        <v>107</v>
      </c>
      <c r="BI183" s="7" t="s">
        <v>107</v>
      </c>
      <c r="BJ183" s="7" t="s">
        <v>107</v>
      </c>
      <c r="BK183" s="3"/>
      <c r="BL183" s="7" t="s">
        <v>107</v>
      </c>
      <c r="BM183" s="7" t="s">
        <v>107</v>
      </c>
      <c r="BN183" s="7" t="s">
        <v>107</v>
      </c>
      <c r="BO183" s="8" t="s">
        <v>107</v>
      </c>
      <c r="BP183" s="7" t="s">
        <v>107</v>
      </c>
      <c r="BQ183" s="7" t="s">
        <v>107</v>
      </c>
      <c r="BR183" s="7" t="s">
        <v>107</v>
      </c>
      <c r="BS183" s="3"/>
      <c r="BT183" s="7" t="s">
        <v>107</v>
      </c>
      <c r="BU183" s="7" t="s">
        <v>107</v>
      </c>
      <c r="BV183" s="7" t="s">
        <v>107</v>
      </c>
      <c r="BW183" s="8" t="s">
        <v>107</v>
      </c>
      <c r="BX183" s="7" t="s">
        <v>107</v>
      </c>
      <c r="BY183" s="7" t="s">
        <v>107</v>
      </c>
      <c r="BZ183" s="7" t="s">
        <v>107</v>
      </c>
      <c r="CA183" s="3"/>
      <c r="CB183" s="7"/>
      <c r="CC183" s="7" t="s">
        <v>107</v>
      </c>
      <c r="CD183" s="7" t="s">
        <v>107</v>
      </c>
      <c r="CE183" s="8" t="s">
        <v>107</v>
      </c>
      <c r="CF183" s="7" t="s">
        <v>107</v>
      </c>
      <c r="CG183" s="7" t="s">
        <v>107</v>
      </c>
      <c r="CH183" s="7" t="s">
        <v>107</v>
      </c>
      <c r="CI183" s="3"/>
      <c r="CJ183" s="7"/>
      <c r="CK183" s="7" t="s">
        <v>107</v>
      </c>
      <c r="CL183" s="7" t="s">
        <v>107</v>
      </c>
      <c r="CM183" s="8" t="s">
        <v>107</v>
      </c>
      <c r="CN183" s="7" t="s">
        <v>107</v>
      </c>
      <c r="CO183" s="7" t="s">
        <v>107</v>
      </c>
      <c r="CP183" s="7" t="s">
        <v>107</v>
      </c>
      <c r="CQ183" s="3"/>
      <c r="CR183" s="7"/>
      <c r="CS183" s="7" t="s">
        <v>107</v>
      </c>
      <c r="CT183" s="7" t="s">
        <v>107</v>
      </c>
      <c r="CU183" s="7" t="s">
        <v>107</v>
      </c>
      <c r="CV183" s="7" t="s">
        <v>107</v>
      </c>
      <c r="CW183" s="7" t="s">
        <v>107</v>
      </c>
      <c r="CX183" s="7" t="s">
        <v>107</v>
      </c>
      <c r="CY183" s="3"/>
      <c r="CZ183" s="7"/>
      <c r="DA183" s="7" t="s">
        <v>107</v>
      </c>
      <c r="DB183" s="7" t="s">
        <v>107</v>
      </c>
      <c r="DC183" s="7" t="s">
        <v>107</v>
      </c>
      <c r="DD183" s="7" t="s">
        <v>107</v>
      </c>
      <c r="DE183" s="7" t="s">
        <v>107</v>
      </c>
      <c r="DF183" s="7" t="s">
        <v>107</v>
      </c>
      <c r="DG183" s="3"/>
      <c r="DH183" s="7"/>
      <c r="DI183" s="7" t="s">
        <v>107</v>
      </c>
      <c r="DJ183" s="7" t="s">
        <v>107</v>
      </c>
      <c r="DK183" s="5">
        <f>AM183+AU183</f>
        <v>52503.360000000001</v>
      </c>
      <c r="DL183" s="15" t="s">
        <v>971</v>
      </c>
      <c r="DM183" s="51">
        <f>DL183*0.95</f>
        <v>49878.191999999995</v>
      </c>
    </row>
    <row r="184" spans="1:117" ht="17.25" customHeight="1" x14ac:dyDescent="0.25">
      <c r="A184" s="50" t="s">
        <v>1401</v>
      </c>
      <c r="B184" s="15" t="s">
        <v>3960</v>
      </c>
      <c r="C184" s="15" t="s">
        <v>1402</v>
      </c>
      <c r="D184" s="15" t="s">
        <v>1403</v>
      </c>
      <c r="E184" s="15" t="s">
        <v>351</v>
      </c>
      <c r="F184" s="15" t="s">
        <v>1404</v>
      </c>
      <c r="G184" s="15" t="s">
        <v>1405</v>
      </c>
      <c r="H184" s="15" t="s">
        <v>1406</v>
      </c>
      <c r="I184" s="15" t="s">
        <v>1407</v>
      </c>
      <c r="J184" s="15" t="s">
        <v>4246</v>
      </c>
      <c r="K184" s="15" t="s">
        <v>151</v>
      </c>
      <c r="L184" s="15" t="s">
        <v>1408</v>
      </c>
      <c r="M184" s="15" t="s">
        <v>1409</v>
      </c>
      <c r="N184" s="15" t="s">
        <v>1410</v>
      </c>
      <c r="O184" s="15" t="s">
        <v>1411</v>
      </c>
      <c r="P184" s="15" t="s">
        <v>1412</v>
      </c>
      <c r="Q184" s="15" t="s">
        <v>1413</v>
      </c>
      <c r="R184" s="15" t="s">
        <v>352</v>
      </c>
      <c r="S184" s="15" t="s">
        <v>1404</v>
      </c>
      <c r="T184" s="15" t="s">
        <v>107</v>
      </c>
      <c r="U184" s="15" t="s">
        <v>1414</v>
      </c>
      <c r="V184" s="15" t="s">
        <v>109</v>
      </c>
      <c r="W184" s="15" t="s">
        <v>1415</v>
      </c>
      <c r="X184" s="16" t="s">
        <v>1416</v>
      </c>
      <c r="Y184" s="15" t="s">
        <v>137</v>
      </c>
      <c r="Z184" s="16" t="s">
        <v>1417</v>
      </c>
      <c r="AA184" s="17">
        <v>590</v>
      </c>
      <c r="AB184" s="17">
        <v>1</v>
      </c>
      <c r="AC184" s="17">
        <v>302</v>
      </c>
      <c r="AD184" s="17">
        <v>1</v>
      </c>
      <c r="AE184" s="17">
        <v>355</v>
      </c>
      <c r="AF184" s="15" t="s">
        <v>118</v>
      </c>
      <c r="AG184" s="15" t="s">
        <v>480</v>
      </c>
      <c r="AH184" s="15" t="s">
        <v>1413</v>
      </c>
      <c r="AI184" s="18">
        <v>70378</v>
      </c>
      <c r="AJ184" s="15">
        <v>0.75</v>
      </c>
      <c r="AK184" s="15" t="s">
        <v>1418</v>
      </c>
      <c r="AL184" s="15" t="s">
        <v>1419</v>
      </c>
      <c r="AM184" s="3">
        <f>(AI184*AJ184)/2</f>
        <v>26391.75</v>
      </c>
      <c r="AN184" s="7" t="s">
        <v>118</v>
      </c>
      <c r="AO184" s="7" t="s">
        <v>480</v>
      </c>
      <c r="AP184" s="7" t="s">
        <v>1420</v>
      </c>
      <c r="AQ184" s="8">
        <v>70378</v>
      </c>
      <c r="AR184" s="7">
        <v>0.5</v>
      </c>
      <c r="AS184" s="7" t="s">
        <v>1421</v>
      </c>
      <c r="AT184" s="7" t="s">
        <v>1422</v>
      </c>
      <c r="AU184" s="3">
        <f>(AQ184*AR184)/2</f>
        <v>17594.5</v>
      </c>
      <c r="AV184" s="7" t="s">
        <v>196</v>
      </c>
      <c r="AW184" s="7" t="s">
        <v>480</v>
      </c>
      <c r="AX184" s="7" t="s">
        <v>1423</v>
      </c>
      <c r="AY184" s="8">
        <v>70378</v>
      </c>
      <c r="AZ184" s="7">
        <v>0.25</v>
      </c>
      <c r="BA184" s="7" t="s">
        <v>1422</v>
      </c>
      <c r="BB184" s="7" t="s">
        <v>1424</v>
      </c>
      <c r="BC184" s="3">
        <f>(AY184*AZ184)/2</f>
        <v>8797.25</v>
      </c>
      <c r="BD184" s="7" t="s">
        <v>118</v>
      </c>
      <c r="BE184" s="7" t="s">
        <v>480</v>
      </c>
      <c r="BF184" s="7" t="s">
        <v>1425</v>
      </c>
      <c r="BG184" s="12">
        <v>70378</v>
      </c>
      <c r="BH184" s="7">
        <v>0.75</v>
      </c>
      <c r="BI184" s="7" t="s">
        <v>1418</v>
      </c>
      <c r="BJ184" s="7" t="s">
        <v>1419</v>
      </c>
      <c r="BK184" s="3">
        <f>(BG184*BH184)/2</f>
        <v>26391.75</v>
      </c>
      <c r="BL184" s="7" t="s">
        <v>107</v>
      </c>
      <c r="BM184" s="7" t="s">
        <v>107</v>
      </c>
      <c r="BN184" s="7" t="s">
        <v>107</v>
      </c>
      <c r="BO184" s="8" t="s">
        <v>107</v>
      </c>
      <c r="BP184" s="7" t="s">
        <v>107</v>
      </c>
      <c r="BQ184" s="7" t="s">
        <v>107</v>
      </c>
      <c r="BR184" s="7" t="s">
        <v>107</v>
      </c>
      <c r="BS184" s="3"/>
      <c r="BT184" s="7" t="s">
        <v>107</v>
      </c>
      <c r="BU184" s="7" t="s">
        <v>107</v>
      </c>
      <c r="BV184" s="7" t="s">
        <v>107</v>
      </c>
      <c r="BW184" s="8" t="s">
        <v>107</v>
      </c>
      <c r="BX184" s="7" t="s">
        <v>107</v>
      </c>
      <c r="BY184" s="7" t="s">
        <v>107</v>
      </c>
      <c r="BZ184" s="7" t="s">
        <v>107</v>
      </c>
      <c r="CA184" s="3"/>
      <c r="CB184" s="7"/>
      <c r="CC184" s="7" t="s">
        <v>107</v>
      </c>
      <c r="CD184" s="7" t="s">
        <v>107</v>
      </c>
      <c r="CE184" s="8" t="s">
        <v>107</v>
      </c>
      <c r="CF184" s="7" t="s">
        <v>107</v>
      </c>
      <c r="CG184" s="7" t="s">
        <v>107</v>
      </c>
      <c r="CH184" s="7" t="s">
        <v>107</v>
      </c>
      <c r="CI184" s="3"/>
      <c r="CJ184" s="7"/>
      <c r="CK184" s="7" t="s">
        <v>107</v>
      </c>
      <c r="CL184" s="7" t="s">
        <v>107</v>
      </c>
      <c r="CM184" s="8" t="s">
        <v>107</v>
      </c>
      <c r="CN184" s="7" t="s">
        <v>107</v>
      </c>
      <c r="CO184" s="7" t="s">
        <v>107</v>
      </c>
      <c r="CP184" s="7" t="s">
        <v>107</v>
      </c>
      <c r="CQ184" s="3"/>
      <c r="CR184" s="7"/>
      <c r="CS184" s="7" t="s">
        <v>107</v>
      </c>
      <c r="CT184" s="7" t="s">
        <v>107</v>
      </c>
      <c r="CU184" s="7" t="s">
        <v>107</v>
      </c>
      <c r="CV184" s="7" t="s">
        <v>107</v>
      </c>
      <c r="CW184" s="7" t="s">
        <v>107</v>
      </c>
      <c r="CX184" s="7" t="s">
        <v>107</v>
      </c>
      <c r="CY184" s="3"/>
      <c r="CZ184" s="7"/>
      <c r="DA184" s="7" t="s">
        <v>107</v>
      </c>
      <c r="DB184" s="7" t="s">
        <v>107</v>
      </c>
      <c r="DC184" s="7" t="s">
        <v>107</v>
      </c>
      <c r="DD184" s="7" t="s">
        <v>107</v>
      </c>
      <c r="DE184" s="7" t="s">
        <v>107</v>
      </c>
      <c r="DF184" s="7" t="s">
        <v>107</v>
      </c>
      <c r="DG184" s="3"/>
      <c r="DH184" s="7"/>
      <c r="DI184" s="7" t="s">
        <v>107</v>
      </c>
      <c r="DJ184" s="7" t="s">
        <v>107</v>
      </c>
      <c r="DK184" s="5">
        <f>AM184+AU184+BC184+BK184</f>
        <v>79175.25</v>
      </c>
      <c r="DL184" s="15" t="s">
        <v>1426</v>
      </c>
      <c r="DM184" s="51">
        <f>DL184*0.95</f>
        <v>75216.487500000003</v>
      </c>
    </row>
    <row r="185" spans="1:117" ht="17.25" customHeight="1" x14ac:dyDescent="0.25">
      <c r="A185" s="52" t="s">
        <v>4146</v>
      </c>
      <c r="B185" s="33" t="s">
        <v>4147</v>
      </c>
      <c r="C185" s="33" t="s">
        <v>4148</v>
      </c>
      <c r="D185" s="33" t="s">
        <v>4149</v>
      </c>
      <c r="E185" s="33" t="s">
        <v>1863</v>
      </c>
      <c r="F185" s="33" t="s">
        <v>4150</v>
      </c>
      <c r="G185" s="33" t="s">
        <v>4151</v>
      </c>
      <c r="H185" s="33" t="s">
        <v>4152</v>
      </c>
      <c r="I185" s="33" t="s">
        <v>4153</v>
      </c>
      <c r="J185" s="33" t="s">
        <v>4379</v>
      </c>
      <c r="K185" s="33" t="s">
        <v>151</v>
      </c>
      <c r="L185" s="33" t="s">
        <v>4150</v>
      </c>
      <c r="M185" s="33" t="s">
        <v>4154</v>
      </c>
      <c r="N185" s="33" t="s">
        <v>4155</v>
      </c>
      <c r="O185" s="33" t="s">
        <v>4156</v>
      </c>
      <c r="P185" s="33" t="s">
        <v>4157</v>
      </c>
      <c r="Q185" s="33" t="s">
        <v>4153</v>
      </c>
      <c r="R185" s="33" t="s">
        <v>151</v>
      </c>
      <c r="S185" s="33" t="s">
        <v>4150</v>
      </c>
      <c r="T185" s="33" t="s">
        <v>107</v>
      </c>
      <c r="U185" s="33" t="s">
        <v>4154</v>
      </c>
      <c r="V185" s="33" t="s">
        <v>109</v>
      </c>
      <c r="W185" s="33" t="s">
        <v>4158</v>
      </c>
      <c r="X185" s="26" t="s">
        <v>4159</v>
      </c>
      <c r="Y185" s="33" t="s">
        <v>137</v>
      </c>
      <c r="Z185" s="26" t="s">
        <v>4160</v>
      </c>
      <c r="AA185" s="33">
        <v>685</v>
      </c>
      <c r="AB185" s="33">
        <v>1</v>
      </c>
      <c r="AC185" s="33">
        <v>400</v>
      </c>
      <c r="AD185" s="33">
        <v>1</v>
      </c>
      <c r="AE185" s="33">
        <v>570</v>
      </c>
      <c r="AF185" s="33" t="s">
        <v>118</v>
      </c>
      <c r="AG185" s="33" t="s">
        <v>460</v>
      </c>
      <c r="AH185" s="33" t="s">
        <v>4161</v>
      </c>
      <c r="AI185" s="33">
        <v>46924.800000000003</v>
      </c>
      <c r="AJ185" s="33">
        <v>0.5</v>
      </c>
      <c r="AK185" s="33">
        <v>23462.400000000001</v>
      </c>
      <c r="AL185" s="33">
        <v>11731.2</v>
      </c>
      <c r="AM185" s="33">
        <f>(AI185*AJ185)/2</f>
        <v>11731.2</v>
      </c>
      <c r="AN185" s="15"/>
      <c r="AO185" s="15"/>
      <c r="AP185" s="15"/>
      <c r="AQ185" s="15"/>
      <c r="AR185" s="15"/>
      <c r="AS185" s="15"/>
      <c r="AT185" s="15"/>
      <c r="AU185" s="33" t="s">
        <v>107</v>
      </c>
      <c r="AV185" s="33" t="s">
        <v>107</v>
      </c>
      <c r="AW185" s="33" t="s">
        <v>107</v>
      </c>
      <c r="AX185" s="33" t="s">
        <v>107</v>
      </c>
      <c r="AY185" s="33" t="s">
        <v>107</v>
      </c>
      <c r="AZ185" s="33" t="s">
        <v>107</v>
      </c>
      <c r="BA185" s="33" t="s">
        <v>107</v>
      </c>
      <c r="BB185" s="33" t="s">
        <v>107</v>
      </c>
      <c r="BC185" s="33" t="s">
        <v>107</v>
      </c>
      <c r="BD185" s="33" t="s">
        <v>107</v>
      </c>
      <c r="BE185" s="33" t="s">
        <v>107</v>
      </c>
      <c r="BF185" s="33" t="s">
        <v>107</v>
      </c>
      <c r="BG185" s="33" t="s">
        <v>107</v>
      </c>
      <c r="BH185" s="33" t="s">
        <v>107</v>
      </c>
      <c r="BI185" s="33" t="s">
        <v>107</v>
      </c>
      <c r="BJ185" s="33" t="s">
        <v>107</v>
      </c>
      <c r="BK185" s="33" t="s">
        <v>107</v>
      </c>
      <c r="BL185" s="33" t="s">
        <v>107</v>
      </c>
      <c r="BM185" s="33" t="s">
        <v>107</v>
      </c>
      <c r="BN185" s="33" t="s">
        <v>107</v>
      </c>
      <c r="BO185" s="33" t="s">
        <v>107</v>
      </c>
      <c r="BP185" s="33" t="s">
        <v>107</v>
      </c>
      <c r="BQ185" s="33" t="s">
        <v>107</v>
      </c>
      <c r="BR185" s="33" t="s">
        <v>107</v>
      </c>
      <c r="BS185" s="33" t="s">
        <v>107</v>
      </c>
      <c r="BT185" s="33" t="s">
        <v>107</v>
      </c>
      <c r="BU185" s="33" t="s">
        <v>107</v>
      </c>
      <c r="BV185" s="33" t="s">
        <v>107</v>
      </c>
      <c r="BW185" s="33" t="s">
        <v>107</v>
      </c>
      <c r="BX185" s="33" t="s">
        <v>107</v>
      </c>
      <c r="BY185" s="33" t="s">
        <v>107</v>
      </c>
      <c r="BZ185" s="33" t="s">
        <v>107</v>
      </c>
      <c r="CA185" s="33" t="s">
        <v>107</v>
      </c>
      <c r="CB185" s="33" t="s">
        <v>107</v>
      </c>
      <c r="CC185" s="33" t="s">
        <v>107</v>
      </c>
      <c r="CD185" s="33" t="s">
        <v>107</v>
      </c>
      <c r="CE185" s="33" t="s">
        <v>107</v>
      </c>
      <c r="CF185" s="33" t="s">
        <v>107</v>
      </c>
      <c r="CG185" s="33" t="s">
        <v>107</v>
      </c>
      <c r="CH185" s="33" t="s">
        <v>107</v>
      </c>
      <c r="CI185" s="33" t="s">
        <v>107</v>
      </c>
      <c r="CJ185" s="33" t="s">
        <v>107</v>
      </c>
      <c r="CK185" s="33" t="s">
        <v>107</v>
      </c>
      <c r="CL185" s="33" t="s">
        <v>107</v>
      </c>
      <c r="CM185" s="33" t="s">
        <v>107</v>
      </c>
      <c r="CN185" s="33" t="s">
        <v>107</v>
      </c>
      <c r="CO185" s="33" t="s">
        <v>107</v>
      </c>
      <c r="CP185" s="33" t="s">
        <v>107</v>
      </c>
      <c r="CQ185" s="33" t="s">
        <v>107</v>
      </c>
      <c r="CR185" s="33" t="s">
        <v>107</v>
      </c>
      <c r="CS185" s="33" t="s">
        <v>107</v>
      </c>
      <c r="CT185" s="33" t="s">
        <v>107</v>
      </c>
      <c r="CU185" s="33" t="s">
        <v>107</v>
      </c>
      <c r="CV185" s="33" t="s">
        <v>107</v>
      </c>
      <c r="CW185" s="33" t="s">
        <v>107</v>
      </c>
      <c r="CX185" s="33" t="s">
        <v>107</v>
      </c>
      <c r="CY185" s="33" t="s">
        <v>107</v>
      </c>
      <c r="CZ185" s="33" t="s">
        <v>107</v>
      </c>
      <c r="DA185" s="33" t="s">
        <v>107</v>
      </c>
      <c r="DB185" s="33" t="s">
        <v>107</v>
      </c>
      <c r="DC185" s="33" t="s">
        <v>107</v>
      </c>
      <c r="DD185" s="33" t="s">
        <v>107</v>
      </c>
      <c r="DE185" s="33" t="s">
        <v>107</v>
      </c>
      <c r="DF185" s="33" t="s">
        <v>107</v>
      </c>
      <c r="DG185" s="33" t="s">
        <v>107</v>
      </c>
      <c r="DH185" s="33" t="s">
        <v>107</v>
      </c>
      <c r="DI185" s="33" t="s">
        <v>107</v>
      </c>
      <c r="DJ185" s="33" t="s">
        <v>107</v>
      </c>
      <c r="DK185" s="33">
        <v>11731.2</v>
      </c>
      <c r="DL185" s="33" t="s">
        <v>107</v>
      </c>
      <c r="DM185" s="51" t="e">
        <f>DL185*0.95</f>
        <v>#VALUE!</v>
      </c>
    </row>
    <row r="186" spans="1:117" ht="17.25" customHeight="1" x14ac:dyDescent="0.25">
      <c r="A186" s="53" t="s">
        <v>3648</v>
      </c>
      <c r="B186" s="7" t="s">
        <v>3649</v>
      </c>
      <c r="C186" s="7" t="s">
        <v>3650</v>
      </c>
      <c r="D186" s="7" t="s">
        <v>3651</v>
      </c>
      <c r="E186" s="7" t="s">
        <v>711</v>
      </c>
      <c r="F186" s="7" t="s">
        <v>3652</v>
      </c>
      <c r="G186" s="7" t="s">
        <v>3653</v>
      </c>
      <c r="H186" s="7" t="s">
        <v>3654</v>
      </c>
      <c r="I186" s="7" t="s">
        <v>3655</v>
      </c>
      <c r="J186" s="7" t="s">
        <v>4355</v>
      </c>
      <c r="K186" s="7" t="s">
        <v>151</v>
      </c>
      <c r="L186" s="7" t="s">
        <v>3652</v>
      </c>
      <c r="M186" s="7" t="s">
        <v>3656</v>
      </c>
      <c r="N186" s="7" t="s">
        <v>3657</v>
      </c>
      <c r="O186" s="7" t="s">
        <v>3658</v>
      </c>
      <c r="P186" s="7" t="s">
        <v>3659</v>
      </c>
      <c r="Q186" s="7" t="s">
        <v>3660</v>
      </c>
      <c r="R186" s="7" t="s">
        <v>2062</v>
      </c>
      <c r="S186" s="7" t="s">
        <v>3661</v>
      </c>
      <c r="T186" s="7" t="s">
        <v>107</v>
      </c>
      <c r="U186" s="7" t="s">
        <v>3662</v>
      </c>
      <c r="V186" s="7" t="s">
        <v>109</v>
      </c>
      <c r="W186" s="7" t="s">
        <v>3663</v>
      </c>
      <c r="X186" s="22" t="s">
        <v>3664</v>
      </c>
      <c r="Y186" s="7" t="s">
        <v>184</v>
      </c>
      <c r="Z186" s="22" t="s">
        <v>3665</v>
      </c>
      <c r="AA186" s="31">
        <v>470</v>
      </c>
      <c r="AB186" s="31">
        <v>0</v>
      </c>
      <c r="AC186" s="31">
        <v>0</v>
      </c>
      <c r="AD186" s="31">
        <v>1</v>
      </c>
      <c r="AE186" s="31">
        <v>831</v>
      </c>
      <c r="AF186" s="7" t="s">
        <v>142</v>
      </c>
      <c r="AG186" s="7" t="s">
        <v>157</v>
      </c>
      <c r="AH186" s="7" t="s">
        <v>3666</v>
      </c>
      <c r="AI186" s="32">
        <v>76148.800000000003</v>
      </c>
      <c r="AJ186" s="7">
        <v>0.105</v>
      </c>
      <c r="AK186" s="7" t="s">
        <v>3667</v>
      </c>
      <c r="AL186" s="7" t="s">
        <v>3668</v>
      </c>
      <c r="AM186" s="3">
        <f>(AI186*AJ186)/2</f>
        <v>3997.8119999999999</v>
      </c>
      <c r="AN186" s="7" t="s">
        <v>142</v>
      </c>
      <c r="AO186" s="7" t="s">
        <v>1282</v>
      </c>
      <c r="AP186" s="7" t="s">
        <v>3669</v>
      </c>
      <c r="AQ186" s="8">
        <v>76148.800000000003</v>
      </c>
      <c r="AR186" s="7">
        <v>0.105</v>
      </c>
      <c r="AS186" s="7" t="s">
        <v>3670</v>
      </c>
      <c r="AT186" s="7" t="s">
        <v>3668</v>
      </c>
      <c r="AU186" s="3">
        <f>(AQ186*AR186)/2</f>
        <v>3997.8119999999999</v>
      </c>
      <c r="AV186" s="7" t="s">
        <v>142</v>
      </c>
      <c r="AW186" s="7" t="s">
        <v>157</v>
      </c>
      <c r="AX186" s="7" t="s">
        <v>3671</v>
      </c>
      <c r="AY186" s="8">
        <v>76148.800000000003</v>
      </c>
      <c r="AZ186" s="7">
        <v>0.10199999999999999</v>
      </c>
      <c r="BA186" s="7" t="s">
        <v>3672</v>
      </c>
      <c r="BB186" s="7" t="s">
        <v>3673</v>
      </c>
      <c r="BC186" s="3">
        <f>(AY186*AZ186)/2</f>
        <v>3883.5888</v>
      </c>
      <c r="BD186" s="7" t="s">
        <v>107</v>
      </c>
      <c r="BE186" s="7" t="s">
        <v>107</v>
      </c>
      <c r="BF186" s="7" t="s">
        <v>107</v>
      </c>
      <c r="BG186" s="7" t="s">
        <v>107</v>
      </c>
      <c r="BH186" s="7" t="s">
        <v>107</v>
      </c>
      <c r="BI186" s="7" t="s">
        <v>107</v>
      </c>
      <c r="BJ186" s="7" t="s">
        <v>107</v>
      </c>
      <c r="BK186" s="3"/>
      <c r="BL186" s="7" t="s">
        <v>107</v>
      </c>
      <c r="BM186" s="7" t="s">
        <v>107</v>
      </c>
      <c r="BN186" s="7" t="s">
        <v>107</v>
      </c>
      <c r="BO186" s="8" t="s">
        <v>107</v>
      </c>
      <c r="BP186" s="7" t="s">
        <v>107</v>
      </c>
      <c r="BQ186" s="7" t="s">
        <v>107</v>
      </c>
      <c r="BR186" s="7" t="s">
        <v>107</v>
      </c>
      <c r="BS186" s="3"/>
      <c r="BT186" s="7" t="s">
        <v>107</v>
      </c>
      <c r="BU186" s="7" t="s">
        <v>107</v>
      </c>
      <c r="BV186" s="7" t="s">
        <v>107</v>
      </c>
      <c r="BW186" s="8" t="s">
        <v>107</v>
      </c>
      <c r="BX186" s="7" t="s">
        <v>107</v>
      </c>
      <c r="BY186" s="7" t="s">
        <v>107</v>
      </c>
      <c r="BZ186" s="7" t="s">
        <v>107</v>
      </c>
      <c r="CA186" s="3"/>
      <c r="CB186" s="7"/>
      <c r="CC186" s="7" t="s">
        <v>107</v>
      </c>
      <c r="CD186" s="7" t="s">
        <v>107</v>
      </c>
      <c r="CE186" s="8" t="s">
        <v>107</v>
      </c>
      <c r="CF186" s="7" t="s">
        <v>107</v>
      </c>
      <c r="CG186" s="7" t="s">
        <v>107</v>
      </c>
      <c r="CH186" s="7" t="s">
        <v>107</v>
      </c>
      <c r="CI186" s="3"/>
      <c r="CJ186" s="7"/>
      <c r="CK186" s="7" t="s">
        <v>107</v>
      </c>
      <c r="CL186" s="7" t="s">
        <v>107</v>
      </c>
      <c r="CM186" s="8" t="s">
        <v>107</v>
      </c>
      <c r="CN186" s="7" t="s">
        <v>107</v>
      </c>
      <c r="CO186" s="7" t="s">
        <v>107</v>
      </c>
      <c r="CP186" s="7" t="s">
        <v>107</v>
      </c>
      <c r="CQ186" s="3"/>
      <c r="CR186" s="7"/>
      <c r="CS186" s="7" t="s">
        <v>107</v>
      </c>
      <c r="CT186" s="7" t="s">
        <v>107</v>
      </c>
      <c r="CU186" s="7" t="s">
        <v>107</v>
      </c>
      <c r="CV186" s="7" t="s">
        <v>107</v>
      </c>
      <c r="CW186" s="7" t="s">
        <v>107</v>
      </c>
      <c r="CX186" s="7" t="s">
        <v>107</v>
      </c>
      <c r="CY186" s="3"/>
      <c r="CZ186" s="7"/>
      <c r="DA186" s="7" t="s">
        <v>107</v>
      </c>
      <c r="DB186" s="7" t="s">
        <v>107</v>
      </c>
      <c r="DC186" s="7" t="s">
        <v>107</v>
      </c>
      <c r="DD186" s="7" t="s">
        <v>107</v>
      </c>
      <c r="DE186" s="7" t="s">
        <v>107</v>
      </c>
      <c r="DF186" s="7" t="s">
        <v>107</v>
      </c>
      <c r="DG186" s="3"/>
      <c r="DH186" s="7"/>
      <c r="DI186" s="7" t="s">
        <v>107</v>
      </c>
      <c r="DJ186" s="7" t="s">
        <v>107</v>
      </c>
      <c r="DK186" s="5">
        <f>AM186+AU186+BC186</f>
        <v>11879.212799999999</v>
      </c>
      <c r="DL186" s="7" t="s">
        <v>3674</v>
      </c>
      <c r="DM186" s="51">
        <f>DL186*0.95</f>
        <v>11338.25</v>
      </c>
    </row>
    <row r="187" spans="1:117" ht="17.25" customHeight="1" x14ac:dyDescent="0.25">
      <c r="A187" s="50" t="s">
        <v>707</v>
      </c>
      <c r="B187" s="15" t="s">
        <v>708</v>
      </c>
      <c r="C187" s="15" t="s">
        <v>709</v>
      </c>
      <c r="D187" s="15" t="s">
        <v>710</v>
      </c>
      <c r="E187" s="15" t="s">
        <v>711</v>
      </c>
      <c r="F187" s="15" t="s">
        <v>712</v>
      </c>
      <c r="G187" s="15" t="s">
        <v>713</v>
      </c>
      <c r="H187" s="15" t="s">
        <v>714</v>
      </c>
      <c r="I187" s="15" t="s">
        <v>715</v>
      </c>
      <c r="J187" s="15" t="s">
        <v>4215</v>
      </c>
      <c r="K187" s="15" t="s">
        <v>151</v>
      </c>
      <c r="L187" s="15" t="s">
        <v>712</v>
      </c>
      <c r="M187" s="15" t="s">
        <v>716</v>
      </c>
      <c r="N187" s="15" t="s">
        <v>717</v>
      </c>
      <c r="O187" s="15" t="s">
        <v>718</v>
      </c>
      <c r="P187" s="15" t="s">
        <v>719</v>
      </c>
      <c r="Q187" s="15" t="s">
        <v>720</v>
      </c>
      <c r="R187" s="15" t="s">
        <v>132</v>
      </c>
      <c r="S187" s="15" t="s">
        <v>712</v>
      </c>
      <c r="T187" s="15" t="s">
        <v>107</v>
      </c>
      <c r="U187" s="15" t="s">
        <v>721</v>
      </c>
      <c r="V187" s="15" t="s">
        <v>109</v>
      </c>
      <c r="W187" s="15" t="s">
        <v>722</v>
      </c>
      <c r="X187" s="16" t="s">
        <v>723</v>
      </c>
      <c r="Y187" s="15" t="s">
        <v>114</v>
      </c>
      <c r="Z187" s="16" t="s">
        <v>724</v>
      </c>
      <c r="AA187" s="17">
        <v>150</v>
      </c>
      <c r="AB187" s="17">
        <v>0</v>
      </c>
      <c r="AC187" s="17">
        <v>0</v>
      </c>
      <c r="AD187" s="17">
        <v>0</v>
      </c>
      <c r="AE187" s="17">
        <v>0</v>
      </c>
      <c r="AF187" s="15" t="s">
        <v>142</v>
      </c>
      <c r="AG187" s="15" t="s">
        <v>132</v>
      </c>
      <c r="AH187" s="15" t="s">
        <v>720</v>
      </c>
      <c r="AI187" s="18">
        <v>80038.399999999994</v>
      </c>
      <c r="AJ187" s="15">
        <v>0.6</v>
      </c>
      <c r="AK187" s="15" t="s">
        <v>725</v>
      </c>
      <c r="AL187" s="15" t="s">
        <v>726</v>
      </c>
      <c r="AM187" s="3">
        <f>(AI187*AJ187)/2</f>
        <v>24011.519999999997</v>
      </c>
      <c r="AN187" s="7" t="s">
        <v>107</v>
      </c>
      <c r="AO187" s="7" t="s">
        <v>107</v>
      </c>
      <c r="AP187" s="7" t="s">
        <v>107</v>
      </c>
      <c r="AQ187" s="8" t="s">
        <v>107</v>
      </c>
      <c r="AR187" s="7" t="s">
        <v>107</v>
      </c>
      <c r="AS187" s="7" t="s">
        <v>107</v>
      </c>
      <c r="AT187" s="7" t="s">
        <v>107</v>
      </c>
      <c r="AU187" s="3"/>
      <c r="AV187" s="7" t="s">
        <v>107</v>
      </c>
      <c r="AW187" s="7" t="s">
        <v>107</v>
      </c>
      <c r="AX187" s="7" t="s">
        <v>107</v>
      </c>
      <c r="AY187" s="8"/>
      <c r="AZ187" s="7" t="s">
        <v>107</v>
      </c>
      <c r="BA187" s="7" t="s">
        <v>107</v>
      </c>
      <c r="BB187" s="7" t="s">
        <v>107</v>
      </c>
      <c r="BC187" s="3"/>
      <c r="BD187" s="7" t="s">
        <v>107</v>
      </c>
      <c r="BE187" s="7" t="s">
        <v>107</v>
      </c>
      <c r="BF187" s="7" t="s">
        <v>107</v>
      </c>
      <c r="BG187" s="7" t="s">
        <v>107</v>
      </c>
      <c r="BH187" s="7" t="s">
        <v>107</v>
      </c>
      <c r="BI187" s="7" t="s">
        <v>107</v>
      </c>
      <c r="BJ187" s="7" t="s">
        <v>107</v>
      </c>
      <c r="BK187" s="3"/>
      <c r="BL187" s="7" t="s">
        <v>107</v>
      </c>
      <c r="BM187" s="7" t="s">
        <v>107</v>
      </c>
      <c r="BN187" s="7" t="s">
        <v>107</v>
      </c>
      <c r="BO187" s="8" t="s">
        <v>107</v>
      </c>
      <c r="BP187" s="7" t="s">
        <v>107</v>
      </c>
      <c r="BQ187" s="7" t="s">
        <v>107</v>
      </c>
      <c r="BR187" s="7" t="s">
        <v>107</v>
      </c>
      <c r="BS187" s="3"/>
      <c r="BT187" s="7" t="s">
        <v>107</v>
      </c>
      <c r="BU187" s="7" t="s">
        <v>107</v>
      </c>
      <c r="BV187" s="7" t="s">
        <v>107</v>
      </c>
      <c r="BW187" s="8" t="s">
        <v>107</v>
      </c>
      <c r="BX187" s="7" t="s">
        <v>107</v>
      </c>
      <c r="BY187" s="7" t="s">
        <v>107</v>
      </c>
      <c r="BZ187" s="7" t="s">
        <v>107</v>
      </c>
      <c r="CA187" s="3"/>
      <c r="CB187" s="7"/>
      <c r="CC187" s="7" t="s">
        <v>107</v>
      </c>
      <c r="CD187" s="7" t="s">
        <v>107</v>
      </c>
      <c r="CE187" s="8" t="s">
        <v>107</v>
      </c>
      <c r="CF187" s="7" t="s">
        <v>107</v>
      </c>
      <c r="CG187" s="7" t="s">
        <v>107</v>
      </c>
      <c r="CH187" s="7" t="s">
        <v>107</v>
      </c>
      <c r="CI187" s="3"/>
      <c r="CJ187" s="7"/>
      <c r="CK187" s="7" t="s">
        <v>107</v>
      </c>
      <c r="CL187" s="7" t="s">
        <v>107</v>
      </c>
      <c r="CM187" s="8" t="s">
        <v>107</v>
      </c>
      <c r="CN187" s="7" t="s">
        <v>107</v>
      </c>
      <c r="CO187" s="7" t="s">
        <v>107</v>
      </c>
      <c r="CP187" s="7" t="s">
        <v>107</v>
      </c>
      <c r="CQ187" s="3"/>
      <c r="CR187" s="7"/>
      <c r="CS187" s="7" t="s">
        <v>107</v>
      </c>
      <c r="CT187" s="7" t="s">
        <v>107</v>
      </c>
      <c r="CU187" s="7" t="s">
        <v>107</v>
      </c>
      <c r="CV187" s="7" t="s">
        <v>107</v>
      </c>
      <c r="CW187" s="7" t="s">
        <v>107</v>
      </c>
      <c r="CX187" s="7" t="s">
        <v>107</v>
      </c>
      <c r="CY187" s="3"/>
      <c r="CZ187" s="7"/>
      <c r="DA187" s="7" t="s">
        <v>107</v>
      </c>
      <c r="DB187" s="7" t="s">
        <v>107</v>
      </c>
      <c r="DC187" s="7" t="s">
        <v>107</v>
      </c>
      <c r="DD187" s="7" t="s">
        <v>107</v>
      </c>
      <c r="DE187" s="7" t="s">
        <v>107</v>
      </c>
      <c r="DF187" s="7" t="s">
        <v>107</v>
      </c>
      <c r="DG187" s="3"/>
      <c r="DH187" s="7"/>
      <c r="DI187" s="7" t="s">
        <v>107</v>
      </c>
      <c r="DJ187" s="7" t="s">
        <v>107</v>
      </c>
      <c r="DK187" s="5">
        <f>AM187</f>
        <v>24011.519999999997</v>
      </c>
      <c r="DL187" s="15" t="s">
        <v>726</v>
      </c>
      <c r="DM187" s="51">
        <f>DL187*0.95</f>
        <v>2281.0925000000002</v>
      </c>
    </row>
    <row r="188" spans="1:117" ht="17.25" customHeight="1" x14ac:dyDescent="0.25">
      <c r="A188" s="50" t="s">
        <v>1923</v>
      </c>
      <c r="B188" s="15" t="s">
        <v>1924</v>
      </c>
      <c r="C188" s="15" t="s">
        <v>1925</v>
      </c>
      <c r="D188" s="15" t="s">
        <v>1926</v>
      </c>
      <c r="E188" s="15" t="s">
        <v>1321</v>
      </c>
      <c r="F188" s="15" t="s">
        <v>1927</v>
      </c>
      <c r="G188" s="15" t="s">
        <v>1928</v>
      </c>
      <c r="H188" s="15" t="s">
        <v>1929</v>
      </c>
      <c r="I188" s="15" t="s">
        <v>1930</v>
      </c>
      <c r="J188" s="15" t="s">
        <v>4271</v>
      </c>
      <c r="K188" s="15" t="s">
        <v>151</v>
      </c>
      <c r="L188" s="15" t="s">
        <v>1927</v>
      </c>
      <c r="M188" s="15" t="s">
        <v>1931</v>
      </c>
      <c r="N188" s="15" t="s">
        <v>1932</v>
      </c>
      <c r="O188" s="15" t="s">
        <v>1933</v>
      </c>
      <c r="P188" s="15" t="s">
        <v>1934</v>
      </c>
      <c r="Q188" s="15" t="s">
        <v>1935</v>
      </c>
      <c r="R188" s="15" t="s">
        <v>157</v>
      </c>
      <c r="S188" s="15" t="s">
        <v>1927</v>
      </c>
      <c r="T188" s="15" t="s">
        <v>107</v>
      </c>
      <c r="U188" s="15" t="s">
        <v>1936</v>
      </c>
      <c r="V188" s="15" t="s">
        <v>109</v>
      </c>
      <c r="W188" s="15" t="s">
        <v>1937</v>
      </c>
      <c r="X188" s="16" t="s">
        <v>1938</v>
      </c>
      <c r="Y188" s="15" t="s">
        <v>216</v>
      </c>
      <c r="Z188" s="16" t="s">
        <v>1939</v>
      </c>
      <c r="AA188" s="17">
        <v>200</v>
      </c>
      <c r="AB188" s="17">
        <v>0</v>
      </c>
      <c r="AC188" s="17">
        <v>0</v>
      </c>
      <c r="AD188" s="17">
        <v>0</v>
      </c>
      <c r="AE188" s="17">
        <v>0</v>
      </c>
      <c r="AF188" s="15" t="s">
        <v>142</v>
      </c>
      <c r="AG188" s="15" t="s">
        <v>157</v>
      </c>
      <c r="AH188" s="15" t="s">
        <v>1935</v>
      </c>
      <c r="AI188" s="20">
        <v>34744</v>
      </c>
      <c r="AJ188" s="15">
        <v>0.25</v>
      </c>
      <c r="AK188" s="15" t="s">
        <v>1940</v>
      </c>
      <c r="AL188" s="15" t="s">
        <v>1941</v>
      </c>
      <c r="AM188" s="3">
        <f>(AI188*AJ188)/2</f>
        <v>4343</v>
      </c>
      <c r="AN188" s="7" t="s">
        <v>107</v>
      </c>
      <c r="AO188" s="7" t="s">
        <v>107</v>
      </c>
      <c r="AP188" s="7" t="s">
        <v>107</v>
      </c>
      <c r="AQ188" s="8" t="s">
        <v>107</v>
      </c>
      <c r="AR188" s="7" t="s">
        <v>107</v>
      </c>
      <c r="AS188" s="7" t="s">
        <v>107</v>
      </c>
      <c r="AT188" s="7" t="s">
        <v>107</v>
      </c>
      <c r="AU188" s="3"/>
      <c r="AV188" s="7" t="s">
        <v>107</v>
      </c>
      <c r="AW188" s="7" t="s">
        <v>107</v>
      </c>
      <c r="AX188" s="7" t="s">
        <v>107</v>
      </c>
      <c r="AY188" s="8" t="s">
        <v>107</v>
      </c>
      <c r="AZ188" s="7" t="s">
        <v>107</v>
      </c>
      <c r="BA188" s="7" t="s">
        <v>107</v>
      </c>
      <c r="BB188" s="7" t="s">
        <v>107</v>
      </c>
      <c r="BC188" s="3"/>
      <c r="BD188" s="7" t="s">
        <v>107</v>
      </c>
      <c r="BE188" s="7" t="s">
        <v>107</v>
      </c>
      <c r="BF188" s="7" t="s">
        <v>107</v>
      </c>
      <c r="BG188" s="7" t="s">
        <v>107</v>
      </c>
      <c r="BH188" s="7" t="s">
        <v>107</v>
      </c>
      <c r="BI188" s="7" t="s">
        <v>107</v>
      </c>
      <c r="BJ188" s="7" t="s">
        <v>107</v>
      </c>
      <c r="BK188" s="3"/>
      <c r="BL188" s="7" t="s">
        <v>107</v>
      </c>
      <c r="BM188" s="7" t="s">
        <v>107</v>
      </c>
      <c r="BN188" s="7" t="s">
        <v>107</v>
      </c>
      <c r="BO188" s="8" t="s">
        <v>107</v>
      </c>
      <c r="BP188" s="7" t="s">
        <v>107</v>
      </c>
      <c r="BQ188" s="7" t="s">
        <v>107</v>
      </c>
      <c r="BR188" s="7" t="s">
        <v>107</v>
      </c>
      <c r="BS188" s="3"/>
      <c r="BT188" s="7" t="s">
        <v>107</v>
      </c>
      <c r="BU188" s="7" t="s">
        <v>107</v>
      </c>
      <c r="BV188" s="7" t="s">
        <v>107</v>
      </c>
      <c r="BW188" s="8" t="s">
        <v>107</v>
      </c>
      <c r="BX188" s="7" t="s">
        <v>107</v>
      </c>
      <c r="BY188" s="7" t="s">
        <v>107</v>
      </c>
      <c r="BZ188" s="7" t="s">
        <v>107</v>
      </c>
      <c r="CA188" s="3"/>
      <c r="CB188" s="7"/>
      <c r="CC188" s="7" t="s">
        <v>107</v>
      </c>
      <c r="CD188" s="7" t="s">
        <v>107</v>
      </c>
      <c r="CE188" s="8" t="s">
        <v>107</v>
      </c>
      <c r="CF188" s="7" t="s">
        <v>107</v>
      </c>
      <c r="CG188" s="7" t="s">
        <v>107</v>
      </c>
      <c r="CH188" s="7" t="s">
        <v>107</v>
      </c>
      <c r="CI188" s="3"/>
      <c r="CJ188" s="7"/>
      <c r="CK188" s="7" t="s">
        <v>107</v>
      </c>
      <c r="CL188" s="7" t="s">
        <v>107</v>
      </c>
      <c r="CM188" s="8" t="s">
        <v>107</v>
      </c>
      <c r="CN188" s="7" t="s">
        <v>107</v>
      </c>
      <c r="CO188" s="7" t="s">
        <v>107</v>
      </c>
      <c r="CP188" s="7" t="s">
        <v>107</v>
      </c>
      <c r="CQ188" s="3"/>
      <c r="CR188" s="7"/>
      <c r="CS188" s="7" t="s">
        <v>107</v>
      </c>
      <c r="CT188" s="7" t="s">
        <v>107</v>
      </c>
      <c r="CU188" s="7" t="s">
        <v>107</v>
      </c>
      <c r="CV188" s="7" t="s">
        <v>107</v>
      </c>
      <c r="CW188" s="7" t="s">
        <v>107</v>
      </c>
      <c r="CX188" s="7" t="s">
        <v>107</v>
      </c>
      <c r="CY188" s="3"/>
      <c r="CZ188" s="7"/>
      <c r="DA188" s="7" t="s">
        <v>107</v>
      </c>
      <c r="DB188" s="7" t="s">
        <v>107</v>
      </c>
      <c r="DC188" s="7" t="s">
        <v>107</v>
      </c>
      <c r="DD188" s="7" t="s">
        <v>107</v>
      </c>
      <c r="DE188" s="7" t="s">
        <v>107</v>
      </c>
      <c r="DF188" s="7" t="s">
        <v>107</v>
      </c>
      <c r="DG188" s="3"/>
      <c r="DH188" s="7"/>
      <c r="DI188" s="7" t="s">
        <v>107</v>
      </c>
      <c r="DJ188" s="7" t="s">
        <v>107</v>
      </c>
      <c r="DK188" s="5">
        <f>AM188</f>
        <v>4343</v>
      </c>
      <c r="DL188" s="15" t="s">
        <v>1941</v>
      </c>
      <c r="DM188" s="51">
        <f>DL188*0.95</f>
        <v>4125.8499999999995</v>
      </c>
    </row>
    <row r="189" spans="1:117" ht="17.25" customHeight="1" x14ac:dyDescent="0.25">
      <c r="A189" s="50" t="s">
        <v>511</v>
      </c>
      <c r="B189" s="15" t="s">
        <v>512</v>
      </c>
      <c r="C189" s="15" t="s">
        <v>513</v>
      </c>
      <c r="D189" s="15" t="s">
        <v>514</v>
      </c>
      <c r="E189" s="15" t="s">
        <v>515</v>
      </c>
      <c r="F189" s="15" t="s">
        <v>516</v>
      </c>
      <c r="G189" s="15" t="s">
        <v>517</v>
      </c>
      <c r="H189" s="15" t="s">
        <v>518</v>
      </c>
      <c r="I189" s="15" t="s">
        <v>519</v>
      </c>
      <c r="J189" s="15" t="s">
        <v>4206</v>
      </c>
      <c r="K189" s="15" t="s">
        <v>101</v>
      </c>
      <c r="L189" s="15" t="s">
        <v>520</v>
      </c>
      <c r="M189" s="15" t="s">
        <v>521</v>
      </c>
      <c r="N189" s="15" t="s">
        <v>522</v>
      </c>
      <c r="O189" s="15" t="s">
        <v>523</v>
      </c>
      <c r="P189" s="15" t="s">
        <v>524</v>
      </c>
      <c r="Q189" s="15" t="s">
        <v>525</v>
      </c>
      <c r="R189" s="15" t="s">
        <v>261</v>
      </c>
      <c r="S189" s="15" t="s">
        <v>516</v>
      </c>
      <c r="T189" s="15" t="s">
        <v>107</v>
      </c>
      <c r="U189" s="15" t="s">
        <v>526</v>
      </c>
      <c r="V189" s="15" t="s">
        <v>109</v>
      </c>
      <c r="W189" s="15" t="s">
        <v>527</v>
      </c>
      <c r="X189" s="16" t="s">
        <v>528</v>
      </c>
      <c r="Y189" s="15" t="s">
        <v>185</v>
      </c>
      <c r="Z189" s="16" t="s">
        <v>529</v>
      </c>
      <c r="AA189" s="17">
        <v>1600</v>
      </c>
      <c r="AB189" s="17">
        <v>3</v>
      </c>
      <c r="AC189" s="17">
        <v>400</v>
      </c>
      <c r="AD189" s="17">
        <v>3</v>
      </c>
      <c r="AE189" s="17">
        <v>0</v>
      </c>
      <c r="AF189" s="15" t="s">
        <v>118</v>
      </c>
      <c r="AG189" s="15" t="s">
        <v>115</v>
      </c>
      <c r="AH189" s="15" t="s">
        <v>530</v>
      </c>
      <c r="AI189" s="21">
        <v>44928</v>
      </c>
      <c r="AJ189" s="15">
        <v>1</v>
      </c>
      <c r="AK189" s="15" t="s">
        <v>531</v>
      </c>
      <c r="AL189" s="15" t="s">
        <v>532</v>
      </c>
      <c r="AM189" s="3">
        <f>(AI189*AJ189)/2</f>
        <v>22464</v>
      </c>
      <c r="AN189" s="7" t="s">
        <v>118</v>
      </c>
      <c r="AO189" s="7" t="s">
        <v>115</v>
      </c>
      <c r="AP189" s="7" t="s">
        <v>533</v>
      </c>
      <c r="AQ189" s="8">
        <v>43555</v>
      </c>
      <c r="AR189" s="7">
        <v>1</v>
      </c>
      <c r="AS189" s="7" t="s">
        <v>534</v>
      </c>
      <c r="AT189" s="7" t="s">
        <v>535</v>
      </c>
      <c r="AU189" s="3">
        <f>(AQ189*AR189)/2</f>
        <v>21777.5</v>
      </c>
      <c r="AV189" s="7" t="s">
        <v>118</v>
      </c>
      <c r="AW189" s="7" t="s">
        <v>115</v>
      </c>
      <c r="AX189" s="7" t="s">
        <v>4064</v>
      </c>
      <c r="AY189" s="8">
        <v>43555</v>
      </c>
      <c r="AZ189" s="7">
        <v>1</v>
      </c>
      <c r="BA189" s="7" t="s">
        <v>534</v>
      </c>
      <c r="BB189" s="7" t="s">
        <v>535</v>
      </c>
      <c r="BC189" s="3">
        <f>(AY189*AZ189)/2</f>
        <v>21777.5</v>
      </c>
      <c r="BD189" s="7" t="s">
        <v>142</v>
      </c>
      <c r="BE189" s="7" t="s">
        <v>115</v>
      </c>
      <c r="BF189" s="7" t="s">
        <v>536</v>
      </c>
      <c r="BG189" s="14">
        <v>44636</v>
      </c>
      <c r="BH189" s="7">
        <v>0.5</v>
      </c>
      <c r="BI189" s="7" t="s">
        <v>537</v>
      </c>
      <c r="BJ189" s="7" t="s">
        <v>538</v>
      </c>
      <c r="BK189" s="3">
        <f>(BG189*BH189)/2</f>
        <v>11159</v>
      </c>
      <c r="BL189" s="7" t="s">
        <v>107</v>
      </c>
      <c r="BM189" s="7" t="s">
        <v>107</v>
      </c>
      <c r="BN189" s="7" t="s">
        <v>107</v>
      </c>
      <c r="BO189" s="8" t="s">
        <v>107</v>
      </c>
      <c r="BP189" s="7" t="s">
        <v>107</v>
      </c>
      <c r="BQ189" s="7" t="s">
        <v>107</v>
      </c>
      <c r="BR189" s="7" t="s">
        <v>107</v>
      </c>
      <c r="BS189" s="3"/>
      <c r="BT189" s="7" t="s">
        <v>107</v>
      </c>
      <c r="BU189" s="7" t="s">
        <v>107</v>
      </c>
      <c r="BV189" s="7" t="s">
        <v>107</v>
      </c>
      <c r="BW189" s="8" t="s">
        <v>107</v>
      </c>
      <c r="BX189" s="7" t="s">
        <v>107</v>
      </c>
      <c r="BY189" s="7" t="s">
        <v>107</v>
      </c>
      <c r="BZ189" s="7" t="s">
        <v>107</v>
      </c>
      <c r="CA189" s="3"/>
      <c r="CB189" s="7"/>
      <c r="CC189" s="7" t="s">
        <v>107</v>
      </c>
      <c r="CD189" s="7" t="s">
        <v>107</v>
      </c>
      <c r="CE189" s="8" t="s">
        <v>107</v>
      </c>
      <c r="CF189" s="7" t="s">
        <v>107</v>
      </c>
      <c r="CG189" s="7" t="s">
        <v>107</v>
      </c>
      <c r="CH189" s="7" t="s">
        <v>107</v>
      </c>
      <c r="CI189" s="3"/>
      <c r="CJ189" s="7"/>
      <c r="CK189" s="7" t="s">
        <v>107</v>
      </c>
      <c r="CL189" s="7" t="s">
        <v>107</v>
      </c>
      <c r="CM189" s="8" t="s">
        <v>107</v>
      </c>
      <c r="CN189" s="7" t="s">
        <v>107</v>
      </c>
      <c r="CO189" s="7" t="s">
        <v>107</v>
      </c>
      <c r="CP189" s="7" t="s">
        <v>107</v>
      </c>
      <c r="CQ189" s="3"/>
      <c r="CR189" s="7"/>
      <c r="CS189" s="7" t="s">
        <v>107</v>
      </c>
      <c r="CT189" s="7" t="s">
        <v>107</v>
      </c>
      <c r="CU189" s="7" t="s">
        <v>107</v>
      </c>
      <c r="CV189" s="7" t="s">
        <v>107</v>
      </c>
      <c r="CW189" s="7" t="s">
        <v>107</v>
      </c>
      <c r="CX189" s="7" t="s">
        <v>107</v>
      </c>
      <c r="CY189" s="3"/>
      <c r="CZ189" s="7"/>
      <c r="DA189" s="7" t="s">
        <v>107</v>
      </c>
      <c r="DB189" s="7" t="s">
        <v>107</v>
      </c>
      <c r="DC189" s="7" t="s">
        <v>107</v>
      </c>
      <c r="DD189" s="7" t="s">
        <v>107</v>
      </c>
      <c r="DE189" s="7" t="s">
        <v>107</v>
      </c>
      <c r="DF189" s="7" t="s">
        <v>107</v>
      </c>
      <c r="DG189" s="3"/>
      <c r="DH189" s="7"/>
      <c r="DI189" s="7" t="s">
        <v>107</v>
      </c>
      <c r="DJ189" s="7" t="s">
        <v>107</v>
      </c>
      <c r="DK189" s="5">
        <f>AM189+AU189+BC189+BK189</f>
        <v>77178</v>
      </c>
      <c r="DL189" s="15" t="s">
        <v>539</v>
      </c>
      <c r="DM189" s="51">
        <f>DL189*0.95</f>
        <v>73318.149999999994</v>
      </c>
    </row>
    <row r="190" spans="1:117" ht="17.25" customHeight="1" x14ac:dyDescent="0.25">
      <c r="A190" s="50" t="s">
        <v>2366</v>
      </c>
      <c r="B190" s="15" t="s">
        <v>2367</v>
      </c>
      <c r="C190" s="15" t="s">
        <v>2368</v>
      </c>
      <c r="D190" s="15" t="s">
        <v>2369</v>
      </c>
      <c r="E190" s="15" t="s">
        <v>1037</v>
      </c>
      <c r="F190" s="15" t="s">
        <v>2370</v>
      </c>
      <c r="G190" s="15" t="s">
        <v>2371</v>
      </c>
      <c r="H190" s="15" t="s">
        <v>2372</v>
      </c>
      <c r="I190" s="15" t="s">
        <v>2373</v>
      </c>
      <c r="J190" s="15" t="s">
        <v>4291</v>
      </c>
      <c r="K190" s="15" t="s">
        <v>151</v>
      </c>
      <c r="L190" s="15" t="s">
        <v>2370</v>
      </c>
      <c r="M190" s="15" t="s">
        <v>2374</v>
      </c>
      <c r="N190" s="15" t="s">
        <v>2375</v>
      </c>
      <c r="O190" s="15" t="s">
        <v>2376</v>
      </c>
      <c r="P190" s="15" t="s">
        <v>2377</v>
      </c>
      <c r="Q190" s="15" t="s">
        <v>2378</v>
      </c>
      <c r="R190" s="15" t="s">
        <v>157</v>
      </c>
      <c r="S190" s="15" t="s">
        <v>2370</v>
      </c>
      <c r="T190" s="15" t="s">
        <v>107</v>
      </c>
      <c r="U190" s="15" t="s">
        <v>2379</v>
      </c>
      <c r="V190" s="15" t="s">
        <v>181</v>
      </c>
      <c r="W190" s="15" t="s">
        <v>107</v>
      </c>
      <c r="X190" s="16" t="s">
        <v>2380</v>
      </c>
      <c r="Y190" s="15" t="s">
        <v>112</v>
      </c>
      <c r="Z190" s="16" t="s">
        <v>2381</v>
      </c>
      <c r="AA190" s="17">
        <v>1396</v>
      </c>
      <c r="AB190" s="17">
        <v>1</v>
      </c>
      <c r="AC190" s="17">
        <v>850</v>
      </c>
      <c r="AD190" s="17">
        <v>1</v>
      </c>
      <c r="AE190" s="17">
        <v>1410</v>
      </c>
      <c r="AF190" s="15" t="s">
        <v>118</v>
      </c>
      <c r="AG190" s="15" t="s">
        <v>157</v>
      </c>
      <c r="AH190" s="15" t="s">
        <v>2378</v>
      </c>
      <c r="AI190" s="18">
        <v>60964</v>
      </c>
      <c r="AJ190" s="15">
        <v>0.25</v>
      </c>
      <c r="AK190" s="15" t="s">
        <v>2382</v>
      </c>
      <c r="AL190" s="15" t="s">
        <v>2383</v>
      </c>
      <c r="AM190" s="3">
        <f>(AI190*AJ190)/2</f>
        <v>7620.5</v>
      </c>
      <c r="AN190" s="7" t="s">
        <v>107</v>
      </c>
      <c r="AO190" s="7" t="s">
        <v>107</v>
      </c>
      <c r="AP190" s="7" t="s">
        <v>107</v>
      </c>
      <c r="AQ190" s="8" t="s">
        <v>107</v>
      </c>
      <c r="AR190" s="7" t="s">
        <v>107</v>
      </c>
      <c r="AS190" s="7" t="s">
        <v>107</v>
      </c>
      <c r="AT190" s="7" t="s">
        <v>107</v>
      </c>
      <c r="AU190" s="3"/>
      <c r="AV190" s="7" t="s">
        <v>107</v>
      </c>
      <c r="AW190" s="7" t="s">
        <v>107</v>
      </c>
      <c r="AX190" s="7" t="s">
        <v>107</v>
      </c>
      <c r="AY190" s="8" t="s">
        <v>107</v>
      </c>
      <c r="AZ190" s="7" t="s">
        <v>107</v>
      </c>
      <c r="BA190" s="7" t="s">
        <v>107</v>
      </c>
      <c r="BB190" s="7" t="s">
        <v>107</v>
      </c>
      <c r="BC190" s="3"/>
      <c r="BD190" s="7" t="s">
        <v>107</v>
      </c>
      <c r="BE190" s="7" t="s">
        <v>107</v>
      </c>
      <c r="BF190" s="7" t="s">
        <v>107</v>
      </c>
      <c r="BG190" s="7" t="s">
        <v>107</v>
      </c>
      <c r="BH190" s="7" t="s">
        <v>107</v>
      </c>
      <c r="BI190" s="7" t="s">
        <v>107</v>
      </c>
      <c r="BJ190" s="7" t="s">
        <v>107</v>
      </c>
      <c r="BK190" s="3"/>
      <c r="BL190" s="7" t="s">
        <v>107</v>
      </c>
      <c r="BM190" s="7" t="s">
        <v>107</v>
      </c>
      <c r="BN190" s="7" t="s">
        <v>107</v>
      </c>
      <c r="BO190" s="8" t="s">
        <v>107</v>
      </c>
      <c r="BP190" s="7" t="s">
        <v>107</v>
      </c>
      <c r="BQ190" s="7" t="s">
        <v>107</v>
      </c>
      <c r="BR190" s="7" t="s">
        <v>107</v>
      </c>
      <c r="BS190" s="3"/>
      <c r="BT190" s="7" t="s">
        <v>107</v>
      </c>
      <c r="BU190" s="7" t="s">
        <v>107</v>
      </c>
      <c r="BV190" s="7" t="s">
        <v>107</v>
      </c>
      <c r="BW190" s="8" t="s">
        <v>107</v>
      </c>
      <c r="BX190" s="7" t="s">
        <v>107</v>
      </c>
      <c r="BY190" s="7" t="s">
        <v>107</v>
      </c>
      <c r="BZ190" s="7" t="s">
        <v>107</v>
      </c>
      <c r="CA190" s="3"/>
      <c r="CB190" s="7"/>
      <c r="CC190" s="7" t="s">
        <v>107</v>
      </c>
      <c r="CD190" s="7" t="s">
        <v>107</v>
      </c>
      <c r="CE190" s="8" t="s">
        <v>107</v>
      </c>
      <c r="CF190" s="7" t="s">
        <v>107</v>
      </c>
      <c r="CG190" s="7" t="s">
        <v>107</v>
      </c>
      <c r="CH190" s="7" t="s">
        <v>107</v>
      </c>
      <c r="CI190" s="3"/>
      <c r="CJ190" s="7"/>
      <c r="CK190" s="7" t="s">
        <v>107</v>
      </c>
      <c r="CL190" s="7" t="s">
        <v>107</v>
      </c>
      <c r="CM190" s="8" t="s">
        <v>107</v>
      </c>
      <c r="CN190" s="7" t="s">
        <v>107</v>
      </c>
      <c r="CO190" s="7" t="s">
        <v>107</v>
      </c>
      <c r="CP190" s="7" t="s">
        <v>107</v>
      </c>
      <c r="CQ190" s="3"/>
      <c r="CR190" s="7"/>
      <c r="CS190" s="7" t="s">
        <v>107</v>
      </c>
      <c r="CT190" s="7" t="s">
        <v>107</v>
      </c>
      <c r="CU190" s="7" t="s">
        <v>107</v>
      </c>
      <c r="CV190" s="7" t="s">
        <v>107</v>
      </c>
      <c r="CW190" s="7" t="s">
        <v>107</v>
      </c>
      <c r="CX190" s="7" t="s">
        <v>107</v>
      </c>
      <c r="CY190" s="3"/>
      <c r="CZ190" s="7"/>
      <c r="DA190" s="7" t="s">
        <v>107</v>
      </c>
      <c r="DB190" s="7" t="s">
        <v>107</v>
      </c>
      <c r="DC190" s="7" t="s">
        <v>107</v>
      </c>
      <c r="DD190" s="7" t="s">
        <v>107</v>
      </c>
      <c r="DE190" s="7" t="s">
        <v>107</v>
      </c>
      <c r="DF190" s="7" t="s">
        <v>107</v>
      </c>
      <c r="DG190" s="3"/>
      <c r="DH190" s="7"/>
      <c r="DI190" s="7" t="s">
        <v>107</v>
      </c>
      <c r="DJ190" s="7" t="s">
        <v>107</v>
      </c>
      <c r="DK190" s="5">
        <f>AM190</f>
        <v>7620.5</v>
      </c>
      <c r="DL190" s="15" t="s">
        <v>2383</v>
      </c>
      <c r="DM190" s="51">
        <f>DL190*0.95</f>
        <v>7239.4749999999995</v>
      </c>
    </row>
    <row r="191" spans="1:117" ht="17.25" customHeight="1" thickBot="1" x14ac:dyDescent="0.3">
      <c r="A191" s="54" t="s">
        <v>1708</v>
      </c>
      <c r="B191" s="55" t="s">
        <v>3961</v>
      </c>
      <c r="C191" s="55" t="s">
        <v>1709</v>
      </c>
      <c r="D191" s="55" t="s">
        <v>1710</v>
      </c>
      <c r="E191" s="55" t="s">
        <v>1019</v>
      </c>
      <c r="F191" s="55" t="s">
        <v>1711</v>
      </c>
      <c r="G191" s="55" t="s">
        <v>1712</v>
      </c>
      <c r="H191" s="55" t="s">
        <v>1713</v>
      </c>
      <c r="I191" s="55" t="s">
        <v>1714</v>
      </c>
      <c r="J191" s="55" t="s">
        <v>4262</v>
      </c>
      <c r="K191" s="55" t="s">
        <v>151</v>
      </c>
      <c r="L191" s="55" t="s">
        <v>1715</v>
      </c>
      <c r="M191" s="55" t="s">
        <v>1716</v>
      </c>
      <c r="N191" s="55" t="s">
        <v>4035</v>
      </c>
      <c r="O191" s="55" t="s">
        <v>1717</v>
      </c>
      <c r="P191" s="55" t="s">
        <v>1718</v>
      </c>
      <c r="Q191" s="55" t="s">
        <v>1719</v>
      </c>
      <c r="R191" s="55" t="s">
        <v>480</v>
      </c>
      <c r="S191" s="55" t="s">
        <v>1720</v>
      </c>
      <c r="T191" s="55" t="s">
        <v>107</v>
      </c>
      <c r="U191" s="55" t="s">
        <v>1721</v>
      </c>
      <c r="V191" s="55" t="s">
        <v>109</v>
      </c>
      <c r="W191" s="55" t="s">
        <v>1722</v>
      </c>
      <c r="X191" s="56" t="s">
        <v>1723</v>
      </c>
      <c r="Y191" s="55" t="s">
        <v>185</v>
      </c>
      <c r="Z191" s="56" t="s">
        <v>1724</v>
      </c>
      <c r="AA191" s="57">
        <v>402</v>
      </c>
      <c r="AB191" s="57">
        <v>0</v>
      </c>
      <c r="AC191" s="57">
        <v>0</v>
      </c>
      <c r="AD191" s="57">
        <v>0</v>
      </c>
      <c r="AE191" s="57">
        <v>0</v>
      </c>
      <c r="AF191" s="55" t="s">
        <v>142</v>
      </c>
      <c r="AG191" s="55" t="s">
        <v>480</v>
      </c>
      <c r="AH191" s="55" t="s">
        <v>1719</v>
      </c>
      <c r="AI191" s="58">
        <v>61609.599999999999</v>
      </c>
      <c r="AJ191" s="55">
        <v>0.75</v>
      </c>
      <c r="AK191" s="55" t="s">
        <v>1725</v>
      </c>
      <c r="AL191" s="55" t="s">
        <v>1726</v>
      </c>
      <c r="AM191" s="59">
        <f>(AI191*AJ191)/2</f>
        <v>23103.599999999999</v>
      </c>
      <c r="AN191" s="60" t="s">
        <v>107</v>
      </c>
      <c r="AO191" s="60" t="s">
        <v>107</v>
      </c>
      <c r="AP191" s="60" t="s">
        <v>107</v>
      </c>
      <c r="AQ191" s="61" t="s">
        <v>107</v>
      </c>
      <c r="AR191" s="60" t="s">
        <v>107</v>
      </c>
      <c r="AS191" s="60" t="s">
        <v>107</v>
      </c>
      <c r="AT191" s="60" t="s">
        <v>107</v>
      </c>
      <c r="AU191" s="59"/>
      <c r="AV191" s="60" t="s">
        <v>107</v>
      </c>
      <c r="AW191" s="60" t="s">
        <v>107</v>
      </c>
      <c r="AX191" s="60" t="s">
        <v>107</v>
      </c>
      <c r="AY191" s="61" t="s">
        <v>107</v>
      </c>
      <c r="AZ191" s="60" t="s">
        <v>107</v>
      </c>
      <c r="BA191" s="60" t="s">
        <v>107</v>
      </c>
      <c r="BB191" s="60" t="s">
        <v>107</v>
      </c>
      <c r="BC191" s="59"/>
      <c r="BD191" s="60" t="s">
        <v>107</v>
      </c>
      <c r="BE191" s="60" t="s">
        <v>107</v>
      </c>
      <c r="BF191" s="60" t="s">
        <v>107</v>
      </c>
      <c r="BG191" s="60" t="s">
        <v>107</v>
      </c>
      <c r="BH191" s="60" t="s">
        <v>107</v>
      </c>
      <c r="BI191" s="60" t="s">
        <v>107</v>
      </c>
      <c r="BJ191" s="60" t="s">
        <v>107</v>
      </c>
      <c r="BK191" s="59"/>
      <c r="BL191" s="60" t="s">
        <v>107</v>
      </c>
      <c r="BM191" s="60" t="s">
        <v>107</v>
      </c>
      <c r="BN191" s="60" t="s">
        <v>107</v>
      </c>
      <c r="BO191" s="61" t="s">
        <v>107</v>
      </c>
      <c r="BP191" s="60" t="s">
        <v>107</v>
      </c>
      <c r="BQ191" s="60" t="s">
        <v>107</v>
      </c>
      <c r="BR191" s="60" t="s">
        <v>107</v>
      </c>
      <c r="BS191" s="59"/>
      <c r="BT191" s="60" t="s">
        <v>107</v>
      </c>
      <c r="BU191" s="60" t="s">
        <v>107</v>
      </c>
      <c r="BV191" s="60" t="s">
        <v>107</v>
      </c>
      <c r="BW191" s="61" t="s">
        <v>107</v>
      </c>
      <c r="BX191" s="60" t="s">
        <v>107</v>
      </c>
      <c r="BY191" s="60" t="s">
        <v>107</v>
      </c>
      <c r="BZ191" s="60" t="s">
        <v>107</v>
      </c>
      <c r="CA191" s="59"/>
      <c r="CB191" s="60"/>
      <c r="CC191" s="60" t="s">
        <v>107</v>
      </c>
      <c r="CD191" s="60" t="s">
        <v>107</v>
      </c>
      <c r="CE191" s="61" t="s">
        <v>107</v>
      </c>
      <c r="CF191" s="60" t="s">
        <v>107</v>
      </c>
      <c r="CG191" s="60" t="s">
        <v>107</v>
      </c>
      <c r="CH191" s="60" t="s">
        <v>107</v>
      </c>
      <c r="CI191" s="59"/>
      <c r="CJ191" s="60"/>
      <c r="CK191" s="60" t="s">
        <v>107</v>
      </c>
      <c r="CL191" s="60" t="s">
        <v>107</v>
      </c>
      <c r="CM191" s="61" t="s">
        <v>107</v>
      </c>
      <c r="CN191" s="60" t="s">
        <v>107</v>
      </c>
      <c r="CO191" s="60" t="s">
        <v>107</v>
      </c>
      <c r="CP191" s="60" t="s">
        <v>107</v>
      </c>
      <c r="CQ191" s="59"/>
      <c r="CR191" s="60"/>
      <c r="CS191" s="60" t="s">
        <v>107</v>
      </c>
      <c r="CT191" s="60" t="s">
        <v>107</v>
      </c>
      <c r="CU191" s="60" t="s">
        <v>107</v>
      </c>
      <c r="CV191" s="60" t="s">
        <v>107</v>
      </c>
      <c r="CW191" s="60" t="s">
        <v>107</v>
      </c>
      <c r="CX191" s="60" t="s">
        <v>107</v>
      </c>
      <c r="CY191" s="59"/>
      <c r="CZ191" s="60"/>
      <c r="DA191" s="60" t="s">
        <v>107</v>
      </c>
      <c r="DB191" s="60" t="s">
        <v>107</v>
      </c>
      <c r="DC191" s="60" t="s">
        <v>107</v>
      </c>
      <c r="DD191" s="60" t="s">
        <v>107</v>
      </c>
      <c r="DE191" s="60" t="s">
        <v>107</v>
      </c>
      <c r="DF191" s="60" t="s">
        <v>107</v>
      </c>
      <c r="DG191" s="59"/>
      <c r="DH191" s="60"/>
      <c r="DI191" s="60" t="s">
        <v>107</v>
      </c>
      <c r="DJ191" s="60" t="s">
        <v>107</v>
      </c>
      <c r="DK191" s="62">
        <f>AM191</f>
        <v>23103.599999999999</v>
      </c>
      <c r="DL191" s="55" t="s">
        <v>1726</v>
      </c>
      <c r="DM191" s="63">
        <f>DL191*0.95</f>
        <v>21948.42</v>
      </c>
    </row>
    <row r="192" spans="1:117" ht="17.25" customHeight="1" x14ac:dyDescent="0.25">
      <c r="DK192" s="38">
        <f>SUM(DK2:DK191)</f>
        <v>3982560.7949835993</v>
      </c>
    </row>
  </sheetData>
  <sortState ref="A2:DN196">
    <sortCondition ref="A2:A196"/>
  </sortState>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2012-05-08T14:36:46Z</dcterms:modified>
</cp:coreProperties>
</file>