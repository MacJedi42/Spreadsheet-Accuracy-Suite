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90" windowWidth="10560" windowHeight="574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B5" i="1" l="1"/>
  <c r="B11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</calcChain>
</file>

<file path=xl/sharedStrings.xml><?xml version="1.0" encoding="utf-8"?>
<sst xmlns="http://schemas.openxmlformats.org/spreadsheetml/2006/main" count="11" uniqueCount="10">
  <si>
    <t>a</t>
  </si>
  <si>
    <t>S</t>
  </si>
  <si>
    <t>T</t>
  </si>
  <si>
    <t>4T/S</t>
  </si>
  <si>
    <t>River_a</t>
  </si>
  <si>
    <t xml:space="preserve"> </t>
  </si>
  <si>
    <t>sdf</t>
  </si>
  <si>
    <t>(to river) (ft)</t>
  </si>
  <si>
    <t>ft^2/day</t>
  </si>
  <si>
    <t>t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</si>
</sst>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River_a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Sheet1!$A$13:$A$112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00"/>
                <c:pt idx="0">
                  <c:v>1.112126229749999E-2</c:v>
                </c:pt>
                <c:pt idx="1">
                  <c:v>5.5549964813108199E-2</c:v>
                </c:pt>
                <c:pt idx="2">
                  <c:v>0.10438636424525927</c:v>
                </c:pt>
                <c:pt idx="3">
                  <c:v>0.1486159846737064</c:v>
                </c:pt>
                <c:pt idx="4">
                  <c:v>0.18734420888008613</c:v>
                </c:pt>
                <c:pt idx="5">
                  <c:v>0.22119654823812457</c:v>
                </c:pt>
                <c:pt idx="6">
                  <c:v>0.25097354641078151</c:v>
                </c:pt>
                <c:pt idx="7">
                  <c:v>0.27738042096648269</c:v>
                </c:pt>
                <c:pt idx="8">
                  <c:v>0.30099007213462003</c:v>
                </c:pt>
                <c:pt idx="9">
                  <c:v>0.3222587784134367</c:v>
                </c:pt>
                <c:pt idx="10">
                  <c:v>0.3415497799934753</c:v>
                </c:pt>
                <c:pt idx="11">
                  <c:v>0.35915415185643773</c:v>
                </c:pt>
                <c:pt idx="12">
                  <c:v>0.37530727478641757</c:v>
                </c:pt>
                <c:pt idx="13">
                  <c:v>0.39020135019456859</c:v>
                </c:pt>
                <c:pt idx="14">
                  <c:v>0.40399486924049588</c:v>
                </c:pt>
                <c:pt idx="15">
                  <c:v>0.41681972416255114</c:v>
                </c:pt>
                <c:pt idx="16">
                  <c:v>0.42878663150780172</c:v>
                </c:pt>
                <c:pt idx="17">
                  <c:v>0.43998928381737196</c:v>
                </c:pt>
                <c:pt idx="18">
                  <c:v>0.45050756111452833</c:v>
                </c:pt>
                <c:pt idx="19">
                  <c:v>0.46041003880586717</c:v>
                </c:pt>
                <c:pt idx="20">
                  <c:v>0.46975596445094286</c:v>
                </c:pt>
                <c:pt idx="21">
                  <c:v>0.47859682989547198</c:v>
                </c:pt>
                <c:pt idx="22">
                  <c:v>0.48697763229307311</c:v>
                </c:pt>
                <c:pt idx="23">
                  <c:v>0.49493789376648617</c:v>
                </c:pt>
                <c:pt idx="24">
                  <c:v>0.50251249219363681</c:v>
                </c:pt>
                <c:pt idx="25">
                  <c:v>0.50973234296298298</c:v>
                </c:pt>
                <c:pt idx="26">
                  <c:v>0.51662496220838239</c:v>
                </c:pt>
                <c:pt idx="27">
                  <c:v>0.52321493508170458</c:v>
                </c:pt>
                <c:pt idx="28">
                  <c:v>0.52952430739941947</c:v>
                </c:pt>
                <c:pt idx="29">
                  <c:v>0.53557291504424964</c:v>
                </c:pt>
                <c:pt idx="30">
                  <c:v>0.54137866360164444</c:v>
                </c:pt>
                <c:pt idx="31">
                  <c:v>0.54695776037822386</c:v>
                </c:pt>
                <c:pt idx="32">
                  <c:v>0.55232492375182973</c:v>
                </c:pt>
                <c:pt idx="33">
                  <c:v>0.55749355136973722</c:v>
                </c:pt>
                <c:pt idx="34">
                  <c:v>0.56247587072758531</c:v>
                </c:pt>
                <c:pt idx="35">
                  <c:v>0.56728306821023045</c:v>
                </c:pt>
                <c:pt idx="36">
                  <c:v>0.57192540109401468</c:v>
                </c:pt>
                <c:pt idx="37">
                  <c:v>0.57641229511175562</c:v>
                </c:pt>
                <c:pt idx="38">
                  <c:v>0.58075242973376184</c:v>
                </c:pt>
                <c:pt idx="39">
                  <c:v>0.58495381295563187</c:v>
                </c:pt>
                <c:pt idx="40">
                  <c:v>0.58902384708870614</c:v>
                </c:pt>
                <c:pt idx="41">
                  <c:v>0.59296938680799671</c:v>
                </c:pt>
                <c:pt idx="42">
                  <c:v>0.59679679051448842</c:v>
                </c:pt>
                <c:pt idx="43">
                  <c:v>0.60051196590544764</c:v>
                </c:pt>
                <c:pt idx="44">
                  <c:v>0.60412041051111964</c:v>
                </c:pt>
                <c:pt idx="45">
                  <c:v>0.60762724784372124</c:v>
                </c:pt>
                <c:pt idx="46">
                  <c:v>0.61103725971068612</c:v>
                </c:pt>
                <c:pt idx="47">
                  <c:v>0.61435491516540375</c:v>
                </c:pt>
                <c:pt idx="48">
                  <c:v>0.61758439650244856</c:v>
                </c:pt>
                <c:pt idx="49">
                  <c:v>0.6207296226484047</c:v>
                </c:pt>
                <c:pt idx="50">
                  <c:v>0.62379427025202372</c:v>
                </c:pt>
                <c:pt idx="51">
                  <c:v>0.62678179273723655</c:v>
                </c:pt>
                <c:pt idx="52">
                  <c:v>0.62969543754823842</c:v>
                </c:pt>
                <c:pt idx="53">
                  <c:v>0.63253826178655426</c:v>
                </c:pt>
                <c:pt idx="54">
                  <c:v>0.63531314641487213</c:v>
                </c:pt>
                <c:pt idx="55">
                  <c:v>0.63802280918080612</c:v>
                </c:pt>
                <c:pt idx="56">
                  <c:v>0.64066981639515452</c:v>
                </c:pt>
                <c:pt idx="57">
                  <c:v>0.64325659368309918</c:v>
                </c:pt>
                <c:pt idx="58">
                  <c:v>0.6457854358128674</c:v>
                </c:pt>
                <c:pt idx="59">
                  <c:v>0.64825851569426085</c:v>
                </c:pt>
                <c:pt idx="60">
                  <c:v>0.65067789262891507</c:v>
                </c:pt>
                <c:pt idx="61">
                  <c:v>0.65304551988495485</c:v>
                </c:pt>
                <c:pt idx="62">
                  <c:v>0.65536325166067833</c:v>
                </c:pt>
                <c:pt idx="63">
                  <c:v>0.65763284949484757</c:v>
                </c:pt>
                <c:pt idx="64">
                  <c:v>0.65985598817497815</c:v>
                </c:pt>
                <c:pt idx="65">
                  <c:v>0.66203426118958664</c:v>
                </c:pt>
                <c:pt idx="66">
                  <c:v>0.66416918576554573</c:v>
                </c:pt>
                <c:pt idx="67">
                  <c:v>0.6662622075274689</c:v>
                </c:pt>
                <c:pt idx="68">
                  <c:v>0.66831470481229538</c:v>
                </c:pt>
                <c:pt idx="69">
                  <c:v>0.67032799266892207</c:v>
                </c:pt>
                <c:pt idx="70">
                  <c:v>0.67230332656978553</c:v>
                </c:pt>
                <c:pt idx="71">
                  <c:v>0.67424190585866717</c:v>
                </c:pt>
                <c:pt idx="72">
                  <c:v>0.67614487695666736</c:v>
                </c:pt>
                <c:pt idx="73">
                  <c:v>0.6780133363461992</c:v>
                </c:pt>
                <c:pt idx="74">
                  <c:v>0.67984833335100414</c:v>
                </c:pt>
                <c:pt idx="75">
                  <c:v>0.68165087272850966</c:v>
                </c:pt>
                <c:pt idx="76">
                  <c:v>0.68342191708937106</c:v>
                </c:pt>
                <c:pt idx="77">
                  <c:v>0.68516238915768801</c:v>
                </c:pt>
                <c:pt idx="78">
                  <c:v>0.68687317388418823</c:v>
                </c:pt>
                <c:pt idx="79">
                  <c:v>0.68855512042358424</c:v>
                </c:pt>
                <c:pt idx="80">
                  <c:v>0.69020904398633576</c:v>
                </c:pt>
                <c:pt idx="81">
                  <c:v>0.69183572757416334</c:v>
                </c:pt>
                <c:pt idx="82">
                  <c:v>0.69343592360787198</c:v>
                </c:pt>
                <c:pt idx="83">
                  <c:v>0.69501035545531353</c:v>
                </c:pt>
                <c:pt idx="84">
                  <c:v>0.69655971886667289</c:v>
                </c:pt>
                <c:pt idx="85">
                  <c:v>0.69808468332366957</c:v>
                </c:pt>
                <c:pt idx="86">
                  <c:v>0.699585893308727</c:v>
                </c:pt>
                <c:pt idx="87">
                  <c:v>0.7010639694996792</c:v>
                </c:pt>
                <c:pt idx="88">
                  <c:v>0.70251950989514012</c:v>
                </c:pt>
                <c:pt idx="89">
                  <c:v>0.70395309087525149</c:v>
                </c:pt>
                <c:pt idx="90">
                  <c:v>0.70536526820217038</c:v>
                </c:pt>
                <c:pt idx="91">
                  <c:v>0.70675657796430491</c:v>
                </c:pt>
                <c:pt idx="92">
                  <c:v>0.7081275374680166</c:v>
                </c:pt>
                <c:pt idx="93">
                  <c:v>0.70947864608021161</c:v>
                </c:pt>
                <c:pt idx="94">
                  <c:v>0.71081038602500568</c:v>
                </c:pt>
                <c:pt idx="95">
                  <c:v>0.71212322313738874</c:v>
                </c:pt>
                <c:pt idx="96">
                  <c:v>0.71341760757662542</c:v>
                </c:pt>
                <c:pt idx="97">
                  <c:v>0.71469397450190808</c:v>
                </c:pt>
                <c:pt idx="98">
                  <c:v>0.71595274471261261</c:v>
                </c:pt>
                <c:pt idx="99">
                  <c:v>0.71719432525533122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Sheet1!$A$13:$A$112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Sheet1!$A$13:$A$112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9888"/>
        <c:axId val="189230464"/>
      </c:scatterChart>
      <c:valAx>
        <c:axId val="189229888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0464"/>
        <c:crosses val="autoZero"/>
        <c:crossBetween val="midCat"/>
      </c:valAx>
      <c:valAx>
        <c:axId val="18923046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2988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94797687861271"/>
          <c:y val="8.2111436950146624E-2"/>
          <c:w val="0.66907514450867056"/>
          <c:h val="0.6832844574780058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River_a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Sheet1!$A$13:$A$112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Sheet1!$B$13:$B$112</c:f>
              <c:numCache>
                <c:formatCode>General</c:formatCode>
                <c:ptCount val="100"/>
                <c:pt idx="0">
                  <c:v>5.6340864455446116E-3</c:v>
                </c:pt>
                <c:pt idx="1">
                  <c:v>3.7017257686940475E-2</c:v>
                </c:pt>
                <c:pt idx="2">
                  <c:v>7.6884070045780017E-2</c:v>
                </c:pt>
                <c:pt idx="3">
                  <c:v>0.11550666235313195</c:v>
                </c:pt>
                <c:pt idx="4">
                  <c:v>0.15067956668754118</c:v>
                </c:pt>
                <c:pt idx="5">
                  <c:v>0.18223424169264241</c:v>
                </c:pt>
                <c:pt idx="6">
                  <c:v>0.2105140383251442</c:v>
                </c:pt>
                <c:pt idx="7">
                  <c:v>0.2359515664621909</c:v>
                </c:pt>
                <c:pt idx="8">
                  <c:v>0.25895068392780368</c:v>
                </c:pt>
                <c:pt idx="9">
                  <c:v>0.27985889381270784</c:v>
                </c:pt>
                <c:pt idx="10">
                  <c:v>0.29896712314296747</c:v>
                </c:pt>
                <c:pt idx="11">
                  <c:v>0.31651702100341345</c:v>
                </c:pt>
                <c:pt idx="12">
                  <c:v>0.33270937377956583</c:v>
                </c:pt>
                <c:pt idx="13">
                  <c:v>0.34771168867425123</c:v>
                </c:pt>
                <c:pt idx="14">
                  <c:v>0.36166450408888162</c:v>
                </c:pt>
                <c:pt idx="15">
                  <c:v>0.37468647864319526</c:v>
                </c:pt>
                <c:pt idx="16">
                  <c:v>0.38687844676266059</c:v>
                </c:pt>
                <c:pt idx="17">
                  <c:v>0.39832664168420145</c:v>
                </c:pt>
                <c:pt idx="18">
                  <c:v>0.40910526140020231</c:v>
                </c:pt>
                <c:pt idx="19">
                  <c:v>0.41927852005066757</c:v>
                </c:pt>
                <c:pt idx="20">
                  <c:v>0.4289022968437215</c:v>
                </c:pt>
                <c:pt idx="21">
                  <c:v>0.438025469442272</c:v>
                </c:pt>
                <c:pt idx="22">
                  <c:v>0.44669099892636194</c:v>
                </c:pt>
                <c:pt idx="23">
                  <c:v>0.45493681813433873</c:v>
                </c:pt>
                <c:pt idx="24">
                  <c:v>0.4627965634792201</c:v>
                </c:pt>
                <c:pt idx="25">
                  <c:v>0.47030018140800051</c:v>
                </c:pt>
                <c:pt idx="26">
                  <c:v>0.47747443385592886</c:v>
                </c:pt>
                <c:pt idx="27">
                  <c:v>0.48434332182928191</c:v>
                </c:pt>
                <c:pt idx="28">
                  <c:v>0.49092844223748483</c:v>
                </c:pt>
                <c:pt idx="29">
                  <c:v>0.49724928999445095</c:v>
                </c:pt>
                <c:pt idx="30">
                  <c:v>0.50332351499958594</c:v>
                </c:pt>
                <c:pt idx="31">
                  <c:v>0.50916714172632205</c:v>
                </c:pt>
                <c:pt idx="32">
                  <c:v>0.5147947576667371</c:v>
                </c:pt>
                <c:pt idx="33">
                  <c:v>0.52021967571185068</c:v>
                </c:pt>
                <c:pt idx="34">
                  <c:v>0.5254540746183618</c:v>
                </c:pt>
                <c:pt idx="35">
                  <c:v>0.53050912097052394</c:v>
                </c:pt>
                <c:pt idx="36">
                  <c:v>0.53539507544992992</c:v>
                </c:pt>
                <c:pt idx="37">
                  <c:v>0.54012138574492319</c:v>
                </c:pt>
                <c:pt idx="38">
                  <c:v>0.54469676804114742</c:v>
                </c:pt>
                <c:pt idx="39">
                  <c:v>0.54912927871670481</c:v>
                </c:pt>
                <c:pt idx="40">
                  <c:v>0.55342637760498403</c:v>
                </c:pt>
                <c:pt idx="41">
                  <c:v>0.5575949839740717</c:v>
                </c:pt>
                <c:pt idx="42">
                  <c:v>0.56164152619479069</c:v>
                </c:pt>
                <c:pt idx="43">
                  <c:v>0.56557198592272262</c:v>
                </c:pt>
                <c:pt idx="44">
                  <c:v>0.56939193749747918</c:v>
                </c:pt>
                <c:pt idx="45">
                  <c:v>0.57310658316041552</c:v>
                </c:pt>
                <c:pt idx="46">
                  <c:v>0.57672078460639875</c:v>
                </c:pt>
                <c:pt idx="47">
                  <c:v>0.58023909131318852</c:v>
                </c:pt>
                <c:pt idx="48">
                  <c:v>0.58366576603114428</c:v>
                </c:pt>
                <c:pt idx="49">
                  <c:v>0.587004807764407</c:v>
                </c:pt>
                <c:pt idx="50">
                  <c:v>0.59025997253089124</c:v>
                </c:pt>
                <c:pt idx="51">
                  <c:v>0.59343479215104666</c:v>
                </c:pt>
                <c:pt idx="52">
                  <c:v>0.5965325912834093</c:v>
                </c:pt>
                <c:pt idx="53">
                  <c:v>0.59955650289755991</c:v>
                </c:pt>
                <c:pt idx="54">
                  <c:v>0.60250948235155333</c:v>
                </c:pt>
                <c:pt idx="55">
                  <c:v>0.60539432022057671</c:v>
                </c:pt>
                <c:pt idx="56">
                  <c:v>0.60821365400603233</c:v>
                </c:pt>
                <c:pt idx="57">
                  <c:v>0.61096997883904591</c:v>
                </c:pt>
                <c:pt idx="58">
                  <c:v>0.61366565727917732</c:v>
                </c:pt>
                <c:pt idx="59">
                  <c:v>0.61630292829762223</c:v>
                </c:pt>
                <c:pt idx="60">
                  <c:v>0.61888391552415434</c:v>
                </c:pt>
                <c:pt idx="61">
                  <c:v>0.62141063482828718</c:v>
                </c:pt>
                <c:pt idx="62">
                  <c:v>0.62388500129744984</c:v>
                </c:pt>
                <c:pt idx="63">
                  <c:v>0.62630883566821505</c:v>
                </c:pt>
                <c:pt idx="64">
                  <c:v>0.62868387026069017</c:v>
                </c:pt>
                <c:pt idx="65">
                  <c:v>0.6310117544609386</c:v>
                </c:pt>
                <c:pt idx="66">
                  <c:v>0.63329405979168552</c:v>
                </c:pt>
                <c:pt idx="67">
                  <c:v>0.63553228460746414</c:v>
                </c:pt>
                <c:pt idx="68">
                  <c:v>0.63772785844674829</c:v>
                </c:pt>
                <c:pt idx="69">
                  <c:v>0.63988214607038207</c:v>
                </c:pt>
                <c:pt idx="70">
                  <c:v>0.64199645121277493</c:v>
                </c:pt>
                <c:pt idx="71">
                  <c:v>0.64407202006977093</c:v>
                </c:pt>
                <c:pt idx="72">
                  <c:v>0.64611004454482979</c:v>
                </c:pt>
                <c:pt idx="73">
                  <c:v>0.64811166527313091</c:v>
                </c:pt>
                <c:pt idx="74">
                  <c:v>0.65007797444139215</c:v>
                </c:pt>
                <c:pt idx="75">
                  <c:v>0.65201001841956341</c:v>
                </c:pt>
                <c:pt idx="76">
                  <c:v>0.65390880021909747</c:v>
                </c:pt>
                <c:pt idx="77">
                  <c:v>0.65577528179119138</c:v>
                </c:pt>
                <c:pt idx="78">
                  <c:v>0.65761038617719891</c:v>
                </c:pt>
                <c:pt idx="79">
                  <c:v>0.65941499952236238</c:v>
                </c:pt>
                <c:pt idx="80">
                  <c:v>0.66118997296304438</c:v>
                </c:pt>
                <c:pt idx="81">
                  <c:v>0.66293612439677441</c:v>
                </c:pt>
                <c:pt idx="82">
                  <c:v>0.66465424014364305</c:v>
                </c:pt>
                <c:pt idx="83">
                  <c:v>0.6663450765068607</c:v>
                </c:pt>
                <c:pt idx="84">
                  <c:v>0.66800936123966215</c:v>
                </c:pt>
                <c:pt idx="85">
                  <c:v>0.66964779492514481</c:v>
                </c:pt>
                <c:pt idx="86">
                  <c:v>0.67126105227510335</c:v>
                </c:pt>
                <c:pt idx="87">
                  <c:v>0.67284978335344292</c:v>
                </c:pt>
                <c:pt idx="88">
                  <c:v>0.6744146147293012</c:v>
                </c:pt>
                <c:pt idx="89">
                  <c:v>0.67595615056462843</c:v>
                </c:pt>
                <c:pt idx="90">
                  <c:v>0.6774749736405854</c:v>
                </c:pt>
                <c:pt idx="91">
                  <c:v>0.67897164632681051</c:v>
                </c:pt>
                <c:pt idx="92">
                  <c:v>0.68044671149727864</c:v>
                </c:pt>
                <c:pt idx="93">
                  <c:v>0.68190069339621229</c:v>
                </c:pt>
                <c:pt idx="94">
                  <c:v>0.68333409845724036</c:v>
                </c:pt>
                <c:pt idx="95">
                  <c:v>0.68474741607876777</c:v>
                </c:pt>
                <c:pt idx="96">
                  <c:v>0.68614111935830735</c:v>
                </c:pt>
                <c:pt idx="97">
                  <c:v>0.68751566578832002</c:v>
                </c:pt>
                <c:pt idx="98">
                  <c:v>0.68887149791593871</c:v>
                </c:pt>
                <c:pt idx="99">
                  <c:v>0.69020904396876903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32192"/>
        <c:axId val="189232768"/>
      </c:scatterChart>
      <c:valAx>
        <c:axId val="18923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43497109826589597"/>
              <c:y val="0.87096774193548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2768"/>
        <c:crosses val="autoZero"/>
        <c:crossBetween val="midCat"/>
      </c:valAx>
      <c:valAx>
        <c:axId val="18923276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v/Qt</a:t>
                </a:r>
              </a:p>
            </c:rich>
          </c:tx>
          <c:layout>
            <c:manualLayout>
              <c:xMode val="edge"/>
              <c:yMode val="edge"/>
              <c:x val="2.3121387283236993E-2"/>
              <c:y val="0.3695014662756598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219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826589595375723"/>
          <c:y val="0.38709677419354838"/>
          <c:w val="0.14017341040462428"/>
          <c:h val="7.3313782991202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112</xdr:row>
      <xdr:rowOff>0</xdr:rowOff>
    </xdr:from>
    <xdr:to>
      <xdr:col>3</xdr:col>
      <xdr:colOff>0</xdr:colOff>
      <xdr:row>112</xdr:row>
      <xdr:rowOff>0</xdr:rowOff>
    </xdr:to>
    <xdr:graphicFrame macro="">
      <xdr:nvGraphicFramePr>
        <xdr:cNvPr id="103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238125</xdr:colOff>
      <xdr:row>0</xdr:row>
      <xdr:rowOff>114300</xdr:rowOff>
    </xdr:from>
    <xdr:to>
      <xdr:col>8</xdr:col>
      <xdr:colOff>28575</xdr:colOff>
      <xdr:row>14</xdr:row>
      <xdr:rowOff>142875</xdr:rowOff>
    </xdr:to>
    <xdr:pic>
      <xdr:nvPicPr>
        <xdr:cNvPr id="5712" name="Picture 36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5" y="114300"/>
          <a:ext cx="3600450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285750</xdr:colOff>
      <xdr:row>15</xdr:row>
      <xdr:rowOff>85725</xdr:rowOff>
    </xdr:from>
    <xdr:to>
      <xdr:col>12</xdr:col>
      <xdr:colOff>19050</xdr:colOff>
      <xdr:row>32</xdr:row>
      <xdr:rowOff>95250</xdr:rowOff>
    </xdr:to>
    <xdr:graphicFrame macro="">
      <xdr:nvGraphicFramePr>
        <xdr:cNvPr id="5714" name="Chart 36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tabSelected="1" workbookViewId="0">
      <selection activeCell="K14" sqref="K14"/>
    </sheetView>
  </sheetViews>
  <sheetFormatPr defaultRowHeight="15" x14ac:dyDescent="0.2"/>
  <cols>
    <col min="2" max="2" width="10" bestFit="1" customWidth="1"/>
  </cols>
  <sheetData>
    <row r="1" spans="1:3" x14ac:dyDescent="0.2">
      <c r="A1" t="s">
        <v>0</v>
      </c>
      <c r="B1">
        <v>10000</v>
      </c>
      <c r="C1" t="s">
        <v>7</v>
      </c>
    </row>
    <row r="3" spans="1:3" x14ac:dyDescent="0.2">
      <c r="A3" t="s">
        <v>1</v>
      </c>
      <c r="B3">
        <v>5.0000000000000001E-3</v>
      </c>
    </row>
    <row r="4" spans="1:3" x14ac:dyDescent="0.2">
      <c r="A4" t="s">
        <v>2</v>
      </c>
      <c r="B4">
        <v>5000</v>
      </c>
      <c r="C4" t="s">
        <v>8</v>
      </c>
    </row>
    <row r="5" spans="1:3" x14ac:dyDescent="0.2">
      <c r="A5" t="s">
        <v>3</v>
      </c>
      <c r="B5">
        <f>4*B4/B3</f>
        <v>4000000</v>
      </c>
    </row>
    <row r="11" spans="1:3" x14ac:dyDescent="0.2">
      <c r="A11" t="s">
        <v>6</v>
      </c>
      <c r="B11">
        <f>$B$1^2*$B$3/$B$4</f>
        <v>100</v>
      </c>
      <c r="C11" t="s">
        <v>5</v>
      </c>
    </row>
    <row r="12" spans="1:3" x14ac:dyDescent="0.2">
      <c r="A12" t="s">
        <v>9</v>
      </c>
      <c r="B12" t="s">
        <v>4</v>
      </c>
      <c r="C12" t="s">
        <v>5</v>
      </c>
    </row>
    <row r="13" spans="1:3" x14ac:dyDescent="0.2">
      <c r="A13">
        <v>10</v>
      </c>
      <c r="B13">
        <f t="shared" ref="B13:B44" si="0">IF((B$11/(4*A13))&lt;81,((B$11/(2*A13))+1)*ERFC((SQRT(B$11/(4*A13))))-(((SQRT(B$11/(4*A13)))*2/(SQRT(PI()))*EXP(-(B$11/(4*A13))))),0)</f>
        <v>5.6340864455446116E-3</v>
      </c>
    </row>
    <row r="14" spans="1:3" x14ac:dyDescent="0.2">
      <c r="A14">
        <f>+A13+10</f>
        <v>20</v>
      </c>
      <c r="B14">
        <f t="shared" si="0"/>
        <v>3.7017257686940475E-2</v>
      </c>
    </row>
    <row r="15" spans="1:3" x14ac:dyDescent="0.2">
      <c r="A15">
        <f t="shared" ref="A15:A78" si="1">+A14+10</f>
        <v>30</v>
      </c>
      <c r="B15">
        <f t="shared" si="0"/>
        <v>7.6884070045780017E-2</v>
      </c>
    </row>
    <row r="16" spans="1:3" x14ac:dyDescent="0.2">
      <c r="A16">
        <f t="shared" si="1"/>
        <v>40</v>
      </c>
      <c r="B16">
        <f t="shared" si="0"/>
        <v>0.11550666235313195</v>
      </c>
    </row>
    <row r="17" spans="1:2" x14ac:dyDescent="0.2">
      <c r="A17">
        <f t="shared" si="1"/>
        <v>50</v>
      </c>
      <c r="B17">
        <f t="shared" si="0"/>
        <v>0.15067956668754118</v>
      </c>
    </row>
    <row r="18" spans="1:2" x14ac:dyDescent="0.2">
      <c r="A18">
        <f t="shared" si="1"/>
        <v>60</v>
      </c>
      <c r="B18">
        <f t="shared" si="0"/>
        <v>0.18223424169264241</v>
      </c>
    </row>
    <row r="19" spans="1:2" x14ac:dyDescent="0.2">
      <c r="A19">
        <f t="shared" si="1"/>
        <v>70</v>
      </c>
      <c r="B19">
        <f t="shared" si="0"/>
        <v>0.2105140383251442</v>
      </c>
    </row>
    <row r="20" spans="1:2" x14ac:dyDescent="0.2">
      <c r="A20">
        <f t="shared" si="1"/>
        <v>80</v>
      </c>
      <c r="B20">
        <f t="shared" si="0"/>
        <v>0.2359515664621909</v>
      </c>
    </row>
    <row r="21" spans="1:2" x14ac:dyDescent="0.2">
      <c r="A21">
        <f t="shared" si="1"/>
        <v>90</v>
      </c>
      <c r="B21">
        <f t="shared" si="0"/>
        <v>0.25895068392780368</v>
      </c>
    </row>
    <row r="22" spans="1:2" x14ac:dyDescent="0.2">
      <c r="A22">
        <f t="shared" si="1"/>
        <v>100</v>
      </c>
      <c r="B22">
        <f t="shared" si="0"/>
        <v>0.27985889381270784</v>
      </c>
    </row>
    <row r="23" spans="1:2" x14ac:dyDescent="0.2">
      <c r="A23">
        <f t="shared" si="1"/>
        <v>110</v>
      </c>
      <c r="B23">
        <f t="shared" si="0"/>
        <v>0.29896712314296747</v>
      </c>
    </row>
    <row r="24" spans="1:2" x14ac:dyDescent="0.2">
      <c r="A24">
        <f t="shared" si="1"/>
        <v>120</v>
      </c>
      <c r="B24">
        <f t="shared" si="0"/>
        <v>0.31651702100341345</v>
      </c>
    </row>
    <row r="25" spans="1:2" x14ac:dyDescent="0.2">
      <c r="A25">
        <f t="shared" si="1"/>
        <v>130</v>
      </c>
      <c r="B25">
        <f t="shared" si="0"/>
        <v>0.33270937377956583</v>
      </c>
    </row>
    <row r="26" spans="1:2" x14ac:dyDescent="0.2">
      <c r="A26">
        <f t="shared" si="1"/>
        <v>140</v>
      </c>
      <c r="B26">
        <f t="shared" si="0"/>
        <v>0.34771168867425123</v>
      </c>
    </row>
    <row r="27" spans="1:2" x14ac:dyDescent="0.2">
      <c r="A27">
        <f t="shared" si="1"/>
        <v>150</v>
      </c>
      <c r="B27">
        <f t="shared" si="0"/>
        <v>0.36166450408888162</v>
      </c>
    </row>
    <row r="28" spans="1:2" x14ac:dyDescent="0.2">
      <c r="A28">
        <f t="shared" si="1"/>
        <v>160</v>
      </c>
      <c r="B28">
        <f t="shared" si="0"/>
        <v>0.37468647864319526</v>
      </c>
    </row>
    <row r="29" spans="1:2" x14ac:dyDescent="0.2">
      <c r="A29">
        <f t="shared" si="1"/>
        <v>170</v>
      </c>
      <c r="B29">
        <f t="shared" si="0"/>
        <v>0.38687844676266059</v>
      </c>
    </row>
    <row r="30" spans="1:2" x14ac:dyDescent="0.2">
      <c r="A30">
        <f t="shared" si="1"/>
        <v>180</v>
      </c>
      <c r="B30">
        <f t="shared" si="0"/>
        <v>0.39832664168420145</v>
      </c>
    </row>
    <row r="31" spans="1:2" x14ac:dyDescent="0.2">
      <c r="A31">
        <f t="shared" si="1"/>
        <v>190</v>
      </c>
      <c r="B31">
        <f t="shared" si="0"/>
        <v>0.40910526140020231</v>
      </c>
    </row>
    <row r="32" spans="1:2" x14ac:dyDescent="0.2">
      <c r="A32">
        <f t="shared" si="1"/>
        <v>200</v>
      </c>
      <c r="B32">
        <f t="shared" si="0"/>
        <v>0.41927852005066757</v>
      </c>
    </row>
    <row r="33" spans="1:2" x14ac:dyDescent="0.2">
      <c r="A33">
        <f t="shared" si="1"/>
        <v>210</v>
      </c>
      <c r="B33">
        <f t="shared" si="0"/>
        <v>0.4289022968437215</v>
      </c>
    </row>
    <row r="34" spans="1:2" x14ac:dyDescent="0.2">
      <c r="A34">
        <f t="shared" si="1"/>
        <v>220</v>
      </c>
      <c r="B34">
        <f t="shared" si="0"/>
        <v>0.438025469442272</v>
      </c>
    </row>
    <row r="35" spans="1:2" x14ac:dyDescent="0.2">
      <c r="A35">
        <f t="shared" si="1"/>
        <v>230</v>
      </c>
      <c r="B35">
        <f t="shared" si="0"/>
        <v>0.44669099892636194</v>
      </c>
    </row>
    <row r="36" spans="1:2" x14ac:dyDescent="0.2">
      <c r="A36">
        <f t="shared" si="1"/>
        <v>240</v>
      </c>
      <c r="B36">
        <f t="shared" si="0"/>
        <v>0.45493681813433873</v>
      </c>
    </row>
    <row r="37" spans="1:2" x14ac:dyDescent="0.2">
      <c r="A37">
        <f t="shared" si="1"/>
        <v>250</v>
      </c>
      <c r="B37">
        <f t="shared" si="0"/>
        <v>0.4627965634792201</v>
      </c>
    </row>
    <row r="38" spans="1:2" x14ac:dyDescent="0.2">
      <c r="A38">
        <f t="shared" si="1"/>
        <v>260</v>
      </c>
      <c r="B38">
        <f t="shared" si="0"/>
        <v>0.47030018140800051</v>
      </c>
    </row>
    <row r="39" spans="1:2" x14ac:dyDescent="0.2">
      <c r="A39">
        <f t="shared" si="1"/>
        <v>270</v>
      </c>
      <c r="B39">
        <f t="shared" si="0"/>
        <v>0.47747443385592886</v>
      </c>
    </row>
    <row r="40" spans="1:2" x14ac:dyDescent="0.2">
      <c r="A40">
        <f t="shared" si="1"/>
        <v>280</v>
      </c>
      <c r="B40">
        <f t="shared" si="0"/>
        <v>0.48434332182928191</v>
      </c>
    </row>
    <row r="41" spans="1:2" x14ac:dyDescent="0.2">
      <c r="A41">
        <f t="shared" si="1"/>
        <v>290</v>
      </c>
      <c r="B41">
        <f t="shared" si="0"/>
        <v>0.49092844223748483</v>
      </c>
    </row>
    <row r="42" spans="1:2" x14ac:dyDescent="0.2">
      <c r="A42">
        <f t="shared" si="1"/>
        <v>300</v>
      </c>
      <c r="B42">
        <f t="shared" si="0"/>
        <v>0.49724928999445095</v>
      </c>
    </row>
    <row r="43" spans="1:2" x14ac:dyDescent="0.2">
      <c r="A43">
        <f t="shared" si="1"/>
        <v>310</v>
      </c>
      <c r="B43">
        <f t="shared" si="0"/>
        <v>0.50332351499958594</v>
      </c>
    </row>
    <row r="44" spans="1:2" x14ac:dyDescent="0.2">
      <c r="A44">
        <f t="shared" si="1"/>
        <v>320</v>
      </c>
      <c r="B44">
        <f t="shared" si="0"/>
        <v>0.50916714172632205</v>
      </c>
    </row>
    <row r="45" spans="1:2" x14ac:dyDescent="0.2">
      <c r="A45">
        <f t="shared" si="1"/>
        <v>330</v>
      </c>
      <c r="B45">
        <f t="shared" ref="B45:B76" si="2">IF((B$11/(4*A45))&lt;81,((B$11/(2*A45))+1)*ERFC((SQRT(B$11/(4*A45))))-(((SQRT(B$11/(4*A45)))*2/(SQRT(PI()))*EXP(-(B$11/(4*A45))))),0)</f>
        <v>0.5147947576667371</v>
      </c>
    </row>
    <row r="46" spans="1:2" x14ac:dyDescent="0.2">
      <c r="A46">
        <f t="shared" si="1"/>
        <v>340</v>
      </c>
      <c r="B46">
        <f t="shared" si="2"/>
        <v>0.52021967571185068</v>
      </c>
    </row>
    <row r="47" spans="1:2" x14ac:dyDescent="0.2">
      <c r="A47">
        <f t="shared" si="1"/>
        <v>350</v>
      </c>
      <c r="B47">
        <f t="shared" si="2"/>
        <v>0.5254540746183618</v>
      </c>
    </row>
    <row r="48" spans="1:2" x14ac:dyDescent="0.2">
      <c r="A48">
        <f t="shared" si="1"/>
        <v>360</v>
      </c>
      <c r="B48">
        <f t="shared" si="2"/>
        <v>0.53050912097052394</v>
      </c>
    </row>
    <row r="49" spans="1:2" x14ac:dyDescent="0.2">
      <c r="A49">
        <f t="shared" si="1"/>
        <v>370</v>
      </c>
      <c r="B49">
        <f t="shared" si="2"/>
        <v>0.53539507544992992</v>
      </c>
    </row>
    <row r="50" spans="1:2" x14ac:dyDescent="0.2">
      <c r="A50">
        <f t="shared" si="1"/>
        <v>380</v>
      </c>
      <c r="B50">
        <f t="shared" si="2"/>
        <v>0.54012138574492319</v>
      </c>
    </row>
    <row r="51" spans="1:2" x14ac:dyDescent="0.2">
      <c r="A51">
        <f t="shared" si="1"/>
        <v>390</v>
      </c>
      <c r="B51">
        <f t="shared" si="2"/>
        <v>0.54469676804114742</v>
      </c>
    </row>
    <row r="52" spans="1:2" x14ac:dyDescent="0.2">
      <c r="A52">
        <f t="shared" si="1"/>
        <v>400</v>
      </c>
      <c r="B52">
        <f t="shared" si="2"/>
        <v>0.54912927871670481</v>
      </c>
    </row>
    <row r="53" spans="1:2" x14ac:dyDescent="0.2">
      <c r="A53">
        <f t="shared" si="1"/>
        <v>410</v>
      </c>
      <c r="B53">
        <f t="shared" si="2"/>
        <v>0.55342637760498403</v>
      </c>
    </row>
    <row r="54" spans="1:2" x14ac:dyDescent="0.2">
      <c r="A54">
        <f t="shared" si="1"/>
        <v>420</v>
      </c>
      <c r="B54">
        <f t="shared" si="2"/>
        <v>0.5575949839740717</v>
      </c>
    </row>
    <row r="55" spans="1:2" x14ac:dyDescent="0.2">
      <c r="A55">
        <f t="shared" si="1"/>
        <v>430</v>
      </c>
      <c r="B55">
        <f t="shared" si="2"/>
        <v>0.56164152619479069</v>
      </c>
    </row>
    <row r="56" spans="1:2" x14ac:dyDescent="0.2">
      <c r="A56">
        <f t="shared" si="1"/>
        <v>440</v>
      </c>
      <c r="B56">
        <f t="shared" si="2"/>
        <v>0.56557198592272262</v>
      </c>
    </row>
    <row r="57" spans="1:2" x14ac:dyDescent="0.2">
      <c r="A57">
        <f t="shared" si="1"/>
        <v>450</v>
      </c>
      <c r="B57">
        <f t="shared" si="2"/>
        <v>0.56939193749747918</v>
      </c>
    </row>
    <row r="58" spans="1:2" x14ac:dyDescent="0.2">
      <c r="A58">
        <f t="shared" si="1"/>
        <v>460</v>
      </c>
      <c r="B58">
        <f t="shared" si="2"/>
        <v>0.57310658316041552</v>
      </c>
    </row>
    <row r="59" spans="1:2" x14ac:dyDescent="0.2">
      <c r="A59">
        <f t="shared" si="1"/>
        <v>470</v>
      </c>
      <c r="B59">
        <f t="shared" si="2"/>
        <v>0.57672078460639875</v>
      </c>
    </row>
    <row r="60" spans="1:2" x14ac:dyDescent="0.2">
      <c r="A60">
        <f t="shared" si="1"/>
        <v>480</v>
      </c>
      <c r="B60">
        <f t="shared" si="2"/>
        <v>0.58023909131318852</v>
      </c>
    </row>
    <row r="61" spans="1:2" x14ac:dyDescent="0.2">
      <c r="A61">
        <f t="shared" si="1"/>
        <v>490</v>
      </c>
      <c r="B61">
        <f t="shared" si="2"/>
        <v>0.58366576603114428</v>
      </c>
    </row>
    <row r="62" spans="1:2" x14ac:dyDescent="0.2">
      <c r="A62">
        <f t="shared" si="1"/>
        <v>500</v>
      </c>
      <c r="B62">
        <f t="shared" si="2"/>
        <v>0.587004807764407</v>
      </c>
    </row>
    <row r="63" spans="1:2" x14ac:dyDescent="0.2">
      <c r="A63">
        <f t="shared" si="1"/>
        <v>510</v>
      </c>
      <c r="B63">
        <f t="shared" si="2"/>
        <v>0.59025997253089124</v>
      </c>
    </row>
    <row r="64" spans="1:2" x14ac:dyDescent="0.2">
      <c r="A64">
        <f t="shared" si="1"/>
        <v>520</v>
      </c>
      <c r="B64">
        <f t="shared" si="2"/>
        <v>0.59343479215104666</v>
      </c>
    </row>
    <row r="65" spans="1:2" x14ac:dyDescent="0.2">
      <c r="A65">
        <f t="shared" si="1"/>
        <v>530</v>
      </c>
      <c r="B65">
        <f t="shared" si="2"/>
        <v>0.5965325912834093</v>
      </c>
    </row>
    <row r="66" spans="1:2" x14ac:dyDescent="0.2">
      <c r="A66">
        <f t="shared" si="1"/>
        <v>540</v>
      </c>
      <c r="B66">
        <f t="shared" si="2"/>
        <v>0.59955650289755991</v>
      </c>
    </row>
    <row r="67" spans="1:2" x14ac:dyDescent="0.2">
      <c r="A67">
        <f t="shared" si="1"/>
        <v>550</v>
      </c>
      <c r="B67">
        <f t="shared" si="2"/>
        <v>0.60250948235155333</v>
      </c>
    </row>
    <row r="68" spans="1:2" x14ac:dyDescent="0.2">
      <c r="A68">
        <f t="shared" si="1"/>
        <v>560</v>
      </c>
      <c r="B68">
        <f t="shared" si="2"/>
        <v>0.60539432022057671</v>
      </c>
    </row>
    <row r="69" spans="1:2" x14ac:dyDescent="0.2">
      <c r="A69">
        <f t="shared" si="1"/>
        <v>570</v>
      </c>
      <c r="B69">
        <f t="shared" si="2"/>
        <v>0.60821365400603233</v>
      </c>
    </row>
    <row r="70" spans="1:2" x14ac:dyDescent="0.2">
      <c r="A70">
        <f t="shared" si="1"/>
        <v>580</v>
      </c>
      <c r="B70">
        <f t="shared" si="2"/>
        <v>0.61096997883904591</v>
      </c>
    </row>
    <row r="71" spans="1:2" x14ac:dyDescent="0.2">
      <c r="A71">
        <f t="shared" si="1"/>
        <v>590</v>
      </c>
      <c r="B71">
        <f t="shared" si="2"/>
        <v>0.61366565727917732</v>
      </c>
    </row>
    <row r="72" spans="1:2" x14ac:dyDescent="0.2">
      <c r="A72">
        <f t="shared" si="1"/>
        <v>600</v>
      </c>
      <c r="B72">
        <f t="shared" si="2"/>
        <v>0.61630292829762223</v>
      </c>
    </row>
    <row r="73" spans="1:2" x14ac:dyDescent="0.2">
      <c r="A73">
        <f t="shared" si="1"/>
        <v>610</v>
      </c>
      <c r="B73">
        <f t="shared" si="2"/>
        <v>0.61888391552415434</v>
      </c>
    </row>
    <row r="74" spans="1:2" x14ac:dyDescent="0.2">
      <c r="A74">
        <f t="shared" si="1"/>
        <v>620</v>
      </c>
      <c r="B74">
        <f t="shared" si="2"/>
        <v>0.62141063482828718</v>
      </c>
    </row>
    <row r="75" spans="1:2" x14ac:dyDescent="0.2">
      <c r="A75">
        <f t="shared" si="1"/>
        <v>630</v>
      </c>
      <c r="B75">
        <f t="shared" si="2"/>
        <v>0.62388500129744984</v>
      </c>
    </row>
    <row r="76" spans="1:2" x14ac:dyDescent="0.2">
      <c r="A76">
        <f t="shared" si="1"/>
        <v>640</v>
      </c>
      <c r="B76">
        <f t="shared" si="2"/>
        <v>0.62630883566821505</v>
      </c>
    </row>
    <row r="77" spans="1:2" x14ac:dyDescent="0.2">
      <c r="A77">
        <f t="shared" si="1"/>
        <v>650</v>
      </c>
      <c r="B77">
        <f t="shared" ref="B77:B108" si="3">IF((B$11/(4*A77))&lt;81,((B$11/(2*A77))+1)*ERFC((SQRT(B$11/(4*A77))))-(((SQRT(B$11/(4*A77)))*2/(SQRT(PI()))*EXP(-(B$11/(4*A77))))),0)</f>
        <v>0.62868387026069017</v>
      </c>
    </row>
    <row r="78" spans="1:2" x14ac:dyDescent="0.2">
      <c r="A78">
        <f t="shared" si="1"/>
        <v>660</v>
      </c>
      <c r="B78">
        <f t="shared" si="3"/>
        <v>0.6310117544609386</v>
      </c>
    </row>
    <row r="79" spans="1:2" x14ac:dyDescent="0.2">
      <c r="A79">
        <f t="shared" ref="A79:A112" si="4">+A78+10</f>
        <v>670</v>
      </c>
      <c r="B79">
        <f t="shared" si="3"/>
        <v>0.63329405979168552</v>
      </c>
    </row>
    <row r="80" spans="1:2" x14ac:dyDescent="0.2">
      <c r="A80">
        <f t="shared" si="4"/>
        <v>680</v>
      </c>
      <c r="B80">
        <f t="shared" si="3"/>
        <v>0.63553228460746414</v>
      </c>
    </row>
    <row r="81" spans="1:2" x14ac:dyDescent="0.2">
      <c r="A81">
        <f t="shared" si="4"/>
        <v>690</v>
      </c>
      <c r="B81">
        <f t="shared" si="3"/>
        <v>0.63772785844674829</v>
      </c>
    </row>
    <row r="82" spans="1:2" x14ac:dyDescent="0.2">
      <c r="A82">
        <f t="shared" si="4"/>
        <v>700</v>
      </c>
      <c r="B82">
        <f t="shared" si="3"/>
        <v>0.63988214607038207</v>
      </c>
    </row>
    <row r="83" spans="1:2" x14ac:dyDescent="0.2">
      <c r="A83">
        <f t="shared" si="4"/>
        <v>710</v>
      </c>
      <c r="B83">
        <f t="shared" si="3"/>
        <v>0.64199645121277493</v>
      </c>
    </row>
    <row r="84" spans="1:2" x14ac:dyDescent="0.2">
      <c r="A84">
        <f t="shared" si="4"/>
        <v>720</v>
      </c>
      <c r="B84">
        <f t="shared" si="3"/>
        <v>0.64407202006977093</v>
      </c>
    </row>
    <row r="85" spans="1:2" x14ac:dyDescent="0.2">
      <c r="A85">
        <f t="shared" si="4"/>
        <v>730</v>
      </c>
      <c r="B85">
        <f t="shared" si="3"/>
        <v>0.64611004454482979</v>
      </c>
    </row>
    <row r="86" spans="1:2" x14ac:dyDescent="0.2">
      <c r="A86">
        <f t="shared" si="4"/>
        <v>740</v>
      </c>
      <c r="B86">
        <f t="shared" si="3"/>
        <v>0.64811166527313091</v>
      </c>
    </row>
    <row r="87" spans="1:2" x14ac:dyDescent="0.2">
      <c r="A87">
        <f t="shared" si="4"/>
        <v>750</v>
      </c>
      <c r="B87">
        <f t="shared" si="3"/>
        <v>0.65007797444139215</v>
      </c>
    </row>
    <row r="88" spans="1:2" x14ac:dyDescent="0.2">
      <c r="A88">
        <f t="shared" si="4"/>
        <v>760</v>
      </c>
      <c r="B88">
        <f t="shared" si="3"/>
        <v>0.65201001841956341</v>
      </c>
    </row>
    <row r="89" spans="1:2" x14ac:dyDescent="0.2">
      <c r="A89">
        <f t="shared" si="4"/>
        <v>770</v>
      </c>
      <c r="B89">
        <f t="shared" si="3"/>
        <v>0.65390880021909747</v>
      </c>
    </row>
    <row r="90" spans="1:2" x14ac:dyDescent="0.2">
      <c r="A90">
        <f t="shared" si="4"/>
        <v>780</v>
      </c>
      <c r="B90">
        <f t="shared" si="3"/>
        <v>0.65577528179119138</v>
      </c>
    </row>
    <row r="91" spans="1:2" x14ac:dyDescent="0.2">
      <c r="A91">
        <f t="shared" si="4"/>
        <v>790</v>
      </c>
      <c r="B91">
        <f t="shared" si="3"/>
        <v>0.65761038617719891</v>
      </c>
    </row>
    <row r="92" spans="1:2" x14ac:dyDescent="0.2">
      <c r="A92">
        <f t="shared" si="4"/>
        <v>800</v>
      </c>
      <c r="B92">
        <f t="shared" si="3"/>
        <v>0.65941499952236238</v>
      </c>
    </row>
    <row r="93" spans="1:2" x14ac:dyDescent="0.2">
      <c r="A93">
        <f t="shared" si="4"/>
        <v>810</v>
      </c>
      <c r="B93">
        <f t="shared" si="3"/>
        <v>0.66118997296304438</v>
      </c>
    </row>
    <row r="94" spans="1:2" x14ac:dyDescent="0.2">
      <c r="A94">
        <f t="shared" si="4"/>
        <v>820</v>
      </c>
      <c r="B94">
        <f t="shared" si="3"/>
        <v>0.66293612439677441</v>
      </c>
    </row>
    <row r="95" spans="1:2" x14ac:dyDescent="0.2">
      <c r="A95">
        <f t="shared" si="4"/>
        <v>830</v>
      </c>
      <c r="B95">
        <f t="shared" si="3"/>
        <v>0.66465424014364305</v>
      </c>
    </row>
    <row r="96" spans="1:2" x14ac:dyDescent="0.2">
      <c r="A96">
        <f t="shared" si="4"/>
        <v>840</v>
      </c>
      <c r="B96">
        <f t="shared" si="3"/>
        <v>0.6663450765068607</v>
      </c>
    </row>
    <row r="97" spans="1:2" x14ac:dyDescent="0.2">
      <c r="A97">
        <f t="shared" si="4"/>
        <v>850</v>
      </c>
      <c r="B97">
        <f t="shared" si="3"/>
        <v>0.66800936123966215</v>
      </c>
    </row>
    <row r="98" spans="1:2" x14ac:dyDescent="0.2">
      <c r="A98">
        <f t="shared" si="4"/>
        <v>860</v>
      </c>
      <c r="B98">
        <f t="shared" si="3"/>
        <v>0.66964779492514481</v>
      </c>
    </row>
    <row r="99" spans="1:2" x14ac:dyDescent="0.2">
      <c r="A99">
        <f t="shared" si="4"/>
        <v>870</v>
      </c>
      <c r="B99">
        <f t="shared" si="3"/>
        <v>0.67126105227510335</v>
      </c>
    </row>
    <row r="100" spans="1:2" x14ac:dyDescent="0.2">
      <c r="A100">
        <f t="shared" si="4"/>
        <v>880</v>
      </c>
      <c r="B100">
        <f t="shared" si="3"/>
        <v>0.67284978335344292</v>
      </c>
    </row>
    <row r="101" spans="1:2" x14ac:dyDescent="0.2">
      <c r="A101">
        <f t="shared" si="4"/>
        <v>890</v>
      </c>
      <c r="B101">
        <f t="shared" si="3"/>
        <v>0.6744146147293012</v>
      </c>
    </row>
    <row r="102" spans="1:2" x14ac:dyDescent="0.2">
      <c r="A102">
        <f t="shared" si="4"/>
        <v>900</v>
      </c>
      <c r="B102">
        <f t="shared" si="3"/>
        <v>0.67595615056462843</v>
      </c>
    </row>
    <row r="103" spans="1:2" x14ac:dyDescent="0.2">
      <c r="A103">
        <f t="shared" si="4"/>
        <v>910</v>
      </c>
      <c r="B103">
        <f t="shared" si="3"/>
        <v>0.6774749736405854</v>
      </c>
    </row>
    <row r="104" spans="1:2" x14ac:dyDescent="0.2">
      <c r="A104">
        <f t="shared" si="4"/>
        <v>920</v>
      </c>
      <c r="B104">
        <f t="shared" si="3"/>
        <v>0.67897164632681051</v>
      </c>
    </row>
    <row r="105" spans="1:2" x14ac:dyDescent="0.2">
      <c r="A105">
        <f t="shared" si="4"/>
        <v>930</v>
      </c>
      <c r="B105">
        <f t="shared" si="3"/>
        <v>0.68044671149727864</v>
      </c>
    </row>
    <row r="106" spans="1:2" x14ac:dyDescent="0.2">
      <c r="A106">
        <f t="shared" si="4"/>
        <v>940</v>
      </c>
      <c r="B106">
        <f t="shared" si="3"/>
        <v>0.68190069339621229</v>
      </c>
    </row>
    <row r="107" spans="1:2" x14ac:dyDescent="0.2">
      <c r="A107">
        <f t="shared" si="4"/>
        <v>950</v>
      </c>
      <c r="B107">
        <f t="shared" si="3"/>
        <v>0.68333409845724036</v>
      </c>
    </row>
    <row r="108" spans="1:2" x14ac:dyDescent="0.2">
      <c r="A108">
        <f t="shared" si="4"/>
        <v>960</v>
      </c>
      <c r="B108">
        <f t="shared" si="3"/>
        <v>0.68474741607876777</v>
      </c>
    </row>
    <row r="109" spans="1:2" x14ac:dyDescent="0.2">
      <c r="A109">
        <f t="shared" si="4"/>
        <v>970</v>
      </c>
      <c r="B109">
        <f t="shared" ref="B109:B112" si="5">IF((B$11/(4*A109))&lt;81,((B$11/(2*A109))+1)*ERFC((SQRT(B$11/(4*A109))))-(((SQRT(B$11/(4*A109)))*2/(SQRT(PI()))*EXP(-(B$11/(4*A109))))),0)</f>
        <v>0.68614111935830735</v>
      </c>
    </row>
    <row r="110" spans="1:2" x14ac:dyDescent="0.2">
      <c r="A110">
        <f t="shared" si="4"/>
        <v>980</v>
      </c>
      <c r="B110">
        <f t="shared" si="5"/>
        <v>0.68751566578832002</v>
      </c>
    </row>
    <row r="111" spans="1:2" x14ac:dyDescent="0.2">
      <c r="A111">
        <f t="shared" si="4"/>
        <v>990</v>
      </c>
      <c r="B111">
        <f t="shared" si="5"/>
        <v>0.68887149791593871</v>
      </c>
    </row>
    <row r="112" spans="1:2" x14ac:dyDescent="0.2">
      <c r="A112">
        <f t="shared" si="4"/>
        <v>1000</v>
      </c>
      <c r="B112">
        <f t="shared" si="5"/>
        <v>0.69020904396876903</v>
      </c>
    </row>
  </sheetData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Contor</dc:creator>
  <cp:lastModifiedBy>Ryan Parsons</cp:lastModifiedBy>
  <dcterms:created xsi:type="dcterms:W3CDTF">2010-12-09T15:09:48Z</dcterms:created>
  <dcterms:modified xsi:type="dcterms:W3CDTF">2013-10-23T20:20:05Z</dcterms:modified>
</cp:coreProperties>
</file>