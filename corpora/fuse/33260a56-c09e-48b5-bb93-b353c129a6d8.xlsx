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saveExternalLinkValues="0" codeName="ThisWorkbook"/>
  <bookViews>
    <workbookView xWindow="-450" yWindow="2280" windowWidth="11430" windowHeight="3915" tabRatio="804" activeTab="2"/>
  </bookViews>
  <sheets>
    <sheet name="IN-ENG-27 1(2)" sheetId="4" r:id="rId1"/>
    <sheet name="IN-ENG-27 2(2)" sheetId="3" r:id="rId2"/>
    <sheet name="Con Spec CMP " sheetId="13" r:id="rId3"/>
  </sheets>
  <externalReferences>
    <externalReference r:id="rId4"/>
  </externalReferences>
  <definedNames>
    <definedName name="County">[1]Design!$C$5</definedName>
    <definedName name="Designer">[1]Design!$K$4</definedName>
    <definedName name="Landuser">[1]Design!$D$4</definedName>
    <definedName name="Location">'[1]IN-ENG-57L'!$F$22</definedName>
    <definedName name="OLE_LINK9" localSheetId="2">'Con Spec CMP '!$C$39</definedName>
    <definedName name="Range">'[1]IN-ENG-57L'!$R$22</definedName>
    <definedName name="Section">'[1]IN-ENG-57L'!$N$22</definedName>
    <definedName name="Township">'[1]IN-ENG-57L'!$P$22</definedName>
    <definedName name="UseLength">[1]Defaults!#REF!</definedName>
  </definedNames>
  <calcPr calcId="125725"/>
  <customWorkbookViews>
    <customWorkbookView name="B Clarizia - Personal View" guid="{6AB85D3C-4508-11D7-BBF3-00065B63C332}" mergeInterval="0" personalView="1" maximized="1" windowWidth="796" windowHeight="383" activeSheetId="1"/>
  </customWorkbookViews>
</workbook>
</file>

<file path=xl/calcChain.xml><?xml version="1.0" encoding="utf-8"?>
<calcChain xmlns="http://schemas.openxmlformats.org/spreadsheetml/2006/main">
  <c r="AX54" i="4"/>
  <c r="AP35" i="3"/>
  <c r="AF35"/>
  <c r="BG9" i="4"/>
  <c r="AK35" i="3" s="1"/>
  <c r="F37" i="4"/>
  <c r="AI2"/>
  <c r="R2"/>
  <c r="V54" i="13"/>
  <c r="BX54" s="1"/>
  <c r="V56"/>
  <c r="BX56" s="1"/>
  <c r="AF60"/>
  <c r="CH60" s="1"/>
  <c r="AA60"/>
  <c r="CC60" s="1"/>
  <c r="U60"/>
  <c r="BW60" s="1"/>
  <c r="Q58"/>
  <c r="BS58" s="1"/>
  <c r="CQ51"/>
  <c r="DC52"/>
  <c r="DC56"/>
  <c r="CZ52"/>
  <c r="AX52"/>
  <c r="AO51"/>
  <c r="AO53" i="3"/>
  <c r="AO51"/>
  <c r="V53"/>
  <c r="AO50"/>
  <c r="AX51"/>
  <c r="V55"/>
  <c r="Q57"/>
  <c r="U59"/>
  <c r="AA59"/>
  <c r="AF59"/>
  <c r="BA51"/>
  <c r="BA55"/>
  <c r="AP34" l="1"/>
  <c r="AP33"/>
</calcChain>
</file>

<file path=xl/sharedStrings.xml><?xml version="1.0" encoding="utf-8"?>
<sst xmlns="http://schemas.openxmlformats.org/spreadsheetml/2006/main" count="131" uniqueCount="71">
  <si>
    <t>Designed</t>
  </si>
  <si>
    <t>Date</t>
  </si>
  <si>
    <t>Drawn</t>
  </si>
  <si>
    <t>Title</t>
  </si>
  <si>
    <t>Checked</t>
  </si>
  <si>
    <t>Approved</t>
  </si>
  <si>
    <t>Sheet</t>
  </si>
  <si>
    <t>of</t>
  </si>
  <si>
    <t>ft.</t>
  </si>
  <si>
    <t>Excavation</t>
  </si>
  <si>
    <t>Earth Fill</t>
  </si>
  <si>
    <t>Pipe</t>
  </si>
  <si>
    <t>Riser</t>
  </si>
  <si>
    <t>Tile stub</t>
  </si>
  <si>
    <t>Animal guard</t>
  </si>
  <si>
    <t>Baffle plate</t>
  </si>
  <si>
    <t>Trash Rack</t>
  </si>
  <si>
    <t>Antiseep collar</t>
  </si>
  <si>
    <t>Concrete</t>
  </si>
  <si>
    <t>Seeding and mulching</t>
  </si>
  <si>
    <t>Cu. Yds</t>
  </si>
  <si>
    <t>inch diameter</t>
  </si>
  <si>
    <t>Lin. Ft.</t>
  </si>
  <si>
    <t>Each</t>
  </si>
  <si>
    <t>Acres</t>
  </si>
  <si>
    <t>UNIFIED SOIL CLASSIFICATION</t>
  </si>
  <si>
    <t>DEPTH FEET</t>
  </si>
  <si>
    <t>LOCATION OF BORINGS</t>
  </si>
  <si>
    <t>30"</t>
  </si>
  <si>
    <t>24"</t>
  </si>
  <si>
    <t>21"</t>
  </si>
  <si>
    <t>18"</t>
  </si>
  <si>
    <t>DIA. OF RISER IN INCHES</t>
  </si>
  <si>
    <t>CONCRETE, CU.YD.</t>
  </si>
  <si>
    <t>8 TO 12</t>
  </si>
  <si>
    <t>21 AND 24</t>
  </si>
  <si>
    <t>3-6</t>
  </si>
  <si>
    <t>4-0</t>
  </si>
  <si>
    <t>4-6</t>
  </si>
  <si>
    <t>LENGTH FEET</t>
  </si>
  <si>
    <t>RISER DIA.</t>
  </si>
  <si>
    <t xml:space="preserve">INLET PROPORTIONS (MIN.) </t>
  </si>
  <si>
    <t>ANTIVORTEX BAFFLE</t>
  </si>
  <si>
    <t xml:space="preserve">PIPE DIA. CONDUIT     </t>
  </si>
  <si>
    <t>2 1/2" X 2 1/2" X 1/4" ANGLE X     4-0</t>
  </si>
  <si>
    <t>QUANTITY REQUIRED</t>
  </si>
  <si>
    <t>1/2" STEEL SPLIT LOCKWASHERS</t>
  </si>
  <si>
    <t>1/2" NUTS</t>
  </si>
  <si>
    <t xml:space="preserve">      X        C.M. SHEET</t>
  </si>
  <si>
    <t>MATERIAL ITEMS</t>
  </si>
  <si>
    <t>C.M.</t>
  </si>
  <si>
    <t>2-0</t>
  </si>
  <si>
    <t>ESTIMATE OF MATERIALS</t>
  </si>
  <si>
    <t>CORRUGATED METAL PIPE DROP STRUCTURE</t>
  </si>
  <si>
    <t>Rip Rap</t>
  </si>
  <si>
    <t>Tons</t>
  </si>
  <si>
    <t>Landuser</t>
  </si>
  <si>
    <t>County SWCD, INDIANA</t>
  </si>
  <si>
    <t>Section</t>
  </si>
  <si>
    <t>T</t>
  </si>
  <si>
    <t>R</t>
  </si>
  <si>
    <t>DIMENSIONS (FEET)</t>
  </si>
  <si>
    <t>metal thickness 0.06" (16 ga.)</t>
  </si>
  <si>
    <t>metal thickness 0.06" (16 ga.) C.M.</t>
  </si>
  <si>
    <t>1/2" x 1 1/4" MACHINE BOLTS</t>
  </si>
  <si>
    <t>Location</t>
  </si>
  <si>
    <t>CONSTRUCTION SPECIFICATION CORRUGATED METAL PIPE</t>
  </si>
  <si>
    <t>DRAWING NO.  CONSTRUCTION SPECIFICATION CORRUGATED METAL PIPE.XLS (REV. 10/03)</t>
  </si>
  <si>
    <t>DRAWING NO. IN-ENG-27.XLS 1(2),(REV. 3/04)</t>
  </si>
  <si>
    <t>DRAWING NO. IN-ENG-27.XLS 2(2), (REV. 3/04)</t>
  </si>
  <si>
    <t>DRAWING NO. CONSTRUCTION SPECIFICATION CORRUGATED METAL PIPE.XLS (REV. 3/04)</t>
  </si>
</sst>
</file>

<file path=xl/styles.xml><?xml version="1.0" encoding="utf-8"?>
<styleSheet xmlns="http://schemas.openxmlformats.org/spreadsheetml/2006/main">
  <numFmts count="3">
    <numFmt numFmtId="164" formatCode="m/yy"/>
    <numFmt numFmtId="165" formatCode="0.0"/>
    <numFmt numFmtId="193" formatCode="0\-0"/>
  </numFmts>
  <fonts count="27">
    <font>
      <sz val="10"/>
      <name val="Arial"/>
    </font>
    <font>
      <b/>
      <sz val="14"/>
      <name val="Arial"/>
      <family val="2"/>
    </font>
    <font>
      <sz val="26"/>
      <name val="Arial"/>
      <family val="2"/>
    </font>
    <font>
      <i/>
      <sz val="8"/>
      <name val="Arial"/>
      <family val="2"/>
    </font>
    <font>
      <sz val="8"/>
      <name val="Arial"/>
      <family val="2"/>
    </font>
    <font>
      <i/>
      <sz val="6"/>
      <name val="Arial"/>
      <family val="2"/>
    </font>
    <font>
      <b/>
      <i/>
      <sz val="12"/>
      <name val="Arial"/>
      <family val="2"/>
    </font>
    <font>
      <u/>
      <sz val="10"/>
      <name val="Arial"/>
      <family val="2"/>
    </font>
    <font>
      <b/>
      <sz val="8"/>
      <name val="Times New Roman"/>
      <family val="1"/>
    </font>
    <font>
      <sz val="5"/>
      <name val="Arial"/>
      <family val="2"/>
    </font>
    <font>
      <i/>
      <sz val="5"/>
      <name val="Arial"/>
      <family val="2"/>
    </font>
    <font>
      <sz val="12"/>
      <name val="Arial"/>
      <family val="2"/>
    </font>
    <font>
      <sz val="7"/>
      <name val="Arial"/>
      <family val="2"/>
    </font>
    <font>
      <sz val="6"/>
      <name val="Arial"/>
      <family val="2"/>
    </font>
    <font>
      <b/>
      <sz val="6"/>
      <name val="Arial"/>
      <family val="2"/>
    </font>
    <font>
      <sz val="10"/>
      <name val="Arial"/>
      <family val="2"/>
    </font>
    <font>
      <sz val="9"/>
      <name val="Arial"/>
      <family val="2"/>
    </font>
    <font>
      <b/>
      <sz val="10"/>
      <name val="Arial"/>
      <family val="2"/>
    </font>
    <font>
      <b/>
      <sz val="9"/>
      <name val="Arial"/>
      <family val="2"/>
    </font>
    <font>
      <sz val="14"/>
      <name val="Arial"/>
      <family val="2"/>
    </font>
    <font>
      <sz val="9"/>
      <name val="Arial"/>
      <family val="2"/>
    </font>
    <font>
      <i/>
      <sz val="9"/>
      <name val="Arial"/>
      <family val="2"/>
    </font>
    <font>
      <sz val="9"/>
      <name val="Times New Roman"/>
      <family val="1"/>
    </font>
    <font>
      <sz val="8"/>
      <name val="Arial"/>
      <family val="2"/>
    </font>
    <font>
      <sz val="6"/>
      <name val="Arial"/>
      <family val="2"/>
    </font>
    <font>
      <sz val="8"/>
      <name val="Times New Roman"/>
      <family val="1"/>
    </font>
    <font>
      <i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6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dotted">
        <color indexed="64"/>
      </top>
      <bottom/>
      <diagonal/>
    </border>
    <border>
      <left/>
      <right/>
      <top/>
      <bottom style="dotted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94">
    <xf numFmtId="0" fontId="0" fillId="0" borderId="0" xfId="0"/>
    <xf numFmtId="0" fontId="0" fillId="0" borderId="0" xfId="0" applyAlignment="1"/>
    <xf numFmtId="0" fontId="5" fillId="0" borderId="0" xfId="0" applyFont="1"/>
    <xf numFmtId="0" fontId="0" fillId="0" borderId="0" xfId="0" applyBorder="1" applyAlignment="1" applyProtection="1">
      <alignment horizontal="center"/>
    </xf>
    <xf numFmtId="0" fontId="11" fillId="0" borderId="1" xfId="0" applyFont="1" applyBorder="1" applyAlignment="1" applyProtection="1">
      <alignment horizontal="center"/>
    </xf>
    <xf numFmtId="0" fontId="11" fillId="0" borderId="2" xfId="0" applyFont="1" applyBorder="1" applyAlignment="1" applyProtection="1">
      <alignment horizontal="center"/>
    </xf>
    <xf numFmtId="0" fontId="11" fillId="0" borderId="3" xfId="0" applyFont="1" applyBorder="1" applyAlignment="1" applyProtection="1">
      <alignment horizontal="center"/>
    </xf>
    <xf numFmtId="0" fontId="11" fillId="0" borderId="0" xfId="0" applyFont="1" applyProtection="1"/>
    <xf numFmtId="0" fontId="0" fillId="0" borderId="4" xfId="0" applyBorder="1" applyAlignment="1" applyProtection="1"/>
    <xf numFmtId="0" fontId="0" fillId="0" borderId="0" xfId="0" applyBorder="1" applyAlignment="1" applyProtection="1"/>
    <xf numFmtId="0" fontId="0" fillId="0" borderId="5" xfId="0" applyBorder="1" applyAlignment="1" applyProtection="1"/>
    <xf numFmtId="0" fontId="0" fillId="0" borderId="0" xfId="0" applyProtection="1"/>
    <xf numFmtId="0" fontId="0" fillId="0" borderId="4" xfId="0" applyBorder="1" applyAlignment="1" applyProtection="1">
      <alignment horizontal="center" vertical="top"/>
    </xf>
    <xf numFmtId="0" fontId="0" fillId="0" borderId="0" xfId="0" applyBorder="1" applyAlignment="1" applyProtection="1">
      <alignment horizontal="center" vertical="top"/>
    </xf>
    <xf numFmtId="0" fontId="2" fillId="0" borderId="0" xfId="0" applyFont="1" applyBorder="1" applyAlignment="1" applyProtection="1">
      <alignment horizontal="center" vertical="top"/>
    </xf>
    <xf numFmtId="0" fontId="2" fillId="0" borderId="5" xfId="0" applyFont="1" applyBorder="1" applyAlignment="1" applyProtection="1">
      <alignment horizontal="center" vertical="top"/>
    </xf>
    <xf numFmtId="0" fontId="0" fillId="0" borderId="4" xfId="0" applyBorder="1" applyAlignment="1" applyProtection="1">
      <alignment horizontal="center"/>
    </xf>
    <xf numFmtId="0" fontId="6" fillId="0" borderId="0" xfId="0" applyFont="1" applyBorder="1" applyAlignment="1" applyProtection="1">
      <alignment horizontal="center"/>
    </xf>
    <xf numFmtId="0" fontId="0" fillId="0" borderId="5" xfId="0" applyBorder="1" applyAlignment="1" applyProtection="1">
      <alignment horizontal="center"/>
    </xf>
    <xf numFmtId="0" fontId="0" fillId="0" borderId="5" xfId="0" applyBorder="1" applyAlignment="1" applyProtection="1">
      <alignment horizontal="center" vertical="top"/>
    </xf>
    <xf numFmtId="0" fontId="4" fillId="0" borderId="0" xfId="0" applyFont="1" applyBorder="1" applyAlignment="1" applyProtection="1"/>
    <xf numFmtId="0" fontId="4" fillId="0" borderId="5" xfId="0" applyFont="1" applyBorder="1" applyAlignment="1" applyProtection="1"/>
    <xf numFmtId="0" fontId="7" fillId="0" borderId="4" xfId="0" applyFont="1" applyBorder="1" applyAlignment="1" applyProtection="1">
      <alignment horizontal="left"/>
    </xf>
    <xf numFmtId="0" fontId="7" fillId="0" borderId="0" xfId="0" applyFont="1" applyBorder="1" applyAlignment="1" applyProtection="1">
      <alignment horizontal="left"/>
    </xf>
    <xf numFmtId="0" fontId="0" fillId="0" borderId="5" xfId="0" applyBorder="1" applyAlignment="1" applyProtection="1">
      <alignment textRotation="90"/>
    </xf>
    <xf numFmtId="0" fontId="0" fillId="0" borderId="4" xfId="0" applyBorder="1" applyAlignment="1" applyProtection="1">
      <alignment horizontal="left"/>
    </xf>
    <xf numFmtId="0" fontId="0" fillId="0" borderId="0" xfId="0" applyBorder="1" applyAlignment="1" applyProtection="1">
      <alignment horizontal="left"/>
    </xf>
    <xf numFmtId="0" fontId="6" fillId="0" borderId="5" xfId="0" applyFont="1" applyBorder="1" applyAlignment="1" applyProtection="1">
      <alignment horizontal="center"/>
    </xf>
    <xf numFmtId="0" fontId="3" fillId="0" borderId="5" xfId="0" applyFont="1" applyBorder="1" applyAlignment="1" applyProtection="1">
      <alignment horizontal="center"/>
    </xf>
    <xf numFmtId="0" fontId="8" fillId="0" borderId="5" xfId="0" applyFont="1" applyBorder="1" applyAlignment="1" applyProtection="1">
      <alignment horizontal="center"/>
    </xf>
    <xf numFmtId="0" fontId="0" fillId="0" borderId="4" xfId="0" applyBorder="1" applyAlignment="1" applyProtection="1">
      <alignment horizontal="left" vertical="top" wrapText="1"/>
    </xf>
    <xf numFmtId="0" fontId="0" fillId="0" borderId="0" xfId="0" applyBorder="1" applyAlignment="1" applyProtection="1">
      <alignment horizontal="left" vertical="top" wrapText="1"/>
    </xf>
    <xf numFmtId="0" fontId="0" fillId="0" borderId="0" xfId="0" applyBorder="1" applyProtection="1"/>
    <xf numFmtId="0" fontId="8" fillId="0" borderId="6" xfId="0" applyFont="1" applyBorder="1" applyAlignment="1" applyProtection="1">
      <alignment horizontal="center"/>
    </xf>
    <xf numFmtId="0" fontId="8" fillId="0" borderId="7" xfId="0" applyFont="1" applyBorder="1" applyAlignment="1" applyProtection="1">
      <alignment horizontal="center"/>
    </xf>
    <xf numFmtId="0" fontId="0" fillId="0" borderId="8" xfId="0" applyBorder="1" applyProtection="1"/>
    <xf numFmtId="0" fontId="12" fillId="0" borderId="9" xfId="0" applyFont="1" applyBorder="1" applyAlignment="1" applyProtection="1">
      <alignment horizontal="right" textRotation="90"/>
    </xf>
    <xf numFmtId="0" fontId="12" fillId="0" borderId="5" xfId="0" applyFont="1" applyBorder="1" applyAlignment="1" applyProtection="1">
      <alignment horizontal="right" textRotation="90"/>
    </xf>
    <xf numFmtId="0" fontId="0" fillId="0" borderId="10" xfId="0" applyBorder="1" applyProtection="1"/>
    <xf numFmtId="0" fontId="14" fillId="0" borderId="5" xfId="0" applyFont="1" applyBorder="1" applyAlignment="1" applyProtection="1">
      <alignment textRotation="90"/>
    </xf>
    <xf numFmtId="0" fontId="12" fillId="0" borderId="5" xfId="0" applyFont="1" applyBorder="1" applyAlignment="1" applyProtection="1">
      <alignment textRotation="90"/>
    </xf>
    <xf numFmtId="0" fontId="0" fillId="0" borderId="11" xfId="0" applyBorder="1" applyProtection="1"/>
    <xf numFmtId="0" fontId="0" fillId="0" borderId="12" xfId="0" applyBorder="1" applyProtection="1"/>
    <xf numFmtId="0" fontId="0" fillId="0" borderId="13" xfId="0" applyBorder="1" applyProtection="1"/>
    <xf numFmtId="0" fontId="0" fillId="0" borderId="12" xfId="0" applyBorder="1" applyAlignment="1" applyProtection="1"/>
    <xf numFmtId="0" fontId="12" fillId="0" borderId="14" xfId="0" applyFont="1" applyBorder="1" applyAlignment="1" applyProtection="1">
      <alignment textRotation="90"/>
    </xf>
    <xf numFmtId="0" fontId="5" fillId="0" borderId="0" xfId="0" applyFont="1" applyProtection="1"/>
    <xf numFmtId="0" fontId="0" fillId="0" borderId="0" xfId="0" applyAlignment="1" applyProtection="1"/>
    <xf numFmtId="0" fontId="11" fillId="0" borderId="5" xfId="0" applyFont="1" applyBorder="1" applyAlignment="1" applyProtection="1">
      <alignment horizontal="center"/>
    </xf>
    <xf numFmtId="0" fontId="11" fillId="0" borderId="1" xfId="0" applyFont="1" applyFill="1" applyBorder="1" applyAlignment="1" applyProtection="1">
      <alignment horizontal="center"/>
    </xf>
    <xf numFmtId="0" fontId="1" fillId="0" borderId="15" xfId="0" applyFont="1" applyBorder="1" applyAlignment="1" applyProtection="1">
      <alignment horizontal="center"/>
    </xf>
    <xf numFmtId="0" fontId="1" fillId="0" borderId="12" xfId="0" applyFont="1" applyBorder="1" applyAlignment="1" applyProtection="1">
      <alignment horizontal="center"/>
    </xf>
    <xf numFmtId="0" fontId="1" fillId="0" borderId="14" xfId="0" applyFont="1" applyBorder="1" applyAlignment="1" applyProtection="1">
      <alignment horizontal="center"/>
    </xf>
    <xf numFmtId="0" fontId="0" fillId="0" borderId="15" xfId="0" applyBorder="1" applyAlignment="1" applyProtection="1"/>
    <xf numFmtId="0" fontId="0" fillId="0" borderId="14" xfId="0" applyBorder="1" applyAlignment="1" applyProtection="1"/>
    <xf numFmtId="0" fontId="0" fillId="0" borderId="2" xfId="0" applyBorder="1" applyAlignment="1" applyProtection="1"/>
    <xf numFmtId="0" fontId="0" fillId="0" borderId="1" xfId="0" applyBorder="1" applyAlignment="1" applyProtection="1"/>
    <xf numFmtId="0" fontId="0" fillId="0" borderId="3" xfId="0" applyBorder="1" applyAlignment="1" applyProtection="1"/>
    <xf numFmtId="0" fontId="1" fillId="0" borderId="4" xfId="0" applyFont="1" applyBorder="1" applyAlignment="1" applyProtection="1">
      <alignment horizontal="center"/>
    </xf>
    <xf numFmtId="0" fontId="1" fillId="0" borderId="0" xfId="0" applyFont="1" applyBorder="1" applyAlignment="1" applyProtection="1">
      <alignment horizontal="center"/>
    </xf>
    <xf numFmtId="0" fontId="1" fillId="0" borderId="5" xfId="0" applyFont="1" applyBorder="1" applyAlignment="1" applyProtection="1">
      <alignment horizontal="center"/>
    </xf>
    <xf numFmtId="0" fontId="19" fillId="0" borderId="2" xfId="0" applyFont="1" applyBorder="1" applyAlignment="1" applyProtection="1"/>
    <xf numFmtId="0" fontId="19" fillId="0" borderId="1" xfId="0" applyFont="1" applyBorder="1" applyAlignment="1" applyProtection="1"/>
    <xf numFmtId="0" fontId="19" fillId="0" borderId="3" xfId="0" applyFont="1" applyBorder="1" applyAlignment="1" applyProtection="1"/>
    <xf numFmtId="0" fontId="15" fillId="0" borderId="0" xfId="0" applyFont="1" applyAlignment="1"/>
    <xf numFmtId="0" fontId="15" fillId="0" borderId="0" xfId="0" applyFont="1" applyAlignment="1" applyProtection="1"/>
    <xf numFmtId="0" fontId="0" fillId="0" borderId="0" xfId="0" applyFill="1" applyBorder="1" applyAlignment="1" applyProtection="1"/>
    <xf numFmtId="0" fontId="0" fillId="0" borderId="0" xfId="0" applyFill="1" applyBorder="1" applyAlignment="1" applyProtection="1">
      <alignment horizontal="center"/>
    </xf>
    <xf numFmtId="0" fontId="0" fillId="0" borderId="16" xfId="0" applyBorder="1" applyAlignment="1" applyProtection="1"/>
    <xf numFmtId="0" fontId="0" fillId="0" borderId="8" xfId="0" applyBorder="1" applyAlignment="1" applyProtection="1"/>
    <xf numFmtId="0" fontId="0" fillId="0" borderId="10" xfId="0" applyBorder="1" applyAlignment="1" applyProtection="1"/>
    <xf numFmtId="0" fontId="18" fillId="0" borderId="0" xfId="0" applyFont="1" applyBorder="1" applyAlignment="1" applyProtection="1"/>
    <xf numFmtId="0" fontId="16" fillId="0" borderId="0" xfId="0" applyFont="1" applyBorder="1" applyAlignment="1" applyProtection="1"/>
    <xf numFmtId="0" fontId="0" fillId="0" borderId="10" xfId="0" applyBorder="1" applyAlignment="1" applyProtection="1">
      <alignment horizontal="center"/>
    </xf>
    <xf numFmtId="0" fontId="0" fillId="0" borderId="6" xfId="0" applyBorder="1" applyAlignment="1" applyProtection="1"/>
    <xf numFmtId="0" fontId="0" fillId="0" borderId="17" xfId="0" applyBorder="1" applyAlignment="1" applyProtection="1"/>
    <xf numFmtId="0" fontId="16" fillId="0" borderId="2" xfId="0" applyFont="1" applyBorder="1" applyAlignment="1" applyProtection="1"/>
    <xf numFmtId="0" fontId="16" fillId="0" borderId="1" xfId="0" applyFont="1" applyBorder="1" applyAlignment="1" applyProtection="1"/>
    <xf numFmtId="0" fontId="16" fillId="0" borderId="3" xfId="0" applyFont="1" applyBorder="1" applyAlignment="1" applyProtection="1"/>
    <xf numFmtId="0" fontId="16" fillId="0" borderId="8" xfId="0" applyFont="1" applyBorder="1" applyAlignment="1" applyProtection="1"/>
    <xf numFmtId="0" fontId="16" fillId="0" borderId="0" xfId="0" applyFont="1" applyBorder="1" applyAlignment="1" applyProtection="1">
      <alignment horizontal="left"/>
    </xf>
    <xf numFmtId="0" fontId="16" fillId="0" borderId="8" xfId="0" applyFont="1" applyBorder="1" applyAlignment="1" applyProtection="1">
      <alignment horizontal="left"/>
    </xf>
    <xf numFmtId="0" fontId="0" fillId="0" borderId="6" xfId="0" applyBorder="1" applyProtection="1"/>
    <xf numFmtId="0" fontId="16" fillId="0" borderId="18" xfId="0" applyFont="1" applyBorder="1" applyAlignment="1" applyProtection="1"/>
    <xf numFmtId="0" fontId="16" fillId="0" borderId="8" xfId="0" applyFont="1" applyBorder="1" applyProtection="1"/>
    <xf numFmtId="0" fontId="16" fillId="0" borderId="10" xfId="0" applyFont="1" applyBorder="1" applyAlignment="1" applyProtection="1">
      <alignment horizontal="center" wrapText="1"/>
    </xf>
    <xf numFmtId="0" fontId="16" fillId="0" borderId="0" xfId="0" applyFont="1" applyProtection="1"/>
    <xf numFmtId="0" fontId="16" fillId="0" borderId="0" xfId="0" applyFont="1" applyFill="1" applyBorder="1" applyAlignment="1" applyProtection="1">
      <alignment horizontal="center" wrapText="1"/>
    </xf>
    <xf numFmtId="0" fontId="16" fillId="0" borderId="0" xfId="0" applyFont="1" applyFill="1" applyBorder="1" applyAlignment="1" applyProtection="1">
      <alignment wrapText="1"/>
    </xf>
    <xf numFmtId="0" fontId="16" fillId="0" borderId="10" xfId="0" applyFont="1" applyFill="1" applyBorder="1" applyAlignment="1" applyProtection="1">
      <alignment horizontal="center" wrapText="1"/>
    </xf>
    <xf numFmtId="0" fontId="15" fillId="0" borderId="0" xfId="0" applyFont="1" applyBorder="1" applyAlignment="1" applyProtection="1">
      <alignment horizontal="center"/>
    </xf>
    <xf numFmtId="0" fontId="15" fillId="0" borderId="4" xfId="0" applyFont="1" applyBorder="1" applyAlignment="1" applyProtection="1">
      <alignment horizontal="center"/>
    </xf>
    <xf numFmtId="0" fontId="9" fillId="0" borderId="19" xfId="0" applyFont="1" applyBorder="1" applyAlignment="1" applyProtection="1">
      <alignment horizontal="center" vertical="top"/>
    </xf>
    <xf numFmtId="0" fontId="9" fillId="0" borderId="19" xfId="0" applyFont="1" applyBorder="1" applyAlignment="1" applyProtection="1">
      <alignment horizontal="left"/>
    </xf>
    <xf numFmtId="0" fontId="18" fillId="0" borderId="10" xfId="0" applyFont="1" applyBorder="1" applyAlignment="1" applyProtection="1">
      <alignment horizontal="center" vertical="center" wrapText="1"/>
    </xf>
    <xf numFmtId="0" fontId="9" fillId="0" borderId="0" xfId="0" applyFont="1" applyBorder="1" applyAlignment="1" applyProtection="1">
      <alignment horizontal="left"/>
    </xf>
    <xf numFmtId="0" fontId="16" fillId="0" borderId="0" xfId="0" applyFont="1" applyBorder="1" applyAlignment="1" applyProtection="1">
      <alignment horizontal="left" wrapText="1"/>
    </xf>
    <xf numFmtId="0" fontId="15" fillId="0" borderId="0" xfId="0" applyFont="1" applyBorder="1" applyAlignment="1" applyProtection="1"/>
    <xf numFmtId="0" fontId="10" fillId="0" borderId="19" xfId="0" applyFont="1" applyBorder="1" applyAlignment="1" applyProtection="1">
      <alignment horizontal="center"/>
    </xf>
    <xf numFmtId="0" fontId="16" fillId="0" borderId="0" xfId="0" applyFont="1" applyBorder="1" applyProtection="1"/>
    <xf numFmtId="0" fontId="16" fillId="0" borderId="0" xfId="0" applyFont="1" applyBorder="1" applyAlignment="1" applyProtection="1">
      <alignment wrapText="1"/>
    </xf>
    <xf numFmtId="0" fontId="16" fillId="0" borderId="0" xfId="0" applyNumberFormat="1" applyFont="1" applyBorder="1" applyAlignment="1" applyProtection="1">
      <alignment wrapText="1"/>
    </xf>
    <xf numFmtId="0" fontId="16" fillId="0" borderId="4" xfId="0" applyFont="1" applyBorder="1" applyAlignment="1" applyProtection="1"/>
    <xf numFmtId="0" fontId="16" fillId="0" borderId="0" xfId="0" applyFont="1" applyBorder="1" applyAlignment="1" applyProtection="1">
      <alignment horizontal="justify" wrapText="1"/>
    </xf>
    <xf numFmtId="0" fontId="16" fillId="0" borderId="5" xfId="0" applyFont="1" applyBorder="1" applyAlignment="1" applyProtection="1"/>
    <xf numFmtId="0" fontId="16" fillId="0" borderId="4" xfId="0" applyFont="1" applyBorder="1" applyAlignment="1" applyProtection="1">
      <alignment vertical="top"/>
    </xf>
    <xf numFmtId="0" fontId="16" fillId="0" borderId="0" xfId="0" applyFont="1" applyBorder="1" applyAlignment="1" applyProtection="1">
      <alignment vertical="top"/>
    </xf>
    <xf numFmtId="0" fontId="16" fillId="0" borderId="5" xfId="0" applyFont="1" applyBorder="1" applyAlignment="1" applyProtection="1">
      <alignment vertical="top"/>
    </xf>
    <xf numFmtId="0" fontId="16" fillId="0" borderId="0" xfId="0" applyFont="1" applyBorder="1" applyAlignment="1" applyProtection="1">
      <alignment horizontal="left" vertical="center" wrapText="1"/>
    </xf>
    <xf numFmtId="0" fontId="16" fillId="0" borderId="0" xfId="0" applyFont="1" applyBorder="1" applyAlignment="1" applyProtection="1">
      <alignment horizontal="justify"/>
    </xf>
    <xf numFmtId="0" fontId="0" fillId="0" borderId="0" xfId="0" applyBorder="1" applyAlignment="1" applyProtection="1">
      <alignment horizontal="left" wrapText="1"/>
    </xf>
    <xf numFmtId="0" fontId="16" fillId="0" borderId="0" xfId="0" applyNumberFormat="1" applyFont="1" applyBorder="1" applyAlignment="1" applyProtection="1">
      <alignment horizontal="justify" vertical="top" wrapText="1"/>
    </xf>
    <xf numFmtId="0" fontId="16" fillId="0" borderId="0" xfId="0" applyFont="1" applyBorder="1" applyAlignment="1" applyProtection="1">
      <alignment vertical="center" wrapText="1"/>
    </xf>
    <xf numFmtId="0" fontId="16" fillId="0" borderId="0" xfId="0" quotePrefix="1" applyFont="1" applyBorder="1" applyAlignment="1" applyProtection="1"/>
    <xf numFmtId="0" fontId="16" fillId="0" borderId="0" xfId="0" applyNumberFormat="1" applyFont="1" applyBorder="1" applyAlignment="1" applyProtection="1">
      <alignment vertical="center" wrapText="1"/>
    </xf>
    <xf numFmtId="0" fontId="20" fillId="0" borderId="4" xfId="0" applyFont="1" applyBorder="1" applyAlignment="1" applyProtection="1"/>
    <xf numFmtId="0" fontId="20" fillId="0" borderId="0" xfId="0" applyFont="1" applyBorder="1" applyAlignment="1" applyProtection="1"/>
    <xf numFmtId="0" fontId="21" fillId="0" borderId="0" xfId="0" applyFont="1" applyBorder="1" applyAlignment="1" applyProtection="1"/>
    <xf numFmtId="0" fontId="21" fillId="0" borderId="5" xfId="0" applyFont="1" applyBorder="1" applyAlignment="1" applyProtection="1"/>
    <xf numFmtId="0" fontId="20" fillId="0" borderId="0" xfId="0" applyNumberFormat="1" applyFont="1" applyBorder="1" applyAlignment="1" applyProtection="1">
      <alignment wrapText="1"/>
    </xf>
    <xf numFmtId="0" fontId="0" fillId="0" borderId="0" xfId="0" applyBorder="1" applyAlignment="1" applyProtection="1">
      <alignment wrapText="1"/>
    </xf>
    <xf numFmtId="0" fontId="22" fillId="0" borderId="5" xfId="0" applyFont="1" applyBorder="1" applyAlignment="1" applyProtection="1"/>
    <xf numFmtId="0" fontId="20" fillId="0" borderId="4" xfId="0" applyFont="1" applyBorder="1" applyAlignment="1" applyProtection="1">
      <alignment vertical="top" wrapText="1"/>
    </xf>
    <xf numFmtId="0" fontId="20" fillId="0" borderId="0" xfId="0" applyFont="1" applyBorder="1" applyAlignment="1" applyProtection="1">
      <alignment vertical="top" wrapText="1"/>
    </xf>
    <xf numFmtId="0" fontId="0" fillId="0" borderId="6" xfId="0" applyBorder="1" applyAlignment="1" applyProtection="1">
      <alignment wrapText="1"/>
    </xf>
    <xf numFmtId="0" fontId="22" fillId="0" borderId="7" xfId="0" applyFont="1" applyBorder="1" applyAlignment="1" applyProtection="1"/>
    <xf numFmtId="0" fontId="0" fillId="0" borderId="0" xfId="0" applyBorder="1" applyAlignment="1" applyProtection="1">
      <alignment vertical="center" wrapText="1"/>
    </xf>
    <xf numFmtId="0" fontId="22" fillId="0" borderId="6" xfId="0" applyFont="1" applyBorder="1" applyAlignment="1" applyProtection="1"/>
    <xf numFmtId="0" fontId="4" fillId="0" borderId="0" xfId="0" applyFont="1" applyBorder="1" applyAlignment="1" applyProtection="1">
      <alignment horizontal="center"/>
    </xf>
    <xf numFmtId="0" fontId="4" fillId="0" borderId="0" xfId="0" applyFont="1" applyBorder="1" applyAlignment="1" applyProtection="1">
      <alignment horizontal="center" vertical="center" wrapText="1"/>
    </xf>
    <xf numFmtId="0" fontId="25" fillId="0" borderId="0" xfId="0" applyFont="1" applyBorder="1" applyAlignment="1" applyProtection="1">
      <alignment horizontal="center"/>
    </xf>
    <xf numFmtId="0" fontId="10" fillId="0" borderId="19" xfId="0" applyFont="1" applyFill="1" applyBorder="1" applyAlignment="1" applyProtection="1">
      <alignment horizontal="center"/>
    </xf>
    <xf numFmtId="0" fontId="0" fillId="0" borderId="6" xfId="0" applyFill="1" applyBorder="1" applyAlignment="1" applyProtection="1">
      <alignment horizontal="center"/>
      <protection locked="0"/>
    </xf>
    <xf numFmtId="165" fontId="0" fillId="0" borderId="0" xfId="0" applyNumberFormat="1" applyProtection="1"/>
    <xf numFmtId="0" fontId="0" fillId="0" borderId="32" xfId="0" applyFill="1" applyBorder="1" applyAlignment="1" applyProtection="1">
      <alignment vertical="center" textRotation="90"/>
      <protection locked="0"/>
    </xf>
    <xf numFmtId="164" fontId="13" fillId="0" borderId="0" xfId="0" applyNumberFormat="1" applyFont="1" applyBorder="1" applyAlignment="1" applyProtection="1">
      <alignment horizontal="center"/>
    </xf>
    <xf numFmtId="164" fontId="13" fillId="0" borderId="21" xfId="0" applyNumberFormat="1" applyFont="1" applyBorder="1" applyAlignment="1" applyProtection="1">
      <alignment horizontal="center"/>
    </xf>
    <xf numFmtId="0" fontId="0" fillId="0" borderId="0" xfId="0" applyBorder="1" applyAlignment="1" applyProtection="1">
      <alignment horizontal="center"/>
    </xf>
    <xf numFmtId="0" fontId="0" fillId="0" borderId="21" xfId="0" applyBorder="1" applyAlignment="1" applyProtection="1">
      <alignment horizontal="center"/>
    </xf>
    <xf numFmtId="165" fontId="0" fillId="0" borderId="6" xfId="0" applyNumberFormat="1" applyFill="1" applyBorder="1" applyAlignment="1" applyProtection="1">
      <alignment horizontal="center" shrinkToFit="1"/>
      <protection locked="0"/>
    </xf>
    <xf numFmtId="0" fontId="0" fillId="2" borderId="30" xfId="0" applyFill="1" applyBorder="1" applyAlignment="1" applyProtection="1">
      <alignment horizontal="center"/>
      <protection locked="0"/>
    </xf>
    <xf numFmtId="0" fontId="0" fillId="2" borderId="25" xfId="0" applyFill="1" applyBorder="1" applyAlignment="1" applyProtection="1">
      <alignment horizontal="center"/>
      <protection locked="0"/>
    </xf>
    <xf numFmtId="193" fontId="0" fillId="0" borderId="6" xfId="0" applyNumberFormat="1" applyFill="1" applyBorder="1" applyAlignment="1" applyProtection="1">
      <alignment horizontal="center"/>
      <protection locked="0"/>
    </xf>
    <xf numFmtId="0" fontId="10" fillId="0" borderId="20" xfId="0" applyFont="1" applyBorder="1" applyAlignment="1" applyProtection="1">
      <alignment horizontal="center"/>
    </xf>
    <xf numFmtId="0" fontId="10" fillId="0" borderId="21" xfId="0" applyFont="1" applyBorder="1" applyAlignment="1" applyProtection="1">
      <alignment horizontal="center"/>
    </xf>
    <xf numFmtId="0" fontId="15" fillId="2" borderId="25" xfId="0" applyFont="1" applyFill="1" applyBorder="1" applyAlignment="1" applyProtection="1">
      <alignment horizontal="center"/>
      <protection locked="0"/>
    </xf>
    <xf numFmtId="0" fontId="15" fillId="2" borderId="26" xfId="0" applyFont="1" applyFill="1" applyBorder="1" applyAlignment="1" applyProtection="1">
      <alignment horizontal="center"/>
      <protection locked="0"/>
    </xf>
    <xf numFmtId="0" fontId="12" fillId="0" borderId="8" xfId="0" applyFont="1" applyBorder="1" applyAlignment="1" applyProtection="1">
      <alignment textRotation="90"/>
    </xf>
    <xf numFmtId="0" fontId="12" fillId="0" borderId="11" xfId="0" applyFont="1" applyBorder="1" applyAlignment="1" applyProtection="1">
      <alignment textRotation="90"/>
    </xf>
    <xf numFmtId="0" fontId="9" fillId="0" borderId="0" xfId="0" applyFont="1" applyBorder="1" applyAlignment="1" applyProtection="1">
      <alignment horizontal="left"/>
    </xf>
    <xf numFmtId="0" fontId="0" fillId="0" borderId="27" xfId="0" applyFill="1" applyBorder="1" applyAlignment="1" applyProtection="1"/>
    <xf numFmtId="0" fontId="0" fillId="2" borderId="34" xfId="0" applyFill="1" applyBorder="1" applyAlignment="1" applyProtection="1">
      <alignment horizontal="center"/>
      <protection locked="0"/>
    </xf>
    <xf numFmtId="0" fontId="0" fillId="2" borderId="33" xfId="0" applyFill="1" applyBorder="1" applyAlignment="1" applyProtection="1">
      <alignment horizontal="center"/>
      <protection locked="0"/>
    </xf>
    <xf numFmtId="0" fontId="15" fillId="2" borderId="33" xfId="0" applyFont="1" applyFill="1" applyBorder="1" applyAlignment="1" applyProtection="1">
      <alignment horizontal="center" vertical="top"/>
      <protection locked="0"/>
    </xf>
    <xf numFmtId="0" fontId="15" fillId="2" borderId="35" xfId="0" applyFont="1" applyFill="1" applyBorder="1" applyAlignment="1" applyProtection="1">
      <alignment horizontal="center" vertical="top"/>
      <protection locked="0"/>
    </xf>
    <xf numFmtId="0" fontId="9" fillId="0" borderId="19" xfId="0" applyFont="1" applyBorder="1" applyAlignment="1" applyProtection="1">
      <alignment horizontal="center" vertical="top"/>
    </xf>
    <xf numFmtId="0" fontId="16" fillId="0" borderId="6" xfId="0" applyFont="1" applyFill="1" applyBorder="1" applyAlignment="1" applyProtection="1">
      <alignment horizontal="center"/>
      <protection locked="0"/>
    </xf>
    <xf numFmtId="0" fontId="0" fillId="0" borderId="27" xfId="0" quotePrefix="1" applyNumberFormat="1" applyFill="1" applyBorder="1" applyAlignment="1" applyProtection="1">
      <alignment horizontal="center"/>
      <protection locked="0"/>
    </xf>
    <xf numFmtId="0" fontId="15" fillId="0" borderId="0" xfId="0" applyFont="1" applyBorder="1" applyAlignment="1" applyProtection="1">
      <alignment horizontal="left"/>
    </xf>
    <xf numFmtId="0" fontId="0" fillId="2" borderId="35" xfId="0" applyFill="1" applyBorder="1" applyAlignment="1" applyProtection="1">
      <alignment horizontal="center"/>
      <protection locked="0"/>
    </xf>
    <xf numFmtId="0" fontId="0" fillId="2" borderId="23" xfId="0" applyFill="1" applyBorder="1" applyAlignment="1" applyProtection="1">
      <alignment horizontal="center"/>
      <protection locked="0"/>
    </xf>
    <xf numFmtId="0" fontId="0" fillId="0" borderId="6" xfId="0" applyFill="1" applyBorder="1" applyAlignment="1" applyProtection="1">
      <alignment horizontal="center" shrinkToFit="1"/>
      <protection locked="0"/>
    </xf>
    <xf numFmtId="0" fontId="0" fillId="2" borderId="24" xfId="0" applyFill="1" applyBorder="1" applyAlignment="1" applyProtection="1">
      <alignment horizontal="center"/>
      <protection locked="0"/>
    </xf>
    <xf numFmtId="0" fontId="0" fillId="0" borderId="6" xfId="0" applyNumberFormat="1" applyFill="1" applyBorder="1" applyAlignment="1" applyProtection="1">
      <alignment horizontal="center" shrinkToFit="1"/>
      <protection locked="0"/>
    </xf>
    <xf numFmtId="0" fontId="15" fillId="0" borderId="6" xfId="0" applyNumberFormat="1" applyFont="1" applyFill="1" applyBorder="1" applyAlignment="1" applyProtection="1">
      <alignment horizontal="center"/>
      <protection locked="0"/>
    </xf>
    <xf numFmtId="0" fontId="13" fillId="0" borderId="5" xfId="0" applyFont="1" applyBorder="1" applyAlignment="1" applyProtection="1">
      <alignment textRotation="90"/>
    </xf>
    <xf numFmtId="0" fontId="0" fillId="0" borderId="5" xfId="0" applyBorder="1" applyAlignment="1" applyProtection="1">
      <alignment textRotation="90"/>
    </xf>
    <xf numFmtId="2" fontId="0" fillId="0" borderId="31" xfId="0" applyNumberFormat="1" applyBorder="1" applyAlignment="1" applyProtection="1">
      <alignment horizontal="center" wrapText="1"/>
    </xf>
    <xf numFmtId="2" fontId="0" fillId="0" borderId="19" xfId="0" applyNumberFormat="1" applyBorder="1" applyAlignment="1" applyProtection="1">
      <alignment horizontal="center" wrapText="1"/>
    </xf>
    <xf numFmtId="2" fontId="0" fillId="0" borderId="22" xfId="0" applyNumberFormat="1" applyBorder="1" applyAlignment="1" applyProtection="1">
      <alignment horizontal="center" wrapText="1"/>
    </xf>
    <xf numFmtId="2" fontId="0" fillId="0" borderId="4" xfId="0" applyNumberFormat="1" applyBorder="1" applyAlignment="1" applyProtection="1">
      <alignment horizontal="center" wrapText="1"/>
    </xf>
    <xf numFmtId="2" fontId="0" fillId="0" borderId="0" xfId="0" applyNumberFormat="1" applyBorder="1" applyAlignment="1" applyProtection="1">
      <alignment horizontal="center" wrapText="1"/>
    </xf>
    <xf numFmtId="2" fontId="0" fillId="0" borderId="10" xfId="0" applyNumberFormat="1" applyBorder="1" applyAlignment="1" applyProtection="1">
      <alignment horizontal="center" wrapText="1"/>
    </xf>
    <xf numFmtId="2" fontId="0" fillId="0" borderId="15" xfId="0" applyNumberFormat="1" applyBorder="1" applyAlignment="1" applyProtection="1">
      <alignment horizontal="center" wrapText="1"/>
    </xf>
    <xf numFmtId="2" fontId="0" fillId="0" borderId="12" xfId="0" applyNumberFormat="1" applyBorder="1" applyAlignment="1" applyProtection="1">
      <alignment horizontal="center" wrapText="1"/>
    </xf>
    <xf numFmtId="2" fontId="0" fillId="0" borderId="13" xfId="0" applyNumberFormat="1" applyBorder="1" applyAlignment="1" applyProtection="1">
      <alignment horizontal="center" wrapText="1"/>
    </xf>
    <xf numFmtId="0" fontId="0" fillId="0" borderId="27" xfId="0" applyNumberFormat="1" applyFill="1" applyBorder="1" applyAlignment="1" applyProtection="1">
      <alignment horizontal="center"/>
      <protection locked="0"/>
    </xf>
    <xf numFmtId="0" fontId="16" fillId="0" borderId="8" xfId="0" applyFont="1" applyFill="1" applyBorder="1" applyAlignment="1" applyProtection="1">
      <alignment horizontal="center" wrapText="1"/>
    </xf>
    <xf numFmtId="0" fontId="16" fillId="0" borderId="0" xfId="0" applyFont="1" applyFill="1" applyBorder="1" applyAlignment="1" applyProtection="1">
      <alignment horizontal="center" wrapText="1"/>
    </xf>
    <xf numFmtId="0" fontId="16" fillId="0" borderId="6" xfId="0" applyFont="1" applyFill="1" applyBorder="1" applyAlignment="1" applyProtection="1">
      <alignment horizontal="center" wrapText="1"/>
      <protection locked="0"/>
    </xf>
    <xf numFmtId="0" fontId="16" fillId="0" borderId="8" xfId="0" applyFont="1" applyBorder="1" applyAlignment="1" applyProtection="1">
      <alignment horizontal="center" wrapText="1"/>
    </xf>
    <xf numFmtId="0" fontId="18" fillId="0" borderId="0" xfId="0" applyFont="1" applyBorder="1" applyAlignment="1" applyProtection="1">
      <alignment horizontal="center" wrapText="1"/>
    </xf>
    <xf numFmtId="0" fontId="18" fillId="0" borderId="8" xfId="0" applyFont="1" applyBorder="1" applyAlignment="1" applyProtection="1">
      <alignment horizontal="center" wrapText="1"/>
    </xf>
    <xf numFmtId="0" fontId="21" fillId="0" borderId="19" xfId="0" applyFont="1" applyBorder="1" applyAlignment="1" applyProtection="1">
      <alignment horizontal="left" wrapText="1"/>
    </xf>
    <xf numFmtId="0" fontId="21" fillId="0" borderId="10" xfId="0" applyFont="1" applyBorder="1" applyAlignment="1" applyProtection="1">
      <alignment horizontal="left" wrapText="1"/>
    </xf>
    <xf numFmtId="0" fontId="21" fillId="0" borderId="0" xfId="0" applyFont="1" applyBorder="1" applyAlignment="1" applyProtection="1">
      <alignment horizontal="left" wrapText="1"/>
    </xf>
    <xf numFmtId="0" fontId="16" fillId="0" borderId="0" xfId="0" applyFont="1" applyFill="1" applyBorder="1" applyAlignment="1" applyProtection="1">
      <alignment horizontal="center" wrapText="1"/>
      <protection locked="0"/>
    </xf>
    <xf numFmtId="0" fontId="16" fillId="0" borderId="8" xfId="0" applyFont="1" applyFill="1" applyBorder="1" applyAlignment="1" applyProtection="1">
      <alignment horizontal="center" wrapText="1"/>
      <protection locked="0"/>
    </xf>
    <xf numFmtId="0" fontId="17" fillId="0" borderId="16" xfId="0" applyFont="1" applyBorder="1" applyAlignment="1" applyProtection="1">
      <alignment horizontal="center"/>
    </xf>
    <xf numFmtId="0" fontId="0" fillId="0" borderId="27" xfId="0" applyBorder="1" applyAlignment="1" applyProtection="1">
      <alignment horizontal="center"/>
    </xf>
    <xf numFmtId="0" fontId="0" fillId="0" borderId="28" xfId="0" applyBorder="1" applyAlignment="1" applyProtection="1">
      <alignment horizontal="center"/>
    </xf>
    <xf numFmtId="0" fontId="15" fillId="0" borderId="6" xfId="0" applyFont="1" applyFill="1" applyBorder="1" applyAlignment="1" applyProtection="1">
      <alignment horizontal="center"/>
      <protection locked="0"/>
    </xf>
    <xf numFmtId="0" fontId="0" fillId="0" borderId="6" xfId="0" applyFill="1" applyBorder="1" applyAlignment="1" applyProtection="1">
      <alignment horizontal="center"/>
      <protection locked="0"/>
    </xf>
    <xf numFmtId="0" fontId="0" fillId="0" borderId="29" xfId="0" applyBorder="1" applyAlignment="1" applyProtection="1">
      <alignment horizontal="center" wrapText="1"/>
    </xf>
    <xf numFmtId="0" fontId="0" fillId="0" borderId="23" xfId="0" applyBorder="1" applyAlignment="1" applyProtection="1">
      <alignment horizontal="center" wrapText="1"/>
    </xf>
    <xf numFmtId="0" fontId="0" fillId="0" borderId="30" xfId="0" applyBorder="1" applyAlignment="1" applyProtection="1">
      <alignment horizontal="center" wrapText="1"/>
    </xf>
    <xf numFmtId="0" fontId="0" fillId="0" borderId="25" xfId="0" applyBorder="1" applyAlignment="1" applyProtection="1">
      <alignment horizontal="center" wrapText="1"/>
    </xf>
    <xf numFmtId="0" fontId="0" fillId="0" borderId="6" xfId="0" applyNumberFormat="1" applyFill="1" applyBorder="1" applyAlignment="1" applyProtection="1">
      <alignment horizontal="center"/>
      <protection locked="0"/>
    </xf>
    <xf numFmtId="17" fontId="0" fillId="0" borderId="27" xfId="0" quotePrefix="1" applyNumberFormat="1" applyFill="1" applyBorder="1" applyAlignment="1" applyProtection="1">
      <alignment horizontal="center"/>
      <protection locked="0"/>
    </xf>
    <xf numFmtId="0" fontId="0" fillId="0" borderId="27" xfId="0" applyFill="1" applyBorder="1" applyAlignment="1" applyProtection="1">
      <alignment horizontal="center"/>
      <protection locked="0"/>
    </xf>
    <xf numFmtId="0" fontId="16" fillId="0" borderId="23" xfId="0" applyFont="1" applyBorder="1" applyAlignment="1" applyProtection="1">
      <alignment horizontal="center" wrapText="1"/>
    </xf>
    <xf numFmtId="0" fontId="16" fillId="0" borderId="24" xfId="0" applyFont="1" applyBorder="1" applyAlignment="1" applyProtection="1">
      <alignment horizontal="center" wrapText="1"/>
    </xf>
    <xf numFmtId="0" fontId="16" fillId="0" borderId="25" xfId="0" applyFont="1" applyBorder="1" applyAlignment="1" applyProtection="1">
      <alignment horizontal="center" wrapText="1"/>
    </xf>
    <xf numFmtId="0" fontId="16" fillId="0" borderId="26" xfId="0" applyFont="1" applyBorder="1" applyAlignment="1" applyProtection="1">
      <alignment horizontal="center" wrapText="1"/>
    </xf>
    <xf numFmtId="0" fontId="15" fillId="2" borderId="29" xfId="0" applyFont="1" applyFill="1" applyBorder="1" applyAlignment="1" applyProtection="1">
      <alignment horizontal="center"/>
      <protection locked="0"/>
    </xf>
    <xf numFmtId="0" fontId="16" fillId="0" borderId="8" xfId="0" applyFont="1" applyBorder="1" applyAlignment="1" applyProtection="1">
      <alignment horizontal="center" vertical="center" wrapText="1"/>
    </xf>
    <xf numFmtId="0" fontId="16" fillId="0" borderId="0" xfId="0" applyFont="1" applyBorder="1" applyAlignment="1" applyProtection="1">
      <alignment horizontal="center" vertical="center" wrapText="1"/>
    </xf>
    <xf numFmtId="0" fontId="16" fillId="0" borderId="0" xfId="0" applyFont="1" applyFill="1" applyBorder="1" applyAlignment="1" applyProtection="1">
      <alignment horizontal="center" vertical="center" wrapText="1"/>
      <protection locked="0"/>
    </xf>
    <xf numFmtId="0" fontId="16" fillId="0" borderId="6" xfId="0" applyFont="1" applyFill="1" applyBorder="1" applyAlignment="1" applyProtection="1">
      <alignment horizontal="center" vertical="center" wrapText="1"/>
      <protection locked="0"/>
    </xf>
    <xf numFmtId="0" fontId="18" fillId="0" borderId="9" xfId="0" applyFont="1" applyBorder="1" applyAlignment="1" applyProtection="1">
      <alignment horizontal="center" vertical="center" wrapText="1"/>
    </xf>
    <xf numFmtId="0" fontId="18" fillId="0" borderId="19" xfId="0" applyFont="1" applyBorder="1" applyAlignment="1" applyProtection="1">
      <alignment horizontal="center" vertical="center" wrapText="1"/>
    </xf>
    <xf numFmtId="0" fontId="18" fillId="0" borderId="22" xfId="0" applyFont="1" applyBorder="1" applyAlignment="1" applyProtection="1">
      <alignment horizontal="center" vertical="center" wrapText="1"/>
    </xf>
    <xf numFmtId="0" fontId="18" fillId="0" borderId="8" xfId="0" applyFont="1" applyBorder="1" applyAlignment="1" applyProtection="1">
      <alignment horizontal="center" vertical="center" wrapText="1"/>
    </xf>
    <xf numFmtId="0" fontId="18" fillId="0" borderId="0" xfId="0" applyFont="1" applyBorder="1" applyAlignment="1" applyProtection="1">
      <alignment horizontal="center" vertical="center" wrapText="1"/>
    </xf>
    <xf numFmtId="0" fontId="18" fillId="0" borderId="10" xfId="0" applyFont="1" applyBorder="1" applyAlignment="1" applyProtection="1">
      <alignment horizontal="center" vertical="center" wrapText="1"/>
    </xf>
    <xf numFmtId="0" fontId="0" fillId="0" borderId="20" xfId="0" applyBorder="1" applyAlignment="1" applyProtection="1">
      <alignment horizontal="center"/>
    </xf>
    <xf numFmtId="0" fontId="10" fillId="0" borderId="0" xfId="0" applyFont="1" applyFill="1" applyBorder="1" applyAlignment="1" applyProtection="1">
      <alignment horizontal="center"/>
      <protection locked="0"/>
    </xf>
    <xf numFmtId="0" fontId="10" fillId="0" borderId="21" xfId="0" applyFont="1" applyFill="1" applyBorder="1" applyAlignment="1" applyProtection="1">
      <alignment horizontal="center"/>
      <protection locked="0"/>
    </xf>
    <xf numFmtId="0" fontId="14" fillId="0" borderId="8" xfId="0" applyFont="1" applyBorder="1" applyAlignment="1" applyProtection="1">
      <alignment textRotation="90"/>
    </xf>
    <xf numFmtId="0" fontId="10" fillId="0" borderId="0" xfId="0" applyFont="1" applyBorder="1" applyAlignment="1" applyProtection="1">
      <alignment horizontal="center"/>
    </xf>
    <xf numFmtId="0" fontId="4" fillId="0" borderId="33" xfId="0" quotePrefix="1" applyFont="1" applyBorder="1" applyAlignment="1" applyProtection="1">
      <alignment horizontal="center" vertical="center"/>
    </xf>
    <xf numFmtId="0" fontId="4" fillId="0" borderId="33" xfId="0" applyFont="1" applyBorder="1" applyAlignment="1" applyProtection="1">
      <alignment horizontal="center" vertical="center"/>
    </xf>
    <xf numFmtId="0" fontId="0" fillId="0" borderId="16" xfId="0" applyBorder="1" applyAlignment="1" applyProtection="1">
      <alignment horizontal="center"/>
    </xf>
    <xf numFmtId="0" fontId="0" fillId="0" borderId="6" xfId="0" applyFill="1" applyBorder="1" applyAlignment="1" applyProtection="1">
      <alignment horizontal="center" vertical="top"/>
      <protection locked="0"/>
    </xf>
    <xf numFmtId="0" fontId="4" fillId="0" borderId="33" xfId="0" applyFont="1" applyBorder="1" applyAlignment="1" applyProtection="1">
      <alignment horizontal="center"/>
    </xf>
    <xf numFmtId="0" fontId="4" fillId="0" borderId="16" xfId="0" applyFont="1" applyBorder="1" applyAlignment="1" applyProtection="1">
      <alignment horizontal="center" vertical="center"/>
    </xf>
    <xf numFmtId="0" fontId="4" fillId="0" borderId="27" xfId="0" applyFont="1" applyBorder="1" applyAlignment="1" applyProtection="1">
      <alignment horizontal="center" vertical="center"/>
    </xf>
    <xf numFmtId="0" fontId="4" fillId="0" borderId="28" xfId="0" applyFont="1" applyBorder="1" applyAlignment="1" applyProtection="1">
      <alignment horizontal="center" vertical="center"/>
    </xf>
    <xf numFmtId="0" fontId="16" fillId="0" borderId="0" xfId="0" applyFont="1" applyBorder="1" applyAlignment="1" applyProtection="1">
      <alignment horizontal="center" wrapText="1"/>
    </xf>
    <xf numFmtId="0" fontId="16" fillId="0" borderId="16" xfId="0" applyFont="1" applyBorder="1" applyAlignment="1" applyProtection="1"/>
    <xf numFmtId="0" fontId="16" fillId="0" borderId="27" xfId="0" applyFont="1" applyBorder="1" applyAlignment="1" applyProtection="1"/>
    <xf numFmtId="0" fontId="16" fillId="0" borderId="28" xfId="0" applyFont="1" applyBorder="1" applyAlignment="1" applyProtection="1"/>
    <xf numFmtId="0" fontId="16" fillId="0" borderId="33" xfId="0" applyFont="1" applyBorder="1" applyAlignment="1" applyProtection="1">
      <alignment horizontal="center" vertical="center"/>
    </xf>
    <xf numFmtId="2" fontId="16" fillId="0" borderId="33" xfId="0" applyNumberFormat="1" applyFont="1" applyBorder="1" applyAlignment="1" applyProtection="1">
      <alignment horizontal="center" vertical="center"/>
    </xf>
    <xf numFmtId="16" fontId="4" fillId="0" borderId="16" xfId="0" quotePrefix="1" applyNumberFormat="1" applyFont="1" applyBorder="1" applyAlignment="1" applyProtection="1">
      <alignment horizontal="center" vertical="center"/>
    </xf>
    <xf numFmtId="16" fontId="4" fillId="0" borderId="27" xfId="0" quotePrefix="1" applyNumberFormat="1" applyFont="1" applyBorder="1" applyAlignment="1" applyProtection="1">
      <alignment horizontal="center" vertical="center"/>
    </xf>
    <xf numFmtId="16" fontId="4" fillId="0" borderId="28" xfId="0" quotePrefix="1" applyNumberFormat="1" applyFont="1" applyBorder="1" applyAlignment="1" applyProtection="1">
      <alignment horizontal="center" vertical="center"/>
    </xf>
    <xf numFmtId="0" fontId="4" fillId="0" borderId="9" xfId="0" applyFont="1" applyBorder="1" applyAlignment="1" applyProtection="1">
      <alignment horizontal="center" vertical="top" wrapText="1"/>
    </xf>
    <xf numFmtId="0" fontId="4" fillId="0" borderId="19" xfId="0" applyFont="1" applyBorder="1" applyAlignment="1" applyProtection="1">
      <alignment horizontal="center" vertical="top" wrapText="1"/>
    </xf>
    <xf numFmtId="0" fontId="4" fillId="0" borderId="22" xfId="0" applyFont="1" applyBorder="1" applyAlignment="1" applyProtection="1">
      <alignment horizontal="center" vertical="top" wrapText="1"/>
    </xf>
    <xf numFmtId="0" fontId="4" fillId="0" borderId="18" xfId="0" applyFont="1" applyBorder="1" applyAlignment="1" applyProtection="1">
      <alignment horizontal="center" vertical="top" wrapText="1"/>
    </xf>
    <xf numFmtId="0" fontId="4" fillId="0" borderId="6" xfId="0" applyFont="1" applyBorder="1" applyAlignment="1" applyProtection="1">
      <alignment horizontal="center" vertical="top" wrapText="1"/>
    </xf>
    <xf numFmtId="0" fontId="4" fillId="0" borderId="17" xfId="0" applyFont="1" applyBorder="1" applyAlignment="1" applyProtection="1">
      <alignment horizontal="center" vertical="top" wrapText="1"/>
    </xf>
    <xf numFmtId="0" fontId="4" fillId="0" borderId="33" xfId="0" applyFont="1" applyBorder="1" applyAlignment="1" applyProtection="1">
      <alignment horizontal="center" vertical="top" wrapText="1"/>
    </xf>
    <xf numFmtId="0" fontId="16" fillId="0" borderId="33" xfId="0" applyFont="1" applyBorder="1" applyAlignment="1" applyProtection="1"/>
    <xf numFmtId="0" fontId="4" fillId="0" borderId="16" xfId="0" quotePrefix="1" applyFont="1" applyBorder="1" applyAlignment="1" applyProtection="1">
      <alignment horizontal="center" vertical="center"/>
    </xf>
    <xf numFmtId="0" fontId="4" fillId="0" borderId="27" xfId="0" quotePrefix="1" applyFont="1" applyBorder="1" applyAlignment="1" applyProtection="1">
      <alignment horizontal="center" vertical="center"/>
    </xf>
    <xf numFmtId="0" fontId="4" fillId="0" borderId="28" xfId="0" quotePrefix="1" applyFont="1" applyBorder="1" applyAlignment="1" applyProtection="1">
      <alignment horizontal="center" vertical="center"/>
    </xf>
    <xf numFmtId="0" fontId="4" fillId="0" borderId="16" xfId="0" applyFont="1" applyBorder="1" applyAlignment="1" applyProtection="1">
      <alignment horizontal="center"/>
    </xf>
    <xf numFmtId="0" fontId="4" fillId="0" borderId="27" xfId="0" applyFont="1" applyBorder="1" applyAlignment="1" applyProtection="1">
      <alignment horizontal="center"/>
    </xf>
    <xf numFmtId="0" fontId="4" fillId="0" borderId="28" xfId="0" applyFont="1" applyBorder="1" applyAlignment="1" applyProtection="1">
      <alignment horizontal="center"/>
    </xf>
    <xf numFmtId="0" fontId="0" fillId="0" borderId="32" xfId="0" applyFill="1" applyBorder="1" applyAlignment="1" applyProtection="1">
      <alignment vertical="center" textRotation="90"/>
    </xf>
    <xf numFmtId="0" fontId="16" fillId="0" borderId="6" xfId="0" applyFont="1" applyBorder="1" applyAlignment="1" applyProtection="1">
      <alignment horizontal="center" wrapText="1"/>
    </xf>
    <xf numFmtId="0" fontId="16" fillId="0" borderId="6" xfId="0" applyFont="1" applyFill="1" applyBorder="1" applyAlignment="1" applyProtection="1">
      <alignment horizontal="center" wrapText="1"/>
    </xf>
    <xf numFmtId="2" fontId="15" fillId="0" borderId="27" xfId="0" applyNumberFormat="1" applyFont="1" applyFill="1" applyBorder="1" applyAlignment="1" applyProtection="1">
      <alignment horizontal="center"/>
      <protection locked="0"/>
    </xf>
    <xf numFmtId="2" fontId="15" fillId="0" borderId="28" xfId="0" applyNumberFormat="1" applyFont="1" applyFill="1" applyBorder="1" applyAlignment="1" applyProtection="1">
      <alignment horizontal="center"/>
      <protection locked="0"/>
    </xf>
    <xf numFmtId="0" fontId="0" fillId="0" borderId="9" xfId="0" applyBorder="1" applyAlignment="1" applyProtection="1">
      <alignment horizontal="center" vertical="center"/>
    </xf>
    <xf numFmtId="0" fontId="0" fillId="0" borderId="19" xfId="0" applyBorder="1" applyAlignment="1" applyProtection="1">
      <alignment horizontal="center" vertical="center"/>
    </xf>
    <xf numFmtId="0" fontId="0" fillId="0" borderId="22" xfId="0" applyBorder="1" applyAlignment="1" applyProtection="1">
      <alignment horizontal="center" vertical="center"/>
    </xf>
    <xf numFmtId="0" fontId="0" fillId="0" borderId="18" xfId="0" applyBorder="1" applyAlignment="1" applyProtection="1">
      <alignment horizontal="center" vertical="center"/>
    </xf>
    <xf numFmtId="0" fontId="0" fillId="0" borderId="6" xfId="0" applyBorder="1" applyAlignment="1" applyProtection="1">
      <alignment horizontal="center" vertical="center"/>
    </xf>
    <xf numFmtId="0" fontId="0" fillId="0" borderId="17" xfId="0" applyBorder="1" applyAlignment="1" applyProtection="1">
      <alignment horizontal="center" vertical="center"/>
    </xf>
    <xf numFmtId="0" fontId="0" fillId="0" borderId="9" xfId="0" applyBorder="1" applyAlignment="1" applyProtection="1">
      <alignment horizontal="center" wrapText="1"/>
    </xf>
    <xf numFmtId="0" fontId="0" fillId="0" borderId="19" xfId="0" applyBorder="1" applyAlignment="1" applyProtection="1">
      <alignment horizontal="center" wrapText="1"/>
    </xf>
    <xf numFmtId="0" fontId="0" fillId="0" borderId="22" xfId="0" applyBorder="1" applyAlignment="1" applyProtection="1">
      <alignment horizontal="center" wrapText="1"/>
    </xf>
    <xf numFmtId="0" fontId="0" fillId="0" borderId="18" xfId="0" applyBorder="1" applyAlignment="1" applyProtection="1">
      <alignment horizontal="center" wrapText="1"/>
    </xf>
    <xf numFmtId="0" fontId="0" fillId="0" borderId="6" xfId="0" applyBorder="1" applyAlignment="1" applyProtection="1">
      <alignment horizontal="center" wrapText="1"/>
    </xf>
    <xf numFmtId="0" fontId="0" fillId="0" borderId="17" xfId="0" applyBorder="1" applyAlignment="1" applyProtection="1">
      <alignment horizontal="center" wrapText="1"/>
    </xf>
    <xf numFmtId="0" fontId="10" fillId="0" borderId="19" xfId="0" applyFont="1" applyBorder="1" applyAlignment="1" applyProtection="1">
      <alignment horizontal="center"/>
    </xf>
    <xf numFmtId="164" fontId="24" fillId="0" borderId="0" xfId="0" applyNumberFormat="1" applyFont="1" applyBorder="1" applyProtection="1"/>
    <xf numFmtId="164" fontId="24" fillId="0" borderId="21" xfId="0" applyNumberFormat="1" applyFont="1" applyBorder="1" applyProtection="1"/>
    <xf numFmtId="0" fontId="20" fillId="0" borderId="8" xfId="0" applyFont="1" applyBorder="1" applyAlignment="1" applyProtection="1">
      <alignment horizontal="left" vertical="top" wrapText="1"/>
    </xf>
    <xf numFmtId="0" fontId="20" fillId="0" borderId="0" xfId="0" applyFont="1" applyBorder="1" applyAlignment="1" applyProtection="1">
      <alignment horizontal="left" vertical="top" wrapText="1"/>
    </xf>
    <xf numFmtId="0" fontId="18" fillId="0" borderId="9" xfId="0" applyFont="1" applyBorder="1" applyAlignment="1" applyProtection="1">
      <alignment horizontal="center" wrapText="1"/>
    </xf>
    <xf numFmtId="0" fontId="18" fillId="0" borderId="19" xfId="0" applyFont="1" applyBorder="1" applyAlignment="1" applyProtection="1">
      <alignment horizontal="center" wrapText="1"/>
    </xf>
    <xf numFmtId="0" fontId="18" fillId="0" borderId="22" xfId="0" applyFont="1" applyBorder="1" applyAlignment="1" applyProtection="1">
      <alignment horizontal="center" wrapText="1"/>
    </xf>
    <xf numFmtId="0" fontId="18" fillId="0" borderId="10" xfId="0" applyFont="1" applyBorder="1" applyAlignment="1" applyProtection="1">
      <alignment horizontal="center" wrapText="1"/>
    </xf>
    <xf numFmtId="2" fontId="0" fillId="0" borderId="6" xfId="0" applyNumberFormat="1" applyFill="1" applyBorder="1" applyAlignment="1" applyProtection="1">
      <alignment horizontal="center" shrinkToFit="1"/>
      <protection locked="0"/>
    </xf>
    <xf numFmtId="2" fontId="0" fillId="0" borderId="0" xfId="0" applyNumberFormat="1" applyProtection="1"/>
    <xf numFmtId="2" fontId="15" fillId="0" borderId="16" xfId="0" applyNumberFormat="1" applyFont="1" applyBorder="1" applyAlignment="1" applyProtection="1"/>
    <xf numFmtId="2" fontId="15" fillId="0" borderId="27" xfId="0" applyNumberFormat="1" applyFont="1" applyBorder="1" applyAlignment="1" applyProtection="1">
      <alignment horizontal="center"/>
      <protection locked="0"/>
    </xf>
    <xf numFmtId="2" fontId="15" fillId="0" borderId="28" xfId="0" applyNumberFormat="1" applyFont="1" applyBorder="1" applyAlignment="1" applyProtection="1">
      <alignment horizontal="center"/>
      <protection locked="0"/>
    </xf>
    <xf numFmtId="0" fontId="16" fillId="0" borderId="16" xfId="0" applyFont="1" applyFill="1" applyBorder="1" applyAlignment="1" applyProtection="1">
      <protection locked="0"/>
    </xf>
    <xf numFmtId="0" fontId="16" fillId="0" borderId="27" xfId="0" applyFont="1" applyFill="1" applyBorder="1" applyAlignment="1" applyProtection="1">
      <protection locked="0"/>
    </xf>
    <xf numFmtId="0" fontId="16" fillId="0" borderId="28" xfId="0" applyFont="1" applyFill="1" applyBorder="1" applyAlignment="1" applyProtection="1">
      <protection locked="0"/>
    </xf>
    <xf numFmtId="0" fontId="16" fillId="0" borderId="16" xfId="0" applyFont="1" applyFill="1" applyBorder="1" applyAlignment="1" applyProtection="1">
      <alignment horizontal="center"/>
      <protection locked="0"/>
    </xf>
    <xf numFmtId="0" fontId="16" fillId="0" borderId="27" xfId="0" applyFont="1" applyFill="1" applyBorder="1" applyAlignment="1" applyProtection="1">
      <alignment horizontal="center"/>
      <protection locked="0"/>
    </xf>
    <xf numFmtId="0" fontId="16" fillId="0" borderId="28" xfId="0" applyFont="1" applyFill="1" applyBorder="1" applyAlignment="1" applyProtection="1">
      <alignment horizontal="center"/>
      <protection locked="0"/>
    </xf>
    <xf numFmtId="0" fontId="16" fillId="0" borderId="33" xfId="0" applyFont="1" applyFill="1" applyBorder="1" applyAlignment="1" applyProtection="1">
      <protection locked="0"/>
    </xf>
    <xf numFmtId="0" fontId="16" fillId="0" borderId="0" xfId="0" applyFont="1" applyFill="1" applyBorder="1" applyAlignment="1" applyProtection="1">
      <protection locked="0"/>
    </xf>
    <xf numFmtId="0" fontId="26" fillId="0" borderId="0" xfId="0" applyFont="1" applyProtection="1"/>
    <xf numFmtId="0" fontId="21" fillId="0" borderId="8" xfId="0" applyFont="1" applyFill="1" applyBorder="1" applyAlignment="1" applyProtection="1">
      <alignment horizontal="center" wrapText="1"/>
      <protection locked="0"/>
    </xf>
    <xf numFmtId="0" fontId="21" fillId="0" borderId="0" xfId="0" applyFont="1" applyFill="1" applyBorder="1" applyAlignment="1" applyProtection="1">
      <alignment horizontal="center" wrapText="1"/>
      <protection locked="0"/>
    </xf>
    <xf numFmtId="0" fontId="15" fillId="0" borderId="6" xfId="0" applyFont="1" applyFill="1" applyBorder="1" applyAlignment="1" applyProtection="1">
      <alignment horizontal="center" shrinkToFit="1"/>
      <protection locked="0"/>
    </xf>
  </cellXfs>
  <cellStyles count="1">
    <cellStyle name="Normal" xfId="0" builtinId="0"/>
  </cellStyles>
  <dxfs count="6"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19050</xdr:colOff>
      <xdr:row>52</xdr:row>
      <xdr:rowOff>38100</xdr:rowOff>
    </xdr:from>
    <xdr:to>
      <xdr:col>15</xdr:col>
      <xdr:colOff>76200</xdr:colOff>
      <xdr:row>61</xdr:row>
      <xdr:rowOff>76200</xdr:rowOff>
    </xdr:to>
    <xdr:pic>
      <xdr:nvPicPr>
        <xdr:cNvPr id="434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l="8183" t="14287" r="51825" b="42862"/>
        <a:stretch>
          <a:fillRect/>
        </a:stretch>
      </xdr:blipFill>
      <xdr:spPr bwMode="auto">
        <a:xfrm>
          <a:off x="123825" y="8686800"/>
          <a:ext cx="1676400" cy="85725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>
    <xdr:from>
      <xdr:col>10</xdr:col>
      <xdr:colOff>85725</xdr:colOff>
      <xdr:row>12</xdr:row>
      <xdr:rowOff>104775</xdr:rowOff>
    </xdr:from>
    <xdr:to>
      <xdr:col>15</xdr:col>
      <xdr:colOff>28575</xdr:colOff>
      <xdr:row>13</xdr:row>
      <xdr:rowOff>57150</xdr:rowOff>
    </xdr:to>
    <xdr:sp macro="" textlink="">
      <xdr:nvSpPr>
        <xdr:cNvPr id="4346" name="Rectangle 38" descr="20%"/>
        <xdr:cNvSpPr>
          <a:spLocks noChangeArrowheads="1"/>
        </xdr:cNvSpPr>
      </xdr:nvSpPr>
      <xdr:spPr bwMode="auto">
        <a:xfrm>
          <a:off x="1304925" y="2019300"/>
          <a:ext cx="447675" cy="133350"/>
        </a:xfrm>
        <a:prstGeom prst="rect">
          <a:avLst/>
        </a:prstGeom>
        <a:pattFill prst="pct20">
          <a:fgClr>
            <a:srgbClr val="000000"/>
          </a:fgClr>
          <a:bgClr>
            <a:srgbClr val="FFFFFF"/>
          </a:bgClr>
        </a:patt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76200</xdr:colOff>
      <xdr:row>4</xdr:row>
      <xdr:rowOff>142875</xdr:rowOff>
    </xdr:from>
    <xdr:to>
      <xdr:col>50</xdr:col>
      <xdr:colOff>47625</xdr:colOff>
      <xdr:row>13</xdr:row>
      <xdr:rowOff>66675</xdr:rowOff>
    </xdr:to>
    <xdr:sp macro="" textlink="">
      <xdr:nvSpPr>
        <xdr:cNvPr id="4347" name="Freeform 3"/>
        <xdr:cNvSpPr>
          <a:spLocks/>
        </xdr:cNvSpPr>
      </xdr:nvSpPr>
      <xdr:spPr bwMode="auto">
        <a:xfrm>
          <a:off x="676275" y="647700"/>
          <a:ext cx="5353050" cy="1514475"/>
        </a:xfrm>
        <a:custGeom>
          <a:avLst/>
          <a:gdLst>
            <a:gd name="T0" fmla="*/ 0 w 562"/>
            <a:gd name="T1" fmla="*/ 54 h 159"/>
            <a:gd name="T2" fmla="*/ 76 w 562"/>
            <a:gd name="T3" fmla="*/ 54 h 159"/>
            <a:gd name="T4" fmla="*/ 116 w 562"/>
            <a:gd name="T5" fmla="*/ 54 h 159"/>
            <a:gd name="T6" fmla="*/ 195 w 562"/>
            <a:gd name="T7" fmla="*/ 0 h 159"/>
            <a:gd name="T8" fmla="*/ 296 w 562"/>
            <a:gd name="T9" fmla="*/ 0 h 159"/>
            <a:gd name="T10" fmla="*/ 425 w 562"/>
            <a:gd name="T11" fmla="*/ 102 h 159"/>
            <a:gd name="T12" fmla="*/ 473 w 562"/>
            <a:gd name="T13" fmla="*/ 159 h 159"/>
            <a:gd name="T14" fmla="*/ 562 w 562"/>
            <a:gd name="T15" fmla="*/ 159 h 159"/>
            <a:gd name="T16" fmla="*/ 0 60000 65536"/>
            <a:gd name="T17" fmla="*/ 0 60000 65536"/>
            <a:gd name="T18" fmla="*/ 0 60000 65536"/>
            <a:gd name="T19" fmla="*/ 0 60000 65536"/>
            <a:gd name="T20" fmla="*/ 0 60000 65536"/>
            <a:gd name="T21" fmla="*/ 0 60000 65536"/>
            <a:gd name="T22" fmla="*/ 0 60000 65536"/>
            <a:gd name="T23" fmla="*/ 0 60000 65536"/>
            <a:gd name="T24" fmla="*/ 0 w 562"/>
            <a:gd name="T25" fmla="*/ 0 h 159"/>
            <a:gd name="T26" fmla="*/ 562 w 562"/>
            <a:gd name="T27" fmla="*/ 159 h 159"/>
          </a:gdLst>
          <a:ahLst/>
          <a:cxnLst>
            <a:cxn ang="T16">
              <a:pos x="T0" y="T1"/>
            </a:cxn>
            <a:cxn ang="T17">
              <a:pos x="T2" y="T3"/>
            </a:cxn>
            <a:cxn ang="T18">
              <a:pos x="T4" y="T5"/>
            </a:cxn>
            <a:cxn ang="T19">
              <a:pos x="T6" y="T7"/>
            </a:cxn>
            <a:cxn ang="T20">
              <a:pos x="T8" y="T9"/>
            </a:cxn>
            <a:cxn ang="T21">
              <a:pos x="T10" y="T11"/>
            </a:cxn>
            <a:cxn ang="T22">
              <a:pos x="T12" y="T13"/>
            </a:cxn>
            <a:cxn ang="T23">
              <a:pos x="T14" y="T15"/>
            </a:cxn>
          </a:cxnLst>
          <a:rect l="T24" t="T25" r="T26" b="T27"/>
          <a:pathLst>
            <a:path w="562" h="159">
              <a:moveTo>
                <a:pt x="0" y="54"/>
              </a:moveTo>
              <a:lnTo>
                <a:pt x="76" y="54"/>
              </a:lnTo>
              <a:lnTo>
                <a:pt x="116" y="54"/>
              </a:lnTo>
              <a:lnTo>
                <a:pt x="195" y="0"/>
              </a:lnTo>
              <a:lnTo>
                <a:pt x="296" y="0"/>
              </a:lnTo>
              <a:lnTo>
                <a:pt x="425" y="102"/>
              </a:lnTo>
              <a:lnTo>
                <a:pt x="473" y="159"/>
              </a:lnTo>
              <a:lnTo>
                <a:pt x="562" y="159"/>
              </a:lnTo>
            </a:path>
          </a:pathLst>
        </a:custGeom>
        <a:noFill/>
        <a:ln w="1587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39</xdr:col>
      <xdr:colOff>95250</xdr:colOff>
      <xdr:row>10</xdr:row>
      <xdr:rowOff>76200</xdr:rowOff>
    </xdr:from>
    <xdr:to>
      <xdr:col>44</xdr:col>
      <xdr:colOff>66675</xdr:colOff>
      <xdr:row>13</xdr:row>
      <xdr:rowOff>66675</xdr:rowOff>
    </xdr:to>
    <xdr:sp macro="" textlink="">
      <xdr:nvSpPr>
        <xdr:cNvPr id="4348" name="Line 5"/>
        <xdr:cNvSpPr>
          <a:spLocks noChangeShapeType="1"/>
        </xdr:cNvSpPr>
      </xdr:nvSpPr>
      <xdr:spPr bwMode="auto">
        <a:xfrm>
          <a:off x="4733925" y="1628775"/>
          <a:ext cx="676275" cy="533400"/>
        </a:xfrm>
        <a:prstGeom prst="line">
          <a:avLst/>
        </a:prstGeom>
        <a:noFill/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14</xdr:col>
      <xdr:colOff>38100</xdr:colOff>
      <xdr:row>7</xdr:row>
      <xdr:rowOff>161925</xdr:rowOff>
    </xdr:from>
    <xdr:to>
      <xdr:col>42</xdr:col>
      <xdr:colOff>19050</xdr:colOff>
      <xdr:row>12</xdr:row>
      <xdr:rowOff>133350</xdr:rowOff>
    </xdr:to>
    <xdr:sp macro="" textlink="">
      <xdr:nvSpPr>
        <xdr:cNvPr id="4349" name="Freeform 8"/>
        <xdr:cNvSpPr>
          <a:spLocks/>
        </xdr:cNvSpPr>
      </xdr:nvSpPr>
      <xdr:spPr bwMode="auto">
        <a:xfrm>
          <a:off x="1676400" y="1171575"/>
          <a:ext cx="3400425" cy="876300"/>
        </a:xfrm>
        <a:custGeom>
          <a:avLst/>
          <a:gdLst>
            <a:gd name="T0" fmla="*/ 357 w 357"/>
            <a:gd name="T1" fmla="*/ 92 h 92"/>
            <a:gd name="T2" fmla="*/ 357 w 357"/>
            <a:gd name="T3" fmla="*/ 76 h 92"/>
            <a:gd name="T4" fmla="*/ 0 w 357"/>
            <a:gd name="T5" fmla="*/ 75 h 92"/>
            <a:gd name="T6" fmla="*/ 0 w 357"/>
            <a:gd name="T7" fmla="*/ 0 h 92"/>
            <a:gd name="T8" fmla="*/ 0 60000 65536"/>
            <a:gd name="T9" fmla="*/ 0 60000 65536"/>
            <a:gd name="T10" fmla="*/ 0 60000 65536"/>
            <a:gd name="T11" fmla="*/ 0 60000 65536"/>
            <a:gd name="T12" fmla="*/ 0 w 357"/>
            <a:gd name="T13" fmla="*/ 0 h 92"/>
            <a:gd name="T14" fmla="*/ 357 w 357"/>
            <a:gd name="T15" fmla="*/ 92 h 92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357" h="92">
              <a:moveTo>
                <a:pt x="357" y="92"/>
              </a:moveTo>
              <a:lnTo>
                <a:pt x="357" y="76"/>
              </a:lnTo>
              <a:lnTo>
                <a:pt x="0" y="75"/>
              </a:lnTo>
              <a:lnTo>
                <a:pt x="0" y="0"/>
              </a:lnTo>
            </a:path>
          </a:pathLst>
        </a:custGeom>
        <a:noFill/>
        <a:ln w="1587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57150</xdr:colOff>
      <xdr:row>7</xdr:row>
      <xdr:rowOff>161925</xdr:rowOff>
    </xdr:from>
    <xdr:to>
      <xdr:col>11</xdr:col>
      <xdr:colOff>57150</xdr:colOff>
      <xdr:row>13</xdr:row>
      <xdr:rowOff>47625</xdr:rowOff>
    </xdr:to>
    <xdr:sp macro="" textlink="">
      <xdr:nvSpPr>
        <xdr:cNvPr id="4350" name="Line 9"/>
        <xdr:cNvSpPr>
          <a:spLocks noChangeShapeType="1"/>
        </xdr:cNvSpPr>
      </xdr:nvSpPr>
      <xdr:spPr bwMode="auto">
        <a:xfrm>
          <a:off x="1400175" y="1171575"/>
          <a:ext cx="0" cy="971550"/>
        </a:xfrm>
        <a:prstGeom prst="line">
          <a:avLst/>
        </a:prstGeom>
        <a:noFill/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14</xdr:col>
      <xdr:colOff>0</xdr:colOff>
      <xdr:row>11</xdr:row>
      <xdr:rowOff>152400</xdr:rowOff>
    </xdr:from>
    <xdr:to>
      <xdr:col>14</xdr:col>
      <xdr:colOff>38100</xdr:colOff>
      <xdr:row>12</xdr:row>
      <xdr:rowOff>104775</xdr:rowOff>
    </xdr:to>
    <xdr:sp macro="" textlink="">
      <xdr:nvSpPr>
        <xdr:cNvPr id="4351" name="Freeform 10"/>
        <xdr:cNvSpPr>
          <a:spLocks/>
        </xdr:cNvSpPr>
      </xdr:nvSpPr>
      <xdr:spPr bwMode="auto">
        <a:xfrm>
          <a:off x="1638300" y="1885950"/>
          <a:ext cx="38100" cy="133350"/>
        </a:xfrm>
        <a:custGeom>
          <a:avLst/>
          <a:gdLst>
            <a:gd name="T0" fmla="*/ 4 w 4"/>
            <a:gd name="T1" fmla="*/ 0 h 14"/>
            <a:gd name="T2" fmla="*/ 1 w 4"/>
            <a:gd name="T3" fmla="*/ 2 h 14"/>
            <a:gd name="T4" fmla="*/ 0 w 4"/>
            <a:gd name="T5" fmla="*/ 5 h 14"/>
            <a:gd name="T6" fmla="*/ 0 w 4"/>
            <a:gd name="T7" fmla="*/ 9 h 14"/>
            <a:gd name="T8" fmla="*/ 1 w 4"/>
            <a:gd name="T9" fmla="*/ 12 h 14"/>
            <a:gd name="T10" fmla="*/ 3 w 4"/>
            <a:gd name="T11" fmla="*/ 14 h 14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4"/>
            <a:gd name="T19" fmla="*/ 0 h 14"/>
            <a:gd name="T20" fmla="*/ 4 w 4"/>
            <a:gd name="T21" fmla="*/ 14 h 14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4" h="14">
              <a:moveTo>
                <a:pt x="4" y="0"/>
              </a:moveTo>
              <a:lnTo>
                <a:pt x="1" y="2"/>
              </a:lnTo>
              <a:lnTo>
                <a:pt x="0" y="5"/>
              </a:lnTo>
              <a:lnTo>
                <a:pt x="0" y="9"/>
              </a:lnTo>
              <a:lnTo>
                <a:pt x="1" y="12"/>
              </a:lnTo>
              <a:lnTo>
                <a:pt x="3" y="14"/>
              </a:lnTo>
            </a:path>
          </a:pathLst>
        </a:custGeom>
        <a:noFill/>
        <a:ln w="1587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14</xdr:col>
      <xdr:colOff>28575</xdr:colOff>
      <xdr:row>12</xdr:row>
      <xdr:rowOff>104775</xdr:rowOff>
    </xdr:from>
    <xdr:to>
      <xdr:col>42</xdr:col>
      <xdr:colOff>19050</xdr:colOff>
      <xdr:row>13</xdr:row>
      <xdr:rowOff>47625</xdr:rowOff>
    </xdr:to>
    <xdr:sp macro="" textlink="">
      <xdr:nvSpPr>
        <xdr:cNvPr id="4352" name="Freeform 11"/>
        <xdr:cNvSpPr>
          <a:spLocks/>
        </xdr:cNvSpPr>
      </xdr:nvSpPr>
      <xdr:spPr bwMode="auto">
        <a:xfrm>
          <a:off x="1666875" y="2019300"/>
          <a:ext cx="3409950" cy="123825"/>
        </a:xfrm>
        <a:custGeom>
          <a:avLst/>
          <a:gdLst>
            <a:gd name="T0" fmla="*/ 0 w 358"/>
            <a:gd name="T1" fmla="*/ 13 h 13"/>
            <a:gd name="T2" fmla="*/ 0 w 358"/>
            <a:gd name="T3" fmla="*/ 0 h 13"/>
            <a:gd name="T4" fmla="*/ 358 w 358"/>
            <a:gd name="T5" fmla="*/ 2 h 13"/>
            <a:gd name="T6" fmla="*/ 0 60000 65536"/>
            <a:gd name="T7" fmla="*/ 0 60000 65536"/>
            <a:gd name="T8" fmla="*/ 0 60000 65536"/>
            <a:gd name="T9" fmla="*/ 0 w 358"/>
            <a:gd name="T10" fmla="*/ 0 h 13"/>
            <a:gd name="T11" fmla="*/ 358 w 358"/>
            <a:gd name="T12" fmla="*/ 13 h 1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358" h="13">
              <a:moveTo>
                <a:pt x="0" y="13"/>
              </a:moveTo>
              <a:lnTo>
                <a:pt x="0" y="0"/>
              </a:lnTo>
              <a:lnTo>
                <a:pt x="358" y="2"/>
              </a:lnTo>
            </a:path>
          </a:pathLst>
        </a:custGeom>
        <a:noFill/>
        <a:ln w="1587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40</xdr:col>
      <xdr:colOff>85725</xdr:colOff>
      <xdr:row>10</xdr:row>
      <xdr:rowOff>85725</xdr:rowOff>
    </xdr:from>
    <xdr:to>
      <xdr:col>45</xdr:col>
      <xdr:colOff>28575</xdr:colOff>
      <xdr:row>13</xdr:row>
      <xdr:rowOff>152400</xdr:rowOff>
    </xdr:to>
    <xdr:sp macro="" textlink="">
      <xdr:nvSpPr>
        <xdr:cNvPr id="4353" name="Freeform 12"/>
        <xdr:cNvSpPr>
          <a:spLocks/>
        </xdr:cNvSpPr>
      </xdr:nvSpPr>
      <xdr:spPr bwMode="auto">
        <a:xfrm>
          <a:off x="4857750" y="1638300"/>
          <a:ext cx="657225" cy="609600"/>
        </a:xfrm>
        <a:custGeom>
          <a:avLst/>
          <a:gdLst>
            <a:gd name="T0" fmla="*/ 26 w 69"/>
            <a:gd name="T1" fmla="*/ 64 h 64"/>
            <a:gd name="T2" fmla="*/ 17 w 69"/>
            <a:gd name="T3" fmla="*/ 60 h 64"/>
            <a:gd name="T4" fmla="*/ 11 w 69"/>
            <a:gd name="T5" fmla="*/ 56 h 64"/>
            <a:gd name="T6" fmla="*/ 7 w 69"/>
            <a:gd name="T7" fmla="*/ 52 h 64"/>
            <a:gd name="T8" fmla="*/ 5 w 69"/>
            <a:gd name="T9" fmla="*/ 49 h 64"/>
            <a:gd name="T10" fmla="*/ 3 w 69"/>
            <a:gd name="T11" fmla="*/ 45 h 64"/>
            <a:gd name="T12" fmla="*/ 1 w 69"/>
            <a:gd name="T13" fmla="*/ 40 h 64"/>
            <a:gd name="T14" fmla="*/ 0 w 69"/>
            <a:gd name="T15" fmla="*/ 36 h 64"/>
            <a:gd name="T16" fmla="*/ 0 w 69"/>
            <a:gd name="T17" fmla="*/ 32 h 64"/>
            <a:gd name="T18" fmla="*/ 1 w 69"/>
            <a:gd name="T19" fmla="*/ 25 h 64"/>
            <a:gd name="T20" fmla="*/ 3 w 69"/>
            <a:gd name="T21" fmla="*/ 19 h 64"/>
            <a:gd name="T22" fmla="*/ 7 w 69"/>
            <a:gd name="T23" fmla="*/ 13 h 64"/>
            <a:gd name="T24" fmla="*/ 12 w 69"/>
            <a:gd name="T25" fmla="*/ 8 h 64"/>
            <a:gd name="T26" fmla="*/ 18 w 69"/>
            <a:gd name="T27" fmla="*/ 4 h 64"/>
            <a:gd name="T28" fmla="*/ 24 w 69"/>
            <a:gd name="T29" fmla="*/ 1 h 64"/>
            <a:gd name="T30" fmla="*/ 31 w 69"/>
            <a:gd name="T31" fmla="*/ 0 h 64"/>
            <a:gd name="T32" fmla="*/ 39 w 69"/>
            <a:gd name="T33" fmla="*/ 0 h 64"/>
            <a:gd name="T34" fmla="*/ 46 w 69"/>
            <a:gd name="T35" fmla="*/ 1 h 64"/>
            <a:gd name="T36" fmla="*/ 54 w 69"/>
            <a:gd name="T37" fmla="*/ 5 h 64"/>
            <a:gd name="T38" fmla="*/ 60 w 69"/>
            <a:gd name="T39" fmla="*/ 10 h 64"/>
            <a:gd name="T40" fmla="*/ 63 w 69"/>
            <a:gd name="T41" fmla="*/ 14 h 64"/>
            <a:gd name="T42" fmla="*/ 65 w 69"/>
            <a:gd name="T43" fmla="*/ 17 h 64"/>
            <a:gd name="T44" fmla="*/ 68 w 69"/>
            <a:gd name="T45" fmla="*/ 24 h 64"/>
            <a:gd name="T46" fmla="*/ 69 w 69"/>
            <a:gd name="T47" fmla="*/ 29 h 64"/>
            <a:gd name="T48" fmla="*/ 69 w 69"/>
            <a:gd name="T49" fmla="*/ 34 h 64"/>
            <a:gd name="T50" fmla="*/ 68 w 69"/>
            <a:gd name="T51" fmla="*/ 42 h 64"/>
            <a:gd name="T52" fmla="*/ 65 w 69"/>
            <a:gd name="T53" fmla="*/ 48 h 64"/>
            <a:gd name="T54" fmla="*/ 62 w 69"/>
            <a:gd name="T55" fmla="*/ 53 h 64"/>
            <a:gd name="T56" fmla="*/ 56 w 69"/>
            <a:gd name="T57" fmla="*/ 58 h 64"/>
            <a:gd name="T58" fmla="*/ 48 w 69"/>
            <a:gd name="T59" fmla="*/ 62 h 64"/>
            <a:gd name="T60" fmla="*/ 40 w 69"/>
            <a:gd name="T61" fmla="*/ 64 h 64"/>
            <a:gd name="T62" fmla="*/ 0 60000 65536"/>
            <a:gd name="T63" fmla="*/ 0 60000 65536"/>
            <a:gd name="T64" fmla="*/ 0 60000 65536"/>
            <a:gd name="T65" fmla="*/ 0 60000 65536"/>
            <a:gd name="T66" fmla="*/ 0 60000 65536"/>
            <a:gd name="T67" fmla="*/ 0 60000 65536"/>
            <a:gd name="T68" fmla="*/ 0 60000 65536"/>
            <a:gd name="T69" fmla="*/ 0 60000 65536"/>
            <a:gd name="T70" fmla="*/ 0 60000 65536"/>
            <a:gd name="T71" fmla="*/ 0 60000 65536"/>
            <a:gd name="T72" fmla="*/ 0 60000 65536"/>
            <a:gd name="T73" fmla="*/ 0 60000 65536"/>
            <a:gd name="T74" fmla="*/ 0 60000 65536"/>
            <a:gd name="T75" fmla="*/ 0 60000 65536"/>
            <a:gd name="T76" fmla="*/ 0 60000 65536"/>
            <a:gd name="T77" fmla="*/ 0 60000 65536"/>
            <a:gd name="T78" fmla="*/ 0 60000 65536"/>
            <a:gd name="T79" fmla="*/ 0 60000 65536"/>
            <a:gd name="T80" fmla="*/ 0 60000 65536"/>
            <a:gd name="T81" fmla="*/ 0 60000 65536"/>
            <a:gd name="T82" fmla="*/ 0 60000 65536"/>
            <a:gd name="T83" fmla="*/ 0 60000 65536"/>
            <a:gd name="T84" fmla="*/ 0 60000 65536"/>
            <a:gd name="T85" fmla="*/ 0 60000 65536"/>
            <a:gd name="T86" fmla="*/ 0 60000 65536"/>
            <a:gd name="T87" fmla="*/ 0 60000 65536"/>
            <a:gd name="T88" fmla="*/ 0 60000 65536"/>
            <a:gd name="T89" fmla="*/ 0 60000 65536"/>
            <a:gd name="T90" fmla="*/ 0 60000 65536"/>
            <a:gd name="T91" fmla="*/ 0 60000 65536"/>
            <a:gd name="T92" fmla="*/ 0 60000 65536"/>
            <a:gd name="T93" fmla="*/ 0 w 69"/>
            <a:gd name="T94" fmla="*/ 0 h 64"/>
            <a:gd name="T95" fmla="*/ 69 w 69"/>
            <a:gd name="T96" fmla="*/ 64 h 64"/>
          </a:gdLst>
          <a:ahLst/>
          <a:cxnLst>
            <a:cxn ang="T62">
              <a:pos x="T0" y="T1"/>
            </a:cxn>
            <a:cxn ang="T63">
              <a:pos x="T2" y="T3"/>
            </a:cxn>
            <a:cxn ang="T64">
              <a:pos x="T4" y="T5"/>
            </a:cxn>
            <a:cxn ang="T65">
              <a:pos x="T6" y="T7"/>
            </a:cxn>
            <a:cxn ang="T66">
              <a:pos x="T8" y="T9"/>
            </a:cxn>
            <a:cxn ang="T67">
              <a:pos x="T10" y="T11"/>
            </a:cxn>
            <a:cxn ang="T68">
              <a:pos x="T12" y="T13"/>
            </a:cxn>
            <a:cxn ang="T69">
              <a:pos x="T14" y="T15"/>
            </a:cxn>
            <a:cxn ang="T70">
              <a:pos x="T16" y="T17"/>
            </a:cxn>
            <a:cxn ang="T71">
              <a:pos x="T18" y="T19"/>
            </a:cxn>
            <a:cxn ang="T72">
              <a:pos x="T20" y="T21"/>
            </a:cxn>
            <a:cxn ang="T73">
              <a:pos x="T22" y="T23"/>
            </a:cxn>
            <a:cxn ang="T74">
              <a:pos x="T24" y="T25"/>
            </a:cxn>
            <a:cxn ang="T75">
              <a:pos x="T26" y="T27"/>
            </a:cxn>
            <a:cxn ang="T76">
              <a:pos x="T28" y="T29"/>
            </a:cxn>
            <a:cxn ang="T77">
              <a:pos x="T30" y="T31"/>
            </a:cxn>
            <a:cxn ang="T78">
              <a:pos x="T32" y="T33"/>
            </a:cxn>
            <a:cxn ang="T79">
              <a:pos x="T34" y="T35"/>
            </a:cxn>
            <a:cxn ang="T80">
              <a:pos x="T36" y="T37"/>
            </a:cxn>
            <a:cxn ang="T81">
              <a:pos x="T38" y="T39"/>
            </a:cxn>
            <a:cxn ang="T82">
              <a:pos x="T40" y="T41"/>
            </a:cxn>
            <a:cxn ang="T83">
              <a:pos x="T42" y="T43"/>
            </a:cxn>
            <a:cxn ang="T84">
              <a:pos x="T44" y="T45"/>
            </a:cxn>
            <a:cxn ang="T85">
              <a:pos x="T46" y="T47"/>
            </a:cxn>
            <a:cxn ang="T86">
              <a:pos x="T48" y="T49"/>
            </a:cxn>
            <a:cxn ang="T87">
              <a:pos x="T50" y="T51"/>
            </a:cxn>
            <a:cxn ang="T88">
              <a:pos x="T52" y="T53"/>
            </a:cxn>
            <a:cxn ang="T89">
              <a:pos x="T54" y="T55"/>
            </a:cxn>
            <a:cxn ang="T90">
              <a:pos x="T56" y="T57"/>
            </a:cxn>
            <a:cxn ang="T91">
              <a:pos x="T58" y="T59"/>
            </a:cxn>
            <a:cxn ang="T92">
              <a:pos x="T60" y="T61"/>
            </a:cxn>
          </a:cxnLst>
          <a:rect l="T93" t="T94" r="T95" b="T96"/>
          <a:pathLst>
            <a:path w="69" h="64">
              <a:moveTo>
                <a:pt x="26" y="64"/>
              </a:moveTo>
              <a:lnTo>
                <a:pt x="17" y="60"/>
              </a:lnTo>
              <a:lnTo>
                <a:pt x="11" y="56"/>
              </a:lnTo>
              <a:lnTo>
                <a:pt x="7" y="52"/>
              </a:lnTo>
              <a:lnTo>
                <a:pt x="5" y="49"/>
              </a:lnTo>
              <a:lnTo>
                <a:pt x="3" y="45"/>
              </a:lnTo>
              <a:lnTo>
                <a:pt x="1" y="40"/>
              </a:lnTo>
              <a:lnTo>
                <a:pt x="0" y="36"/>
              </a:lnTo>
              <a:lnTo>
                <a:pt x="0" y="32"/>
              </a:lnTo>
              <a:lnTo>
                <a:pt x="1" y="25"/>
              </a:lnTo>
              <a:lnTo>
                <a:pt x="3" y="19"/>
              </a:lnTo>
              <a:lnTo>
                <a:pt x="7" y="13"/>
              </a:lnTo>
              <a:lnTo>
                <a:pt x="12" y="8"/>
              </a:lnTo>
              <a:lnTo>
                <a:pt x="18" y="4"/>
              </a:lnTo>
              <a:lnTo>
                <a:pt x="24" y="1"/>
              </a:lnTo>
              <a:lnTo>
                <a:pt x="31" y="0"/>
              </a:lnTo>
              <a:lnTo>
                <a:pt x="39" y="0"/>
              </a:lnTo>
              <a:lnTo>
                <a:pt x="46" y="1"/>
              </a:lnTo>
              <a:lnTo>
                <a:pt x="54" y="5"/>
              </a:lnTo>
              <a:lnTo>
                <a:pt x="60" y="10"/>
              </a:lnTo>
              <a:lnTo>
                <a:pt x="63" y="14"/>
              </a:lnTo>
              <a:lnTo>
                <a:pt x="65" y="17"/>
              </a:lnTo>
              <a:lnTo>
                <a:pt x="68" y="24"/>
              </a:lnTo>
              <a:lnTo>
                <a:pt x="69" y="29"/>
              </a:lnTo>
              <a:lnTo>
                <a:pt x="69" y="34"/>
              </a:lnTo>
              <a:lnTo>
                <a:pt x="68" y="42"/>
              </a:lnTo>
              <a:lnTo>
                <a:pt x="65" y="48"/>
              </a:lnTo>
              <a:lnTo>
                <a:pt x="62" y="53"/>
              </a:lnTo>
              <a:lnTo>
                <a:pt x="56" y="58"/>
              </a:lnTo>
              <a:lnTo>
                <a:pt x="48" y="62"/>
              </a:lnTo>
              <a:lnTo>
                <a:pt x="40" y="64"/>
              </a:lnTo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stealth" w="sm" len="med"/>
          <a:tailEnd type="stealth" w="sm" len="med"/>
        </a:ln>
      </xdr:spPr>
    </xdr:sp>
    <xdr:clientData/>
  </xdr:twoCellAnchor>
  <xdr:twoCellAnchor>
    <xdr:from>
      <xdr:col>42</xdr:col>
      <xdr:colOff>19050</xdr:colOff>
      <xdr:row>13</xdr:row>
      <xdr:rowOff>0</xdr:rowOff>
    </xdr:from>
    <xdr:to>
      <xdr:col>42</xdr:col>
      <xdr:colOff>19050</xdr:colOff>
      <xdr:row>14</xdr:row>
      <xdr:rowOff>66675</xdr:rowOff>
    </xdr:to>
    <xdr:sp macro="" textlink="">
      <xdr:nvSpPr>
        <xdr:cNvPr id="4354" name="Line 13"/>
        <xdr:cNvSpPr>
          <a:spLocks noChangeShapeType="1"/>
        </xdr:cNvSpPr>
      </xdr:nvSpPr>
      <xdr:spPr bwMode="auto">
        <a:xfrm>
          <a:off x="5076825" y="2095500"/>
          <a:ext cx="0" cy="2476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42</xdr:col>
      <xdr:colOff>76200</xdr:colOff>
      <xdr:row>12</xdr:row>
      <xdr:rowOff>123825</xdr:rowOff>
    </xdr:from>
    <xdr:to>
      <xdr:col>46</xdr:col>
      <xdr:colOff>57150</xdr:colOff>
      <xdr:row>12</xdr:row>
      <xdr:rowOff>123825</xdr:rowOff>
    </xdr:to>
    <xdr:sp macro="" textlink="">
      <xdr:nvSpPr>
        <xdr:cNvPr id="4355" name="Line 14"/>
        <xdr:cNvSpPr>
          <a:spLocks noChangeShapeType="1"/>
        </xdr:cNvSpPr>
      </xdr:nvSpPr>
      <xdr:spPr bwMode="auto">
        <a:xfrm flipV="1">
          <a:off x="5133975" y="2038350"/>
          <a:ext cx="55245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44</xdr:col>
      <xdr:colOff>38100</xdr:colOff>
      <xdr:row>10</xdr:row>
      <xdr:rowOff>171450</xdr:rowOff>
    </xdr:from>
    <xdr:to>
      <xdr:col>44</xdr:col>
      <xdr:colOff>38100</xdr:colOff>
      <xdr:row>12</xdr:row>
      <xdr:rowOff>95250</xdr:rowOff>
    </xdr:to>
    <xdr:sp macro="" textlink="">
      <xdr:nvSpPr>
        <xdr:cNvPr id="4356" name="Line 15"/>
        <xdr:cNvSpPr>
          <a:spLocks noChangeShapeType="1"/>
        </xdr:cNvSpPr>
      </xdr:nvSpPr>
      <xdr:spPr bwMode="auto">
        <a:xfrm flipV="1">
          <a:off x="5381625" y="1724025"/>
          <a:ext cx="0" cy="2857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46</xdr:col>
      <xdr:colOff>9525</xdr:colOff>
      <xdr:row>13</xdr:row>
      <xdr:rowOff>76200</xdr:rowOff>
    </xdr:from>
    <xdr:to>
      <xdr:col>46</xdr:col>
      <xdr:colOff>9525</xdr:colOff>
      <xdr:row>14</xdr:row>
      <xdr:rowOff>9525</xdr:rowOff>
    </xdr:to>
    <xdr:sp macro="" textlink="">
      <xdr:nvSpPr>
        <xdr:cNvPr id="4357" name="Line 16"/>
        <xdr:cNvSpPr>
          <a:spLocks noChangeShapeType="1"/>
        </xdr:cNvSpPr>
      </xdr:nvSpPr>
      <xdr:spPr bwMode="auto">
        <a:xfrm>
          <a:off x="5638800" y="2171700"/>
          <a:ext cx="0" cy="114300"/>
        </a:xfrm>
        <a:prstGeom prst="line">
          <a:avLst/>
        </a:prstGeom>
        <a:noFill/>
        <a:ln w="9525">
          <a:solidFill>
            <a:srgbClr val="000000"/>
          </a:solidFill>
          <a:round/>
          <a:headEnd type="stealth" w="sm" len="med"/>
          <a:tailEnd/>
        </a:ln>
      </xdr:spPr>
    </xdr:sp>
    <xdr:clientData/>
  </xdr:twoCellAnchor>
  <xdr:twoCellAnchor>
    <xdr:from>
      <xdr:col>46</xdr:col>
      <xdr:colOff>9525</xdr:colOff>
      <xdr:row>12</xdr:row>
      <xdr:rowOff>0</xdr:rowOff>
    </xdr:from>
    <xdr:to>
      <xdr:col>46</xdr:col>
      <xdr:colOff>114300</xdr:colOff>
      <xdr:row>12</xdr:row>
      <xdr:rowOff>123825</xdr:rowOff>
    </xdr:to>
    <xdr:sp macro="" textlink="">
      <xdr:nvSpPr>
        <xdr:cNvPr id="4358" name="Freeform 17"/>
        <xdr:cNvSpPr>
          <a:spLocks/>
        </xdr:cNvSpPr>
      </xdr:nvSpPr>
      <xdr:spPr bwMode="auto">
        <a:xfrm>
          <a:off x="5638800" y="1914525"/>
          <a:ext cx="104775" cy="123825"/>
        </a:xfrm>
        <a:custGeom>
          <a:avLst/>
          <a:gdLst>
            <a:gd name="T0" fmla="*/ 0 w 11"/>
            <a:gd name="T1" fmla="*/ 13 h 13"/>
            <a:gd name="T2" fmla="*/ 0 w 11"/>
            <a:gd name="T3" fmla="*/ 0 h 13"/>
            <a:gd name="T4" fmla="*/ 11 w 11"/>
            <a:gd name="T5" fmla="*/ 0 h 13"/>
            <a:gd name="T6" fmla="*/ 0 60000 65536"/>
            <a:gd name="T7" fmla="*/ 0 60000 65536"/>
            <a:gd name="T8" fmla="*/ 0 60000 65536"/>
            <a:gd name="T9" fmla="*/ 0 w 11"/>
            <a:gd name="T10" fmla="*/ 0 h 13"/>
            <a:gd name="T11" fmla="*/ 11 w 11"/>
            <a:gd name="T12" fmla="*/ 13 h 1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1" h="13">
              <a:moveTo>
                <a:pt x="0" y="13"/>
              </a:moveTo>
              <a:lnTo>
                <a:pt x="0" y="0"/>
              </a:lnTo>
              <a:lnTo>
                <a:pt x="11" y="0"/>
              </a:lnTo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stealth" w="sm" len="med"/>
          <a:tailEnd type="none" w="med" len="med"/>
        </a:ln>
      </xdr:spPr>
    </xdr:sp>
    <xdr:clientData/>
  </xdr:twoCellAnchor>
  <xdr:twoCellAnchor>
    <xdr:from>
      <xdr:col>16</xdr:col>
      <xdr:colOff>28575</xdr:colOff>
      <xdr:row>12</xdr:row>
      <xdr:rowOff>133350</xdr:rowOff>
    </xdr:from>
    <xdr:to>
      <xdr:col>16</xdr:col>
      <xdr:colOff>28575</xdr:colOff>
      <xdr:row>14</xdr:row>
      <xdr:rowOff>66675</xdr:rowOff>
    </xdr:to>
    <xdr:sp macro="" textlink="">
      <xdr:nvSpPr>
        <xdr:cNvPr id="4359" name="Line 18"/>
        <xdr:cNvSpPr>
          <a:spLocks noChangeShapeType="1"/>
        </xdr:cNvSpPr>
      </xdr:nvSpPr>
      <xdr:spPr bwMode="auto">
        <a:xfrm>
          <a:off x="1838325" y="2047875"/>
          <a:ext cx="0" cy="2952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16</xdr:col>
      <xdr:colOff>28575</xdr:colOff>
      <xdr:row>14</xdr:row>
      <xdr:rowOff>28575</xdr:rowOff>
    </xdr:from>
    <xdr:to>
      <xdr:col>42</xdr:col>
      <xdr:colOff>19050</xdr:colOff>
      <xdr:row>14</xdr:row>
      <xdr:rowOff>28575</xdr:rowOff>
    </xdr:to>
    <xdr:sp macro="" textlink="">
      <xdr:nvSpPr>
        <xdr:cNvPr id="4360" name="Line 19"/>
        <xdr:cNvSpPr>
          <a:spLocks noChangeShapeType="1"/>
        </xdr:cNvSpPr>
      </xdr:nvSpPr>
      <xdr:spPr bwMode="auto">
        <a:xfrm>
          <a:off x="1838325" y="2305050"/>
          <a:ext cx="3238500" cy="0"/>
        </a:xfrm>
        <a:prstGeom prst="line">
          <a:avLst/>
        </a:prstGeom>
        <a:noFill/>
        <a:ln w="9525">
          <a:solidFill>
            <a:srgbClr val="000000"/>
          </a:solidFill>
          <a:round/>
          <a:headEnd type="stealth" w="sm" len="med"/>
          <a:tailEnd type="stealth" w="sm" len="med"/>
        </a:ln>
      </xdr:spPr>
    </xdr:sp>
    <xdr:clientData/>
  </xdr:twoCellAnchor>
  <xdr:twoCellAnchor>
    <xdr:from>
      <xdr:col>18</xdr:col>
      <xdr:colOff>104775</xdr:colOff>
      <xdr:row>6</xdr:row>
      <xdr:rowOff>95250</xdr:rowOff>
    </xdr:from>
    <xdr:to>
      <xdr:col>21</xdr:col>
      <xdr:colOff>28575</xdr:colOff>
      <xdr:row>6</xdr:row>
      <xdr:rowOff>95250</xdr:rowOff>
    </xdr:to>
    <xdr:sp macro="" textlink="">
      <xdr:nvSpPr>
        <xdr:cNvPr id="4361" name="Line 20"/>
        <xdr:cNvSpPr>
          <a:spLocks noChangeShapeType="1"/>
        </xdr:cNvSpPr>
      </xdr:nvSpPr>
      <xdr:spPr bwMode="auto">
        <a:xfrm>
          <a:off x="2162175" y="923925"/>
          <a:ext cx="2952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85725</xdr:colOff>
      <xdr:row>6</xdr:row>
      <xdr:rowOff>95250</xdr:rowOff>
    </xdr:from>
    <xdr:to>
      <xdr:col>23</xdr:col>
      <xdr:colOff>114300</xdr:colOff>
      <xdr:row>6</xdr:row>
      <xdr:rowOff>95250</xdr:rowOff>
    </xdr:to>
    <xdr:sp macro="" textlink="">
      <xdr:nvSpPr>
        <xdr:cNvPr id="4362" name="Line 21"/>
        <xdr:cNvSpPr>
          <a:spLocks noChangeShapeType="1"/>
        </xdr:cNvSpPr>
      </xdr:nvSpPr>
      <xdr:spPr bwMode="auto">
        <a:xfrm>
          <a:off x="2514600" y="923925"/>
          <a:ext cx="27622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24</xdr:col>
      <xdr:colOff>47625</xdr:colOff>
      <xdr:row>6</xdr:row>
      <xdr:rowOff>95250</xdr:rowOff>
    </xdr:from>
    <xdr:to>
      <xdr:col>26</xdr:col>
      <xdr:colOff>95250</xdr:colOff>
      <xdr:row>6</xdr:row>
      <xdr:rowOff>95250</xdr:rowOff>
    </xdr:to>
    <xdr:sp macro="" textlink="">
      <xdr:nvSpPr>
        <xdr:cNvPr id="4363" name="Line 22"/>
        <xdr:cNvSpPr>
          <a:spLocks noChangeShapeType="1"/>
        </xdr:cNvSpPr>
      </xdr:nvSpPr>
      <xdr:spPr bwMode="auto">
        <a:xfrm>
          <a:off x="2847975" y="923925"/>
          <a:ext cx="2952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27</xdr:col>
      <xdr:colOff>19050</xdr:colOff>
      <xdr:row>6</xdr:row>
      <xdr:rowOff>95250</xdr:rowOff>
    </xdr:from>
    <xdr:to>
      <xdr:col>29</xdr:col>
      <xdr:colOff>47625</xdr:colOff>
      <xdr:row>6</xdr:row>
      <xdr:rowOff>95250</xdr:rowOff>
    </xdr:to>
    <xdr:sp macro="" textlink="">
      <xdr:nvSpPr>
        <xdr:cNvPr id="4364" name="Line 23"/>
        <xdr:cNvSpPr>
          <a:spLocks noChangeShapeType="1"/>
        </xdr:cNvSpPr>
      </xdr:nvSpPr>
      <xdr:spPr bwMode="auto">
        <a:xfrm>
          <a:off x="3190875" y="923925"/>
          <a:ext cx="27622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29</xdr:col>
      <xdr:colOff>76200</xdr:colOff>
      <xdr:row>6</xdr:row>
      <xdr:rowOff>95250</xdr:rowOff>
    </xdr:from>
    <xdr:to>
      <xdr:col>31</xdr:col>
      <xdr:colOff>114300</xdr:colOff>
      <xdr:row>6</xdr:row>
      <xdr:rowOff>95250</xdr:rowOff>
    </xdr:to>
    <xdr:sp macro="" textlink="">
      <xdr:nvSpPr>
        <xdr:cNvPr id="4365" name="Line 24"/>
        <xdr:cNvSpPr>
          <a:spLocks noChangeShapeType="1"/>
        </xdr:cNvSpPr>
      </xdr:nvSpPr>
      <xdr:spPr bwMode="auto">
        <a:xfrm>
          <a:off x="3495675" y="923925"/>
          <a:ext cx="28575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33</xdr:col>
      <xdr:colOff>66675</xdr:colOff>
      <xdr:row>7</xdr:row>
      <xdr:rowOff>76200</xdr:rowOff>
    </xdr:from>
    <xdr:to>
      <xdr:col>34</xdr:col>
      <xdr:colOff>9525</xdr:colOff>
      <xdr:row>7</xdr:row>
      <xdr:rowOff>85725</xdr:rowOff>
    </xdr:to>
    <xdr:sp macro="" textlink="">
      <xdr:nvSpPr>
        <xdr:cNvPr id="4366" name="Line 25"/>
        <xdr:cNvSpPr>
          <a:spLocks noChangeShapeType="1"/>
        </xdr:cNvSpPr>
      </xdr:nvSpPr>
      <xdr:spPr bwMode="auto">
        <a:xfrm flipV="1">
          <a:off x="3981450" y="1085850"/>
          <a:ext cx="66675" cy="95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34</xdr:col>
      <xdr:colOff>0</xdr:colOff>
      <xdr:row>7</xdr:row>
      <xdr:rowOff>114300</xdr:rowOff>
    </xdr:from>
    <xdr:to>
      <xdr:col>34</xdr:col>
      <xdr:colOff>66675</xdr:colOff>
      <xdr:row>7</xdr:row>
      <xdr:rowOff>123825</xdr:rowOff>
    </xdr:to>
    <xdr:sp macro="" textlink="">
      <xdr:nvSpPr>
        <xdr:cNvPr id="4367" name="Line 26"/>
        <xdr:cNvSpPr>
          <a:spLocks noChangeShapeType="1"/>
        </xdr:cNvSpPr>
      </xdr:nvSpPr>
      <xdr:spPr bwMode="auto">
        <a:xfrm flipV="1">
          <a:off x="4038600" y="1123950"/>
          <a:ext cx="66675" cy="95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34</xdr:col>
      <xdr:colOff>28575</xdr:colOff>
      <xdr:row>7</xdr:row>
      <xdr:rowOff>152400</xdr:rowOff>
    </xdr:from>
    <xdr:to>
      <xdr:col>34</xdr:col>
      <xdr:colOff>104775</xdr:colOff>
      <xdr:row>7</xdr:row>
      <xdr:rowOff>161925</xdr:rowOff>
    </xdr:to>
    <xdr:sp macro="" textlink="">
      <xdr:nvSpPr>
        <xdr:cNvPr id="4368" name="Line 27"/>
        <xdr:cNvSpPr>
          <a:spLocks noChangeShapeType="1"/>
        </xdr:cNvSpPr>
      </xdr:nvSpPr>
      <xdr:spPr bwMode="auto">
        <a:xfrm flipV="1">
          <a:off x="4067175" y="1162050"/>
          <a:ext cx="76200" cy="95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35</xdr:col>
      <xdr:colOff>38100</xdr:colOff>
      <xdr:row>8</xdr:row>
      <xdr:rowOff>57150</xdr:rowOff>
    </xdr:from>
    <xdr:to>
      <xdr:col>35</xdr:col>
      <xdr:colOff>95250</xdr:colOff>
      <xdr:row>8</xdr:row>
      <xdr:rowOff>66675</xdr:rowOff>
    </xdr:to>
    <xdr:sp macro="" textlink="">
      <xdr:nvSpPr>
        <xdr:cNvPr id="4369" name="Line 28"/>
        <xdr:cNvSpPr>
          <a:spLocks noChangeShapeType="1"/>
        </xdr:cNvSpPr>
      </xdr:nvSpPr>
      <xdr:spPr bwMode="auto">
        <a:xfrm flipV="1">
          <a:off x="4200525" y="1247775"/>
          <a:ext cx="57150" cy="95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35</xdr:col>
      <xdr:colOff>66675</xdr:colOff>
      <xdr:row>8</xdr:row>
      <xdr:rowOff>95250</xdr:rowOff>
    </xdr:from>
    <xdr:to>
      <xdr:col>36</xdr:col>
      <xdr:colOff>9525</xdr:colOff>
      <xdr:row>8</xdr:row>
      <xdr:rowOff>104775</xdr:rowOff>
    </xdr:to>
    <xdr:sp macro="" textlink="">
      <xdr:nvSpPr>
        <xdr:cNvPr id="4370" name="Line 29"/>
        <xdr:cNvSpPr>
          <a:spLocks noChangeShapeType="1"/>
        </xdr:cNvSpPr>
      </xdr:nvSpPr>
      <xdr:spPr bwMode="auto">
        <a:xfrm flipV="1">
          <a:off x="4229100" y="1285875"/>
          <a:ext cx="76200" cy="95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35</xdr:col>
      <xdr:colOff>114300</xdr:colOff>
      <xdr:row>8</xdr:row>
      <xdr:rowOff>133350</xdr:rowOff>
    </xdr:from>
    <xdr:to>
      <xdr:col>36</xdr:col>
      <xdr:colOff>57150</xdr:colOff>
      <xdr:row>8</xdr:row>
      <xdr:rowOff>142875</xdr:rowOff>
    </xdr:to>
    <xdr:sp macro="" textlink="">
      <xdr:nvSpPr>
        <xdr:cNvPr id="4371" name="Line 30"/>
        <xdr:cNvSpPr>
          <a:spLocks noChangeShapeType="1"/>
        </xdr:cNvSpPr>
      </xdr:nvSpPr>
      <xdr:spPr bwMode="auto">
        <a:xfrm flipV="1">
          <a:off x="4276725" y="1323975"/>
          <a:ext cx="76200" cy="95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35</xdr:col>
      <xdr:colOff>0</xdr:colOff>
      <xdr:row>7</xdr:row>
      <xdr:rowOff>171450</xdr:rowOff>
    </xdr:from>
    <xdr:to>
      <xdr:col>35</xdr:col>
      <xdr:colOff>0</xdr:colOff>
      <xdr:row>8</xdr:row>
      <xdr:rowOff>47625</xdr:rowOff>
    </xdr:to>
    <xdr:sp macro="" textlink="">
      <xdr:nvSpPr>
        <xdr:cNvPr id="4372" name="Line 31"/>
        <xdr:cNvSpPr>
          <a:spLocks noChangeShapeType="1"/>
        </xdr:cNvSpPr>
      </xdr:nvSpPr>
      <xdr:spPr bwMode="auto">
        <a:xfrm>
          <a:off x="4162425" y="1181100"/>
          <a:ext cx="0" cy="571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34</xdr:col>
      <xdr:colOff>76200</xdr:colOff>
      <xdr:row>7</xdr:row>
      <xdr:rowOff>161925</xdr:rowOff>
    </xdr:from>
    <xdr:to>
      <xdr:col>34</xdr:col>
      <xdr:colOff>76200</xdr:colOff>
      <xdr:row>8</xdr:row>
      <xdr:rowOff>19050</xdr:rowOff>
    </xdr:to>
    <xdr:sp macro="" textlink="">
      <xdr:nvSpPr>
        <xdr:cNvPr id="4373" name="Line 32"/>
        <xdr:cNvSpPr>
          <a:spLocks noChangeShapeType="1"/>
        </xdr:cNvSpPr>
      </xdr:nvSpPr>
      <xdr:spPr bwMode="auto">
        <a:xfrm>
          <a:off x="4114800" y="1171575"/>
          <a:ext cx="0" cy="381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35</xdr:col>
      <xdr:colOff>38100</xdr:colOff>
      <xdr:row>8</xdr:row>
      <xdr:rowOff>9525</xdr:rowOff>
    </xdr:from>
    <xdr:to>
      <xdr:col>35</xdr:col>
      <xdr:colOff>47625</xdr:colOff>
      <xdr:row>8</xdr:row>
      <xdr:rowOff>76200</xdr:rowOff>
    </xdr:to>
    <xdr:sp macro="" textlink="">
      <xdr:nvSpPr>
        <xdr:cNvPr id="4374" name="Line 33"/>
        <xdr:cNvSpPr>
          <a:spLocks noChangeShapeType="1"/>
        </xdr:cNvSpPr>
      </xdr:nvSpPr>
      <xdr:spPr bwMode="auto">
        <a:xfrm>
          <a:off x="4200525" y="1200150"/>
          <a:ext cx="9525" cy="666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104775</xdr:colOff>
      <xdr:row>6</xdr:row>
      <xdr:rowOff>38100</xdr:rowOff>
    </xdr:from>
    <xdr:to>
      <xdr:col>34</xdr:col>
      <xdr:colOff>19050</xdr:colOff>
      <xdr:row>6</xdr:row>
      <xdr:rowOff>171450</xdr:rowOff>
    </xdr:to>
    <xdr:sp macro="" textlink="">
      <xdr:nvSpPr>
        <xdr:cNvPr id="4375" name="Freeform 34"/>
        <xdr:cNvSpPr>
          <a:spLocks/>
        </xdr:cNvSpPr>
      </xdr:nvSpPr>
      <xdr:spPr bwMode="auto">
        <a:xfrm>
          <a:off x="3895725" y="866775"/>
          <a:ext cx="161925" cy="133350"/>
        </a:xfrm>
        <a:custGeom>
          <a:avLst/>
          <a:gdLst>
            <a:gd name="T0" fmla="*/ 0 w 17"/>
            <a:gd name="T1" fmla="*/ 0 h 14"/>
            <a:gd name="T2" fmla="*/ 17 w 17"/>
            <a:gd name="T3" fmla="*/ 0 h 14"/>
            <a:gd name="T4" fmla="*/ 17 w 17"/>
            <a:gd name="T5" fmla="*/ 14 h 14"/>
            <a:gd name="T6" fmla="*/ 0 60000 65536"/>
            <a:gd name="T7" fmla="*/ 0 60000 65536"/>
            <a:gd name="T8" fmla="*/ 0 60000 65536"/>
            <a:gd name="T9" fmla="*/ 0 w 17"/>
            <a:gd name="T10" fmla="*/ 0 h 14"/>
            <a:gd name="T11" fmla="*/ 17 w 17"/>
            <a:gd name="T12" fmla="*/ 14 h 14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7" h="14">
              <a:moveTo>
                <a:pt x="0" y="0"/>
              </a:moveTo>
              <a:lnTo>
                <a:pt x="17" y="0"/>
              </a:lnTo>
              <a:lnTo>
                <a:pt x="17" y="14"/>
              </a:lnTo>
            </a:path>
          </a:pathLst>
        </a:custGeom>
        <a:noFill/>
        <a:ln w="9525">
          <a:solidFill>
            <a:srgbClr val="000000"/>
          </a:solidFill>
          <a:round/>
          <a:headEnd type="none" w="med" len="med"/>
          <a:tailEnd type="none" w="med" len="med"/>
        </a:ln>
      </xdr:spPr>
    </xdr:sp>
    <xdr:clientData/>
  </xdr:twoCellAnchor>
  <xdr:twoCellAnchor>
    <xdr:from>
      <xdr:col>16</xdr:col>
      <xdr:colOff>114300</xdr:colOff>
      <xdr:row>6</xdr:row>
      <xdr:rowOff>28575</xdr:rowOff>
    </xdr:from>
    <xdr:to>
      <xdr:col>18</xdr:col>
      <xdr:colOff>38100</xdr:colOff>
      <xdr:row>6</xdr:row>
      <xdr:rowOff>161925</xdr:rowOff>
    </xdr:to>
    <xdr:sp macro="" textlink="">
      <xdr:nvSpPr>
        <xdr:cNvPr id="4376" name="Freeform 36"/>
        <xdr:cNvSpPr>
          <a:spLocks/>
        </xdr:cNvSpPr>
      </xdr:nvSpPr>
      <xdr:spPr bwMode="auto">
        <a:xfrm>
          <a:off x="1924050" y="857250"/>
          <a:ext cx="171450" cy="133350"/>
        </a:xfrm>
        <a:custGeom>
          <a:avLst/>
          <a:gdLst>
            <a:gd name="T0" fmla="*/ 0 w 18"/>
            <a:gd name="T1" fmla="*/ 14 h 14"/>
            <a:gd name="T2" fmla="*/ 0 w 18"/>
            <a:gd name="T3" fmla="*/ 0 h 14"/>
            <a:gd name="T4" fmla="*/ 18 w 18"/>
            <a:gd name="T5" fmla="*/ 0 h 14"/>
            <a:gd name="T6" fmla="*/ 0 60000 65536"/>
            <a:gd name="T7" fmla="*/ 0 60000 65536"/>
            <a:gd name="T8" fmla="*/ 0 60000 65536"/>
            <a:gd name="T9" fmla="*/ 0 w 18"/>
            <a:gd name="T10" fmla="*/ 0 h 14"/>
            <a:gd name="T11" fmla="*/ 18 w 18"/>
            <a:gd name="T12" fmla="*/ 14 h 14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8" h="14">
              <a:moveTo>
                <a:pt x="0" y="14"/>
              </a:moveTo>
              <a:lnTo>
                <a:pt x="0" y="0"/>
              </a:lnTo>
              <a:lnTo>
                <a:pt x="18" y="0"/>
              </a:lnTo>
            </a:path>
          </a:pathLst>
        </a:custGeom>
        <a:noFill/>
        <a:ln w="9525">
          <a:solidFill>
            <a:srgbClr val="000000"/>
          </a:solidFill>
          <a:round/>
          <a:headEnd type="none" w="med" len="med"/>
          <a:tailEnd type="none" w="med" len="med"/>
        </a:ln>
      </xdr:spPr>
    </xdr:sp>
    <xdr:clientData/>
  </xdr:twoCellAnchor>
  <xdr:twoCellAnchor>
    <xdr:from>
      <xdr:col>10</xdr:col>
      <xdr:colOff>95250</xdr:colOff>
      <xdr:row>6</xdr:row>
      <xdr:rowOff>104775</xdr:rowOff>
    </xdr:from>
    <xdr:to>
      <xdr:col>15</xdr:col>
      <xdr:colOff>19050</xdr:colOff>
      <xdr:row>7</xdr:row>
      <xdr:rowOff>152400</xdr:rowOff>
    </xdr:to>
    <xdr:sp macro="" textlink="">
      <xdr:nvSpPr>
        <xdr:cNvPr id="4377" name="Freeform 37"/>
        <xdr:cNvSpPr>
          <a:spLocks/>
        </xdr:cNvSpPr>
      </xdr:nvSpPr>
      <xdr:spPr bwMode="auto">
        <a:xfrm>
          <a:off x="1314450" y="933450"/>
          <a:ext cx="428625" cy="228600"/>
        </a:xfrm>
        <a:custGeom>
          <a:avLst/>
          <a:gdLst>
            <a:gd name="T0" fmla="*/ 0 w 50"/>
            <a:gd name="T1" fmla="*/ 23 h 24"/>
            <a:gd name="T2" fmla="*/ 0 w 50"/>
            <a:gd name="T3" fmla="*/ 0 h 24"/>
            <a:gd name="T4" fmla="*/ 50 w 50"/>
            <a:gd name="T5" fmla="*/ 0 h 24"/>
            <a:gd name="T6" fmla="*/ 50 w 50"/>
            <a:gd name="T7" fmla="*/ 24 h 24"/>
            <a:gd name="T8" fmla="*/ 0 60000 65536"/>
            <a:gd name="T9" fmla="*/ 0 60000 65536"/>
            <a:gd name="T10" fmla="*/ 0 60000 65536"/>
            <a:gd name="T11" fmla="*/ 0 60000 65536"/>
            <a:gd name="T12" fmla="*/ 0 w 50"/>
            <a:gd name="T13" fmla="*/ 0 h 24"/>
            <a:gd name="T14" fmla="*/ 50 w 50"/>
            <a:gd name="T15" fmla="*/ 24 h 2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50" h="24">
              <a:moveTo>
                <a:pt x="0" y="23"/>
              </a:moveTo>
              <a:lnTo>
                <a:pt x="0" y="0"/>
              </a:lnTo>
              <a:lnTo>
                <a:pt x="50" y="0"/>
              </a:lnTo>
              <a:lnTo>
                <a:pt x="50" y="24"/>
              </a:lnTo>
            </a:path>
          </a:pathLst>
        </a:custGeom>
        <a:noFill/>
        <a:ln w="9525">
          <a:solidFill>
            <a:srgbClr val="000000"/>
          </a:solidFill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76200</xdr:colOff>
      <xdr:row>13</xdr:row>
      <xdr:rowOff>19050</xdr:rowOff>
    </xdr:from>
    <xdr:to>
      <xdr:col>14</xdr:col>
      <xdr:colOff>28575</xdr:colOff>
      <xdr:row>13</xdr:row>
      <xdr:rowOff>19050</xdr:rowOff>
    </xdr:to>
    <xdr:sp macro="" textlink="">
      <xdr:nvSpPr>
        <xdr:cNvPr id="4378" name="Line 39"/>
        <xdr:cNvSpPr>
          <a:spLocks noChangeShapeType="1"/>
        </xdr:cNvSpPr>
      </xdr:nvSpPr>
      <xdr:spPr bwMode="auto">
        <a:xfrm>
          <a:off x="1419225" y="2114550"/>
          <a:ext cx="247650" cy="0"/>
        </a:xfrm>
        <a:prstGeom prst="line">
          <a:avLst/>
        </a:prstGeom>
        <a:noFill/>
        <a:ln w="12700">
          <a:solidFill>
            <a:srgbClr val="000000"/>
          </a:solidFill>
          <a:prstDash val="dash"/>
          <a:round/>
          <a:headEnd/>
          <a:tailEnd/>
        </a:ln>
      </xdr:spPr>
    </xdr:sp>
    <xdr:clientData/>
  </xdr:twoCellAnchor>
  <xdr:twoCellAnchor>
    <xdr:from>
      <xdr:col>10</xdr:col>
      <xdr:colOff>19050</xdr:colOff>
      <xdr:row>11</xdr:row>
      <xdr:rowOff>95250</xdr:rowOff>
    </xdr:from>
    <xdr:to>
      <xdr:col>11</xdr:col>
      <xdr:colOff>57150</xdr:colOff>
      <xdr:row>11</xdr:row>
      <xdr:rowOff>161925</xdr:rowOff>
    </xdr:to>
    <xdr:sp macro="" textlink="">
      <xdr:nvSpPr>
        <xdr:cNvPr id="4379" name="Freeform 40"/>
        <xdr:cNvSpPr>
          <a:spLocks/>
        </xdr:cNvSpPr>
      </xdr:nvSpPr>
      <xdr:spPr bwMode="auto">
        <a:xfrm>
          <a:off x="1238250" y="1828800"/>
          <a:ext cx="161925" cy="66675"/>
        </a:xfrm>
        <a:custGeom>
          <a:avLst/>
          <a:gdLst>
            <a:gd name="T0" fmla="*/ 17 w 17"/>
            <a:gd name="T1" fmla="*/ 7 h 7"/>
            <a:gd name="T2" fmla="*/ 0 w 17"/>
            <a:gd name="T3" fmla="*/ 7 h 7"/>
            <a:gd name="T4" fmla="*/ 0 w 17"/>
            <a:gd name="T5" fmla="*/ 0 h 7"/>
            <a:gd name="T6" fmla="*/ 16 w 17"/>
            <a:gd name="T7" fmla="*/ 0 h 7"/>
            <a:gd name="T8" fmla="*/ 0 60000 65536"/>
            <a:gd name="T9" fmla="*/ 0 60000 65536"/>
            <a:gd name="T10" fmla="*/ 0 60000 65536"/>
            <a:gd name="T11" fmla="*/ 0 60000 65536"/>
            <a:gd name="T12" fmla="*/ 0 w 17"/>
            <a:gd name="T13" fmla="*/ 0 h 7"/>
            <a:gd name="T14" fmla="*/ 17 w 17"/>
            <a:gd name="T15" fmla="*/ 7 h 7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7" h="7">
              <a:moveTo>
                <a:pt x="17" y="7"/>
              </a:moveTo>
              <a:lnTo>
                <a:pt x="0" y="7"/>
              </a:lnTo>
              <a:lnTo>
                <a:pt x="0" y="0"/>
              </a:lnTo>
              <a:lnTo>
                <a:pt x="16" y="0"/>
              </a:lnTo>
            </a:path>
          </a:pathLst>
        </a:custGeom>
        <a:noFill/>
        <a:ln w="9525">
          <a:solidFill>
            <a:srgbClr val="000000"/>
          </a:solidFill>
          <a:round/>
          <a:headEnd type="none" w="med" len="med"/>
          <a:tailEnd type="none" w="med" len="med"/>
        </a:ln>
      </xdr:spPr>
    </xdr:sp>
    <xdr:clientData/>
  </xdr:twoCellAnchor>
  <xdr:twoCellAnchor>
    <xdr:from>
      <xdr:col>6</xdr:col>
      <xdr:colOff>85725</xdr:colOff>
      <xdr:row>7</xdr:row>
      <xdr:rowOff>152400</xdr:rowOff>
    </xdr:from>
    <xdr:to>
      <xdr:col>7</xdr:col>
      <xdr:colOff>9525</xdr:colOff>
      <xdr:row>8</xdr:row>
      <xdr:rowOff>19050</xdr:rowOff>
    </xdr:to>
    <xdr:sp macro="" textlink="">
      <xdr:nvSpPr>
        <xdr:cNvPr id="4380" name="Line 41"/>
        <xdr:cNvSpPr>
          <a:spLocks noChangeShapeType="1"/>
        </xdr:cNvSpPr>
      </xdr:nvSpPr>
      <xdr:spPr bwMode="auto">
        <a:xfrm flipV="1">
          <a:off x="809625" y="1162050"/>
          <a:ext cx="47625" cy="476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7</xdr:col>
      <xdr:colOff>38100</xdr:colOff>
      <xdr:row>7</xdr:row>
      <xdr:rowOff>152400</xdr:rowOff>
    </xdr:from>
    <xdr:to>
      <xdr:col>7</xdr:col>
      <xdr:colOff>85725</xdr:colOff>
      <xdr:row>8</xdr:row>
      <xdr:rowOff>19050</xdr:rowOff>
    </xdr:to>
    <xdr:sp macro="" textlink="">
      <xdr:nvSpPr>
        <xdr:cNvPr id="4381" name="Line 42"/>
        <xdr:cNvSpPr>
          <a:spLocks noChangeShapeType="1"/>
        </xdr:cNvSpPr>
      </xdr:nvSpPr>
      <xdr:spPr bwMode="auto">
        <a:xfrm flipV="1">
          <a:off x="885825" y="1162050"/>
          <a:ext cx="47625" cy="476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7</xdr:col>
      <xdr:colOff>104775</xdr:colOff>
      <xdr:row>7</xdr:row>
      <xdr:rowOff>152400</xdr:rowOff>
    </xdr:from>
    <xdr:to>
      <xdr:col>8</xdr:col>
      <xdr:colOff>28575</xdr:colOff>
      <xdr:row>8</xdr:row>
      <xdr:rowOff>19050</xdr:rowOff>
    </xdr:to>
    <xdr:sp macro="" textlink="">
      <xdr:nvSpPr>
        <xdr:cNvPr id="4382" name="Line 43"/>
        <xdr:cNvSpPr>
          <a:spLocks noChangeShapeType="1"/>
        </xdr:cNvSpPr>
      </xdr:nvSpPr>
      <xdr:spPr bwMode="auto">
        <a:xfrm flipV="1">
          <a:off x="952500" y="1162050"/>
          <a:ext cx="47625" cy="476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0</xdr:colOff>
      <xdr:row>7</xdr:row>
      <xdr:rowOff>152400</xdr:rowOff>
    </xdr:from>
    <xdr:to>
      <xdr:col>9</xdr:col>
      <xdr:colOff>47625</xdr:colOff>
      <xdr:row>8</xdr:row>
      <xdr:rowOff>19050</xdr:rowOff>
    </xdr:to>
    <xdr:sp macro="" textlink="">
      <xdr:nvSpPr>
        <xdr:cNvPr id="4383" name="Line 44"/>
        <xdr:cNvSpPr>
          <a:spLocks noChangeShapeType="1"/>
        </xdr:cNvSpPr>
      </xdr:nvSpPr>
      <xdr:spPr bwMode="auto">
        <a:xfrm flipV="1">
          <a:off x="1095375" y="1162050"/>
          <a:ext cx="47625" cy="476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76200</xdr:colOff>
      <xdr:row>9</xdr:row>
      <xdr:rowOff>9525</xdr:rowOff>
    </xdr:from>
    <xdr:to>
      <xdr:col>8</xdr:col>
      <xdr:colOff>104775</xdr:colOff>
      <xdr:row>9</xdr:row>
      <xdr:rowOff>9525</xdr:rowOff>
    </xdr:to>
    <xdr:sp macro="" textlink="">
      <xdr:nvSpPr>
        <xdr:cNvPr id="4384" name="Line 45"/>
        <xdr:cNvSpPr>
          <a:spLocks noChangeShapeType="1"/>
        </xdr:cNvSpPr>
      </xdr:nvSpPr>
      <xdr:spPr bwMode="auto">
        <a:xfrm flipV="1">
          <a:off x="676275" y="1381125"/>
          <a:ext cx="40005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</xdr:col>
      <xdr:colOff>0</xdr:colOff>
      <xdr:row>7</xdr:row>
      <xdr:rowOff>171450</xdr:rowOff>
    </xdr:from>
    <xdr:to>
      <xdr:col>8</xdr:col>
      <xdr:colOff>28575</xdr:colOff>
      <xdr:row>8</xdr:row>
      <xdr:rowOff>19050</xdr:rowOff>
    </xdr:to>
    <xdr:sp macro="" textlink="">
      <xdr:nvSpPr>
        <xdr:cNvPr id="4385" name="Line 47"/>
        <xdr:cNvSpPr>
          <a:spLocks noChangeShapeType="1"/>
        </xdr:cNvSpPr>
      </xdr:nvSpPr>
      <xdr:spPr bwMode="auto">
        <a:xfrm>
          <a:off x="971550" y="1181100"/>
          <a:ext cx="28575" cy="285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</xdr:col>
      <xdr:colOff>38100</xdr:colOff>
      <xdr:row>7</xdr:row>
      <xdr:rowOff>152400</xdr:rowOff>
    </xdr:from>
    <xdr:to>
      <xdr:col>8</xdr:col>
      <xdr:colOff>85725</xdr:colOff>
      <xdr:row>8</xdr:row>
      <xdr:rowOff>19050</xdr:rowOff>
    </xdr:to>
    <xdr:sp macro="" textlink="">
      <xdr:nvSpPr>
        <xdr:cNvPr id="4386" name="Line 48"/>
        <xdr:cNvSpPr>
          <a:spLocks noChangeShapeType="1"/>
        </xdr:cNvSpPr>
      </xdr:nvSpPr>
      <xdr:spPr bwMode="auto">
        <a:xfrm>
          <a:off x="1009650" y="1162050"/>
          <a:ext cx="47625" cy="476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</xdr:col>
      <xdr:colOff>104775</xdr:colOff>
      <xdr:row>7</xdr:row>
      <xdr:rowOff>161925</xdr:rowOff>
    </xdr:from>
    <xdr:to>
      <xdr:col>9</xdr:col>
      <xdr:colOff>28575</xdr:colOff>
      <xdr:row>8</xdr:row>
      <xdr:rowOff>19050</xdr:rowOff>
    </xdr:to>
    <xdr:sp macro="" textlink="">
      <xdr:nvSpPr>
        <xdr:cNvPr id="4387" name="Line 49"/>
        <xdr:cNvSpPr>
          <a:spLocks noChangeShapeType="1"/>
        </xdr:cNvSpPr>
      </xdr:nvSpPr>
      <xdr:spPr bwMode="auto">
        <a:xfrm>
          <a:off x="1076325" y="1171575"/>
          <a:ext cx="47625" cy="381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76200</xdr:colOff>
      <xdr:row>7</xdr:row>
      <xdr:rowOff>0</xdr:rowOff>
    </xdr:from>
    <xdr:to>
      <xdr:col>17</xdr:col>
      <xdr:colOff>76200</xdr:colOff>
      <xdr:row>7</xdr:row>
      <xdr:rowOff>47625</xdr:rowOff>
    </xdr:to>
    <xdr:sp macro="" textlink="">
      <xdr:nvSpPr>
        <xdr:cNvPr id="4388" name="Line 50"/>
        <xdr:cNvSpPr>
          <a:spLocks noChangeShapeType="1"/>
        </xdr:cNvSpPr>
      </xdr:nvSpPr>
      <xdr:spPr bwMode="auto">
        <a:xfrm flipV="1">
          <a:off x="2009775" y="1009650"/>
          <a:ext cx="0" cy="476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18</xdr:col>
      <xdr:colOff>9525</xdr:colOff>
      <xdr:row>6</xdr:row>
      <xdr:rowOff>133350</xdr:rowOff>
    </xdr:from>
    <xdr:to>
      <xdr:col>18</xdr:col>
      <xdr:colOff>9525</xdr:colOff>
      <xdr:row>7</xdr:row>
      <xdr:rowOff>9525</xdr:rowOff>
    </xdr:to>
    <xdr:sp macro="" textlink="">
      <xdr:nvSpPr>
        <xdr:cNvPr id="4389" name="Line 51"/>
        <xdr:cNvSpPr>
          <a:spLocks noChangeShapeType="1"/>
        </xdr:cNvSpPr>
      </xdr:nvSpPr>
      <xdr:spPr bwMode="auto">
        <a:xfrm flipV="1">
          <a:off x="2066925" y="962025"/>
          <a:ext cx="0" cy="571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18</xdr:col>
      <xdr:colOff>66675</xdr:colOff>
      <xdr:row>6</xdr:row>
      <xdr:rowOff>104775</xdr:rowOff>
    </xdr:from>
    <xdr:to>
      <xdr:col>18</xdr:col>
      <xdr:colOff>66675</xdr:colOff>
      <xdr:row>6</xdr:row>
      <xdr:rowOff>152400</xdr:rowOff>
    </xdr:to>
    <xdr:sp macro="" textlink="">
      <xdr:nvSpPr>
        <xdr:cNvPr id="4390" name="Line 52"/>
        <xdr:cNvSpPr>
          <a:spLocks noChangeShapeType="1"/>
        </xdr:cNvSpPr>
      </xdr:nvSpPr>
      <xdr:spPr bwMode="auto">
        <a:xfrm flipV="1">
          <a:off x="2124075" y="933450"/>
          <a:ext cx="0" cy="476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18</xdr:col>
      <xdr:colOff>47625</xdr:colOff>
      <xdr:row>6</xdr:row>
      <xdr:rowOff>123825</xdr:rowOff>
    </xdr:from>
    <xdr:to>
      <xdr:col>18</xdr:col>
      <xdr:colOff>85725</xdr:colOff>
      <xdr:row>6</xdr:row>
      <xdr:rowOff>133350</xdr:rowOff>
    </xdr:to>
    <xdr:sp macro="" textlink="">
      <xdr:nvSpPr>
        <xdr:cNvPr id="4391" name="Line 53"/>
        <xdr:cNvSpPr>
          <a:spLocks noChangeShapeType="1"/>
        </xdr:cNvSpPr>
      </xdr:nvSpPr>
      <xdr:spPr bwMode="auto">
        <a:xfrm flipH="1" flipV="1">
          <a:off x="2105025" y="952500"/>
          <a:ext cx="38100" cy="95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19</xdr:col>
      <xdr:colOff>57150</xdr:colOff>
      <xdr:row>6</xdr:row>
      <xdr:rowOff>9525</xdr:rowOff>
    </xdr:from>
    <xdr:to>
      <xdr:col>19</xdr:col>
      <xdr:colOff>76200</xdr:colOff>
      <xdr:row>6</xdr:row>
      <xdr:rowOff>66675</xdr:rowOff>
    </xdr:to>
    <xdr:sp macro="" textlink="">
      <xdr:nvSpPr>
        <xdr:cNvPr id="4392" name="Line 54"/>
        <xdr:cNvSpPr>
          <a:spLocks noChangeShapeType="1"/>
        </xdr:cNvSpPr>
      </xdr:nvSpPr>
      <xdr:spPr bwMode="auto">
        <a:xfrm flipV="1">
          <a:off x="2238375" y="838200"/>
          <a:ext cx="19050" cy="571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19</xdr:col>
      <xdr:colOff>28575</xdr:colOff>
      <xdr:row>6</xdr:row>
      <xdr:rowOff>47625</xdr:rowOff>
    </xdr:from>
    <xdr:to>
      <xdr:col>19</xdr:col>
      <xdr:colOff>76200</xdr:colOff>
      <xdr:row>6</xdr:row>
      <xdr:rowOff>57150</xdr:rowOff>
    </xdr:to>
    <xdr:sp macro="" textlink="">
      <xdr:nvSpPr>
        <xdr:cNvPr id="4393" name="Line 55"/>
        <xdr:cNvSpPr>
          <a:spLocks noChangeShapeType="1"/>
        </xdr:cNvSpPr>
      </xdr:nvSpPr>
      <xdr:spPr bwMode="auto">
        <a:xfrm flipH="1" flipV="1">
          <a:off x="2209800" y="876300"/>
          <a:ext cx="47625" cy="95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19</xdr:col>
      <xdr:colOff>114300</xdr:colOff>
      <xdr:row>5</xdr:row>
      <xdr:rowOff>142875</xdr:rowOff>
    </xdr:from>
    <xdr:to>
      <xdr:col>19</xdr:col>
      <xdr:colOff>114300</xdr:colOff>
      <xdr:row>6</xdr:row>
      <xdr:rowOff>28575</xdr:rowOff>
    </xdr:to>
    <xdr:sp macro="" textlink="">
      <xdr:nvSpPr>
        <xdr:cNvPr id="4394" name="Line 56"/>
        <xdr:cNvSpPr>
          <a:spLocks noChangeShapeType="1"/>
        </xdr:cNvSpPr>
      </xdr:nvSpPr>
      <xdr:spPr bwMode="auto">
        <a:xfrm flipV="1">
          <a:off x="2295525" y="809625"/>
          <a:ext cx="0" cy="476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20</xdr:col>
      <xdr:colOff>38100</xdr:colOff>
      <xdr:row>5</xdr:row>
      <xdr:rowOff>114300</xdr:rowOff>
    </xdr:from>
    <xdr:to>
      <xdr:col>20</xdr:col>
      <xdr:colOff>38100</xdr:colOff>
      <xdr:row>6</xdr:row>
      <xdr:rowOff>9525</xdr:rowOff>
    </xdr:to>
    <xdr:sp macro="" textlink="">
      <xdr:nvSpPr>
        <xdr:cNvPr id="4395" name="Line 57"/>
        <xdr:cNvSpPr>
          <a:spLocks noChangeShapeType="1"/>
        </xdr:cNvSpPr>
      </xdr:nvSpPr>
      <xdr:spPr bwMode="auto">
        <a:xfrm flipV="1">
          <a:off x="2343150" y="781050"/>
          <a:ext cx="0" cy="571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18</xdr:col>
      <xdr:colOff>114300</xdr:colOff>
      <xdr:row>6</xdr:row>
      <xdr:rowOff>76200</xdr:rowOff>
    </xdr:from>
    <xdr:to>
      <xdr:col>19</xdr:col>
      <xdr:colOff>9525</xdr:colOff>
      <xdr:row>6</xdr:row>
      <xdr:rowOff>85725</xdr:rowOff>
    </xdr:to>
    <xdr:sp macro="" textlink="">
      <xdr:nvSpPr>
        <xdr:cNvPr id="4396" name="Line 58"/>
        <xdr:cNvSpPr>
          <a:spLocks noChangeShapeType="1"/>
        </xdr:cNvSpPr>
      </xdr:nvSpPr>
      <xdr:spPr bwMode="auto">
        <a:xfrm flipH="1" flipV="1">
          <a:off x="2171700" y="904875"/>
          <a:ext cx="19050" cy="95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23</xdr:col>
      <xdr:colOff>9525</xdr:colOff>
      <xdr:row>4</xdr:row>
      <xdr:rowOff>142875</xdr:rowOff>
    </xdr:from>
    <xdr:to>
      <xdr:col>23</xdr:col>
      <xdr:colOff>57150</xdr:colOff>
      <xdr:row>5</xdr:row>
      <xdr:rowOff>28575</xdr:rowOff>
    </xdr:to>
    <xdr:sp macro="" textlink="">
      <xdr:nvSpPr>
        <xdr:cNvPr id="4397" name="Line 59"/>
        <xdr:cNvSpPr>
          <a:spLocks noChangeShapeType="1"/>
        </xdr:cNvSpPr>
      </xdr:nvSpPr>
      <xdr:spPr bwMode="auto">
        <a:xfrm flipV="1">
          <a:off x="2686050" y="647700"/>
          <a:ext cx="47625" cy="476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23</xdr:col>
      <xdr:colOff>57150</xdr:colOff>
      <xdr:row>4</xdr:row>
      <xdr:rowOff>142875</xdr:rowOff>
    </xdr:from>
    <xdr:to>
      <xdr:col>23</xdr:col>
      <xdr:colOff>104775</xdr:colOff>
      <xdr:row>5</xdr:row>
      <xdr:rowOff>28575</xdr:rowOff>
    </xdr:to>
    <xdr:sp macro="" textlink="">
      <xdr:nvSpPr>
        <xdr:cNvPr id="4398" name="Line 60"/>
        <xdr:cNvSpPr>
          <a:spLocks noChangeShapeType="1"/>
        </xdr:cNvSpPr>
      </xdr:nvSpPr>
      <xdr:spPr bwMode="auto">
        <a:xfrm flipV="1">
          <a:off x="2733675" y="647700"/>
          <a:ext cx="47625" cy="476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23</xdr:col>
      <xdr:colOff>114300</xdr:colOff>
      <xdr:row>4</xdr:row>
      <xdr:rowOff>142875</xdr:rowOff>
    </xdr:from>
    <xdr:to>
      <xdr:col>24</xdr:col>
      <xdr:colOff>38100</xdr:colOff>
      <xdr:row>5</xdr:row>
      <xdr:rowOff>28575</xdr:rowOff>
    </xdr:to>
    <xdr:sp macro="" textlink="">
      <xdr:nvSpPr>
        <xdr:cNvPr id="4399" name="Line 61"/>
        <xdr:cNvSpPr>
          <a:spLocks noChangeShapeType="1"/>
        </xdr:cNvSpPr>
      </xdr:nvSpPr>
      <xdr:spPr bwMode="auto">
        <a:xfrm flipV="1">
          <a:off x="2790825" y="647700"/>
          <a:ext cx="47625" cy="476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28575</xdr:colOff>
      <xdr:row>4</xdr:row>
      <xdr:rowOff>142875</xdr:rowOff>
    </xdr:from>
    <xdr:to>
      <xdr:col>25</xdr:col>
      <xdr:colOff>57150</xdr:colOff>
      <xdr:row>5</xdr:row>
      <xdr:rowOff>28575</xdr:rowOff>
    </xdr:to>
    <xdr:sp macro="" textlink="">
      <xdr:nvSpPr>
        <xdr:cNvPr id="4400" name="Line 62"/>
        <xdr:cNvSpPr>
          <a:spLocks noChangeShapeType="1"/>
        </xdr:cNvSpPr>
      </xdr:nvSpPr>
      <xdr:spPr bwMode="auto">
        <a:xfrm flipV="1">
          <a:off x="2952750" y="647700"/>
          <a:ext cx="28575" cy="476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66675</xdr:colOff>
      <xdr:row>4</xdr:row>
      <xdr:rowOff>142875</xdr:rowOff>
    </xdr:from>
    <xdr:to>
      <xdr:col>25</xdr:col>
      <xdr:colOff>104775</xdr:colOff>
      <xdr:row>5</xdr:row>
      <xdr:rowOff>28575</xdr:rowOff>
    </xdr:to>
    <xdr:sp macro="" textlink="">
      <xdr:nvSpPr>
        <xdr:cNvPr id="4401" name="Line 63"/>
        <xdr:cNvSpPr>
          <a:spLocks noChangeShapeType="1"/>
        </xdr:cNvSpPr>
      </xdr:nvSpPr>
      <xdr:spPr bwMode="auto">
        <a:xfrm flipV="1">
          <a:off x="2990850" y="647700"/>
          <a:ext cx="38100" cy="476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114300</xdr:colOff>
      <xdr:row>4</xdr:row>
      <xdr:rowOff>142875</xdr:rowOff>
    </xdr:from>
    <xdr:to>
      <xdr:col>26</xdr:col>
      <xdr:colOff>38100</xdr:colOff>
      <xdr:row>5</xdr:row>
      <xdr:rowOff>28575</xdr:rowOff>
    </xdr:to>
    <xdr:sp macro="" textlink="">
      <xdr:nvSpPr>
        <xdr:cNvPr id="4402" name="Line 64"/>
        <xdr:cNvSpPr>
          <a:spLocks noChangeShapeType="1"/>
        </xdr:cNvSpPr>
      </xdr:nvSpPr>
      <xdr:spPr bwMode="auto">
        <a:xfrm flipV="1">
          <a:off x="3038475" y="647700"/>
          <a:ext cx="47625" cy="476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27</xdr:col>
      <xdr:colOff>19050</xdr:colOff>
      <xdr:row>4</xdr:row>
      <xdr:rowOff>142875</xdr:rowOff>
    </xdr:from>
    <xdr:to>
      <xdr:col>27</xdr:col>
      <xdr:colOff>47625</xdr:colOff>
      <xdr:row>5</xdr:row>
      <xdr:rowOff>9525</xdr:rowOff>
    </xdr:to>
    <xdr:sp macro="" textlink="">
      <xdr:nvSpPr>
        <xdr:cNvPr id="4403" name="Line 65"/>
        <xdr:cNvSpPr>
          <a:spLocks noChangeShapeType="1"/>
        </xdr:cNvSpPr>
      </xdr:nvSpPr>
      <xdr:spPr bwMode="auto">
        <a:xfrm flipV="1">
          <a:off x="3190875" y="647700"/>
          <a:ext cx="28575" cy="285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24</xdr:col>
      <xdr:colOff>9525</xdr:colOff>
      <xdr:row>5</xdr:row>
      <xdr:rowOff>9525</xdr:rowOff>
    </xdr:from>
    <xdr:to>
      <xdr:col>24</xdr:col>
      <xdr:colOff>38100</xdr:colOff>
      <xdr:row>5</xdr:row>
      <xdr:rowOff>38100</xdr:rowOff>
    </xdr:to>
    <xdr:sp macro="" textlink="">
      <xdr:nvSpPr>
        <xdr:cNvPr id="4404" name="Line 66"/>
        <xdr:cNvSpPr>
          <a:spLocks noChangeShapeType="1"/>
        </xdr:cNvSpPr>
      </xdr:nvSpPr>
      <xdr:spPr bwMode="auto">
        <a:xfrm flipH="1" flipV="1">
          <a:off x="2809875" y="676275"/>
          <a:ext cx="28575" cy="285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24</xdr:col>
      <xdr:colOff>57150</xdr:colOff>
      <xdr:row>4</xdr:row>
      <xdr:rowOff>142875</xdr:rowOff>
    </xdr:from>
    <xdr:to>
      <xdr:col>24</xdr:col>
      <xdr:colOff>104775</xdr:colOff>
      <xdr:row>5</xdr:row>
      <xdr:rowOff>38100</xdr:rowOff>
    </xdr:to>
    <xdr:sp macro="" textlink="">
      <xdr:nvSpPr>
        <xdr:cNvPr id="4405" name="Line 67"/>
        <xdr:cNvSpPr>
          <a:spLocks noChangeShapeType="1"/>
        </xdr:cNvSpPr>
      </xdr:nvSpPr>
      <xdr:spPr bwMode="auto">
        <a:xfrm flipH="1" flipV="1">
          <a:off x="2857500" y="647700"/>
          <a:ext cx="47625" cy="571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24</xdr:col>
      <xdr:colOff>114300</xdr:colOff>
      <xdr:row>4</xdr:row>
      <xdr:rowOff>142875</xdr:rowOff>
    </xdr:from>
    <xdr:to>
      <xdr:col>25</xdr:col>
      <xdr:colOff>19050</xdr:colOff>
      <xdr:row>5</xdr:row>
      <xdr:rowOff>9525</xdr:rowOff>
    </xdr:to>
    <xdr:sp macro="" textlink="">
      <xdr:nvSpPr>
        <xdr:cNvPr id="4406" name="Line 68"/>
        <xdr:cNvSpPr>
          <a:spLocks noChangeShapeType="1"/>
        </xdr:cNvSpPr>
      </xdr:nvSpPr>
      <xdr:spPr bwMode="auto">
        <a:xfrm flipH="1" flipV="1">
          <a:off x="2914650" y="647700"/>
          <a:ext cx="28575" cy="285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26</xdr:col>
      <xdr:colOff>9525</xdr:colOff>
      <xdr:row>5</xdr:row>
      <xdr:rowOff>9525</xdr:rowOff>
    </xdr:from>
    <xdr:to>
      <xdr:col>26</xdr:col>
      <xdr:colOff>38100</xdr:colOff>
      <xdr:row>5</xdr:row>
      <xdr:rowOff>28575</xdr:rowOff>
    </xdr:to>
    <xdr:sp macro="" textlink="">
      <xdr:nvSpPr>
        <xdr:cNvPr id="4407" name="Line 69"/>
        <xdr:cNvSpPr>
          <a:spLocks noChangeShapeType="1"/>
        </xdr:cNvSpPr>
      </xdr:nvSpPr>
      <xdr:spPr bwMode="auto">
        <a:xfrm flipH="1" flipV="1">
          <a:off x="3057525" y="676275"/>
          <a:ext cx="28575" cy="190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26</xdr:col>
      <xdr:colOff>47625</xdr:colOff>
      <xdr:row>4</xdr:row>
      <xdr:rowOff>142875</xdr:rowOff>
    </xdr:from>
    <xdr:to>
      <xdr:col>26</xdr:col>
      <xdr:colOff>95250</xdr:colOff>
      <xdr:row>5</xdr:row>
      <xdr:rowOff>28575</xdr:rowOff>
    </xdr:to>
    <xdr:sp macro="" textlink="">
      <xdr:nvSpPr>
        <xdr:cNvPr id="4408" name="Line 70"/>
        <xdr:cNvSpPr>
          <a:spLocks noChangeShapeType="1"/>
        </xdr:cNvSpPr>
      </xdr:nvSpPr>
      <xdr:spPr bwMode="auto">
        <a:xfrm flipH="1" flipV="1">
          <a:off x="3095625" y="647700"/>
          <a:ext cx="47625" cy="476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26</xdr:col>
      <xdr:colOff>104775</xdr:colOff>
      <xdr:row>4</xdr:row>
      <xdr:rowOff>142875</xdr:rowOff>
    </xdr:from>
    <xdr:to>
      <xdr:col>27</xdr:col>
      <xdr:colOff>28575</xdr:colOff>
      <xdr:row>5</xdr:row>
      <xdr:rowOff>28575</xdr:rowOff>
    </xdr:to>
    <xdr:sp macro="" textlink="">
      <xdr:nvSpPr>
        <xdr:cNvPr id="4409" name="Line 71"/>
        <xdr:cNvSpPr>
          <a:spLocks noChangeShapeType="1"/>
        </xdr:cNvSpPr>
      </xdr:nvSpPr>
      <xdr:spPr bwMode="auto">
        <a:xfrm flipH="1" flipV="1">
          <a:off x="3152775" y="647700"/>
          <a:ext cx="47625" cy="476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24</xdr:col>
      <xdr:colOff>114300</xdr:colOff>
      <xdr:row>10</xdr:row>
      <xdr:rowOff>9525</xdr:rowOff>
    </xdr:from>
    <xdr:to>
      <xdr:col>24</xdr:col>
      <xdr:colOff>114300</xdr:colOff>
      <xdr:row>10</xdr:row>
      <xdr:rowOff>161925</xdr:rowOff>
    </xdr:to>
    <xdr:sp macro="" textlink="">
      <xdr:nvSpPr>
        <xdr:cNvPr id="4410" name="Line 72"/>
        <xdr:cNvSpPr>
          <a:spLocks noChangeShapeType="1"/>
        </xdr:cNvSpPr>
      </xdr:nvSpPr>
      <xdr:spPr bwMode="auto">
        <a:xfrm>
          <a:off x="2914650" y="1562100"/>
          <a:ext cx="0" cy="1524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14</xdr:col>
      <xdr:colOff>47625</xdr:colOff>
      <xdr:row>10</xdr:row>
      <xdr:rowOff>85725</xdr:rowOff>
    </xdr:from>
    <xdr:to>
      <xdr:col>24</xdr:col>
      <xdr:colOff>114300</xdr:colOff>
      <xdr:row>10</xdr:row>
      <xdr:rowOff>85725</xdr:rowOff>
    </xdr:to>
    <xdr:sp macro="" textlink="">
      <xdr:nvSpPr>
        <xdr:cNvPr id="4411" name="Line 73"/>
        <xdr:cNvSpPr>
          <a:spLocks noChangeShapeType="1"/>
        </xdr:cNvSpPr>
      </xdr:nvSpPr>
      <xdr:spPr bwMode="auto">
        <a:xfrm flipH="1">
          <a:off x="1685925" y="1638300"/>
          <a:ext cx="1228725" cy="0"/>
        </a:xfrm>
        <a:prstGeom prst="line">
          <a:avLst/>
        </a:prstGeom>
        <a:noFill/>
        <a:ln w="9525">
          <a:solidFill>
            <a:srgbClr val="000000"/>
          </a:solidFill>
          <a:round/>
          <a:headEnd type="stealth" w="sm" len="med"/>
          <a:tailEnd type="stealth" w="sm" len="med"/>
        </a:ln>
      </xdr:spPr>
    </xdr:sp>
    <xdr:clientData/>
  </xdr:twoCellAnchor>
  <xdr:twoCellAnchor>
    <xdr:from>
      <xdr:col>21</xdr:col>
      <xdr:colOff>104775</xdr:colOff>
      <xdr:row>0</xdr:row>
      <xdr:rowOff>133350</xdr:rowOff>
    </xdr:from>
    <xdr:to>
      <xdr:col>21</xdr:col>
      <xdr:colOff>104775</xdr:colOff>
      <xdr:row>4</xdr:row>
      <xdr:rowOff>104775</xdr:rowOff>
    </xdr:to>
    <xdr:sp macro="" textlink="">
      <xdr:nvSpPr>
        <xdr:cNvPr id="4412" name="Line 74"/>
        <xdr:cNvSpPr>
          <a:spLocks noChangeShapeType="1"/>
        </xdr:cNvSpPr>
      </xdr:nvSpPr>
      <xdr:spPr bwMode="auto">
        <a:xfrm flipV="1">
          <a:off x="2533650" y="28575"/>
          <a:ext cx="0" cy="5810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29</xdr:col>
      <xdr:colOff>85725</xdr:colOff>
      <xdr:row>0</xdr:row>
      <xdr:rowOff>114300</xdr:rowOff>
    </xdr:from>
    <xdr:to>
      <xdr:col>29</xdr:col>
      <xdr:colOff>85725</xdr:colOff>
      <xdr:row>4</xdr:row>
      <xdr:rowOff>123825</xdr:rowOff>
    </xdr:to>
    <xdr:sp macro="" textlink="">
      <xdr:nvSpPr>
        <xdr:cNvPr id="4413" name="Line 75"/>
        <xdr:cNvSpPr>
          <a:spLocks noChangeShapeType="1"/>
        </xdr:cNvSpPr>
      </xdr:nvSpPr>
      <xdr:spPr bwMode="auto">
        <a:xfrm flipV="1">
          <a:off x="3505200" y="28575"/>
          <a:ext cx="0" cy="6000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104775</xdr:colOff>
      <xdr:row>2</xdr:row>
      <xdr:rowOff>28575</xdr:rowOff>
    </xdr:from>
    <xdr:to>
      <xdr:col>29</xdr:col>
      <xdr:colOff>85725</xdr:colOff>
      <xdr:row>2</xdr:row>
      <xdr:rowOff>28575</xdr:rowOff>
    </xdr:to>
    <xdr:sp macro="" textlink="">
      <xdr:nvSpPr>
        <xdr:cNvPr id="4414" name="Line 76"/>
        <xdr:cNvSpPr>
          <a:spLocks noChangeShapeType="1"/>
        </xdr:cNvSpPr>
      </xdr:nvSpPr>
      <xdr:spPr bwMode="auto">
        <a:xfrm>
          <a:off x="2533650" y="209550"/>
          <a:ext cx="971550" cy="0"/>
        </a:xfrm>
        <a:prstGeom prst="line">
          <a:avLst/>
        </a:prstGeom>
        <a:noFill/>
        <a:ln w="9525">
          <a:solidFill>
            <a:srgbClr val="000000"/>
          </a:solidFill>
          <a:round/>
          <a:headEnd type="stealth" w="sm" len="med"/>
          <a:tailEnd type="stealth" w="sm" len="med"/>
        </a:ln>
      </xdr:spPr>
    </xdr:sp>
    <xdr:clientData/>
  </xdr:twoCellAnchor>
  <xdr:twoCellAnchor>
    <xdr:from>
      <xdr:col>15</xdr:col>
      <xdr:colOff>76200</xdr:colOff>
      <xdr:row>2</xdr:row>
      <xdr:rowOff>28575</xdr:rowOff>
    </xdr:from>
    <xdr:to>
      <xdr:col>21</xdr:col>
      <xdr:colOff>95250</xdr:colOff>
      <xdr:row>2</xdr:row>
      <xdr:rowOff>28575</xdr:rowOff>
    </xdr:to>
    <xdr:sp macro="" textlink="">
      <xdr:nvSpPr>
        <xdr:cNvPr id="4415" name="Line 77"/>
        <xdr:cNvSpPr>
          <a:spLocks noChangeShapeType="1"/>
        </xdr:cNvSpPr>
      </xdr:nvSpPr>
      <xdr:spPr bwMode="auto">
        <a:xfrm>
          <a:off x="1800225" y="209550"/>
          <a:ext cx="723900" cy="0"/>
        </a:xfrm>
        <a:prstGeom prst="line">
          <a:avLst/>
        </a:prstGeom>
        <a:noFill/>
        <a:ln w="9525">
          <a:solidFill>
            <a:srgbClr val="000000"/>
          </a:solidFill>
          <a:round/>
          <a:headEnd type="stealth" w="sm" len="med"/>
          <a:tailEnd type="stealth" w="sm" len="med"/>
        </a:ln>
      </xdr:spPr>
    </xdr:sp>
    <xdr:clientData/>
  </xdr:twoCellAnchor>
  <xdr:twoCellAnchor>
    <xdr:from>
      <xdr:col>15</xdr:col>
      <xdr:colOff>66675</xdr:colOff>
      <xdr:row>0</xdr:row>
      <xdr:rowOff>123825</xdr:rowOff>
    </xdr:from>
    <xdr:to>
      <xdr:col>15</xdr:col>
      <xdr:colOff>66675</xdr:colOff>
      <xdr:row>7</xdr:row>
      <xdr:rowOff>95250</xdr:rowOff>
    </xdr:to>
    <xdr:sp macro="" textlink="">
      <xdr:nvSpPr>
        <xdr:cNvPr id="4416" name="Line 78"/>
        <xdr:cNvSpPr>
          <a:spLocks noChangeShapeType="1"/>
        </xdr:cNvSpPr>
      </xdr:nvSpPr>
      <xdr:spPr bwMode="auto">
        <a:xfrm flipV="1">
          <a:off x="1790700" y="28575"/>
          <a:ext cx="0" cy="10763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15</xdr:col>
      <xdr:colOff>66675</xdr:colOff>
      <xdr:row>3</xdr:row>
      <xdr:rowOff>114300</xdr:rowOff>
    </xdr:from>
    <xdr:to>
      <xdr:col>16</xdr:col>
      <xdr:colOff>104775</xdr:colOff>
      <xdr:row>3</xdr:row>
      <xdr:rowOff>114300</xdr:rowOff>
    </xdr:to>
    <xdr:sp macro="" textlink="">
      <xdr:nvSpPr>
        <xdr:cNvPr id="4417" name="Line 79"/>
        <xdr:cNvSpPr>
          <a:spLocks noChangeShapeType="1"/>
        </xdr:cNvSpPr>
      </xdr:nvSpPr>
      <xdr:spPr bwMode="auto">
        <a:xfrm>
          <a:off x="1790700" y="457200"/>
          <a:ext cx="123825" cy="0"/>
        </a:xfrm>
        <a:prstGeom prst="line">
          <a:avLst/>
        </a:prstGeom>
        <a:noFill/>
        <a:ln w="9525">
          <a:solidFill>
            <a:srgbClr val="000000"/>
          </a:solidFill>
          <a:round/>
          <a:headEnd type="stealth" w="sm" len="med"/>
          <a:tailEnd/>
        </a:ln>
      </xdr:spPr>
    </xdr:sp>
    <xdr:clientData/>
  </xdr:twoCellAnchor>
  <xdr:twoCellAnchor>
    <xdr:from>
      <xdr:col>12</xdr:col>
      <xdr:colOff>19050</xdr:colOff>
      <xdr:row>3</xdr:row>
      <xdr:rowOff>114300</xdr:rowOff>
    </xdr:from>
    <xdr:to>
      <xdr:col>14</xdr:col>
      <xdr:colOff>38100</xdr:colOff>
      <xdr:row>3</xdr:row>
      <xdr:rowOff>114300</xdr:rowOff>
    </xdr:to>
    <xdr:sp macro="" textlink="">
      <xdr:nvSpPr>
        <xdr:cNvPr id="4418" name="Line 80"/>
        <xdr:cNvSpPr>
          <a:spLocks noChangeShapeType="1"/>
        </xdr:cNvSpPr>
      </xdr:nvSpPr>
      <xdr:spPr bwMode="auto">
        <a:xfrm>
          <a:off x="1485900" y="457200"/>
          <a:ext cx="1905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stealth" w="sm" len="med"/>
        </a:ln>
      </xdr:spPr>
    </xdr:sp>
    <xdr:clientData/>
  </xdr:twoCellAnchor>
  <xdr:twoCellAnchor>
    <xdr:from>
      <xdr:col>14</xdr:col>
      <xdr:colOff>38100</xdr:colOff>
      <xdr:row>3</xdr:row>
      <xdr:rowOff>38100</xdr:rowOff>
    </xdr:from>
    <xdr:to>
      <xdr:col>14</xdr:col>
      <xdr:colOff>38100</xdr:colOff>
      <xdr:row>6</xdr:row>
      <xdr:rowOff>66675</xdr:rowOff>
    </xdr:to>
    <xdr:sp macro="" textlink="">
      <xdr:nvSpPr>
        <xdr:cNvPr id="4419" name="Line 81"/>
        <xdr:cNvSpPr>
          <a:spLocks noChangeShapeType="1"/>
        </xdr:cNvSpPr>
      </xdr:nvSpPr>
      <xdr:spPr bwMode="auto">
        <a:xfrm>
          <a:off x="1676400" y="381000"/>
          <a:ext cx="0" cy="5143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16</xdr:col>
      <xdr:colOff>19050</xdr:colOff>
      <xdr:row>11</xdr:row>
      <xdr:rowOff>152400</xdr:rowOff>
    </xdr:from>
    <xdr:to>
      <xdr:col>16</xdr:col>
      <xdr:colOff>19050</xdr:colOff>
      <xdr:row>12</xdr:row>
      <xdr:rowOff>104775</xdr:rowOff>
    </xdr:to>
    <xdr:sp macro="" textlink="">
      <xdr:nvSpPr>
        <xdr:cNvPr id="4420" name="Line 82"/>
        <xdr:cNvSpPr>
          <a:spLocks noChangeShapeType="1"/>
        </xdr:cNvSpPr>
      </xdr:nvSpPr>
      <xdr:spPr bwMode="auto">
        <a:xfrm flipV="1">
          <a:off x="1828800" y="1885950"/>
          <a:ext cx="0" cy="133350"/>
        </a:xfrm>
        <a:prstGeom prst="line">
          <a:avLst/>
        </a:prstGeom>
        <a:noFill/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44</xdr:col>
      <xdr:colOff>28575</xdr:colOff>
      <xdr:row>9</xdr:row>
      <xdr:rowOff>19050</xdr:rowOff>
    </xdr:from>
    <xdr:to>
      <xdr:col>44</xdr:col>
      <xdr:colOff>28575</xdr:colOff>
      <xdr:row>10</xdr:row>
      <xdr:rowOff>85725</xdr:rowOff>
    </xdr:to>
    <xdr:sp macro="" textlink="">
      <xdr:nvSpPr>
        <xdr:cNvPr id="4421" name="Line 83"/>
        <xdr:cNvSpPr>
          <a:spLocks noChangeShapeType="1"/>
        </xdr:cNvSpPr>
      </xdr:nvSpPr>
      <xdr:spPr bwMode="auto">
        <a:xfrm>
          <a:off x="5372100" y="1390650"/>
          <a:ext cx="0" cy="2476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44</xdr:col>
      <xdr:colOff>28575</xdr:colOff>
      <xdr:row>1</xdr:row>
      <xdr:rowOff>0</xdr:rowOff>
    </xdr:from>
    <xdr:to>
      <xdr:col>44</xdr:col>
      <xdr:colOff>28575</xdr:colOff>
      <xdr:row>6</xdr:row>
      <xdr:rowOff>9525</xdr:rowOff>
    </xdr:to>
    <xdr:sp macro="" textlink="">
      <xdr:nvSpPr>
        <xdr:cNvPr id="4422" name="Line 84"/>
        <xdr:cNvSpPr>
          <a:spLocks noChangeShapeType="1"/>
        </xdr:cNvSpPr>
      </xdr:nvSpPr>
      <xdr:spPr bwMode="auto">
        <a:xfrm flipH="1">
          <a:off x="5372100" y="28575"/>
          <a:ext cx="0" cy="8096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29</xdr:col>
      <xdr:colOff>85725</xdr:colOff>
      <xdr:row>2</xdr:row>
      <xdr:rowOff>28575</xdr:rowOff>
    </xdr:from>
    <xdr:to>
      <xdr:col>44</xdr:col>
      <xdr:colOff>28575</xdr:colOff>
      <xdr:row>2</xdr:row>
      <xdr:rowOff>28575</xdr:rowOff>
    </xdr:to>
    <xdr:sp macro="" textlink="">
      <xdr:nvSpPr>
        <xdr:cNvPr id="4423" name="Line 85"/>
        <xdr:cNvSpPr>
          <a:spLocks noChangeShapeType="1"/>
        </xdr:cNvSpPr>
      </xdr:nvSpPr>
      <xdr:spPr bwMode="auto">
        <a:xfrm flipH="1" flipV="1">
          <a:off x="3505200" y="209550"/>
          <a:ext cx="1866900" cy="0"/>
        </a:xfrm>
        <a:prstGeom prst="line">
          <a:avLst/>
        </a:prstGeom>
        <a:noFill/>
        <a:ln w="9525">
          <a:solidFill>
            <a:srgbClr val="000000"/>
          </a:solidFill>
          <a:round/>
          <a:headEnd type="stealth" w="sm" len="med"/>
          <a:tailEnd type="stealth" w="sm" len="med"/>
        </a:ln>
      </xdr:spPr>
    </xdr:sp>
    <xdr:clientData/>
  </xdr:twoCellAnchor>
  <xdr:twoCellAnchor>
    <xdr:from>
      <xdr:col>24</xdr:col>
      <xdr:colOff>114300</xdr:colOff>
      <xdr:row>11</xdr:row>
      <xdr:rowOff>0</xdr:rowOff>
    </xdr:from>
    <xdr:to>
      <xdr:col>24</xdr:col>
      <xdr:colOff>114300</xdr:colOff>
      <xdr:row>11</xdr:row>
      <xdr:rowOff>152400</xdr:rowOff>
    </xdr:to>
    <xdr:sp macro="" textlink="">
      <xdr:nvSpPr>
        <xdr:cNvPr id="4424" name="Line 86"/>
        <xdr:cNvSpPr>
          <a:spLocks noChangeShapeType="1"/>
        </xdr:cNvSpPr>
      </xdr:nvSpPr>
      <xdr:spPr bwMode="auto">
        <a:xfrm>
          <a:off x="2914650" y="1733550"/>
          <a:ext cx="0" cy="152400"/>
        </a:xfrm>
        <a:prstGeom prst="line">
          <a:avLst/>
        </a:prstGeom>
        <a:noFill/>
        <a:ln w="285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24</xdr:col>
      <xdr:colOff>114300</xdr:colOff>
      <xdr:row>12</xdr:row>
      <xdr:rowOff>0</xdr:rowOff>
    </xdr:from>
    <xdr:to>
      <xdr:col>24</xdr:col>
      <xdr:colOff>114300</xdr:colOff>
      <xdr:row>12</xdr:row>
      <xdr:rowOff>85725</xdr:rowOff>
    </xdr:to>
    <xdr:sp macro="" textlink="">
      <xdr:nvSpPr>
        <xdr:cNvPr id="4425" name="Line 87"/>
        <xdr:cNvSpPr>
          <a:spLocks noChangeShapeType="1"/>
        </xdr:cNvSpPr>
      </xdr:nvSpPr>
      <xdr:spPr bwMode="auto">
        <a:xfrm>
          <a:off x="2914650" y="1914525"/>
          <a:ext cx="0" cy="85725"/>
        </a:xfrm>
        <a:prstGeom prst="line">
          <a:avLst/>
        </a:prstGeom>
        <a:noFill/>
        <a:ln w="285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24</xdr:col>
      <xdr:colOff>114300</xdr:colOff>
      <xdr:row>12</xdr:row>
      <xdr:rowOff>114300</xdr:rowOff>
    </xdr:from>
    <xdr:to>
      <xdr:col>24</xdr:col>
      <xdr:colOff>114300</xdr:colOff>
      <xdr:row>13</xdr:row>
      <xdr:rowOff>85725</xdr:rowOff>
    </xdr:to>
    <xdr:sp macro="" textlink="">
      <xdr:nvSpPr>
        <xdr:cNvPr id="4426" name="Line 88"/>
        <xdr:cNvSpPr>
          <a:spLocks noChangeShapeType="1"/>
        </xdr:cNvSpPr>
      </xdr:nvSpPr>
      <xdr:spPr bwMode="auto">
        <a:xfrm>
          <a:off x="2914650" y="2028825"/>
          <a:ext cx="0" cy="152400"/>
        </a:xfrm>
        <a:prstGeom prst="line">
          <a:avLst/>
        </a:prstGeom>
        <a:noFill/>
        <a:ln w="28575">
          <a:solidFill>
            <a:srgbClr val="000000"/>
          </a:solidFill>
          <a:round/>
          <a:headEnd/>
          <a:tailEnd/>
        </a:ln>
      </xdr:spPr>
    </xdr:sp>
    <xdr:clientData/>
  </xdr:twoCellAnchor>
  <xdr:oneCellAnchor>
    <xdr:from>
      <xdr:col>23</xdr:col>
      <xdr:colOff>57150</xdr:colOff>
      <xdr:row>2</xdr:row>
      <xdr:rowOff>9525</xdr:rowOff>
    </xdr:from>
    <xdr:ext cx="498342" cy="155748"/>
    <xdr:sp macro="" textlink="">
      <xdr:nvSpPr>
        <xdr:cNvPr id="4185" name="Text Box 89"/>
        <xdr:cNvSpPr txBox="1">
          <a:spLocks noChangeArrowheads="1"/>
        </xdr:cNvSpPr>
      </xdr:nvSpPr>
      <xdr:spPr bwMode="auto">
        <a:xfrm>
          <a:off x="2733675" y="190500"/>
          <a:ext cx="498342" cy="155748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US" sz="900" b="0" i="0" u="none" strike="noStrike" baseline="0">
              <a:solidFill>
                <a:srgbClr val="000000"/>
              </a:solidFill>
              <a:latin typeface="Arial"/>
              <a:cs typeface="Arial"/>
            </a:rPr>
            <a:t>6'-0" min.</a:t>
          </a:r>
        </a:p>
      </xdr:txBody>
    </xdr:sp>
    <xdr:clientData/>
  </xdr:oneCellAnchor>
  <xdr:oneCellAnchor>
    <xdr:from>
      <xdr:col>32</xdr:col>
      <xdr:colOff>85725</xdr:colOff>
      <xdr:row>3</xdr:row>
      <xdr:rowOff>0</xdr:rowOff>
    </xdr:from>
    <xdr:ext cx="781111" cy="318036"/>
    <xdr:sp macro="" textlink="">
      <xdr:nvSpPr>
        <xdr:cNvPr id="4186" name="Text Box 90"/>
        <xdr:cNvSpPr txBox="1">
          <a:spLocks noChangeArrowheads="1"/>
        </xdr:cNvSpPr>
      </xdr:nvSpPr>
      <xdr:spPr bwMode="auto">
        <a:xfrm>
          <a:off x="3876675" y="342900"/>
          <a:ext cx="781111" cy="31803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Top of fill or </a:t>
          </a: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spoil bank El.</a:t>
          </a:r>
        </a:p>
      </xdr:txBody>
    </xdr:sp>
    <xdr:clientData/>
  </xdr:oneCellAnchor>
  <xdr:twoCellAnchor>
    <xdr:from>
      <xdr:col>27</xdr:col>
      <xdr:colOff>57150</xdr:colOff>
      <xdr:row>3</xdr:row>
      <xdr:rowOff>38100</xdr:rowOff>
    </xdr:from>
    <xdr:to>
      <xdr:col>31</xdr:col>
      <xdr:colOff>114300</xdr:colOff>
      <xdr:row>4</xdr:row>
      <xdr:rowOff>123825</xdr:rowOff>
    </xdr:to>
    <xdr:sp macro="" textlink="">
      <xdr:nvSpPr>
        <xdr:cNvPr id="4429" name="Freeform 91"/>
        <xdr:cNvSpPr>
          <a:spLocks/>
        </xdr:cNvSpPr>
      </xdr:nvSpPr>
      <xdr:spPr bwMode="auto">
        <a:xfrm>
          <a:off x="3228975" y="381000"/>
          <a:ext cx="552450" cy="247650"/>
        </a:xfrm>
        <a:custGeom>
          <a:avLst/>
          <a:gdLst>
            <a:gd name="T0" fmla="*/ 0 w 58"/>
            <a:gd name="T1" fmla="*/ 26 h 26"/>
            <a:gd name="T2" fmla="*/ 16 w 58"/>
            <a:gd name="T3" fmla="*/ 10 h 26"/>
            <a:gd name="T4" fmla="*/ 21 w 58"/>
            <a:gd name="T5" fmla="*/ 6 h 26"/>
            <a:gd name="T6" fmla="*/ 26 w 58"/>
            <a:gd name="T7" fmla="*/ 3 h 26"/>
            <a:gd name="T8" fmla="*/ 31 w 58"/>
            <a:gd name="T9" fmla="*/ 1 h 26"/>
            <a:gd name="T10" fmla="*/ 37 w 58"/>
            <a:gd name="T11" fmla="*/ 0 h 26"/>
            <a:gd name="T12" fmla="*/ 43 w 58"/>
            <a:gd name="T13" fmla="*/ 0 h 26"/>
            <a:gd name="T14" fmla="*/ 49 w 58"/>
            <a:gd name="T15" fmla="*/ 1 h 26"/>
            <a:gd name="T16" fmla="*/ 58 w 58"/>
            <a:gd name="T17" fmla="*/ 4 h 26"/>
            <a:gd name="T18" fmla="*/ 0 60000 65536"/>
            <a:gd name="T19" fmla="*/ 0 60000 65536"/>
            <a:gd name="T20" fmla="*/ 0 60000 65536"/>
            <a:gd name="T21" fmla="*/ 0 60000 65536"/>
            <a:gd name="T22" fmla="*/ 0 60000 65536"/>
            <a:gd name="T23" fmla="*/ 0 60000 65536"/>
            <a:gd name="T24" fmla="*/ 0 60000 65536"/>
            <a:gd name="T25" fmla="*/ 0 60000 65536"/>
            <a:gd name="T26" fmla="*/ 0 60000 65536"/>
            <a:gd name="T27" fmla="*/ 0 w 58"/>
            <a:gd name="T28" fmla="*/ 0 h 26"/>
            <a:gd name="T29" fmla="*/ 58 w 58"/>
            <a:gd name="T30" fmla="*/ 26 h 26"/>
          </a:gdLst>
          <a:ahLst/>
          <a:cxnLst>
            <a:cxn ang="T18">
              <a:pos x="T0" y="T1"/>
            </a:cxn>
            <a:cxn ang="T19">
              <a:pos x="T2" y="T3"/>
            </a:cxn>
            <a:cxn ang="T20">
              <a:pos x="T4" y="T5"/>
            </a:cxn>
            <a:cxn ang="T21">
              <a:pos x="T6" y="T7"/>
            </a:cxn>
            <a:cxn ang="T22">
              <a:pos x="T8" y="T9"/>
            </a:cxn>
            <a:cxn ang="T23">
              <a:pos x="T10" y="T11"/>
            </a:cxn>
            <a:cxn ang="T24">
              <a:pos x="T12" y="T13"/>
            </a:cxn>
            <a:cxn ang="T25">
              <a:pos x="T14" y="T15"/>
            </a:cxn>
            <a:cxn ang="T26">
              <a:pos x="T16" y="T17"/>
            </a:cxn>
          </a:cxnLst>
          <a:rect l="T27" t="T28" r="T29" b="T30"/>
          <a:pathLst>
            <a:path w="58" h="26">
              <a:moveTo>
                <a:pt x="0" y="26"/>
              </a:moveTo>
              <a:lnTo>
                <a:pt x="16" y="10"/>
              </a:lnTo>
              <a:lnTo>
                <a:pt x="21" y="6"/>
              </a:lnTo>
              <a:lnTo>
                <a:pt x="26" y="3"/>
              </a:lnTo>
              <a:lnTo>
                <a:pt x="31" y="1"/>
              </a:lnTo>
              <a:lnTo>
                <a:pt x="37" y="0"/>
              </a:lnTo>
              <a:lnTo>
                <a:pt x="43" y="0"/>
              </a:lnTo>
              <a:lnTo>
                <a:pt x="49" y="1"/>
              </a:lnTo>
              <a:lnTo>
                <a:pt x="58" y="4"/>
              </a:lnTo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stealth" w="sm" len="med"/>
          <a:tailEnd type="none" w="med" len="med"/>
        </a:ln>
      </xdr:spPr>
    </xdr:sp>
    <xdr:clientData/>
  </xdr:twoCellAnchor>
  <xdr:oneCellAnchor>
    <xdr:from>
      <xdr:col>10</xdr:col>
      <xdr:colOff>9525</xdr:colOff>
      <xdr:row>2</xdr:row>
      <xdr:rowOff>9525</xdr:rowOff>
    </xdr:from>
    <xdr:ext cx="466281" cy="155748"/>
    <xdr:sp macro="" textlink="">
      <xdr:nvSpPr>
        <xdr:cNvPr id="4188" name="Text Box 92"/>
        <xdr:cNvSpPr txBox="1">
          <a:spLocks noChangeArrowheads="1"/>
        </xdr:cNvSpPr>
      </xdr:nvSpPr>
      <xdr:spPr bwMode="auto">
        <a:xfrm>
          <a:off x="1228725" y="190500"/>
          <a:ext cx="466281" cy="155748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US" sz="900" b="0" i="0" u="none" strike="noStrike" baseline="0">
              <a:solidFill>
                <a:srgbClr val="000000"/>
              </a:solidFill>
              <a:latin typeface="Arial"/>
              <a:cs typeface="Arial"/>
            </a:rPr>
            <a:t>1'-0" min</a:t>
          </a:r>
        </a:p>
      </xdr:txBody>
    </xdr:sp>
    <xdr:clientData/>
  </xdr:oneCellAnchor>
  <xdr:oneCellAnchor>
    <xdr:from>
      <xdr:col>1</xdr:col>
      <xdr:colOff>114300</xdr:colOff>
      <xdr:row>2</xdr:row>
      <xdr:rowOff>66675</xdr:rowOff>
    </xdr:from>
    <xdr:ext cx="820225" cy="288412"/>
    <xdr:sp macro="" textlink="">
      <xdr:nvSpPr>
        <xdr:cNvPr id="4189" name="Text Box 93"/>
        <xdr:cNvSpPr txBox="1">
          <a:spLocks noChangeArrowheads="1"/>
        </xdr:cNvSpPr>
      </xdr:nvSpPr>
      <xdr:spPr bwMode="auto">
        <a:xfrm>
          <a:off x="219075" y="247650"/>
          <a:ext cx="820225" cy="28841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US" sz="900" b="0" i="0" u="none" strike="noStrike" baseline="0">
              <a:solidFill>
                <a:srgbClr val="000000"/>
              </a:solidFill>
              <a:latin typeface="Arial"/>
              <a:cs typeface="Arial"/>
            </a:rPr>
            <a:t>Trash rack and </a:t>
          </a:r>
        </a:p>
        <a:p>
          <a:pPr algn="l" rtl="0">
            <a:defRPr sz="1000"/>
          </a:pPr>
          <a:r>
            <a:rPr lang="en-US" sz="900" b="0" i="0" u="none" strike="noStrike" baseline="0">
              <a:solidFill>
                <a:srgbClr val="000000"/>
              </a:solidFill>
              <a:latin typeface="Arial"/>
              <a:cs typeface="Arial"/>
            </a:rPr>
            <a:t>baffle plate</a:t>
          </a:r>
        </a:p>
      </xdr:txBody>
    </xdr:sp>
    <xdr:clientData/>
  </xdr:oneCellAnchor>
  <xdr:twoCellAnchor>
    <xdr:from>
      <xdr:col>8</xdr:col>
      <xdr:colOff>95250</xdr:colOff>
      <xdr:row>3</xdr:row>
      <xdr:rowOff>95250</xdr:rowOff>
    </xdr:from>
    <xdr:to>
      <xdr:col>13</xdr:col>
      <xdr:colOff>57150</xdr:colOff>
      <xdr:row>6</xdr:row>
      <xdr:rowOff>114300</xdr:rowOff>
    </xdr:to>
    <xdr:sp macro="" textlink="">
      <xdr:nvSpPr>
        <xdr:cNvPr id="4432" name="Freeform 94"/>
        <xdr:cNvSpPr>
          <a:spLocks/>
        </xdr:cNvSpPr>
      </xdr:nvSpPr>
      <xdr:spPr bwMode="auto">
        <a:xfrm>
          <a:off x="1066800" y="438150"/>
          <a:ext cx="542925" cy="504825"/>
        </a:xfrm>
        <a:custGeom>
          <a:avLst/>
          <a:gdLst>
            <a:gd name="T0" fmla="*/ 0 w 57"/>
            <a:gd name="T1" fmla="*/ 0 h 53"/>
            <a:gd name="T2" fmla="*/ 24 w 57"/>
            <a:gd name="T3" fmla="*/ 5 h 53"/>
            <a:gd name="T4" fmla="*/ 37 w 57"/>
            <a:gd name="T5" fmla="*/ 8 h 53"/>
            <a:gd name="T6" fmla="*/ 43 w 57"/>
            <a:gd name="T7" fmla="*/ 11 h 53"/>
            <a:gd name="T8" fmla="*/ 47 w 57"/>
            <a:gd name="T9" fmla="*/ 15 h 53"/>
            <a:gd name="T10" fmla="*/ 50 w 57"/>
            <a:gd name="T11" fmla="*/ 19 h 53"/>
            <a:gd name="T12" fmla="*/ 52 w 57"/>
            <a:gd name="T13" fmla="*/ 23 h 53"/>
            <a:gd name="T14" fmla="*/ 54 w 57"/>
            <a:gd name="T15" fmla="*/ 28 h 53"/>
            <a:gd name="T16" fmla="*/ 55 w 57"/>
            <a:gd name="T17" fmla="*/ 32 h 53"/>
            <a:gd name="T18" fmla="*/ 57 w 57"/>
            <a:gd name="T19" fmla="*/ 53 h 53"/>
            <a:gd name="T20" fmla="*/ 0 60000 65536"/>
            <a:gd name="T21" fmla="*/ 0 60000 65536"/>
            <a:gd name="T22" fmla="*/ 0 60000 65536"/>
            <a:gd name="T23" fmla="*/ 0 60000 65536"/>
            <a:gd name="T24" fmla="*/ 0 60000 65536"/>
            <a:gd name="T25" fmla="*/ 0 60000 65536"/>
            <a:gd name="T26" fmla="*/ 0 60000 65536"/>
            <a:gd name="T27" fmla="*/ 0 60000 65536"/>
            <a:gd name="T28" fmla="*/ 0 60000 65536"/>
            <a:gd name="T29" fmla="*/ 0 60000 65536"/>
            <a:gd name="T30" fmla="*/ 0 w 57"/>
            <a:gd name="T31" fmla="*/ 0 h 53"/>
            <a:gd name="T32" fmla="*/ 57 w 57"/>
            <a:gd name="T33" fmla="*/ 53 h 53"/>
          </a:gdLst>
          <a:ahLst/>
          <a:cxnLst>
            <a:cxn ang="T20">
              <a:pos x="T0" y="T1"/>
            </a:cxn>
            <a:cxn ang="T21">
              <a:pos x="T2" y="T3"/>
            </a:cxn>
            <a:cxn ang="T22">
              <a:pos x="T4" y="T5"/>
            </a:cxn>
            <a:cxn ang="T23">
              <a:pos x="T6" y="T7"/>
            </a:cxn>
            <a:cxn ang="T24">
              <a:pos x="T8" y="T9"/>
            </a:cxn>
            <a:cxn ang="T25">
              <a:pos x="T10" y="T11"/>
            </a:cxn>
            <a:cxn ang="T26">
              <a:pos x="T12" y="T13"/>
            </a:cxn>
            <a:cxn ang="T27">
              <a:pos x="T14" y="T15"/>
            </a:cxn>
            <a:cxn ang="T28">
              <a:pos x="T16" y="T17"/>
            </a:cxn>
            <a:cxn ang="T29">
              <a:pos x="T18" y="T19"/>
            </a:cxn>
          </a:cxnLst>
          <a:rect l="T30" t="T31" r="T32" b="T33"/>
          <a:pathLst>
            <a:path w="57" h="53">
              <a:moveTo>
                <a:pt x="0" y="0"/>
              </a:moveTo>
              <a:lnTo>
                <a:pt x="24" y="5"/>
              </a:lnTo>
              <a:lnTo>
                <a:pt x="37" y="8"/>
              </a:lnTo>
              <a:lnTo>
                <a:pt x="43" y="11"/>
              </a:lnTo>
              <a:lnTo>
                <a:pt x="47" y="15"/>
              </a:lnTo>
              <a:lnTo>
                <a:pt x="50" y="19"/>
              </a:lnTo>
              <a:lnTo>
                <a:pt x="52" y="23"/>
              </a:lnTo>
              <a:lnTo>
                <a:pt x="54" y="28"/>
              </a:lnTo>
              <a:lnTo>
                <a:pt x="55" y="32"/>
              </a:lnTo>
              <a:lnTo>
                <a:pt x="57" y="53"/>
              </a:lnTo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med" len="med"/>
          <a:tailEnd type="stealth" w="sm" len="med"/>
        </a:ln>
      </xdr:spPr>
    </xdr:sp>
    <xdr:clientData/>
  </xdr:twoCellAnchor>
  <xdr:oneCellAnchor>
    <xdr:from>
      <xdr:col>1</xdr:col>
      <xdr:colOff>57150</xdr:colOff>
      <xdr:row>5</xdr:row>
      <xdr:rowOff>19050</xdr:rowOff>
    </xdr:from>
    <xdr:ext cx="460960" cy="155748"/>
    <xdr:sp macro="" textlink="">
      <xdr:nvSpPr>
        <xdr:cNvPr id="4191" name="Text Box 95"/>
        <xdr:cNvSpPr txBox="1">
          <a:spLocks noChangeArrowheads="1"/>
        </xdr:cNvSpPr>
      </xdr:nvSpPr>
      <xdr:spPr bwMode="auto">
        <a:xfrm>
          <a:off x="161925" y="685800"/>
          <a:ext cx="460960" cy="155748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US" sz="900" b="0" i="0" u="none" strike="noStrike" baseline="0">
              <a:solidFill>
                <a:srgbClr val="000000"/>
              </a:solidFill>
              <a:latin typeface="Arial"/>
              <a:cs typeface="Arial"/>
            </a:rPr>
            <a:t>Crest El.</a:t>
          </a:r>
        </a:p>
      </xdr:txBody>
    </xdr:sp>
    <xdr:clientData/>
  </xdr:oneCellAnchor>
  <xdr:twoCellAnchor>
    <xdr:from>
      <xdr:col>9</xdr:col>
      <xdr:colOff>19050</xdr:colOff>
      <xdr:row>5</xdr:row>
      <xdr:rowOff>85725</xdr:rowOff>
    </xdr:from>
    <xdr:to>
      <xdr:col>11</xdr:col>
      <xdr:colOff>95250</xdr:colOff>
      <xdr:row>7</xdr:row>
      <xdr:rowOff>142875</xdr:rowOff>
    </xdr:to>
    <xdr:sp macro="" textlink="">
      <xdr:nvSpPr>
        <xdr:cNvPr id="4434" name="Freeform 96"/>
        <xdr:cNvSpPr>
          <a:spLocks/>
        </xdr:cNvSpPr>
      </xdr:nvSpPr>
      <xdr:spPr bwMode="auto">
        <a:xfrm>
          <a:off x="1114425" y="752475"/>
          <a:ext cx="323850" cy="400050"/>
        </a:xfrm>
        <a:custGeom>
          <a:avLst/>
          <a:gdLst>
            <a:gd name="T0" fmla="*/ 34 w 34"/>
            <a:gd name="T1" fmla="*/ 42 h 42"/>
            <a:gd name="T2" fmla="*/ 31 w 34"/>
            <a:gd name="T3" fmla="*/ 28 h 42"/>
            <a:gd name="T4" fmla="*/ 26 w 34"/>
            <a:gd name="T5" fmla="*/ 16 h 42"/>
            <a:gd name="T6" fmla="*/ 24 w 34"/>
            <a:gd name="T7" fmla="*/ 12 h 42"/>
            <a:gd name="T8" fmla="*/ 21 w 34"/>
            <a:gd name="T9" fmla="*/ 7 h 42"/>
            <a:gd name="T10" fmla="*/ 16 w 34"/>
            <a:gd name="T11" fmla="*/ 3 h 42"/>
            <a:gd name="T12" fmla="*/ 11 w 34"/>
            <a:gd name="T13" fmla="*/ 1 h 42"/>
            <a:gd name="T14" fmla="*/ 0 w 34"/>
            <a:gd name="T15" fmla="*/ 0 h 42"/>
            <a:gd name="T16" fmla="*/ 0 60000 65536"/>
            <a:gd name="T17" fmla="*/ 0 60000 65536"/>
            <a:gd name="T18" fmla="*/ 0 60000 65536"/>
            <a:gd name="T19" fmla="*/ 0 60000 65536"/>
            <a:gd name="T20" fmla="*/ 0 60000 65536"/>
            <a:gd name="T21" fmla="*/ 0 60000 65536"/>
            <a:gd name="T22" fmla="*/ 0 60000 65536"/>
            <a:gd name="T23" fmla="*/ 0 60000 65536"/>
            <a:gd name="T24" fmla="*/ 0 w 34"/>
            <a:gd name="T25" fmla="*/ 0 h 42"/>
            <a:gd name="T26" fmla="*/ 34 w 34"/>
            <a:gd name="T27" fmla="*/ 42 h 42"/>
          </a:gdLst>
          <a:ahLst/>
          <a:cxnLst>
            <a:cxn ang="T16">
              <a:pos x="T0" y="T1"/>
            </a:cxn>
            <a:cxn ang="T17">
              <a:pos x="T2" y="T3"/>
            </a:cxn>
            <a:cxn ang="T18">
              <a:pos x="T4" y="T5"/>
            </a:cxn>
            <a:cxn ang="T19">
              <a:pos x="T6" y="T7"/>
            </a:cxn>
            <a:cxn ang="T20">
              <a:pos x="T8" y="T9"/>
            </a:cxn>
            <a:cxn ang="T21">
              <a:pos x="T10" y="T11"/>
            </a:cxn>
            <a:cxn ang="T22">
              <a:pos x="T12" y="T13"/>
            </a:cxn>
            <a:cxn ang="T23">
              <a:pos x="T14" y="T15"/>
            </a:cxn>
          </a:cxnLst>
          <a:rect l="T24" t="T25" r="T26" b="T27"/>
          <a:pathLst>
            <a:path w="34" h="42">
              <a:moveTo>
                <a:pt x="34" y="42"/>
              </a:moveTo>
              <a:lnTo>
                <a:pt x="31" y="28"/>
              </a:lnTo>
              <a:lnTo>
                <a:pt x="26" y="16"/>
              </a:lnTo>
              <a:lnTo>
                <a:pt x="24" y="12"/>
              </a:lnTo>
              <a:lnTo>
                <a:pt x="21" y="7"/>
              </a:lnTo>
              <a:lnTo>
                <a:pt x="16" y="3"/>
              </a:lnTo>
              <a:lnTo>
                <a:pt x="11" y="1"/>
              </a:lnTo>
              <a:lnTo>
                <a:pt x="0" y="0"/>
              </a:lnTo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stealth" w="sm" len="med"/>
          <a:tailEnd type="none" w="med" len="med"/>
        </a:ln>
      </xdr:spPr>
    </xdr:sp>
    <xdr:clientData/>
  </xdr:twoCellAnchor>
  <xdr:oneCellAnchor>
    <xdr:from>
      <xdr:col>20</xdr:col>
      <xdr:colOff>38100</xdr:colOff>
      <xdr:row>6</xdr:row>
      <xdr:rowOff>85725</xdr:rowOff>
    </xdr:from>
    <xdr:ext cx="974049" cy="288412"/>
    <xdr:sp macro="" textlink="">
      <xdr:nvSpPr>
        <xdr:cNvPr id="4193" name="Text Box 97"/>
        <xdr:cNvSpPr txBox="1">
          <a:spLocks noChangeArrowheads="1"/>
        </xdr:cNvSpPr>
      </xdr:nvSpPr>
      <xdr:spPr bwMode="auto">
        <a:xfrm>
          <a:off x="2343150" y="914400"/>
          <a:ext cx="974049" cy="28841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US" sz="900" b="0" i="0" u="none" strike="noStrike" baseline="0">
              <a:solidFill>
                <a:srgbClr val="000000"/>
              </a:solidFill>
              <a:latin typeface="Arial"/>
              <a:cs typeface="Arial"/>
            </a:rPr>
            <a:t>  Crest of auxiliary </a:t>
          </a:r>
        </a:p>
        <a:p>
          <a:pPr algn="l" rtl="0">
            <a:defRPr sz="1000"/>
          </a:pPr>
          <a:r>
            <a:rPr lang="en-US" sz="900" b="0" i="0" u="none" strike="noStrike" baseline="0">
              <a:solidFill>
                <a:srgbClr val="000000"/>
              </a:solidFill>
              <a:latin typeface="Arial"/>
              <a:cs typeface="Arial"/>
            </a:rPr>
            <a:t>         spillway El.</a:t>
          </a:r>
        </a:p>
      </xdr:txBody>
    </xdr:sp>
    <xdr:clientData/>
  </xdr:oneCellAnchor>
  <xdr:twoCellAnchor>
    <xdr:from>
      <xdr:col>20</xdr:col>
      <xdr:colOff>0</xdr:colOff>
      <xdr:row>5</xdr:row>
      <xdr:rowOff>142875</xdr:rowOff>
    </xdr:from>
    <xdr:to>
      <xdr:col>22</xdr:col>
      <xdr:colOff>114300</xdr:colOff>
      <xdr:row>6</xdr:row>
      <xdr:rowOff>161925</xdr:rowOff>
    </xdr:to>
    <xdr:sp macro="" textlink="">
      <xdr:nvSpPr>
        <xdr:cNvPr id="4436" name="Freeform 98"/>
        <xdr:cNvSpPr>
          <a:spLocks/>
        </xdr:cNvSpPr>
      </xdr:nvSpPr>
      <xdr:spPr bwMode="auto">
        <a:xfrm>
          <a:off x="2305050" y="809625"/>
          <a:ext cx="361950" cy="180975"/>
        </a:xfrm>
        <a:custGeom>
          <a:avLst/>
          <a:gdLst>
            <a:gd name="T0" fmla="*/ 4 w 38"/>
            <a:gd name="T1" fmla="*/ 19 h 19"/>
            <a:gd name="T2" fmla="*/ 1 w 38"/>
            <a:gd name="T3" fmla="*/ 17 h 19"/>
            <a:gd name="T4" fmla="*/ 0 w 38"/>
            <a:gd name="T5" fmla="*/ 13 h 19"/>
            <a:gd name="T6" fmla="*/ 2 w 38"/>
            <a:gd name="T7" fmla="*/ 9 h 19"/>
            <a:gd name="T8" fmla="*/ 7 w 38"/>
            <a:gd name="T9" fmla="*/ 5 h 19"/>
            <a:gd name="T10" fmla="*/ 13 w 38"/>
            <a:gd name="T11" fmla="*/ 2 h 19"/>
            <a:gd name="T12" fmla="*/ 18 w 38"/>
            <a:gd name="T13" fmla="*/ 0 h 19"/>
            <a:gd name="T14" fmla="*/ 22 w 38"/>
            <a:gd name="T15" fmla="*/ 0 h 19"/>
            <a:gd name="T16" fmla="*/ 26 w 38"/>
            <a:gd name="T17" fmla="*/ 0 h 19"/>
            <a:gd name="T18" fmla="*/ 30 w 38"/>
            <a:gd name="T19" fmla="*/ 1 h 19"/>
            <a:gd name="T20" fmla="*/ 33 w 38"/>
            <a:gd name="T21" fmla="*/ 3 h 19"/>
            <a:gd name="T22" fmla="*/ 38 w 38"/>
            <a:gd name="T23" fmla="*/ 11 h 19"/>
            <a:gd name="T24" fmla="*/ 0 60000 65536"/>
            <a:gd name="T25" fmla="*/ 0 60000 65536"/>
            <a:gd name="T26" fmla="*/ 0 60000 65536"/>
            <a:gd name="T27" fmla="*/ 0 60000 65536"/>
            <a:gd name="T28" fmla="*/ 0 60000 65536"/>
            <a:gd name="T29" fmla="*/ 0 60000 65536"/>
            <a:gd name="T30" fmla="*/ 0 60000 65536"/>
            <a:gd name="T31" fmla="*/ 0 60000 65536"/>
            <a:gd name="T32" fmla="*/ 0 60000 65536"/>
            <a:gd name="T33" fmla="*/ 0 60000 65536"/>
            <a:gd name="T34" fmla="*/ 0 60000 65536"/>
            <a:gd name="T35" fmla="*/ 0 60000 65536"/>
            <a:gd name="T36" fmla="*/ 0 w 38"/>
            <a:gd name="T37" fmla="*/ 0 h 19"/>
            <a:gd name="T38" fmla="*/ 38 w 38"/>
            <a:gd name="T39" fmla="*/ 19 h 19"/>
          </a:gdLst>
          <a:ahLst/>
          <a:cxnLst>
            <a:cxn ang="T24">
              <a:pos x="T0" y="T1"/>
            </a:cxn>
            <a:cxn ang="T25">
              <a:pos x="T2" y="T3"/>
            </a:cxn>
            <a:cxn ang="T26">
              <a:pos x="T4" y="T5"/>
            </a:cxn>
            <a:cxn ang="T27">
              <a:pos x="T6" y="T7"/>
            </a:cxn>
            <a:cxn ang="T28">
              <a:pos x="T8" y="T9"/>
            </a:cxn>
            <a:cxn ang="T29">
              <a:pos x="T10" y="T11"/>
            </a:cxn>
            <a:cxn ang="T30">
              <a:pos x="T12" y="T13"/>
            </a:cxn>
            <a:cxn ang="T31">
              <a:pos x="T14" y="T15"/>
            </a:cxn>
            <a:cxn ang="T32">
              <a:pos x="T16" y="T17"/>
            </a:cxn>
            <a:cxn ang="T33">
              <a:pos x="T18" y="T19"/>
            </a:cxn>
            <a:cxn ang="T34">
              <a:pos x="T20" y="T21"/>
            </a:cxn>
            <a:cxn ang="T35">
              <a:pos x="T22" y="T23"/>
            </a:cxn>
          </a:cxnLst>
          <a:rect l="T36" t="T37" r="T38" b="T39"/>
          <a:pathLst>
            <a:path w="38" h="19">
              <a:moveTo>
                <a:pt x="4" y="19"/>
              </a:moveTo>
              <a:lnTo>
                <a:pt x="1" y="17"/>
              </a:lnTo>
              <a:lnTo>
                <a:pt x="0" y="13"/>
              </a:lnTo>
              <a:lnTo>
                <a:pt x="2" y="9"/>
              </a:lnTo>
              <a:lnTo>
                <a:pt x="7" y="5"/>
              </a:lnTo>
              <a:lnTo>
                <a:pt x="13" y="2"/>
              </a:lnTo>
              <a:lnTo>
                <a:pt x="18" y="0"/>
              </a:lnTo>
              <a:lnTo>
                <a:pt x="22" y="0"/>
              </a:lnTo>
              <a:lnTo>
                <a:pt x="26" y="0"/>
              </a:lnTo>
              <a:lnTo>
                <a:pt x="30" y="1"/>
              </a:lnTo>
              <a:lnTo>
                <a:pt x="33" y="3"/>
              </a:lnTo>
              <a:lnTo>
                <a:pt x="38" y="11"/>
              </a:lnTo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med" len="med"/>
          <a:tailEnd type="stealth" w="sm" len="med"/>
        </a:ln>
      </xdr:spPr>
    </xdr:sp>
    <xdr:clientData/>
  </xdr:twoCellAnchor>
  <xdr:oneCellAnchor>
    <xdr:from>
      <xdr:col>17</xdr:col>
      <xdr:colOff>38100</xdr:colOff>
      <xdr:row>7</xdr:row>
      <xdr:rowOff>123825</xdr:rowOff>
    </xdr:from>
    <xdr:ext cx="512384" cy="155748"/>
    <xdr:sp macro="" textlink="">
      <xdr:nvSpPr>
        <xdr:cNvPr id="4195" name="Text Box 99"/>
        <xdr:cNvSpPr txBox="1">
          <a:spLocks noChangeArrowheads="1"/>
        </xdr:cNvSpPr>
      </xdr:nvSpPr>
      <xdr:spPr bwMode="auto">
        <a:xfrm>
          <a:off x="1971675" y="1133475"/>
          <a:ext cx="512384" cy="155748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US" sz="900" b="0" i="0" u="none" strike="noStrike" baseline="0">
              <a:solidFill>
                <a:srgbClr val="000000"/>
              </a:solidFill>
              <a:latin typeface="Arial"/>
              <a:cs typeface="Arial"/>
            </a:rPr>
            <a:t>Drop inlet</a:t>
          </a:r>
        </a:p>
      </xdr:txBody>
    </xdr:sp>
    <xdr:clientData/>
  </xdr:oneCellAnchor>
  <xdr:twoCellAnchor>
    <xdr:from>
      <xdr:col>14</xdr:col>
      <xdr:colOff>47625</xdr:colOff>
      <xdr:row>8</xdr:row>
      <xdr:rowOff>114300</xdr:rowOff>
    </xdr:from>
    <xdr:to>
      <xdr:col>18</xdr:col>
      <xdr:colOff>47625</xdr:colOff>
      <xdr:row>9</xdr:row>
      <xdr:rowOff>123825</xdr:rowOff>
    </xdr:to>
    <xdr:sp macro="" textlink="">
      <xdr:nvSpPr>
        <xdr:cNvPr id="4438" name="Freeform 100"/>
        <xdr:cNvSpPr>
          <a:spLocks/>
        </xdr:cNvSpPr>
      </xdr:nvSpPr>
      <xdr:spPr bwMode="auto">
        <a:xfrm>
          <a:off x="1685925" y="1304925"/>
          <a:ext cx="419100" cy="190500"/>
        </a:xfrm>
        <a:custGeom>
          <a:avLst/>
          <a:gdLst>
            <a:gd name="T0" fmla="*/ 44 w 44"/>
            <a:gd name="T1" fmla="*/ 0 h 20"/>
            <a:gd name="T2" fmla="*/ 37 w 44"/>
            <a:gd name="T3" fmla="*/ 6 h 20"/>
            <a:gd name="T4" fmla="*/ 28 w 44"/>
            <a:gd name="T5" fmla="*/ 11 h 20"/>
            <a:gd name="T6" fmla="*/ 20 w 44"/>
            <a:gd name="T7" fmla="*/ 14 h 20"/>
            <a:gd name="T8" fmla="*/ 0 w 44"/>
            <a:gd name="T9" fmla="*/ 20 h 20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44"/>
            <a:gd name="T16" fmla="*/ 0 h 20"/>
            <a:gd name="T17" fmla="*/ 44 w 44"/>
            <a:gd name="T18" fmla="*/ 20 h 20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44" h="20">
              <a:moveTo>
                <a:pt x="44" y="0"/>
              </a:moveTo>
              <a:lnTo>
                <a:pt x="37" y="6"/>
              </a:lnTo>
              <a:lnTo>
                <a:pt x="28" y="11"/>
              </a:lnTo>
              <a:lnTo>
                <a:pt x="20" y="14"/>
              </a:lnTo>
              <a:lnTo>
                <a:pt x="0" y="20"/>
              </a:lnTo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med" len="med"/>
          <a:tailEnd type="stealth" w="sm" len="med"/>
        </a:ln>
      </xdr:spPr>
    </xdr:sp>
    <xdr:clientData/>
  </xdr:twoCellAnchor>
  <xdr:oneCellAnchor>
    <xdr:from>
      <xdr:col>2</xdr:col>
      <xdr:colOff>47626</xdr:colOff>
      <xdr:row>9</xdr:row>
      <xdr:rowOff>123825</xdr:rowOff>
    </xdr:from>
    <xdr:ext cx="771524" cy="409575"/>
    <xdr:sp macro="" textlink="">
      <xdr:nvSpPr>
        <xdr:cNvPr id="4197" name="Text Box 101"/>
        <xdr:cNvSpPr txBox="1">
          <a:spLocks noChangeArrowheads="1"/>
        </xdr:cNvSpPr>
      </xdr:nvSpPr>
      <xdr:spPr bwMode="auto">
        <a:xfrm>
          <a:off x="276226" y="1495425"/>
          <a:ext cx="771524" cy="409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square" lIns="18288" tIns="22860" rIns="0" bIns="0" anchor="t" upright="1">
          <a:noAutofit/>
        </a:bodyPr>
        <a:lstStyle/>
        <a:p>
          <a:pPr algn="l" rtl="0">
            <a:defRPr sz="1000"/>
          </a:pPr>
          <a:r>
            <a:rPr lang="en-US" sz="900" b="0" i="0" u="none" strike="noStrike" baseline="0">
              <a:solidFill>
                <a:srgbClr val="000000"/>
              </a:solidFill>
              <a:latin typeface="Arial"/>
              <a:cs typeface="Arial"/>
            </a:rPr>
            <a:t>Tile outlet with </a:t>
          </a:r>
        </a:p>
        <a:p>
          <a:pPr algn="l" rtl="0">
            <a:defRPr sz="1000"/>
          </a:pPr>
          <a:r>
            <a:rPr lang="en-US" sz="900" b="0" i="0" u="none" strike="noStrike" baseline="0">
              <a:solidFill>
                <a:srgbClr val="000000"/>
              </a:solidFill>
              <a:latin typeface="Arial"/>
              <a:cs typeface="Arial"/>
            </a:rPr>
            <a:t>animal guard</a:t>
          </a:r>
        </a:p>
        <a:p>
          <a:pPr algn="l" rtl="0">
            <a:defRPr sz="1000"/>
          </a:pPr>
          <a:r>
            <a:rPr lang="en-US" sz="900" b="0" i="0" u="none" strike="noStrike" baseline="0">
              <a:solidFill>
                <a:srgbClr val="000000"/>
              </a:solidFill>
              <a:latin typeface="Arial"/>
              <a:cs typeface="Arial"/>
            </a:rPr>
            <a:t>Pipe invert </a:t>
          </a:r>
        </a:p>
        <a:p>
          <a:pPr algn="l" rtl="0">
            <a:defRPr sz="1000"/>
          </a:pPr>
          <a:endParaRPr lang="en-US" sz="9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oneCellAnchor>
  <xdr:twoCellAnchor>
    <xdr:from>
      <xdr:col>8</xdr:col>
      <xdr:colOff>28575</xdr:colOff>
      <xdr:row>11</xdr:row>
      <xdr:rowOff>161925</xdr:rowOff>
    </xdr:from>
    <xdr:to>
      <xdr:col>10</xdr:col>
      <xdr:colOff>9525</xdr:colOff>
      <xdr:row>12</xdr:row>
      <xdr:rowOff>114300</xdr:rowOff>
    </xdr:to>
    <xdr:sp macro="" textlink="">
      <xdr:nvSpPr>
        <xdr:cNvPr id="4440" name="Freeform 102"/>
        <xdr:cNvSpPr>
          <a:spLocks/>
        </xdr:cNvSpPr>
      </xdr:nvSpPr>
      <xdr:spPr bwMode="auto">
        <a:xfrm>
          <a:off x="1000125" y="1895475"/>
          <a:ext cx="228600" cy="133350"/>
        </a:xfrm>
        <a:custGeom>
          <a:avLst/>
          <a:gdLst>
            <a:gd name="T0" fmla="*/ 0 w 24"/>
            <a:gd name="T1" fmla="*/ 14 h 14"/>
            <a:gd name="T2" fmla="*/ 7 w 24"/>
            <a:gd name="T3" fmla="*/ 13 h 14"/>
            <a:gd name="T4" fmla="*/ 12 w 24"/>
            <a:gd name="T5" fmla="*/ 11 h 14"/>
            <a:gd name="T6" fmla="*/ 16 w 24"/>
            <a:gd name="T7" fmla="*/ 7 h 14"/>
            <a:gd name="T8" fmla="*/ 24 w 24"/>
            <a:gd name="T9" fmla="*/ 0 h 14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24"/>
            <a:gd name="T16" fmla="*/ 0 h 14"/>
            <a:gd name="T17" fmla="*/ 24 w 24"/>
            <a:gd name="T18" fmla="*/ 14 h 14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24" h="14">
              <a:moveTo>
                <a:pt x="0" y="14"/>
              </a:moveTo>
              <a:lnTo>
                <a:pt x="7" y="13"/>
              </a:lnTo>
              <a:lnTo>
                <a:pt x="12" y="11"/>
              </a:lnTo>
              <a:lnTo>
                <a:pt x="16" y="7"/>
              </a:lnTo>
              <a:lnTo>
                <a:pt x="24" y="0"/>
              </a:lnTo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med" len="med"/>
          <a:tailEnd type="stealth" w="sm" len="med"/>
        </a:ln>
      </xdr:spPr>
    </xdr:sp>
    <xdr:clientData/>
  </xdr:twoCellAnchor>
  <xdr:oneCellAnchor>
    <xdr:from>
      <xdr:col>17</xdr:col>
      <xdr:colOff>76200</xdr:colOff>
      <xdr:row>11</xdr:row>
      <xdr:rowOff>19050</xdr:rowOff>
    </xdr:from>
    <xdr:ext cx="559256" cy="141001"/>
    <xdr:sp macro="" textlink="">
      <xdr:nvSpPr>
        <xdr:cNvPr id="4199" name="Text Box 103"/>
        <xdr:cNvSpPr txBox="1">
          <a:spLocks noChangeArrowheads="1"/>
        </xdr:cNvSpPr>
      </xdr:nvSpPr>
      <xdr:spPr bwMode="auto">
        <a:xfrm>
          <a:off x="2009775" y="1752600"/>
          <a:ext cx="559256" cy="1410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US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14' -0" max.</a:t>
          </a:r>
        </a:p>
      </xdr:txBody>
    </xdr:sp>
    <xdr:clientData/>
  </xdr:oneCellAnchor>
  <xdr:oneCellAnchor>
    <xdr:from>
      <xdr:col>16</xdr:col>
      <xdr:colOff>47625</xdr:colOff>
      <xdr:row>10</xdr:row>
      <xdr:rowOff>76200</xdr:rowOff>
    </xdr:from>
    <xdr:ext cx="775469" cy="155748"/>
    <xdr:sp macro="" textlink="">
      <xdr:nvSpPr>
        <xdr:cNvPr id="4200" name="Text Box 104"/>
        <xdr:cNvSpPr txBox="1">
          <a:spLocks noChangeArrowheads="1"/>
        </xdr:cNvSpPr>
      </xdr:nvSpPr>
      <xdr:spPr bwMode="auto">
        <a:xfrm>
          <a:off x="1857375" y="1628775"/>
          <a:ext cx="775469" cy="155748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US" sz="900" b="0" i="0" u="none" strike="noStrike" baseline="0">
              <a:solidFill>
                <a:srgbClr val="000000"/>
              </a:solidFill>
              <a:latin typeface="Arial"/>
              <a:cs typeface="Arial"/>
            </a:rPr>
            <a:t>Antiseep collar</a:t>
          </a:r>
        </a:p>
      </xdr:txBody>
    </xdr:sp>
    <xdr:clientData/>
  </xdr:oneCellAnchor>
  <xdr:oneCellAnchor>
    <xdr:from>
      <xdr:col>44</xdr:col>
      <xdr:colOff>114300</xdr:colOff>
      <xdr:row>9</xdr:row>
      <xdr:rowOff>38100</xdr:rowOff>
    </xdr:from>
    <xdr:ext cx="563744" cy="171450"/>
    <xdr:sp macro="" textlink="">
      <xdr:nvSpPr>
        <xdr:cNvPr id="4201" name="Text Box 105"/>
        <xdr:cNvSpPr txBox="1">
          <a:spLocks noChangeArrowheads="1"/>
        </xdr:cNvSpPr>
      </xdr:nvSpPr>
      <xdr:spPr bwMode="auto">
        <a:xfrm>
          <a:off x="5457825" y="1409700"/>
          <a:ext cx="563744" cy="171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square" lIns="18288" tIns="22860" rIns="0" bIns="0" anchor="t" upright="1">
          <a:noAutofit/>
        </a:bodyPr>
        <a:lstStyle/>
        <a:p>
          <a:pPr algn="l" rtl="0">
            <a:defRPr sz="1000"/>
          </a:pPr>
          <a:r>
            <a:rPr lang="en-US" sz="900" b="0" i="0" u="none" strike="noStrike" baseline="0">
              <a:solidFill>
                <a:srgbClr val="000000"/>
              </a:solidFill>
              <a:latin typeface="Arial"/>
              <a:cs typeface="Arial"/>
            </a:rPr>
            <a:t>Pipe invert</a:t>
          </a:r>
        </a:p>
        <a:p>
          <a:pPr algn="l" rtl="0">
            <a:defRPr sz="1000"/>
          </a:pPr>
          <a:endParaRPr lang="en-US" sz="9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oneCellAnchor>
  <xdr:twoCellAnchor>
    <xdr:from>
      <xdr:col>42</xdr:col>
      <xdr:colOff>28575</xdr:colOff>
      <xdr:row>10</xdr:row>
      <xdr:rowOff>104775</xdr:rowOff>
    </xdr:from>
    <xdr:to>
      <xdr:col>44</xdr:col>
      <xdr:colOff>114300</xdr:colOff>
      <xdr:row>12</xdr:row>
      <xdr:rowOff>114300</xdr:rowOff>
    </xdr:to>
    <xdr:sp macro="" textlink="">
      <xdr:nvSpPr>
        <xdr:cNvPr id="4444" name="Freeform 106"/>
        <xdr:cNvSpPr>
          <a:spLocks/>
        </xdr:cNvSpPr>
      </xdr:nvSpPr>
      <xdr:spPr bwMode="auto">
        <a:xfrm>
          <a:off x="5086350" y="1657350"/>
          <a:ext cx="371475" cy="371475"/>
        </a:xfrm>
        <a:custGeom>
          <a:avLst/>
          <a:gdLst>
            <a:gd name="T0" fmla="*/ 0 w 39"/>
            <a:gd name="T1" fmla="*/ 39 h 39"/>
            <a:gd name="T2" fmla="*/ 6 w 39"/>
            <a:gd name="T3" fmla="*/ 19 h 39"/>
            <a:gd name="T4" fmla="*/ 8 w 39"/>
            <a:gd name="T5" fmla="*/ 15 h 39"/>
            <a:gd name="T6" fmla="*/ 10 w 39"/>
            <a:gd name="T7" fmla="*/ 11 h 39"/>
            <a:gd name="T8" fmla="*/ 13 w 39"/>
            <a:gd name="T9" fmla="*/ 8 h 39"/>
            <a:gd name="T10" fmla="*/ 16 w 39"/>
            <a:gd name="T11" fmla="*/ 6 h 39"/>
            <a:gd name="T12" fmla="*/ 19 w 39"/>
            <a:gd name="T13" fmla="*/ 4 h 39"/>
            <a:gd name="T14" fmla="*/ 22 w 39"/>
            <a:gd name="T15" fmla="*/ 3 h 39"/>
            <a:gd name="T16" fmla="*/ 27 w 39"/>
            <a:gd name="T17" fmla="*/ 2 h 39"/>
            <a:gd name="T18" fmla="*/ 39 w 39"/>
            <a:gd name="T19" fmla="*/ 0 h 39"/>
            <a:gd name="T20" fmla="*/ 0 60000 65536"/>
            <a:gd name="T21" fmla="*/ 0 60000 65536"/>
            <a:gd name="T22" fmla="*/ 0 60000 65536"/>
            <a:gd name="T23" fmla="*/ 0 60000 65536"/>
            <a:gd name="T24" fmla="*/ 0 60000 65536"/>
            <a:gd name="T25" fmla="*/ 0 60000 65536"/>
            <a:gd name="T26" fmla="*/ 0 60000 65536"/>
            <a:gd name="T27" fmla="*/ 0 60000 65536"/>
            <a:gd name="T28" fmla="*/ 0 60000 65536"/>
            <a:gd name="T29" fmla="*/ 0 60000 65536"/>
            <a:gd name="T30" fmla="*/ 0 w 39"/>
            <a:gd name="T31" fmla="*/ 0 h 39"/>
            <a:gd name="T32" fmla="*/ 39 w 39"/>
            <a:gd name="T33" fmla="*/ 39 h 39"/>
          </a:gdLst>
          <a:ahLst/>
          <a:cxnLst>
            <a:cxn ang="T20">
              <a:pos x="T0" y="T1"/>
            </a:cxn>
            <a:cxn ang="T21">
              <a:pos x="T2" y="T3"/>
            </a:cxn>
            <a:cxn ang="T22">
              <a:pos x="T4" y="T5"/>
            </a:cxn>
            <a:cxn ang="T23">
              <a:pos x="T6" y="T7"/>
            </a:cxn>
            <a:cxn ang="T24">
              <a:pos x="T8" y="T9"/>
            </a:cxn>
            <a:cxn ang="T25">
              <a:pos x="T10" y="T11"/>
            </a:cxn>
            <a:cxn ang="T26">
              <a:pos x="T12" y="T13"/>
            </a:cxn>
            <a:cxn ang="T27">
              <a:pos x="T14" y="T15"/>
            </a:cxn>
            <a:cxn ang="T28">
              <a:pos x="T16" y="T17"/>
            </a:cxn>
            <a:cxn ang="T29">
              <a:pos x="T18" y="T19"/>
            </a:cxn>
          </a:cxnLst>
          <a:rect l="T30" t="T31" r="T32" b="T33"/>
          <a:pathLst>
            <a:path w="39" h="39">
              <a:moveTo>
                <a:pt x="0" y="39"/>
              </a:moveTo>
              <a:lnTo>
                <a:pt x="6" y="19"/>
              </a:lnTo>
              <a:lnTo>
                <a:pt x="8" y="15"/>
              </a:lnTo>
              <a:lnTo>
                <a:pt x="10" y="11"/>
              </a:lnTo>
              <a:lnTo>
                <a:pt x="13" y="8"/>
              </a:lnTo>
              <a:lnTo>
                <a:pt x="16" y="6"/>
              </a:lnTo>
              <a:lnTo>
                <a:pt x="19" y="4"/>
              </a:lnTo>
              <a:lnTo>
                <a:pt x="22" y="3"/>
              </a:lnTo>
              <a:lnTo>
                <a:pt x="27" y="2"/>
              </a:lnTo>
              <a:lnTo>
                <a:pt x="39" y="0"/>
              </a:lnTo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stealth" w="sm" len="med"/>
          <a:tailEnd type="none" w="med" len="med"/>
        </a:ln>
      </xdr:spPr>
    </xdr:sp>
    <xdr:clientData/>
  </xdr:twoCellAnchor>
  <xdr:oneCellAnchor>
    <xdr:from>
      <xdr:col>46</xdr:col>
      <xdr:colOff>114300</xdr:colOff>
      <xdr:row>11</xdr:row>
      <xdr:rowOff>104775</xdr:rowOff>
    </xdr:from>
    <xdr:ext cx="466281" cy="155748"/>
    <xdr:sp macro="" textlink="">
      <xdr:nvSpPr>
        <xdr:cNvPr id="4203" name="Text Box 107"/>
        <xdr:cNvSpPr txBox="1">
          <a:spLocks noChangeArrowheads="1"/>
        </xdr:cNvSpPr>
      </xdr:nvSpPr>
      <xdr:spPr bwMode="auto">
        <a:xfrm>
          <a:off x="5743575" y="1838325"/>
          <a:ext cx="466281" cy="155748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US" sz="900" b="0" i="0" u="none" strike="noStrike" baseline="0">
              <a:solidFill>
                <a:srgbClr val="000000"/>
              </a:solidFill>
              <a:latin typeface="Arial"/>
              <a:cs typeface="Arial"/>
            </a:rPr>
            <a:t>1'-0"min.</a:t>
          </a:r>
        </a:p>
      </xdr:txBody>
    </xdr:sp>
    <xdr:clientData/>
  </xdr:oneCellAnchor>
  <xdr:oneCellAnchor>
    <xdr:from>
      <xdr:col>41</xdr:col>
      <xdr:colOff>123825</xdr:colOff>
      <xdr:row>6</xdr:row>
      <xdr:rowOff>38100</xdr:rowOff>
    </xdr:from>
    <xdr:ext cx="1025665" cy="421077"/>
    <xdr:sp macro="" textlink="">
      <xdr:nvSpPr>
        <xdr:cNvPr id="4204" name="Text Box 108"/>
        <xdr:cNvSpPr txBox="1">
          <a:spLocks noChangeArrowheads="1"/>
        </xdr:cNvSpPr>
      </xdr:nvSpPr>
      <xdr:spPr bwMode="auto">
        <a:xfrm>
          <a:off x="5038725" y="866775"/>
          <a:ext cx="1025665" cy="42107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US" sz="900" b="0" i="0" u="none" strike="noStrike" baseline="0">
              <a:solidFill>
                <a:srgbClr val="000000"/>
              </a:solidFill>
              <a:latin typeface="Arial"/>
              <a:cs typeface="Arial"/>
            </a:rPr>
            <a:t>Shape side slope</a:t>
          </a:r>
        </a:p>
        <a:p>
          <a:pPr algn="l" rtl="0">
            <a:defRPr sz="1000"/>
          </a:pPr>
          <a:r>
            <a:rPr lang="en-US" sz="900" b="0" i="0" u="none" strike="noStrike" baseline="0">
              <a:solidFill>
                <a:srgbClr val="000000"/>
              </a:solidFill>
              <a:latin typeface="Arial"/>
              <a:cs typeface="Arial"/>
            </a:rPr>
            <a:t>of channel to clear </a:t>
          </a:r>
        </a:p>
        <a:p>
          <a:pPr algn="l" rtl="0">
            <a:defRPr sz="1000"/>
          </a:pPr>
          <a:r>
            <a:rPr lang="en-US" sz="900" b="0" i="0" u="none" strike="noStrike" baseline="0">
              <a:solidFill>
                <a:srgbClr val="000000"/>
              </a:solidFill>
              <a:latin typeface="Arial"/>
              <a:cs typeface="Arial"/>
            </a:rPr>
            <a:t>invert of pipe outlet.</a:t>
          </a:r>
        </a:p>
      </xdr:txBody>
    </xdr:sp>
    <xdr:clientData/>
  </xdr:oneCellAnchor>
  <xdr:twoCellAnchor>
    <xdr:from>
      <xdr:col>40</xdr:col>
      <xdr:colOff>85725</xdr:colOff>
      <xdr:row>6</xdr:row>
      <xdr:rowOff>114300</xdr:rowOff>
    </xdr:from>
    <xdr:to>
      <xdr:col>41</xdr:col>
      <xdr:colOff>123825</xdr:colOff>
      <xdr:row>10</xdr:row>
      <xdr:rowOff>171450</xdr:rowOff>
    </xdr:to>
    <xdr:sp macro="" textlink="">
      <xdr:nvSpPr>
        <xdr:cNvPr id="4447" name="Freeform 109"/>
        <xdr:cNvSpPr>
          <a:spLocks/>
        </xdr:cNvSpPr>
      </xdr:nvSpPr>
      <xdr:spPr bwMode="auto">
        <a:xfrm>
          <a:off x="4857750" y="942975"/>
          <a:ext cx="180975" cy="781050"/>
        </a:xfrm>
        <a:custGeom>
          <a:avLst/>
          <a:gdLst>
            <a:gd name="T0" fmla="*/ 1 w 19"/>
            <a:gd name="T1" fmla="*/ 82 h 82"/>
            <a:gd name="T2" fmla="*/ 7 w 19"/>
            <a:gd name="T3" fmla="*/ 73 h 82"/>
            <a:gd name="T4" fmla="*/ 14 w 19"/>
            <a:gd name="T5" fmla="*/ 60 h 82"/>
            <a:gd name="T6" fmla="*/ 16 w 19"/>
            <a:gd name="T7" fmla="*/ 55 h 82"/>
            <a:gd name="T8" fmla="*/ 16 w 19"/>
            <a:gd name="T9" fmla="*/ 50 h 82"/>
            <a:gd name="T10" fmla="*/ 15 w 19"/>
            <a:gd name="T11" fmla="*/ 45 h 82"/>
            <a:gd name="T12" fmla="*/ 12 w 19"/>
            <a:gd name="T13" fmla="*/ 40 h 82"/>
            <a:gd name="T14" fmla="*/ 9 w 19"/>
            <a:gd name="T15" fmla="*/ 36 h 82"/>
            <a:gd name="T16" fmla="*/ 3 w 19"/>
            <a:gd name="T17" fmla="*/ 28 h 82"/>
            <a:gd name="T18" fmla="*/ 1 w 19"/>
            <a:gd name="T19" fmla="*/ 23 h 82"/>
            <a:gd name="T20" fmla="*/ 0 w 19"/>
            <a:gd name="T21" fmla="*/ 18 h 82"/>
            <a:gd name="T22" fmla="*/ 1 w 19"/>
            <a:gd name="T23" fmla="*/ 13 h 82"/>
            <a:gd name="T24" fmla="*/ 4 w 19"/>
            <a:gd name="T25" fmla="*/ 8 h 82"/>
            <a:gd name="T26" fmla="*/ 8 w 19"/>
            <a:gd name="T27" fmla="*/ 4 h 82"/>
            <a:gd name="T28" fmla="*/ 13 w 19"/>
            <a:gd name="T29" fmla="*/ 1 h 82"/>
            <a:gd name="T30" fmla="*/ 19 w 19"/>
            <a:gd name="T31" fmla="*/ 0 h 82"/>
            <a:gd name="T32" fmla="*/ 0 60000 65536"/>
            <a:gd name="T33" fmla="*/ 0 60000 65536"/>
            <a:gd name="T34" fmla="*/ 0 60000 65536"/>
            <a:gd name="T35" fmla="*/ 0 60000 65536"/>
            <a:gd name="T36" fmla="*/ 0 60000 65536"/>
            <a:gd name="T37" fmla="*/ 0 60000 65536"/>
            <a:gd name="T38" fmla="*/ 0 60000 65536"/>
            <a:gd name="T39" fmla="*/ 0 60000 65536"/>
            <a:gd name="T40" fmla="*/ 0 60000 65536"/>
            <a:gd name="T41" fmla="*/ 0 60000 65536"/>
            <a:gd name="T42" fmla="*/ 0 60000 65536"/>
            <a:gd name="T43" fmla="*/ 0 60000 65536"/>
            <a:gd name="T44" fmla="*/ 0 60000 65536"/>
            <a:gd name="T45" fmla="*/ 0 60000 65536"/>
            <a:gd name="T46" fmla="*/ 0 60000 65536"/>
            <a:gd name="T47" fmla="*/ 0 60000 65536"/>
            <a:gd name="T48" fmla="*/ 0 w 19"/>
            <a:gd name="T49" fmla="*/ 0 h 82"/>
            <a:gd name="T50" fmla="*/ 19 w 19"/>
            <a:gd name="T51" fmla="*/ 82 h 82"/>
          </a:gdLst>
          <a:ahLst/>
          <a:cxnLst>
            <a:cxn ang="T32">
              <a:pos x="T0" y="T1"/>
            </a:cxn>
            <a:cxn ang="T33">
              <a:pos x="T2" y="T3"/>
            </a:cxn>
            <a:cxn ang="T34">
              <a:pos x="T4" y="T5"/>
            </a:cxn>
            <a:cxn ang="T35">
              <a:pos x="T6" y="T7"/>
            </a:cxn>
            <a:cxn ang="T36">
              <a:pos x="T8" y="T9"/>
            </a:cxn>
            <a:cxn ang="T37">
              <a:pos x="T10" y="T11"/>
            </a:cxn>
            <a:cxn ang="T38">
              <a:pos x="T12" y="T13"/>
            </a:cxn>
            <a:cxn ang="T39">
              <a:pos x="T14" y="T15"/>
            </a:cxn>
            <a:cxn ang="T40">
              <a:pos x="T16" y="T17"/>
            </a:cxn>
            <a:cxn ang="T41">
              <a:pos x="T18" y="T19"/>
            </a:cxn>
            <a:cxn ang="T42">
              <a:pos x="T20" y="T21"/>
            </a:cxn>
            <a:cxn ang="T43">
              <a:pos x="T22" y="T23"/>
            </a:cxn>
            <a:cxn ang="T44">
              <a:pos x="T24" y="T25"/>
            </a:cxn>
            <a:cxn ang="T45">
              <a:pos x="T26" y="T27"/>
            </a:cxn>
            <a:cxn ang="T46">
              <a:pos x="T28" y="T29"/>
            </a:cxn>
            <a:cxn ang="T47">
              <a:pos x="T30" y="T31"/>
            </a:cxn>
          </a:cxnLst>
          <a:rect l="T48" t="T49" r="T50" b="T51"/>
          <a:pathLst>
            <a:path w="19" h="82">
              <a:moveTo>
                <a:pt x="1" y="82"/>
              </a:moveTo>
              <a:lnTo>
                <a:pt x="7" y="73"/>
              </a:lnTo>
              <a:lnTo>
                <a:pt x="14" y="60"/>
              </a:lnTo>
              <a:lnTo>
                <a:pt x="16" y="55"/>
              </a:lnTo>
              <a:lnTo>
                <a:pt x="16" y="50"/>
              </a:lnTo>
              <a:lnTo>
                <a:pt x="15" y="45"/>
              </a:lnTo>
              <a:lnTo>
                <a:pt x="12" y="40"/>
              </a:lnTo>
              <a:lnTo>
                <a:pt x="9" y="36"/>
              </a:lnTo>
              <a:lnTo>
                <a:pt x="3" y="28"/>
              </a:lnTo>
              <a:lnTo>
                <a:pt x="1" y="23"/>
              </a:lnTo>
              <a:lnTo>
                <a:pt x="0" y="18"/>
              </a:lnTo>
              <a:lnTo>
                <a:pt x="1" y="13"/>
              </a:lnTo>
              <a:lnTo>
                <a:pt x="4" y="8"/>
              </a:lnTo>
              <a:lnTo>
                <a:pt x="8" y="4"/>
              </a:lnTo>
              <a:lnTo>
                <a:pt x="13" y="1"/>
              </a:lnTo>
              <a:lnTo>
                <a:pt x="19" y="0"/>
              </a:lnTo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stealth" w="sm" len="med"/>
          <a:tailEnd type="none" w="med" len="med"/>
        </a:ln>
      </xdr:spPr>
    </xdr:sp>
    <xdr:clientData/>
  </xdr:twoCellAnchor>
  <xdr:oneCellAnchor>
    <xdr:from>
      <xdr:col>42</xdr:col>
      <xdr:colOff>66675</xdr:colOff>
      <xdr:row>13</xdr:row>
      <xdr:rowOff>76200</xdr:rowOff>
    </xdr:from>
    <xdr:ext cx="95475" cy="155748"/>
    <xdr:sp macro="" textlink="">
      <xdr:nvSpPr>
        <xdr:cNvPr id="4206" name="Text Box 110"/>
        <xdr:cNvSpPr txBox="1">
          <a:spLocks noChangeArrowheads="1"/>
        </xdr:cNvSpPr>
      </xdr:nvSpPr>
      <xdr:spPr bwMode="auto">
        <a:xfrm>
          <a:off x="5124450" y="2171700"/>
          <a:ext cx="95475" cy="155748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US" sz="900" b="0" i="0" u="none" strike="noStrike" baseline="0">
              <a:solidFill>
                <a:srgbClr val="000000"/>
              </a:solidFill>
              <a:latin typeface="Arial"/>
              <a:cs typeface="Arial"/>
            </a:rPr>
            <a:t>A</a:t>
          </a:r>
        </a:p>
      </xdr:txBody>
    </xdr:sp>
    <xdr:clientData/>
  </xdr:oneCellAnchor>
  <xdr:oneCellAnchor>
    <xdr:from>
      <xdr:col>42</xdr:col>
      <xdr:colOff>123825</xdr:colOff>
      <xdr:row>14</xdr:row>
      <xdr:rowOff>47625</xdr:rowOff>
    </xdr:from>
    <xdr:ext cx="826765" cy="161925"/>
    <xdr:sp macro="" textlink="">
      <xdr:nvSpPr>
        <xdr:cNvPr id="4207" name="Text Box 111"/>
        <xdr:cNvSpPr txBox="1">
          <a:spLocks noChangeArrowheads="1"/>
        </xdr:cNvSpPr>
      </xdr:nvSpPr>
      <xdr:spPr bwMode="auto">
        <a:xfrm>
          <a:off x="5181600" y="2324100"/>
          <a:ext cx="82676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square" lIns="18288" tIns="22860" rIns="0" bIns="0" anchor="t" upright="1">
          <a:noAutofit/>
        </a:bodyPr>
        <a:lstStyle/>
        <a:p>
          <a:pPr algn="l" rtl="0">
            <a:defRPr sz="1000"/>
          </a:pPr>
          <a:r>
            <a:rPr lang="en-US" sz="900" b="0" i="0" u="none" strike="noStrike" baseline="0">
              <a:solidFill>
                <a:srgbClr val="000000"/>
              </a:solidFill>
              <a:latin typeface="Arial"/>
              <a:cs typeface="Arial"/>
            </a:rPr>
            <a:t>Bottom of outlet</a:t>
          </a:r>
        </a:p>
      </xdr:txBody>
    </xdr:sp>
    <xdr:clientData/>
  </xdr:oneCellAnchor>
  <xdr:oneCellAnchor>
    <xdr:from>
      <xdr:col>2</xdr:col>
      <xdr:colOff>47625</xdr:colOff>
      <xdr:row>14</xdr:row>
      <xdr:rowOff>38100</xdr:rowOff>
    </xdr:from>
    <xdr:ext cx="153183" cy="155748"/>
    <xdr:sp macro="" textlink="">
      <xdr:nvSpPr>
        <xdr:cNvPr id="4208" name="Text Box 112"/>
        <xdr:cNvSpPr txBox="1">
          <a:spLocks noChangeArrowheads="1"/>
        </xdr:cNvSpPr>
      </xdr:nvSpPr>
      <xdr:spPr bwMode="auto">
        <a:xfrm>
          <a:off x="276225" y="2314575"/>
          <a:ext cx="153183" cy="155748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US" sz="900" b="0" i="0" u="none" strike="noStrike" baseline="0">
              <a:solidFill>
                <a:srgbClr val="000000"/>
              </a:solidFill>
              <a:latin typeface="Arial"/>
              <a:cs typeface="Arial"/>
            </a:rPr>
            <a:t>El.</a:t>
          </a:r>
        </a:p>
      </xdr:txBody>
    </xdr:sp>
    <xdr:clientData/>
  </xdr:oneCellAnchor>
  <xdr:twoCellAnchor>
    <xdr:from>
      <xdr:col>8</xdr:col>
      <xdr:colOff>19050</xdr:colOff>
      <xdr:row>12</xdr:row>
      <xdr:rowOff>19050</xdr:rowOff>
    </xdr:from>
    <xdr:to>
      <xdr:col>13</xdr:col>
      <xdr:colOff>0</xdr:colOff>
      <xdr:row>14</xdr:row>
      <xdr:rowOff>123825</xdr:rowOff>
    </xdr:to>
    <xdr:sp macro="" textlink="">
      <xdr:nvSpPr>
        <xdr:cNvPr id="4451" name="Freeform 113"/>
        <xdr:cNvSpPr>
          <a:spLocks/>
        </xdr:cNvSpPr>
      </xdr:nvSpPr>
      <xdr:spPr bwMode="auto">
        <a:xfrm>
          <a:off x="990600" y="1933575"/>
          <a:ext cx="561975" cy="466725"/>
        </a:xfrm>
        <a:custGeom>
          <a:avLst/>
          <a:gdLst>
            <a:gd name="T0" fmla="*/ 0 w 59"/>
            <a:gd name="T1" fmla="*/ 49 h 49"/>
            <a:gd name="T2" fmla="*/ 11 w 59"/>
            <a:gd name="T3" fmla="*/ 43 h 49"/>
            <a:gd name="T4" fmla="*/ 22 w 59"/>
            <a:gd name="T5" fmla="*/ 36 h 49"/>
            <a:gd name="T6" fmla="*/ 25 w 59"/>
            <a:gd name="T7" fmla="*/ 32 h 49"/>
            <a:gd name="T8" fmla="*/ 26 w 59"/>
            <a:gd name="T9" fmla="*/ 28 h 49"/>
            <a:gd name="T10" fmla="*/ 26 w 59"/>
            <a:gd name="T11" fmla="*/ 25 h 49"/>
            <a:gd name="T12" fmla="*/ 26 w 59"/>
            <a:gd name="T13" fmla="*/ 12 h 49"/>
            <a:gd name="T14" fmla="*/ 27 w 59"/>
            <a:gd name="T15" fmla="*/ 8 h 49"/>
            <a:gd name="T16" fmla="*/ 29 w 59"/>
            <a:gd name="T17" fmla="*/ 5 h 49"/>
            <a:gd name="T18" fmla="*/ 31 w 59"/>
            <a:gd name="T19" fmla="*/ 3 h 49"/>
            <a:gd name="T20" fmla="*/ 34 w 59"/>
            <a:gd name="T21" fmla="*/ 1 h 49"/>
            <a:gd name="T22" fmla="*/ 38 w 59"/>
            <a:gd name="T23" fmla="*/ 0 h 49"/>
            <a:gd name="T24" fmla="*/ 41 w 59"/>
            <a:gd name="T25" fmla="*/ 0 h 49"/>
            <a:gd name="T26" fmla="*/ 46 w 59"/>
            <a:gd name="T27" fmla="*/ 0 h 49"/>
            <a:gd name="T28" fmla="*/ 49 w 59"/>
            <a:gd name="T29" fmla="*/ 0 h 49"/>
            <a:gd name="T30" fmla="*/ 53 w 59"/>
            <a:gd name="T31" fmla="*/ 2 h 49"/>
            <a:gd name="T32" fmla="*/ 59 w 59"/>
            <a:gd name="T33" fmla="*/ 9 h 49"/>
            <a:gd name="T34" fmla="*/ 0 60000 65536"/>
            <a:gd name="T35" fmla="*/ 0 60000 65536"/>
            <a:gd name="T36" fmla="*/ 0 60000 65536"/>
            <a:gd name="T37" fmla="*/ 0 60000 65536"/>
            <a:gd name="T38" fmla="*/ 0 60000 65536"/>
            <a:gd name="T39" fmla="*/ 0 60000 65536"/>
            <a:gd name="T40" fmla="*/ 0 60000 65536"/>
            <a:gd name="T41" fmla="*/ 0 60000 65536"/>
            <a:gd name="T42" fmla="*/ 0 60000 65536"/>
            <a:gd name="T43" fmla="*/ 0 60000 65536"/>
            <a:gd name="T44" fmla="*/ 0 60000 65536"/>
            <a:gd name="T45" fmla="*/ 0 60000 65536"/>
            <a:gd name="T46" fmla="*/ 0 60000 65536"/>
            <a:gd name="T47" fmla="*/ 0 60000 65536"/>
            <a:gd name="T48" fmla="*/ 0 60000 65536"/>
            <a:gd name="T49" fmla="*/ 0 60000 65536"/>
            <a:gd name="T50" fmla="*/ 0 60000 65536"/>
            <a:gd name="T51" fmla="*/ 0 w 59"/>
            <a:gd name="T52" fmla="*/ 0 h 49"/>
            <a:gd name="T53" fmla="*/ 59 w 59"/>
            <a:gd name="T54" fmla="*/ 49 h 49"/>
          </a:gdLst>
          <a:ahLst/>
          <a:cxnLst>
            <a:cxn ang="T34">
              <a:pos x="T0" y="T1"/>
            </a:cxn>
            <a:cxn ang="T35">
              <a:pos x="T2" y="T3"/>
            </a:cxn>
            <a:cxn ang="T36">
              <a:pos x="T4" y="T5"/>
            </a:cxn>
            <a:cxn ang="T37">
              <a:pos x="T6" y="T7"/>
            </a:cxn>
            <a:cxn ang="T38">
              <a:pos x="T8" y="T9"/>
            </a:cxn>
            <a:cxn ang="T39">
              <a:pos x="T10" y="T11"/>
            </a:cxn>
            <a:cxn ang="T40">
              <a:pos x="T12" y="T13"/>
            </a:cxn>
            <a:cxn ang="T41">
              <a:pos x="T14" y="T15"/>
            </a:cxn>
            <a:cxn ang="T42">
              <a:pos x="T16" y="T17"/>
            </a:cxn>
            <a:cxn ang="T43">
              <a:pos x="T18" y="T19"/>
            </a:cxn>
            <a:cxn ang="T44">
              <a:pos x="T20" y="T21"/>
            </a:cxn>
            <a:cxn ang="T45">
              <a:pos x="T22" y="T23"/>
            </a:cxn>
            <a:cxn ang="T46">
              <a:pos x="T24" y="T25"/>
            </a:cxn>
            <a:cxn ang="T47">
              <a:pos x="T26" y="T27"/>
            </a:cxn>
            <a:cxn ang="T48">
              <a:pos x="T28" y="T29"/>
            </a:cxn>
            <a:cxn ang="T49">
              <a:pos x="T30" y="T31"/>
            </a:cxn>
            <a:cxn ang="T50">
              <a:pos x="T32" y="T33"/>
            </a:cxn>
          </a:cxnLst>
          <a:rect l="T51" t="T52" r="T53" b="T54"/>
          <a:pathLst>
            <a:path w="59" h="49">
              <a:moveTo>
                <a:pt x="0" y="49"/>
              </a:moveTo>
              <a:lnTo>
                <a:pt x="11" y="43"/>
              </a:lnTo>
              <a:lnTo>
                <a:pt x="22" y="36"/>
              </a:lnTo>
              <a:lnTo>
                <a:pt x="25" y="32"/>
              </a:lnTo>
              <a:lnTo>
                <a:pt x="26" y="28"/>
              </a:lnTo>
              <a:lnTo>
                <a:pt x="26" y="25"/>
              </a:lnTo>
              <a:lnTo>
                <a:pt x="26" y="12"/>
              </a:lnTo>
              <a:lnTo>
                <a:pt x="27" y="8"/>
              </a:lnTo>
              <a:lnTo>
                <a:pt x="29" y="5"/>
              </a:lnTo>
              <a:lnTo>
                <a:pt x="31" y="3"/>
              </a:lnTo>
              <a:lnTo>
                <a:pt x="34" y="1"/>
              </a:lnTo>
              <a:lnTo>
                <a:pt x="38" y="0"/>
              </a:lnTo>
              <a:lnTo>
                <a:pt x="41" y="0"/>
              </a:lnTo>
              <a:lnTo>
                <a:pt x="46" y="0"/>
              </a:lnTo>
              <a:lnTo>
                <a:pt x="49" y="0"/>
              </a:lnTo>
              <a:lnTo>
                <a:pt x="53" y="2"/>
              </a:lnTo>
              <a:lnTo>
                <a:pt x="59" y="9"/>
              </a:lnTo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med" len="med"/>
          <a:tailEnd type="stealth" w="sm" len="med"/>
        </a:ln>
      </xdr:spPr>
    </xdr:sp>
    <xdr:clientData/>
  </xdr:twoCellAnchor>
  <xdr:twoCellAnchor>
    <xdr:from>
      <xdr:col>15</xdr:col>
      <xdr:colOff>0</xdr:colOff>
      <xdr:row>12</xdr:row>
      <xdr:rowOff>114300</xdr:rowOff>
    </xdr:from>
    <xdr:to>
      <xdr:col>15</xdr:col>
      <xdr:colOff>76200</xdr:colOff>
      <xdr:row>14</xdr:row>
      <xdr:rowOff>133350</xdr:rowOff>
    </xdr:to>
    <xdr:sp macro="" textlink="">
      <xdr:nvSpPr>
        <xdr:cNvPr id="4452" name="Freeform 114"/>
        <xdr:cNvSpPr>
          <a:spLocks/>
        </xdr:cNvSpPr>
      </xdr:nvSpPr>
      <xdr:spPr bwMode="auto">
        <a:xfrm>
          <a:off x="1724025" y="2028825"/>
          <a:ext cx="76200" cy="381000"/>
        </a:xfrm>
        <a:custGeom>
          <a:avLst/>
          <a:gdLst>
            <a:gd name="T0" fmla="*/ 8 w 8"/>
            <a:gd name="T1" fmla="*/ 0 h 40"/>
            <a:gd name="T2" fmla="*/ 7 w 8"/>
            <a:gd name="T3" fmla="*/ 19 h 40"/>
            <a:gd name="T4" fmla="*/ 7 w 8"/>
            <a:gd name="T5" fmla="*/ 27 h 40"/>
            <a:gd name="T6" fmla="*/ 4 w 8"/>
            <a:gd name="T7" fmla="*/ 35 h 40"/>
            <a:gd name="T8" fmla="*/ 0 w 8"/>
            <a:gd name="T9" fmla="*/ 40 h 40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8"/>
            <a:gd name="T16" fmla="*/ 0 h 40"/>
            <a:gd name="T17" fmla="*/ 8 w 8"/>
            <a:gd name="T18" fmla="*/ 40 h 40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8" h="40">
              <a:moveTo>
                <a:pt x="8" y="0"/>
              </a:moveTo>
              <a:lnTo>
                <a:pt x="7" y="19"/>
              </a:lnTo>
              <a:lnTo>
                <a:pt x="7" y="27"/>
              </a:lnTo>
              <a:lnTo>
                <a:pt x="4" y="35"/>
              </a:lnTo>
              <a:lnTo>
                <a:pt x="0" y="40"/>
              </a:lnTo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stealth" w="sm" len="med"/>
          <a:tailEnd type="none" w="med" len="med"/>
        </a:ln>
      </xdr:spPr>
    </xdr:sp>
    <xdr:clientData/>
  </xdr:twoCellAnchor>
  <xdr:oneCellAnchor>
    <xdr:from>
      <xdr:col>10</xdr:col>
      <xdr:colOff>9525</xdr:colOff>
      <xdr:row>14</xdr:row>
      <xdr:rowOff>104775</xdr:rowOff>
    </xdr:from>
    <xdr:ext cx="466410" cy="155748"/>
    <xdr:sp macro="" textlink="">
      <xdr:nvSpPr>
        <xdr:cNvPr id="4211" name="Text Box 115"/>
        <xdr:cNvSpPr txBox="1">
          <a:spLocks noChangeArrowheads="1"/>
        </xdr:cNvSpPr>
      </xdr:nvSpPr>
      <xdr:spPr bwMode="auto">
        <a:xfrm>
          <a:off x="1228725" y="2381250"/>
          <a:ext cx="466410" cy="155748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US" sz="900" b="0" i="0" u="none" strike="noStrike" baseline="0">
              <a:solidFill>
                <a:srgbClr val="000000"/>
              </a:solidFill>
              <a:latin typeface="Arial"/>
              <a:cs typeface="Arial"/>
            </a:rPr>
            <a:t>2'-0"stub</a:t>
          </a:r>
        </a:p>
      </xdr:txBody>
    </xdr:sp>
    <xdr:clientData/>
  </xdr:oneCellAnchor>
  <xdr:oneCellAnchor>
    <xdr:from>
      <xdr:col>22</xdr:col>
      <xdr:colOff>9525</xdr:colOff>
      <xdr:row>14</xdr:row>
      <xdr:rowOff>38100</xdr:rowOff>
    </xdr:from>
    <xdr:ext cx="2027222" cy="170560"/>
    <xdr:sp macro="" textlink="">
      <xdr:nvSpPr>
        <xdr:cNvPr id="4212" name="Text Box 116"/>
        <xdr:cNvSpPr txBox="1">
          <a:spLocks noChangeArrowheads="1"/>
        </xdr:cNvSpPr>
      </xdr:nvSpPr>
      <xdr:spPr bwMode="auto">
        <a:xfrm>
          <a:off x="2562225" y="2314575"/>
          <a:ext cx="2027222" cy="1705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(20'-0" min. length of outlet section)</a:t>
          </a:r>
        </a:p>
      </xdr:txBody>
    </xdr:sp>
    <xdr:clientData/>
  </xdr:oneCellAnchor>
  <xdr:twoCellAnchor>
    <xdr:from>
      <xdr:col>50</xdr:col>
      <xdr:colOff>9525</xdr:colOff>
      <xdr:row>13</xdr:row>
      <xdr:rowOff>85725</xdr:rowOff>
    </xdr:from>
    <xdr:to>
      <xdr:col>52</xdr:col>
      <xdr:colOff>95250</xdr:colOff>
      <xdr:row>15</xdr:row>
      <xdr:rowOff>47625</xdr:rowOff>
    </xdr:to>
    <xdr:sp macro="" textlink="">
      <xdr:nvSpPr>
        <xdr:cNvPr id="4455" name="Freeform 117"/>
        <xdr:cNvSpPr>
          <a:spLocks/>
        </xdr:cNvSpPr>
      </xdr:nvSpPr>
      <xdr:spPr bwMode="auto">
        <a:xfrm>
          <a:off x="5991225" y="2181225"/>
          <a:ext cx="266700" cy="323850"/>
        </a:xfrm>
        <a:custGeom>
          <a:avLst/>
          <a:gdLst>
            <a:gd name="T0" fmla="*/ 0 w 28"/>
            <a:gd name="T1" fmla="*/ 0 h 34"/>
            <a:gd name="T2" fmla="*/ 12 w 28"/>
            <a:gd name="T3" fmla="*/ 8 h 34"/>
            <a:gd name="T4" fmla="*/ 23 w 28"/>
            <a:gd name="T5" fmla="*/ 14 h 34"/>
            <a:gd name="T6" fmla="*/ 26 w 28"/>
            <a:gd name="T7" fmla="*/ 16 h 34"/>
            <a:gd name="T8" fmla="*/ 27 w 28"/>
            <a:gd name="T9" fmla="*/ 18 h 34"/>
            <a:gd name="T10" fmla="*/ 28 w 28"/>
            <a:gd name="T11" fmla="*/ 22 h 34"/>
            <a:gd name="T12" fmla="*/ 28 w 28"/>
            <a:gd name="T13" fmla="*/ 26 h 34"/>
            <a:gd name="T14" fmla="*/ 26 w 28"/>
            <a:gd name="T15" fmla="*/ 29 h 34"/>
            <a:gd name="T16" fmla="*/ 24 w 28"/>
            <a:gd name="T17" fmla="*/ 31 h 34"/>
            <a:gd name="T18" fmla="*/ 17 w 28"/>
            <a:gd name="T19" fmla="*/ 34 h 34"/>
            <a:gd name="T20" fmla="*/ 0 60000 65536"/>
            <a:gd name="T21" fmla="*/ 0 60000 65536"/>
            <a:gd name="T22" fmla="*/ 0 60000 65536"/>
            <a:gd name="T23" fmla="*/ 0 60000 65536"/>
            <a:gd name="T24" fmla="*/ 0 60000 65536"/>
            <a:gd name="T25" fmla="*/ 0 60000 65536"/>
            <a:gd name="T26" fmla="*/ 0 60000 65536"/>
            <a:gd name="T27" fmla="*/ 0 60000 65536"/>
            <a:gd name="T28" fmla="*/ 0 60000 65536"/>
            <a:gd name="T29" fmla="*/ 0 60000 65536"/>
            <a:gd name="T30" fmla="*/ 0 w 28"/>
            <a:gd name="T31" fmla="*/ 0 h 34"/>
            <a:gd name="T32" fmla="*/ 28 w 28"/>
            <a:gd name="T33" fmla="*/ 34 h 34"/>
          </a:gdLst>
          <a:ahLst/>
          <a:cxnLst>
            <a:cxn ang="T20">
              <a:pos x="T0" y="T1"/>
            </a:cxn>
            <a:cxn ang="T21">
              <a:pos x="T2" y="T3"/>
            </a:cxn>
            <a:cxn ang="T22">
              <a:pos x="T4" y="T5"/>
            </a:cxn>
            <a:cxn ang="T23">
              <a:pos x="T6" y="T7"/>
            </a:cxn>
            <a:cxn ang="T24">
              <a:pos x="T8" y="T9"/>
            </a:cxn>
            <a:cxn ang="T25">
              <a:pos x="T10" y="T11"/>
            </a:cxn>
            <a:cxn ang="T26">
              <a:pos x="T12" y="T13"/>
            </a:cxn>
            <a:cxn ang="T27">
              <a:pos x="T14" y="T15"/>
            </a:cxn>
            <a:cxn ang="T28">
              <a:pos x="T16" y="T17"/>
            </a:cxn>
            <a:cxn ang="T29">
              <a:pos x="T18" y="T19"/>
            </a:cxn>
          </a:cxnLst>
          <a:rect l="T30" t="T31" r="T32" b="T33"/>
          <a:pathLst>
            <a:path w="28" h="34">
              <a:moveTo>
                <a:pt x="0" y="0"/>
              </a:moveTo>
              <a:lnTo>
                <a:pt x="12" y="8"/>
              </a:lnTo>
              <a:lnTo>
                <a:pt x="23" y="14"/>
              </a:lnTo>
              <a:lnTo>
                <a:pt x="26" y="16"/>
              </a:lnTo>
              <a:lnTo>
                <a:pt x="27" y="18"/>
              </a:lnTo>
              <a:lnTo>
                <a:pt x="28" y="22"/>
              </a:lnTo>
              <a:lnTo>
                <a:pt x="28" y="26"/>
              </a:lnTo>
              <a:lnTo>
                <a:pt x="26" y="29"/>
              </a:lnTo>
              <a:lnTo>
                <a:pt x="24" y="31"/>
              </a:lnTo>
              <a:lnTo>
                <a:pt x="17" y="34"/>
              </a:lnTo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stealth" w="sm" len="med"/>
          <a:tailEnd type="none" w="med" len="med"/>
        </a:ln>
      </xdr:spPr>
    </xdr:sp>
    <xdr:clientData/>
  </xdr:twoCellAnchor>
  <xdr:oneCellAnchor>
    <xdr:from>
      <xdr:col>31</xdr:col>
      <xdr:colOff>9525</xdr:colOff>
      <xdr:row>10</xdr:row>
      <xdr:rowOff>19050</xdr:rowOff>
    </xdr:from>
    <xdr:ext cx="771430" cy="155748"/>
    <xdr:sp macro="" textlink="">
      <xdr:nvSpPr>
        <xdr:cNvPr id="4215" name="Text Box 119"/>
        <xdr:cNvSpPr txBox="1">
          <a:spLocks noChangeArrowheads="1"/>
        </xdr:cNvSpPr>
      </xdr:nvSpPr>
      <xdr:spPr bwMode="auto">
        <a:xfrm>
          <a:off x="3676650" y="1571625"/>
          <a:ext cx="771430" cy="155748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US" sz="900" b="0" i="0" u="none" strike="noStrike" baseline="0">
              <a:solidFill>
                <a:srgbClr val="000000"/>
              </a:solidFill>
              <a:latin typeface="Arial"/>
              <a:cs typeface="Arial"/>
            </a:rPr>
            <a:t>" dia C.M. pipe</a:t>
          </a:r>
        </a:p>
      </xdr:txBody>
    </xdr:sp>
    <xdr:clientData/>
  </xdr:oneCellAnchor>
  <xdr:twoCellAnchor>
    <xdr:from>
      <xdr:col>27</xdr:col>
      <xdr:colOff>19050</xdr:colOff>
      <xdr:row>9</xdr:row>
      <xdr:rowOff>171450</xdr:rowOff>
    </xdr:from>
    <xdr:to>
      <xdr:col>28</xdr:col>
      <xdr:colOff>66675</xdr:colOff>
      <xdr:row>11</xdr:row>
      <xdr:rowOff>0</xdr:rowOff>
    </xdr:to>
    <xdr:sp macro="" textlink="">
      <xdr:nvSpPr>
        <xdr:cNvPr id="4217" name="Oval 121"/>
        <xdr:cNvSpPr>
          <a:spLocks noChangeArrowheads="1"/>
        </xdr:cNvSpPr>
      </xdr:nvSpPr>
      <xdr:spPr bwMode="auto">
        <a:xfrm>
          <a:off x="3190875" y="1543050"/>
          <a:ext cx="171450" cy="19050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900" b="0" i="0" u="none" strike="noStrike" baseline="0">
              <a:solidFill>
                <a:srgbClr val="000000"/>
              </a:solidFill>
              <a:latin typeface="Arial"/>
              <a:cs typeface="Arial"/>
            </a:rPr>
            <a:t>B</a:t>
          </a:r>
        </a:p>
      </xdr:txBody>
    </xdr:sp>
    <xdr:clientData/>
  </xdr:twoCellAnchor>
  <xdr:twoCellAnchor>
    <xdr:from>
      <xdr:col>25</xdr:col>
      <xdr:colOff>95250</xdr:colOff>
      <xdr:row>10</xdr:row>
      <xdr:rowOff>76200</xdr:rowOff>
    </xdr:from>
    <xdr:to>
      <xdr:col>26</xdr:col>
      <xdr:colOff>104775</xdr:colOff>
      <xdr:row>11</xdr:row>
      <xdr:rowOff>152400</xdr:rowOff>
    </xdr:to>
    <xdr:sp macro="" textlink="">
      <xdr:nvSpPr>
        <xdr:cNvPr id="4458" name="Freeform 122"/>
        <xdr:cNvSpPr>
          <a:spLocks/>
        </xdr:cNvSpPr>
      </xdr:nvSpPr>
      <xdr:spPr bwMode="auto">
        <a:xfrm>
          <a:off x="3019425" y="1628775"/>
          <a:ext cx="133350" cy="257175"/>
        </a:xfrm>
        <a:custGeom>
          <a:avLst/>
          <a:gdLst>
            <a:gd name="T0" fmla="*/ 10 w 14"/>
            <a:gd name="T1" fmla="*/ 27 h 27"/>
            <a:gd name="T2" fmla="*/ 5 w 14"/>
            <a:gd name="T3" fmla="*/ 17 h 27"/>
            <a:gd name="T4" fmla="*/ 2 w 14"/>
            <a:gd name="T5" fmla="*/ 12 h 27"/>
            <a:gd name="T6" fmla="*/ 0 w 14"/>
            <a:gd name="T7" fmla="*/ 7 h 27"/>
            <a:gd name="T8" fmla="*/ 1 w 14"/>
            <a:gd name="T9" fmla="*/ 3 h 27"/>
            <a:gd name="T10" fmla="*/ 5 w 14"/>
            <a:gd name="T11" fmla="*/ 0 h 27"/>
            <a:gd name="T12" fmla="*/ 9 w 14"/>
            <a:gd name="T13" fmla="*/ 0 h 27"/>
            <a:gd name="T14" fmla="*/ 14 w 14"/>
            <a:gd name="T15" fmla="*/ 0 h 27"/>
            <a:gd name="T16" fmla="*/ 0 60000 65536"/>
            <a:gd name="T17" fmla="*/ 0 60000 65536"/>
            <a:gd name="T18" fmla="*/ 0 60000 65536"/>
            <a:gd name="T19" fmla="*/ 0 60000 65536"/>
            <a:gd name="T20" fmla="*/ 0 60000 65536"/>
            <a:gd name="T21" fmla="*/ 0 60000 65536"/>
            <a:gd name="T22" fmla="*/ 0 60000 65536"/>
            <a:gd name="T23" fmla="*/ 0 60000 65536"/>
            <a:gd name="T24" fmla="*/ 0 w 14"/>
            <a:gd name="T25" fmla="*/ 0 h 27"/>
            <a:gd name="T26" fmla="*/ 14 w 14"/>
            <a:gd name="T27" fmla="*/ 27 h 27"/>
          </a:gdLst>
          <a:ahLst/>
          <a:cxnLst>
            <a:cxn ang="T16">
              <a:pos x="T0" y="T1"/>
            </a:cxn>
            <a:cxn ang="T17">
              <a:pos x="T2" y="T3"/>
            </a:cxn>
            <a:cxn ang="T18">
              <a:pos x="T4" y="T5"/>
            </a:cxn>
            <a:cxn ang="T19">
              <a:pos x="T6" y="T7"/>
            </a:cxn>
            <a:cxn ang="T20">
              <a:pos x="T8" y="T9"/>
            </a:cxn>
            <a:cxn ang="T21">
              <a:pos x="T10" y="T11"/>
            </a:cxn>
            <a:cxn ang="T22">
              <a:pos x="T12" y="T13"/>
            </a:cxn>
            <a:cxn ang="T23">
              <a:pos x="T14" y="T15"/>
            </a:cxn>
          </a:cxnLst>
          <a:rect l="T24" t="T25" r="T26" b="T27"/>
          <a:pathLst>
            <a:path w="14" h="27">
              <a:moveTo>
                <a:pt x="10" y="27"/>
              </a:moveTo>
              <a:lnTo>
                <a:pt x="5" y="17"/>
              </a:lnTo>
              <a:lnTo>
                <a:pt x="2" y="12"/>
              </a:lnTo>
              <a:lnTo>
                <a:pt x="0" y="7"/>
              </a:lnTo>
              <a:lnTo>
                <a:pt x="1" y="3"/>
              </a:lnTo>
              <a:lnTo>
                <a:pt x="5" y="0"/>
              </a:lnTo>
              <a:lnTo>
                <a:pt x="9" y="0"/>
              </a:lnTo>
              <a:lnTo>
                <a:pt x="14" y="0"/>
              </a:lnTo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stealth" w="sm" len="med"/>
          <a:tailEnd type="none" w="med" len="med"/>
        </a:ln>
      </xdr:spPr>
    </xdr:sp>
    <xdr:clientData/>
  </xdr:twoCellAnchor>
  <xdr:oneCellAnchor>
    <xdr:from>
      <xdr:col>15</xdr:col>
      <xdr:colOff>38100</xdr:colOff>
      <xdr:row>16</xdr:row>
      <xdr:rowOff>9525</xdr:rowOff>
    </xdr:from>
    <xdr:ext cx="3262881" cy="189924"/>
    <xdr:sp macro="" textlink="">
      <xdr:nvSpPr>
        <xdr:cNvPr id="4219" name="Text Box 123"/>
        <xdr:cNvSpPr txBox="1">
          <a:spLocks noChangeArrowheads="1"/>
        </xdr:cNvSpPr>
      </xdr:nvSpPr>
      <xdr:spPr bwMode="auto">
        <a:xfrm>
          <a:off x="1762125" y="2628900"/>
          <a:ext cx="3262881" cy="18992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en-US" sz="1100" b="1" i="0" u="none" strike="noStrike" baseline="0">
              <a:solidFill>
                <a:srgbClr val="000000"/>
              </a:solidFill>
              <a:latin typeface="Arial"/>
              <a:cs typeface="Arial"/>
            </a:rPr>
            <a:t>PROFILE ALONG CENTERLINE OF STRUCTURE</a:t>
          </a:r>
        </a:p>
      </xdr:txBody>
    </xdr:sp>
    <xdr:clientData/>
  </xdr:oneCellAnchor>
  <xdr:twoCellAnchor>
    <xdr:from>
      <xdr:col>2</xdr:col>
      <xdr:colOff>66675</xdr:colOff>
      <xdr:row>18</xdr:row>
      <xdr:rowOff>171450</xdr:rowOff>
    </xdr:from>
    <xdr:to>
      <xdr:col>14</xdr:col>
      <xdr:colOff>76200</xdr:colOff>
      <xdr:row>22</xdr:row>
      <xdr:rowOff>161925</xdr:rowOff>
    </xdr:to>
    <xdr:sp macro="" textlink="">
      <xdr:nvSpPr>
        <xdr:cNvPr id="4460" name="Freeform 124"/>
        <xdr:cNvSpPr>
          <a:spLocks/>
        </xdr:cNvSpPr>
      </xdr:nvSpPr>
      <xdr:spPr bwMode="auto">
        <a:xfrm>
          <a:off x="295275" y="3181350"/>
          <a:ext cx="1419225" cy="819150"/>
        </a:xfrm>
        <a:custGeom>
          <a:avLst/>
          <a:gdLst>
            <a:gd name="T0" fmla="*/ 0 w 149"/>
            <a:gd name="T1" fmla="*/ 0 h 86"/>
            <a:gd name="T2" fmla="*/ 96 w 149"/>
            <a:gd name="T3" fmla="*/ 86 h 86"/>
            <a:gd name="T4" fmla="*/ 149 w 149"/>
            <a:gd name="T5" fmla="*/ 86 h 86"/>
            <a:gd name="T6" fmla="*/ 0 60000 65536"/>
            <a:gd name="T7" fmla="*/ 0 60000 65536"/>
            <a:gd name="T8" fmla="*/ 0 60000 65536"/>
            <a:gd name="T9" fmla="*/ 0 w 149"/>
            <a:gd name="T10" fmla="*/ 0 h 86"/>
            <a:gd name="T11" fmla="*/ 149 w 149"/>
            <a:gd name="T12" fmla="*/ 86 h 86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49" h="86">
              <a:moveTo>
                <a:pt x="0" y="0"/>
              </a:moveTo>
              <a:lnTo>
                <a:pt x="96" y="86"/>
              </a:lnTo>
              <a:lnTo>
                <a:pt x="149" y="86"/>
              </a:lnTo>
            </a:path>
          </a:pathLst>
        </a:custGeom>
        <a:noFill/>
        <a:ln w="1587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17</xdr:col>
      <xdr:colOff>57150</xdr:colOff>
      <xdr:row>19</xdr:row>
      <xdr:rowOff>47625</xdr:rowOff>
    </xdr:from>
    <xdr:to>
      <xdr:col>27</xdr:col>
      <xdr:colOff>76200</xdr:colOff>
      <xdr:row>22</xdr:row>
      <xdr:rowOff>161925</xdr:rowOff>
    </xdr:to>
    <xdr:sp macro="" textlink="">
      <xdr:nvSpPr>
        <xdr:cNvPr id="4461" name="Freeform 125"/>
        <xdr:cNvSpPr>
          <a:spLocks/>
        </xdr:cNvSpPr>
      </xdr:nvSpPr>
      <xdr:spPr bwMode="auto">
        <a:xfrm>
          <a:off x="1990725" y="3343275"/>
          <a:ext cx="1257300" cy="657225"/>
        </a:xfrm>
        <a:custGeom>
          <a:avLst/>
          <a:gdLst>
            <a:gd name="T0" fmla="*/ 0 w 132"/>
            <a:gd name="T1" fmla="*/ 69 h 69"/>
            <a:gd name="T2" fmla="*/ 58 w 132"/>
            <a:gd name="T3" fmla="*/ 69 h 69"/>
            <a:gd name="T4" fmla="*/ 132 w 132"/>
            <a:gd name="T5" fmla="*/ 0 h 69"/>
            <a:gd name="T6" fmla="*/ 0 60000 65536"/>
            <a:gd name="T7" fmla="*/ 0 60000 65536"/>
            <a:gd name="T8" fmla="*/ 0 60000 65536"/>
            <a:gd name="T9" fmla="*/ 0 w 132"/>
            <a:gd name="T10" fmla="*/ 0 h 69"/>
            <a:gd name="T11" fmla="*/ 132 w 132"/>
            <a:gd name="T12" fmla="*/ 69 h 69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32" h="69">
              <a:moveTo>
                <a:pt x="0" y="69"/>
              </a:moveTo>
              <a:lnTo>
                <a:pt x="58" y="69"/>
              </a:lnTo>
              <a:lnTo>
                <a:pt x="132" y="0"/>
              </a:lnTo>
            </a:path>
          </a:pathLst>
        </a:custGeom>
        <a:noFill/>
        <a:ln w="1587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13</xdr:col>
      <xdr:colOff>66675</xdr:colOff>
      <xdr:row>22</xdr:row>
      <xdr:rowOff>0</xdr:rowOff>
    </xdr:from>
    <xdr:to>
      <xdr:col>18</xdr:col>
      <xdr:colOff>19050</xdr:colOff>
      <xdr:row>22</xdr:row>
      <xdr:rowOff>0</xdr:rowOff>
    </xdr:to>
    <xdr:sp macro="" textlink="">
      <xdr:nvSpPr>
        <xdr:cNvPr id="4462" name="Line 127"/>
        <xdr:cNvSpPr>
          <a:spLocks noChangeShapeType="1"/>
        </xdr:cNvSpPr>
      </xdr:nvSpPr>
      <xdr:spPr bwMode="auto">
        <a:xfrm flipV="1">
          <a:off x="1619250" y="3838575"/>
          <a:ext cx="457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 type="stealth" w="sm" len="med"/>
          <a:tailEnd type="stealth" w="sm" len="med"/>
        </a:ln>
      </xdr:spPr>
    </xdr:sp>
    <xdr:clientData/>
  </xdr:twoCellAnchor>
  <xdr:oneCellAnchor>
    <xdr:from>
      <xdr:col>15</xdr:col>
      <xdr:colOff>66675</xdr:colOff>
      <xdr:row>21</xdr:row>
      <xdr:rowOff>38100</xdr:rowOff>
    </xdr:from>
    <xdr:ext cx="111056" cy="170560"/>
    <xdr:sp macro="" textlink="">
      <xdr:nvSpPr>
        <xdr:cNvPr id="4225" name="Text Box 129"/>
        <xdr:cNvSpPr txBox="1">
          <a:spLocks noChangeArrowheads="1"/>
        </xdr:cNvSpPr>
      </xdr:nvSpPr>
      <xdr:spPr bwMode="auto">
        <a:xfrm>
          <a:off x="1790700" y="3695700"/>
          <a:ext cx="111056" cy="1705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D</a:t>
          </a:r>
        </a:p>
      </xdr:txBody>
    </xdr:sp>
    <xdr:clientData/>
  </xdr:oneCellAnchor>
  <xdr:twoCellAnchor>
    <xdr:from>
      <xdr:col>9</xdr:col>
      <xdr:colOff>114300</xdr:colOff>
      <xdr:row>23</xdr:row>
      <xdr:rowOff>28575</xdr:rowOff>
    </xdr:from>
    <xdr:to>
      <xdr:col>9</xdr:col>
      <xdr:colOff>114300</xdr:colOff>
      <xdr:row>25</xdr:row>
      <xdr:rowOff>76200</xdr:rowOff>
    </xdr:to>
    <xdr:sp macro="" textlink="">
      <xdr:nvSpPr>
        <xdr:cNvPr id="4464" name="Line 130"/>
        <xdr:cNvSpPr>
          <a:spLocks noChangeShapeType="1"/>
        </xdr:cNvSpPr>
      </xdr:nvSpPr>
      <xdr:spPr bwMode="auto">
        <a:xfrm>
          <a:off x="1209675" y="4048125"/>
          <a:ext cx="0" cy="4095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57150</xdr:colOff>
      <xdr:row>23</xdr:row>
      <xdr:rowOff>38100</xdr:rowOff>
    </xdr:from>
    <xdr:to>
      <xdr:col>13</xdr:col>
      <xdr:colOff>57150</xdr:colOff>
      <xdr:row>25</xdr:row>
      <xdr:rowOff>76200</xdr:rowOff>
    </xdr:to>
    <xdr:sp macro="" textlink="">
      <xdr:nvSpPr>
        <xdr:cNvPr id="4465" name="Line 131"/>
        <xdr:cNvSpPr>
          <a:spLocks noChangeShapeType="1"/>
        </xdr:cNvSpPr>
      </xdr:nvSpPr>
      <xdr:spPr bwMode="auto">
        <a:xfrm>
          <a:off x="1609725" y="4057650"/>
          <a:ext cx="0" cy="4000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18</xdr:col>
      <xdr:colOff>19050</xdr:colOff>
      <xdr:row>23</xdr:row>
      <xdr:rowOff>57150</xdr:rowOff>
    </xdr:from>
    <xdr:to>
      <xdr:col>18</xdr:col>
      <xdr:colOff>19050</xdr:colOff>
      <xdr:row>25</xdr:row>
      <xdr:rowOff>85725</xdr:rowOff>
    </xdr:to>
    <xdr:sp macro="" textlink="">
      <xdr:nvSpPr>
        <xdr:cNvPr id="4466" name="Line 132"/>
        <xdr:cNvSpPr>
          <a:spLocks noChangeShapeType="1"/>
        </xdr:cNvSpPr>
      </xdr:nvSpPr>
      <xdr:spPr bwMode="auto">
        <a:xfrm>
          <a:off x="2076450" y="4076700"/>
          <a:ext cx="0" cy="3905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104775</xdr:colOff>
      <xdr:row>23</xdr:row>
      <xdr:rowOff>28575</xdr:rowOff>
    </xdr:from>
    <xdr:to>
      <xdr:col>21</xdr:col>
      <xdr:colOff>104775</xdr:colOff>
      <xdr:row>25</xdr:row>
      <xdr:rowOff>95250</xdr:rowOff>
    </xdr:to>
    <xdr:sp macro="" textlink="">
      <xdr:nvSpPr>
        <xdr:cNvPr id="4467" name="Line 133"/>
        <xdr:cNvSpPr>
          <a:spLocks noChangeShapeType="1"/>
        </xdr:cNvSpPr>
      </xdr:nvSpPr>
      <xdr:spPr bwMode="auto">
        <a:xfrm>
          <a:off x="2533650" y="4048125"/>
          <a:ext cx="0" cy="4286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19050</xdr:colOff>
      <xdr:row>23</xdr:row>
      <xdr:rowOff>28575</xdr:rowOff>
    </xdr:from>
    <xdr:to>
      <xdr:col>20</xdr:col>
      <xdr:colOff>95250</xdr:colOff>
      <xdr:row>23</xdr:row>
      <xdr:rowOff>28575</xdr:rowOff>
    </xdr:to>
    <xdr:sp macro="" textlink="">
      <xdr:nvSpPr>
        <xdr:cNvPr id="4468" name="Line 134"/>
        <xdr:cNvSpPr>
          <a:spLocks noChangeShapeType="1"/>
        </xdr:cNvSpPr>
      </xdr:nvSpPr>
      <xdr:spPr bwMode="auto">
        <a:xfrm>
          <a:off x="1952625" y="4048125"/>
          <a:ext cx="4476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20</xdr:col>
      <xdr:colOff>47625</xdr:colOff>
      <xdr:row>23</xdr:row>
      <xdr:rowOff>38100</xdr:rowOff>
    </xdr:from>
    <xdr:to>
      <xdr:col>20</xdr:col>
      <xdr:colOff>47625</xdr:colOff>
      <xdr:row>23</xdr:row>
      <xdr:rowOff>161925</xdr:rowOff>
    </xdr:to>
    <xdr:sp macro="" textlink="">
      <xdr:nvSpPr>
        <xdr:cNvPr id="4469" name="Line 135"/>
        <xdr:cNvSpPr>
          <a:spLocks noChangeShapeType="1"/>
        </xdr:cNvSpPr>
      </xdr:nvSpPr>
      <xdr:spPr bwMode="auto">
        <a:xfrm>
          <a:off x="2352675" y="4057650"/>
          <a:ext cx="0" cy="123825"/>
        </a:xfrm>
        <a:prstGeom prst="line">
          <a:avLst/>
        </a:prstGeom>
        <a:noFill/>
        <a:ln w="9525">
          <a:solidFill>
            <a:srgbClr val="000000"/>
          </a:solidFill>
          <a:round/>
          <a:headEnd type="stealth" w="sm" len="med"/>
          <a:tailEnd/>
        </a:ln>
      </xdr:spPr>
    </xdr:sp>
    <xdr:clientData/>
  </xdr:twoCellAnchor>
  <xdr:twoCellAnchor>
    <xdr:from>
      <xdr:col>20</xdr:col>
      <xdr:colOff>47625</xdr:colOff>
      <xdr:row>19</xdr:row>
      <xdr:rowOff>152400</xdr:rowOff>
    </xdr:from>
    <xdr:to>
      <xdr:col>20</xdr:col>
      <xdr:colOff>47625</xdr:colOff>
      <xdr:row>22</xdr:row>
      <xdr:rowOff>142875</xdr:rowOff>
    </xdr:to>
    <xdr:sp macro="" textlink="">
      <xdr:nvSpPr>
        <xdr:cNvPr id="4470" name="Line 136"/>
        <xdr:cNvSpPr>
          <a:spLocks noChangeShapeType="1"/>
        </xdr:cNvSpPr>
      </xdr:nvSpPr>
      <xdr:spPr bwMode="auto">
        <a:xfrm flipV="1">
          <a:off x="2352675" y="3448050"/>
          <a:ext cx="0" cy="533400"/>
        </a:xfrm>
        <a:prstGeom prst="line">
          <a:avLst/>
        </a:prstGeom>
        <a:noFill/>
        <a:ln w="9525">
          <a:solidFill>
            <a:srgbClr val="000000"/>
          </a:solidFill>
          <a:round/>
          <a:headEnd type="stealth" w="sm" len="med"/>
          <a:tailEnd/>
        </a:ln>
      </xdr:spPr>
    </xdr:sp>
    <xdr:clientData/>
  </xdr:twoCellAnchor>
  <xdr:oneCellAnchor>
    <xdr:from>
      <xdr:col>10</xdr:col>
      <xdr:colOff>104775</xdr:colOff>
      <xdr:row>24</xdr:row>
      <xdr:rowOff>66675</xdr:rowOff>
    </xdr:from>
    <xdr:ext cx="200952" cy="155748"/>
    <xdr:sp macro="" textlink="">
      <xdr:nvSpPr>
        <xdr:cNvPr id="4233" name="Text Box 137"/>
        <xdr:cNvSpPr txBox="1">
          <a:spLocks noChangeArrowheads="1"/>
        </xdr:cNvSpPr>
      </xdr:nvSpPr>
      <xdr:spPr bwMode="auto">
        <a:xfrm>
          <a:off x="1323975" y="4267200"/>
          <a:ext cx="200952" cy="155748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US" sz="900" b="0" i="0" u="none" strike="noStrike" baseline="0">
              <a:solidFill>
                <a:srgbClr val="000000"/>
              </a:solidFill>
              <a:latin typeface="Arial"/>
              <a:cs typeface="Arial"/>
            </a:rPr>
            <a:t>2.0'</a:t>
          </a:r>
        </a:p>
      </xdr:txBody>
    </xdr:sp>
    <xdr:clientData/>
  </xdr:oneCellAnchor>
  <xdr:twoCellAnchor>
    <xdr:from>
      <xdr:col>9</xdr:col>
      <xdr:colOff>114300</xdr:colOff>
      <xdr:row>25</xdr:row>
      <xdr:rowOff>47625</xdr:rowOff>
    </xdr:from>
    <xdr:to>
      <xdr:col>13</xdr:col>
      <xdr:colOff>57150</xdr:colOff>
      <xdr:row>25</xdr:row>
      <xdr:rowOff>47625</xdr:rowOff>
    </xdr:to>
    <xdr:sp macro="" textlink="">
      <xdr:nvSpPr>
        <xdr:cNvPr id="4472" name="Line 138"/>
        <xdr:cNvSpPr>
          <a:spLocks noChangeShapeType="1"/>
        </xdr:cNvSpPr>
      </xdr:nvSpPr>
      <xdr:spPr bwMode="auto">
        <a:xfrm>
          <a:off x="1209675" y="4429125"/>
          <a:ext cx="400050" cy="0"/>
        </a:xfrm>
        <a:prstGeom prst="line">
          <a:avLst/>
        </a:prstGeom>
        <a:noFill/>
        <a:ln w="9525">
          <a:solidFill>
            <a:srgbClr val="000000"/>
          </a:solidFill>
          <a:round/>
          <a:headEnd type="stealth" w="sm" len="med"/>
          <a:tailEnd type="stealth" w="sm" len="med"/>
        </a:ln>
      </xdr:spPr>
    </xdr:sp>
    <xdr:clientData/>
  </xdr:twoCellAnchor>
  <xdr:twoCellAnchor>
    <xdr:from>
      <xdr:col>13</xdr:col>
      <xdr:colOff>57150</xdr:colOff>
      <xdr:row>25</xdr:row>
      <xdr:rowOff>47625</xdr:rowOff>
    </xdr:from>
    <xdr:to>
      <xdr:col>18</xdr:col>
      <xdr:colOff>19050</xdr:colOff>
      <xdr:row>25</xdr:row>
      <xdr:rowOff>47625</xdr:rowOff>
    </xdr:to>
    <xdr:sp macro="" textlink="">
      <xdr:nvSpPr>
        <xdr:cNvPr id="4473" name="Line 139"/>
        <xdr:cNvSpPr>
          <a:spLocks noChangeShapeType="1"/>
        </xdr:cNvSpPr>
      </xdr:nvSpPr>
      <xdr:spPr bwMode="auto">
        <a:xfrm>
          <a:off x="1609725" y="4429125"/>
          <a:ext cx="466725" cy="0"/>
        </a:xfrm>
        <a:prstGeom prst="line">
          <a:avLst/>
        </a:prstGeom>
        <a:noFill/>
        <a:ln w="9525">
          <a:solidFill>
            <a:srgbClr val="000000"/>
          </a:solidFill>
          <a:round/>
          <a:headEnd type="stealth" w="sm" len="med"/>
          <a:tailEnd type="stealth" w="sm" len="med"/>
        </a:ln>
      </xdr:spPr>
    </xdr:sp>
    <xdr:clientData/>
  </xdr:twoCellAnchor>
  <xdr:twoCellAnchor>
    <xdr:from>
      <xdr:col>18</xdr:col>
      <xdr:colOff>28575</xdr:colOff>
      <xdr:row>25</xdr:row>
      <xdr:rowOff>47625</xdr:rowOff>
    </xdr:from>
    <xdr:to>
      <xdr:col>21</xdr:col>
      <xdr:colOff>104775</xdr:colOff>
      <xdr:row>25</xdr:row>
      <xdr:rowOff>47625</xdr:rowOff>
    </xdr:to>
    <xdr:sp macro="" textlink="">
      <xdr:nvSpPr>
        <xdr:cNvPr id="4474" name="Line 140"/>
        <xdr:cNvSpPr>
          <a:spLocks noChangeShapeType="1"/>
        </xdr:cNvSpPr>
      </xdr:nvSpPr>
      <xdr:spPr bwMode="auto">
        <a:xfrm>
          <a:off x="2085975" y="4429125"/>
          <a:ext cx="447675" cy="0"/>
        </a:xfrm>
        <a:prstGeom prst="line">
          <a:avLst/>
        </a:prstGeom>
        <a:noFill/>
        <a:ln w="9525">
          <a:solidFill>
            <a:srgbClr val="000000"/>
          </a:solidFill>
          <a:round/>
          <a:headEnd type="stealth" w="sm" len="med"/>
          <a:tailEnd type="stealth" w="sm" len="med"/>
        </a:ln>
      </xdr:spPr>
    </xdr:sp>
    <xdr:clientData/>
  </xdr:twoCellAnchor>
  <xdr:oneCellAnchor>
    <xdr:from>
      <xdr:col>19</xdr:col>
      <xdr:colOff>38100</xdr:colOff>
      <xdr:row>24</xdr:row>
      <xdr:rowOff>76200</xdr:rowOff>
    </xdr:from>
    <xdr:ext cx="200952" cy="155748"/>
    <xdr:sp macro="" textlink="">
      <xdr:nvSpPr>
        <xdr:cNvPr id="4237" name="Text Box 141"/>
        <xdr:cNvSpPr txBox="1">
          <a:spLocks noChangeArrowheads="1"/>
        </xdr:cNvSpPr>
      </xdr:nvSpPr>
      <xdr:spPr bwMode="auto">
        <a:xfrm>
          <a:off x="2219325" y="4276725"/>
          <a:ext cx="200952" cy="155748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US" sz="900" b="0" i="0" u="none" strike="noStrike" baseline="0">
              <a:solidFill>
                <a:srgbClr val="000000"/>
              </a:solidFill>
              <a:latin typeface="Arial"/>
              <a:cs typeface="Arial"/>
            </a:rPr>
            <a:t>2.0'</a:t>
          </a:r>
        </a:p>
      </xdr:txBody>
    </xdr:sp>
    <xdr:clientData/>
  </xdr:oneCellAnchor>
  <xdr:oneCellAnchor>
    <xdr:from>
      <xdr:col>14</xdr:col>
      <xdr:colOff>76200</xdr:colOff>
      <xdr:row>24</xdr:row>
      <xdr:rowOff>66675</xdr:rowOff>
    </xdr:from>
    <xdr:ext cx="249492" cy="155748"/>
    <xdr:sp macro="" textlink="">
      <xdr:nvSpPr>
        <xdr:cNvPr id="4238" name="Text Box 142"/>
        <xdr:cNvSpPr txBox="1">
          <a:spLocks noChangeArrowheads="1"/>
        </xdr:cNvSpPr>
      </xdr:nvSpPr>
      <xdr:spPr bwMode="auto">
        <a:xfrm>
          <a:off x="1714500" y="4267200"/>
          <a:ext cx="249492" cy="155748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US" sz="900" b="0" i="0" u="none" strike="noStrike" baseline="0">
              <a:solidFill>
                <a:srgbClr val="000000"/>
              </a:solidFill>
              <a:latin typeface="Arial"/>
              <a:cs typeface="Arial"/>
            </a:rPr>
            <a:t>Pipe</a:t>
          </a:r>
        </a:p>
      </xdr:txBody>
    </xdr:sp>
    <xdr:clientData/>
  </xdr:oneCellAnchor>
  <xdr:oneCellAnchor>
    <xdr:from>
      <xdr:col>15</xdr:col>
      <xdr:colOff>9525</xdr:colOff>
      <xdr:row>25</xdr:row>
      <xdr:rowOff>47625</xdr:rowOff>
    </xdr:from>
    <xdr:ext cx="255711" cy="155748"/>
    <xdr:sp macro="" textlink="">
      <xdr:nvSpPr>
        <xdr:cNvPr id="4239" name="Text Box 143"/>
        <xdr:cNvSpPr txBox="1">
          <a:spLocks noChangeArrowheads="1"/>
        </xdr:cNvSpPr>
      </xdr:nvSpPr>
      <xdr:spPr bwMode="auto">
        <a:xfrm>
          <a:off x="1733550" y="4429125"/>
          <a:ext cx="255711" cy="155748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US" sz="900" b="0" i="0" u="none" strike="noStrike" baseline="0">
              <a:solidFill>
                <a:srgbClr val="000000"/>
              </a:solidFill>
              <a:latin typeface="Arial"/>
              <a:cs typeface="Arial"/>
            </a:rPr>
            <a:t>O.D.</a:t>
          </a:r>
        </a:p>
      </xdr:txBody>
    </xdr:sp>
    <xdr:clientData/>
  </xdr:oneCellAnchor>
  <xdr:oneCellAnchor>
    <xdr:from>
      <xdr:col>19</xdr:col>
      <xdr:colOff>38100</xdr:colOff>
      <xdr:row>19</xdr:row>
      <xdr:rowOff>104775</xdr:rowOff>
    </xdr:from>
    <xdr:ext cx="151132" cy="452816"/>
    <xdr:sp macro="" textlink="">
      <xdr:nvSpPr>
        <xdr:cNvPr id="4240" name="Text Box 144"/>
        <xdr:cNvSpPr txBox="1">
          <a:spLocks noChangeArrowheads="1"/>
        </xdr:cNvSpPr>
      </xdr:nvSpPr>
      <xdr:spPr bwMode="auto">
        <a:xfrm>
          <a:off x="2219325" y="3400425"/>
          <a:ext cx="151132" cy="45281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="vert270" wrap="none" lIns="18288" tIns="22860" rIns="0" bIns="0" anchor="t" upright="1">
          <a:spAutoFit/>
        </a:bodyPr>
        <a:lstStyle/>
        <a:p>
          <a:pPr algn="r" rtl="0">
            <a:defRPr sz="1000"/>
          </a:pPr>
          <a:r>
            <a:rPr lang="en-US" sz="900" b="0" i="0" u="none" strike="noStrike" baseline="0">
              <a:solidFill>
                <a:srgbClr val="000000"/>
              </a:solidFill>
              <a:latin typeface="Arial"/>
              <a:cs typeface="Arial"/>
            </a:rPr>
            <a:t>0.3 O.D.</a:t>
          </a:r>
        </a:p>
      </xdr:txBody>
    </xdr:sp>
    <xdr:clientData/>
  </xdr:oneCellAnchor>
  <xdr:twoCellAnchor>
    <xdr:from>
      <xdr:col>2</xdr:col>
      <xdr:colOff>66675</xdr:colOff>
      <xdr:row>18</xdr:row>
      <xdr:rowOff>161925</xdr:rowOff>
    </xdr:from>
    <xdr:to>
      <xdr:col>7</xdr:col>
      <xdr:colOff>38100</xdr:colOff>
      <xdr:row>18</xdr:row>
      <xdr:rowOff>219075</xdr:rowOff>
    </xdr:to>
    <xdr:sp macro="" textlink="">
      <xdr:nvSpPr>
        <xdr:cNvPr id="4479" name="Freeform 145"/>
        <xdr:cNvSpPr>
          <a:spLocks/>
        </xdr:cNvSpPr>
      </xdr:nvSpPr>
      <xdr:spPr bwMode="auto">
        <a:xfrm>
          <a:off x="295275" y="3171825"/>
          <a:ext cx="590550" cy="57150"/>
        </a:xfrm>
        <a:custGeom>
          <a:avLst/>
          <a:gdLst>
            <a:gd name="T0" fmla="*/ 0 w 62"/>
            <a:gd name="T1" fmla="*/ 0 h 6"/>
            <a:gd name="T2" fmla="*/ 6 w 62"/>
            <a:gd name="T3" fmla="*/ 0 h 6"/>
            <a:gd name="T4" fmla="*/ 17 w 62"/>
            <a:gd name="T5" fmla="*/ 0 h 6"/>
            <a:gd name="T6" fmla="*/ 26 w 62"/>
            <a:gd name="T7" fmla="*/ 1 h 6"/>
            <a:gd name="T8" fmla="*/ 41 w 62"/>
            <a:gd name="T9" fmla="*/ 4 h 6"/>
            <a:gd name="T10" fmla="*/ 54 w 62"/>
            <a:gd name="T11" fmla="*/ 6 h 6"/>
            <a:gd name="T12" fmla="*/ 62 w 62"/>
            <a:gd name="T13" fmla="*/ 4 h 6"/>
            <a:gd name="T14" fmla="*/ 0 60000 65536"/>
            <a:gd name="T15" fmla="*/ 0 60000 65536"/>
            <a:gd name="T16" fmla="*/ 0 60000 65536"/>
            <a:gd name="T17" fmla="*/ 0 60000 65536"/>
            <a:gd name="T18" fmla="*/ 0 60000 65536"/>
            <a:gd name="T19" fmla="*/ 0 60000 65536"/>
            <a:gd name="T20" fmla="*/ 0 60000 65536"/>
            <a:gd name="T21" fmla="*/ 0 w 62"/>
            <a:gd name="T22" fmla="*/ 0 h 6"/>
            <a:gd name="T23" fmla="*/ 62 w 62"/>
            <a:gd name="T24" fmla="*/ 6 h 6"/>
          </a:gdLst>
          <a:ahLst/>
          <a:cxnLst>
            <a:cxn ang="T14">
              <a:pos x="T0" y="T1"/>
            </a:cxn>
            <a:cxn ang="T15">
              <a:pos x="T2" y="T3"/>
            </a:cxn>
            <a:cxn ang="T16">
              <a:pos x="T4" y="T5"/>
            </a:cxn>
            <a:cxn ang="T17">
              <a:pos x="T6" y="T7"/>
            </a:cxn>
            <a:cxn ang="T18">
              <a:pos x="T8" y="T9"/>
            </a:cxn>
            <a:cxn ang="T19">
              <a:pos x="T10" y="T11"/>
            </a:cxn>
            <a:cxn ang="T20">
              <a:pos x="T12" y="T13"/>
            </a:cxn>
          </a:cxnLst>
          <a:rect l="T21" t="T22" r="T23" b="T24"/>
          <a:pathLst>
            <a:path w="62" h="6">
              <a:moveTo>
                <a:pt x="0" y="0"/>
              </a:moveTo>
              <a:lnTo>
                <a:pt x="6" y="0"/>
              </a:lnTo>
              <a:lnTo>
                <a:pt x="17" y="0"/>
              </a:lnTo>
              <a:lnTo>
                <a:pt x="26" y="1"/>
              </a:lnTo>
              <a:lnTo>
                <a:pt x="41" y="4"/>
              </a:lnTo>
              <a:lnTo>
                <a:pt x="54" y="6"/>
              </a:lnTo>
              <a:lnTo>
                <a:pt x="62" y="4"/>
              </a:lnTo>
            </a:path>
          </a:pathLst>
        </a:custGeom>
        <a:noFill/>
        <a:ln w="9525">
          <a:solidFill>
            <a:srgbClr val="000000"/>
          </a:solidFill>
          <a:round/>
          <a:headEnd type="none" w="med" len="med"/>
          <a:tailEnd type="none" w="med" len="med"/>
        </a:ln>
      </xdr:spPr>
    </xdr:sp>
    <xdr:clientData/>
  </xdr:twoCellAnchor>
  <xdr:twoCellAnchor>
    <xdr:from>
      <xdr:col>7</xdr:col>
      <xdr:colOff>85725</xdr:colOff>
      <xdr:row>18</xdr:row>
      <xdr:rowOff>171450</xdr:rowOff>
    </xdr:from>
    <xdr:to>
      <xdr:col>13</xdr:col>
      <xdr:colOff>66675</xdr:colOff>
      <xdr:row>18</xdr:row>
      <xdr:rowOff>247650</xdr:rowOff>
    </xdr:to>
    <xdr:sp macro="" textlink="">
      <xdr:nvSpPr>
        <xdr:cNvPr id="4480" name="Freeform 146"/>
        <xdr:cNvSpPr>
          <a:spLocks/>
        </xdr:cNvSpPr>
      </xdr:nvSpPr>
      <xdr:spPr bwMode="auto">
        <a:xfrm>
          <a:off x="933450" y="3181350"/>
          <a:ext cx="685800" cy="76200"/>
        </a:xfrm>
        <a:custGeom>
          <a:avLst/>
          <a:gdLst>
            <a:gd name="T0" fmla="*/ 0 w 72"/>
            <a:gd name="T1" fmla="*/ 1 h 8"/>
            <a:gd name="T2" fmla="*/ 10 w 72"/>
            <a:gd name="T3" fmla="*/ 1 h 8"/>
            <a:gd name="T4" fmla="*/ 20 w 72"/>
            <a:gd name="T5" fmla="*/ 0 h 8"/>
            <a:gd name="T6" fmla="*/ 27 w 72"/>
            <a:gd name="T7" fmla="*/ 1 h 8"/>
            <a:gd name="T8" fmla="*/ 34 w 72"/>
            <a:gd name="T9" fmla="*/ 3 h 8"/>
            <a:gd name="T10" fmla="*/ 46 w 72"/>
            <a:gd name="T11" fmla="*/ 7 h 8"/>
            <a:gd name="T12" fmla="*/ 55 w 72"/>
            <a:gd name="T13" fmla="*/ 8 h 8"/>
            <a:gd name="T14" fmla="*/ 66 w 72"/>
            <a:gd name="T15" fmla="*/ 7 h 8"/>
            <a:gd name="T16" fmla="*/ 72 w 72"/>
            <a:gd name="T17" fmla="*/ 6 h 8"/>
            <a:gd name="T18" fmla="*/ 0 60000 65536"/>
            <a:gd name="T19" fmla="*/ 0 60000 65536"/>
            <a:gd name="T20" fmla="*/ 0 60000 65536"/>
            <a:gd name="T21" fmla="*/ 0 60000 65536"/>
            <a:gd name="T22" fmla="*/ 0 60000 65536"/>
            <a:gd name="T23" fmla="*/ 0 60000 65536"/>
            <a:gd name="T24" fmla="*/ 0 60000 65536"/>
            <a:gd name="T25" fmla="*/ 0 60000 65536"/>
            <a:gd name="T26" fmla="*/ 0 60000 65536"/>
            <a:gd name="T27" fmla="*/ 0 w 72"/>
            <a:gd name="T28" fmla="*/ 0 h 8"/>
            <a:gd name="T29" fmla="*/ 72 w 72"/>
            <a:gd name="T30" fmla="*/ 8 h 8"/>
          </a:gdLst>
          <a:ahLst/>
          <a:cxnLst>
            <a:cxn ang="T18">
              <a:pos x="T0" y="T1"/>
            </a:cxn>
            <a:cxn ang="T19">
              <a:pos x="T2" y="T3"/>
            </a:cxn>
            <a:cxn ang="T20">
              <a:pos x="T4" y="T5"/>
            </a:cxn>
            <a:cxn ang="T21">
              <a:pos x="T6" y="T7"/>
            </a:cxn>
            <a:cxn ang="T22">
              <a:pos x="T8" y="T9"/>
            </a:cxn>
            <a:cxn ang="T23">
              <a:pos x="T10" y="T11"/>
            </a:cxn>
            <a:cxn ang="T24">
              <a:pos x="T12" y="T13"/>
            </a:cxn>
            <a:cxn ang="T25">
              <a:pos x="T14" y="T15"/>
            </a:cxn>
            <a:cxn ang="T26">
              <a:pos x="T16" y="T17"/>
            </a:cxn>
          </a:cxnLst>
          <a:rect l="T27" t="T28" r="T29" b="T30"/>
          <a:pathLst>
            <a:path w="72" h="8">
              <a:moveTo>
                <a:pt x="0" y="1"/>
              </a:moveTo>
              <a:lnTo>
                <a:pt x="10" y="1"/>
              </a:lnTo>
              <a:lnTo>
                <a:pt x="20" y="0"/>
              </a:lnTo>
              <a:lnTo>
                <a:pt x="27" y="1"/>
              </a:lnTo>
              <a:lnTo>
                <a:pt x="34" y="3"/>
              </a:lnTo>
              <a:lnTo>
                <a:pt x="46" y="7"/>
              </a:lnTo>
              <a:lnTo>
                <a:pt x="55" y="8"/>
              </a:lnTo>
              <a:lnTo>
                <a:pt x="66" y="7"/>
              </a:lnTo>
              <a:lnTo>
                <a:pt x="72" y="6"/>
              </a:lnTo>
            </a:path>
          </a:pathLst>
        </a:custGeom>
        <a:noFill/>
        <a:ln w="9525">
          <a:solidFill>
            <a:srgbClr val="000000"/>
          </a:solidFill>
          <a:round/>
          <a:headEnd type="none" w="med" len="med"/>
          <a:tailEnd type="none" w="med" len="med"/>
        </a:ln>
      </xdr:spPr>
    </xdr:sp>
    <xdr:clientData/>
  </xdr:twoCellAnchor>
  <xdr:twoCellAnchor>
    <xdr:from>
      <xdr:col>14</xdr:col>
      <xdr:colOff>57150</xdr:colOff>
      <xdr:row>18</xdr:row>
      <xdr:rowOff>190500</xdr:rowOff>
    </xdr:from>
    <xdr:to>
      <xdr:col>20</xdr:col>
      <xdr:colOff>38100</xdr:colOff>
      <xdr:row>18</xdr:row>
      <xdr:rowOff>257175</xdr:rowOff>
    </xdr:to>
    <xdr:sp macro="" textlink="">
      <xdr:nvSpPr>
        <xdr:cNvPr id="4481" name="Freeform 147"/>
        <xdr:cNvSpPr>
          <a:spLocks/>
        </xdr:cNvSpPr>
      </xdr:nvSpPr>
      <xdr:spPr bwMode="auto">
        <a:xfrm>
          <a:off x="1695450" y="3200400"/>
          <a:ext cx="647700" cy="66675"/>
        </a:xfrm>
        <a:custGeom>
          <a:avLst/>
          <a:gdLst>
            <a:gd name="T0" fmla="*/ 0 w 68"/>
            <a:gd name="T1" fmla="*/ 5 h 7"/>
            <a:gd name="T2" fmla="*/ 11 w 68"/>
            <a:gd name="T3" fmla="*/ 4 h 7"/>
            <a:gd name="T4" fmla="*/ 22 w 68"/>
            <a:gd name="T5" fmla="*/ 2 h 7"/>
            <a:gd name="T6" fmla="*/ 34 w 68"/>
            <a:gd name="T7" fmla="*/ 0 h 7"/>
            <a:gd name="T8" fmla="*/ 47 w 68"/>
            <a:gd name="T9" fmla="*/ 0 h 7"/>
            <a:gd name="T10" fmla="*/ 58 w 68"/>
            <a:gd name="T11" fmla="*/ 2 h 7"/>
            <a:gd name="T12" fmla="*/ 68 w 68"/>
            <a:gd name="T13" fmla="*/ 7 h 7"/>
            <a:gd name="T14" fmla="*/ 0 60000 65536"/>
            <a:gd name="T15" fmla="*/ 0 60000 65536"/>
            <a:gd name="T16" fmla="*/ 0 60000 65536"/>
            <a:gd name="T17" fmla="*/ 0 60000 65536"/>
            <a:gd name="T18" fmla="*/ 0 60000 65536"/>
            <a:gd name="T19" fmla="*/ 0 60000 65536"/>
            <a:gd name="T20" fmla="*/ 0 60000 65536"/>
            <a:gd name="T21" fmla="*/ 0 w 68"/>
            <a:gd name="T22" fmla="*/ 0 h 7"/>
            <a:gd name="T23" fmla="*/ 68 w 68"/>
            <a:gd name="T24" fmla="*/ 7 h 7"/>
          </a:gdLst>
          <a:ahLst/>
          <a:cxnLst>
            <a:cxn ang="T14">
              <a:pos x="T0" y="T1"/>
            </a:cxn>
            <a:cxn ang="T15">
              <a:pos x="T2" y="T3"/>
            </a:cxn>
            <a:cxn ang="T16">
              <a:pos x="T4" y="T5"/>
            </a:cxn>
            <a:cxn ang="T17">
              <a:pos x="T6" y="T7"/>
            </a:cxn>
            <a:cxn ang="T18">
              <a:pos x="T8" y="T9"/>
            </a:cxn>
            <a:cxn ang="T19">
              <a:pos x="T10" y="T11"/>
            </a:cxn>
            <a:cxn ang="T20">
              <a:pos x="T12" y="T13"/>
            </a:cxn>
          </a:cxnLst>
          <a:rect l="T21" t="T22" r="T23" b="T24"/>
          <a:pathLst>
            <a:path w="68" h="7">
              <a:moveTo>
                <a:pt x="0" y="5"/>
              </a:moveTo>
              <a:lnTo>
                <a:pt x="11" y="4"/>
              </a:lnTo>
              <a:lnTo>
                <a:pt x="22" y="2"/>
              </a:lnTo>
              <a:lnTo>
                <a:pt x="34" y="0"/>
              </a:lnTo>
              <a:lnTo>
                <a:pt x="47" y="0"/>
              </a:lnTo>
              <a:lnTo>
                <a:pt x="58" y="2"/>
              </a:lnTo>
              <a:lnTo>
                <a:pt x="68" y="7"/>
              </a:lnTo>
            </a:path>
          </a:pathLst>
        </a:custGeom>
        <a:noFill/>
        <a:ln w="9525">
          <a:solidFill>
            <a:srgbClr val="000000"/>
          </a:solidFill>
          <a:round/>
          <a:headEnd type="none" w="med" len="med"/>
          <a:tailEnd type="none" w="med" len="med"/>
        </a:ln>
      </xdr:spPr>
    </xdr:sp>
    <xdr:clientData/>
  </xdr:twoCellAnchor>
  <xdr:twoCellAnchor>
    <xdr:from>
      <xdr:col>20</xdr:col>
      <xdr:colOff>104775</xdr:colOff>
      <xdr:row>18</xdr:row>
      <xdr:rowOff>219075</xdr:rowOff>
    </xdr:from>
    <xdr:to>
      <xdr:col>26</xdr:col>
      <xdr:colOff>66675</xdr:colOff>
      <xdr:row>19</xdr:row>
      <xdr:rowOff>9525</xdr:rowOff>
    </xdr:to>
    <xdr:sp macro="" textlink="">
      <xdr:nvSpPr>
        <xdr:cNvPr id="4482" name="Freeform 148"/>
        <xdr:cNvSpPr>
          <a:spLocks/>
        </xdr:cNvSpPr>
      </xdr:nvSpPr>
      <xdr:spPr bwMode="auto">
        <a:xfrm>
          <a:off x="2409825" y="3228975"/>
          <a:ext cx="704850" cy="76200"/>
        </a:xfrm>
        <a:custGeom>
          <a:avLst/>
          <a:gdLst>
            <a:gd name="T0" fmla="*/ 0 w 74"/>
            <a:gd name="T1" fmla="*/ 7 h 8"/>
            <a:gd name="T2" fmla="*/ 9 w 74"/>
            <a:gd name="T3" fmla="*/ 4 h 8"/>
            <a:gd name="T4" fmla="*/ 22 w 74"/>
            <a:gd name="T5" fmla="*/ 1 h 8"/>
            <a:gd name="T6" fmla="*/ 35 w 74"/>
            <a:gd name="T7" fmla="*/ 0 h 8"/>
            <a:gd name="T8" fmla="*/ 50 w 74"/>
            <a:gd name="T9" fmla="*/ 2 h 8"/>
            <a:gd name="T10" fmla="*/ 74 w 74"/>
            <a:gd name="T11" fmla="*/ 8 h 8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74"/>
            <a:gd name="T19" fmla="*/ 0 h 8"/>
            <a:gd name="T20" fmla="*/ 74 w 74"/>
            <a:gd name="T21" fmla="*/ 8 h 8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74" h="8">
              <a:moveTo>
                <a:pt x="0" y="7"/>
              </a:moveTo>
              <a:lnTo>
                <a:pt x="9" y="4"/>
              </a:lnTo>
              <a:lnTo>
                <a:pt x="22" y="1"/>
              </a:lnTo>
              <a:lnTo>
                <a:pt x="35" y="0"/>
              </a:lnTo>
              <a:lnTo>
                <a:pt x="50" y="2"/>
              </a:lnTo>
              <a:lnTo>
                <a:pt x="74" y="8"/>
              </a:lnTo>
            </a:path>
          </a:pathLst>
        </a:custGeom>
        <a:noFill/>
        <a:ln w="9525">
          <a:solidFill>
            <a:srgbClr val="000000"/>
          </a:solidFill>
          <a:round/>
          <a:headEnd type="none" w="med" len="med"/>
          <a:tailEnd type="none" w="med" len="med"/>
        </a:ln>
      </xdr:spPr>
    </xdr:sp>
    <xdr:clientData/>
  </xdr:twoCellAnchor>
  <xdr:twoCellAnchor>
    <xdr:from>
      <xdr:col>26</xdr:col>
      <xdr:colOff>114300</xdr:colOff>
      <xdr:row>19</xdr:row>
      <xdr:rowOff>19050</xdr:rowOff>
    </xdr:from>
    <xdr:to>
      <xdr:col>27</xdr:col>
      <xdr:colOff>85725</xdr:colOff>
      <xdr:row>19</xdr:row>
      <xdr:rowOff>47625</xdr:rowOff>
    </xdr:to>
    <xdr:sp macro="" textlink="">
      <xdr:nvSpPr>
        <xdr:cNvPr id="4483" name="Freeform 149"/>
        <xdr:cNvSpPr>
          <a:spLocks/>
        </xdr:cNvSpPr>
      </xdr:nvSpPr>
      <xdr:spPr bwMode="auto">
        <a:xfrm>
          <a:off x="3162300" y="3314700"/>
          <a:ext cx="95250" cy="28575"/>
        </a:xfrm>
        <a:custGeom>
          <a:avLst/>
          <a:gdLst>
            <a:gd name="T0" fmla="*/ 0 w 10"/>
            <a:gd name="T1" fmla="*/ 0 h 3"/>
            <a:gd name="T2" fmla="*/ 3 w 10"/>
            <a:gd name="T3" fmla="*/ 0 h 3"/>
            <a:gd name="T4" fmla="*/ 7 w 10"/>
            <a:gd name="T5" fmla="*/ 1 h 3"/>
            <a:gd name="T6" fmla="*/ 10 w 10"/>
            <a:gd name="T7" fmla="*/ 3 h 3"/>
            <a:gd name="T8" fmla="*/ 0 60000 65536"/>
            <a:gd name="T9" fmla="*/ 0 60000 65536"/>
            <a:gd name="T10" fmla="*/ 0 60000 65536"/>
            <a:gd name="T11" fmla="*/ 0 60000 65536"/>
            <a:gd name="T12" fmla="*/ 0 w 10"/>
            <a:gd name="T13" fmla="*/ 0 h 3"/>
            <a:gd name="T14" fmla="*/ 10 w 10"/>
            <a:gd name="T15" fmla="*/ 3 h 3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0" h="3">
              <a:moveTo>
                <a:pt x="0" y="0"/>
              </a:moveTo>
              <a:lnTo>
                <a:pt x="3" y="0"/>
              </a:lnTo>
              <a:lnTo>
                <a:pt x="7" y="1"/>
              </a:lnTo>
              <a:lnTo>
                <a:pt x="10" y="3"/>
              </a:lnTo>
            </a:path>
          </a:pathLst>
        </a:custGeom>
        <a:noFill/>
        <a:ln w="9525">
          <a:solidFill>
            <a:srgbClr val="000000"/>
          </a:solidFill>
          <a:round/>
          <a:headEnd type="none" w="med" len="med"/>
          <a:tailEnd type="none" w="med" len="med"/>
        </a:ln>
      </xdr:spPr>
    </xdr:sp>
    <xdr:clientData/>
  </xdr:twoCellAnchor>
  <xdr:twoCellAnchor>
    <xdr:from>
      <xdr:col>19</xdr:col>
      <xdr:colOff>85725</xdr:colOff>
      <xdr:row>18</xdr:row>
      <xdr:rowOff>85725</xdr:rowOff>
    </xdr:from>
    <xdr:to>
      <xdr:col>22</xdr:col>
      <xdr:colOff>19050</xdr:colOff>
      <xdr:row>18</xdr:row>
      <xdr:rowOff>238125</xdr:rowOff>
    </xdr:to>
    <xdr:sp macro="" textlink="">
      <xdr:nvSpPr>
        <xdr:cNvPr id="4484" name="Freeform 150"/>
        <xdr:cNvSpPr>
          <a:spLocks/>
        </xdr:cNvSpPr>
      </xdr:nvSpPr>
      <xdr:spPr bwMode="auto">
        <a:xfrm>
          <a:off x="2266950" y="3095625"/>
          <a:ext cx="304800" cy="152400"/>
        </a:xfrm>
        <a:custGeom>
          <a:avLst/>
          <a:gdLst>
            <a:gd name="T0" fmla="*/ 0 w 32"/>
            <a:gd name="T1" fmla="*/ 0 h 16"/>
            <a:gd name="T2" fmla="*/ 10 w 32"/>
            <a:gd name="T3" fmla="*/ 3 h 16"/>
            <a:gd name="T4" fmla="*/ 22 w 32"/>
            <a:gd name="T5" fmla="*/ 8 h 16"/>
            <a:gd name="T6" fmla="*/ 32 w 32"/>
            <a:gd name="T7" fmla="*/ 16 h 16"/>
            <a:gd name="T8" fmla="*/ 0 60000 65536"/>
            <a:gd name="T9" fmla="*/ 0 60000 65536"/>
            <a:gd name="T10" fmla="*/ 0 60000 65536"/>
            <a:gd name="T11" fmla="*/ 0 60000 65536"/>
            <a:gd name="T12" fmla="*/ 0 w 32"/>
            <a:gd name="T13" fmla="*/ 0 h 16"/>
            <a:gd name="T14" fmla="*/ 32 w 32"/>
            <a:gd name="T15" fmla="*/ 16 h 16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32" h="16">
              <a:moveTo>
                <a:pt x="0" y="0"/>
              </a:moveTo>
              <a:lnTo>
                <a:pt x="10" y="3"/>
              </a:lnTo>
              <a:lnTo>
                <a:pt x="22" y="8"/>
              </a:lnTo>
              <a:lnTo>
                <a:pt x="32" y="16"/>
              </a:lnTo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med" len="med"/>
          <a:tailEnd type="stealth" w="sm" len="med"/>
        </a:ln>
      </xdr:spPr>
    </xdr:sp>
    <xdr:clientData/>
  </xdr:twoCellAnchor>
  <xdr:oneCellAnchor>
    <xdr:from>
      <xdr:col>10</xdr:col>
      <xdr:colOff>0</xdr:colOff>
      <xdr:row>18</xdr:row>
      <xdr:rowOff>0</xdr:rowOff>
    </xdr:from>
    <xdr:ext cx="1025730" cy="155748"/>
    <xdr:sp macro="" textlink="">
      <xdr:nvSpPr>
        <xdr:cNvPr id="4247" name="Text Box 151"/>
        <xdr:cNvSpPr txBox="1">
          <a:spLocks noChangeArrowheads="1"/>
        </xdr:cNvSpPr>
      </xdr:nvSpPr>
      <xdr:spPr bwMode="auto">
        <a:xfrm>
          <a:off x="1219200" y="3009900"/>
          <a:ext cx="1025730" cy="155748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US" sz="900" b="0" i="0" u="none" strike="noStrike" baseline="0">
              <a:solidFill>
                <a:srgbClr val="000000"/>
              </a:solidFill>
              <a:latin typeface="Arial"/>
              <a:cs typeface="Arial"/>
            </a:rPr>
            <a:t>Existing ground line</a:t>
          </a:r>
        </a:p>
      </xdr:txBody>
    </xdr:sp>
    <xdr:clientData/>
  </xdr:oneCellAnchor>
  <xdr:oneCellAnchor>
    <xdr:from>
      <xdr:col>8</xdr:col>
      <xdr:colOff>47625</xdr:colOff>
      <xdr:row>19</xdr:row>
      <xdr:rowOff>38100</xdr:rowOff>
    </xdr:from>
    <xdr:ext cx="659155" cy="288412"/>
    <xdr:sp macro="" textlink="">
      <xdr:nvSpPr>
        <xdr:cNvPr id="4248" name="Text Box 152"/>
        <xdr:cNvSpPr txBox="1">
          <a:spLocks noChangeArrowheads="1"/>
        </xdr:cNvSpPr>
      </xdr:nvSpPr>
      <xdr:spPr bwMode="auto">
        <a:xfrm>
          <a:off x="1019175" y="3333750"/>
          <a:ext cx="659155" cy="28841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2860" rIns="18288" bIns="0" anchor="t" upright="1">
          <a:spAutoFit/>
        </a:bodyPr>
        <a:lstStyle/>
        <a:p>
          <a:pPr algn="ctr" rtl="0">
            <a:defRPr sz="1000"/>
          </a:pPr>
          <a:r>
            <a:rPr lang="en-US" sz="900" b="0" i="0" u="none" strike="noStrike" baseline="0">
              <a:solidFill>
                <a:srgbClr val="000000"/>
              </a:solidFill>
              <a:latin typeface="Arial"/>
              <a:cs typeface="Arial"/>
            </a:rPr>
            <a:t>Compacted </a:t>
          </a:r>
        </a:p>
        <a:p>
          <a:pPr algn="ctr" rtl="0">
            <a:defRPr sz="1000"/>
          </a:pPr>
          <a:r>
            <a:rPr lang="en-US" sz="900" b="0" i="0" u="none" strike="noStrike" baseline="0">
              <a:solidFill>
                <a:srgbClr val="000000"/>
              </a:solidFill>
              <a:latin typeface="Arial"/>
              <a:cs typeface="Arial"/>
            </a:rPr>
            <a:t>fill</a:t>
          </a:r>
        </a:p>
      </xdr:txBody>
    </xdr:sp>
    <xdr:clientData/>
  </xdr:oneCellAnchor>
  <xdr:twoCellAnchor>
    <xdr:from>
      <xdr:col>5</xdr:col>
      <xdr:colOff>95250</xdr:colOff>
      <xdr:row>20</xdr:row>
      <xdr:rowOff>104775</xdr:rowOff>
    </xdr:from>
    <xdr:to>
      <xdr:col>7</xdr:col>
      <xdr:colOff>66675</xdr:colOff>
      <xdr:row>21</xdr:row>
      <xdr:rowOff>123825</xdr:rowOff>
    </xdr:to>
    <xdr:sp macro="" textlink="">
      <xdr:nvSpPr>
        <xdr:cNvPr id="4487" name="Freeform 153"/>
        <xdr:cNvSpPr>
          <a:spLocks/>
        </xdr:cNvSpPr>
      </xdr:nvSpPr>
      <xdr:spPr bwMode="auto">
        <a:xfrm>
          <a:off x="695325" y="3581400"/>
          <a:ext cx="219075" cy="200025"/>
        </a:xfrm>
        <a:custGeom>
          <a:avLst/>
          <a:gdLst>
            <a:gd name="T0" fmla="*/ 0 w 23"/>
            <a:gd name="T1" fmla="*/ 0 h 21"/>
            <a:gd name="T2" fmla="*/ 1 w 23"/>
            <a:gd name="T3" fmla="*/ 21 h 21"/>
            <a:gd name="T4" fmla="*/ 23 w 23"/>
            <a:gd name="T5" fmla="*/ 21 h 21"/>
            <a:gd name="T6" fmla="*/ 0 60000 65536"/>
            <a:gd name="T7" fmla="*/ 0 60000 65536"/>
            <a:gd name="T8" fmla="*/ 0 60000 65536"/>
            <a:gd name="T9" fmla="*/ 0 w 23"/>
            <a:gd name="T10" fmla="*/ 0 h 21"/>
            <a:gd name="T11" fmla="*/ 23 w 23"/>
            <a:gd name="T12" fmla="*/ 21 h 21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23" h="21">
              <a:moveTo>
                <a:pt x="0" y="0"/>
              </a:moveTo>
              <a:lnTo>
                <a:pt x="1" y="21"/>
              </a:lnTo>
              <a:lnTo>
                <a:pt x="23" y="21"/>
              </a:lnTo>
            </a:path>
          </a:pathLst>
        </a:custGeom>
        <a:noFill/>
        <a:ln w="9525">
          <a:solidFill>
            <a:srgbClr val="000000"/>
          </a:solidFill>
          <a:round/>
          <a:headEnd type="none" w="med" len="med"/>
          <a:tailEnd type="none" w="med" len="med"/>
        </a:ln>
      </xdr:spPr>
    </xdr:sp>
    <xdr:clientData/>
  </xdr:twoCellAnchor>
  <xdr:twoCellAnchor>
    <xdr:from>
      <xdr:col>24</xdr:col>
      <xdr:colOff>66675</xdr:colOff>
      <xdr:row>20</xdr:row>
      <xdr:rowOff>123825</xdr:rowOff>
    </xdr:from>
    <xdr:to>
      <xdr:col>26</xdr:col>
      <xdr:colOff>0</xdr:colOff>
      <xdr:row>21</xdr:row>
      <xdr:rowOff>104775</xdr:rowOff>
    </xdr:to>
    <xdr:sp macro="" textlink="">
      <xdr:nvSpPr>
        <xdr:cNvPr id="4488" name="Freeform 154"/>
        <xdr:cNvSpPr>
          <a:spLocks/>
        </xdr:cNvSpPr>
      </xdr:nvSpPr>
      <xdr:spPr bwMode="auto">
        <a:xfrm>
          <a:off x="2867025" y="3600450"/>
          <a:ext cx="180975" cy="161925"/>
        </a:xfrm>
        <a:custGeom>
          <a:avLst/>
          <a:gdLst>
            <a:gd name="T0" fmla="*/ 0 w 19"/>
            <a:gd name="T1" fmla="*/ 17 h 17"/>
            <a:gd name="T2" fmla="*/ 19 w 19"/>
            <a:gd name="T3" fmla="*/ 17 h 17"/>
            <a:gd name="T4" fmla="*/ 18 w 19"/>
            <a:gd name="T5" fmla="*/ 0 h 17"/>
            <a:gd name="T6" fmla="*/ 0 60000 65536"/>
            <a:gd name="T7" fmla="*/ 0 60000 65536"/>
            <a:gd name="T8" fmla="*/ 0 60000 65536"/>
            <a:gd name="T9" fmla="*/ 0 w 19"/>
            <a:gd name="T10" fmla="*/ 0 h 17"/>
            <a:gd name="T11" fmla="*/ 19 w 19"/>
            <a:gd name="T12" fmla="*/ 17 h 17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9" h="17">
              <a:moveTo>
                <a:pt x="0" y="17"/>
              </a:moveTo>
              <a:lnTo>
                <a:pt x="19" y="17"/>
              </a:lnTo>
              <a:lnTo>
                <a:pt x="18" y="0"/>
              </a:lnTo>
            </a:path>
          </a:pathLst>
        </a:custGeom>
        <a:noFill/>
        <a:ln w="9525">
          <a:solidFill>
            <a:srgbClr val="000000"/>
          </a:solidFill>
          <a:round/>
          <a:headEnd type="none" w="med" len="med"/>
          <a:tailEnd type="none" w="med" len="med"/>
        </a:ln>
      </xdr:spPr>
    </xdr:sp>
    <xdr:clientData/>
  </xdr:twoCellAnchor>
  <xdr:oneCellAnchor>
    <xdr:from>
      <xdr:col>24</xdr:col>
      <xdr:colOff>104775</xdr:colOff>
      <xdr:row>21</xdr:row>
      <xdr:rowOff>104775</xdr:rowOff>
    </xdr:from>
    <xdr:ext cx="82651" cy="155748"/>
    <xdr:sp macro="" textlink="">
      <xdr:nvSpPr>
        <xdr:cNvPr id="4251" name="Text Box 155"/>
        <xdr:cNvSpPr txBox="1">
          <a:spLocks noChangeArrowheads="1"/>
        </xdr:cNvSpPr>
      </xdr:nvSpPr>
      <xdr:spPr bwMode="auto">
        <a:xfrm>
          <a:off x="2905125" y="3762375"/>
          <a:ext cx="82651" cy="155748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US" sz="900" b="0" i="0" u="none" strike="noStrike" baseline="0">
              <a:solidFill>
                <a:srgbClr val="000000"/>
              </a:solidFill>
              <a:latin typeface="Arial"/>
              <a:cs typeface="Arial"/>
            </a:rPr>
            <a:t>1</a:t>
          </a:r>
        </a:p>
      </xdr:txBody>
    </xdr:sp>
    <xdr:clientData/>
  </xdr:oneCellAnchor>
  <xdr:oneCellAnchor>
    <xdr:from>
      <xdr:col>26</xdr:col>
      <xdr:colOff>38100</xdr:colOff>
      <xdr:row>20</xdr:row>
      <xdr:rowOff>85725</xdr:rowOff>
    </xdr:from>
    <xdr:ext cx="82651" cy="155748"/>
    <xdr:sp macro="" textlink="">
      <xdr:nvSpPr>
        <xdr:cNvPr id="4252" name="Text Box 156"/>
        <xdr:cNvSpPr txBox="1">
          <a:spLocks noChangeArrowheads="1"/>
        </xdr:cNvSpPr>
      </xdr:nvSpPr>
      <xdr:spPr bwMode="auto">
        <a:xfrm>
          <a:off x="3086100" y="3562350"/>
          <a:ext cx="82651" cy="155748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US" sz="900" b="0" i="0" u="none" strike="noStrike" baseline="0">
              <a:solidFill>
                <a:srgbClr val="000000"/>
              </a:solidFill>
              <a:latin typeface="Arial"/>
              <a:cs typeface="Arial"/>
            </a:rPr>
            <a:t>1</a:t>
          </a:r>
        </a:p>
      </xdr:txBody>
    </xdr:sp>
    <xdr:clientData/>
  </xdr:oneCellAnchor>
  <xdr:oneCellAnchor>
    <xdr:from>
      <xdr:col>4</xdr:col>
      <xdr:colOff>85725</xdr:colOff>
      <xdr:row>20</xdr:row>
      <xdr:rowOff>104775</xdr:rowOff>
    </xdr:from>
    <xdr:ext cx="82651" cy="155748"/>
    <xdr:sp macro="" textlink="">
      <xdr:nvSpPr>
        <xdr:cNvPr id="4253" name="Text Box 157"/>
        <xdr:cNvSpPr txBox="1">
          <a:spLocks noChangeArrowheads="1"/>
        </xdr:cNvSpPr>
      </xdr:nvSpPr>
      <xdr:spPr bwMode="auto">
        <a:xfrm>
          <a:off x="561975" y="3581400"/>
          <a:ext cx="82651" cy="155748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US" sz="900" b="0" i="0" u="none" strike="noStrike" baseline="0">
              <a:solidFill>
                <a:srgbClr val="000000"/>
              </a:solidFill>
              <a:latin typeface="Arial"/>
              <a:cs typeface="Arial"/>
            </a:rPr>
            <a:t>1</a:t>
          </a:r>
        </a:p>
      </xdr:txBody>
    </xdr:sp>
    <xdr:clientData/>
  </xdr:oneCellAnchor>
  <xdr:oneCellAnchor>
    <xdr:from>
      <xdr:col>6</xdr:col>
      <xdr:colOff>38100</xdr:colOff>
      <xdr:row>21</xdr:row>
      <xdr:rowOff>104775</xdr:rowOff>
    </xdr:from>
    <xdr:ext cx="82651" cy="155748"/>
    <xdr:sp macro="" textlink="">
      <xdr:nvSpPr>
        <xdr:cNvPr id="4254" name="Text Box 158"/>
        <xdr:cNvSpPr txBox="1">
          <a:spLocks noChangeArrowheads="1"/>
        </xdr:cNvSpPr>
      </xdr:nvSpPr>
      <xdr:spPr bwMode="auto">
        <a:xfrm>
          <a:off x="762000" y="3762375"/>
          <a:ext cx="82651" cy="155748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US" sz="900" b="0" i="0" u="none" strike="noStrike" baseline="0">
              <a:solidFill>
                <a:srgbClr val="000000"/>
              </a:solidFill>
              <a:latin typeface="Arial"/>
              <a:cs typeface="Arial"/>
            </a:rPr>
            <a:t>1</a:t>
          </a:r>
        </a:p>
      </xdr:txBody>
    </xdr:sp>
    <xdr:clientData/>
  </xdr:oneCellAnchor>
  <xdr:twoCellAnchor>
    <xdr:from>
      <xdr:col>36</xdr:col>
      <xdr:colOff>0</xdr:colOff>
      <xdr:row>20</xdr:row>
      <xdr:rowOff>0</xdr:rowOff>
    </xdr:from>
    <xdr:to>
      <xdr:col>43</xdr:col>
      <xdr:colOff>38100</xdr:colOff>
      <xdr:row>28</xdr:row>
      <xdr:rowOff>19050</xdr:rowOff>
    </xdr:to>
    <xdr:sp macro="" textlink="">
      <xdr:nvSpPr>
        <xdr:cNvPr id="4493" name="Freeform 159"/>
        <xdr:cNvSpPr>
          <a:spLocks/>
        </xdr:cNvSpPr>
      </xdr:nvSpPr>
      <xdr:spPr bwMode="auto">
        <a:xfrm>
          <a:off x="4295775" y="3476625"/>
          <a:ext cx="942975" cy="1447800"/>
        </a:xfrm>
        <a:custGeom>
          <a:avLst/>
          <a:gdLst>
            <a:gd name="T0" fmla="*/ 0 w 99"/>
            <a:gd name="T1" fmla="*/ 0 h 152"/>
            <a:gd name="T2" fmla="*/ 98 w 99"/>
            <a:gd name="T3" fmla="*/ 45 h 152"/>
            <a:gd name="T4" fmla="*/ 99 w 99"/>
            <a:gd name="T5" fmla="*/ 112 h 152"/>
            <a:gd name="T6" fmla="*/ 9 w 99"/>
            <a:gd name="T7" fmla="*/ 152 h 152"/>
            <a:gd name="T8" fmla="*/ 0 60000 65536"/>
            <a:gd name="T9" fmla="*/ 0 60000 65536"/>
            <a:gd name="T10" fmla="*/ 0 60000 65536"/>
            <a:gd name="T11" fmla="*/ 0 60000 65536"/>
            <a:gd name="T12" fmla="*/ 0 w 99"/>
            <a:gd name="T13" fmla="*/ 0 h 152"/>
            <a:gd name="T14" fmla="*/ 99 w 99"/>
            <a:gd name="T15" fmla="*/ 152 h 152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99" h="152">
              <a:moveTo>
                <a:pt x="0" y="0"/>
              </a:moveTo>
              <a:lnTo>
                <a:pt x="98" y="45"/>
              </a:lnTo>
              <a:lnTo>
                <a:pt x="99" y="112"/>
              </a:lnTo>
              <a:lnTo>
                <a:pt x="9" y="152"/>
              </a:lnTo>
            </a:path>
          </a:pathLst>
        </a:custGeom>
        <a:noFill/>
        <a:ln w="1587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43</xdr:col>
      <xdr:colOff>28575</xdr:colOff>
      <xdr:row>25</xdr:row>
      <xdr:rowOff>152400</xdr:rowOff>
    </xdr:from>
    <xdr:to>
      <xdr:col>44</xdr:col>
      <xdr:colOff>95250</xdr:colOff>
      <xdr:row>26</xdr:row>
      <xdr:rowOff>19050</xdr:rowOff>
    </xdr:to>
    <xdr:sp macro="" textlink="">
      <xdr:nvSpPr>
        <xdr:cNvPr id="4494" name="Line 160"/>
        <xdr:cNvSpPr>
          <a:spLocks noChangeShapeType="1"/>
        </xdr:cNvSpPr>
      </xdr:nvSpPr>
      <xdr:spPr bwMode="auto">
        <a:xfrm>
          <a:off x="5229225" y="4533900"/>
          <a:ext cx="209550" cy="47625"/>
        </a:xfrm>
        <a:prstGeom prst="line">
          <a:avLst/>
        </a:prstGeom>
        <a:noFill/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43</xdr:col>
      <xdr:colOff>38100</xdr:colOff>
      <xdr:row>22</xdr:row>
      <xdr:rowOff>38100</xdr:rowOff>
    </xdr:from>
    <xdr:to>
      <xdr:col>44</xdr:col>
      <xdr:colOff>85725</xdr:colOff>
      <xdr:row>22</xdr:row>
      <xdr:rowOff>66675</xdr:rowOff>
    </xdr:to>
    <xdr:sp macro="" textlink="">
      <xdr:nvSpPr>
        <xdr:cNvPr id="4495" name="Line 161"/>
        <xdr:cNvSpPr>
          <a:spLocks noChangeShapeType="1"/>
        </xdr:cNvSpPr>
      </xdr:nvSpPr>
      <xdr:spPr bwMode="auto">
        <a:xfrm flipV="1">
          <a:off x="5238750" y="3876675"/>
          <a:ext cx="190500" cy="28575"/>
        </a:xfrm>
        <a:prstGeom prst="line">
          <a:avLst/>
        </a:prstGeom>
        <a:noFill/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45</xdr:col>
      <xdr:colOff>9525</xdr:colOff>
      <xdr:row>26</xdr:row>
      <xdr:rowOff>19050</xdr:rowOff>
    </xdr:from>
    <xdr:to>
      <xdr:col>47</xdr:col>
      <xdr:colOff>0</xdr:colOff>
      <xdr:row>28</xdr:row>
      <xdr:rowOff>47625</xdr:rowOff>
    </xdr:to>
    <xdr:sp macro="" textlink="">
      <xdr:nvSpPr>
        <xdr:cNvPr id="4496" name="Freeform 162"/>
        <xdr:cNvSpPr>
          <a:spLocks/>
        </xdr:cNvSpPr>
      </xdr:nvSpPr>
      <xdr:spPr bwMode="auto">
        <a:xfrm>
          <a:off x="5495925" y="4581525"/>
          <a:ext cx="285750" cy="371475"/>
        </a:xfrm>
        <a:custGeom>
          <a:avLst/>
          <a:gdLst>
            <a:gd name="T0" fmla="*/ 0 w 30"/>
            <a:gd name="T1" fmla="*/ 0 h 39"/>
            <a:gd name="T2" fmla="*/ 9 w 30"/>
            <a:gd name="T3" fmla="*/ 3 h 39"/>
            <a:gd name="T4" fmla="*/ 15 w 30"/>
            <a:gd name="T5" fmla="*/ 6 h 39"/>
            <a:gd name="T6" fmla="*/ 19 w 30"/>
            <a:gd name="T7" fmla="*/ 9 h 39"/>
            <a:gd name="T8" fmla="*/ 24 w 30"/>
            <a:gd name="T9" fmla="*/ 15 h 39"/>
            <a:gd name="T10" fmla="*/ 27 w 30"/>
            <a:gd name="T11" fmla="*/ 20 h 39"/>
            <a:gd name="T12" fmla="*/ 29 w 30"/>
            <a:gd name="T13" fmla="*/ 26 h 39"/>
            <a:gd name="T14" fmla="*/ 30 w 30"/>
            <a:gd name="T15" fmla="*/ 33 h 39"/>
            <a:gd name="T16" fmla="*/ 29 w 30"/>
            <a:gd name="T17" fmla="*/ 39 h 39"/>
            <a:gd name="T18" fmla="*/ 0 60000 65536"/>
            <a:gd name="T19" fmla="*/ 0 60000 65536"/>
            <a:gd name="T20" fmla="*/ 0 60000 65536"/>
            <a:gd name="T21" fmla="*/ 0 60000 65536"/>
            <a:gd name="T22" fmla="*/ 0 60000 65536"/>
            <a:gd name="T23" fmla="*/ 0 60000 65536"/>
            <a:gd name="T24" fmla="*/ 0 60000 65536"/>
            <a:gd name="T25" fmla="*/ 0 60000 65536"/>
            <a:gd name="T26" fmla="*/ 0 60000 65536"/>
            <a:gd name="T27" fmla="*/ 0 w 30"/>
            <a:gd name="T28" fmla="*/ 0 h 39"/>
            <a:gd name="T29" fmla="*/ 30 w 30"/>
            <a:gd name="T30" fmla="*/ 39 h 39"/>
          </a:gdLst>
          <a:ahLst/>
          <a:cxnLst>
            <a:cxn ang="T18">
              <a:pos x="T0" y="T1"/>
            </a:cxn>
            <a:cxn ang="T19">
              <a:pos x="T2" y="T3"/>
            </a:cxn>
            <a:cxn ang="T20">
              <a:pos x="T4" y="T5"/>
            </a:cxn>
            <a:cxn ang="T21">
              <a:pos x="T6" y="T7"/>
            </a:cxn>
            <a:cxn ang="T22">
              <a:pos x="T8" y="T9"/>
            </a:cxn>
            <a:cxn ang="T23">
              <a:pos x="T10" y="T11"/>
            </a:cxn>
            <a:cxn ang="T24">
              <a:pos x="T12" y="T13"/>
            </a:cxn>
            <a:cxn ang="T25">
              <a:pos x="T14" y="T15"/>
            </a:cxn>
            <a:cxn ang="T26">
              <a:pos x="T16" y="T17"/>
            </a:cxn>
          </a:cxnLst>
          <a:rect l="T27" t="T28" r="T29" b="T30"/>
          <a:pathLst>
            <a:path w="30" h="39">
              <a:moveTo>
                <a:pt x="0" y="0"/>
              </a:moveTo>
              <a:lnTo>
                <a:pt x="9" y="3"/>
              </a:lnTo>
              <a:lnTo>
                <a:pt x="15" y="6"/>
              </a:lnTo>
              <a:lnTo>
                <a:pt x="19" y="9"/>
              </a:lnTo>
              <a:lnTo>
                <a:pt x="24" y="15"/>
              </a:lnTo>
              <a:lnTo>
                <a:pt x="27" y="20"/>
              </a:lnTo>
              <a:lnTo>
                <a:pt x="29" y="26"/>
              </a:lnTo>
              <a:lnTo>
                <a:pt x="30" y="33"/>
              </a:lnTo>
              <a:lnTo>
                <a:pt x="29" y="39"/>
              </a:lnTo>
            </a:path>
          </a:pathLst>
        </a:custGeom>
        <a:noFill/>
        <a:ln w="1587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44</xdr:col>
      <xdr:colOff>123825</xdr:colOff>
      <xdr:row>18</xdr:row>
      <xdr:rowOff>200025</xdr:rowOff>
    </xdr:from>
    <xdr:to>
      <xdr:col>47</xdr:col>
      <xdr:colOff>0</xdr:colOff>
      <xdr:row>22</xdr:row>
      <xdr:rowOff>28575</xdr:rowOff>
    </xdr:to>
    <xdr:sp macro="" textlink="">
      <xdr:nvSpPr>
        <xdr:cNvPr id="4497" name="Freeform 163"/>
        <xdr:cNvSpPr>
          <a:spLocks/>
        </xdr:cNvSpPr>
      </xdr:nvSpPr>
      <xdr:spPr bwMode="auto">
        <a:xfrm>
          <a:off x="5467350" y="3209925"/>
          <a:ext cx="314325" cy="657225"/>
        </a:xfrm>
        <a:custGeom>
          <a:avLst/>
          <a:gdLst>
            <a:gd name="T0" fmla="*/ 0 w 33"/>
            <a:gd name="T1" fmla="*/ 69 h 69"/>
            <a:gd name="T2" fmla="*/ 8 w 33"/>
            <a:gd name="T3" fmla="*/ 67 h 69"/>
            <a:gd name="T4" fmla="*/ 17 w 33"/>
            <a:gd name="T5" fmla="*/ 63 h 69"/>
            <a:gd name="T6" fmla="*/ 23 w 33"/>
            <a:gd name="T7" fmla="*/ 59 h 69"/>
            <a:gd name="T8" fmla="*/ 27 w 33"/>
            <a:gd name="T9" fmla="*/ 55 h 69"/>
            <a:gd name="T10" fmla="*/ 30 w 33"/>
            <a:gd name="T11" fmla="*/ 50 h 69"/>
            <a:gd name="T12" fmla="*/ 32 w 33"/>
            <a:gd name="T13" fmla="*/ 45 h 69"/>
            <a:gd name="T14" fmla="*/ 33 w 33"/>
            <a:gd name="T15" fmla="*/ 37 h 69"/>
            <a:gd name="T16" fmla="*/ 32 w 33"/>
            <a:gd name="T17" fmla="*/ 0 h 69"/>
            <a:gd name="T18" fmla="*/ 0 60000 65536"/>
            <a:gd name="T19" fmla="*/ 0 60000 65536"/>
            <a:gd name="T20" fmla="*/ 0 60000 65536"/>
            <a:gd name="T21" fmla="*/ 0 60000 65536"/>
            <a:gd name="T22" fmla="*/ 0 60000 65536"/>
            <a:gd name="T23" fmla="*/ 0 60000 65536"/>
            <a:gd name="T24" fmla="*/ 0 60000 65536"/>
            <a:gd name="T25" fmla="*/ 0 60000 65536"/>
            <a:gd name="T26" fmla="*/ 0 60000 65536"/>
            <a:gd name="T27" fmla="*/ 0 w 33"/>
            <a:gd name="T28" fmla="*/ 0 h 69"/>
            <a:gd name="T29" fmla="*/ 33 w 33"/>
            <a:gd name="T30" fmla="*/ 69 h 69"/>
          </a:gdLst>
          <a:ahLst/>
          <a:cxnLst>
            <a:cxn ang="T18">
              <a:pos x="T0" y="T1"/>
            </a:cxn>
            <a:cxn ang="T19">
              <a:pos x="T2" y="T3"/>
            </a:cxn>
            <a:cxn ang="T20">
              <a:pos x="T4" y="T5"/>
            </a:cxn>
            <a:cxn ang="T21">
              <a:pos x="T6" y="T7"/>
            </a:cxn>
            <a:cxn ang="T22">
              <a:pos x="T8" y="T9"/>
            </a:cxn>
            <a:cxn ang="T23">
              <a:pos x="T10" y="T11"/>
            </a:cxn>
            <a:cxn ang="T24">
              <a:pos x="T12" y="T13"/>
            </a:cxn>
            <a:cxn ang="T25">
              <a:pos x="T14" y="T15"/>
            </a:cxn>
            <a:cxn ang="T26">
              <a:pos x="T16" y="T17"/>
            </a:cxn>
          </a:cxnLst>
          <a:rect l="T27" t="T28" r="T29" b="T30"/>
          <a:pathLst>
            <a:path w="33" h="69">
              <a:moveTo>
                <a:pt x="0" y="69"/>
              </a:moveTo>
              <a:lnTo>
                <a:pt x="8" y="67"/>
              </a:lnTo>
              <a:lnTo>
                <a:pt x="17" y="63"/>
              </a:lnTo>
              <a:lnTo>
                <a:pt x="23" y="59"/>
              </a:lnTo>
              <a:lnTo>
                <a:pt x="27" y="55"/>
              </a:lnTo>
              <a:lnTo>
                <a:pt x="30" y="50"/>
              </a:lnTo>
              <a:lnTo>
                <a:pt x="32" y="45"/>
              </a:lnTo>
              <a:lnTo>
                <a:pt x="33" y="37"/>
              </a:lnTo>
              <a:lnTo>
                <a:pt x="32" y="0"/>
              </a:lnTo>
            </a:path>
          </a:pathLst>
        </a:custGeom>
        <a:noFill/>
        <a:ln w="1587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43</xdr:col>
      <xdr:colOff>38100</xdr:colOff>
      <xdr:row>18</xdr:row>
      <xdr:rowOff>228600</xdr:rowOff>
    </xdr:from>
    <xdr:to>
      <xdr:col>43</xdr:col>
      <xdr:colOff>38100</xdr:colOff>
      <xdr:row>22</xdr:row>
      <xdr:rowOff>0</xdr:rowOff>
    </xdr:to>
    <xdr:sp macro="" textlink="">
      <xdr:nvSpPr>
        <xdr:cNvPr id="4498" name="Line 164"/>
        <xdr:cNvSpPr>
          <a:spLocks noChangeShapeType="1"/>
        </xdr:cNvSpPr>
      </xdr:nvSpPr>
      <xdr:spPr bwMode="auto">
        <a:xfrm>
          <a:off x="5238750" y="3238500"/>
          <a:ext cx="0" cy="6000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43</xdr:col>
      <xdr:colOff>38100</xdr:colOff>
      <xdr:row>18</xdr:row>
      <xdr:rowOff>276225</xdr:rowOff>
    </xdr:from>
    <xdr:to>
      <xdr:col>46</xdr:col>
      <xdr:colOff>133350</xdr:colOff>
      <xdr:row>18</xdr:row>
      <xdr:rowOff>276225</xdr:rowOff>
    </xdr:to>
    <xdr:sp macro="" textlink="">
      <xdr:nvSpPr>
        <xdr:cNvPr id="4499" name="Line 165"/>
        <xdr:cNvSpPr>
          <a:spLocks noChangeShapeType="1"/>
        </xdr:cNvSpPr>
      </xdr:nvSpPr>
      <xdr:spPr bwMode="auto">
        <a:xfrm flipV="1">
          <a:off x="5238750" y="3286125"/>
          <a:ext cx="523875" cy="0"/>
        </a:xfrm>
        <a:prstGeom prst="line">
          <a:avLst/>
        </a:prstGeom>
        <a:noFill/>
        <a:ln w="9525">
          <a:solidFill>
            <a:srgbClr val="000000"/>
          </a:solidFill>
          <a:round/>
          <a:headEnd type="stealth" w="sm" len="med"/>
          <a:tailEnd type="stealth" w="sm" len="med"/>
        </a:ln>
      </xdr:spPr>
    </xdr:sp>
    <xdr:clientData/>
  </xdr:twoCellAnchor>
  <xdr:twoCellAnchor>
    <xdr:from>
      <xdr:col>39</xdr:col>
      <xdr:colOff>9525</xdr:colOff>
      <xdr:row>18</xdr:row>
      <xdr:rowOff>238125</xdr:rowOff>
    </xdr:from>
    <xdr:to>
      <xdr:col>39</xdr:col>
      <xdr:colOff>9525</xdr:colOff>
      <xdr:row>23</xdr:row>
      <xdr:rowOff>47625</xdr:rowOff>
    </xdr:to>
    <xdr:sp macro="" textlink="">
      <xdr:nvSpPr>
        <xdr:cNvPr id="4500" name="Line 166"/>
        <xdr:cNvSpPr>
          <a:spLocks noChangeShapeType="1"/>
        </xdr:cNvSpPr>
      </xdr:nvSpPr>
      <xdr:spPr bwMode="auto">
        <a:xfrm>
          <a:off x="4648200" y="3248025"/>
          <a:ext cx="0" cy="8191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39</xdr:col>
      <xdr:colOff>9525</xdr:colOff>
      <xdr:row>18</xdr:row>
      <xdr:rowOff>276225</xdr:rowOff>
    </xdr:from>
    <xdr:to>
      <xdr:col>43</xdr:col>
      <xdr:colOff>38100</xdr:colOff>
      <xdr:row>18</xdr:row>
      <xdr:rowOff>276225</xdr:rowOff>
    </xdr:to>
    <xdr:sp macro="" textlink="">
      <xdr:nvSpPr>
        <xdr:cNvPr id="4501" name="Line 167"/>
        <xdr:cNvSpPr>
          <a:spLocks noChangeShapeType="1"/>
        </xdr:cNvSpPr>
      </xdr:nvSpPr>
      <xdr:spPr bwMode="auto">
        <a:xfrm flipV="1">
          <a:off x="4648200" y="3286125"/>
          <a:ext cx="590550" cy="0"/>
        </a:xfrm>
        <a:prstGeom prst="line">
          <a:avLst/>
        </a:prstGeom>
        <a:noFill/>
        <a:ln w="9525">
          <a:solidFill>
            <a:srgbClr val="000000"/>
          </a:solidFill>
          <a:round/>
          <a:headEnd type="stealth" w="sm" len="med"/>
          <a:tailEnd type="stealth" w="sm" len="med"/>
        </a:ln>
      </xdr:spPr>
    </xdr:sp>
    <xdr:clientData/>
  </xdr:twoCellAnchor>
  <xdr:twoCellAnchor>
    <xdr:from>
      <xdr:col>31</xdr:col>
      <xdr:colOff>95250</xdr:colOff>
      <xdr:row>23</xdr:row>
      <xdr:rowOff>85725</xdr:rowOff>
    </xdr:from>
    <xdr:to>
      <xdr:col>39</xdr:col>
      <xdr:colOff>19050</xdr:colOff>
      <xdr:row>24</xdr:row>
      <xdr:rowOff>114300</xdr:rowOff>
    </xdr:to>
    <xdr:sp macro="" textlink="">
      <xdr:nvSpPr>
        <xdr:cNvPr id="4502" name="Freeform 168"/>
        <xdr:cNvSpPr>
          <a:spLocks/>
        </xdr:cNvSpPr>
      </xdr:nvSpPr>
      <xdr:spPr bwMode="auto">
        <a:xfrm>
          <a:off x="3762375" y="4105275"/>
          <a:ext cx="895350" cy="209550"/>
        </a:xfrm>
        <a:custGeom>
          <a:avLst/>
          <a:gdLst>
            <a:gd name="T0" fmla="*/ 4 w 94"/>
            <a:gd name="T1" fmla="*/ 0 h 22"/>
            <a:gd name="T2" fmla="*/ 93 w 94"/>
            <a:gd name="T3" fmla="*/ 0 h 22"/>
            <a:gd name="T4" fmla="*/ 94 w 94"/>
            <a:gd name="T5" fmla="*/ 22 h 22"/>
            <a:gd name="T6" fmla="*/ 5 w 94"/>
            <a:gd name="T7" fmla="*/ 22 h 22"/>
            <a:gd name="T8" fmla="*/ 7 w 94"/>
            <a:gd name="T9" fmla="*/ 19 h 22"/>
            <a:gd name="T10" fmla="*/ 7 w 94"/>
            <a:gd name="T11" fmla="*/ 16 h 22"/>
            <a:gd name="T12" fmla="*/ 6 w 94"/>
            <a:gd name="T13" fmla="*/ 12 h 22"/>
            <a:gd name="T14" fmla="*/ 4 w 94"/>
            <a:gd name="T15" fmla="*/ 9 h 22"/>
            <a:gd name="T16" fmla="*/ 2 w 94"/>
            <a:gd name="T17" fmla="*/ 8 h 22"/>
            <a:gd name="T18" fmla="*/ 0 w 94"/>
            <a:gd name="T19" fmla="*/ 5 h 22"/>
            <a:gd name="T20" fmla="*/ 0 w 94"/>
            <a:gd name="T21" fmla="*/ 3 h 22"/>
            <a:gd name="T22" fmla="*/ 1 w 94"/>
            <a:gd name="T23" fmla="*/ 1 h 22"/>
            <a:gd name="T24" fmla="*/ 4 w 94"/>
            <a:gd name="T25" fmla="*/ 0 h 22"/>
            <a:gd name="T26" fmla="*/ 0 60000 65536"/>
            <a:gd name="T27" fmla="*/ 0 60000 65536"/>
            <a:gd name="T28" fmla="*/ 0 60000 65536"/>
            <a:gd name="T29" fmla="*/ 0 60000 65536"/>
            <a:gd name="T30" fmla="*/ 0 60000 65536"/>
            <a:gd name="T31" fmla="*/ 0 60000 65536"/>
            <a:gd name="T32" fmla="*/ 0 60000 65536"/>
            <a:gd name="T33" fmla="*/ 0 60000 65536"/>
            <a:gd name="T34" fmla="*/ 0 60000 65536"/>
            <a:gd name="T35" fmla="*/ 0 60000 65536"/>
            <a:gd name="T36" fmla="*/ 0 60000 65536"/>
            <a:gd name="T37" fmla="*/ 0 60000 65536"/>
            <a:gd name="T38" fmla="*/ 0 60000 65536"/>
            <a:gd name="T39" fmla="*/ 0 w 94"/>
            <a:gd name="T40" fmla="*/ 0 h 22"/>
            <a:gd name="T41" fmla="*/ 94 w 94"/>
            <a:gd name="T42" fmla="*/ 22 h 22"/>
          </a:gdLst>
          <a:ahLst/>
          <a:cxnLst>
            <a:cxn ang="T26">
              <a:pos x="T0" y="T1"/>
            </a:cxn>
            <a:cxn ang="T27">
              <a:pos x="T2" y="T3"/>
            </a:cxn>
            <a:cxn ang="T28">
              <a:pos x="T4" y="T5"/>
            </a:cxn>
            <a:cxn ang="T29">
              <a:pos x="T6" y="T7"/>
            </a:cxn>
            <a:cxn ang="T30">
              <a:pos x="T8" y="T9"/>
            </a:cxn>
            <a:cxn ang="T31">
              <a:pos x="T10" y="T11"/>
            </a:cxn>
            <a:cxn ang="T32">
              <a:pos x="T12" y="T13"/>
            </a:cxn>
            <a:cxn ang="T33">
              <a:pos x="T14" y="T15"/>
            </a:cxn>
            <a:cxn ang="T34">
              <a:pos x="T16" y="T17"/>
            </a:cxn>
            <a:cxn ang="T35">
              <a:pos x="T18" y="T19"/>
            </a:cxn>
            <a:cxn ang="T36">
              <a:pos x="T20" y="T21"/>
            </a:cxn>
            <a:cxn ang="T37">
              <a:pos x="T22" y="T23"/>
            </a:cxn>
            <a:cxn ang="T38">
              <a:pos x="T24" y="T25"/>
            </a:cxn>
          </a:cxnLst>
          <a:rect l="T39" t="T40" r="T41" b="T42"/>
          <a:pathLst>
            <a:path w="94" h="22">
              <a:moveTo>
                <a:pt x="4" y="0"/>
              </a:moveTo>
              <a:lnTo>
                <a:pt x="93" y="0"/>
              </a:lnTo>
              <a:lnTo>
                <a:pt x="94" y="22"/>
              </a:lnTo>
              <a:lnTo>
                <a:pt x="5" y="22"/>
              </a:lnTo>
              <a:lnTo>
                <a:pt x="7" y="19"/>
              </a:lnTo>
              <a:lnTo>
                <a:pt x="7" y="16"/>
              </a:lnTo>
              <a:lnTo>
                <a:pt x="6" y="12"/>
              </a:lnTo>
              <a:lnTo>
                <a:pt x="4" y="9"/>
              </a:lnTo>
              <a:lnTo>
                <a:pt x="2" y="8"/>
              </a:lnTo>
              <a:lnTo>
                <a:pt x="0" y="5"/>
              </a:lnTo>
              <a:lnTo>
                <a:pt x="0" y="3"/>
              </a:lnTo>
              <a:lnTo>
                <a:pt x="1" y="1"/>
              </a:lnTo>
              <a:lnTo>
                <a:pt x="4" y="0"/>
              </a:lnTo>
            </a:path>
          </a:pathLst>
        </a:custGeom>
        <a:noFill/>
        <a:ln w="1587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31</xdr:col>
      <xdr:colOff>104775</xdr:colOff>
      <xdr:row>23</xdr:row>
      <xdr:rowOff>171450</xdr:rowOff>
    </xdr:from>
    <xdr:to>
      <xdr:col>32</xdr:col>
      <xdr:colOff>19050</xdr:colOff>
      <xdr:row>24</xdr:row>
      <xdr:rowOff>114300</xdr:rowOff>
    </xdr:to>
    <xdr:sp macro="" textlink="">
      <xdr:nvSpPr>
        <xdr:cNvPr id="4503" name="Freeform 169"/>
        <xdr:cNvSpPr>
          <a:spLocks/>
        </xdr:cNvSpPr>
      </xdr:nvSpPr>
      <xdr:spPr bwMode="auto">
        <a:xfrm>
          <a:off x="3771900" y="4191000"/>
          <a:ext cx="38100" cy="123825"/>
        </a:xfrm>
        <a:custGeom>
          <a:avLst/>
          <a:gdLst>
            <a:gd name="T0" fmla="*/ 4 w 4"/>
            <a:gd name="T1" fmla="*/ 13 h 13"/>
            <a:gd name="T2" fmla="*/ 1 w 4"/>
            <a:gd name="T3" fmla="*/ 11 h 13"/>
            <a:gd name="T4" fmla="*/ 0 w 4"/>
            <a:gd name="T5" fmla="*/ 9 h 13"/>
            <a:gd name="T6" fmla="*/ 0 w 4"/>
            <a:gd name="T7" fmla="*/ 6 h 13"/>
            <a:gd name="T8" fmla="*/ 1 w 4"/>
            <a:gd name="T9" fmla="*/ 3 h 13"/>
            <a:gd name="T10" fmla="*/ 2 w 4"/>
            <a:gd name="T11" fmla="*/ 0 h 13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4"/>
            <a:gd name="T19" fmla="*/ 0 h 13"/>
            <a:gd name="T20" fmla="*/ 4 w 4"/>
            <a:gd name="T21" fmla="*/ 13 h 13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4" h="13">
              <a:moveTo>
                <a:pt x="4" y="13"/>
              </a:moveTo>
              <a:lnTo>
                <a:pt x="1" y="11"/>
              </a:lnTo>
              <a:lnTo>
                <a:pt x="0" y="9"/>
              </a:lnTo>
              <a:lnTo>
                <a:pt x="0" y="6"/>
              </a:lnTo>
              <a:lnTo>
                <a:pt x="1" y="3"/>
              </a:lnTo>
              <a:lnTo>
                <a:pt x="2" y="0"/>
              </a:lnTo>
            </a:path>
          </a:pathLst>
        </a:custGeom>
        <a:noFill/>
        <a:ln w="1587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30</xdr:col>
      <xdr:colOff>38100</xdr:colOff>
      <xdr:row>24</xdr:row>
      <xdr:rowOff>9525</xdr:rowOff>
    </xdr:from>
    <xdr:to>
      <xdr:col>34</xdr:col>
      <xdr:colOff>57150</xdr:colOff>
      <xdr:row>24</xdr:row>
      <xdr:rowOff>9525</xdr:rowOff>
    </xdr:to>
    <xdr:sp macro="" textlink="">
      <xdr:nvSpPr>
        <xdr:cNvPr id="4504" name="Line 170"/>
        <xdr:cNvSpPr>
          <a:spLocks noChangeShapeType="1"/>
        </xdr:cNvSpPr>
      </xdr:nvSpPr>
      <xdr:spPr bwMode="auto">
        <a:xfrm>
          <a:off x="3581400" y="4210050"/>
          <a:ext cx="51435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35</xdr:col>
      <xdr:colOff>0</xdr:colOff>
      <xdr:row>24</xdr:row>
      <xdr:rowOff>9525</xdr:rowOff>
    </xdr:from>
    <xdr:to>
      <xdr:col>35</xdr:col>
      <xdr:colOff>57150</xdr:colOff>
      <xdr:row>24</xdr:row>
      <xdr:rowOff>9525</xdr:rowOff>
    </xdr:to>
    <xdr:sp macro="" textlink="">
      <xdr:nvSpPr>
        <xdr:cNvPr id="4505" name="Line 171"/>
        <xdr:cNvSpPr>
          <a:spLocks noChangeShapeType="1"/>
        </xdr:cNvSpPr>
      </xdr:nvSpPr>
      <xdr:spPr bwMode="auto">
        <a:xfrm>
          <a:off x="4162425" y="4210050"/>
          <a:ext cx="5715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36</xdr:col>
      <xdr:colOff>19050</xdr:colOff>
      <xdr:row>24</xdr:row>
      <xdr:rowOff>9525</xdr:rowOff>
    </xdr:from>
    <xdr:to>
      <xdr:col>39</xdr:col>
      <xdr:colOff>114300</xdr:colOff>
      <xdr:row>24</xdr:row>
      <xdr:rowOff>9525</xdr:rowOff>
    </xdr:to>
    <xdr:sp macro="" textlink="">
      <xdr:nvSpPr>
        <xdr:cNvPr id="4506" name="Line 172"/>
        <xdr:cNvSpPr>
          <a:spLocks noChangeShapeType="1"/>
        </xdr:cNvSpPr>
      </xdr:nvSpPr>
      <xdr:spPr bwMode="auto">
        <a:xfrm>
          <a:off x="4314825" y="4210050"/>
          <a:ext cx="43815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36</xdr:col>
      <xdr:colOff>38100</xdr:colOff>
      <xdr:row>22</xdr:row>
      <xdr:rowOff>104775</xdr:rowOff>
    </xdr:from>
    <xdr:to>
      <xdr:col>37</xdr:col>
      <xdr:colOff>95250</xdr:colOff>
      <xdr:row>23</xdr:row>
      <xdr:rowOff>85725</xdr:rowOff>
    </xdr:to>
    <xdr:sp macro="" textlink="">
      <xdr:nvSpPr>
        <xdr:cNvPr id="4507" name="Freeform 173"/>
        <xdr:cNvSpPr>
          <a:spLocks/>
        </xdr:cNvSpPr>
      </xdr:nvSpPr>
      <xdr:spPr bwMode="auto">
        <a:xfrm>
          <a:off x="4333875" y="3943350"/>
          <a:ext cx="152400" cy="161925"/>
        </a:xfrm>
        <a:custGeom>
          <a:avLst/>
          <a:gdLst>
            <a:gd name="T0" fmla="*/ 0 w 16"/>
            <a:gd name="T1" fmla="*/ 0 h 17"/>
            <a:gd name="T2" fmla="*/ 5 w 16"/>
            <a:gd name="T3" fmla="*/ 2 h 17"/>
            <a:gd name="T4" fmla="*/ 12 w 16"/>
            <a:gd name="T5" fmla="*/ 10 h 17"/>
            <a:gd name="T6" fmla="*/ 16 w 16"/>
            <a:gd name="T7" fmla="*/ 17 h 17"/>
            <a:gd name="T8" fmla="*/ 0 60000 65536"/>
            <a:gd name="T9" fmla="*/ 0 60000 65536"/>
            <a:gd name="T10" fmla="*/ 0 60000 65536"/>
            <a:gd name="T11" fmla="*/ 0 60000 65536"/>
            <a:gd name="T12" fmla="*/ 0 w 16"/>
            <a:gd name="T13" fmla="*/ 0 h 17"/>
            <a:gd name="T14" fmla="*/ 16 w 16"/>
            <a:gd name="T15" fmla="*/ 17 h 17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" h="17">
              <a:moveTo>
                <a:pt x="0" y="0"/>
              </a:moveTo>
              <a:lnTo>
                <a:pt x="5" y="2"/>
              </a:lnTo>
              <a:lnTo>
                <a:pt x="12" y="10"/>
              </a:lnTo>
              <a:lnTo>
                <a:pt x="16" y="17"/>
              </a:lnTo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med" len="med"/>
          <a:tailEnd type="stealth" w="sm" len="med"/>
        </a:ln>
      </xdr:spPr>
    </xdr:sp>
    <xdr:clientData/>
  </xdr:twoCellAnchor>
  <xdr:oneCellAnchor>
    <xdr:from>
      <xdr:col>30</xdr:col>
      <xdr:colOff>114300</xdr:colOff>
      <xdr:row>22</xdr:row>
      <xdr:rowOff>9525</xdr:rowOff>
    </xdr:from>
    <xdr:ext cx="563872" cy="155748"/>
    <xdr:sp macro="" textlink="">
      <xdr:nvSpPr>
        <xdr:cNvPr id="4270" name="Text Box 174"/>
        <xdr:cNvSpPr txBox="1">
          <a:spLocks noChangeArrowheads="1"/>
        </xdr:cNvSpPr>
      </xdr:nvSpPr>
      <xdr:spPr bwMode="auto">
        <a:xfrm>
          <a:off x="3657600" y="3848100"/>
          <a:ext cx="563872" cy="155748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US" sz="900" b="0" i="0" u="none" strike="noStrike" baseline="0">
              <a:solidFill>
                <a:srgbClr val="000000"/>
              </a:solidFill>
              <a:latin typeface="Arial"/>
              <a:cs typeface="Arial"/>
            </a:rPr>
            <a:t>Pipe outlet</a:t>
          </a:r>
        </a:p>
      </xdr:txBody>
    </xdr:sp>
    <xdr:clientData/>
  </xdr:oneCellAnchor>
  <xdr:twoCellAnchor>
    <xdr:from>
      <xdr:col>32</xdr:col>
      <xdr:colOff>57150</xdr:colOff>
      <xdr:row>26</xdr:row>
      <xdr:rowOff>19050</xdr:rowOff>
    </xdr:from>
    <xdr:to>
      <xdr:col>37</xdr:col>
      <xdr:colOff>28575</xdr:colOff>
      <xdr:row>26</xdr:row>
      <xdr:rowOff>19050</xdr:rowOff>
    </xdr:to>
    <xdr:sp macro="" textlink="">
      <xdr:nvSpPr>
        <xdr:cNvPr id="4509" name="Line 175"/>
        <xdr:cNvSpPr>
          <a:spLocks noChangeShapeType="1"/>
        </xdr:cNvSpPr>
      </xdr:nvSpPr>
      <xdr:spPr bwMode="auto">
        <a:xfrm>
          <a:off x="3848100" y="4581525"/>
          <a:ext cx="5715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stealth" w="sm" len="med"/>
        </a:ln>
      </xdr:spPr>
    </xdr:sp>
    <xdr:clientData/>
  </xdr:twoCellAnchor>
  <xdr:oneCellAnchor>
    <xdr:from>
      <xdr:col>33</xdr:col>
      <xdr:colOff>38100</xdr:colOff>
      <xdr:row>25</xdr:row>
      <xdr:rowOff>38100</xdr:rowOff>
    </xdr:from>
    <xdr:ext cx="262188" cy="155748"/>
    <xdr:sp macro="" textlink="">
      <xdr:nvSpPr>
        <xdr:cNvPr id="4272" name="Text Box 176"/>
        <xdr:cNvSpPr txBox="1">
          <a:spLocks noChangeArrowheads="1"/>
        </xdr:cNvSpPr>
      </xdr:nvSpPr>
      <xdr:spPr bwMode="auto">
        <a:xfrm>
          <a:off x="3952875" y="4419600"/>
          <a:ext cx="262188" cy="155748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US" sz="900" b="0" i="0" u="none" strike="noStrike" baseline="0">
              <a:solidFill>
                <a:srgbClr val="000000"/>
              </a:solidFill>
              <a:latin typeface="Arial"/>
              <a:cs typeface="Arial"/>
            </a:rPr>
            <a:t>Flow</a:t>
          </a:r>
        </a:p>
      </xdr:txBody>
    </xdr:sp>
    <xdr:clientData/>
  </xdr:oneCellAnchor>
  <xdr:oneCellAnchor>
    <xdr:from>
      <xdr:col>42</xdr:col>
      <xdr:colOff>0</xdr:colOff>
      <xdr:row>26</xdr:row>
      <xdr:rowOff>104775</xdr:rowOff>
    </xdr:from>
    <xdr:ext cx="448392" cy="288412"/>
    <xdr:sp macro="" textlink="">
      <xdr:nvSpPr>
        <xdr:cNvPr id="4273" name="Text Box 177"/>
        <xdr:cNvSpPr txBox="1">
          <a:spLocks noChangeArrowheads="1"/>
        </xdr:cNvSpPr>
      </xdr:nvSpPr>
      <xdr:spPr bwMode="auto">
        <a:xfrm>
          <a:off x="5057775" y="4667250"/>
          <a:ext cx="448392" cy="28841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US" sz="900" b="0" i="0" u="none" strike="noStrike" baseline="0">
              <a:solidFill>
                <a:srgbClr val="000000"/>
              </a:solidFill>
              <a:latin typeface="Arial"/>
              <a:cs typeface="Arial"/>
            </a:rPr>
            <a:t>Edge of</a:t>
          </a:r>
        </a:p>
        <a:p>
          <a:pPr algn="l" rtl="0">
            <a:defRPr sz="1000"/>
          </a:pPr>
          <a:r>
            <a:rPr lang="en-US" sz="900" b="0" i="0" u="none" strike="noStrike" baseline="0">
              <a:solidFill>
                <a:srgbClr val="000000"/>
              </a:solidFill>
              <a:latin typeface="Arial"/>
              <a:cs typeface="Arial"/>
            </a:rPr>
            <a:t>Channel</a:t>
          </a:r>
        </a:p>
      </xdr:txBody>
    </xdr:sp>
    <xdr:clientData/>
  </xdr:oneCellAnchor>
  <xdr:twoCellAnchor>
    <xdr:from>
      <xdr:col>45</xdr:col>
      <xdr:colOff>57150</xdr:colOff>
      <xdr:row>27</xdr:row>
      <xdr:rowOff>0</xdr:rowOff>
    </xdr:from>
    <xdr:to>
      <xdr:col>46</xdr:col>
      <xdr:colOff>104775</xdr:colOff>
      <xdr:row>28</xdr:row>
      <xdr:rowOff>9525</xdr:rowOff>
    </xdr:to>
    <xdr:sp macro="" textlink="">
      <xdr:nvSpPr>
        <xdr:cNvPr id="4512" name="Freeform 178"/>
        <xdr:cNvSpPr>
          <a:spLocks/>
        </xdr:cNvSpPr>
      </xdr:nvSpPr>
      <xdr:spPr bwMode="auto">
        <a:xfrm>
          <a:off x="5543550" y="4743450"/>
          <a:ext cx="190500" cy="171450"/>
        </a:xfrm>
        <a:custGeom>
          <a:avLst/>
          <a:gdLst>
            <a:gd name="T0" fmla="*/ 0 w 20"/>
            <a:gd name="T1" fmla="*/ 18 h 18"/>
            <a:gd name="T2" fmla="*/ 7 w 20"/>
            <a:gd name="T3" fmla="*/ 15 h 18"/>
            <a:gd name="T4" fmla="*/ 11 w 20"/>
            <a:gd name="T5" fmla="*/ 12 h 18"/>
            <a:gd name="T6" fmla="*/ 13 w 20"/>
            <a:gd name="T7" fmla="*/ 9 h 18"/>
            <a:gd name="T8" fmla="*/ 20 w 20"/>
            <a:gd name="T9" fmla="*/ 0 h 18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20"/>
            <a:gd name="T16" fmla="*/ 0 h 18"/>
            <a:gd name="T17" fmla="*/ 20 w 20"/>
            <a:gd name="T18" fmla="*/ 18 h 18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20" h="18">
              <a:moveTo>
                <a:pt x="0" y="18"/>
              </a:moveTo>
              <a:lnTo>
                <a:pt x="7" y="15"/>
              </a:lnTo>
              <a:lnTo>
                <a:pt x="11" y="12"/>
              </a:lnTo>
              <a:lnTo>
                <a:pt x="13" y="9"/>
              </a:lnTo>
              <a:lnTo>
                <a:pt x="20" y="0"/>
              </a:lnTo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med" len="med"/>
          <a:tailEnd type="stealth" w="sm" len="med"/>
        </a:ln>
      </xdr:spPr>
    </xdr:sp>
    <xdr:clientData/>
  </xdr:twoCellAnchor>
  <xdr:twoCellAnchor>
    <xdr:from>
      <xdr:col>39</xdr:col>
      <xdr:colOff>95250</xdr:colOff>
      <xdr:row>23</xdr:row>
      <xdr:rowOff>76200</xdr:rowOff>
    </xdr:from>
    <xdr:to>
      <xdr:col>44</xdr:col>
      <xdr:colOff>76200</xdr:colOff>
      <xdr:row>23</xdr:row>
      <xdr:rowOff>85725</xdr:rowOff>
    </xdr:to>
    <xdr:sp macro="" textlink="">
      <xdr:nvSpPr>
        <xdr:cNvPr id="4513" name="Freeform 179"/>
        <xdr:cNvSpPr>
          <a:spLocks/>
        </xdr:cNvSpPr>
      </xdr:nvSpPr>
      <xdr:spPr bwMode="auto">
        <a:xfrm>
          <a:off x="4733925" y="4095750"/>
          <a:ext cx="685800" cy="9525"/>
        </a:xfrm>
        <a:custGeom>
          <a:avLst/>
          <a:gdLst>
            <a:gd name="T0" fmla="*/ 0 w 72"/>
            <a:gd name="T1" fmla="*/ 0 h 1"/>
            <a:gd name="T2" fmla="*/ 72 w 72"/>
            <a:gd name="T3" fmla="*/ 1 h 1"/>
            <a:gd name="T4" fmla="*/ 0 60000 65536"/>
            <a:gd name="T5" fmla="*/ 0 60000 65536"/>
            <a:gd name="T6" fmla="*/ 0 w 72"/>
            <a:gd name="T7" fmla="*/ 0 h 1"/>
            <a:gd name="T8" fmla="*/ 72 w 72"/>
            <a:gd name="T9" fmla="*/ 1 h 1"/>
          </a:gdLst>
          <a:ahLst/>
          <a:cxnLst>
            <a:cxn ang="T4">
              <a:pos x="T0" y="T1"/>
            </a:cxn>
            <a:cxn ang="T5">
              <a:pos x="T2" y="T3"/>
            </a:cxn>
          </a:cxnLst>
          <a:rect l="T6" t="T7" r="T8" b="T9"/>
          <a:pathLst>
            <a:path w="72" h="1">
              <a:moveTo>
                <a:pt x="0" y="0"/>
              </a:moveTo>
              <a:lnTo>
                <a:pt x="72" y="1"/>
              </a:lnTo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39</xdr:col>
      <xdr:colOff>95250</xdr:colOff>
      <xdr:row>24</xdr:row>
      <xdr:rowOff>114300</xdr:rowOff>
    </xdr:from>
    <xdr:to>
      <xdr:col>44</xdr:col>
      <xdr:colOff>85725</xdr:colOff>
      <xdr:row>24</xdr:row>
      <xdr:rowOff>123825</xdr:rowOff>
    </xdr:to>
    <xdr:sp macro="" textlink="">
      <xdr:nvSpPr>
        <xdr:cNvPr id="4514" name="Freeform 180"/>
        <xdr:cNvSpPr>
          <a:spLocks/>
        </xdr:cNvSpPr>
      </xdr:nvSpPr>
      <xdr:spPr bwMode="auto">
        <a:xfrm>
          <a:off x="4733925" y="4314825"/>
          <a:ext cx="695325" cy="9525"/>
        </a:xfrm>
        <a:custGeom>
          <a:avLst/>
          <a:gdLst>
            <a:gd name="T0" fmla="*/ 0 w 73"/>
            <a:gd name="T1" fmla="*/ 0 h 1"/>
            <a:gd name="T2" fmla="*/ 73 w 73"/>
            <a:gd name="T3" fmla="*/ 1 h 1"/>
            <a:gd name="T4" fmla="*/ 0 60000 65536"/>
            <a:gd name="T5" fmla="*/ 0 60000 65536"/>
            <a:gd name="T6" fmla="*/ 0 w 73"/>
            <a:gd name="T7" fmla="*/ 0 h 1"/>
            <a:gd name="T8" fmla="*/ 73 w 73"/>
            <a:gd name="T9" fmla="*/ 1 h 1"/>
          </a:gdLst>
          <a:ahLst/>
          <a:cxnLst>
            <a:cxn ang="T4">
              <a:pos x="T0" y="T1"/>
            </a:cxn>
            <a:cxn ang="T5">
              <a:pos x="T2" y="T3"/>
            </a:cxn>
          </a:cxnLst>
          <a:rect l="T6" t="T7" r="T8" b="T9"/>
          <a:pathLst>
            <a:path w="73" h="1">
              <a:moveTo>
                <a:pt x="0" y="0"/>
              </a:moveTo>
              <a:lnTo>
                <a:pt x="73" y="1"/>
              </a:lnTo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45</xdr:col>
      <xdr:colOff>0</xdr:colOff>
      <xdr:row>24</xdr:row>
      <xdr:rowOff>114300</xdr:rowOff>
    </xdr:from>
    <xdr:to>
      <xdr:col>48</xdr:col>
      <xdr:colOff>0</xdr:colOff>
      <xdr:row>24</xdr:row>
      <xdr:rowOff>114300</xdr:rowOff>
    </xdr:to>
    <xdr:sp macro="" textlink="">
      <xdr:nvSpPr>
        <xdr:cNvPr id="4515" name="Line 181"/>
        <xdr:cNvSpPr>
          <a:spLocks noChangeShapeType="1"/>
        </xdr:cNvSpPr>
      </xdr:nvSpPr>
      <xdr:spPr bwMode="auto">
        <a:xfrm>
          <a:off x="5486400" y="4314825"/>
          <a:ext cx="36195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45</xdr:col>
      <xdr:colOff>9525</xdr:colOff>
      <xdr:row>23</xdr:row>
      <xdr:rowOff>76200</xdr:rowOff>
    </xdr:from>
    <xdr:to>
      <xdr:col>48</xdr:col>
      <xdr:colOff>0</xdr:colOff>
      <xdr:row>23</xdr:row>
      <xdr:rowOff>76200</xdr:rowOff>
    </xdr:to>
    <xdr:sp macro="" textlink="">
      <xdr:nvSpPr>
        <xdr:cNvPr id="4516" name="Line 182"/>
        <xdr:cNvSpPr>
          <a:spLocks noChangeShapeType="1"/>
        </xdr:cNvSpPr>
      </xdr:nvSpPr>
      <xdr:spPr bwMode="auto">
        <a:xfrm>
          <a:off x="5495925" y="4095750"/>
          <a:ext cx="35242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45</xdr:col>
      <xdr:colOff>9525</xdr:colOff>
      <xdr:row>22</xdr:row>
      <xdr:rowOff>66675</xdr:rowOff>
    </xdr:from>
    <xdr:to>
      <xdr:col>48</xdr:col>
      <xdr:colOff>0</xdr:colOff>
      <xdr:row>22</xdr:row>
      <xdr:rowOff>66675</xdr:rowOff>
    </xdr:to>
    <xdr:sp macro="" textlink="">
      <xdr:nvSpPr>
        <xdr:cNvPr id="4517" name="Line 183"/>
        <xdr:cNvSpPr>
          <a:spLocks noChangeShapeType="1"/>
        </xdr:cNvSpPr>
      </xdr:nvSpPr>
      <xdr:spPr bwMode="auto">
        <a:xfrm>
          <a:off x="5495925" y="3905250"/>
          <a:ext cx="35242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45</xdr:col>
      <xdr:colOff>9525</xdr:colOff>
      <xdr:row>25</xdr:row>
      <xdr:rowOff>142875</xdr:rowOff>
    </xdr:from>
    <xdr:to>
      <xdr:col>48</xdr:col>
      <xdr:colOff>0</xdr:colOff>
      <xdr:row>25</xdr:row>
      <xdr:rowOff>142875</xdr:rowOff>
    </xdr:to>
    <xdr:sp macro="" textlink="">
      <xdr:nvSpPr>
        <xdr:cNvPr id="4518" name="Line 184"/>
        <xdr:cNvSpPr>
          <a:spLocks noChangeShapeType="1"/>
        </xdr:cNvSpPr>
      </xdr:nvSpPr>
      <xdr:spPr bwMode="auto">
        <a:xfrm>
          <a:off x="5495925" y="4524375"/>
          <a:ext cx="35242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48</xdr:col>
      <xdr:colOff>38100</xdr:colOff>
      <xdr:row>22</xdr:row>
      <xdr:rowOff>66675</xdr:rowOff>
    </xdr:from>
    <xdr:to>
      <xdr:col>52</xdr:col>
      <xdr:colOff>28575</xdr:colOff>
      <xdr:row>22</xdr:row>
      <xdr:rowOff>66675</xdr:rowOff>
    </xdr:to>
    <xdr:sp macro="" textlink="">
      <xdr:nvSpPr>
        <xdr:cNvPr id="4519" name="Line 185"/>
        <xdr:cNvSpPr>
          <a:spLocks noChangeShapeType="1"/>
        </xdr:cNvSpPr>
      </xdr:nvSpPr>
      <xdr:spPr bwMode="auto">
        <a:xfrm flipV="1">
          <a:off x="5886450" y="3905250"/>
          <a:ext cx="3048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48</xdr:col>
      <xdr:colOff>57150</xdr:colOff>
      <xdr:row>23</xdr:row>
      <xdr:rowOff>66675</xdr:rowOff>
    </xdr:from>
    <xdr:to>
      <xdr:col>52</xdr:col>
      <xdr:colOff>28575</xdr:colOff>
      <xdr:row>23</xdr:row>
      <xdr:rowOff>66675</xdr:rowOff>
    </xdr:to>
    <xdr:sp macro="" textlink="">
      <xdr:nvSpPr>
        <xdr:cNvPr id="4520" name="Line 186"/>
        <xdr:cNvSpPr>
          <a:spLocks noChangeShapeType="1"/>
        </xdr:cNvSpPr>
      </xdr:nvSpPr>
      <xdr:spPr bwMode="auto">
        <a:xfrm flipV="1">
          <a:off x="5905500" y="4086225"/>
          <a:ext cx="28575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48</xdr:col>
      <xdr:colOff>38100</xdr:colOff>
      <xdr:row>24</xdr:row>
      <xdr:rowOff>104775</xdr:rowOff>
    </xdr:from>
    <xdr:to>
      <xdr:col>52</xdr:col>
      <xdr:colOff>19050</xdr:colOff>
      <xdr:row>24</xdr:row>
      <xdr:rowOff>104775</xdr:rowOff>
    </xdr:to>
    <xdr:sp macro="" textlink="">
      <xdr:nvSpPr>
        <xdr:cNvPr id="4521" name="Line 187"/>
        <xdr:cNvSpPr>
          <a:spLocks noChangeShapeType="1"/>
        </xdr:cNvSpPr>
      </xdr:nvSpPr>
      <xdr:spPr bwMode="auto">
        <a:xfrm flipV="1">
          <a:off x="5886450" y="4305300"/>
          <a:ext cx="2952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48</xdr:col>
      <xdr:colOff>47625</xdr:colOff>
      <xdr:row>25</xdr:row>
      <xdr:rowOff>142875</xdr:rowOff>
    </xdr:from>
    <xdr:to>
      <xdr:col>52</xdr:col>
      <xdr:colOff>19050</xdr:colOff>
      <xdr:row>25</xdr:row>
      <xdr:rowOff>142875</xdr:rowOff>
    </xdr:to>
    <xdr:sp macro="" textlink="">
      <xdr:nvSpPr>
        <xdr:cNvPr id="4522" name="Line 188"/>
        <xdr:cNvSpPr>
          <a:spLocks noChangeShapeType="1"/>
        </xdr:cNvSpPr>
      </xdr:nvSpPr>
      <xdr:spPr bwMode="auto">
        <a:xfrm flipV="1">
          <a:off x="5895975" y="4524375"/>
          <a:ext cx="28575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44</xdr:col>
      <xdr:colOff>9525</xdr:colOff>
      <xdr:row>25</xdr:row>
      <xdr:rowOff>142875</xdr:rowOff>
    </xdr:from>
    <xdr:to>
      <xdr:col>44</xdr:col>
      <xdr:colOff>114300</xdr:colOff>
      <xdr:row>25</xdr:row>
      <xdr:rowOff>142875</xdr:rowOff>
    </xdr:to>
    <xdr:sp macro="" textlink="">
      <xdr:nvSpPr>
        <xdr:cNvPr id="4523" name="Line 189"/>
        <xdr:cNvSpPr>
          <a:spLocks noChangeShapeType="1"/>
        </xdr:cNvSpPr>
      </xdr:nvSpPr>
      <xdr:spPr bwMode="auto">
        <a:xfrm>
          <a:off x="5353050" y="4524375"/>
          <a:ext cx="1047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51</xdr:col>
      <xdr:colOff>19050</xdr:colOff>
      <xdr:row>22</xdr:row>
      <xdr:rowOff>57150</xdr:rowOff>
    </xdr:from>
    <xdr:to>
      <xdr:col>51</xdr:col>
      <xdr:colOff>19050</xdr:colOff>
      <xdr:row>23</xdr:row>
      <xdr:rowOff>66675</xdr:rowOff>
    </xdr:to>
    <xdr:sp macro="" textlink="">
      <xdr:nvSpPr>
        <xdr:cNvPr id="4524" name="Line 190"/>
        <xdr:cNvSpPr>
          <a:spLocks noChangeShapeType="1"/>
        </xdr:cNvSpPr>
      </xdr:nvSpPr>
      <xdr:spPr bwMode="auto">
        <a:xfrm>
          <a:off x="6153150" y="3895725"/>
          <a:ext cx="0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 type="stealth" w="sm" len="med"/>
          <a:tailEnd type="stealth" w="sm" len="med"/>
        </a:ln>
      </xdr:spPr>
    </xdr:sp>
    <xdr:clientData/>
  </xdr:twoCellAnchor>
  <xdr:twoCellAnchor>
    <xdr:from>
      <xdr:col>51</xdr:col>
      <xdr:colOff>19050</xdr:colOff>
      <xdr:row>23</xdr:row>
      <xdr:rowOff>76200</xdr:rowOff>
    </xdr:from>
    <xdr:to>
      <xdr:col>51</xdr:col>
      <xdr:colOff>19050</xdr:colOff>
      <xdr:row>24</xdr:row>
      <xdr:rowOff>104775</xdr:rowOff>
    </xdr:to>
    <xdr:sp macro="" textlink="">
      <xdr:nvSpPr>
        <xdr:cNvPr id="4525" name="Line 191"/>
        <xdr:cNvSpPr>
          <a:spLocks noChangeShapeType="1"/>
        </xdr:cNvSpPr>
      </xdr:nvSpPr>
      <xdr:spPr bwMode="auto">
        <a:xfrm>
          <a:off x="6153150" y="4095750"/>
          <a:ext cx="0" cy="209550"/>
        </a:xfrm>
        <a:prstGeom prst="line">
          <a:avLst/>
        </a:prstGeom>
        <a:noFill/>
        <a:ln w="9525">
          <a:solidFill>
            <a:srgbClr val="000000"/>
          </a:solidFill>
          <a:round/>
          <a:headEnd type="stealth" w="sm" len="med"/>
          <a:tailEnd type="stealth" w="sm" len="med"/>
        </a:ln>
      </xdr:spPr>
    </xdr:sp>
    <xdr:clientData/>
  </xdr:twoCellAnchor>
  <xdr:twoCellAnchor>
    <xdr:from>
      <xdr:col>51</xdr:col>
      <xdr:colOff>19050</xdr:colOff>
      <xdr:row>24</xdr:row>
      <xdr:rowOff>114300</xdr:rowOff>
    </xdr:from>
    <xdr:to>
      <xdr:col>51</xdr:col>
      <xdr:colOff>19050</xdr:colOff>
      <xdr:row>25</xdr:row>
      <xdr:rowOff>142875</xdr:rowOff>
    </xdr:to>
    <xdr:sp macro="" textlink="">
      <xdr:nvSpPr>
        <xdr:cNvPr id="4526" name="Line 192"/>
        <xdr:cNvSpPr>
          <a:spLocks noChangeShapeType="1"/>
        </xdr:cNvSpPr>
      </xdr:nvSpPr>
      <xdr:spPr bwMode="auto">
        <a:xfrm>
          <a:off x="6153150" y="4314825"/>
          <a:ext cx="0" cy="209550"/>
        </a:xfrm>
        <a:prstGeom prst="line">
          <a:avLst/>
        </a:prstGeom>
        <a:noFill/>
        <a:ln w="9525">
          <a:solidFill>
            <a:srgbClr val="000000"/>
          </a:solidFill>
          <a:round/>
          <a:headEnd type="stealth" w="sm" len="med"/>
          <a:tailEnd type="stealth" w="sm" len="med"/>
        </a:ln>
      </xdr:spPr>
    </xdr:sp>
    <xdr:clientData/>
  </xdr:twoCellAnchor>
  <xdr:oneCellAnchor>
    <xdr:from>
      <xdr:col>50</xdr:col>
      <xdr:colOff>0</xdr:colOff>
      <xdr:row>24</xdr:row>
      <xdr:rowOff>161925</xdr:rowOff>
    </xdr:from>
    <xdr:ext cx="151132" cy="106439"/>
    <xdr:sp macro="" textlink="">
      <xdr:nvSpPr>
        <xdr:cNvPr id="4289" name="Text Box 193"/>
        <xdr:cNvSpPr txBox="1">
          <a:spLocks noChangeArrowheads="1"/>
        </xdr:cNvSpPr>
      </xdr:nvSpPr>
      <xdr:spPr bwMode="auto">
        <a:xfrm>
          <a:off x="5981700" y="4362450"/>
          <a:ext cx="151132" cy="10643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="vert270" wrap="none" lIns="18288" tIns="22860" rIns="0" bIns="0" anchor="t" upright="1">
          <a:spAutoFit/>
        </a:bodyPr>
        <a:lstStyle/>
        <a:p>
          <a:pPr algn="r" rtl="0">
            <a:defRPr sz="1000"/>
          </a:pPr>
          <a:r>
            <a:rPr lang="en-US" sz="900" b="0" i="0" u="none" strike="noStrike" baseline="0">
              <a:solidFill>
                <a:srgbClr val="000000"/>
              </a:solidFill>
              <a:latin typeface="Arial"/>
              <a:cs typeface="Arial"/>
            </a:rPr>
            <a:t>D</a:t>
          </a:r>
        </a:p>
      </xdr:txBody>
    </xdr:sp>
    <xdr:clientData/>
  </xdr:oneCellAnchor>
  <xdr:oneCellAnchor>
    <xdr:from>
      <xdr:col>50</xdr:col>
      <xdr:colOff>0</xdr:colOff>
      <xdr:row>23</xdr:row>
      <xdr:rowOff>114300</xdr:rowOff>
    </xdr:from>
    <xdr:ext cx="151132" cy="106439"/>
    <xdr:sp macro="" textlink="">
      <xdr:nvSpPr>
        <xdr:cNvPr id="4290" name="Text Box 194"/>
        <xdr:cNvSpPr txBox="1">
          <a:spLocks noChangeArrowheads="1"/>
        </xdr:cNvSpPr>
      </xdr:nvSpPr>
      <xdr:spPr bwMode="auto">
        <a:xfrm>
          <a:off x="5981700" y="4133850"/>
          <a:ext cx="151132" cy="10643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="vert270" wrap="none" lIns="18288" tIns="22860" rIns="0" bIns="0" anchor="t" upright="1">
          <a:spAutoFit/>
        </a:bodyPr>
        <a:lstStyle/>
        <a:p>
          <a:pPr algn="r" rtl="0">
            <a:defRPr sz="1000"/>
          </a:pPr>
          <a:r>
            <a:rPr lang="en-US" sz="900" b="0" i="0" u="none" strike="noStrike" baseline="0">
              <a:solidFill>
                <a:srgbClr val="000000"/>
              </a:solidFill>
              <a:latin typeface="Arial"/>
              <a:cs typeface="Arial"/>
            </a:rPr>
            <a:t>D</a:t>
          </a:r>
        </a:p>
      </xdr:txBody>
    </xdr:sp>
    <xdr:clientData/>
  </xdr:oneCellAnchor>
  <xdr:oneCellAnchor>
    <xdr:from>
      <xdr:col>50</xdr:col>
      <xdr:colOff>0</xdr:colOff>
      <xdr:row>22</xdr:row>
      <xdr:rowOff>104775</xdr:rowOff>
    </xdr:from>
    <xdr:ext cx="151132" cy="106439"/>
    <xdr:sp macro="" textlink="">
      <xdr:nvSpPr>
        <xdr:cNvPr id="4291" name="Text Box 195"/>
        <xdr:cNvSpPr txBox="1">
          <a:spLocks noChangeArrowheads="1"/>
        </xdr:cNvSpPr>
      </xdr:nvSpPr>
      <xdr:spPr bwMode="auto">
        <a:xfrm>
          <a:off x="5981700" y="3943350"/>
          <a:ext cx="151132" cy="10643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="vert270" wrap="none" lIns="18288" tIns="22860" rIns="0" bIns="0" anchor="t" upright="1">
          <a:spAutoFit/>
        </a:bodyPr>
        <a:lstStyle/>
        <a:p>
          <a:pPr algn="r" rtl="0">
            <a:defRPr sz="1000"/>
          </a:pPr>
          <a:r>
            <a:rPr lang="en-US" sz="900" b="0" i="0" u="none" strike="noStrike" baseline="0">
              <a:solidFill>
                <a:srgbClr val="000000"/>
              </a:solidFill>
              <a:latin typeface="Arial"/>
              <a:cs typeface="Arial"/>
            </a:rPr>
            <a:t>D</a:t>
          </a:r>
        </a:p>
      </xdr:txBody>
    </xdr:sp>
    <xdr:clientData/>
  </xdr:oneCellAnchor>
  <xdr:oneCellAnchor>
    <xdr:from>
      <xdr:col>37</xdr:col>
      <xdr:colOff>85725</xdr:colOff>
      <xdr:row>18</xdr:row>
      <xdr:rowOff>9525</xdr:rowOff>
    </xdr:from>
    <xdr:ext cx="441916" cy="155748"/>
    <xdr:sp macro="" textlink="">
      <xdr:nvSpPr>
        <xdr:cNvPr id="4292" name="Text Box 196"/>
        <xdr:cNvSpPr txBox="1">
          <a:spLocks noChangeArrowheads="1"/>
        </xdr:cNvSpPr>
      </xdr:nvSpPr>
      <xdr:spPr bwMode="auto">
        <a:xfrm>
          <a:off x="4476750" y="3019425"/>
          <a:ext cx="441916" cy="155748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US" sz="900" b="0" i="0" u="none" strike="noStrike" baseline="0">
              <a:solidFill>
                <a:srgbClr val="000000"/>
              </a:solidFill>
              <a:latin typeface="Arial"/>
              <a:cs typeface="Arial"/>
            </a:rPr>
            <a:t>Variable</a:t>
          </a:r>
        </a:p>
      </xdr:txBody>
    </xdr:sp>
    <xdr:clientData/>
  </xdr:oneCellAnchor>
  <xdr:twoCellAnchor>
    <xdr:from>
      <xdr:col>41</xdr:col>
      <xdr:colOff>57150</xdr:colOff>
      <xdr:row>18</xdr:row>
      <xdr:rowOff>95250</xdr:rowOff>
    </xdr:from>
    <xdr:to>
      <xdr:col>45</xdr:col>
      <xdr:colOff>0</xdr:colOff>
      <xdr:row>18</xdr:row>
      <xdr:rowOff>266700</xdr:rowOff>
    </xdr:to>
    <xdr:sp macro="" textlink="">
      <xdr:nvSpPr>
        <xdr:cNvPr id="4531" name="Freeform 197"/>
        <xdr:cNvSpPr>
          <a:spLocks/>
        </xdr:cNvSpPr>
      </xdr:nvSpPr>
      <xdr:spPr bwMode="auto">
        <a:xfrm>
          <a:off x="4972050" y="3105150"/>
          <a:ext cx="514350" cy="171450"/>
        </a:xfrm>
        <a:custGeom>
          <a:avLst/>
          <a:gdLst>
            <a:gd name="T0" fmla="*/ 0 w 54"/>
            <a:gd name="T1" fmla="*/ 0 h 18"/>
            <a:gd name="T2" fmla="*/ 14 w 54"/>
            <a:gd name="T3" fmla="*/ 1 h 18"/>
            <a:gd name="T4" fmla="*/ 27 w 54"/>
            <a:gd name="T5" fmla="*/ 3 h 18"/>
            <a:gd name="T6" fmla="*/ 39 w 54"/>
            <a:gd name="T7" fmla="*/ 7 h 18"/>
            <a:gd name="T8" fmla="*/ 48 w 54"/>
            <a:gd name="T9" fmla="*/ 12 h 18"/>
            <a:gd name="T10" fmla="*/ 54 w 54"/>
            <a:gd name="T11" fmla="*/ 18 h 18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54"/>
            <a:gd name="T19" fmla="*/ 0 h 18"/>
            <a:gd name="T20" fmla="*/ 54 w 54"/>
            <a:gd name="T21" fmla="*/ 18 h 18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54" h="18">
              <a:moveTo>
                <a:pt x="0" y="0"/>
              </a:moveTo>
              <a:lnTo>
                <a:pt x="14" y="1"/>
              </a:lnTo>
              <a:lnTo>
                <a:pt x="27" y="3"/>
              </a:lnTo>
              <a:lnTo>
                <a:pt x="39" y="7"/>
              </a:lnTo>
              <a:lnTo>
                <a:pt x="48" y="12"/>
              </a:lnTo>
              <a:lnTo>
                <a:pt x="54" y="18"/>
              </a:lnTo>
            </a:path>
          </a:pathLst>
        </a:custGeom>
        <a:noFill/>
        <a:ln w="9525">
          <a:solidFill>
            <a:srgbClr val="000000"/>
          </a:solidFill>
          <a:round/>
          <a:headEnd type="none" w="med" len="med"/>
          <a:tailEnd type="none" w="med" len="med"/>
        </a:ln>
      </xdr:spPr>
    </xdr:sp>
    <xdr:clientData/>
  </xdr:twoCellAnchor>
  <xdr:twoCellAnchor>
    <xdr:from>
      <xdr:col>41</xdr:col>
      <xdr:colOff>47625</xdr:colOff>
      <xdr:row>18</xdr:row>
      <xdr:rowOff>95250</xdr:rowOff>
    </xdr:from>
    <xdr:to>
      <xdr:col>41</xdr:col>
      <xdr:colOff>104775</xdr:colOff>
      <xdr:row>18</xdr:row>
      <xdr:rowOff>276225</xdr:rowOff>
    </xdr:to>
    <xdr:sp macro="" textlink="">
      <xdr:nvSpPr>
        <xdr:cNvPr id="4532" name="Freeform 198"/>
        <xdr:cNvSpPr>
          <a:spLocks/>
        </xdr:cNvSpPr>
      </xdr:nvSpPr>
      <xdr:spPr bwMode="auto">
        <a:xfrm>
          <a:off x="4962525" y="3105150"/>
          <a:ext cx="57150" cy="180975"/>
        </a:xfrm>
        <a:custGeom>
          <a:avLst/>
          <a:gdLst>
            <a:gd name="T0" fmla="*/ 2 w 6"/>
            <a:gd name="T1" fmla="*/ 0 h 19"/>
            <a:gd name="T2" fmla="*/ 4 w 6"/>
            <a:gd name="T3" fmla="*/ 3 h 19"/>
            <a:gd name="T4" fmla="*/ 6 w 6"/>
            <a:gd name="T5" fmla="*/ 7 h 19"/>
            <a:gd name="T6" fmla="*/ 5 w 6"/>
            <a:gd name="T7" fmla="*/ 12 h 19"/>
            <a:gd name="T8" fmla="*/ 0 w 6"/>
            <a:gd name="T9" fmla="*/ 19 h 19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6"/>
            <a:gd name="T16" fmla="*/ 0 h 19"/>
            <a:gd name="T17" fmla="*/ 6 w 6"/>
            <a:gd name="T18" fmla="*/ 19 h 19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6" h="19">
              <a:moveTo>
                <a:pt x="2" y="0"/>
              </a:moveTo>
              <a:lnTo>
                <a:pt x="4" y="3"/>
              </a:lnTo>
              <a:lnTo>
                <a:pt x="6" y="7"/>
              </a:lnTo>
              <a:lnTo>
                <a:pt x="5" y="12"/>
              </a:lnTo>
              <a:lnTo>
                <a:pt x="0" y="19"/>
              </a:lnTo>
            </a:path>
          </a:pathLst>
        </a:custGeom>
        <a:noFill/>
        <a:ln w="9525">
          <a:solidFill>
            <a:srgbClr val="000000"/>
          </a:solidFill>
          <a:round/>
          <a:headEnd type="none" w="med" len="med"/>
          <a:tailEnd type="none" w="med" len="med"/>
        </a:ln>
      </xdr:spPr>
    </xdr:sp>
    <xdr:clientData/>
  </xdr:twoCellAnchor>
  <xdr:oneCellAnchor>
    <xdr:from>
      <xdr:col>35</xdr:col>
      <xdr:colOff>123825</xdr:colOff>
      <xdr:row>28</xdr:row>
      <xdr:rowOff>66675</xdr:rowOff>
    </xdr:from>
    <xdr:ext cx="1634999" cy="204736"/>
    <xdr:sp macro="" textlink="">
      <xdr:nvSpPr>
        <xdr:cNvPr id="4295" name="Text Box 199"/>
        <xdr:cNvSpPr txBox="1">
          <a:spLocks noChangeArrowheads="1"/>
        </xdr:cNvSpPr>
      </xdr:nvSpPr>
      <xdr:spPr bwMode="auto">
        <a:xfrm>
          <a:off x="4286250" y="4972050"/>
          <a:ext cx="1634999" cy="20473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27432" rIns="0" bIns="0" anchor="t" upright="1">
          <a:spAutoFit/>
        </a:bodyPr>
        <a:lstStyle/>
        <a:p>
          <a:pPr algn="l" rtl="0">
            <a:defRPr sz="1000"/>
          </a:pPr>
          <a:r>
            <a:rPr lang="en-US" sz="1200" b="1" i="0" u="sng" strike="noStrike" baseline="0">
              <a:solidFill>
                <a:srgbClr val="000000"/>
              </a:solidFill>
              <a:latin typeface="Arial"/>
              <a:cs typeface="Arial"/>
            </a:rPr>
            <a:t>PLAN VIEW DETAIL A</a:t>
          </a:r>
        </a:p>
      </xdr:txBody>
    </xdr:sp>
    <xdr:clientData/>
  </xdr:oneCellAnchor>
  <xdr:oneCellAnchor>
    <xdr:from>
      <xdr:col>4</xdr:col>
      <xdr:colOff>47625</xdr:colOff>
      <xdr:row>26</xdr:row>
      <xdr:rowOff>142875</xdr:rowOff>
    </xdr:from>
    <xdr:ext cx="2756909" cy="381771"/>
    <xdr:sp macro="" textlink="">
      <xdr:nvSpPr>
        <xdr:cNvPr id="4296" name="Text Box 200"/>
        <xdr:cNvSpPr txBox="1">
          <a:spLocks noChangeArrowheads="1"/>
        </xdr:cNvSpPr>
      </xdr:nvSpPr>
      <xdr:spPr bwMode="auto">
        <a:xfrm>
          <a:off x="523875" y="4705350"/>
          <a:ext cx="2756909" cy="3817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27432" rIns="27432" bIns="0" anchor="t" upright="1">
          <a:spAutoFit/>
        </a:bodyPr>
        <a:lstStyle/>
        <a:p>
          <a:pPr algn="ctr" rtl="0">
            <a:defRPr sz="1000"/>
          </a:pPr>
          <a:r>
            <a:rPr lang="en-US" sz="1200" b="1" i="0" u="sng" strike="noStrike" baseline="0">
              <a:solidFill>
                <a:srgbClr val="000000"/>
              </a:solidFill>
              <a:latin typeface="Arial"/>
              <a:cs typeface="Arial"/>
            </a:rPr>
            <a:t>TYPICAL EXCAVATION AND </a:t>
          </a:r>
        </a:p>
        <a:p>
          <a:pPr algn="ctr" rtl="0">
            <a:defRPr sz="1000"/>
          </a:pPr>
          <a:r>
            <a:rPr lang="en-US" sz="1200" b="1" i="0" u="sng" strike="noStrike" baseline="0">
              <a:solidFill>
                <a:srgbClr val="000000"/>
              </a:solidFill>
              <a:latin typeface="Arial"/>
              <a:cs typeface="Arial"/>
            </a:rPr>
            <a:t>BACKFILL FOR PIPE INSTALLATION</a:t>
          </a:r>
        </a:p>
      </xdr:txBody>
    </xdr:sp>
    <xdr:clientData/>
  </xdr:oneCellAnchor>
  <xdr:oneCellAnchor>
    <xdr:from>
      <xdr:col>7</xdr:col>
      <xdr:colOff>104775</xdr:colOff>
      <xdr:row>32</xdr:row>
      <xdr:rowOff>47625</xdr:rowOff>
    </xdr:from>
    <xdr:ext cx="324833" cy="170560"/>
    <xdr:sp macro="" textlink="">
      <xdr:nvSpPr>
        <xdr:cNvPr id="4298" name="Text Box 202"/>
        <xdr:cNvSpPr txBox="1">
          <a:spLocks noChangeArrowheads="1"/>
        </xdr:cNvSpPr>
      </xdr:nvSpPr>
      <xdr:spPr bwMode="auto">
        <a:xfrm>
          <a:off x="952500" y="5562600"/>
          <a:ext cx="324833" cy="1705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US" sz="1000" b="0" i="0" u="sng" strike="noStrike" baseline="0">
              <a:solidFill>
                <a:srgbClr val="000000"/>
              </a:solidFill>
              <a:latin typeface="Arial"/>
              <a:cs typeface="Arial"/>
            </a:rPr>
            <a:t>ITEM</a:t>
          </a:r>
        </a:p>
      </xdr:txBody>
    </xdr:sp>
    <xdr:clientData/>
  </xdr:oneCellAnchor>
  <xdr:oneCellAnchor>
    <xdr:from>
      <xdr:col>19</xdr:col>
      <xdr:colOff>76200</xdr:colOff>
      <xdr:row>32</xdr:row>
      <xdr:rowOff>66675</xdr:rowOff>
    </xdr:from>
    <xdr:ext cx="666849" cy="170560"/>
    <xdr:sp macro="" textlink="">
      <xdr:nvSpPr>
        <xdr:cNvPr id="4299" name="Text Box 203"/>
        <xdr:cNvSpPr txBox="1">
          <a:spLocks noChangeArrowheads="1"/>
        </xdr:cNvSpPr>
      </xdr:nvSpPr>
      <xdr:spPr bwMode="auto">
        <a:xfrm>
          <a:off x="2257425" y="5581650"/>
          <a:ext cx="666849" cy="1705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US" sz="1000" b="0" i="0" u="sng" strike="noStrike" baseline="0">
              <a:solidFill>
                <a:srgbClr val="000000"/>
              </a:solidFill>
              <a:latin typeface="Arial"/>
              <a:cs typeface="Arial"/>
            </a:rPr>
            <a:t>QUANTITY</a:t>
          </a:r>
        </a:p>
      </xdr:txBody>
    </xdr:sp>
    <xdr:clientData/>
  </xdr:oneCellAnchor>
  <xdr:twoCellAnchor>
    <xdr:from>
      <xdr:col>13</xdr:col>
      <xdr:colOff>76200</xdr:colOff>
      <xdr:row>36</xdr:row>
      <xdr:rowOff>0</xdr:rowOff>
    </xdr:from>
    <xdr:to>
      <xdr:col>15</xdr:col>
      <xdr:colOff>76200</xdr:colOff>
      <xdr:row>37</xdr:row>
      <xdr:rowOff>28575</xdr:rowOff>
    </xdr:to>
    <xdr:sp macro="" textlink="">
      <xdr:nvSpPr>
        <xdr:cNvPr id="4300" name="Oval 204"/>
        <xdr:cNvSpPr>
          <a:spLocks noChangeArrowheads="1"/>
        </xdr:cNvSpPr>
      </xdr:nvSpPr>
      <xdr:spPr bwMode="auto">
        <a:xfrm>
          <a:off x="1628775" y="6153150"/>
          <a:ext cx="171450" cy="19050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900" b="0" i="0" u="none" strike="noStrike" baseline="0">
              <a:solidFill>
                <a:srgbClr val="000000"/>
              </a:solidFill>
              <a:latin typeface="Arial"/>
              <a:cs typeface="Arial"/>
            </a:rPr>
            <a:t>B</a:t>
          </a:r>
        </a:p>
      </xdr:txBody>
    </xdr:sp>
    <xdr:clientData/>
  </xdr:twoCellAnchor>
  <xdr:twoCellAnchor>
    <xdr:from>
      <xdr:col>18</xdr:col>
      <xdr:colOff>47625</xdr:colOff>
      <xdr:row>38</xdr:row>
      <xdr:rowOff>152400</xdr:rowOff>
    </xdr:from>
    <xdr:to>
      <xdr:col>19</xdr:col>
      <xdr:colOff>95250</xdr:colOff>
      <xdr:row>40</xdr:row>
      <xdr:rowOff>9525</xdr:rowOff>
    </xdr:to>
    <xdr:sp macro="" textlink="">
      <xdr:nvSpPr>
        <xdr:cNvPr id="4538" name="Oval 206"/>
        <xdr:cNvSpPr>
          <a:spLocks noChangeArrowheads="1"/>
        </xdr:cNvSpPr>
      </xdr:nvSpPr>
      <xdr:spPr bwMode="auto">
        <a:xfrm>
          <a:off x="2105025" y="6629400"/>
          <a:ext cx="171450" cy="19050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14</xdr:col>
      <xdr:colOff>0</xdr:colOff>
      <xdr:row>37</xdr:row>
      <xdr:rowOff>152400</xdr:rowOff>
    </xdr:from>
    <xdr:to>
      <xdr:col>16</xdr:col>
      <xdr:colOff>0</xdr:colOff>
      <xdr:row>39</xdr:row>
      <xdr:rowOff>19050</xdr:rowOff>
    </xdr:to>
    <xdr:sp macro="" textlink="">
      <xdr:nvSpPr>
        <xdr:cNvPr id="4303" name="Oval 207"/>
        <xdr:cNvSpPr>
          <a:spLocks noChangeArrowheads="1"/>
        </xdr:cNvSpPr>
      </xdr:nvSpPr>
      <xdr:spPr bwMode="auto">
        <a:xfrm>
          <a:off x="1638300" y="6467475"/>
          <a:ext cx="171450" cy="19050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900" b="0" i="0" u="none" strike="noStrike" baseline="0">
              <a:solidFill>
                <a:srgbClr val="000000"/>
              </a:solidFill>
              <a:latin typeface="Arial"/>
              <a:cs typeface="Arial"/>
            </a:rPr>
            <a:t>A</a:t>
          </a:r>
        </a:p>
      </xdr:txBody>
    </xdr:sp>
    <xdr:clientData/>
  </xdr:twoCellAnchor>
  <xdr:oneCellAnchor>
    <xdr:from>
      <xdr:col>35</xdr:col>
      <xdr:colOff>38100</xdr:colOff>
      <xdr:row>31</xdr:row>
      <xdr:rowOff>66675</xdr:rowOff>
    </xdr:from>
    <xdr:ext cx="1921039" cy="170560"/>
    <xdr:sp macro="" textlink="">
      <xdr:nvSpPr>
        <xdr:cNvPr id="4304" name="Text Box 208"/>
        <xdr:cNvSpPr txBox="1">
          <a:spLocks noChangeArrowheads="1"/>
        </xdr:cNvSpPr>
      </xdr:nvSpPr>
      <xdr:spPr bwMode="auto">
        <a:xfrm>
          <a:off x="4200525" y="5438775"/>
          <a:ext cx="1921039" cy="1705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US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SOIL INVESTIGATION REPORT</a:t>
          </a:r>
        </a:p>
      </xdr:txBody>
    </xdr:sp>
    <xdr:clientData/>
  </xdr:oneCellAnchor>
  <xdr:oneCellAnchor>
    <xdr:from>
      <xdr:col>16</xdr:col>
      <xdr:colOff>9525</xdr:colOff>
      <xdr:row>6</xdr:row>
      <xdr:rowOff>38100</xdr:rowOff>
    </xdr:from>
    <xdr:ext cx="82651" cy="155748"/>
    <xdr:sp macro="" textlink="">
      <xdr:nvSpPr>
        <xdr:cNvPr id="4305" name="Text Box 209"/>
        <xdr:cNvSpPr txBox="1">
          <a:spLocks noChangeArrowheads="1"/>
        </xdr:cNvSpPr>
      </xdr:nvSpPr>
      <xdr:spPr bwMode="auto">
        <a:xfrm>
          <a:off x="1819275" y="866775"/>
          <a:ext cx="82651" cy="155748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US" sz="900" b="0" i="0" u="none" strike="noStrike" baseline="0">
              <a:solidFill>
                <a:srgbClr val="000000"/>
              </a:solidFill>
              <a:latin typeface="Arial"/>
              <a:cs typeface="Arial"/>
            </a:rPr>
            <a:t>1</a:t>
          </a:r>
        </a:p>
      </xdr:txBody>
    </xdr:sp>
    <xdr:clientData/>
  </xdr:oneCellAnchor>
  <xdr:oneCellAnchor>
    <xdr:from>
      <xdr:col>34</xdr:col>
      <xdr:colOff>38100</xdr:colOff>
      <xdr:row>6</xdr:row>
      <xdr:rowOff>38100</xdr:rowOff>
    </xdr:from>
    <xdr:ext cx="82651" cy="155748"/>
    <xdr:sp macro="" textlink="">
      <xdr:nvSpPr>
        <xdr:cNvPr id="4306" name="Text Box 210"/>
        <xdr:cNvSpPr txBox="1">
          <a:spLocks noChangeArrowheads="1"/>
        </xdr:cNvSpPr>
      </xdr:nvSpPr>
      <xdr:spPr bwMode="auto">
        <a:xfrm>
          <a:off x="4076700" y="866775"/>
          <a:ext cx="82651" cy="155748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US" sz="900" b="0" i="0" u="none" strike="noStrike" baseline="0">
              <a:solidFill>
                <a:srgbClr val="000000"/>
              </a:solidFill>
              <a:latin typeface="Arial"/>
              <a:cs typeface="Arial"/>
            </a:rPr>
            <a:t>1</a:t>
          </a:r>
        </a:p>
      </xdr:txBody>
    </xdr:sp>
    <xdr:clientData/>
  </xdr:oneCellAnchor>
  <xdr:oneCellAnchor>
    <xdr:from>
      <xdr:col>18</xdr:col>
      <xdr:colOff>66675</xdr:colOff>
      <xdr:row>39</xdr:row>
      <xdr:rowOff>9525</xdr:rowOff>
    </xdr:from>
    <xdr:ext cx="108235" cy="155748"/>
    <xdr:sp macro="" textlink="">
      <xdr:nvSpPr>
        <xdr:cNvPr id="4307" name="Text Box 211"/>
        <xdr:cNvSpPr txBox="1">
          <a:spLocks noChangeArrowheads="1"/>
        </xdr:cNvSpPr>
      </xdr:nvSpPr>
      <xdr:spPr bwMode="auto">
        <a:xfrm>
          <a:off x="2124075" y="6648450"/>
          <a:ext cx="108235" cy="155748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US" sz="900" b="0" i="0" u="none" strike="noStrike" baseline="0">
              <a:solidFill>
                <a:srgbClr val="000000"/>
              </a:solidFill>
              <a:latin typeface="Arial"/>
              <a:cs typeface="Arial"/>
            </a:rPr>
            <a:t>G</a:t>
          </a:r>
        </a:p>
      </xdr:txBody>
    </xdr:sp>
    <xdr:clientData/>
  </xdr:oneCellAnchor>
  <xdr:oneCellAnchor>
    <xdr:from>
      <xdr:col>4</xdr:col>
      <xdr:colOff>114300</xdr:colOff>
      <xdr:row>16</xdr:row>
      <xdr:rowOff>85725</xdr:rowOff>
    </xdr:from>
    <xdr:ext cx="537455" cy="121700"/>
    <xdr:sp macro="" textlink="">
      <xdr:nvSpPr>
        <xdr:cNvPr id="4308" name="Text Box 212"/>
        <xdr:cNvSpPr txBox="1">
          <a:spLocks noChangeArrowheads="1"/>
        </xdr:cNvSpPr>
      </xdr:nvSpPr>
      <xdr:spPr bwMode="auto">
        <a:xfrm>
          <a:off x="590550" y="2705100"/>
          <a:ext cx="537455" cy="1217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en-US" sz="700" b="0" i="0" u="none" strike="noStrike" baseline="0">
              <a:solidFill>
                <a:srgbClr val="000000"/>
              </a:solidFill>
              <a:latin typeface="Arial"/>
              <a:cs typeface="Arial"/>
            </a:rPr>
            <a:t>Not To Scale</a:t>
          </a:r>
        </a:p>
      </xdr:txBody>
    </xdr:sp>
    <xdr:clientData/>
  </xdr:oneCellAnchor>
  <xdr:twoCellAnchor>
    <xdr:from>
      <xdr:col>9</xdr:col>
      <xdr:colOff>85725</xdr:colOff>
      <xdr:row>7</xdr:row>
      <xdr:rowOff>161925</xdr:rowOff>
    </xdr:from>
    <xdr:to>
      <xdr:col>10</xdr:col>
      <xdr:colOff>38100</xdr:colOff>
      <xdr:row>8</xdr:row>
      <xdr:rowOff>57150</xdr:rowOff>
    </xdr:to>
    <xdr:sp macro="" textlink="">
      <xdr:nvSpPr>
        <xdr:cNvPr id="4545" name="Oval 213"/>
        <xdr:cNvSpPr>
          <a:spLocks noChangeArrowheads="1"/>
        </xdr:cNvSpPr>
      </xdr:nvSpPr>
      <xdr:spPr bwMode="auto">
        <a:xfrm>
          <a:off x="1181100" y="1171575"/>
          <a:ext cx="76200" cy="7620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14</xdr:col>
      <xdr:colOff>38100</xdr:colOff>
      <xdr:row>7</xdr:row>
      <xdr:rowOff>161925</xdr:rowOff>
    </xdr:from>
    <xdr:to>
      <xdr:col>15</xdr:col>
      <xdr:colOff>28575</xdr:colOff>
      <xdr:row>8</xdr:row>
      <xdr:rowOff>57150</xdr:rowOff>
    </xdr:to>
    <xdr:sp macro="" textlink="">
      <xdr:nvSpPr>
        <xdr:cNvPr id="4546" name="Oval 214"/>
        <xdr:cNvSpPr>
          <a:spLocks noChangeArrowheads="1"/>
        </xdr:cNvSpPr>
      </xdr:nvSpPr>
      <xdr:spPr bwMode="auto">
        <a:xfrm>
          <a:off x="1676400" y="1171575"/>
          <a:ext cx="76200" cy="7620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16</xdr:col>
      <xdr:colOff>0</xdr:colOff>
      <xdr:row>7</xdr:row>
      <xdr:rowOff>152400</xdr:rowOff>
    </xdr:from>
    <xdr:to>
      <xdr:col>16</xdr:col>
      <xdr:colOff>76200</xdr:colOff>
      <xdr:row>8</xdr:row>
      <xdr:rowOff>47625</xdr:rowOff>
    </xdr:to>
    <xdr:sp macro="" textlink="">
      <xdr:nvSpPr>
        <xdr:cNvPr id="4547" name="Oval 215"/>
        <xdr:cNvSpPr>
          <a:spLocks noChangeArrowheads="1"/>
        </xdr:cNvSpPr>
      </xdr:nvSpPr>
      <xdr:spPr bwMode="auto">
        <a:xfrm>
          <a:off x="1809750" y="1162050"/>
          <a:ext cx="76200" cy="7620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15</xdr:col>
      <xdr:colOff>9525</xdr:colOff>
      <xdr:row>8</xdr:row>
      <xdr:rowOff>47625</xdr:rowOff>
    </xdr:from>
    <xdr:to>
      <xdr:col>16</xdr:col>
      <xdr:colOff>0</xdr:colOff>
      <xdr:row>8</xdr:row>
      <xdr:rowOff>123825</xdr:rowOff>
    </xdr:to>
    <xdr:sp macro="" textlink="">
      <xdr:nvSpPr>
        <xdr:cNvPr id="4548" name="Oval 216"/>
        <xdr:cNvSpPr>
          <a:spLocks noChangeArrowheads="1"/>
        </xdr:cNvSpPr>
      </xdr:nvSpPr>
      <xdr:spPr bwMode="auto">
        <a:xfrm>
          <a:off x="1733550" y="1238250"/>
          <a:ext cx="76200" cy="7620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10</xdr:col>
      <xdr:colOff>95250</xdr:colOff>
      <xdr:row>7</xdr:row>
      <xdr:rowOff>161925</xdr:rowOff>
    </xdr:from>
    <xdr:to>
      <xdr:col>11</xdr:col>
      <xdr:colOff>47625</xdr:colOff>
      <xdr:row>8</xdr:row>
      <xdr:rowOff>57150</xdr:rowOff>
    </xdr:to>
    <xdr:sp macro="" textlink="">
      <xdr:nvSpPr>
        <xdr:cNvPr id="4549" name="Oval 217"/>
        <xdr:cNvSpPr>
          <a:spLocks noChangeArrowheads="1"/>
        </xdr:cNvSpPr>
      </xdr:nvSpPr>
      <xdr:spPr bwMode="auto">
        <a:xfrm>
          <a:off x="1314450" y="1171575"/>
          <a:ext cx="76200" cy="7620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10</xdr:col>
      <xdr:colOff>38100</xdr:colOff>
      <xdr:row>7</xdr:row>
      <xdr:rowOff>152400</xdr:rowOff>
    </xdr:from>
    <xdr:to>
      <xdr:col>10</xdr:col>
      <xdr:colOff>95250</xdr:colOff>
      <xdr:row>8</xdr:row>
      <xdr:rowOff>28575</xdr:rowOff>
    </xdr:to>
    <xdr:sp macro="" textlink="">
      <xdr:nvSpPr>
        <xdr:cNvPr id="4550" name="Oval 218"/>
        <xdr:cNvSpPr>
          <a:spLocks noChangeArrowheads="1"/>
        </xdr:cNvSpPr>
      </xdr:nvSpPr>
      <xdr:spPr bwMode="auto">
        <a:xfrm>
          <a:off x="1257300" y="1162050"/>
          <a:ext cx="57150" cy="5715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10</xdr:col>
      <xdr:colOff>28575</xdr:colOff>
      <xdr:row>8</xdr:row>
      <xdr:rowOff>38100</xdr:rowOff>
    </xdr:from>
    <xdr:to>
      <xdr:col>10</xdr:col>
      <xdr:colOff>104775</xdr:colOff>
      <xdr:row>8</xdr:row>
      <xdr:rowOff>114300</xdr:rowOff>
    </xdr:to>
    <xdr:sp macro="" textlink="">
      <xdr:nvSpPr>
        <xdr:cNvPr id="4551" name="Oval 220"/>
        <xdr:cNvSpPr>
          <a:spLocks noChangeArrowheads="1"/>
        </xdr:cNvSpPr>
      </xdr:nvSpPr>
      <xdr:spPr bwMode="auto">
        <a:xfrm>
          <a:off x="1247775" y="1228725"/>
          <a:ext cx="76200" cy="7620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76200</xdr:colOff>
      <xdr:row>8</xdr:row>
      <xdr:rowOff>104775</xdr:rowOff>
    </xdr:from>
    <xdr:to>
      <xdr:col>10</xdr:col>
      <xdr:colOff>28575</xdr:colOff>
      <xdr:row>9</xdr:row>
      <xdr:rowOff>0</xdr:rowOff>
    </xdr:to>
    <xdr:sp macro="" textlink="">
      <xdr:nvSpPr>
        <xdr:cNvPr id="4552" name="Oval 221"/>
        <xdr:cNvSpPr>
          <a:spLocks noChangeArrowheads="1"/>
        </xdr:cNvSpPr>
      </xdr:nvSpPr>
      <xdr:spPr bwMode="auto">
        <a:xfrm>
          <a:off x="1171575" y="1295400"/>
          <a:ext cx="76200" cy="7620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10</xdr:col>
      <xdr:colOff>114300</xdr:colOff>
      <xdr:row>8</xdr:row>
      <xdr:rowOff>57150</xdr:rowOff>
    </xdr:from>
    <xdr:to>
      <xdr:col>11</xdr:col>
      <xdr:colOff>47625</xdr:colOff>
      <xdr:row>8</xdr:row>
      <xdr:rowOff>114300</xdr:rowOff>
    </xdr:to>
    <xdr:sp macro="" textlink="">
      <xdr:nvSpPr>
        <xdr:cNvPr id="4553" name="Oval 222"/>
        <xdr:cNvSpPr>
          <a:spLocks noChangeArrowheads="1"/>
        </xdr:cNvSpPr>
      </xdr:nvSpPr>
      <xdr:spPr bwMode="auto">
        <a:xfrm>
          <a:off x="1333500" y="1247775"/>
          <a:ext cx="57150" cy="5715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85725</xdr:colOff>
      <xdr:row>8</xdr:row>
      <xdr:rowOff>47625</xdr:rowOff>
    </xdr:from>
    <xdr:to>
      <xdr:col>10</xdr:col>
      <xdr:colOff>19050</xdr:colOff>
      <xdr:row>8</xdr:row>
      <xdr:rowOff>104775</xdr:rowOff>
    </xdr:to>
    <xdr:sp macro="" textlink="">
      <xdr:nvSpPr>
        <xdr:cNvPr id="4554" name="Oval 223"/>
        <xdr:cNvSpPr>
          <a:spLocks noChangeArrowheads="1"/>
        </xdr:cNvSpPr>
      </xdr:nvSpPr>
      <xdr:spPr bwMode="auto">
        <a:xfrm>
          <a:off x="1181100" y="1238250"/>
          <a:ext cx="57150" cy="5715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14</xdr:col>
      <xdr:colOff>38100</xdr:colOff>
      <xdr:row>8</xdr:row>
      <xdr:rowOff>57150</xdr:rowOff>
    </xdr:from>
    <xdr:to>
      <xdr:col>15</xdr:col>
      <xdr:colOff>9525</xdr:colOff>
      <xdr:row>8</xdr:row>
      <xdr:rowOff>114300</xdr:rowOff>
    </xdr:to>
    <xdr:sp macro="" textlink="">
      <xdr:nvSpPr>
        <xdr:cNvPr id="4555" name="Oval 224"/>
        <xdr:cNvSpPr>
          <a:spLocks noChangeArrowheads="1"/>
        </xdr:cNvSpPr>
      </xdr:nvSpPr>
      <xdr:spPr bwMode="auto">
        <a:xfrm>
          <a:off x="1676400" y="1247775"/>
          <a:ext cx="57150" cy="5715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15</xdr:col>
      <xdr:colOff>28575</xdr:colOff>
      <xdr:row>7</xdr:row>
      <xdr:rowOff>161925</xdr:rowOff>
    </xdr:from>
    <xdr:to>
      <xdr:col>16</xdr:col>
      <xdr:colOff>0</xdr:colOff>
      <xdr:row>8</xdr:row>
      <xdr:rowOff>38100</xdr:rowOff>
    </xdr:to>
    <xdr:sp macro="" textlink="">
      <xdr:nvSpPr>
        <xdr:cNvPr id="4556" name="Oval 225"/>
        <xdr:cNvSpPr>
          <a:spLocks noChangeArrowheads="1"/>
        </xdr:cNvSpPr>
      </xdr:nvSpPr>
      <xdr:spPr bwMode="auto">
        <a:xfrm>
          <a:off x="1752600" y="1171575"/>
          <a:ext cx="57150" cy="5715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10</xdr:col>
      <xdr:colOff>85725</xdr:colOff>
      <xdr:row>8</xdr:row>
      <xdr:rowOff>114300</xdr:rowOff>
    </xdr:from>
    <xdr:to>
      <xdr:col>11</xdr:col>
      <xdr:colOff>38100</xdr:colOff>
      <xdr:row>9</xdr:row>
      <xdr:rowOff>0</xdr:rowOff>
    </xdr:to>
    <xdr:sp macro="" textlink="">
      <xdr:nvSpPr>
        <xdr:cNvPr id="4557" name="Oval 226"/>
        <xdr:cNvSpPr>
          <a:spLocks noChangeArrowheads="1"/>
        </xdr:cNvSpPr>
      </xdr:nvSpPr>
      <xdr:spPr bwMode="auto">
        <a:xfrm>
          <a:off x="1304925" y="1304925"/>
          <a:ext cx="76200" cy="66675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10</xdr:col>
      <xdr:colOff>28575</xdr:colOff>
      <xdr:row>8</xdr:row>
      <xdr:rowOff>114300</xdr:rowOff>
    </xdr:from>
    <xdr:to>
      <xdr:col>10</xdr:col>
      <xdr:colOff>85725</xdr:colOff>
      <xdr:row>8</xdr:row>
      <xdr:rowOff>171450</xdr:rowOff>
    </xdr:to>
    <xdr:sp macro="" textlink="">
      <xdr:nvSpPr>
        <xdr:cNvPr id="4558" name="Oval 228"/>
        <xdr:cNvSpPr>
          <a:spLocks noChangeArrowheads="1"/>
        </xdr:cNvSpPr>
      </xdr:nvSpPr>
      <xdr:spPr bwMode="auto">
        <a:xfrm>
          <a:off x="1247775" y="1304925"/>
          <a:ext cx="57150" cy="5715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16</xdr:col>
      <xdr:colOff>9525</xdr:colOff>
      <xdr:row>8</xdr:row>
      <xdr:rowOff>57150</xdr:rowOff>
    </xdr:from>
    <xdr:to>
      <xdr:col>16</xdr:col>
      <xdr:colOff>66675</xdr:colOff>
      <xdr:row>8</xdr:row>
      <xdr:rowOff>114300</xdr:rowOff>
    </xdr:to>
    <xdr:sp macro="" textlink="">
      <xdr:nvSpPr>
        <xdr:cNvPr id="4559" name="Oval 231"/>
        <xdr:cNvSpPr>
          <a:spLocks noChangeArrowheads="1"/>
        </xdr:cNvSpPr>
      </xdr:nvSpPr>
      <xdr:spPr bwMode="auto">
        <a:xfrm>
          <a:off x="1819275" y="1247775"/>
          <a:ext cx="57150" cy="5715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15</xdr:col>
      <xdr:colOff>47625</xdr:colOff>
      <xdr:row>8</xdr:row>
      <xdr:rowOff>114300</xdr:rowOff>
    </xdr:from>
    <xdr:to>
      <xdr:col>16</xdr:col>
      <xdr:colOff>38100</xdr:colOff>
      <xdr:row>9</xdr:row>
      <xdr:rowOff>9525</xdr:rowOff>
    </xdr:to>
    <xdr:sp macro="" textlink="">
      <xdr:nvSpPr>
        <xdr:cNvPr id="4560" name="Oval 233"/>
        <xdr:cNvSpPr>
          <a:spLocks noChangeArrowheads="1"/>
        </xdr:cNvSpPr>
      </xdr:nvSpPr>
      <xdr:spPr bwMode="auto">
        <a:xfrm>
          <a:off x="1771650" y="1304925"/>
          <a:ext cx="76200" cy="7620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14</xdr:col>
      <xdr:colOff>38100</xdr:colOff>
      <xdr:row>8</xdr:row>
      <xdr:rowOff>114300</xdr:rowOff>
    </xdr:from>
    <xdr:to>
      <xdr:col>15</xdr:col>
      <xdr:colOff>28575</xdr:colOff>
      <xdr:row>9</xdr:row>
      <xdr:rowOff>9525</xdr:rowOff>
    </xdr:to>
    <xdr:sp macro="" textlink="">
      <xdr:nvSpPr>
        <xdr:cNvPr id="4561" name="Oval 235"/>
        <xdr:cNvSpPr>
          <a:spLocks noChangeArrowheads="1"/>
        </xdr:cNvSpPr>
      </xdr:nvSpPr>
      <xdr:spPr bwMode="auto">
        <a:xfrm>
          <a:off x="1676400" y="1304925"/>
          <a:ext cx="76200" cy="7620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7</xdr:col>
      <xdr:colOff>38100</xdr:colOff>
      <xdr:row>7</xdr:row>
      <xdr:rowOff>152400</xdr:rowOff>
    </xdr:from>
    <xdr:to>
      <xdr:col>7</xdr:col>
      <xdr:colOff>38100</xdr:colOff>
      <xdr:row>9</xdr:row>
      <xdr:rowOff>0</xdr:rowOff>
    </xdr:to>
    <xdr:sp macro="" textlink="">
      <xdr:nvSpPr>
        <xdr:cNvPr id="4562" name="Line 236"/>
        <xdr:cNvSpPr>
          <a:spLocks noChangeShapeType="1"/>
        </xdr:cNvSpPr>
      </xdr:nvSpPr>
      <xdr:spPr bwMode="auto">
        <a:xfrm>
          <a:off x="885825" y="1162050"/>
          <a:ext cx="0" cy="209550"/>
        </a:xfrm>
        <a:prstGeom prst="line">
          <a:avLst/>
        </a:prstGeom>
        <a:noFill/>
        <a:ln w="9525">
          <a:solidFill>
            <a:srgbClr val="000000"/>
          </a:solidFill>
          <a:round/>
          <a:headEnd type="stealth" w="sm" len="med"/>
          <a:tailEnd type="stealth" w="sm" len="med"/>
        </a:ln>
      </xdr:spPr>
    </xdr:sp>
    <xdr:clientData/>
  </xdr:twoCellAnchor>
  <xdr:twoCellAnchor>
    <xdr:from>
      <xdr:col>9</xdr:col>
      <xdr:colOff>19050</xdr:colOff>
      <xdr:row>9</xdr:row>
      <xdr:rowOff>28575</xdr:rowOff>
    </xdr:from>
    <xdr:to>
      <xdr:col>9</xdr:col>
      <xdr:colOff>19050</xdr:colOff>
      <xdr:row>10</xdr:row>
      <xdr:rowOff>19050</xdr:rowOff>
    </xdr:to>
    <xdr:sp macro="" textlink="">
      <xdr:nvSpPr>
        <xdr:cNvPr id="4563" name="Line 237"/>
        <xdr:cNvSpPr>
          <a:spLocks noChangeShapeType="1"/>
        </xdr:cNvSpPr>
      </xdr:nvSpPr>
      <xdr:spPr bwMode="auto">
        <a:xfrm>
          <a:off x="1114425" y="1400175"/>
          <a:ext cx="0" cy="1714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19050</xdr:colOff>
      <xdr:row>9</xdr:row>
      <xdr:rowOff>85725</xdr:rowOff>
    </xdr:from>
    <xdr:to>
      <xdr:col>11</xdr:col>
      <xdr:colOff>57150</xdr:colOff>
      <xdr:row>9</xdr:row>
      <xdr:rowOff>85725</xdr:rowOff>
    </xdr:to>
    <xdr:sp macro="" textlink="">
      <xdr:nvSpPr>
        <xdr:cNvPr id="4564" name="Line 238"/>
        <xdr:cNvSpPr>
          <a:spLocks noChangeShapeType="1"/>
        </xdr:cNvSpPr>
      </xdr:nvSpPr>
      <xdr:spPr bwMode="auto">
        <a:xfrm>
          <a:off x="1114425" y="1457325"/>
          <a:ext cx="285750" cy="0"/>
        </a:xfrm>
        <a:prstGeom prst="line">
          <a:avLst/>
        </a:prstGeom>
        <a:noFill/>
        <a:ln w="9525">
          <a:solidFill>
            <a:srgbClr val="000000"/>
          </a:solidFill>
          <a:round/>
          <a:headEnd type="stealth" w="sm" len="med"/>
          <a:tailEnd type="stealth" w="sm" len="med"/>
        </a:ln>
      </xdr:spPr>
    </xdr:sp>
    <xdr:clientData/>
  </xdr:twoCellAnchor>
  <xdr:oneCellAnchor>
    <xdr:from>
      <xdr:col>9</xdr:col>
      <xdr:colOff>114300</xdr:colOff>
      <xdr:row>9</xdr:row>
      <xdr:rowOff>114300</xdr:rowOff>
    </xdr:from>
    <xdr:ext cx="104709" cy="155748"/>
    <xdr:sp macro="" textlink="">
      <xdr:nvSpPr>
        <xdr:cNvPr id="4335" name="Text Box 239"/>
        <xdr:cNvSpPr txBox="1">
          <a:spLocks noChangeArrowheads="1"/>
        </xdr:cNvSpPr>
      </xdr:nvSpPr>
      <xdr:spPr bwMode="auto">
        <a:xfrm>
          <a:off x="1209675" y="1485900"/>
          <a:ext cx="104709" cy="155748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US" sz="900" b="0" i="0" u="none" strike="noStrike" baseline="0">
              <a:solidFill>
                <a:srgbClr val="000000"/>
              </a:solidFill>
              <a:latin typeface="Arial"/>
              <a:cs typeface="Arial"/>
            </a:rPr>
            <a:t>2'</a:t>
          </a:r>
        </a:p>
      </xdr:txBody>
    </xdr:sp>
    <xdr:clientData/>
  </xdr:oneCellAnchor>
  <xdr:oneCellAnchor>
    <xdr:from>
      <xdr:col>5</xdr:col>
      <xdr:colOff>85725</xdr:colOff>
      <xdr:row>8</xdr:row>
      <xdr:rowOff>0</xdr:rowOff>
    </xdr:from>
    <xdr:ext cx="104709" cy="155748"/>
    <xdr:sp macro="" textlink="">
      <xdr:nvSpPr>
        <xdr:cNvPr id="4337" name="Text Box 241"/>
        <xdr:cNvSpPr txBox="1">
          <a:spLocks noChangeArrowheads="1"/>
        </xdr:cNvSpPr>
      </xdr:nvSpPr>
      <xdr:spPr bwMode="auto">
        <a:xfrm>
          <a:off x="685800" y="1190625"/>
          <a:ext cx="104709" cy="155748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US" sz="900" b="0" i="0" u="none" strike="noStrike" baseline="0">
              <a:solidFill>
                <a:srgbClr val="000000"/>
              </a:solidFill>
              <a:latin typeface="Arial"/>
              <a:cs typeface="Arial"/>
            </a:rPr>
            <a:t>1'</a:t>
          </a:r>
        </a:p>
      </xdr:txBody>
    </xdr:sp>
    <xdr:clientData/>
  </xdr:oneCellAnchor>
  <xdr:twoCellAnchor>
    <xdr:from>
      <xdr:col>5</xdr:col>
      <xdr:colOff>9525</xdr:colOff>
      <xdr:row>7</xdr:row>
      <xdr:rowOff>38100</xdr:rowOff>
    </xdr:from>
    <xdr:to>
      <xdr:col>9</xdr:col>
      <xdr:colOff>114300</xdr:colOff>
      <xdr:row>7</xdr:row>
      <xdr:rowOff>152400</xdr:rowOff>
    </xdr:to>
    <xdr:sp macro="" textlink="">
      <xdr:nvSpPr>
        <xdr:cNvPr id="4567" name="Freeform 242"/>
        <xdr:cNvSpPr>
          <a:spLocks/>
        </xdr:cNvSpPr>
      </xdr:nvSpPr>
      <xdr:spPr bwMode="auto">
        <a:xfrm>
          <a:off x="609600" y="1047750"/>
          <a:ext cx="600075" cy="114300"/>
        </a:xfrm>
        <a:custGeom>
          <a:avLst/>
          <a:gdLst>
            <a:gd name="T0" fmla="*/ 63 w 63"/>
            <a:gd name="T1" fmla="*/ 12 h 12"/>
            <a:gd name="T2" fmla="*/ 54 w 63"/>
            <a:gd name="T3" fmla="*/ 4 h 12"/>
            <a:gd name="T4" fmla="*/ 48 w 63"/>
            <a:gd name="T5" fmla="*/ 1 h 12"/>
            <a:gd name="T6" fmla="*/ 40 w 63"/>
            <a:gd name="T7" fmla="*/ 0 h 12"/>
            <a:gd name="T8" fmla="*/ 34 w 63"/>
            <a:gd name="T9" fmla="*/ 0 h 12"/>
            <a:gd name="T10" fmla="*/ 23 w 63"/>
            <a:gd name="T11" fmla="*/ 0 h 12"/>
            <a:gd name="T12" fmla="*/ 13 w 63"/>
            <a:gd name="T13" fmla="*/ 0 h 12"/>
            <a:gd name="T14" fmla="*/ 0 w 63"/>
            <a:gd name="T15" fmla="*/ 0 h 12"/>
            <a:gd name="T16" fmla="*/ 0 60000 65536"/>
            <a:gd name="T17" fmla="*/ 0 60000 65536"/>
            <a:gd name="T18" fmla="*/ 0 60000 65536"/>
            <a:gd name="T19" fmla="*/ 0 60000 65536"/>
            <a:gd name="T20" fmla="*/ 0 60000 65536"/>
            <a:gd name="T21" fmla="*/ 0 60000 65536"/>
            <a:gd name="T22" fmla="*/ 0 60000 65536"/>
            <a:gd name="T23" fmla="*/ 0 60000 65536"/>
            <a:gd name="T24" fmla="*/ 0 w 63"/>
            <a:gd name="T25" fmla="*/ 0 h 12"/>
            <a:gd name="T26" fmla="*/ 63 w 63"/>
            <a:gd name="T27" fmla="*/ 12 h 12"/>
          </a:gdLst>
          <a:ahLst/>
          <a:cxnLst>
            <a:cxn ang="T16">
              <a:pos x="T0" y="T1"/>
            </a:cxn>
            <a:cxn ang="T17">
              <a:pos x="T2" y="T3"/>
            </a:cxn>
            <a:cxn ang="T18">
              <a:pos x="T4" y="T5"/>
            </a:cxn>
            <a:cxn ang="T19">
              <a:pos x="T6" y="T7"/>
            </a:cxn>
            <a:cxn ang="T20">
              <a:pos x="T8" y="T9"/>
            </a:cxn>
            <a:cxn ang="T21">
              <a:pos x="T10" y="T11"/>
            </a:cxn>
            <a:cxn ang="T22">
              <a:pos x="T12" y="T13"/>
            </a:cxn>
            <a:cxn ang="T23">
              <a:pos x="T14" y="T15"/>
            </a:cxn>
          </a:cxnLst>
          <a:rect l="T24" t="T25" r="T26" b="T27"/>
          <a:pathLst>
            <a:path w="63" h="12">
              <a:moveTo>
                <a:pt x="63" y="12"/>
              </a:moveTo>
              <a:lnTo>
                <a:pt x="54" y="4"/>
              </a:lnTo>
              <a:lnTo>
                <a:pt x="48" y="1"/>
              </a:lnTo>
              <a:lnTo>
                <a:pt x="40" y="0"/>
              </a:lnTo>
              <a:lnTo>
                <a:pt x="34" y="0"/>
              </a:lnTo>
              <a:lnTo>
                <a:pt x="23" y="0"/>
              </a:lnTo>
              <a:lnTo>
                <a:pt x="13" y="0"/>
              </a:lnTo>
              <a:lnTo>
                <a:pt x="0" y="0"/>
              </a:lnTo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stealth" w="sm" len="med"/>
          <a:tailEnd type="none" w="med" len="med"/>
        </a:ln>
      </xdr:spPr>
    </xdr:sp>
    <xdr:clientData/>
  </xdr:twoCellAnchor>
  <xdr:oneCellAnchor>
    <xdr:from>
      <xdr:col>1</xdr:col>
      <xdr:colOff>38100</xdr:colOff>
      <xdr:row>6</xdr:row>
      <xdr:rowOff>152400</xdr:rowOff>
    </xdr:from>
    <xdr:ext cx="499560" cy="288412"/>
    <xdr:sp macro="" textlink="">
      <xdr:nvSpPr>
        <xdr:cNvPr id="4339" name="Text Box 243"/>
        <xdr:cNvSpPr txBox="1">
          <a:spLocks noChangeArrowheads="1"/>
        </xdr:cNvSpPr>
      </xdr:nvSpPr>
      <xdr:spPr bwMode="auto">
        <a:xfrm>
          <a:off x="142875" y="981075"/>
          <a:ext cx="499560" cy="28841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US" sz="900" b="0" i="0" u="none" strike="noStrike" baseline="0">
              <a:solidFill>
                <a:srgbClr val="000000"/>
              </a:solidFill>
              <a:latin typeface="Arial"/>
              <a:cs typeface="Arial"/>
            </a:rPr>
            <a:t>Rip Rap</a:t>
          </a:r>
        </a:p>
        <a:p>
          <a:pPr algn="l" rtl="0">
            <a:defRPr sz="1000"/>
          </a:pPr>
          <a:r>
            <a:rPr lang="en-US" sz="900" b="0" i="0" u="none" strike="noStrike" baseline="0">
              <a:solidFill>
                <a:srgbClr val="000000"/>
              </a:solidFill>
              <a:latin typeface="Arial"/>
              <a:cs typeface="Arial"/>
            </a:rPr>
            <a:t>(optional)</a:t>
          </a:r>
        </a:p>
      </xdr:txBody>
    </xdr:sp>
    <xdr:clientData/>
  </xdr:oneCellAnchor>
  <xdr:twoCellAnchor>
    <xdr:from>
      <xdr:col>9</xdr:col>
      <xdr:colOff>19050</xdr:colOff>
      <xdr:row>8</xdr:row>
      <xdr:rowOff>38100</xdr:rowOff>
    </xdr:from>
    <xdr:to>
      <xdr:col>9</xdr:col>
      <xdr:colOff>95250</xdr:colOff>
      <xdr:row>8</xdr:row>
      <xdr:rowOff>114300</xdr:rowOff>
    </xdr:to>
    <xdr:sp macro="" textlink="">
      <xdr:nvSpPr>
        <xdr:cNvPr id="4569" name="Oval 244"/>
        <xdr:cNvSpPr>
          <a:spLocks noChangeArrowheads="1"/>
        </xdr:cNvSpPr>
      </xdr:nvSpPr>
      <xdr:spPr bwMode="auto">
        <a:xfrm>
          <a:off x="1114425" y="1228725"/>
          <a:ext cx="76200" cy="7620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28575</xdr:colOff>
      <xdr:row>7</xdr:row>
      <xdr:rowOff>161925</xdr:rowOff>
    </xdr:from>
    <xdr:to>
      <xdr:col>9</xdr:col>
      <xdr:colOff>85725</xdr:colOff>
      <xdr:row>8</xdr:row>
      <xdr:rowOff>38100</xdr:rowOff>
    </xdr:to>
    <xdr:sp macro="" textlink="">
      <xdr:nvSpPr>
        <xdr:cNvPr id="4570" name="Oval 245"/>
        <xdr:cNvSpPr>
          <a:spLocks noChangeArrowheads="1"/>
        </xdr:cNvSpPr>
      </xdr:nvSpPr>
      <xdr:spPr bwMode="auto">
        <a:xfrm>
          <a:off x="1123950" y="1171575"/>
          <a:ext cx="57150" cy="5715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28575</xdr:colOff>
      <xdr:row>8</xdr:row>
      <xdr:rowOff>114300</xdr:rowOff>
    </xdr:from>
    <xdr:to>
      <xdr:col>9</xdr:col>
      <xdr:colOff>85725</xdr:colOff>
      <xdr:row>8</xdr:row>
      <xdr:rowOff>171450</xdr:rowOff>
    </xdr:to>
    <xdr:sp macro="" textlink="">
      <xdr:nvSpPr>
        <xdr:cNvPr id="4571" name="Oval 246"/>
        <xdr:cNvSpPr>
          <a:spLocks noChangeArrowheads="1"/>
        </xdr:cNvSpPr>
      </xdr:nvSpPr>
      <xdr:spPr bwMode="auto">
        <a:xfrm>
          <a:off x="1123950" y="1304925"/>
          <a:ext cx="57150" cy="5715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oneCellAnchor>
    <xdr:from>
      <xdr:col>17</xdr:col>
      <xdr:colOff>76200</xdr:colOff>
      <xdr:row>9</xdr:row>
      <xdr:rowOff>57150</xdr:rowOff>
    </xdr:from>
    <xdr:ext cx="371448" cy="155748"/>
    <xdr:sp macro="" textlink="">
      <xdr:nvSpPr>
        <xdr:cNvPr id="4343" name="Text Box 247"/>
        <xdr:cNvSpPr txBox="1">
          <a:spLocks noChangeArrowheads="1"/>
        </xdr:cNvSpPr>
      </xdr:nvSpPr>
      <xdr:spPr bwMode="auto">
        <a:xfrm>
          <a:off x="2009775" y="1428750"/>
          <a:ext cx="371448" cy="155748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US" sz="900" b="0" i="0" u="none" strike="noStrike" baseline="0">
              <a:solidFill>
                <a:srgbClr val="000000"/>
              </a:solidFill>
              <a:latin typeface="Arial"/>
              <a:cs typeface="Arial"/>
            </a:rPr>
            <a:t>Length</a:t>
          </a:r>
        </a:p>
      </xdr:txBody>
    </xdr:sp>
    <xdr:clientData/>
  </xdr:oneCellAnchor>
  <xdr:twoCellAnchor>
    <xdr:from>
      <xdr:col>13</xdr:col>
      <xdr:colOff>66675</xdr:colOff>
      <xdr:row>20</xdr:row>
      <xdr:rowOff>142875</xdr:rowOff>
    </xdr:from>
    <xdr:to>
      <xdr:col>18</xdr:col>
      <xdr:colOff>19050</xdr:colOff>
      <xdr:row>23</xdr:row>
      <xdr:rowOff>19050</xdr:rowOff>
    </xdr:to>
    <xdr:sp macro="" textlink="">
      <xdr:nvSpPr>
        <xdr:cNvPr id="4573" name="Oval 248"/>
        <xdr:cNvSpPr>
          <a:spLocks noChangeArrowheads="1"/>
        </xdr:cNvSpPr>
      </xdr:nvSpPr>
      <xdr:spPr bwMode="auto">
        <a:xfrm>
          <a:off x="1619250" y="3619500"/>
          <a:ext cx="457200" cy="419100"/>
        </a:xfrm>
        <a:prstGeom prst="ellipse">
          <a:avLst/>
        </a:prstGeom>
        <a:noFill/>
        <a:ln w="9525" algn="ctr">
          <a:solidFill>
            <a:srgbClr val="000000"/>
          </a:solidFill>
          <a:round/>
          <a:headEnd/>
          <a:tailEnd type="none" w="sm" len="med"/>
        </a:ln>
      </xdr:spPr>
    </xdr:sp>
    <xdr:clientData/>
  </xdr:twoCellAnchor>
  <xdr:oneCellAnchor>
    <xdr:from>
      <xdr:col>2</xdr:col>
      <xdr:colOff>57151</xdr:colOff>
      <xdr:row>11</xdr:row>
      <xdr:rowOff>161925</xdr:rowOff>
    </xdr:from>
    <xdr:ext cx="190499" cy="200025"/>
    <xdr:sp macro="" textlink="">
      <xdr:nvSpPr>
        <xdr:cNvPr id="231" name="Text Box 101"/>
        <xdr:cNvSpPr txBox="1">
          <a:spLocks noChangeArrowheads="1"/>
        </xdr:cNvSpPr>
      </xdr:nvSpPr>
      <xdr:spPr bwMode="auto">
        <a:xfrm>
          <a:off x="285751" y="1895475"/>
          <a:ext cx="190499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square" lIns="18288" tIns="22860" rIns="0" bIns="0" anchor="t" upright="1">
          <a:noAutofit/>
        </a:bodyPr>
        <a:lstStyle/>
        <a:p>
          <a:pPr algn="l" rtl="0">
            <a:defRPr sz="1000"/>
          </a:pPr>
          <a:r>
            <a:rPr lang="en-US" sz="900" b="0" i="0" u="none" strike="noStrike" baseline="0">
              <a:solidFill>
                <a:srgbClr val="000000"/>
              </a:solidFill>
              <a:latin typeface="Arial"/>
              <a:cs typeface="Arial"/>
            </a:rPr>
            <a:t>El.</a:t>
          </a:r>
        </a:p>
      </xdr:txBody>
    </xdr:sp>
    <xdr:clientData/>
  </xdr:oneCellAnchor>
  <xdr:oneCellAnchor>
    <xdr:from>
      <xdr:col>42</xdr:col>
      <xdr:colOff>123825</xdr:colOff>
      <xdr:row>15</xdr:row>
      <xdr:rowOff>19050</xdr:rowOff>
    </xdr:from>
    <xdr:ext cx="447675" cy="161925"/>
    <xdr:sp macro="" textlink="">
      <xdr:nvSpPr>
        <xdr:cNvPr id="232" name="Text Box 111"/>
        <xdr:cNvSpPr txBox="1">
          <a:spLocks noChangeArrowheads="1"/>
        </xdr:cNvSpPr>
      </xdr:nvSpPr>
      <xdr:spPr bwMode="auto">
        <a:xfrm>
          <a:off x="5181600" y="2476500"/>
          <a:ext cx="4476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square" lIns="18288" tIns="22860" rIns="0" bIns="0" anchor="t" upright="1">
          <a:noAutofit/>
        </a:bodyPr>
        <a:lstStyle/>
        <a:p>
          <a:pPr algn="l" rtl="0">
            <a:defRPr sz="1000"/>
          </a:pPr>
          <a:r>
            <a:rPr lang="en-US" sz="900" b="0" i="0" u="none" strike="noStrike" baseline="0">
              <a:solidFill>
                <a:srgbClr val="000000"/>
              </a:solidFill>
              <a:latin typeface="Arial"/>
              <a:cs typeface="Arial"/>
            </a:rPr>
            <a:t>Ditch El.</a:t>
          </a:r>
        </a:p>
      </xdr:txBody>
    </xdr:sp>
    <xdr:clientData/>
  </xdr:oneCellAnchor>
  <xdr:oneCellAnchor>
    <xdr:from>
      <xdr:col>44</xdr:col>
      <xdr:colOff>123825</xdr:colOff>
      <xdr:row>10</xdr:row>
      <xdr:rowOff>9525</xdr:rowOff>
    </xdr:from>
    <xdr:ext cx="171450" cy="171450"/>
    <xdr:sp macro="" textlink="">
      <xdr:nvSpPr>
        <xdr:cNvPr id="233" name="Text Box 105"/>
        <xdr:cNvSpPr txBox="1">
          <a:spLocks noChangeArrowheads="1"/>
        </xdr:cNvSpPr>
      </xdr:nvSpPr>
      <xdr:spPr bwMode="auto">
        <a:xfrm>
          <a:off x="5467350" y="1562100"/>
          <a:ext cx="171450" cy="171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square" lIns="18288" tIns="22860" rIns="0" bIns="0" anchor="t" upright="1">
          <a:noAutofit/>
        </a:bodyPr>
        <a:lstStyle/>
        <a:p>
          <a:pPr algn="l" rtl="0">
            <a:defRPr sz="1000"/>
          </a:pPr>
          <a:r>
            <a:rPr lang="en-US" sz="900" b="0" i="0" u="none" strike="noStrike" baseline="0">
              <a:solidFill>
                <a:srgbClr val="000000"/>
              </a:solidFill>
              <a:latin typeface="Arial"/>
              <a:cs typeface="Arial"/>
            </a:rPr>
            <a:t>El.</a:t>
          </a:r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17</xdr:col>
      <xdr:colOff>104775</xdr:colOff>
      <xdr:row>20</xdr:row>
      <xdr:rowOff>114300</xdr:rowOff>
    </xdr:from>
    <xdr:ext cx="151132" cy="241092"/>
    <xdr:sp macro="" textlink="">
      <xdr:nvSpPr>
        <xdr:cNvPr id="3361" name="Text Box 289"/>
        <xdr:cNvSpPr txBox="1">
          <a:spLocks noChangeArrowheads="1"/>
        </xdr:cNvSpPr>
      </xdr:nvSpPr>
      <xdr:spPr bwMode="auto">
        <a:xfrm>
          <a:off x="2038350" y="3676650"/>
          <a:ext cx="151132" cy="24109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="vert270" wrap="none" lIns="18288" tIns="22860" rIns="0" bIns="0" anchor="t" upright="1">
          <a:spAutoFit/>
        </a:bodyPr>
        <a:lstStyle/>
        <a:p>
          <a:pPr algn="r" rtl="0">
            <a:defRPr sz="1000"/>
          </a:pPr>
          <a:r>
            <a:rPr lang="en-US" sz="900" b="0" i="0" u="none" strike="noStrike" baseline="0">
              <a:solidFill>
                <a:srgbClr val="000000"/>
              </a:solidFill>
              <a:latin typeface="Arial"/>
              <a:cs typeface="Arial"/>
            </a:rPr>
            <a:t>max</a:t>
          </a:r>
        </a:p>
      </xdr:txBody>
    </xdr:sp>
    <xdr:clientData/>
  </xdr:oneCellAnchor>
  <xdr:twoCellAnchor>
    <xdr:from>
      <xdr:col>42</xdr:col>
      <xdr:colOff>57150</xdr:colOff>
      <xdr:row>37</xdr:row>
      <xdr:rowOff>38100</xdr:rowOff>
    </xdr:from>
    <xdr:to>
      <xdr:col>43</xdr:col>
      <xdr:colOff>38100</xdr:colOff>
      <xdr:row>37</xdr:row>
      <xdr:rowOff>161925</xdr:rowOff>
    </xdr:to>
    <xdr:sp macro="" textlink="">
      <xdr:nvSpPr>
        <xdr:cNvPr id="3479" name="Oval 351"/>
        <xdr:cNvSpPr>
          <a:spLocks noChangeArrowheads="1"/>
        </xdr:cNvSpPr>
      </xdr:nvSpPr>
      <xdr:spPr bwMode="auto">
        <a:xfrm>
          <a:off x="5229225" y="6657975"/>
          <a:ext cx="123825" cy="123825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oneCellAnchor>
    <xdr:from>
      <xdr:col>42</xdr:col>
      <xdr:colOff>66675</xdr:colOff>
      <xdr:row>37</xdr:row>
      <xdr:rowOff>38100</xdr:rowOff>
    </xdr:from>
    <xdr:ext cx="78355" cy="121700"/>
    <xdr:sp macro="" textlink="">
      <xdr:nvSpPr>
        <xdr:cNvPr id="3446" name="Text Box 374"/>
        <xdr:cNvSpPr txBox="1">
          <a:spLocks noChangeArrowheads="1"/>
        </xdr:cNvSpPr>
      </xdr:nvSpPr>
      <xdr:spPr bwMode="auto">
        <a:xfrm>
          <a:off x="5238750" y="6657975"/>
          <a:ext cx="78355" cy="1217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en-US" sz="700" b="0" i="0" u="none" strike="noStrike" baseline="0">
              <a:solidFill>
                <a:srgbClr val="000000"/>
              </a:solidFill>
              <a:latin typeface="Arial"/>
              <a:cs typeface="Arial"/>
            </a:rPr>
            <a:t>E</a:t>
          </a:r>
        </a:p>
      </xdr:txBody>
    </xdr:sp>
    <xdr:clientData/>
  </xdr:oneCellAnchor>
  <xdr:twoCellAnchor editAs="oneCell">
    <xdr:from>
      <xdr:col>1</xdr:col>
      <xdr:colOff>19050</xdr:colOff>
      <xdr:row>49</xdr:row>
      <xdr:rowOff>38100</xdr:rowOff>
    </xdr:from>
    <xdr:to>
      <xdr:col>15</xdr:col>
      <xdr:colOff>76200</xdr:colOff>
      <xdr:row>58</xdr:row>
      <xdr:rowOff>76200</xdr:rowOff>
    </xdr:to>
    <xdr:pic>
      <xdr:nvPicPr>
        <xdr:cNvPr id="348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l="8183" t="14287" r="51825" b="42862"/>
        <a:stretch>
          <a:fillRect/>
        </a:stretch>
      </xdr:blipFill>
      <xdr:spPr bwMode="auto">
        <a:xfrm>
          <a:off x="123825" y="8696325"/>
          <a:ext cx="1676400" cy="85725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>
    <xdr:from>
      <xdr:col>8</xdr:col>
      <xdr:colOff>9525</xdr:colOff>
      <xdr:row>0</xdr:row>
      <xdr:rowOff>114300</xdr:rowOff>
    </xdr:from>
    <xdr:to>
      <xdr:col>23</xdr:col>
      <xdr:colOff>38100</xdr:colOff>
      <xdr:row>5</xdr:row>
      <xdr:rowOff>0</xdr:rowOff>
    </xdr:to>
    <xdr:sp macro="" textlink="">
      <xdr:nvSpPr>
        <xdr:cNvPr id="3482" name="Freeform 3"/>
        <xdr:cNvSpPr>
          <a:spLocks/>
        </xdr:cNvSpPr>
      </xdr:nvSpPr>
      <xdr:spPr bwMode="auto">
        <a:xfrm>
          <a:off x="981075" y="114300"/>
          <a:ext cx="1733550" cy="733425"/>
        </a:xfrm>
        <a:custGeom>
          <a:avLst/>
          <a:gdLst>
            <a:gd name="T0" fmla="*/ 0 w 182"/>
            <a:gd name="T1" fmla="*/ 77 h 77"/>
            <a:gd name="T2" fmla="*/ 0 w 182"/>
            <a:gd name="T3" fmla="*/ 0 h 77"/>
            <a:gd name="T4" fmla="*/ 182 w 182"/>
            <a:gd name="T5" fmla="*/ 0 h 77"/>
            <a:gd name="T6" fmla="*/ 182 w 182"/>
            <a:gd name="T7" fmla="*/ 49 h 77"/>
            <a:gd name="T8" fmla="*/ 0 60000 65536"/>
            <a:gd name="T9" fmla="*/ 0 60000 65536"/>
            <a:gd name="T10" fmla="*/ 0 60000 65536"/>
            <a:gd name="T11" fmla="*/ 0 60000 65536"/>
            <a:gd name="T12" fmla="*/ 0 w 182"/>
            <a:gd name="T13" fmla="*/ 0 h 77"/>
            <a:gd name="T14" fmla="*/ 182 w 182"/>
            <a:gd name="T15" fmla="*/ 77 h 77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82" h="77">
              <a:moveTo>
                <a:pt x="0" y="77"/>
              </a:moveTo>
              <a:lnTo>
                <a:pt x="0" y="0"/>
              </a:lnTo>
              <a:lnTo>
                <a:pt x="182" y="0"/>
              </a:lnTo>
              <a:lnTo>
                <a:pt x="182" y="49"/>
              </a:lnTo>
            </a:path>
          </a:pathLst>
        </a:custGeom>
        <a:noFill/>
        <a:ln w="1587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8</xdr:col>
      <xdr:colOff>9525</xdr:colOff>
      <xdr:row>5</xdr:row>
      <xdr:rowOff>142875</xdr:rowOff>
    </xdr:from>
    <xdr:to>
      <xdr:col>23</xdr:col>
      <xdr:colOff>28575</xdr:colOff>
      <xdr:row>9</xdr:row>
      <xdr:rowOff>123825</xdr:rowOff>
    </xdr:to>
    <xdr:sp macro="" textlink="">
      <xdr:nvSpPr>
        <xdr:cNvPr id="3483" name="Freeform 4"/>
        <xdr:cNvSpPr>
          <a:spLocks/>
        </xdr:cNvSpPr>
      </xdr:nvSpPr>
      <xdr:spPr bwMode="auto">
        <a:xfrm>
          <a:off x="981075" y="990600"/>
          <a:ext cx="1724025" cy="704850"/>
        </a:xfrm>
        <a:custGeom>
          <a:avLst/>
          <a:gdLst>
            <a:gd name="T0" fmla="*/ 0 w 181"/>
            <a:gd name="T1" fmla="*/ 0 h 74"/>
            <a:gd name="T2" fmla="*/ 0 w 181"/>
            <a:gd name="T3" fmla="*/ 74 h 74"/>
            <a:gd name="T4" fmla="*/ 181 w 181"/>
            <a:gd name="T5" fmla="*/ 74 h 74"/>
            <a:gd name="T6" fmla="*/ 181 w 181"/>
            <a:gd name="T7" fmla="*/ 25 h 74"/>
            <a:gd name="T8" fmla="*/ 0 60000 65536"/>
            <a:gd name="T9" fmla="*/ 0 60000 65536"/>
            <a:gd name="T10" fmla="*/ 0 60000 65536"/>
            <a:gd name="T11" fmla="*/ 0 60000 65536"/>
            <a:gd name="T12" fmla="*/ 0 w 181"/>
            <a:gd name="T13" fmla="*/ 0 h 74"/>
            <a:gd name="T14" fmla="*/ 181 w 181"/>
            <a:gd name="T15" fmla="*/ 74 h 7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81" h="74">
              <a:moveTo>
                <a:pt x="0" y="0"/>
              </a:moveTo>
              <a:lnTo>
                <a:pt x="0" y="74"/>
              </a:lnTo>
              <a:lnTo>
                <a:pt x="181" y="74"/>
              </a:lnTo>
              <a:lnTo>
                <a:pt x="181" y="25"/>
              </a:lnTo>
            </a:path>
          </a:pathLst>
        </a:custGeom>
        <a:noFill/>
        <a:ln w="1587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16</xdr:col>
      <xdr:colOff>38100</xdr:colOff>
      <xdr:row>0</xdr:row>
      <xdr:rowOff>66675</xdr:rowOff>
    </xdr:from>
    <xdr:to>
      <xdr:col>16</xdr:col>
      <xdr:colOff>38100</xdr:colOff>
      <xdr:row>4</xdr:row>
      <xdr:rowOff>142875</xdr:rowOff>
    </xdr:to>
    <xdr:sp macro="" textlink="">
      <xdr:nvSpPr>
        <xdr:cNvPr id="3484" name="Line 5"/>
        <xdr:cNvSpPr>
          <a:spLocks noChangeShapeType="1"/>
        </xdr:cNvSpPr>
      </xdr:nvSpPr>
      <xdr:spPr bwMode="auto">
        <a:xfrm>
          <a:off x="1847850" y="66675"/>
          <a:ext cx="0" cy="7429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16</xdr:col>
      <xdr:colOff>38100</xdr:colOff>
      <xdr:row>5</xdr:row>
      <xdr:rowOff>114300</xdr:rowOff>
    </xdr:from>
    <xdr:to>
      <xdr:col>16</xdr:col>
      <xdr:colOff>38100</xdr:colOff>
      <xdr:row>9</xdr:row>
      <xdr:rowOff>152400</xdr:rowOff>
    </xdr:to>
    <xdr:sp macro="" textlink="">
      <xdr:nvSpPr>
        <xdr:cNvPr id="3485" name="Line 7"/>
        <xdr:cNvSpPr>
          <a:spLocks noChangeShapeType="1"/>
        </xdr:cNvSpPr>
      </xdr:nvSpPr>
      <xdr:spPr bwMode="auto">
        <a:xfrm>
          <a:off x="1847850" y="962025"/>
          <a:ext cx="0" cy="7620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23</xdr:col>
      <xdr:colOff>38100</xdr:colOff>
      <xdr:row>9</xdr:row>
      <xdr:rowOff>142875</xdr:rowOff>
    </xdr:from>
    <xdr:to>
      <xdr:col>23</xdr:col>
      <xdr:colOff>38100</xdr:colOff>
      <xdr:row>11</xdr:row>
      <xdr:rowOff>152400</xdr:rowOff>
    </xdr:to>
    <xdr:sp macro="" textlink="">
      <xdr:nvSpPr>
        <xdr:cNvPr id="3486" name="Line 8"/>
        <xdr:cNvSpPr>
          <a:spLocks noChangeShapeType="1"/>
        </xdr:cNvSpPr>
      </xdr:nvSpPr>
      <xdr:spPr bwMode="auto">
        <a:xfrm>
          <a:off x="2714625" y="1714500"/>
          <a:ext cx="0" cy="3714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</xdr:col>
      <xdr:colOff>9525</xdr:colOff>
      <xdr:row>9</xdr:row>
      <xdr:rowOff>142875</xdr:rowOff>
    </xdr:from>
    <xdr:to>
      <xdr:col>8</xdr:col>
      <xdr:colOff>9525</xdr:colOff>
      <xdr:row>11</xdr:row>
      <xdr:rowOff>152400</xdr:rowOff>
    </xdr:to>
    <xdr:sp macro="" textlink="">
      <xdr:nvSpPr>
        <xdr:cNvPr id="3487" name="Line 9"/>
        <xdr:cNvSpPr>
          <a:spLocks noChangeShapeType="1"/>
        </xdr:cNvSpPr>
      </xdr:nvSpPr>
      <xdr:spPr bwMode="auto">
        <a:xfrm>
          <a:off x="981075" y="1714500"/>
          <a:ext cx="0" cy="3714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57150</xdr:colOff>
      <xdr:row>9</xdr:row>
      <xdr:rowOff>142875</xdr:rowOff>
    </xdr:from>
    <xdr:to>
      <xdr:col>11</xdr:col>
      <xdr:colOff>57150</xdr:colOff>
      <xdr:row>10</xdr:row>
      <xdr:rowOff>171450</xdr:rowOff>
    </xdr:to>
    <xdr:sp macro="" textlink="">
      <xdr:nvSpPr>
        <xdr:cNvPr id="3488" name="Line 10"/>
        <xdr:cNvSpPr>
          <a:spLocks noChangeShapeType="1"/>
        </xdr:cNvSpPr>
      </xdr:nvSpPr>
      <xdr:spPr bwMode="auto">
        <a:xfrm>
          <a:off x="1400175" y="1714500"/>
          <a:ext cx="0" cy="2095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19</xdr:col>
      <xdr:colOff>95250</xdr:colOff>
      <xdr:row>9</xdr:row>
      <xdr:rowOff>142875</xdr:rowOff>
    </xdr:from>
    <xdr:to>
      <xdr:col>19</xdr:col>
      <xdr:colOff>95250</xdr:colOff>
      <xdr:row>10</xdr:row>
      <xdr:rowOff>142875</xdr:rowOff>
    </xdr:to>
    <xdr:sp macro="" textlink="">
      <xdr:nvSpPr>
        <xdr:cNvPr id="3489" name="Line 11"/>
        <xdr:cNvSpPr>
          <a:spLocks noChangeShapeType="1"/>
        </xdr:cNvSpPr>
      </xdr:nvSpPr>
      <xdr:spPr bwMode="auto">
        <a:xfrm>
          <a:off x="2276475" y="1714500"/>
          <a:ext cx="0" cy="1809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</xdr:col>
      <xdr:colOff>9525</xdr:colOff>
      <xdr:row>10</xdr:row>
      <xdr:rowOff>123825</xdr:rowOff>
    </xdr:from>
    <xdr:to>
      <xdr:col>11</xdr:col>
      <xdr:colOff>47625</xdr:colOff>
      <xdr:row>10</xdr:row>
      <xdr:rowOff>123825</xdr:rowOff>
    </xdr:to>
    <xdr:sp macro="" textlink="">
      <xdr:nvSpPr>
        <xdr:cNvPr id="3490" name="Line 12"/>
        <xdr:cNvSpPr>
          <a:spLocks noChangeShapeType="1"/>
        </xdr:cNvSpPr>
      </xdr:nvSpPr>
      <xdr:spPr bwMode="auto">
        <a:xfrm flipV="1">
          <a:off x="981075" y="1876425"/>
          <a:ext cx="409575" cy="0"/>
        </a:xfrm>
        <a:prstGeom prst="line">
          <a:avLst/>
        </a:prstGeom>
        <a:noFill/>
        <a:ln w="9525">
          <a:solidFill>
            <a:srgbClr val="000000"/>
          </a:solidFill>
          <a:round/>
          <a:headEnd type="stealth" w="sm" len="med"/>
          <a:tailEnd type="stealth" w="sm" len="med"/>
        </a:ln>
      </xdr:spPr>
    </xdr:sp>
    <xdr:clientData/>
  </xdr:twoCellAnchor>
  <xdr:twoCellAnchor>
    <xdr:from>
      <xdr:col>11</xdr:col>
      <xdr:colOff>57150</xdr:colOff>
      <xdr:row>10</xdr:row>
      <xdr:rowOff>114300</xdr:rowOff>
    </xdr:from>
    <xdr:to>
      <xdr:col>19</xdr:col>
      <xdr:colOff>104775</xdr:colOff>
      <xdr:row>10</xdr:row>
      <xdr:rowOff>114300</xdr:rowOff>
    </xdr:to>
    <xdr:sp macro="" textlink="">
      <xdr:nvSpPr>
        <xdr:cNvPr id="3491" name="Line 13"/>
        <xdr:cNvSpPr>
          <a:spLocks noChangeShapeType="1"/>
        </xdr:cNvSpPr>
      </xdr:nvSpPr>
      <xdr:spPr bwMode="auto">
        <a:xfrm>
          <a:off x="1400175" y="1866900"/>
          <a:ext cx="885825" cy="0"/>
        </a:xfrm>
        <a:prstGeom prst="line">
          <a:avLst/>
        </a:prstGeom>
        <a:noFill/>
        <a:ln w="9525">
          <a:solidFill>
            <a:srgbClr val="000000"/>
          </a:solidFill>
          <a:round/>
          <a:headEnd type="stealth" w="sm" len="med"/>
          <a:tailEnd type="stealth" w="sm" len="med"/>
        </a:ln>
      </xdr:spPr>
    </xdr:sp>
    <xdr:clientData/>
  </xdr:twoCellAnchor>
  <xdr:twoCellAnchor>
    <xdr:from>
      <xdr:col>19</xdr:col>
      <xdr:colOff>104775</xdr:colOff>
      <xdr:row>10</xdr:row>
      <xdr:rowOff>114300</xdr:rowOff>
    </xdr:from>
    <xdr:to>
      <xdr:col>23</xdr:col>
      <xdr:colOff>38100</xdr:colOff>
      <xdr:row>10</xdr:row>
      <xdr:rowOff>114300</xdr:rowOff>
    </xdr:to>
    <xdr:sp macro="" textlink="">
      <xdr:nvSpPr>
        <xdr:cNvPr id="3492" name="Line 14"/>
        <xdr:cNvSpPr>
          <a:spLocks noChangeShapeType="1"/>
        </xdr:cNvSpPr>
      </xdr:nvSpPr>
      <xdr:spPr bwMode="auto">
        <a:xfrm>
          <a:off x="2286000" y="1866900"/>
          <a:ext cx="428625" cy="0"/>
        </a:xfrm>
        <a:prstGeom prst="line">
          <a:avLst/>
        </a:prstGeom>
        <a:noFill/>
        <a:ln w="9525">
          <a:solidFill>
            <a:srgbClr val="000000"/>
          </a:solidFill>
          <a:round/>
          <a:headEnd type="stealth" w="sm" len="med"/>
          <a:tailEnd type="stealth" w="sm" len="med"/>
        </a:ln>
      </xdr:spPr>
    </xdr:sp>
    <xdr:clientData/>
  </xdr:twoCellAnchor>
  <xdr:twoCellAnchor>
    <xdr:from>
      <xdr:col>8</xdr:col>
      <xdr:colOff>19050</xdr:colOff>
      <xdr:row>11</xdr:row>
      <xdr:rowOff>104775</xdr:rowOff>
    </xdr:from>
    <xdr:to>
      <xdr:col>23</xdr:col>
      <xdr:colOff>38100</xdr:colOff>
      <xdr:row>11</xdr:row>
      <xdr:rowOff>104775</xdr:rowOff>
    </xdr:to>
    <xdr:sp macro="" textlink="">
      <xdr:nvSpPr>
        <xdr:cNvPr id="3493" name="Line 15"/>
        <xdr:cNvSpPr>
          <a:spLocks noChangeShapeType="1"/>
        </xdr:cNvSpPr>
      </xdr:nvSpPr>
      <xdr:spPr bwMode="auto">
        <a:xfrm>
          <a:off x="990600" y="2038350"/>
          <a:ext cx="1724025" cy="0"/>
        </a:xfrm>
        <a:prstGeom prst="line">
          <a:avLst/>
        </a:prstGeom>
        <a:noFill/>
        <a:ln w="9525">
          <a:solidFill>
            <a:srgbClr val="000000"/>
          </a:solidFill>
          <a:round/>
          <a:headEnd type="stealth" w="sm" len="med"/>
          <a:tailEnd type="stealth" w="sm" len="med"/>
        </a:ln>
      </xdr:spPr>
    </xdr:sp>
    <xdr:clientData/>
  </xdr:twoCellAnchor>
  <xdr:twoCellAnchor>
    <xdr:from>
      <xdr:col>4</xdr:col>
      <xdr:colOff>47625</xdr:colOff>
      <xdr:row>9</xdr:row>
      <xdr:rowOff>123825</xdr:rowOff>
    </xdr:from>
    <xdr:to>
      <xdr:col>7</xdr:col>
      <xdr:colOff>95250</xdr:colOff>
      <xdr:row>9</xdr:row>
      <xdr:rowOff>123825</xdr:rowOff>
    </xdr:to>
    <xdr:sp macro="" textlink="">
      <xdr:nvSpPr>
        <xdr:cNvPr id="3494" name="Line 16"/>
        <xdr:cNvSpPr>
          <a:spLocks noChangeShapeType="1"/>
        </xdr:cNvSpPr>
      </xdr:nvSpPr>
      <xdr:spPr bwMode="auto">
        <a:xfrm>
          <a:off x="523875" y="1695450"/>
          <a:ext cx="4191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114300</xdr:colOff>
      <xdr:row>7</xdr:row>
      <xdr:rowOff>104775</xdr:rowOff>
    </xdr:from>
    <xdr:to>
      <xdr:col>7</xdr:col>
      <xdr:colOff>114300</xdr:colOff>
      <xdr:row>7</xdr:row>
      <xdr:rowOff>104775</xdr:rowOff>
    </xdr:to>
    <xdr:sp macro="" textlink="">
      <xdr:nvSpPr>
        <xdr:cNvPr id="3495" name="Line 17"/>
        <xdr:cNvSpPr>
          <a:spLocks noChangeShapeType="1"/>
        </xdr:cNvSpPr>
      </xdr:nvSpPr>
      <xdr:spPr bwMode="auto">
        <a:xfrm>
          <a:off x="714375" y="1314450"/>
          <a:ext cx="24765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3</xdr:row>
      <xdr:rowOff>9525</xdr:rowOff>
    </xdr:from>
    <xdr:to>
      <xdr:col>7</xdr:col>
      <xdr:colOff>85725</xdr:colOff>
      <xdr:row>3</xdr:row>
      <xdr:rowOff>9525</xdr:rowOff>
    </xdr:to>
    <xdr:sp macro="" textlink="">
      <xdr:nvSpPr>
        <xdr:cNvPr id="3496" name="Line 18"/>
        <xdr:cNvSpPr>
          <a:spLocks noChangeShapeType="1"/>
        </xdr:cNvSpPr>
      </xdr:nvSpPr>
      <xdr:spPr bwMode="auto">
        <a:xfrm>
          <a:off x="723900" y="495300"/>
          <a:ext cx="20955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19050</xdr:colOff>
      <xdr:row>0</xdr:row>
      <xdr:rowOff>114300</xdr:rowOff>
    </xdr:from>
    <xdr:to>
      <xdr:col>7</xdr:col>
      <xdr:colOff>95250</xdr:colOff>
      <xdr:row>0</xdr:row>
      <xdr:rowOff>114300</xdr:rowOff>
    </xdr:to>
    <xdr:sp macro="" textlink="">
      <xdr:nvSpPr>
        <xdr:cNvPr id="3497" name="Line 19"/>
        <xdr:cNvSpPr>
          <a:spLocks noChangeShapeType="1"/>
        </xdr:cNvSpPr>
      </xdr:nvSpPr>
      <xdr:spPr bwMode="auto">
        <a:xfrm>
          <a:off x="495300" y="114300"/>
          <a:ext cx="4476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38100</xdr:colOff>
      <xdr:row>7</xdr:row>
      <xdr:rowOff>123825</xdr:rowOff>
    </xdr:from>
    <xdr:to>
      <xdr:col>6</xdr:col>
      <xdr:colOff>38100</xdr:colOff>
      <xdr:row>9</xdr:row>
      <xdr:rowOff>123825</xdr:rowOff>
    </xdr:to>
    <xdr:sp macro="" textlink="">
      <xdr:nvSpPr>
        <xdr:cNvPr id="3498" name="Line 20"/>
        <xdr:cNvSpPr>
          <a:spLocks noChangeShapeType="1"/>
        </xdr:cNvSpPr>
      </xdr:nvSpPr>
      <xdr:spPr bwMode="auto">
        <a:xfrm flipV="1">
          <a:off x="762000" y="1333500"/>
          <a:ext cx="0" cy="361950"/>
        </a:xfrm>
        <a:prstGeom prst="line">
          <a:avLst/>
        </a:prstGeom>
        <a:noFill/>
        <a:ln w="9525">
          <a:solidFill>
            <a:srgbClr val="000000"/>
          </a:solidFill>
          <a:round/>
          <a:headEnd type="stealth" w="sm" len="med"/>
          <a:tailEnd type="stealth" w="sm" len="med"/>
        </a:ln>
      </xdr:spPr>
    </xdr:sp>
    <xdr:clientData/>
  </xdr:twoCellAnchor>
  <xdr:twoCellAnchor>
    <xdr:from>
      <xdr:col>6</xdr:col>
      <xdr:colOff>38100</xdr:colOff>
      <xdr:row>3</xdr:row>
      <xdr:rowOff>19050</xdr:rowOff>
    </xdr:from>
    <xdr:to>
      <xdr:col>6</xdr:col>
      <xdr:colOff>38100</xdr:colOff>
      <xdr:row>7</xdr:row>
      <xdr:rowOff>95250</xdr:rowOff>
    </xdr:to>
    <xdr:sp macro="" textlink="">
      <xdr:nvSpPr>
        <xdr:cNvPr id="3499" name="Line 21"/>
        <xdr:cNvSpPr>
          <a:spLocks noChangeShapeType="1"/>
        </xdr:cNvSpPr>
      </xdr:nvSpPr>
      <xdr:spPr bwMode="auto">
        <a:xfrm flipV="1">
          <a:off x="762000" y="504825"/>
          <a:ext cx="0" cy="800100"/>
        </a:xfrm>
        <a:prstGeom prst="line">
          <a:avLst/>
        </a:prstGeom>
        <a:noFill/>
        <a:ln w="9525">
          <a:solidFill>
            <a:srgbClr val="000000"/>
          </a:solidFill>
          <a:round/>
          <a:headEnd type="stealth" w="sm" len="med"/>
          <a:tailEnd type="stealth" w="sm" len="med"/>
        </a:ln>
      </xdr:spPr>
    </xdr:sp>
    <xdr:clientData/>
  </xdr:twoCellAnchor>
  <xdr:twoCellAnchor>
    <xdr:from>
      <xdr:col>6</xdr:col>
      <xdr:colOff>38100</xdr:colOff>
      <xdr:row>0</xdr:row>
      <xdr:rowOff>133350</xdr:rowOff>
    </xdr:from>
    <xdr:to>
      <xdr:col>6</xdr:col>
      <xdr:colOff>38100</xdr:colOff>
      <xdr:row>3</xdr:row>
      <xdr:rowOff>0</xdr:rowOff>
    </xdr:to>
    <xdr:sp macro="" textlink="">
      <xdr:nvSpPr>
        <xdr:cNvPr id="3500" name="Line 22"/>
        <xdr:cNvSpPr>
          <a:spLocks noChangeShapeType="1"/>
        </xdr:cNvSpPr>
      </xdr:nvSpPr>
      <xdr:spPr bwMode="auto">
        <a:xfrm flipV="1">
          <a:off x="762000" y="133350"/>
          <a:ext cx="0" cy="352425"/>
        </a:xfrm>
        <a:prstGeom prst="line">
          <a:avLst/>
        </a:prstGeom>
        <a:noFill/>
        <a:ln w="9525">
          <a:solidFill>
            <a:srgbClr val="000000"/>
          </a:solidFill>
          <a:round/>
          <a:headEnd type="stealth" w="sm" len="med"/>
          <a:tailEnd type="stealth" w="sm" len="med"/>
        </a:ln>
      </xdr:spPr>
    </xdr:sp>
    <xdr:clientData/>
  </xdr:twoCellAnchor>
  <xdr:twoCellAnchor>
    <xdr:from>
      <xdr:col>4</xdr:col>
      <xdr:colOff>95250</xdr:colOff>
      <xdr:row>0</xdr:row>
      <xdr:rowOff>114300</xdr:rowOff>
    </xdr:from>
    <xdr:to>
      <xdr:col>4</xdr:col>
      <xdr:colOff>95250</xdr:colOff>
      <xdr:row>9</xdr:row>
      <xdr:rowOff>114300</xdr:rowOff>
    </xdr:to>
    <xdr:sp macro="" textlink="">
      <xdr:nvSpPr>
        <xdr:cNvPr id="3501" name="Line 23"/>
        <xdr:cNvSpPr>
          <a:spLocks noChangeShapeType="1"/>
        </xdr:cNvSpPr>
      </xdr:nvSpPr>
      <xdr:spPr bwMode="auto">
        <a:xfrm flipH="1" flipV="1">
          <a:off x="571500" y="114300"/>
          <a:ext cx="0" cy="1571625"/>
        </a:xfrm>
        <a:prstGeom prst="line">
          <a:avLst/>
        </a:prstGeom>
        <a:noFill/>
        <a:ln w="9525">
          <a:solidFill>
            <a:srgbClr val="000000"/>
          </a:solidFill>
          <a:round/>
          <a:headEnd type="stealth" w="sm" len="med"/>
          <a:tailEnd type="stealth" w="sm" len="med"/>
        </a:ln>
      </xdr:spPr>
    </xdr:sp>
    <xdr:clientData/>
  </xdr:twoCellAnchor>
  <xdr:twoCellAnchor>
    <xdr:from>
      <xdr:col>11</xdr:col>
      <xdr:colOff>57150</xdr:colOff>
      <xdr:row>3</xdr:row>
      <xdr:rowOff>0</xdr:rowOff>
    </xdr:from>
    <xdr:to>
      <xdr:col>19</xdr:col>
      <xdr:colOff>114300</xdr:colOff>
      <xdr:row>7</xdr:row>
      <xdr:rowOff>114300</xdr:rowOff>
    </xdr:to>
    <xdr:sp macro="" textlink="">
      <xdr:nvSpPr>
        <xdr:cNvPr id="3502" name="Freeform 24"/>
        <xdr:cNvSpPr>
          <a:spLocks/>
        </xdr:cNvSpPr>
      </xdr:nvSpPr>
      <xdr:spPr bwMode="auto">
        <a:xfrm>
          <a:off x="1400175" y="485775"/>
          <a:ext cx="895350" cy="838200"/>
        </a:xfrm>
        <a:custGeom>
          <a:avLst/>
          <a:gdLst>
            <a:gd name="T0" fmla="*/ 15 w 94"/>
            <a:gd name="T1" fmla="*/ 11 h 88"/>
            <a:gd name="T2" fmla="*/ 21 w 94"/>
            <a:gd name="T3" fmla="*/ 7 h 88"/>
            <a:gd name="T4" fmla="*/ 30 w 94"/>
            <a:gd name="T5" fmla="*/ 3 h 88"/>
            <a:gd name="T6" fmla="*/ 40 w 94"/>
            <a:gd name="T7" fmla="*/ 1 h 88"/>
            <a:gd name="T8" fmla="*/ 47 w 94"/>
            <a:gd name="T9" fmla="*/ 0 h 88"/>
            <a:gd name="T10" fmla="*/ 55 w 94"/>
            <a:gd name="T11" fmla="*/ 1 h 88"/>
            <a:gd name="T12" fmla="*/ 61 w 94"/>
            <a:gd name="T13" fmla="*/ 2 h 88"/>
            <a:gd name="T14" fmla="*/ 69 w 94"/>
            <a:gd name="T15" fmla="*/ 5 h 88"/>
            <a:gd name="T16" fmla="*/ 75 w 94"/>
            <a:gd name="T17" fmla="*/ 8 h 88"/>
            <a:gd name="T18" fmla="*/ 81 w 94"/>
            <a:gd name="T19" fmla="*/ 13 h 88"/>
            <a:gd name="T20" fmla="*/ 86 w 94"/>
            <a:gd name="T21" fmla="*/ 18 h 88"/>
            <a:gd name="T22" fmla="*/ 89 w 94"/>
            <a:gd name="T23" fmla="*/ 23 h 88"/>
            <a:gd name="T24" fmla="*/ 91 w 94"/>
            <a:gd name="T25" fmla="*/ 28 h 88"/>
            <a:gd name="T26" fmla="*/ 93 w 94"/>
            <a:gd name="T27" fmla="*/ 34 h 88"/>
            <a:gd name="T28" fmla="*/ 94 w 94"/>
            <a:gd name="T29" fmla="*/ 40 h 88"/>
            <a:gd name="T30" fmla="*/ 94 w 94"/>
            <a:gd name="T31" fmla="*/ 50 h 88"/>
            <a:gd name="T32" fmla="*/ 93 w 94"/>
            <a:gd name="T33" fmla="*/ 57 h 88"/>
            <a:gd name="T34" fmla="*/ 91 w 94"/>
            <a:gd name="T35" fmla="*/ 61 h 88"/>
            <a:gd name="T36" fmla="*/ 88 w 94"/>
            <a:gd name="T37" fmla="*/ 67 h 88"/>
            <a:gd name="T38" fmla="*/ 84 w 94"/>
            <a:gd name="T39" fmla="*/ 72 h 88"/>
            <a:gd name="T40" fmla="*/ 79 w 94"/>
            <a:gd name="T41" fmla="*/ 77 h 88"/>
            <a:gd name="T42" fmla="*/ 71 w 94"/>
            <a:gd name="T43" fmla="*/ 82 h 88"/>
            <a:gd name="T44" fmla="*/ 65 w 94"/>
            <a:gd name="T45" fmla="*/ 85 h 88"/>
            <a:gd name="T46" fmla="*/ 59 w 94"/>
            <a:gd name="T47" fmla="*/ 87 h 88"/>
            <a:gd name="T48" fmla="*/ 52 w 94"/>
            <a:gd name="T49" fmla="*/ 88 h 88"/>
            <a:gd name="T50" fmla="*/ 46 w 94"/>
            <a:gd name="T51" fmla="*/ 88 h 88"/>
            <a:gd name="T52" fmla="*/ 37 w 94"/>
            <a:gd name="T53" fmla="*/ 87 h 88"/>
            <a:gd name="T54" fmla="*/ 29 w 94"/>
            <a:gd name="T55" fmla="*/ 85 h 88"/>
            <a:gd name="T56" fmla="*/ 20 w 94"/>
            <a:gd name="T57" fmla="*/ 80 h 88"/>
            <a:gd name="T58" fmla="*/ 12 w 94"/>
            <a:gd name="T59" fmla="*/ 73 h 88"/>
            <a:gd name="T60" fmla="*/ 6 w 94"/>
            <a:gd name="T61" fmla="*/ 66 h 88"/>
            <a:gd name="T62" fmla="*/ 2 w 94"/>
            <a:gd name="T63" fmla="*/ 57 h 88"/>
            <a:gd name="T64" fmla="*/ 0 w 94"/>
            <a:gd name="T65" fmla="*/ 49 h 88"/>
            <a:gd name="T66" fmla="*/ 0 w 94"/>
            <a:gd name="T67" fmla="*/ 40 h 88"/>
            <a:gd name="T68" fmla="*/ 1 w 94"/>
            <a:gd name="T69" fmla="*/ 32 h 88"/>
            <a:gd name="T70" fmla="*/ 4 w 94"/>
            <a:gd name="T71" fmla="*/ 26 h 88"/>
            <a:gd name="T72" fmla="*/ 6 w 94"/>
            <a:gd name="T73" fmla="*/ 22 h 88"/>
            <a:gd name="T74" fmla="*/ 9 w 94"/>
            <a:gd name="T75" fmla="*/ 18 h 88"/>
            <a:gd name="T76" fmla="*/ 12 w 94"/>
            <a:gd name="T77" fmla="*/ 14 h 88"/>
            <a:gd name="T78" fmla="*/ 15 w 94"/>
            <a:gd name="T79" fmla="*/ 11 h 88"/>
            <a:gd name="T80" fmla="*/ 0 60000 65536"/>
            <a:gd name="T81" fmla="*/ 0 60000 65536"/>
            <a:gd name="T82" fmla="*/ 0 60000 65536"/>
            <a:gd name="T83" fmla="*/ 0 60000 65536"/>
            <a:gd name="T84" fmla="*/ 0 60000 65536"/>
            <a:gd name="T85" fmla="*/ 0 60000 65536"/>
            <a:gd name="T86" fmla="*/ 0 60000 65536"/>
            <a:gd name="T87" fmla="*/ 0 60000 65536"/>
            <a:gd name="T88" fmla="*/ 0 60000 65536"/>
            <a:gd name="T89" fmla="*/ 0 60000 65536"/>
            <a:gd name="T90" fmla="*/ 0 60000 65536"/>
            <a:gd name="T91" fmla="*/ 0 60000 65536"/>
            <a:gd name="T92" fmla="*/ 0 60000 65536"/>
            <a:gd name="T93" fmla="*/ 0 60000 65536"/>
            <a:gd name="T94" fmla="*/ 0 60000 65536"/>
            <a:gd name="T95" fmla="*/ 0 60000 65536"/>
            <a:gd name="T96" fmla="*/ 0 60000 65536"/>
            <a:gd name="T97" fmla="*/ 0 60000 65536"/>
            <a:gd name="T98" fmla="*/ 0 60000 65536"/>
            <a:gd name="T99" fmla="*/ 0 60000 65536"/>
            <a:gd name="T100" fmla="*/ 0 60000 65536"/>
            <a:gd name="T101" fmla="*/ 0 60000 65536"/>
            <a:gd name="T102" fmla="*/ 0 60000 65536"/>
            <a:gd name="T103" fmla="*/ 0 60000 65536"/>
            <a:gd name="T104" fmla="*/ 0 60000 65536"/>
            <a:gd name="T105" fmla="*/ 0 60000 65536"/>
            <a:gd name="T106" fmla="*/ 0 60000 65536"/>
            <a:gd name="T107" fmla="*/ 0 60000 65536"/>
            <a:gd name="T108" fmla="*/ 0 60000 65536"/>
            <a:gd name="T109" fmla="*/ 0 60000 65536"/>
            <a:gd name="T110" fmla="*/ 0 60000 65536"/>
            <a:gd name="T111" fmla="*/ 0 60000 65536"/>
            <a:gd name="T112" fmla="*/ 0 60000 65536"/>
            <a:gd name="T113" fmla="*/ 0 60000 65536"/>
            <a:gd name="T114" fmla="*/ 0 60000 65536"/>
            <a:gd name="T115" fmla="*/ 0 60000 65536"/>
            <a:gd name="T116" fmla="*/ 0 60000 65536"/>
            <a:gd name="T117" fmla="*/ 0 60000 65536"/>
            <a:gd name="T118" fmla="*/ 0 60000 65536"/>
            <a:gd name="T119" fmla="*/ 0 60000 65536"/>
            <a:gd name="T120" fmla="*/ 0 w 94"/>
            <a:gd name="T121" fmla="*/ 0 h 88"/>
            <a:gd name="T122" fmla="*/ 94 w 94"/>
            <a:gd name="T123" fmla="*/ 88 h 88"/>
          </a:gdLst>
          <a:ahLst/>
          <a:cxnLst>
            <a:cxn ang="T80">
              <a:pos x="T0" y="T1"/>
            </a:cxn>
            <a:cxn ang="T81">
              <a:pos x="T2" y="T3"/>
            </a:cxn>
            <a:cxn ang="T82">
              <a:pos x="T4" y="T5"/>
            </a:cxn>
            <a:cxn ang="T83">
              <a:pos x="T6" y="T7"/>
            </a:cxn>
            <a:cxn ang="T84">
              <a:pos x="T8" y="T9"/>
            </a:cxn>
            <a:cxn ang="T85">
              <a:pos x="T10" y="T11"/>
            </a:cxn>
            <a:cxn ang="T86">
              <a:pos x="T12" y="T13"/>
            </a:cxn>
            <a:cxn ang="T87">
              <a:pos x="T14" y="T15"/>
            </a:cxn>
            <a:cxn ang="T88">
              <a:pos x="T16" y="T17"/>
            </a:cxn>
            <a:cxn ang="T89">
              <a:pos x="T18" y="T19"/>
            </a:cxn>
            <a:cxn ang="T90">
              <a:pos x="T20" y="T21"/>
            </a:cxn>
            <a:cxn ang="T91">
              <a:pos x="T22" y="T23"/>
            </a:cxn>
            <a:cxn ang="T92">
              <a:pos x="T24" y="T25"/>
            </a:cxn>
            <a:cxn ang="T93">
              <a:pos x="T26" y="T27"/>
            </a:cxn>
            <a:cxn ang="T94">
              <a:pos x="T28" y="T29"/>
            </a:cxn>
            <a:cxn ang="T95">
              <a:pos x="T30" y="T31"/>
            </a:cxn>
            <a:cxn ang="T96">
              <a:pos x="T32" y="T33"/>
            </a:cxn>
            <a:cxn ang="T97">
              <a:pos x="T34" y="T35"/>
            </a:cxn>
            <a:cxn ang="T98">
              <a:pos x="T36" y="T37"/>
            </a:cxn>
            <a:cxn ang="T99">
              <a:pos x="T38" y="T39"/>
            </a:cxn>
            <a:cxn ang="T100">
              <a:pos x="T40" y="T41"/>
            </a:cxn>
            <a:cxn ang="T101">
              <a:pos x="T42" y="T43"/>
            </a:cxn>
            <a:cxn ang="T102">
              <a:pos x="T44" y="T45"/>
            </a:cxn>
            <a:cxn ang="T103">
              <a:pos x="T46" y="T47"/>
            </a:cxn>
            <a:cxn ang="T104">
              <a:pos x="T48" y="T49"/>
            </a:cxn>
            <a:cxn ang="T105">
              <a:pos x="T50" y="T51"/>
            </a:cxn>
            <a:cxn ang="T106">
              <a:pos x="T52" y="T53"/>
            </a:cxn>
            <a:cxn ang="T107">
              <a:pos x="T54" y="T55"/>
            </a:cxn>
            <a:cxn ang="T108">
              <a:pos x="T56" y="T57"/>
            </a:cxn>
            <a:cxn ang="T109">
              <a:pos x="T58" y="T59"/>
            </a:cxn>
            <a:cxn ang="T110">
              <a:pos x="T60" y="T61"/>
            </a:cxn>
            <a:cxn ang="T111">
              <a:pos x="T62" y="T63"/>
            </a:cxn>
            <a:cxn ang="T112">
              <a:pos x="T64" y="T65"/>
            </a:cxn>
            <a:cxn ang="T113">
              <a:pos x="T66" y="T67"/>
            </a:cxn>
            <a:cxn ang="T114">
              <a:pos x="T68" y="T69"/>
            </a:cxn>
            <a:cxn ang="T115">
              <a:pos x="T70" y="T71"/>
            </a:cxn>
            <a:cxn ang="T116">
              <a:pos x="T72" y="T73"/>
            </a:cxn>
            <a:cxn ang="T117">
              <a:pos x="T74" y="T75"/>
            </a:cxn>
            <a:cxn ang="T118">
              <a:pos x="T76" y="T77"/>
            </a:cxn>
            <a:cxn ang="T119">
              <a:pos x="T78" y="T79"/>
            </a:cxn>
          </a:cxnLst>
          <a:rect l="T120" t="T121" r="T122" b="T123"/>
          <a:pathLst>
            <a:path w="94" h="88">
              <a:moveTo>
                <a:pt x="15" y="11"/>
              </a:moveTo>
              <a:lnTo>
                <a:pt x="21" y="7"/>
              </a:lnTo>
              <a:lnTo>
                <a:pt x="30" y="3"/>
              </a:lnTo>
              <a:lnTo>
                <a:pt x="40" y="1"/>
              </a:lnTo>
              <a:lnTo>
                <a:pt x="47" y="0"/>
              </a:lnTo>
              <a:lnTo>
                <a:pt x="55" y="1"/>
              </a:lnTo>
              <a:lnTo>
                <a:pt x="61" y="2"/>
              </a:lnTo>
              <a:lnTo>
                <a:pt x="69" y="5"/>
              </a:lnTo>
              <a:lnTo>
                <a:pt x="75" y="8"/>
              </a:lnTo>
              <a:lnTo>
                <a:pt x="81" y="13"/>
              </a:lnTo>
              <a:lnTo>
                <a:pt x="86" y="18"/>
              </a:lnTo>
              <a:lnTo>
                <a:pt x="89" y="23"/>
              </a:lnTo>
              <a:lnTo>
                <a:pt x="91" y="28"/>
              </a:lnTo>
              <a:lnTo>
                <a:pt x="93" y="34"/>
              </a:lnTo>
              <a:lnTo>
                <a:pt x="94" y="40"/>
              </a:lnTo>
              <a:lnTo>
                <a:pt x="94" y="50"/>
              </a:lnTo>
              <a:lnTo>
                <a:pt x="93" y="57"/>
              </a:lnTo>
              <a:lnTo>
                <a:pt x="91" y="61"/>
              </a:lnTo>
              <a:lnTo>
                <a:pt x="88" y="67"/>
              </a:lnTo>
              <a:lnTo>
                <a:pt x="84" y="72"/>
              </a:lnTo>
              <a:lnTo>
                <a:pt x="79" y="77"/>
              </a:lnTo>
              <a:lnTo>
                <a:pt x="71" y="82"/>
              </a:lnTo>
              <a:lnTo>
                <a:pt x="65" y="85"/>
              </a:lnTo>
              <a:lnTo>
                <a:pt x="59" y="87"/>
              </a:lnTo>
              <a:lnTo>
                <a:pt x="52" y="88"/>
              </a:lnTo>
              <a:lnTo>
                <a:pt x="46" y="88"/>
              </a:lnTo>
              <a:lnTo>
                <a:pt x="37" y="87"/>
              </a:lnTo>
              <a:lnTo>
                <a:pt x="29" y="85"/>
              </a:lnTo>
              <a:lnTo>
                <a:pt x="20" y="80"/>
              </a:lnTo>
              <a:lnTo>
                <a:pt x="12" y="73"/>
              </a:lnTo>
              <a:lnTo>
                <a:pt x="6" y="66"/>
              </a:lnTo>
              <a:lnTo>
                <a:pt x="2" y="57"/>
              </a:lnTo>
              <a:lnTo>
                <a:pt x="0" y="49"/>
              </a:lnTo>
              <a:lnTo>
                <a:pt x="0" y="40"/>
              </a:lnTo>
              <a:lnTo>
                <a:pt x="1" y="32"/>
              </a:lnTo>
              <a:lnTo>
                <a:pt x="4" y="26"/>
              </a:lnTo>
              <a:lnTo>
                <a:pt x="6" y="22"/>
              </a:lnTo>
              <a:lnTo>
                <a:pt x="9" y="18"/>
              </a:lnTo>
              <a:lnTo>
                <a:pt x="12" y="14"/>
              </a:lnTo>
              <a:lnTo>
                <a:pt x="15" y="11"/>
              </a:lnTo>
            </a:path>
          </a:pathLst>
        </a:custGeom>
        <a:noFill/>
        <a:ln w="19050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18</xdr:col>
      <xdr:colOff>104775</xdr:colOff>
      <xdr:row>3</xdr:row>
      <xdr:rowOff>85725</xdr:rowOff>
    </xdr:from>
    <xdr:to>
      <xdr:col>25</xdr:col>
      <xdr:colOff>66675</xdr:colOff>
      <xdr:row>3</xdr:row>
      <xdr:rowOff>123825</xdr:rowOff>
    </xdr:to>
    <xdr:sp macro="" textlink="">
      <xdr:nvSpPr>
        <xdr:cNvPr id="3503" name="Freeform 25"/>
        <xdr:cNvSpPr>
          <a:spLocks/>
        </xdr:cNvSpPr>
      </xdr:nvSpPr>
      <xdr:spPr bwMode="auto">
        <a:xfrm>
          <a:off x="2162175" y="571500"/>
          <a:ext cx="828675" cy="38100"/>
        </a:xfrm>
        <a:custGeom>
          <a:avLst/>
          <a:gdLst>
            <a:gd name="T0" fmla="*/ 0 w 87"/>
            <a:gd name="T1" fmla="*/ 3 h 4"/>
            <a:gd name="T2" fmla="*/ 3 w 87"/>
            <a:gd name="T3" fmla="*/ 1 h 4"/>
            <a:gd name="T4" fmla="*/ 6 w 87"/>
            <a:gd name="T5" fmla="*/ 1 h 4"/>
            <a:gd name="T6" fmla="*/ 9 w 87"/>
            <a:gd name="T7" fmla="*/ 2 h 4"/>
            <a:gd name="T8" fmla="*/ 11 w 87"/>
            <a:gd name="T9" fmla="*/ 4 h 4"/>
            <a:gd name="T10" fmla="*/ 14 w 87"/>
            <a:gd name="T11" fmla="*/ 4 h 4"/>
            <a:gd name="T12" fmla="*/ 16 w 87"/>
            <a:gd name="T13" fmla="*/ 2 h 4"/>
            <a:gd name="T14" fmla="*/ 20 w 87"/>
            <a:gd name="T15" fmla="*/ 0 h 4"/>
            <a:gd name="T16" fmla="*/ 24 w 87"/>
            <a:gd name="T17" fmla="*/ 0 h 4"/>
            <a:gd name="T18" fmla="*/ 27 w 87"/>
            <a:gd name="T19" fmla="*/ 2 h 4"/>
            <a:gd name="T20" fmla="*/ 29 w 87"/>
            <a:gd name="T21" fmla="*/ 3 h 4"/>
            <a:gd name="T22" fmla="*/ 32 w 87"/>
            <a:gd name="T23" fmla="*/ 2 h 4"/>
            <a:gd name="T24" fmla="*/ 35 w 87"/>
            <a:gd name="T25" fmla="*/ 0 h 4"/>
            <a:gd name="T26" fmla="*/ 38 w 87"/>
            <a:gd name="T27" fmla="*/ 0 h 4"/>
            <a:gd name="T28" fmla="*/ 40 w 87"/>
            <a:gd name="T29" fmla="*/ 0 h 4"/>
            <a:gd name="T30" fmla="*/ 43 w 87"/>
            <a:gd name="T31" fmla="*/ 2 h 4"/>
            <a:gd name="T32" fmla="*/ 46 w 87"/>
            <a:gd name="T33" fmla="*/ 3 h 4"/>
            <a:gd name="T34" fmla="*/ 49 w 87"/>
            <a:gd name="T35" fmla="*/ 1 h 4"/>
            <a:gd name="T36" fmla="*/ 52 w 87"/>
            <a:gd name="T37" fmla="*/ 0 h 4"/>
            <a:gd name="T38" fmla="*/ 55 w 87"/>
            <a:gd name="T39" fmla="*/ 0 h 4"/>
            <a:gd name="T40" fmla="*/ 57 w 87"/>
            <a:gd name="T41" fmla="*/ 1 h 4"/>
            <a:gd name="T42" fmla="*/ 59 w 87"/>
            <a:gd name="T43" fmla="*/ 3 h 4"/>
            <a:gd name="T44" fmla="*/ 62 w 87"/>
            <a:gd name="T45" fmla="*/ 3 h 4"/>
            <a:gd name="T46" fmla="*/ 64 w 87"/>
            <a:gd name="T47" fmla="*/ 2 h 4"/>
            <a:gd name="T48" fmla="*/ 66 w 87"/>
            <a:gd name="T49" fmla="*/ 1 h 4"/>
            <a:gd name="T50" fmla="*/ 68 w 87"/>
            <a:gd name="T51" fmla="*/ 0 h 4"/>
            <a:gd name="T52" fmla="*/ 70 w 87"/>
            <a:gd name="T53" fmla="*/ 0 h 4"/>
            <a:gd name="T54" fmla="*/ 72 w 87"/>
            <a:gd name="T55" fmla="*/ 1 h 4"/>
            <a:gd name="T56" fmla="*/ 73 w 87"/>
            <a:gd name="T57" fmla="*/ 2 h 4"/>
            <a:gd name="T58" fmla="*/ 75 w 87"/>
            <a:gd name="T59" fmla="*/ 3 h 4"/>
            <a:gd name="T60" fmla="*/ 77 w 87"/>
            <a:gd name="T61" fmla="*/ 3 h 4"/>
            <a:gd name="T62" fmla="*/ 79 w 87"/>
            <a:gd name="T63" fmla="*/ 2 h 4"/>
            <a:gd name="T64" fmla="*/ 81 w 87"/>
            <a:gd name="T65" fmla="*/ 1 h 4"/>
            <a:gd name="T66" fmla="*/ 83 w 87"/>
            <a:gd name="T67" fmla="*/ 1 h 4"/>
            <a:gd name="T68" fmla="*/ 85 w 87"/>
            <a:gd name="T69" fmla="*/ 1 h 4"/>
            <a:gd name="T70" fmla="*/ 87 w 87"/>
            <a:gd name="T71" fmla="*/ 2 h 4"/>
            <a:gd name="T72" fmla="*/ 0 60000 65536"/>
            <a:gd name="T73" fmla="*/ 0 60000 65536"/>
            <a:gd name="T74" fmla="*/ 0 60000 65536"/>
            <a:gd name="T75" fmla="*/ 0 60000 65536"/>
            <a:gd name="T76" fmla="*/ 0 60000 65536"/>
            <a:gd name="T77" fmla="*/ 0 60000 65536"/>
            <a:gd name="T78" fmla="*/ 0 60000 65536"/>
            <a:gd name="T79" fmla="*/ 0 60000 65536"/>
            <a:gd name="T80" fmla="*/ 0 60000 65536"/>
            <a:gd name="T81" fmla="*/ 0 60000 65536"/>
            <a:gd name="T82" fmla="*/ 0 60000 65536"/>
            <a:gd name="T83" fmla="*/ 0 60000 65536"/>
            <a:gd name="T84" fmla="*/ 0 60000 65536"/>
            <a:gd name="T85" fmla="*/ 0 60000 65536"/>
            <a:gd name="T86" fmla="*/ 0 60000 65536"/>
            <a:gd name="T87" fmla="*/ 0 60000 65536"/>
            <a:gd name="T88" fmla="*/ 0 60000 65536"/>
            <a:gd name="T89" fmla="*/ 0 60000 65536"/>
            <a:gd name="T90" fmla="*/ 0 60000 65536"/>
            <a:gd name="T91" fmla="*/ 0 60000 65536"/>
            <a:gd name="T92" fmla="*/ 0 60000 65536"/>
            <a:gd name="T93" fmla="*/ 0 60000 65536"/>
            <a:gd name="T94" fmla="*/ 0 60000 65536"/>
            <a:gd name="T95" fmla="*/ 0 60000 65536"/>
            <a:gd name="T96" fmla="*/ 0 60000 65536"/>
            <a:gd name="T97" fmla="*/ 0 60000 65536"/>
            <a:gd name="T98" fmla="*/ 0 60000 65536"/>
            <a:gd name="T99" fmla="*/ 0 60000 65536"/>
            <a:gd name="T100" fmla="*/ 0 60000 65536"/>
            <a:gd name="T101" fmla="*/ 0 60000 65536"/>
            <a:gd name="T102" fmla="*/ 0 60000 65536"/>
            <a:gd name="T103" fmla="*/ 0 60000 65536"/>
            <a:gd name="T104" fmla="*/ 0 60000 65536"/>
            <a:gd name="T105" fmla="*/ 0 60000 65536"/>
            <a:gd name="T106" fmla="*/ 0 60000 65536"/>
            <a:gd name="T107" fmla="*/ 0 60000 65536"/>
            <a:gd name="T108" fmla="*/ 0 w 87"/>
            <a:gd name="T109" fmla="*/ 0 h 4"/>
            <a:gd name="T110" fmla="*/ 87 w 87"/>
            <a:gd name="T111" fmla="*/ 4 h 4"/>
          </a:gdLst>
          <a:ahLst/>
          <a:cxnLst>
            <a:cxn ang="T72">
              <a:pos x="T0" y="T1"/>
            </a:cxn>
            <a:cxn ang="T73">
              <a:pos x="T2" y="T3"/>
            </a:cxn>
            <a:cxn ang="T74">
              <a:pos x="T4" y="T5"/>
            </a:cxn>
            <a:cxn ang="T75">
              <a:pos x="T6" y="T7"/>
            </a:cxn>
            <a:cxn ang="T76">
              <a:pos x="T8" y="T9"/>
            </a:cxn>
            <a:cxn ang="T77">
              <a:pos x="T10" y="T11"/>
            </a:cxn>
            <a:cxn ang="T78">
              <a:pos x="T12" y="T13"/>
            </a:cxn>
            <a:cxn ang="T79">
              <a:pos x="T14" y="T15"/>
            </a:cxn>
            <a:cxn ang="T80">
              <a:pos x="T16" y="T17"/>
            </a:cxn>
            <a:cxn ang="T81">
              <a:pos x="T18" y="T19"/>
            </a:cxn>
            <a:cxn ang="T82">
              <a:pos x="T20" y="T21"/>
            </a:cxn>
            <a:cxn ang="T83">
              <a:pos x="T22" y="T23"/>
            </a:cxn>
            <a:cxn ang="T84">
              <a:pos x="T24" y="T25"/>
            </a:cxn>
            <a:cxn ang="T85">
              <a:pos x="T26" y="T27"/>
            </a:cxn>
            <a:cxn ang="T86">
              <a:pos x="T28" y="T29"/>
            </a:cxn>
            <a:cxn ang="T87">
              <a:pos x="T30" y="T31"/>
            </a:cxn>
            <a:cxn ang="T88">
              <a:pos x="T32" y="T33"/>
            </a:cxn>
            <a:cxn ang="T89">
              <a:pos x="T34" y="T35"/>
            </a:cxn>
            <a:cxn ang="T90">
              <a:pos x="T36" y="T37"/>
            </a:cxn>
            <a:cxn ang="T91">
              <a:pos x="T38" y="T39"/>
            </a:cxn>
            <a:cxn ang="T92">
              <a:pos x="T40" y="T41"/>
            </a:cxn>
            <a:cxn ang="T93">
              <a:pos x="T42" y="T43"/>
            </a:cxn>
            <a:cxn ang="T94">
              <a:pos x="T44" y="T45"/>
            </a:cxn>
            <a:cxn ang="T95">
              <a:pos x="T46" y="T47"/>
            </a:cxn>
            <a:cxn ang="T96">
              <a:pos x="T48" y="T49"/>
            </a:cxn>
            <a:cxn ang="T97">
              <a:pos x="T50" y="T51"/>
            </a:cxn>
            <a:cxn ang="T98">
              <a:pos x="T52" y="T53"/>
            </a:cxn>
            <a:cxn ang="T99">
              <a:pos x="T54" y="T55"/>
            </a:cxn>
            <a:cxn ang="T100">
              <a:pos x="T56" y="T57"/>
            </a:cxn>
            <a:cxn ang="T101">
              <a:pos x="T58" y="T59"/>
            </a:cxn>
            <a:cxn ang="T102">
              <a:pos x="T60" y="T61"/>
            </a:cxn>
            <a:cxn ang="T103">
              <a:pos x="T62" y="T63"/>
            </a:cxn>
            <a:cxn ang="T104">
              <a:pos x="T64" y="T65"/>
            </a:cxn>
            <a:cxn ang="T105">
              <a:pos x="T66" y="T67"/>
            </a:cxn>
            <a:cxn ang="T106">
              <a:pos x="T68" y="T69"/>
            </a:cxn>
            <a:cxn ang="T107">
              <a:pos x="T70" y="T71"/>
            </a:cxn>
          </a:cxnLst>
          <a:rect l="T108" t="T109" r="T110" b="T111"/>
          <a:pathLst>
            <a:path w="87" h="4">
              <a:moveTo>
                <a:pt x="0" y="3"/>
              </a:moveTo>
              <a:lnTo>
                <a:pt x="3" y="1"/>
              </a:lnTo>
              <a:lnTo>
                <a:pt x="6" y="1"/>
              </a:lnTo>
              <a:lnTo>
                <a:pt x="9" y="2"/>
              </a:lnTo>
              <a:lnTo>
                <a:pt x="11" y="4"/>
              </a:lnTo>
              <a:lnTo>
                <a:pt x="14" y="4"/>
              </a:lnTo>
              <a:lnTo>
                <a:pt x="16" y="2"/>
              </a:lnTo>
              <a:lnTo>
                <a:pt x="20" y="0"/>
              </a:lnTo>
              <a:lnTo>
                <a:pt x="24" y="0"/>
              </a:lnTo>
              <a:lnTo>
                <a:pt x="27" y="2"/>
              </a:lnTo>
              <a:lnTo>
                <a:pt x="29" y="3"/>
              </a:lnTo>
              <a:lnTo>
                <a:pt x="32" y="2"/>
              </a:lnTo>
              <a:lnTo>
                <a:pt x="35" y="0"/>
              </a:lnTo>
              <a:lnTo>
                <a:pt x="38" y="0"/>
              </a:lnTo>
              <a:lnTo>
                <a:pt x="40" y="0"/>
              </a:lnTo>
              <a:lnTo>
                <a:pt x="43" y="2"/>
              </a:lnTo>
              <a:lnTo>
                <a:pt x="46" y="3"/>
              </a:lnTo>
              <a:lnTo>
                <a:pt x="49" y="1"/>
              </a:lnTo>
              <a:lnTo>
                <a:pt x="52" y="0"/>
              </a:lnTo>
              <a:lnTo>
                <a:pt x="55" y="0"/>
              </a:lnTo>
              <a:lnTo>
                <a:pt x="57" y="1"/>
              </a:lnTo>
              <a:lnTo>
                <a:pt x="59" y="3"/>
              </a:lnTo>
              <a:lnTo>
                <a:pt x="62" y="3"/>
              </a:lnTo>
              <a:lnTo>
                <a:pt x="64" y="2"/>
              </a:lnTo>
              <a:lnTo>
                <a:pt x="66" y="1"/>
              </a:lnTo>
              <a:lnTo>
                <a:pt x="68" y="0"/>
              </a:lnTo>
              <a:lnTo>
                <a:pt x="70" y="0"/>
              </a:lnTo>
              <a:lnTo>
                <a:pt x="72" y="1"/>
              </a:lnTo>
              <a:lnTo>
                <a:pt x="73" y="2"/>
              </a:lnTo>
              <a:lnTo>
                <a:pt x="75" y="3"/>
              </a:lnTo>
              <a:lnTo>
                <a:pt x="77" y="3"/>
              </a:lnTo>
              <a:lnTo>
                <a:pt x="79" y="2"/>
              </a:lnTo>
              <a:lnTo>
                <a:pt x="81" y="1"/>
              </a:lnTo>
              <a:lnTo>
                <a:pt x="83" y="1"/>
              </a:lnTo>
              <a:lnTo>
                <a:pt x="85" y="1"/>
              </a:lnTo>
              <a:lnTo>
                <a:pt x="87" y="2"/>
              </a:lnTo>
            </a:path>
          </a:pathLst>
        </a:custGeom>
        <a:noFill/>
        <a:ln w="1587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18</xdr:col>
      <xdr:colOff>114300</xdr:colOff>
      <xdr:row>3</xdr:row>
      <xdr:rowOff>104775</xdr:rowOff>
    </xdr:from>
    <xdr:to>
      <xdr:col>26</xdr:col>
      <xdr:colOff>9525</xdr:colOff>
      <xdr:row>7</xdr:row>
      <xdr:rowOff>38100</xdr:rowOff>
    </xdr:to>
    <xdr:sp macro="" textlink="">
      <xdr:nvSpPr>
        <xdr:cNvPr id="3504" name="Freeform 26"/>
        <xdr:cNvSpPr>
          <a:spLocks/>
        </xdr:cNvSpPr>
      </xdr:nvSpPr>
      <xdr:spPr bwMode="auto">
        <a:xfrm>
          <a:off x="2171700" y="590550"/>
          <a:ext cx="885825" cy="657225"/>
        </a:xfrm>
        <a:custGeom>
          <a:avLst/>
          <a:gdLst>
            <a:gd name="T0" fmla="*/ 0 w 93"/>
            <a:gd name="T1" fmla="*/ 66 h 69"/>
            <a:gd name="T2" fmla="*/ 2 w 93"/>
            <a:gd name="T3" fmla="*/ 67 h 69"/>
            <a:gd name="T4" fmla="*/ 5 w 93"/>
            <a:gd name="T5" fmla="*/ 68 h 69"/>
            <a:gd name="T6" fmla="*/ 8 w 93"/>
            <a:gd name="T7" fmla="*/ 66 h 69"/>
            <a:gd name="T8" fmla="*/ 11 w 93"/>
            <a:gd name="T9" fmla="*/ 65 h 69"/>
            <a:gd name="T10" fmla="*/ 14 w 93"/>
            <a:gd name="T11" fmla="*/ 65 h 69"/>
            <a:gd name="T12" fmla="*/ 16 w 93"/>
            <a:gd name="T13" fmla="*/ 67 h 69"/>
            <a:gd name="T14" fmla="*/ 18 w 93"/>
            <a:gd name="T15" fmla="*/ 68 h 69"/>
            <a:gd name="T16" fmla="*/ 20 w 93"/>
            <a:gd name="T17" fmla="*/ 69 h 69"/>
            <a:gd name="T18" fmla="*/ 23 w 93"/>
            <a:gd name="T19" fmla="*/ 68 h 69"/>
            <a:gd name="T20" fmla="*/ 25 w 93"/>
            <a:gd name="T21" fmla="*/ 66 h 69"/>
            <a:gd name="T22" fmla="*/ 28 w 93"/>
            <a:gd name="T23" fmla="*/ 66 h 69"/>
            <a:gd name="T24" fmla="*/ 31 w 93"/>
            <a:gd name="T25" fmla="*/ 68 h 69"/>
            <a:gd name="T26" fmla="*/ 35 w 93"/>
            <a:gd name="T27" fmla="*/ 69 h 69"/>
            <a:gd name="T28" fmla="*/ 38 w 93"/>
            <a:gd name="T29" fmla="*/ 68 h 69"/>
            <a:gd name="T30" fmla="*/ 41 w 93"/>
            <a:gd name="T31" fmla="*/ 66 h 69"/>
            <a:gd name="T32" fmla="*/ 43 w 93"/>
            <a:gd name="T33" fmla="*/ 65 h 69"/>
            <a:gd name="T34" fmla="*/ 46 w 93"/>
            <a:gd name="T35" fmla="*/ 67 h 69"/>
            <a:gd name="T36" fmla="*/ 48 w 93"/>
            <a:gd name="T37" fmla="*/ 68 h 69"/>
            <a:gd name="T38" fmla="*/ 52 w 93"/>
            <a:gd name="T39" fmla="*/ 68 h 69"/>
            <a:gd name="T40" fmla="*/ 55 w 93"/>
            <a:gd name="T41" fmla="*/ 66 h 69"/>
            <a:gd name="T42" fmla="*/ 57 w 93"/>
            <a:gd name="T43" fmla="*/ 65 h 69"/>
            <a:gd name="T44" fmla="*/ 60 w 93"/>
            <a:gd name="T45" fmla="*/ 65 h 69"/>
            <a:gd name="T46" fmla="*/ 62 w 93"/>
            <a:gd name="T47" fmla="*/ 67 h 69"/>
            <a:gd name="T48" fmla="*/ 64 w 93"/>
            <a:gd name="T49" fmla="*/ 68 h 69"/>
            <a:gd name="T50" fmla="*/ 67 w 93"/>
            <a:gd name="T51" fmla="*/ 68 h 69"/>
            <a:gd name="T52" fmla="*/ 70 w 93"/>
            <a:gd name="T53" fmla="*/ 66 h 69"/>
            <a:gd name="T54" fmla="*/ 74 w 93"/>
            <a:gd name="T55" fmla="*/ 65 h 69"/>
            <a:gd name="T56" fmla="*/ 79 w 93"/>
            <a:gd name="T57" fmla="*/ 68 h 69"/>
            <a:gd name="T58" fmla="*/ 84 w 93"/>
            <a:gd name="T59" fmla="*/ 67 h 69"/>
            <a:gd name="T60" fmla="*/ 88 w 93"/>
            <a:gd name="T61" fmla="*/ 63 h 69"/>
            <a:gd name="T62" fmla="*/ 90 w 93"/>
            <a:gd name="T63" fmla="*/ 59 h 69"/>
            <a:gd name="T64" fmla="*/ 92 w 93"/>
            <a:gd name="T65" fmla="*/ 54 h 69"/>
            <a:gd name="T66" fmla="*/ 93 w 93"/>
            <a:gd name="T67" fmla="*/ 49 h 69"/>
            <a:gd name="T68" fmla="*/ 93 w 93"/>
            <a:gd name="T69" fmla="*/ 44 h 69"/>
            <a:gd name="T70" fmla="*/ 91 w 93"/>
            <a:gd name="T71" fmla="*/ 39 h 69"/>
            <a:gd name="T72" fmla="*/ 88 w 93"/>
            <a:gd name="T73" fmla="*/ 35 h 69"/>
            <a:gd name="T74" fmla="*/ 84 w 93"/>
            <a:gd name="T75" fmla="*/ 30 h 69"/>
            <a:gd name="T76" fmla="*/ 80 w 93"/>
            <a:gd name="T77" fmla="*/ 24 h 69"/>
            <a:gd name="T78" fmla="*/ 79 w 93"/>
            <a:gd name="T79" fmla="*/ 17 h 69"/>
            <a:gd name="T80" fmla="*/ 80 w 93"/>
            <a:gd name="T81" fmla="*/ 10 h 69"/>
            <a:gd name="T82" fmla="*/ 83 w 93"/>
            <a:gd name="T83" fmla="*/ 3 h 69"/>
            <a:gd name="T84" fmla="*/ 87 w 93"/>
            <a:gd name="T85" fmla="*/ 0 h 69"/>
            <a:gd name="T86" fmla="*/ 0 60000 65536"/>
            <a:gd name="T87" fmla="*/ 0 60000 65536"/>
            <a:gd name="T88" fmla="*/ 0 60000 65536"/>
            <a:gd name="T89" fmla="*/ 0 60000 65536"/>
            <a:gd name="T90" fmla="*/ 0 60000 65536"/>
            <a:gd name="T91" fmla="*/ 0 60000 65536"/>
            <a:gd name="T92" fmla="*/ 0 60000 65536"/>
            <a:gd name="T93" fmla="*/ 0 60000 65536"/>
            <a:gd name="T94" fmla="*/ 0 60000 65536"/>
            <a:gd name="T95" fmla="*/ 0 60000 65536"/>
            <a:gd name="T96" fmla="*/ 0 60000 65536"/>
            <a:gd name="T97" fmla="*/ 0 60000 65536"/>
            <a:gd name="T98" fmla="*/ 0 60000 65536"/>
            <a:gd name="T99" fmla="*/ 0 60000 65536"/>
            <a:gd name="T100" fmla="*/ 0 60000 65536"/>
            <a:gd name="T101" fmla="*/ 0 60000 65536"/>
            <a:gd name="T102" fmla="*/ 0 60000 65536"/>
            <a:gd name="T103" fmla="*/ 0 60000 65536"/>
            <a:gd name="T104" fmla="*/ 0 60000 65536"/>
            <a:gd name="T105" fmla="*/ 0 60000 65536"/>
            <a:gd name="T106" fmla="*/ 0 60000 65536"/>
            <a:gd name="T107" fmla="*/ 0 60000 65536"/>
            <a:gd name="T108" fmla="*/ 0 60000 65536"/>
            <a:gd name="T109" fmla="*/ 0 60000 65536"/>
            <a:gd name="T110" fmla="*/ 0 60000 65536"/>
            <a:gd name="T111" fmla="*/ 0 60000 65536"/>
            <a:gd name="T112" fmla="*/ 0 60000 65536"/>
            <a:gd name="T113" fmla="*/ 0 60000 65536"/>
            <a:gd name="T114" fmla="*/ 0 60000 65536"/>
            <a:gd name="T115" fmla="*/ 0 60000 65536"/>
            <a:gd name="T116" fmla="*/ 0 60000 65536"/>
            <a:gd name="T117" fmla="*/ 0 60000 65536"/>
            <a:gd name="T118" fmla="*/ 0 60000 65536"/>
            <a:gd name="T119" fmla="*/ 0 60000 65536"/>
            <a:gd name="T120" fmla="*/ 0 60000 65536"/>
            <a:gd name="T121" fmla="*/ 0 60000 65536"/>
            <a:gd name="T122" fmla="*/ 0 60000 65536"/>
            <a:gd name="T123" fmla="*/ 0 60000 65536"/>
            <a:gd name="T124" fmla="*/ 0 60000 65536"/>
            <a:gd name="T125" fmla="*/ 0 60000 65536"/>
            <a:gd name="T126" fmla="*/ 0 60000 65536"/>
            <a:gd name="T127" fmla="*/ 0 60000 65536"/>
            <a:gd name="T128" fmla="*/ 0 60000 65536"/>
            <a:gd name="T129" fmla="*/ 0 w 93"/>
            <a:gd name="T130" fmla="*/ 0 h 69"/>
            <a:gd name="T131" fmla="*/ 93 w 93"/>
            <a:gd name="T132" fmla="*/ 69 h 69"/>
          </a:gdLst>
          <a:ahLst/>
          <a:cxnLst>
            <a:cxn ang="T86">
              <a:pos x="T0" y="T1"/>
            </a:cxn>
            <a:cxn ang="T87">
              <a:pos x="T2" y="T3"/>
            </a:cxn>
            <a:cxn ang="T88">
              <a:pos x="T4" y="T5"/>
            </a:cxn>
            <a:cxn ang="T89">
              <a:pos x="T6" y="T7"/>
            </a:cxn>
            <a:cxn ang="T90">
              <a:pos x="T8" y="T9"/>
            </a:cxn>
            <a:cxn ang="T91">
              <a:pos x="T10" y="T11"/>
            </a:cxn>
            <a:cxn ang="T92">
              <a:pos x="T12" y="T13"/>
            </a:cxn>
            <a:cxn ang="T93">
              <a:pos x="T14" y="T15"/>
            </a:cxn>
            <a:cxn ang="T94">
              <a:pos x="T16" y="T17"/>
            </a:cxn>
            <a:cxn ang="T95">
              <a:pos x="T18" y="T19"/>
            </a:cxn>
            <a:cxn ang="T96">
              <a:pos x="T20" y="T21"/>
            </a:cxn>
            <a:cxn ang="T97">
              <a:pos x="T22" y="T23"/>
            </a:cxn>
            <a:cxn ang="T98">
              <a:pos x="T24" y="T25"/>
            </a:cxn>
            <a:cxn ang="T99">
              <a:pos x="T26" y="T27"/>
            </a:cxn>
            <a:cxn ang="T100">
              <a:pos x="T28" y="T29"/>
            </a:cxn>
            <a:cxn ang="T101">
              <a:pos x="T30" y="T31"/>
            </a:cxn>
            <a:cxn ang="T102">
              <a:pos x="T32" y="T33"/>
            </a:cxn>
            <a:cxn ang="T103">
              <a:pos x="T34" y="T35"/>
            </a:cxn>
            <a:cxn ang="T104">
              <a:pos x="T36" y="T37"/>
            </a:cxn>
            <a:cxn ang="T105">
              <a:pos x="T38" y="T39"/>
            </a:cxn>
            <a:cxn ang="T106">
              <a:pos x="T40" y="T41"/>
            </a:cxn>
            <a:cxn ang="T107">
              <a:pos x="T42" y="T43"/>
            </a:cxn>
            <a:cxn ang="T108">
              <a:pos x="T44" y="T45"/>
            </a:cxn>
            <a:cxn ang="T109">
              <a:pos x="T46" y="T47"/>
            </a:cxn>
            <a:cxn ang="T110">
              <a:pos x="T48" y="T49"/>
            </a:cxn>
            <a:cxn ang="T111">
              <a:pos x="T50" y="T51"/>
            </a:cxn>
            <a:cxn ang="T112">
              <a:pos x="T52" y="T53"/>
            </a:cxn>
            <a:cxn ang="T113">
              <a:pos x="T54" y="T55"/>
            </a:cxn>
            <a:cxn ang="T114">
              <a:pos x="T56" y="T57"/>
            </a:cxn>
            <a:cxn ang="T115">
              <a:pos x="T58" y="T59"/>
            </a:cxn>
            <a:cxn ang="T116">
              <a:pos x="T60" y="T61"/>
            </a:cxn>
            <a:cxn ang="T117">
              <a:pos x="T62" y="T63"/>
            </a:cxn>
            <a:cxn ang="T118">
              <a:pos x="T64" y="T65"/>
            </a:cxn>
            <a:cxn ang="T119">
              <a:pos x="T66" y="T67"/>
            </a:cxn>
            <a:cxn ang="T120">
              <a:pos x="T68" y="T69"/>
            </a:cxn>
            <a:cxn ang="T121">
              <a:pos x="T70" y="T71"/>
            </a:cxn>
            <a:cxn ang="T122">
              <a:pos x="T72" y="T73"/>
            </a:cxn>
            <a:cxn ang="T123">
              <a:pos x="T74" y="T75"/>
            </a:cxn>
            <a:cxn ang="T124">
              <a:pos x="T76" y="T77"/>
            </a:cxn>
            <a:cxn ang="T125">
              <a:pos x="T78" y="T79"/>
            </a:cxn>
            <a:cxn ang="T126">
              <a:pos x="T80" y="T81"/>
            </a:cxn>
            <a:cxn ang="T127">
              <a:pos x="T82" y="T83"/>
            </a:cxn>
            <a:cxn ang="T128">
              <a:pos x="T84" y="T85"/>
            </a:cxn>
          </a:cxnLst>
          <a:rect l="T129" t="T130" r="T131" b="T132"/>
          <a:pathLst>
            <a:path w="93" h="69">
              <a:moveTo>
                <a:pt x="0" y="66"/>
              </a:moveTo>
              <a:lnTo>
                <a:pt x="2" y="67"/>
              </a:lnTo>
              <a:lnTo>
                <a:pt x="5" y="68"/>
              </a:lnTo>
              <a:lnTo>
                <a:pt x="8" y="66"/>
              </a:lnTo>
              <a:lnTo>
                <a:pt x="11" y="65"/>
              </a:lnTo>
              <a:lnTo>
                <a:pt x="14" y="65"/>
              </a:lnTo>
              <a:lnTo>
                <a:pt x="16" y="67"/>
              </a:lnTo>
              <a:lnTo>
                <a:pt x="18" y="68"/>
              </a:lnTo>
              <a:lnTo>
                <a:pt x="20" y="69"/>
              </a:lnTo>
              <a:lnTo>
                <a:pt x="23" y="68"/>
              </a:lnTo>
              <a:lnTo>
                <a:pt x="25" y="66"/>
              </a:lnTo>
              <a:lnTo>
                <a:pt x="28" y="66"/>
              </a:lnTo>
              <a:lnTo>
                <a:pt x="31" y="68"/>
              </a:lnTo>
              <a:lnTo>
                <a:pt x="35" y="69"/>
              </a:lnTo>
              <a:lnTo>
                <a:pt x="38" y="68"/>
              </a:lnTo>
              <a:lnTo>
                <a:pt x="41" y="66"/>
              </a:lnTo>
              <a:lnTo>
                <a:pt x="43" y="65"/>
              </a:lnTo>
              <a:lnTo>
                <a:pt x="46" y="67"/>
              </a:lnTo>
              <a:lnTo>
                <a:pt x="48" y="68"/>
              </a:lnTo>
              <a:lnTo>
                <a:pt x="52" y="68"/>
              </a:lnTo>
              <a:lnTo>
                <a:pt x="55" y="66"/>
              </a:lnTo>
              <a:lnTo>
                <a:pt x="57" y="65"/>
              </a:lnTo>
              <a:lnTo>
                <a:pt x="60" y="65"/>
              </a:lnTo>
              <a:lnTo>
                <a:pt x="62" y="67"/>
              </a:lnTo>
              <a:lnTo>
                <a:pt x="64" y="68"/>
              </a:lnTo>
              <a:lnTo>
                <a:pt x="67" y="68"/>
              </a:lnTo>
              <a:lnTo>
                <a:pt x="70" y="66"/>
              </a:lnTo>
              <a:lnTo>
                <a:pt x="74" y="65"/>
              </a:lnTo>
              <a:lnTo>
                <a:pt x="79" y="68"/>
              </a:lnTo>
              <a:lnTo>
                <a:pt x="84" y="67"/>
              </a:lnTo>
              <a:lnTo>
                <a:pt x="88" y="63"/>
              </a:lnTo>
              <a:lnTo>
                <a:pt x="90" y="59"/>
              </a:lnTo>
              <a:lnTo>
                <a:pt x="92" y="54"/>
              </a:lnTo>
              <a:lnTo>
                <a:pt x="93" y="49"/>
              </a:lnTo>
              <a:lnTo>
                <a:pt x="93" y="44"/>
              </a:lnTo>
              <a:lnTo>
                <a:pt x="91" y="39"/>
              </a:lnTo>
              <a:lnTo>
                <a:pt x="88" y="35"/>
              </a:lnTo>
              <a:lnTo>
                <a:pt x="84" y="30"/>
              </a:lnTo>
              <a:lnTo>
                <a:pt x="80" y="24"/>
              </a:lnTo>
              <a:lnTo>
                <a:pt x="79" y="17"/>
              </a:lnTo>
              <a:lnTo>
                <a:pt x="80" y="10"/>
              </a:lnTo>
              <a:lnTo>
                <a:pt x="83" y="3"/>
              </a:lnTo>
              <a:lnTo>
                <a:pt x="87" y="0"/>
              </a:lnTo>
            </a:path>
          </a:pathLst>
        </a:custGeom>
        <a:noFill/>
        <a:ln w="1587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25</xdr:col>
      <xdr:colOff>66675</xdr:colOff>
      <xdr:row>3</xdr:row>
      <xdr:rowOff>104775</xdr:rowOff>
    </xdr:from>
    <xdr:to>
      <xdr:col>26</xdr:col>
      <xdr:colOff>9525</xdr:colOff>
      <xdr:row>5</xdr:row>
      <xdr:rowOff>47625</xdr:rowOff>
    </xdr:to>
    <xdr:sp macro="" textlink="">
      <xdr:nvSpPr>
        <xdr:cNvPr id="3505" name="Freeform 27"/>
        <xdr:cNvSpPr>
          <a:spLocks/>
        </xdr:cNvSpPr>
      </xdr:nvSpPr>
      <xdr:spPr bwMode="auto">
        <a:xfrm>
          <a:off x="2990850" y="590550"/>
          <a:ext cx="66675" cy="304800"/>
        </a:xfrm>
        <a:custGeom>
          <a:avLst/>
          <a:gdLst>
            <a:gd name="T0" fmla="*/ 0 w 7"/>
            <a:gd name="T1" fmla="*/ 32 h 32"/>
            <a:gd name="T2" fmla="*/ 5 w 7"/>
            <a:gd name="T3" fmla="*/ 26 h 32"/>
            <a:gd name="T4" fmla="*/ 7 w 7"/>
            <a:gd name="T5" fmla="*/ 20 h 32"/>
            <a:gd name="T6" fmla="*/ 6 w 7"/>
            <a:gd name="T7" fmla="*/ 11 h 32"/>
            <a:gd name="T8" fmla="*/ 4 w 7"/>
            <a:gd name="T9" fmla="*/ 5 h 32"/>
            <a:gd name="T10" fmla="*/ 1 w 7"/>
            <a:gd name="T11" fmla="*/ 0 h 32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7"/>
            <a:gd name="T19" fmla="*/ 0 h 32"/>
            <a:gd name="T20" fmla="*/ 7 w 7"/>
            <a:gd name="T21" fmla="*/ 32 h 32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7" h="32">
              <a:moveTo>
                <a:pt x="0" y="32"/>
              </a:moveTo>
              <a:lnTo>
                <a:pt x="5" y="26"/>
              </a:lnTo>
              <a:lnTo>
                <a:pt x="7" y="20"/>
              </a:lnTo>
              <a:lnTo>
                <a:pt x="6" y="11"/>
              </a:lnTo>
              <a:lnTo>
                <a:pt x="4" y="5"/>
              </a:lnTo>
              <a:lnTo>
                <a:pt x="1" y="0"/>
              </a:lnTo>
            </a:path>
          </a:pathLst>
        </a:custGeom>
        <a:noFill/>
        <a:ln w="1587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23</xdr:col>
      <xdr:colOff>104775</xdr:colOff>
      <xdr:row>4</xdr:row>
      <xdr:rowOff>104775</xdr:rowOff>
    </xdr:from>
    <xdr:to>
      <xdr:col>27</xdr:col>
      <xdr:colOff>104775</xdr:colOff>
      <xdr:row>5</xdr:row>
      <xdr:rowOff>57150</xdr:rowOff>
    </xdr:to>
    <xdr:sp macro="" textlink="">
      <xdr:nvSpPr>
        <xdr:cNvPr id="3506" name="Freeform 28"/>
        <xdr:cNvSpPr>
          <a:spLocks/>
        </xdr:cNvSpPr>
      </xdr:nvSpPr>
      <xdr:spPr bwMode="auto">
        <a:xfrm>
          <a:off x="2781300" y="771525"/>
          <a:ext cx="495300" cy="133350"/>
        </a:xfrm>
        <a:custGeom>
          <a:avLst/>
          <a:gdLst>
            <a:gd name="T0" fmla="*/ 0 w 52"/>
            <a:gd name="T1" fmla="*/ 14 h 14"/>
            <a:gd name="T2" fmla="*/ 52 w 52"/>
            <a:gd name="T3" fmla="*/ 14 h 14"/>
            <a:gd name="T4" fmla="*/ 52 w 52"/>
            <a:gd name="T5" fmla="*/ 0 h 14"/>
            <a:gd name="T6" fmla="*/ 0 60000 65536"/>
            <a:gd name="T7" fmla="*/ 0 60000 65536"/>
            <a:gd name="T8" fmla="*/ 0 60000 65536"/>
            <a:gd name="T9" fmla="*/ 0 w 52"/>
            <a:gd name="T10" fmla="*/ 0 h 14"/>
            <a:gd name="T11" fmla="*/ 52 w 52"/>
            <a:gd name="T12" fmla="*/ 14 h 14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52" h="14">
              <a:moveTo>
                <a:pt x="0" y="14"/>
              </a:moveTo>
              <a:lnTo>
                <a:pt x="52" y="14"/>
              </a:lnTo>
              <a:lnTo>
                <a:pt x="52" y="0"/>
              </a:lnTo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med" len="med"/>
          <a:tailEnd type="stealth" w="sm" len="med"/>
        </a:ln>
      </xdr:spPr>
    </xdr:sp>
    <xdr:clientData/>
  </xdr:twoCellAnchor>
  <xdr:twoCellAnchor>
    <xdr:from>
      <xdr:col>8</xdr:col>
      <xdr:colOff>19050</xdr:colOff>
      <xdr:row>5</xdr:row>
      <xdr:rowOff>38100</xdr:rowOff>
    </xdr:from>
    <xdr:to>
      <xdr:col>23</xdr:col>
      <xdr:colOff>66675</xdr:colOff>
      <xdr:row>5</xdr:row>
      <xdr:rowOff>85725</xdr:rowOff>
    </xdr:to>
    <xdr:sp macro="" textlink="">
      <xdr:nvSpPr>
        <xdr:cNvPr id="3507" name="Rectangle 29"/>
        <xdr:cNvSpPr>
          <a:spLocks noChangeArrowheads="1"/>
        </xdr:cNvSpPr>
      </xdr:nvSpPr>
      <xdr:spPr bwMode="auto">
        <a:xfrm>
          <a:off x="990600" y="885825"/>
          <a:ext cx="1752600" cy="476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9525</xdr:colOff>
      <xdr:row>5</xdr:row>
      <xdr:rowOff>38100</xdr:rowOff>
    </xdr:from>
    <xdr:to>
      <xdr:col>23</xdr:col>
      <xdr:colOff>66675</xdr:colOff>
      <xdr:row>5</xdr:row>
      <xdr:rowOff>38100</xdr:rowOff>
    </xdr:to>
    <xdr:sp macro="" textlink="">
      <xdr:nvSpPr>
        <xdr:cNvPr id="3508" name="Line 30"/>
        <xdr:cNvSpPr>
          <a:spLocks noChangeShapeType="1"/>
        </xdr:cNvSpPr>
      </xdr:nvSpPr>
      <xdr:spPr bwMode="auto">
        <a:xfrm>
          <a:off x="981075" y="885825"/>
          <a:ext cx="1762125" cy="0"/>
        </a:xfrm>
        <a:prstGeom prst="line">
          <a:avLst/>
        </a:prstGeom>
        <a:noFill/>
        <a:ln w="190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47625</xdr:colOff>
      <xdr:row>4</xdr:row>
      <xdr:rowOff>142875</xdr:rowOff>
    </xdr:from>
    <xdr:to>
      <xdr:col>12</xdr:col>
      <xdr:colOff>28575</xdr:colOff>
      <xdr:row>5</xdr:row>
      <xdr:rowOff>161925</xdr:rowOff>
    </xdr:to>
    <xdr:sp macro="" textlink="">
      <xdr:nvSpPr>
        <xdr:cNvPr id="3509" name="Freeform 31"/>
        <xdr:cNvSpPr>
          <a:spLocks/>
        </xdr:cNvSpPr>
      </xdr:nvSpPr>
      <xdr:spPr bwMode="auto">
        <a:xfrm>
          <a:off x="647700" y="809625"/>
          <a:ext cx="847725" cy="200025"/>
        </a:xfrm>
        <a:custGeom>
          <a:avLst/>
          <a:gdLst>
            <a:gd name="T0" fmla="*/ 89 w 89"/>
            <a:gd name="T1" fmla="*/ 20 h 21"/>
            <a:gd name="T2" fmla="*/ 83 w 89"/>
            <a:gd name="T3" fmla="*/ 16 h 21"/>
            <a:gd name="T4" fmla="*/ 78 w 89"/>
            <a:gd name="T5" fmla="*/ 19 h 21"/>
            <a:gd name="T6" fmla="*/ 73 w 89"/>
            <a:gd name="T7" fmla="*/ 19 h 21"/>
            <a:gd name="T8" fmla="*/ 67 w 89"/>
            <a:gd name="T9" fmla="*/ 17 h 21"/>
            <a:gd name="T10" fmla="*/ 62 w 89"/>
            <a:gd name="T11" fmla="*/ 20 h 21"/>
            <a:gd name="T12" fmla="*/ 57 w 89"/>
            <a:gd name="T13" fmla="*/ 19 h 21"/>
            <a:gd name="T14" fmla="*/ 52 w 89"/>
            <a:gd name="T15" fmla="*/ 17 h 21"/>
            <a:gd name="T16" fmla="*/ 47 w 89"/>
            <a:gd name="T17" fmla="*/ 20 h 21"/>
            <a:gd name="T18" fmla="*/ 42 w 89"/>
            <a:gd name="T19" fmla="*/ 19 h 21"/>
            <a:gd name="T20" fmla="*/ 36 w 89"/>
            <a:gd name="T21" fmla="*/ 17 h 21"/>
            <a:gd name="T22" fmla="*/ 32 w 89"/>
            <a:gd name="T23" fmla="*/ 20 h 21"/>
            <a:gd name="T24" fmla="*/ 28 w 89"/>
            <a:gd name="T25" fmla="*/ 20 h 21"/>
            <a:gd name="T26" fmla="*/ 24 w 89"/>
            <a:gd name="T27" fmla="*/ 17 h 21"/>
            <a:gd name="T28" fmla="*/ 18 w 89"/>
            <a:gd name="T29" fmla="*/ 19 h 21"/>
            <a:gd name="T30" fmla="*/ 12 w 89"/>
            <a:gd name="T31" fmla="*/ 19 h 21"/>
            <a:gd name="T32" fmla="*/ 5 w 89"/>
            <a:gd name="T33" fmla="*/ 17 h 21"/>
            <a:gd name="T34" fmla="*/ 0 w 89"/>
            <a:gd name="T35" fmla="*/ 20 h 21"/>
            <a:gd name="T36" fmla="*/ 2 w 89"/>
            <a:gd name="T37" fmla="*/ 2 h 21"/>
            <a:gd name="T38" fmla="*/ 6 w 89"/>
            <a:gd name="T39" fmla="*/ 4 h 21"/>
            <a:gd name="T40" fmla="*/ 11 w 89"/>
            <a:gd name="T41" fmla="*/ 1 h 21"/>
            <a:gd name="T42" fmla="*/ 15 w 89"/>
            <a:gd name="T43" fmla="*/ 1 h 21"/>
            <a:gd name="T44" fmla="*/ 20 w 89"/>
            <a:gd name="T45" fmla="*/ 3 h 21"/>
            <a:gd name="T46" fmla="*/ 25 w 89"/>
            <a:gd name="T47" fmla="*/ 2 h 21"/>
            <a:gd name="T48" fmla="*/ 28 w 89"/>
            <a:gd name="T49" fmla="*/ 0 h 21"/>
            <a:gd name="T50" fmla="*/ 32 w 89"/>
            <a:gd name="T51" fmla="*/ 1 h 21"/>
            <a:gd name="T52" fmla="*/ 36 w 89"/>
            <a:gd name="T53" fmla="*/ 3 h 21"/>
            <a:gd name="T54" fmla="*/ 41 w 89"/>
            <a:gd name="T55" fmla="*/ 1 h 21"/>
            <a:gd name="T56" fmla="*/ 45 w 89"/>
            <a:gd name="T57" fmla="*/ 0 h 21"/>
            <a:gd name="T58" fmla="*/ 51 w 89"/>
            <a:gd name="T59" fmla="*/ 4 h 21"/>
            <a:gd name="T60" fmla="*/ 55 w 89"/>
            <a:gd name="T61" fmla="*/ 2 h 21"/>
            <a:gd name="T62" fmla="*/ 60 w 89"/>
            <a:gd name="T63" fmla="*/ 1 h 21"/>
            <a:gd name="T64" fmla="*/ 64 w 89"/>
            <a:gd name="T65" fmla="*/ 4 h 21"/>
            <a:gd name="T66" fmla="*/ 69 w 89"/>
            <a:gd name="T67" fmla="*/ 3 h 21"/>
            <a:gd name="T68" fmla="*/ 74 w 89"/>
            <a:gd name="T69" fmla="*/ 1 h 21"/>
            <a:gd name="T70" fmla="*/ 77 w 89"/>
            <a:gd name="T71" fmla="*/ 3 h 21"/>
            <a:gd name="T72" fmla="*/ 81 w 89"/>
            <a:gd name="T73" fmla="*/ 4 h 21"/>
            <a:gd name="T74" fmla="*/ 87 w 89"/>
            <a:gd name="T75" fmla="*/ 3 h 21"/>
            <a:gd name="T76" fmla="*/ 0 60000 65536"/>
            <a:gd name="T77" fmla="*/ 0 60000 65536"/>
            <a:gd name="T78" fmla="*/ 0 60000 65536"/>
            <a:gd name="T79" fmla="*/ 0 60000 65536"/>
            <a:gd name="T80" fmla="*/ 0 60000 65536"/>
            <a:gd name="T81" fmla="*/ 0 60000 65536"/>
            <a:gd name="T82" fmla="*/ 0 60000 65536"/>
            <a:gd name="T83" fmla="*/ 0 60000 65536"/>
            <a:gd name="T84" fmla="*/ 0 60000 65536"/>
            <a:gd name="T85" fmla="*/ 0 60000 65536"/>
            <a:gd name="T86" fmla="*/ 0 60000 65536"/>
            <a:gd name="T87" fmla="*/ 0 60000 65536"/>
            <a:gd name="T88" fmla="*/ 0 60000 65536"/>
            <a:gd name="T89" fmla="*/ 0 60000 65536"/>
            <a:gd name="T90" fmla="*/ 0 60000 65536"/>
            <a:gd name="T91" fmla="*/ 0 60000 65536"/>
            <a:gd name="T92" fmla="*/ 0 60000 65536"/>
            <a:gd name="T93" fmla="*/ 0 60000 65536"/>
            <a:gd name="T94" fmla="*/ 0 60000 65536"/>
            <a:gd name="T95" fmla="*/ 0 60000 65536"/>
            <a:gd name="T96" fmla="*/ 0 60000 65536"/>
            <a:gd name="T97" fmla="*/ 0 60000 65536"/>
            <a:gd name="T98" fmla="*/ 0 60000 65536"/>
            <a:gd name="T99" fmla="*/ 0 60000 65536"/>
            <a:gd name="T100" fmla="*/ 0 60000 65536"/>
            <a:gd name="T101" fmla="*/ 0 60000 65536"/>
            <a:gd name="T102" fmla="*/ 0 60000 65536"/>
            <a:gd name="T103" fmla="*/ 0 60000 65536"/>
            <a:gd name="T104" fmla="*/ 0 60000 65536"/>
            <a:gd name="T105" fmla="*/ 0 60000 65536"/>
            <a:gd name="T106" fmla="*/ 0 60000 65536"/>
            <a:gd name="T107" fmla="*/ 0 60000 65536"/>
            <a:gd name="T108" fmla="*/ 0 60000 65536"/>
            <a:gd name="T109" fmla="*/ 0 60000 65536"/>
            <a:gd name="T110" fmla="*/ 0 60000 65536"/>
            <a:gd name="T111" fmla="*/ 0 60000 65536"/>
            <a:gd name="T112" fmla="*/ 0 60000 65536"/>
            <a:gd name="T113" fmla="*/ 0 60000 65536"/>
            <a:gd name="T114" fmla="*/ 0 w 89"/>
            <a:gd name="T115" fmla="*/ 0 h 21"/>
            <a:gd name="T116" fmla="*/ 89 w 89"/>
            <a:gd name="T117" fmla="*/ 21 h 21"/>
          </a:gdLst>
          <a:ahLst/>
          <a:cxnLst>
            <a:cxn ang="T76">
              <a:pos x="T0" y="T1"/>
            </a:cxn>
            <a:cxn ang="T77">
              <a:pos x="T2" y="T3"/>
            </a:cxn>
            <a:cxn ang="T78">
              <a:pos x="T4" y="T5"/>
            </a:cxn>
            <a:cxn ang="T79">
              <a:pos x="T6" y="T7"/>
            </a:cxn>
            <a:cxn ang="T80">
              <a:pos x="T8" y="T9"/>
            </a:cxn>
            <a:cxn ang="T81">
              <a:pos x="T10" y="T11"/>
            </a:cxn>
            <a:cxn ang="T82">
              <a:pos x="T12" y="T13"/>
            </a:cxn>
            <a:cxn ang="T83">
              <a:pos x="T14" y="T15"/>
            </a:cxn>
            <a:cxn ang="T84">
              <a:pos x="T16" y="T17"/>
            </a:cxn>
            <a:cxn ang="T85">
              <a:pos x="T18" y="T19"/>
            </a:cxn>
            <a:cxn ang="T86">
              <a:pos x="T20" y="T21"/>
            </a:cxn>
            <a:cxn ang="T87">
              <a:pos x="T22" y="T23"/>
            </a:cxn>
            <a:cxn ang="T88">
              <a:pos x="T24" y="T25"/>
            </a:cxn>
            <a:cxn ang="T89">
              <a:pos x="T26" y="T27"/>
            </a:cxn>
            <a:cxn ang="T90">
              <a:pos x="T28" y="T29"/>
            </a:cxn>
            <a:cxn ang="T91">
              <a:pos x="T30" y="T31"/>
            </a:cxn>
            <a:cxn ang="T92">
              <a:pos x="T32" y="T33"/>
            </a:cxn>
            <a:cxn ang="T93">
              <a:pos x="T34" y="T35"/>
            </a:cxn>
            <a:cxn ang="T94">
              <a:pos x="T36" y="T37"/>
            </a:cxn>
            <a:cxn ang="T95">
              <a:pos x="T38" y="T39"/>
            </a:cxn>
            <a:cxn ang="T96">
              <a:pos x="T40" y="T41"/>
            </a:cxn>
            <a:cxn ang="T97">
              <a:pos x="T42" y="T43"/>
            </a:cxn>
            <a:cxn ang="T98">
              <a:pos x="T44" y="T45"/>
            </a:cxn>
            <a:cxn ang="T99">
              <a:pos x="T46" y="T47"/>
            </a:cxn>
            <a:cxn ang="T100">
              <a:pos x="T48" y="T49"/>
            </a:cxn>
            <a:cxn ang="T101">
              <a:pos x="T50" y="T51"/>
            </a:cxn>
            <a:cxn ang="T102">
              <a:pos x="T52" y="T53"/>
            </a:cxn>
            <a:cxn ang="T103">
              <a:pos x="T54" y="T55"/>
            </a:cxn>
            <a:cxn ang="T104">
              <a:pos x="T56" y="T57"/>
            </a:cxn>
            <a:cxn ang="T105">
              <a:pos x="T58" y="T59"/>
            </a:cxn>
            <a:cxn ang="T106">
              <a:pos x="T60" y="T61"/>
            </a:cxn>
            <a:cxn ang="T107">
              <a:pos x="T62" y="T63"/>
            </a:cxn>
            <a:cxn ang="T108">
              <a:pos x="T64" y="T65"/>
            </a:cxn>
            <a:cxn ang="T109">
              <a:pos x="T66" y="T67"/>
            </a:cxn>
            <a:cxn ang="T110">
              <a:pos x="T68" y="T69"/>
            </a:cxn>
            <a:cxn ang="T111">
              <a:pos x="T70" y="T71"/>
            </a:cxn>
            <a:cxn ang="T112">
              <a:pos x="T72" y="T73"/>
            </a:cxn>
            <a:cxn ang="T113">
              <a:pos x="T74" y="T75"/>
            </a:cxn>
          </a:cxnLst>
          <a:rect l="T114" t="T115" r="T116" b="T117"/>
          <a:pathLst>
            <a:path w="89" h="21">
              <a:moveTo>
                <a:pt x="89" y="1"/>
              </a:moveTo>
              <a:lnTo>
                <a:pt x="89" y="20"/>
              </a:lnTo>
              <a:lnTo>
                <a:pt x="85" y="17"/>
              </a:lnTo>
              <a:lnTo>
                <a:pt x="83" y="16"/>
              </a:lnTo>
              <a:lnTo>
                <a:pt x="80" y="17"/>
              </a:lnTo>
              <a:lnTo>
                <a:pt x="78" y="19"/>
              </a:lnTo>
              <a:lnTo>
                <a:pt x="75" y="20"/>
              </a:lnTo>
              <a:lnTo>
                <a:pt x="73" y="19"/>
              </a:lnTo>
              <a:lnTo>
                <a:pt x="70" y="18"/>
              </a:lnTo>
              <a:lnTo>
                <a:pt x="67" y="17"/>
              </a:lnTo>
              <a:lnTo>
                <a:pt x="64" y="18"/>
              </a:lnTo>
              <a:lnTo>
                <a:pt x="62" y="20"/>
              </a:lnTo>
              <a:lnTo>
                <a:pt x="59" y="21"/>
              </a:lnTo>
              <a:lnTo>
                <a:pt x="57" y="19"/>
              </a:lnTo>
              <a:lnTo>
                <a:pt x="54" y="17"/>
              </a:lnTo>
              <a:lnTo>
                <a:pt x="52" y="17"/>
              </a:lnTo>
              <a:lnTo>
                <a:pt x="49" y="18"/>
              </a:lnTo>
              <a:lnTo>
                <a:pt x="47" y="20"/>
              </a:lnTo>
              <a:lnTo>
                <a:pt x="44" y="20"/>
              </a:lnTo>
              <a:lnTo>
                <a:pt x="42" y="19"/>
              </a:lnTo>
              <a:lnTo>
                <a:pt x="39" y="17"/>
              </a:lnTo>
              <a:lnTo>
                <a:pt x="36" y="17"/>
              </a:lnTo>
              <a:lnTo>
                <a:pt x="34" y="18"/>
              </a:lnTo>
              <a:lnTo>
                <a:pt x="32" y="20"/>
              </a:lnTo>
              <a:lnTo>
                <a:pt x="30" y="21"/>
              </a:lnTo>
              <a:lnTo>
                <a:pt x="28" y="20"/>
              </a:lnTo>
              <a:lnTo>
                <a:pt x="26" y="18"/>
              </a:lnTo>
              <a:lnTo>
                <a:pt x="24" y="17"/>
              </a:lnTo>
              <a:lnTo>
                <a:pt x="21" y="17"/>
              </a:lnTo>
              <a:lnTo>
                <a:pt x="18" y="19"/>
              </a:lnTo>
              <a:lnTo>
                <a:pt x="15" y="20"/>
              </a:lnTo>
              <a:lnTo>
                <a:pt x="12" y="19"/>
              </a:lnTo>
              <a:lnTo>
                <a:pt x="9" y="17"/>
              </a:lnTo>
              <a:lnTo>
                <a:pt x="5" y="17"/>
              </a:lnTo>
              <a:lnTo>
                <a:pt x="2" y="19"/>
              </a:lnTo>
              <a:lnTo>
                <a:pt x="0" y="20"/>
              </a:lnTo>
              <a:lnTo>
                <a:pt x="0" y="0"/>
              </a:lnTo>
              <a:lnTo>
                <a:pt x="2" y="2"/>
              </a:lnTo>
              <a:lnTo>
                <a:pt x="4" y="3"/>
              </a:lnTo>
              <a:lnTo>
                <a:pt x="6" y="4"/>
              </a:lnTo>
              <a:lnTo>
                <a:pt x="9" y="3"/>
              </a:lnTo>
              <a:lnTo>
                <a:pt x="11" y="1"/>
              </a:lnTo>
              <a:lnTo>
                <a:pt x="13" y="1"/>
              </a:lnTo>
              <a:lnTo>
                <a:pt x="15" y="1"/>
              </a:lnTo>
              <a:lnTo>
                <a:pt x="18" y="2"/>
              </a:lnTo>
              <a:lnTo>
                <a:pt x="20" y="3"/>
              </a:lnTo>
              <a:lnTo>
                <a:pt x="23" y="3"/>
              </a:lnTo>
              <a:lnTo>
                <a:pt x="25" y="2"/>
              </a:lnTo>
              <a:lnTo>
                <a:pt x="26" y="1"/>
              </a:lnTo>
              <a:lnTo>
                <a:pt x="28" y="0"/>
              </a:lnTo>
              <a:lnTo>
                <a:pt x="30" y="0"/>
              </a:lnTo>
              <a:lnTo>
                <a:pt x="32" y="1"/>
              </a:lnTo>
              <a:lnTo>
                <a:pt x="34" y="3"/>
              </a:lnTo>
              <a:lnTo>
                <a:pt x="36" y="3"/>
              </a:lnTo>
              <a:lnTo>
                <a:pt x="39" y="3"/>
              </a:lnTo>
              <a:lnTo>
                <a:pt x="41" y="1"/>
              </a:lnTo>
              <a:lnTo>
                <a:pt x="43" y="0"/>
              </a:lnTo>
              <a:lnTo>
                <a:pt x="45" y="0"/>
              </a:lnTo>
              <a:lnTo>
                <a:pt x="48" y="2"/>
              </a:lnTo>
              <a:lnTo>
                <a:pt x="51" y="4"/>
              </a:lnTo>
              <a:lnTo>
                <a:pt x="54" y="3"/>
              </a:lnTo>
              <a:lnTo>
                <a:pt x="55" y="2"/>
              </a:lnTo>
              <a:lnTo>
                <a:pt x="57" y="1"/>
              </a:lnTo>
              <a:lnTo>
                <a:pt x="60" y="1"/>
              </a:lnTo>
              <a:lnTo>
                <a:pt x="62" y="2"/>
              </a:lnTo>
              <a:lnTo>
                <a:pt x="64" y="4"/>
              </a:lnTo>
              <a:lnTo>
                <a:pt x="67" y="4"/>
              </a:lnTo>
              <a:lnTo>
                <a:pt x="69" y="3"/>
              </a:lnTo>
              <a:lnTo>
                <a:pt x="71" y="2"/>
              </a:lnTo>
              <a:lnTo>
                <a:pt x="74" y="1"/>
              </a:lnTo>
              <a:lnTo>
                <a:pt x="76" y="2"/>
              </a:lnTo>
              <a:lnTo>
                <a:pt x="77" y="3"/>
              </a:lnTo>
              <a:lnTo>
                <a:pt x="80" y="4"/>
              </a:lnTo>
              <a:lnTo>
                <a:pt x="81" y="4"/>
              </a:lnTo>
              <a:lnTo>
                <a:pt x="84" y="4"/>
              </a:lnTo>
              <a:lnTo>
                <a:pt x="87" y="3"/>
              </a:lnTo>
              <a:lnTo>
                <a:pt x="89" y="1"/>
              </a:lnTo>
            </a:path>
          </a:pathLst>
        </a:custGeom>
        <a:noFill/>
        <a:ln w="1587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2</xdr:col>
      <xdr:colOff>57150</xdr:colOff>
      <xdr:row>4</xdr:row>
      <xdr:rowOff>85725</xdr:rowOff>
    </xdr:from>
    <xdr:to>
      <xdr:col>6</xdr:col>
      <xdr:colOff>66675</xdr:colOff>
      <xdr:row>5</xdr:row>
      <xdr:rowOff>57150</xdr:rowOff>
    </xdr:to>
    <xdr:sp macro="" textlink="">
      <xdr:nvSpPr>
        <xdr:cNvPr id="3510" name="Freeform 32"/>
        <xdr:cNvSpPr>
          <a:spLocks/>
        </xdr:cNvSpPr>
      </xdr:nvSpPr>
      <xdr:spPr bwMode="auto">
        <a:xfrm>
          <a:off x="285750" y="752475"/>
          <a:ext cx="504825" cy="152400"/>
        </a:xfrm>
        <a:custGeom>
          <a:avLst/>
          <a:gdLst>
            <a:gd name="T0" fmla="*/ 0 w 53"/>
            <a:gd name="T1" fmla="*/ 0 h 16"/>
            <a:gd name="T2" fmla="*/ 0 w 53"/>
            <a:gd name="T3" fmla="*/ 16 h 16"/>
            <a:gd name="T4" fmla="*/ 53 w 53"/>
            <a:gd name="T5" fmla="*/ 16 h 16"/>
            <a:gd name="T6" fmla="*/ 21 w 53"/>
            <a:gd name="T7" fmla="*/ 16 h 16"/>
            <a:gd name="T8" fmla="*/ 0 60000 65536"/>
            <a:gd name="T9" fmla="*/ 0 60000 65536"/>
            <a:gd name="T10" fmla="*/ 0 60000 65536"/>
            <a:gd name="T11" fmla="*/ 0 60000 65536"/>
            <a:gd name="T12" fmla="*/ 0 w 53"/>
            <a:gd name="T13" fmla="*/ 0 h 16"/>
            <a:gd name="T14" fmla="*/ 53 w 53"/>
            <a:gd name="T15" fmla="*/ 16 h 16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53" h="16">
              <a:moveTo>
                <a:pt x="0" y="0"/>
              </a:moveTo>
              <a:lnTo>
                <a:pt x="0" y="16"/>
              </a:lnTo>
              <a:lnTo>
                <a:pt x="53" y="16"/>
              </a:lnTo>
              <a:lnTo>
                <a:pt x="21" y="16"/>
              </a:lnTo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stealth" w="sm" len="med"/>
          <a:tailEnd type="none" w="med" len="med"/>
        </a:ln>
      </xdr:spPr>
    </xdr:sp>
    <xdr:clientData/>
  </xdr:twoCellAnchor>
  <xdr:twoCellAnchor>
    <xdr:from>
      <xdr:col>16</xdr:col>
      <xdr:colOff>38100</xdr:colOff>
      <xdr:row>5</xdr:row>
      <xdr:rowOff>19050</xdr:rowOff>
    </xdr:from>
    <xdr:to>
      <xdr:col>16</xdr:col>
      <xdr:colOff>38100</xdr:colOff>
      <xdr:row>5</xdr:row>
      <xdr:rowOff>85725</xdr:rowOff>
    </xdr:to>
    <xdr:sp macro="" textlink="">
      <xdr:nvSpPr>
        <xdr:cNvPr id="3511" name="Line 6"/>
        <xdr:cNvSpPr>
          <a:spLocks noChangeShapeType="1"/>
        </xdr:cNvSpPr>
      </xdr:nvSpPr>
      <xdr:spPr bwMode="auto">
        <a:xfrm>
          <a:off x="1847850" y="866775"/>
          <a:ext cx="0" cy="666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22</xdr:col>
      <xdr:colOff>38100</xdr:colOff>
      <xdr:row>3</xdr:row>
      <xdr:rowOff>114300</xdr:rowOff>
    </xdr:from>
    <xdr:to>
      <xdr:col>22</xdr:col>
      <xdr:colOff>38100</xdr:colOff>
      <xdr:row>4</xdr:row>
      <xdr:rowOff>171450</xdr:rowOff>
    </xdr:to>
    <xdr:sp macro="" textlink="">
      <xdr:nvSpPr>
        <xdr:cNvPr id="3512" name="Line 33"/>
        <xdr:cNvSpPr>
          <a:spLocks noChangeShapeType="1"/>
        </xdr:cNvSpPr>
      </xdr:nvSpPr>
      <xdr:spPr bwMode="auto">
        <a:xfrm>
          <a:off x="2590800" y="600075"/>
          <a:ext cx="0" cy="238125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23</xdr:col>
      <xdr:colOff>57150</xdr:colOff>
      <xdr:row>3</xdr:row>
      <xdr:rowOff>114300</xdr:rowOff>
    </xdr:from>
    <xdr:to>
      <xdr:col>23</xdr:col>
      <xdr:colOff>57150</xdr:colOff>
      <xdr:row>4</xdr:row>
      <xdr:rowOff>171450</xdr:rowOff>
    </xdr:to>
    <xdr:sp macro="" textlink="">
      <xdr:nvSpPr>
        <xdr:cNvPr id="3513" name="Line 35"/>
        <xdr:cNvSpPr>
          <a:spLocks noChangeShapeType="1"/>
        </xdr:cNvSpPr>
      </xdr:nvSpPr>
      <xdr:spPr bwMode="auto">
        <a:xfrm>
          <a:off x="2733675" y="600075"/>
          <a:ext cx="0" cy="238125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23</xdr:col>
      <xdr:colOff>76200</xdr:colOff>
      <xdr:row>3</xdr:row>
      <xdr:rowOff>114300</xdr:rowOff>
    </xdr:from>
    <xdr:to>
      <xdr:col>23</xdr:col>
      <xdr:colOff>76200</xdr:colOff>
      <xdr:row>4</xdr:row>
      <xdr:rowOff>114300</xdr:rowOff>
    </xdr:to>
    <xdr:sp macro="" textlink="">
      <xdr:nvSpPr>
        <xdr:cNvPr id="3514" name="Line 36"/>
        <xdr:cNvSpPr>
          <a:spLocks noChangeShapeType="1"/>
        </xdr:cNvSpPr>
      </xdr:nvSpPr>
      <xdr:spPr bwMode="auto">
        <a:xfrm>
          <a:off x="2752725" y="600075"/>
          <a:ext cx="0" cy="180975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24</xdr:col>
      <xdr:colOff>95250</xdr:colOff>
      <xdr:row>3</xdr:row>
      <xdr:rowOff>114300</xdr:rowOff>
    </xdr:from>
    <xdr:to>
      <xdr:col>24</xdr:col>
      <xdr:colOff>95250</xdr:colOff>
      <xdr:row>4</xdr:row>
      <xdr:rowOff>66675</xdr:rowOff>
    </xdr:to>
    <xdr:sp macro="" textlink="">
      <xdr:nvSpPr>
        <xdr:cNvPr id="3515" name="Line 37"/>
        <xdr:cNvSpPr>
          <a:spLocks noChangeShapeType="1"/>
        </xdr:cNvSpPr>
      </xdr:nvSpPr>
      <xdr:spPr bwMode="auto">
        <a:xfrm>
          <a:off x="2895600" y="600075"/>
          <a:ext cx="0" cy="13335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24</xdr:col>
      <xdr:colOff>76200</xdr:colOff>
      <xdr:row>3</xdr:row>
      <xdr:rowOff>114300</xdr:rowOff>
    </xdr:from>
    <xdr:to>
      <xdr:col>24</xdr:col>
      <xdr:colOff>76200</xdr:colOff>
      <xdr:row>4</xdr:row>
      <xdr:rowOff>123825</xdr:rowOff>
    </xdr:to>
    <xdr:sp macro="" textlink="">
      <xdr:nvSpPr>
        <xdr:cNvPr id="3516" name="Line 38"/>
        <xdr:cNvSpPr>
          <a:spLocks noChangeShapeType="1"/>
        </xdr:cNvSpPr>
      </xdr:nvSpPr>
      <xdr:spPr bwMode="auto">
        <a:xfrm>
          <a:off x="2876550" y="600075"/>
          <a:ext cx="0" cy="19050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24</xdr:col>
      <xdr:colOff>114300</xdr:colOff>
      <xdr:row>3</xdr:row>
      <xdr:rowOff>104775</xdr:rowOff>
    </xdr:from>
    <xdr:to>
      <xdr:col>24</xdr:col>
      <xdr:colOff>114300</xdr:colOff>
      <xdr:row>4</xdr:row>
      <xdr:rowOff>9525</xdr:rowOff>
    </xdr:to>
    <xdr:sp macro="" textlink="">
      <xdr:nvSpPr>
        <xdr:cNvPr id="3517" name="Line 39"/>
        <xdr:cNvSpPr>
          <a:spLocks noChangeShapeType="1"/>
        </xdr:cNvSpPr>
      </xdr:nvSpPr>
      <xdr:spPr bwMode="auto">
        <a:xfrm>
          <a:off x="2914650" y="590550"/>
          <a:ext cx="0" cy="85725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23</xdr:col>
      <xdr:colOff>95250</xdr:colOff>
      <xdr:row>3</xdr:row>
      <xdr:rowOff>123825</xdr:rowOff>
    </xdr:from>
    <xdr:to>
      <xdr:col>23</xdr:col>
      <xdr:colOff>95250</xdr:colOff>
      <xdr:row>4</xdr:row>
      <xdr:rowOff>161925</xdr:rowOff>
    </xdr:to>
    <xdr:sp macro="" textlink="">
      <xdr:nvSpPr>
        <xdr:cNvPr id="3518" name="Line 40"/>
        <xdr:cNvSpPr>
          <a:spLocks noChangeShapeType="1"/>
        </xdr:cNvSpPr>
      </xdr:nvSpPr>
      <xdr:spPr bwMode="auto">
        <a:xfrm>
          <a:off x="2771775" y="609600"/>
          <a:ext cx="0" cy="219075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24</xdr:col>
      <xdr:colOff>104775</xdr:colOff>
      <xdr:row>6</xdr:row>
      <xdr:rowOff>57150</xdr:rowOff>
    </xdr:from>
    <xdr:to>
      <xdr:col>24</xdr:col>
      <xdr:colOff>104775</xdr:colOff>
      <xdr:row>7</xdr:row>
      <xdr:rowOff>19050</xdr:rowOff>
    </xdr:to>
    <xdr:sp macro="" textlink="">
      <xdr:nvSpPr>
        <xdr:cNvPr id="3519" name="Line 41"/>
        <xdr:cNvSpPr>
          <a:spLocks noChangeShapeType="1"/>
        </xdr:cNvSpPr>
      </xdr:nvSpPr>
      <xdr:spPr bwMode="auto">
        <a:xfrm>
          <a:off x="2905125" y="1085850"/>
          <a:ext cx="0" cy="142875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24</xdr:col>
      <xdr:colOff>66675</xdr:colOff>
      <xdr:row>5</xdr:row>
      <xdr:rowOff>161925</xdr:rowOff>
    </xdr:from>
    <xdr:to>
      <xdr:col>24</xdr:col>
      <xdr:colOff>66675</xdr:colOff>
      <xdr:row>7</xdr:row>
      <xdr:rowOff>0</xdr:rowOff>
    </xdr:to>
    <xdr:sp macro="" textlink="">
      <xdr:nvSpPr>
        <xdr:cNvPr id="3520" name="Line 42"/>
        <xdr:cNvSpPr>
          <a:spLocks noChangeShapeType="1"/>
        </xdr:cNvSpPr>
      </xdr:nvSpPr>
      <xdr:spPr bwMode="auto">
        <a:xfrm>
          <a:off x="2867025" y="1009650"/>
          <a:ext cx="0" cy="200025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24</xdr:col>
      <xdr:colOff>85725</xdr:colOff>
      <xdr:row>6</xdr:row>
      <xdr:rowOff>66675</xdr:rowOff>
    </xdr:from>
    <xdr:to>
      <xdr:col>24</xdr:col>
      <xdr:colOff>85725</xdr:colOff>
      <xdr:row>7</xdr:row>
      <xdr:rowOff>0</xdr:rowOff>
    </xdr:to>
    <xdr:sp macro="" textlink="">
      <xdr:nvSpPr>
        <xdr:cNvPr id="3521" name="Line 43"/>
        <xdr:cNvSpPr>
          <a:spLocks noChangeShapeType="1"/>
        </xdr:cNvSpPr>
      </xdr:nvSpPr>
      <xdr:spPr bwMode="auto">
        <a:xfrm>
          <a:off x="2886075" y="1095375"/>
          <a:ext cx="0" cy="11430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23</xdr:col>
      <xdr:colOff>76200</xdr:colOff>
      <xdr:row>5</xdr:row>
      <xdr:rowOff>161925</xdr:rowOff>
    </xdr:from>
    <xdr:to>
      <xdr:col>23</xdr:col>
      <xdr:colOff>76200</xdr:colOff>
      <xdr:row>7</xdr:row>
      <xdr:rowOff>9525</xdr:rowOff>
    </xdr:to>
    <xdr:sp macro="" textlink="">
      <xdr:nvSpPr>
        <xdr:cNvPr id="3522" name="Line 44"/>
        <xdr:cNvSpPr>
          <a:spLocks noChangeShapeType="1"/>
        </xdr:cNvSpPr>
      </xdr:nvSpPr>
      <xdr:spPr bwMode="auto">
        <a:xfrm>
          <a:off x="2752725" y="1009650"/>
          <a:ext cx="0" cy="20955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23</xdr:col>
      <xdr:colOff>47625</xdr:colOff>
      <xdr:row>5</xdr:row>
      <xdr:rowOff>123825</xdr:rowOff>
    </xdr:from>
    <xdr:to>
      <xdr:col>23</xdr:col>
      <xdr:colOff>47625</xdr:colOff>
      <xdr:row>7</xdr:row>
      <xdr:rowOff>0</xdr:rowOff>
    </xdr:to>
    <xdr:sp macro="" textlink="">
      <xdr:nvSpPr>
        <xdr:cNvPr id="3523" name="Line 45"/>
        <xdr:cNvSpPr>
          <a:spLocks noChangeShapeType="1"/>
        </xdr:cNvSpPr>
      </xdr:nvSpPr>
      <xdr:spPr bwMode="auto">
        <a:xfrm>
          <a:off x="2724150" y="971550"/>
          <a:ext cx="0" cy="238125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23</xdr:col>
      <xdr:colOff>95250</xdr:colOff>
      <xdr:row>6</xdr:row>
      <xdr:rowOff>76200</xdr:rowOff>
    </xdr:from>
    <xdr:to>
      <xdr:col>23</xdr:col>
      <xdr:colOff>95250</xdr:colOff>
      <xdr:row>7</xdr:row>
      <xdr:rowOff>19050</xdr:rowOff>
    </xdr:to>
    <xdr:sp macro="" textlink="">
      <xdr:nvSpPr>
        <xdr:cNvPr id="3524" name="Line 46"/>
        <xdr:cNvSpPr>
          <a:spLocks noChangeShapeType="1"/>
        </xdr:cNvSpPr>
      </xdr:nvSpPr>
      <xdr:spPr bwMode="auto">
        <a:xfrm>
          <a:off x="2771775" y="1104900"/>
          <a:ext cx="0" cy="123825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22</xdr:col>
      <xdr:colOff>85725</xdr:colOff>
      <xdr:row>3</xdr:row>
      <xdr:rowOff>95250</xdr:rowOff>
    </xdr:from>
    <xdr:to>
      <xdr:col>22</xdr:col>
      <xdr:colOff>85725</xdr:colOff>
      <xdr:row>4</xdr:row>
      <xdr:rowOff>19050</xdr:rowOff>
    </xdr:to>
    <xdr:sp macro="" textlink="">
      <xdr:nvSpPr>
        <xdr:cNvPr id="3525" name="Line 47"/>
        <xdr:cNvSpPr>
          <a:spLocks noChangeShapeType="1"/>
        </xdr:cNvSpPr>
      </xdr:nvSpPr>
      <xdr:spPr bwMode="auto">
        <a:xfrm>
          <a:off x="2638425" y="581025"/>
          <a:ext cx="0" cy="104775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22</xdr:col>
      <xdr:colOff>66675</xdr:colOff>
      <xdr:row>3</xdr:row>
      <xdr:rowOff>104775</xdr:rowOff>
    </xdr:from>
    <xdr:to>
      <xdr:col>22</xdr:col>
      <xdr:colOff>66675</xdr:colOff>
      <xdr:row>4</xdr:row>
      <xdr:rowOff>0</xdr:rowOff>
    </xdr:to>
    <xdr:sp macro="" textlink="">
      <xdr:nvSpPr>
        <xdr:cNvPr id="3526" name="Line 48"/>
        <xdr:cNvSpPr>
          <a:spLocks noChangeShapeType="1"/>
        </xdr:cNvSpPr>
      </xdr:nvSpPr>
      <xdr:spPr bwMode="auto">
        <a:xfrm>
          <a:off x="2619375" y="590550"/>
          <a:ext cx="0" cy="7620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22</xdr:col>
      <xdr:colOff>47625</xdr:colOff>
      <xdr:row>3</xdr:row>
      <xdr:rowOff>114300</xdr:rowOff>
    </xdr:from>
    <xdr:to>
      <xdr:col>22</xdr:col>
      <xdr:colOff>47625</xdr:colOff>
      <xdr:row>4</xdr:row>
      <xdr:rowOff>85725</xdr:rowOff>
    </xdr:to>
    <xdr:sp macro="" textlink="">
      <xdr:nvSpPr>
        <xdr:cNvPr id="3527" name="Line 49"/>
        <xdr:cNvSpPr>
          <a:spLocks noChangeShapeType="1"/>
        </xdr:cNvSpPr>
      </xdr:nvSpPr>
      <xdr:spPr bwMode="auto">
        <a:xfrm>
          <a:off x="2600325" y="600075"/>
          <a:ext cx="0" cy="15240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22</xdr:col>
      <xdr:colOff>66675</xdr:colOff>
      <xdr:row>6</xdr:row>
      <xdr:rowOff>47625</xdr:rowOff>
    </xdr:from>
    <xdr:to>
      <xdr:col>22</xdr:col>
      <xdr:colOff>66675</xdr:colOff>
      <xdr:row>7</xdr:row>
      <xdr:rowOff>19050</xdr:rowOff>
    </xdr:to>
    <xdr:sp macro="" textlink="">
      <xdr:nvSpPr>
        <xdr:cNvPr id="3528" name="Line 50"/>
        <xdr:cNvSpPr>
          <a:spLocks noChangeShapeType="1"/>
        </xdr:cNvSpPr>
      </xdr:nvSpPr>
      <xdr:spPr bwMode="auto">
        <a:xfrm>
          <a:off x="2619375" y="1076325"/>
          <a:ext cx="0" cy="15240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22</xdr:col>
      <xdr:colOff>47625</xdr:colOff>
      <xdr:row>6</xdr:row>
      <xdr:rowOff>19050</xdr:rowOff>
    </xdr:from>
    <xdr:to>
      <xdr:col>22</xdr:col>
      <xdr:colOff>47625</xdr:colOff>
      <xdr:row>7</xdr:row>
      <xdr:rowOff>9525</xdr:rowOff>
    </xdr:to>
    <xdr:sp macro="" textlink="">
      <xdr:nvSpPr>
        <xdr:cNvPr id="3529" name="Line 51"/>
        <xdr:cNvSpPr>
          <a:spLocks noChangeShapeType="1"/>
        </xdr:cNvSpPr>
      </xdr:nvSpPr>
      <xdr:spPr bwMode="auto">
        <a:xfrm>
          <a:off x="2600325" y="1047750"/>
          <a:ext cx="0" cy="17145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22</xdr:col>
      <xdr:colOff>38100</xdr:colOff>
      <xdr:row>5</xdr:row>
      <xdr:rowOff>171450</xdr:rowOff>
    </xdr:from>
    <xdr:to>
      <xdr:col>22</xdr:col>
      <xdr:colOff>38100</xdr:colOff>
      <xdr:row>7</xdr:row>
      <xdr:rowOff>0</xdr:rowOff>
    </xdr:to>
    <xdr:sp macro="" textlink="">
      <xdr:nvSpPr>
        <xdr:cNvPr id="3530" name="Line 52"/>
        <xdr:cNvSpPr>
          <a:spLocks noChangeShapeType="1"/>
        </xdr:cNvSpPr>
      </xdr:nvSpPr>
      <xdr:spPr bwMode="auto">
        <a:xfrm>
          <a:off x="2590800" y="1019175"/>
          <a:ext cx="0" cy="19050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9525</xdr:colOff>
      <xdr:row>3</xdr:row>
      <xdr:rowOff>114300</xdr:rowOff>
    </xdr:from>
    <xdr:to>
      <xdr:col>21</xdr:col>
      <xdr:colOff>9525</xdr:colOff>
      <xdr:row>4</xdr:row>
      <xdr:rowOff>57150</xdr:rowOff>
    </xdr:to>
    <xdr:sp macro="" textlink="">
      <xdr:nvSpPr>
        <xdr:cNvPr id="3531" name="Line 53"/>
        <xdr:cNvSpPr>
          <a:spLocks noChangeShapeType="1"/>
        </xdr:cNvSpPr>
      </xdr:nvSpPr>
      <xdr:spPr bwMode="auto">
        <a:xfrm>
          <a:off x="2438400" y="600075"/>
          <a:ext cx="0" cy="123825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38100</xdr:colOff>
      <xdr:row>3</xdr:row>
      <xdr:rowOff>152400</xdr:rowOff>
    </xdr:from>
    <xdr:to>
      <xdr:col>21</xdr:col>
      <xdr:colOff>38100</xdr:colOff>
      <xdr:row>4</xdr:row>
      <xdr:rowOff>66675</xdr:rowOff>
    </xdr:to>
    <xdr:sp macro="" textlink="">
      <xdr:nvSpPr>
        <xdr:cNvPr id="3532" name="Line 54"/>
        <xdr:cNvSpPr>
          <a:spLocks noChangeShapeType="1"/>
        </xdr:cNvSpPr>
      </xdr:nvSpPr>
      <xdr:spPr bwMode="auto">
        <a:xfrm>
          <a:off x="2466975" y="638175"/>
          <a:ext cx="0" cy="9525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38100</xdr:colOff>
      <xdr:row>5</xdr:row>
      <xdr:rowOff>152400</xdr:rowOff>
    </xdr:from>
    <xdr:to>
      <xdr:col>21</xdr:col>
      <xdr:colOff>38100</xdr:colOff>
      <xdr:row>7</xdr:row>
      <xdr:rowOff>28575</xdr:rowOff>
    </xdr:to>
    <xdr:sp macro="" textlink="">
      <xdr:nvSpPr>
        <xdr:cNvPr id="3533" name="Line 55"/>
        <xdr:cNvSpPr>
          <a:spLocks noChangeShapeType="1"/>
        </xdr:cNvSpPr>
      </xdr:nvSpPr>
      <xdr:spPr bwMode="auto">
        <a:xfrm>
          <a:off x="2466975" y="1000125"/>
          <a:ext cx="0" cy="238125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9525</xdr:colOff>
      <xdr:row>5</xdr:row>
      <xdr:rowOff>133350</xdr:rowOff>
    </xdr:from>
    <xdr:to>
      <xdr:col>21</xdr:col>
      <xdr:colOff>9525</xdr:colOff>
      <xdr:row>7</xdr:row>
      <xdr:rowOff>9525</xdr:rowOff>
    </xdr:to>
    <xdr:sp macro="" textlink="">
      <xdr:nvSpPr>
        <xdr:cNvPr id="3534" name="Line 56"/>
        <xdr:cNvSpPr>
          <a:spLocks noChangeShapeType="1"/>
        </xdr:cNvSpPr>
      </xdr:nvSpPr>
      <xdr:spPr bwMode="auto">
        <a:xfrm>
          <a:off x="2438400" y="981075"/>
          <a:ext cx="0" cy="238125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20</xdr:col>
      <xdr:colOff>19050</xdr:colOff>
      <xdr:row>6</xdr:row>
      <xdr:rowOff>9525</xdr:rowOff>
    </xdr:from>
    <xdr:to>
      <xdr:col>20</xdr:col>
      <xdr:colOff>19050</xdr:colOff>
      <xdr:row>7</xdr:row>
      <xdr:rowOff>19050</xdr:rowOff>
    </xdr:to>
    <xdr:sp macro="" textlink="">
      <xdr:nvSpPr>
        <xdr:cNvPr id="3535" name="Line 57"/>
        <xdr:cNvSpPr>
          <a:spLocks noChangeShapeType="1"/>
        </xdr:cNvSpPr>
      </xdr:nvSpPr>
      <xdr:spPr bwMode="auto">
        <a:xfrm>
          <a:off x="2324100" y="1038225"/>
          <a:ext cx="0" cy="19050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20</xdr:col>
      <xdr:colOff>0</xdr:colOff>
      <xdr:row>6</xdr:row>
      <xdr:rowOff>19050</xdr:rowOff>
    </xdr:from>
    <xdr:to>
      <xdr:col>20</xdr:col>
      <xdr:colOff>0</xdr:colOff>
      <xdr:row>7</xdr:row>
      <xdr:rowOff>0</xdr:rowOff>
    </xdr:to>
    <xdr:sp macro="" textlink="">
      <xdr:nvSpPr>
        <xdr:cNvPr id="3536" name="Line 58"/>
        <xdr:cNvSpPr>
          <a:spLocks noChangeShapeType="1"/>
        </xdr:cNvSpPr>
      </xdr:nvSpPr>
      <xdr:spPr bwMode="auto">
        <a:xfrm>
          <a:off x="2305050" y="1047750"/>
          <a:ext cx="0" cy="161925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19</xdr:col>
      <xdr:colOff>104775</xdr:colOff>
      <xdr:row>6</xdr:row>
      <xdr:rowOff>38100</xdr:rowOff>
    </xdr:from>
    <xdr:to>
      <xdr:col>19</xdr:col>
      <xdr:colOff>104775</xdr:colOff>
      <xdr:row>7</xdr:row>
      <xdr:rowOff>0</xdr:rowOff>
    </xdr:to>
    <xdr:sp macro="" textlink="">
      <xdr:nvSpPr>
        <xdr:cNvPr id="3537" name="Line 59"/>
        <xdr:cNvSpPr>
          <a:spLocks noChangeShapeType="1"/>
        </xdr:cNvSpPr>
      </xdr:nvSpPr>
      <xdr:spPr bwMode="auto">
        <a:xfrm flipH="1">
          <a:off x="2286000" y="1066800"/>
          <a:ext cx="0" cy="142875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20</xdr:col>
      <xdr:colOff>19050</xdr:colOff>
      <xdr:row>3</xdr:row>
      <xdr:rowOff>104775</xdr:rowOff>
    </xdr:from>
    <xdr:to>
      <xdr:col>20</xdr:col>
      <xdr:colOff>19050</xdr:colOff>
      <xdr:row>4</xdr:row>
      <xdr:rowOff>66675</xdr:rowOff>
    </xdr:to>
    <xdr:sp macro="" textlink="">
      <xdr:nvSpPr>
        <xdr:cNvPr id="3538" name="Line 60"/>
        <xdr:cNvSpPr>
          <a:spLocks noChangeShapeType="1"/>
        </xdr:cNvSpPr>
      </xdr:nvSpPr>
      <xdr:spPr bwMode="auto">
        <a:xfrm>
          <a:off x="2324100" y="590550"/>
          <a:ext cx="0" cy="142875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20</xdr:col>
      <xdr:colOff>0</xdr:colOff>
      <xdr:row>3</xdr:row>
      <xdr:rowOff>123825</xdr:rowOff>
    </xdr:from>
    <xdr:to>
      <xdr:col>20</xdr:col>
      <xdr:colOff>0</xdr:colOff>
      <xdr:row>4</xdr:row>
      <xdr:rowOff>47625</xdr:rowOff>
    </xdr:to>
    <xdr:sp macro="" textlink="">
      <xdr:nvSpPr>
        <xdr:cNvPr id="3539" name="Line 61"/>
        <xdr:cNvSpPr>
          <a:spLocks noChangeShapeType="1"/>
        </xdr:cNvSpPr>
      </xdr:nvSpPr>
      <xdr:spPr bwMode="auto">
        <a:xfrm>
          <a:off x="2305050" y="609600"/>
          <a:ext cx="0" cy="104775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19</xdr:col>
      <xdr:colOff>114300</xdr:colOff>
      <xdr:row>3</xdr:row>
      <xdr:rowOff>123825</xdr:rowOff>
    </xdr:from>
    <xdr:to>
      <xdr:col>19</xdr:col>
      <xdr:colOff>114300</xdr:colOff>
      <xdr:row>4</xdr:row>
      <xdr:rowOff>57150</xdr:rowOff>
    </xdr:to>
    <xdr:sp macro="" textlink="">
      <xdr:nvSpPr>
        <xdr:cNvPr id="3540" name="Line 62"/>
        <xdr:cNvSpPr>
          <a:spLocks noChangeShapeType="1"/>
        </xdr:cNvSpPr>
      </xdr:nvSpPr>
      <xdr:spPr bwMode="auto">
        <a:xfrm>
          <a:off x="2295525" y="609600"/>
          <a:ext cx="0" cy="11430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16</xdr:col>
      <xdr:colOff>38100</xdr:colOff>
      <xdr:row>2</xdr:row>
      <xdr:rowOff>28575</xdr:rowOff>
    </xdr:from>
    <xdr:to>
      <xdr:col>21</xdr:col>
      <xdr:colOff>38100</xdr:colOff>
      <xdr:row>5</xdr:row>
      <xdr:rowOff>28575</xdr:rowOff>
    </xdr:to>
    <xdr:sp macro="" textlink="">
      <xdr:nvSpPr>
        <xdr:cNvPr id="3541" name="Freeform 63"/>
        <xdr:cNvSpPr>
          <a:spLocks/>
        </xdr:cNvSpPr>
      </xdr:nvSpPr>
      <xdr:spPr bwMode="auto">
        <a:xfrm>
          <a:off x="1847850" y="333375"/>
          <a:ext cx="619125" cy="542925"/>
        </a:xfrm>
        <a:custGeom>
          <a:avLst/>
          <a:gdLst>
            <a:gd name="T0" fmla="*/ 0 w 65"/>
            <a:gd name="T1" fmla="*/ 0 h 57"/>
            <a:gd name="T2" fmla="*/ 11 w 65"/>
            <a:gd name="T3" fmla="*/ 1 h 57"/>
            <a:gd name="T4" fmla="*/ 17 w 65"/>
            <a:gd name="T5" fmla="*/ 2 h 57"/>
            <a:gd name="T6" fmla="*/ 24 w 65"/>
            <a:gd name="T7" fmla="*/ 4 h 57"/>
            <a:gd name="T8" fmla="*/ 31 w 65"/>
            <a:gd name="T9" fmla="*/ 7 h 57"/>
            <a:gd name="T10" fmla="*/ 37 w 65"/>
            <a:gd name="T11" fmla="*/ 11 h 57"/>
            <a:gd name="T12" fmla="*/ 43 w 65"/>
            <a:gd name="T13" fmla="*/ 15 h 57"/>
            <a:gd name="T14" fmla="*/ 49 w 65"/>
            <a:gd name="T15" fmla="*/ 20 h 57"/>
            <a:gd name="T16" fmla="*/ 54 w 65"/>
            <a:gd name="T17" fmla="*/ 26 h 57"/>
            <a:gd name="T18" fmla="*/ 58 w 65"/>
            <a:gd name="T19" fmla="*/ 34 h 57"/>
            <a:gd name="T20" fmla="*/ 62 w 65"/>
            <a:gd name="T21" fmla="*/ 42 h 57"/>
            <a:gd name="T22" fmla="*/ 65 w 65"/>
            <a:gd name="T23" fmla="*/ 57 h 57"/>
            <a:gd name="T24" fmla="*/ 0 60000 65536"/>
            <a:gd name="T25" fmla="*/ 0 60000 65536"/>
            <a:gd name="T26" fmla="*/ 0 60000 65536"/>
            <a:gd name="T27" fmla="*/ 0 60000 65536"/>
            <a:gd name="T28" fmla="*/ 0 60000 65536"/>
            <a:gd name="T29" fmla="*/ 0 60000 65536"/>
            <a:gd name="T30" fmla="*/ 0 60000 65536"/>
            <a:gd name="T31" fmla="*/ 0 60000 65536"/>
            <a:gd name="T32" fmla="*/ 0 60000 65536"/>
            <a:gd name="T33" fmla="*/ 0 60000 65536"/>
            <a:gd name="T34" fmla="*/ 0 60000 65536"/>
            <a:gd name="T35" fmla="*/ 0 60000 65536"/>
            <a:gd name="T36" fmla="*/ 0 w 65"/>
            <a:gd name="T37" fmla="*/ 0 h 57"/>
            <a:gd name="T38" fmla="*/ 65 w 65"/>
            <a:gd name="T39" fmla="*/ 57 h 57"/>
          </a:gdLst>
          <a:ahLst/>
          <a:cxnLst>
            <a:cxn ang="T24">
              <a:pos x="T0" y="T1"/>
            </a:cxn>
            <a:cxn ang="T25">
              <a:pos x="T2" y="T3"/>
            </a:cxn>
            <a:cxn ang="T26">
              <a:pos x="T4" y="T5"/>
            </a:cxn>
            <a:cxn ang="T27">
              <a:pos x="T6" y="T7"/>
            </a:cxn>
            <a:cxn ang="T28">
              <a:pos x="T8" y="T9"/>
            </a:cxn>
            <a:cxn ang="T29">
              <a:pos x="T10" y="T11"/>
            </a:cxn>
            <a:cxn ang="T30">
              <a:pos x="T12" y="T13"/>
            </a:cxn>
            <a:cxn ang="T31">
              <a:pos x="T14" y="T15"/>
            </a:cxn>
            <a:cxn ang="T32">
              <a:pos x="T16" y="T17"/>
            </a:cxn>
            <a:cxn ang="T33">
              <a:pos x="T18" y="T19"/>
            </a:cxn>
            <a:cxn ang="T34">
              <a:pos x="T20" y="T21"/>
            </a:cxn>
            <a:cxn ang="T35">
              <a:pos x="T22" y="T23"/>
            </a:cxn>
          </a:cxnLst>
          <a:rect l="T36" t="T37" r="T38" b="T39"/>
          <a:pathLst>
            <a:path w="65" h="57">
              <a:moveTo>
                <a:pt x="0" y="0"/>
              </a:moveTo>
              <a:lnTo>
                <a:pt x="11" y="1"/>
              </a:lnTo>
              <a:lnTo>
                <a:pt x="17" y="2"/>
              </a:lnTo>
              <a:lnTo>
                <a:pt x="24" y="4"/>
              </a:lnTo>
              <a:lnTo>
                <a:pt x="31" y="7"/>
              </a:lnTo>
              <a:lnTo>
                <a:pt x="37" y="11"/>
              </a:lnTo>
              <a:lnTo>
                <a:pt x="43" y="15"/>
              </a:lnTo>
              <a:lnTo>
                <a:pt x="49" y="20"/>
              </a:lnTo>
              <a:lnTo>
                <a:pt x="54" y="26"/>
              </a:lnTo>
              <a:lnTo>
                <a:pt x="58" y="34"/>
              </a:lnTo>
              <a:lnTo>
                <a:pt x="62" y="42"/>
              </a:lnTo>
              <a:lnTo>
                <a:pt x="65" y="57"/>
              </a:lnTo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stealth" w="sm" len="med"/>
          <a:tailEnd type="stealth" w="sm" len="med"/>
        </a:ln>
      </xdr:spPr>
    </xdr:sp>
    <xdr:clientData/>
  </xdr:twoCellAnchor>
  <xdr:twoCellAnchor>
    <xdr:from>
      <xdr:col>20</xdr:col>
      <xdr:colOff>19050</xdr:colOff>
      <xdr:row>5</xdr:row>
      <xdr:rowOff>19050</xdr:rowOff>
    </xdr:from>
    <xdr:to>
      <xdr:col>20</xdr:col>
      <xdr:colOff>47625</xdr:colOff>
      <xdr:row>5</xdr:row>
      <xdr:rowOff>19050</xdr:rowOff>
    </xdr:to>
    <xdr:sp macro="" textlink="">
      <xdr:nvSpPr>
        <xdr:cNvPr id="3542" name="Line 64"/>
        <xdr:cNvSpPr>
          <a:spLocks noChangeShapeType="1"/>
        </xdr:cNvSpPr>
      </xdr:nvSpPr>
      <xdr:spPr bwMode="auto">
        <a:xfrm>
          <a:off x="2324100" y="866775"/>
          <a:ext cx="28575" cy="0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19</xdr:col>
      <xdr:colOff>57150</xdr:colOff>
      <xdr:row>5</xdr:row>
      <xdr:rowOff>95250</xdr:rowOff>
    </xdr:from>
    <xdr:to>
      <xdr:col>20</xdr:col>
      <xdr:colOff>57150</xdr:colOff>
      <xdr:row>5</xdr:row>
      <xdr:rowOff>133350</xdr:rowOff>
    </xdr:to>
    <xdr:sp macro="" textlink="">
      <xdr:nvSpPr>
        <xdr:cNvPr id="3543" name="Freeform 65"/>
        <xdr:cNvSpPr>
          <a:spLocks/>
        </xdr:cNvSpPr>
      </xdr:nvSpPr>
      <xdr:spPr bwMode="auto">
        <a:xfrm>
          <a:off x="2238375" y="942975"/>
          <a:ext cx="123825" cy="38100"/>
        </a:xfrm>
        <a:custGeom>
          <a:avLst/>
          <a:gdLst>
            <a:gd name="T0" fmla="*/ 0 w 13"/>
            <a:gd name="T1" fmla="*/ 3 h 4"/>
            <a:gd name="T2" fmla="*/ 10 w 13"/>
            <a:gd name="T3" fmla="*/ 4 h 4"/>
            <a:gd name="T4" fmla="*/ 10 w 13"/>
            <a:gd name="T5" fmla="*/ 1 h 4"/>
            <a:gd name="T6" fmla="*/ 13 w 13"/>
            <a:gd name="T7" fmla="*/ 0 h 4"/>
            <a:gd name="T8" fmla="*/ 0 60000 65536"/>
            <a:gd name="T9" fmla="*/ 0 60000 65536"/>
            <a:gd name="T10" fmla="*/ 0 60000 65536"/>
            <a:gd name="T11" fmla="*/ 0 60000 65536"/>
            <a:gd name="T12" fmla="*/ 0 w 13"/>
            <a:gd name="T13" fmla="*/ 0 h 4"/>
            <a:gd name="T14" fmla="*/ 13 w 13"/>
            <a:gd name="T15" fmla="*/ 4 h 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3" h="4">
              <a:moveTo>
                <a:pt x="0" y="3"/>
              </a:moveTo>
              <a:lnTo>
                <a:pt x="10" y="4"/>
              </a:lnTo>
              <a:lnTo>
                <a:pt x="10" y="1"/>
              </a:lnTo>
              <a:lnTo>
                <a:pt x="13" y="0"/>
              </a:lnTo>
            </a:path>
          </a:pathLst>
        </a:custGeom>
        <a:noFill/>
        <a:ln w="1587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85725</xdr:colOff>
      <xdr:row>5</xdr:row>
      <xdr:rowOff>85725</xdr:rowOff>
    </xdr:from>
    <xdr:to>
      <xdr:col>19</xdr:col>
      <xdr:colOff>85725</xdr:colOff>
      <xdr:row>7</xdr:row>
      <xdr:rowOff>76200</xdr:rowOff>
    </xdr:to>
    <xdr:sp macro="" textlink="">
      <xdr:nvSpPr>
        <xdr:cNvPr id="3544" name="Freeform 66"/>
        <xdr:cNvSpPr>
          <a:spLocks/>
        </xdr:cNvSpPr>
      </xdr:nvSpPr>
      <xdr:spPr bwMode="auto">
        <a:xfrm>
          <a:off x="1428750" y="933450"/>
          <a:ext cx="838200" cy="352425"/>
        </a:xfrm>
        <a:custGeom>
          <a:avLst/>
          <a:gdLst>
            <a:gd name="T0" fmla="*/ 0 w 88"/>
            <a:gd name="T1" fmla="*/ 0 h 37"/>
            <a:gd name="T2" fmla="*/ 1 w 88"/>
            <a:gd name="T3" fmla="*/ 4 h 37"/>
            <a:gd name="T4" fmla="*/ 2 w 88"/>
            <a:gd name="T5" fmla="*/ 8 h 37"/>
            <a:gd name="T6" fmla="*/ 3 w 88"/>
            <a:gd name="T7" fmla="*/ 12 h 37"/>
            <a:gd name="T8" fmla="*/ 5 w 88"/>
            <a:gd name="T9" fmla="*/ 16 h 37"/>
            <a:gd name="T10" fmla="*/ 8 w 88"/>
            <a:gd name="T11" fmla="*/ 20 h 37"/>
            <a:gd name="T12" fmla="*/ 11 w 88"/>
            <a:gd name="T13" fmla="*/ 23 h 37"/>
            <a:gd name="T14" fmla="*/ 14 w 88"/>
            <a:gd name="T15" fmla="*/ 26 h 37"/>
            <a:gd name="T16" fmla="*/ 18 w 88"/>
            <a:gd name="T17" fmla="*/ 29 h 37"/>
            <a:gd name="T18" fmla="*/ 22 w 88"/>
            <a:gd name="T19" fmla="*/ 32 h 37"/>
            <a:gd name="T20" fmla="*/ 27 w 88"/>
            <a:gd name="T21" fmla="*/ 34 h 37"/>
            <a:gd name="T22" fmla="*/ 32 w 88"/>
            <a:gd name="T23" fmla="*/ 36 h 37"/>
            <a:gd name="T24" fmla="*/ 38 w 88"/>
            <a:gd name="T25" fmla="*/ 37 h 37"/>
            <a:gd name="T26" fmla="*/ 44 w 88"/>
            <a:gd name="T27" fmla="*/ 37 h 37"/>
            <a:gd name="T28" fmla="*/ 50 w 88"/>
            <a:gd name="T29" fmla="*/ 37 h 37"/>
            <a:gd name="T30" fmla="*/ 56 w 88"/>
            <a:gd name="T31" fmla="*/ 36 h 37"/>
            <a:gd name="T32" fmla="*/ 62 w 88"/>
            <a:gd name="T33" fmla="*/ 34 h 37"/>
            <a:gd name="T34" fmla="*/ 67 w 88"/>
            <a:gd name="T35" fmla="*/ 31 h 37"/>
            <a:gd name="T36" fmla="*/ 72 w 88"/>
            <a:gd name="T37" fmla="*/ 28 h 37"/>
            <a:gd name="T38" fmla="*/ 75 w 88"/>
            <a:gd name="T39" fmla="*/ 25 h 37"/>
            <a:gd name="T40" fmla="*/ 79 w 88"/>
            <a:gd name="T41" fmla="*/ 21 h 37"/>
            <a:gd name="T42" fmla="*/ 82 w 88"/>
            <a:gd name="T43" fmla="*/ 17 h 37"/>
            <a:gd name="T44" fmla="*/ 84 w 88"/>
            <a:gd name="T45" fmla="*/ 13 h 37"/>
            <a:gd name="T46" fmla="*/ 86 w 88"/>
            <a:gd name="T47" fmla="*/ 10 h 37"/>
            <a:gd name="T48" fmla="*/ 87 w 88"/>
            <a:gd name="T49" fmla="*/ 6 h 37"/>
            <a:gd name="T50" fmla="*/ 88 w 88"/>
            <a:gd name="T51" fmla="*/ 1 h 37"/>
            <a:gd name="T52" fmla="*/ 0 60000 65536"/>
            <a:gd name="T53" fmla="*/ 0 60000 65536"/>
            <a:gd name="T54" fmla="*/ 0 60000 65536"/>
            <a:gd name="T55" fmla="*/ 0 60000 65536"/>
            <a:gd name="T56" fmla="*/ 0 60000 65536"/>
            <a:gd name="T57" fmla="*/ 0 60000 65536"/>
            <a:gd name="T58" fmla="*/ 0 60000 65536"/>
            <a:gd name="T59" fmla="*/ 0 60000 65536"/>
            <a:gd name="T60" fmla="*/ 0 60000 65536"/>
            <a:gd name="T61" fmla="*/ 0 60000 65536"/>
            <a:gd name="T62" fmla="*/ 0 60000 65536"/>
            <a:gd name="T63" fmla="*/ 0 60000 65536"/>
            <a:gd name="T64" fmla="*/ 0 60000 65536"/>
            <a:gd name="T65" fmla="*/ 0 60000 65536"/>
            <a:gd name="T66" fmla="*/ 0 60000 65536"/>
            <a:gd name="T67" fmla="*/ 0 60000 65536"/>
            <a:gd name="T68" fmla="*/ 0 60000 65536"/>
            <a:gd name="T69" fmla="*/ 0 60000 65536"/>
            <a:gd name="T70" fmla="*/ 0 60000 65536"/>
            <a:gd name="T71" fmla="*/ 0 60000 65536"/>
            <a:gd name="T72" fmla="*/ 0 60000 65536"/>
            <a:gd name="T73" fmla="*/ 0 60000 65536"/>
            <a:gd name="T74" fmla="*/ 0 60000 65536"/>
            <a:gd name="T75" fmla="*/ 0 60000 65536"/>
            <a:gd name="T76" fmla="*/ 0 60000 65536"/>
            <a:gd name="T77" fmla="*/ 0 60000 65536"/>
            <a:gd name="T78" fmla="*/ 0 w 88"/>
            <a:gd name="T79" fmla="*/ 0 h 37"/>
            <a:gd name="T80" fmla="*/ 88 w 88"/>
            <a:gd name="T81" fmla="*/ 37 h 37"/>
          </a:gdLst>
          <a:ahLst/>
          <a:cxnLst>
            <a:cxn ang="T52">
              <a:pos x="T0" y="T1"/>
            </a:cxn>
            <a:cxn ang="T53">
              <a:pos x="T2" y="T3"/>
            </a:cxn>
            <a:cxn ang="T54">
              <a:pos x="T4" y="T5"/>
            </a:cxn>
            <a:cxn ang="T55">
              <a:pos x="T6" y="T7"/>
            </a:cxn>
            <a:cxn ang="T56">
              <a:pos x="T8" y="T9"/>
            </a:cxn>
            <a:cxn ang="T57">
              <a:pos x="T10" y="T11"/>
            </a:cxn>
            <a:cxn ang="T58">
              <a:pos x="T12" y="T13"/>
            </a:cxn>
            <a:cxn ang="T59">
              <a:pos x="T14" y="T15"/>
            </a:cxn>
            <a:cxn ang="T60">
              <a:pos x="T16" y="T17"/>
            </a:cxn>
            <a:cxn ang="T61">
              <a:pos x="T18" y="T19"/>
            </a:cxn>
            <a:cxn ang="T62">
              <a:pos x="T20" y="T21"/>
            </a:cxn>
            <a:cxn ang="T63">
              <a:pos x="T22" y="T23"/>
            </a:cxn>
            <a:cxn ang="T64">
              <a:pos x="T24" y="T25"/>
            </a:cxn>
            <a:cxn ang="T65">
              <a:pos x="T26" y="T27"/>
            </a:cxn>
            <a:cxn ang="T66">
              <a:pos x="T28" y="T29"/>
            </a:cxn>
            <a:cxn ang="T67">
              <a:pos x="T30" y="T31"/>
            </a:cxn>
            <a:cxn ang="T68">
              <a:pos x="T32" y="T33"/>
            </a:cxn>
            <a:cxn ang="T69">
              <a:pos x="T34" y="T35"/>
            </a:cxn>
            <a:cxn ang="T70">
              <a:pos x="T36" y="T37"/>
            </a:cxn>
            <a:cxn ang="T71">
              <a:pos x="T38" y="T39"/>
            </a:cxn>
            <a:cxn ang="T72">
              <a:pos x="T40" y="T41"/>
            </a:cxn>
            <a:cxn ang="T73">
              <a:pos x="T42" y="T43"/>
            </a:cxn>
            <a:cxn ang="T74">
              <a:pos x="T44" y="T45"/>
            </a:cxn>
            <a:cxn ang="T75">
              <a:pos x="T46" y="T47"/>
            </a:cxn>
            <a:cxn ang="T76">
              <a:pos x="T48" y="T49"/>
            </a:cxn>
            <a:cxn ang="T77">
              <a:pos x="T50" y="T51"/>
            </a:cxn>
          </a:cxnLst>
          <a:rect l="T78" t="T79" r="T80" b="T81"/>
          <a:pathLst>
            <a:path w="88" h="37">
              <a:moveTo>
                <a:pt x="0" y="0"/>
              </a:moveTo>
              <a:lnTo>
                <a:pt x="1" y="4"/>
              </a:lnTo>
              <a:lnTo>
                <a:pt x="2" y="8"/>
              </a:lnTo>
              <a:lnTo>
                <a:pt x="3" y="12"/>
              </a:lnTo>
              <a:lnTo>
                <a:pt x="5" y="16"/>
              </a:lnTo>
              <a:lnTo>
                <a:pt x="8" y="20"/>
              </a:lnTo>
              <a:lnTo>
                <a:pt x="11" y="23"/>
              </a:lnTo>
              <a:lnTo>
                <a:pt x="14" y="26"/>
              </a:lnTo>
              <a:lnTo>
                <a:pt x="18" y="29"/>
              </a:lnTo>
              <a:lnTo>
                <a:pt x="22" y="32"/>
              </a:lnTo>
              <a:lnTo>
                <a:pt x="27" y="34"/>
              </a:lnTo>
              <a:lnTo>
                <a:pt x="32" y="36"/>
              </a:lnTo>
              <a:lnTo>
                <a:pt x="38" y="37"/>
              </a:lnTo>
              <a:lnTo>
                <a:pt x="44" y="37"/>
              </a:lnTo>
              <a:lnTo>
                <a:pt x="50" y="37"/>
              </a:lnTo>
              <a:lnTo>
                <a:pt x="56" y="36"/>
              </a:lnTo>
              <a:lnTo>
                <a:pt x="62" y="34"/>
              </a:lnTo>
              <a:lnTo>
                <a:pt x="67" y="31"/>
              </a:lnTo>
              <a:lnTo>
                <a:pt x="72" y="28"/>
              </a:lnTo>
              <a:lnTo>
                <a:pt x="75" y="25"/>
              </a:lnTo>
              <a:lnTo>
                <a:pt x="79" y="21"/>
              </a:lnTo>
              <a:lnTo>
                <a:pt x="82" y="17"/>
              </a:lnTo>
              <a:lnTo>
                <a:pt x="84" y="13"/>
              </a:lnTo>
              <a:lnTo>
                <a:pt x="86" y="10"/>
              </a:lnTo>
              <a:lnTo>
                <a:pt x="87" y="6"/>
              </a:lnTo>
              <a:lnTo>
                <a:pt x="88" y="1"/>
              </a:lnTo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85725</xdr:colOff>
      <xdr:row>3</xdr:row>
      <xdr:rowOff>38100</xdr:rowOff>
    </xdr:from>
    <xdr:to>
      <xdr:col>19</xdr:col>
      <xdr:colOff>85725</xdr:colOff>
      <xdr:row>5</xdr:row>
      <xdr:rowOff>38100</xdr:rowOff>
    </xdr:to>
    <xdr:sp macro="" textlink="">
      <xdr:nvSpPr>
        <xdr:cNvPr id="3545" name="Freeform 67"/>
        <xdr:cNvSpPr>
          <a:spLocks/>
        </xdr:cNvSpPr>
      </xdr:nvSpPr>
      <xdr:spPr bwMode="auto">
        <a:xfrm>
          <a:off x="1428750" y="523875"/>
          <a:ext cx="838200" cy="361950"/>
        </a:xfrm>
        <a:custGeom>
          <a:avLst/>
          <a:gdLst>
            <a:gd name="T0" fmla="*/ 0 w 88"/>
            <a:gd name="T1" fmla="*/ 38 h 38"/>
            <a:gd name="T2" fmla="*/ 0 w 88"/>
            <a:gd name="T3" fmla="*/ 34 h 38"/>
            <a:gd name="T4" fmla="*/ 1 w 88"/>
            <a:gd name="T5" fmla="*/ 30 h 38"/>
            <a:gd name="T6" fmla="*/ 2 w 88"/>
            <a:gd name="T7" fmla="*/ 26 h 38"/>
            <a:gd name="T8" fmla="*/ 4 w 88"/>
            <a:gd name="T9" fmla="*/ 22 h 38"/>
            <a:gd name="T10" fmla="*/ 7 w 88"/>
            <a:gd name="T11" fmla="*/ 18 h 38"/>
            <a:gd name="T12" fmla="*/ 10 w 88"/>
            <a:gd name="T13" fmla="*/ 14 h 38"/>
            <a:gd name="T14" fmla="*/ 13 w 88"/>
            <a:gd name="T15" fmla="*/ 11 h 38"/>
            <a:gd name="T16" fmla="*/ 17 w 88"/>
            <a:gd name="T17" fmla="*/ 8 h 38"/>
            <a:gd name="T18" fmla="*/ 20 w 88"/>
            <a:gd name="T19" fmla="*/ 6 h 38"/>
            <a:gd name="T20" fmla="*/ 24 w 88"/>
            <a:gd name="T21" fmla="*/ 4 h 38"/>
            <a:gd name="T22" fmla="*/ 28 w 88"/>
            <a:gd name="T23" fmla="*/ 2 h 38"/>
            <a:gd name="T24" fmla="*/ 33 w 88"/>
            <a:gd name="T25" fmla="*/ 1 h 38"/>
            <a:gd name="T26" fmla="*/ 38 w 88"/>
            <a:gd name="T27" fmla="*/ 0 h 38"/>
            <a:gd name="T28" fmla="*/ 43 w 88"/>
            <a:gd name="T29" fmla="*/ 0 h 38"/>
            <a:gd name="T30" fmla="*/ 48 w 88"/>
            <a:gd name="T31" fmla="*/ 0 h 38"/>
            <a:gd name="T32" fmla="*/ 53 w 88"/>
            <a:gd name="T33" fmla="*/ 1 h 38"/>
            <a:gd name="T34" fmla="*/ 57 w 88"/>
            <a:gd name="T35" fmla="*/ 2 h 38"/>
            <a:gd name="T36" fmla="*/ 61 w 88"/>
            <a:gd name="T37" fmla="*/ 3 h 38"/>
            <a:gd name="T38" fmla="*/ 66 w 88"/>
            <a:gd name="T39" fmla="*/ 5 h 38"/>
            <a:gd name="T40" fmla="*/ 70 w 88"/>
            <a:gd name="T41" fmla="*/ 8 h 38"/>
            <a:gd name="T42" fmla="*/ 74 w 88"/>
            <a:gd name="T43" fmla="*/ 11 h 38"/>
            <a:gd name="T44" fmla="*/ 80 w 88"/>
            <a:gd name="T45" fmla="*/ 17 h 38"/>
            <a:gd name="T46" fmla="*/ 83 w 88"/>
            <a:gd name="T47" fmla="*/ 22 h 38"/>
            <a:gd name="T48" fmla="*/ 85 w 88"/>
            <a:gd name="T49" fmla="*/ 26 h 38"/>
            <a:gd name="T50" fmla="*/ 86 w 88"/>
            <a:gd name="T51" fmla="*/ 30 h 38"/>
            <a:gd name="T52" fmla="*/ 87 w 88"/>
            <a:gd name="T53" fmla="*/ 34 h 38"/>
            <a:gd name="T54" fmla="*/ 88 w 88"/>
            <a:gd name="T55" fmla="*/ 37 h 38"/>
            <a:gd name="T56" fmla="*/ 0 60000 65536"/>
            <a:gd name="T57" fmla="*/ 0 60000 65536"/>
            <a:gd name="T58" fmla="*/ 0 60000 65536"/>
            <a:gd name="T59" fmla="*/ 0 60000 65536"/>
            <a:gd name="T60" fmla="*/ 0 60000 65536"/>
            <a:gd name="T61" fmla="*/ 0 60000 65536"/>
            <a:gd name="T62" fmla="*/ 0 60000 65536"/>
            <a:gd name="T63" fmla="*/ 0 60000 65536"/>
            <a:gd name="T64" fmla="*/ 0 60000 65536"/>
            <a:gd name="T65" fmla="*/ 0 60000 65536"/>
            <a:gd name="T66" fmla="*/ 0 60000 65536"/>
            <a:gd name="T67" fmla="*/ 0 60000 65536"/>
            <a:gd name="T68" fmla="*/ 0 60000 65536"/>
            <a:gd name="T69" fmla="*/ 0 60000 65536"/>
            <a:gd name="T70" fmla="*/ 0 60000 65536"/>
            <a:gd name="T71" fmla="*/ 0 60000 65536"/>
            <a:gd name="T72" fmla="*/ 0 60000 65536"/>
            <a:gd name="T73" fmla="*/ 0 60000 65536"/>
            <a:gd name="T74" fmla="*/ 0 60000 65536"/>
            <a:gd name="T75" fmla="*/ 0 60000 65536"/>
            <a:gd name="T76" fmla="*/ 0 60000 65536"/>
            <a:gd name="T77" fmla="*/ 0 60000 65536"/>
            <a:gd name="T78" fmla="*/ 0 60000 65536"/>
            <a:gd name="T79" fmla="*/ 0 60000 65536"/>
            <a:gd name="T80" fmla="*/ 0 60000 65536"/>
            <a:gd name="T81" fmla="*/ 0 60000 65536"/>
            <a:gd name="T82" fmla="*/ 0 60000 65536"/>
            <a:gd name="T83" fmla="*/ 0 60000 65536"/>
            <a:gd name="T84" fmla="*/ 0 w 88"/>
            <a:gd name="T85" fmla="*/ 0 h 38"/>
            <a:gd name="T86" fmla="*/ 88 w 88"/>
            <a:gd name="T87" fmla="*/ 38 h 38"/>
          </a:gdLst>
          <a:ahLst/>
          <a:cxnLst>
            <a:cxn ang="T56">
              <a:pos x="T0" y="T1"/>
            </a:cxn>
            <a:cxn ang="T57">
              <a:pos x="T2" y="T3"/>
            </a:cxn>
            <a:cxn ang="T58">
              <a:pos x="T4" y="T5"/>
            </a:cxn>
            <a:cxn ang="T59">
              <a:pos x="T6" y="T7"/>
            </a:cxn>
            <a:cxn ang="T60">
              <a:pos x="T8" y="T9"/>
            </a:cxn>
            <a:cxn ang="T61">
              <a:pos x="T10" y="T11"/>
            </a:cxn>
            <a:cxn ang="T62">
              <a:pos x="T12" y="T13"/>
            </a:cxn>
            <a:cxn ang="T63">
              <a:pos x="T14" y="T15"/>
            </a:cxn>
            <a:cxn ang="T64">
              <a:pos x="T16" y="T17"/>
            </a:cxn>
            <a:cxn ang="T65">
              <a:pos x="T18" y="T19"/>
            </a:cxn>
            <a:cxn ang="T66">
              <a:pos x="T20" y="T21"/>
            </a:cxn>
            <a:cxn ang="T67">
              <a:pos x="T22" y="T23"/>
            </a:cxn>
            <a:cxn ang="T68">
              <a:pos x="T24" y="T25"/>
            </a:cxn>
            <a:cxn ang="T69">
              <a:pos x="T26" y="T27"/>
            </a:cxn>
            <a:cxn ang="T70">
              <a:pos x="T28" y="T29"/>
            </a:cxn>
            <a:cxn ang="T71">
              <a:pos x="T30" y="T31"/>
            </a:cxn>
            <a:cxn ang="T72">
              <a:pos x="T32" y="T33"/>
            </a:cxn>
            <a:cxn ang="T73">
              <a:pos x="T34" y="T35"/>
            </a:cxn>
            <a:cxn ang="T74">
              <a:pos x="T36" y="T37"/>
            </a:cxn>
            <a:cxn ang="T75">
              <a:pos x="T38" y="T39"/>
            </a:cxn>
            <a:cxn ang="T76">
              <a:pos x="T40" y="T41"/>
            </a:cxn>
            <a:cxn ang="T77">
              <a:pos x="T42" y="T43"/>
            </a:cxn>
            <a:cxn ang="T78">
              <a:pos x="T44" y="T45"/>
            </a:cxn>
            <a:cxn ang="T79">
              <a:pos x="T46" y="T47"/>
            </a:cxn>
            <a:cxn ang="T80">
              <a:pos x="T48" y="T49"/>
            </a:cxn>
            <a:cxn ang="T81">
              <a:pos x="T50" y="T51"/>
            </a:cxn>
            <a:cxn ang="T82">
              <a:pos x="T52" y="T53"/>
            </a:cxn>
            <a:cxn ang="T83">
              <a:pos x="T54" y="T55"/>
            </a:cxn>
          </a:cxnLst>
          <a:rect l="T84" t="T85" r="T86" b="T87"/>
          <a:pathLst>
            <a:path w="88" h="38">
              <a:moveTo>
                <a:pt x="0" y="38"/>
              </a:moveTo>
              <a:lnTo>
                <a:pt x="0" y="34"/>
              </a:lnTo>
              <a:lnTo>
                <a:pt x="1" y="30"/>
              </a:lnTo>
              <a:lnTo>
                <a:pt x="2" y="26"/>
              </a:lnTo>
              <a:lnTo>
                <a:pt x="4" y="22"/>
              </a:lnTo>
              <a:lnTo>
                <a:pt x="7" y="18"/>
              </a:lnTo>
              <a:lnTo>
                <a:pt x="10" y="14"/>
              </a:lnTo>
              <a:lnTo>
                <a:pt x="13" y="11"/>
              </a:lnTo>
              <a:lnTo>
                <a:pt x="17" y="8"/>
              </a:lnTo>
              <a:lnTo>
                <a:pt x="20" y="6"/>
              </a:lnTo>
              <a:lnTo>
                <a:pt x="24" y="4"/>
              </a:lnTo>
              <a:lnTo>
                <a:pt x="28" y="2"/>
              </a:lnTo>
              <a:lnTo>
                <a:pt x="33" y="1"/>
              </a:lnTo>
              <a:lnTo>
                <a:pt x="38" y="0"/>
              </a:lnTo>
              <a:lnTo>
                <a:pt x="43" y="0"/>
              </a:lnTo>
              <a:lnTo>
                <a:pt x="48" y="0"/>
              </a:lnTo>
              <a:lnTo>
                <a:pt x="53" y="1"/>
              </a:lnTo>
              <a:lnTo>
                <a:pt x="57" y="2"/>
              </a:lnTo>
              <a:lnTo>
                <a:pt x="61" y="3"/>
              </a:lnTo>
              <a:lnTo>
                <a:pt x="66" y="5"/>
              </a:lnTo>
              <a:lnTo>
                <a:pt x="70" y="8"/>
              </a:lnTo>
              <a:lnTo>
                <a:pt x="74" y="11"/>
              </a:lnTo>
              <a:lnTo>
                <a:pt x="80" y="17"/>
              </a:lnTo>
              <a:lnTo>
                <a:pt x="83" y="22"/>
              </a:lnTo>
              <a:lnTo>
                <a:pt x="85" y="26"/>
              </a:lnTo>
              <a:lnTo>
                <a:pt x="86" y="30"/>
              </a:lnTo>
              <a:lnTo>
                <a:pt x="87" y="34"/>
              </a:lnTo>
              <a:lnTo>
                <a:pt x="88" y="37"/>
              </a:lnTo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10</xdr:col>
      <xdr:colOff>104775</xdr:colOff>
      <xdr:row>5</xdr:row>
      <xdr:rowOff>19050</xdr:rowOff>
    </xdr:from>
    <xdr:to>
      <xdr:col>11</xdr:col>
      <xdr:colOff>9525</xdr:colOff>
      <xdr:row>5</xdr:row>
      <xdr:rowOff>19050</xdr:rowOff>
    </xdr:to>
    <xdr:sp macro="" textlink="">
      <xdr:nvSpPr>
        <xdr:cNvPr id="3546" name="Line 68"/>
        <xdr:cNvSpPr>
          <a:spLocks noChangeShapeType="1"/>
        </xdr:cNvSpPr>
      </xdr:nvSpPr>
      <xdr:spPr bwMode="auto">
        <a:xfrm>
          <a:off x="1323975" y="866775"/>
          <a:ext cx="285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10</xdr:col>
      <xdr:colOff>104775</xdr:colOff>
      <xdr:row>5</xdr:row>
      <xdr:rowOff>85725</xdr:rowOff>
    </xdr:from>
    <xdr:to>
      <xdr:col>11</xdr:col>
      <xdr:colOff>28575</xdr:colOff>
      <xdr:row>5</xdr:row>
      <xdr:rowOff>152400</xdr:rowOff>
    </xdr:to>
    <xdr:sp macro="" textlink="">
      <xdr:nvSpPr>
        <xdr:cNvPr id="3547" name="Freeform 69"/>
        <xdr:cNvSpPr>
          <a:spLocks/>
        </xdr:cNvSpPr>
      </xdr:nvSpPr>
      <xdr:spPr bwMode="auto">
        <a:xfrm>
          <a:off x="1323975" y="933450"/>
          <a:ext cx="47625" cy="66675"/>
        </a:xfrm>
        <a:custGeom>
          <a:avLst/>
          <a:gdLst>
            <a:gd name="T0" fmla="*/ 0 w 5"/>
            <a:gd name="T1" fmla="*/ 0 h 7"/>
            <a:gd name="T2" fmla="*/ 5 w 5"/>
            <a:gd name="T3" fmla="*/ 2 h 7"/>
            <a:gd name="T4" fmla="*/ 5 w 5"/>
            <a:gd name="T5" fmla="*/ 7 h 7"/>
            <a:gd name="T6" fmla="*/ 0 60000 65536"/>
            <a:gd name="T7" fmla="*/ 0 60000 65536"/>
            <a:gd name="T8" fmla="*/ 0 60000 65536"/>
            <a:gd name="T9" fmla="*/ 0 w 5"/>
            <a:gd name="T10" fmla="*/ 0 h 7"/>
            <a:gd name="T11" fmla="*/ 5 w 5"/>
            <a:gd name="T12" fmla="*/ 7 h 7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5" h="7">
              <a:moveTo>
                <a:pt x="0" y="0"/>
              </a:moveTo>
              <a:lnTo>
                <a:pt x="5" y="2"/>
              </a:lnTo>
              <a:lnTo>
                <a:pt x="5" y="7"/>
              </a:lnTo>
            </a:path>
          </a:pathLst>
        </a:custGeom>
        <a:noFill/>
        <a:ln w="1587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15</xdr:col>
      <xdr:colOff>38100</xdr:colOff>
      <xdr:row>9</xdr:row>
      <xdr:rowOff>171450</xdr:rowOff>
    </xdr:from>
    <xdr:to>
      <xdr:col>16</xdr:col>
      <xdr:colOff>76200</xdr:colOff>
      <xdr:row>10</xdr:row>
      <xdr:rowOff>114300</xdr:rowOff>
    </xdr:to>
    <xdr:sp macro="" textlink="">
      <xdr:nvSpPr>
        <xdr:cNvPr id="3548" name="Oval 70"/>
        <xdr:cNvSpPr>
          <a:spLocks noChangeArrowheads="1"/>
        </xdr:cNvSpPr>
      </xdr:nvSpPr>
      <xdr:spPr bwMode="auto">
        <a:xfrm>
          <a:off x="1762125" y="1743075"/>
          <a:ext cx="123825" cy="123825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15</xdr:col>
      <xdr:colOff>38100</xdr:colOff>
      <xdr:row>10</xdr:row>
      <xdr:rowOff>161925</xdr:rowOff>
    </xdr:from>
    <xdr:to>
      <xdr:col>16</xdr:col>
      <xdr:colOff>76200</xdr:colOff>
      <xdr:row>11</xdr:row>
      <xdr:rowOff>104775</xdr:rowOff>
    </xdr:to>
    <xdr:sp macro="" textlink="">
      <xdr:nvSpPr>
        <xdr:cNvPr id="3549" name="Oval 71"/>
        <xdr:cNvSpPr>
          <a:spLocks noChangeArrowheads="1"/>
        </xdr:cNvSpPr>
      </xdr:nvSpPr>
      <xdr:spPr bwMode="auto">
        <a:xfrm>
          <a:off x="1762125" y="1914525"/>
          <a:ext cx="123825" cy="123825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28575</xdr:colOff>
      <xdr:row>6</xdr:row>
      <xdr:rowOff>0</xdr:rowOff>
    </xdr:from>
    <xdr:to>
      <xdr:col>6</xdr:col>
      <xdr:colOff>28575</xdr:colOff>
      <xdr:row>6</xdr:row>
      <xdr:rowOff>123825</xdr:rowOff>
    </xdr:to>
    <xdr:sp macro="" textlink="">
      <xdr:nvSpPr>
        <xdr:cNvPr id="3550" name="Oval 72"/>
        <xdr:cNvSpPr>
          <a:spLocks noChangeArrowheads="1"/>
        </xdr:cNvSpPr>
      </xdr:nvSpPr>
      <xdr:spPr bwMode="auto">
        <a:xfrm>
          <a:off x="628650" y="1028700"/>
          <a:ext cx="123825" cy="123825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 editAs="oneCell">
    <xdr:from>
      <xdr:col>5</xdr:col>
      <xdr:colOff>38100</xdr:colOff>
      <xdr:row>6</xdr:row>
      <xdr:rowOff>38100</xdr:rowOff>
    </xdr:from>
    <xdr:to>
      <xdr:col>5</xdr:col>
      <xdr:colOff>114300</xdr:colOff>
      <xdr:row>7</xdr:row>
      <xdr:rowOff>57150</xdr:rowOff>
    </xdr:to>
    <xdr:sp macro="" textlink="">
      <xdr:nvSpPr>
        <xdr:cNvPr id="3551" name="Text Box 73"/>
        <xdr:cNvSpPr txBox="1">
          <a:spLocks noChangeArrowheads="1"/>
        </xdr:cNvSpPr>
      </xdr:nvSpPr>
      <xdr:spPr bwMode="auto">
        <a:xfrm>
          <a:off x="638175" y="1066800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oneCellAnchor>
    <xdr:from>
      <xdr:col>5</xdr:col>
      <xdr:colOff>38100</xdr:colOff>
      <xdr:row>6</xdr:row>
      <xdr:rowOff>19050</xdr:rowOff>
    </xdr:from>
    <xdr:ext cx="106889" cy="69763"/>
    <xdr:sp macro="" textlink="">
      <xdr:nvSpPr>
        <xdr:cNvPr id="3146" name="Text Box 74"/>
        <xdr:cNvSpPr txBox="1">
          <a:spLocks noChangeArrowheads="1"/>
        </xdr:cNvSpPr>
      </xdr:nvSpPr>
      <xdr:spPr bwMode="auto">
        <a:xfrm>
          <a:off x="638175" y="1047750"/>
          <a:ext cx="106889" cy="6976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="vert270" wrap="none" lIns="18288" tIns="18288" rIns="0" bIns="0" anchor="t" upright="1">
          <a:spAutoFit/>
        </a:bodyPr>
        <a:lstStyle/>
        <a:p>
          <a:pPr algn="r" rtl="0">
            <a:defRPr sz="1000"/>
          </a:pPr>
          <a:r>
            <a:rPr lang="en-US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A</a:t>
          </a:r>
        </a:p>
      </xdr:txBody>
    </xdr:sp>
    <xdr:clientData/>
  </xdr:oneCellAnchor>
  <xdr:twoCellAnchor>
    <xdr:from>
      <xdr:col>3</xdr:col>
      <xdr:colOff>85725</xdr:colOff>
      <xdr:row>5</xdr:row>
      <xdr:rowOff>104775</xdr:rowOff>
    </xdr:from>
    <xdr:to>
      <xdr:col>4</xdr:col>
      <xdr:colOff>85725</xdr:colOff>
      <xdr:row>6</xdr:row>
      <xdr:rowOff>47625</xdr:rowOff>
    </xdr:to>
    <xdr:sp macro="" textlink="">
      <xdr:nvSpPr>
        <xdr:cNvPr id="3553" name="Oval 75"/>
        <xdr:cNvSpPr>
          <a:spLocks noChangeArrowheads="1"/>
        </xdr:cNvSpPr>
      </xdr:nvSpPr>
      <xdr:spPr bwMode="auto">
        <a:xfrm>
          <a:off x="438150" y="952500"/>
          <a:ext cx="123825" cy="123825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oneCellAnchor>
    <xdr:from>
      <xdr:col>3</xdr:col>
      <xdr:colOff>85725</xdr:colOff>
      <xdr:row>5</xdr:row>
      <xdr:rowOff>133350</xdr:rowOff>
    </xdr:from>
    <xdr:ext cx="121700" cy="63351"/>
    <xdr:sp macro="" textlink="">
      <xdr:nvSpPr>
        <xdr:cNvPr id="3148" name="Text Box 76"/>
        <xdr:cNvSpPr txBox="1">
          <a:spLocks noChangeArrowheads="1"/>
        </xdr:cNvSpPr>
      </xdr:nvSpPr>
      <xdr:spPr bwMode="auto">
        <a:xfrm>
          <a:off x="438150" y="981075"/>
          <a:ext cx="121700" cy="6335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="vert270" wrap="none" lIns="18288" tIns="18288" rIns="0" bIns="0" anchor="t" upright="1">
          <a:spAutoFit/>
        </a:bodyPr>
        <a:lstStyle/>
        <a:p>
          <a:pPr algn="r" rtl="0">
            <a:defRPr sz="1000"/>
          </a:pPr>
          <a:r>
            <a:rPr lang="en-US" sz="700" b="0" i="0" u="none" strike="noStrike" baseline="0">
              <a:solidFill>
                <a:srgbClr val="000000"/>
              </a:solidFill>
              <a:latin typeface="Arial"/>
              <a:cs typeface="Arial"/>
            </a:rPr>
            <a:t>J</a:t>
          </a:r>
        </a:p>
      </xdr:txBody>
    </xdr:sp>
    <xdr:clientData/>
  </xdr:oneCellAnchor>
  <xdr:oneCellAnchor>
    <xdr:from>
      <xdr:col>2</xdr:col>
      <xdr:colOff>9525</xdr:colOff>
      <xdr:row>3</xdr:row>
      <xdr:rowOff>123825</xdr:rowOff>
    </xdr:from>
    <xdr:ext cx="95475" cy="155748"/>
    <xdr:sp macro="" textlink="">
      <xdr:nvSpPr>
        <xdr:cNvPr id="3149" name="Text Box 77"/>
        <xdr:cNvSpPr txBox="1">
          <a:spLocks noChangeArrowheads="1"/>
        </xdr:cNvSpPr>
      </xdr:nvSpPr>
      <xdr:spPr bwMode="auto">
        <a:xfrm>
          <a:off x="238125" y="609600"/>
          <a:ext cx="95475" cy="155748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US" sz="900" b="0" i="0" u="none" strike="noStrike" baseline="0">
              <a:solidFill>
                <a:srgbClr val="000000"/>
              </a:solidFill>
              <a:latin typeface="Arial"/>
              <a:cs typeface="Arial"/>
            </a:rPr>
            <a:t>A</a:t>
          </a:r>
        </a:p>
      </xdr:txBody>
    </xdr:sp>
    <xdr:clientData/>
  </xdr:oneCellAnchor>
  <xdr:oneCellAnchor>
    <xdr:from>
      <xdr:col>5</xdr:col>
      <xdr:colOff>9525</xdr:colOff>
      <xdr:row>1</xdr:row>
      <xdr:rowOff>76200</xdr:rowOff>
    </xdr:from>
    <xdr:ext cx="151132" cy="189859"/>
    <xdr:sp macro="" textlink="">
      <xdr:nvSpPr>
        <xdr:cNvPr id="3150" name="Text Box 78"/>
        <xdr:cNvSpPr txBox="1">
          <a:spLocks noChangeArrowheads="1"/>
        </xdr:cNvSpPr>
      </xdr:nvSpPr>
      <xdr:spPr bwMode="auto">
        <a:xfrm>
          <a:off x="609600" y="219075"/>
          <a:ext cx="151132" cy="18985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="vert270" wrap="none" lIns="18288" tIns="22860" rIns="0" bIns="0" anchor="t" upright="1">
          <a:spAutoFit/>
        </a:bodyPr>
        <a:lstStyle/>
        <a:p>
          <a:pPr algn="r" rtl="0">
            <a:defRPr sz="1000"/>
          </a:pPr>
          <a:r>
            <a:rPr lang="en-US" sz="900" b="0" i="0" u="none" strike="noStrike" baseline="0">
              <a:solidFill>
                <a:srgbClr val="000000"/>
              </a:solidFill>
              <a:latin typeface="Arial"/>
              <a:cs typeface="Arial"/>
            </a:rPr>
            <a:t>1-0</a:t>
          </a:r>
        </a:p>
      </xdr:txBody>
    </xdr:sp>
    <xdr:clientData/>
  </xdr:oneCellAnchor>
  <xdr:oneCellAnchor>
    <xdr:from>
      <xdr:col>5</xdr:col>
      <xdr:colOff>9525</xdr:colOff>
      <xdr:row>8</xdr:row>
      <xdr:rowOff>38100</xdr:rowOff>
    </xdr:from>
    <xdr:ext cx="151132" cy="189859"/>
    <xdr:sp macro="" textlink="">
      <xdr:nvSpPr>
        <xdr:cNvPr id="3151" name="Text Box 79"/>
        <xdr:cNvSpPr txBox="1">
          <a:spLocks noChangeArrowheads="1"/>
        </xdr:cNvSpPr>
      </xdr:nvSpPr>
      <xdr:spPr bwMode="auto">
        <a:xfrm>
          <a:off x="609600" y="1428750"/>
          <a:ext cx="151132" cy="18985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="vert270" wrap="none" lIns="18288" tIns="22860" rIns="0" bIns="0" anchor="t" upright="1">
          <a:spAutoFit/>
        </a:bodyPr>
        <a:lstStyle/>
        <a:p>
          <a:pPr algn="r" rtl="0">
            <a:defRPr sz="1000"/>
          </a:pPr>
          <a:r>
            <a:rPr lang="en-US" sz="900" b="0" i="0" u="none" strike="noStrike" baseline="0">
              <a:solidFill>
                <a:srgbClr val="000000"/>
              </a:solidFill>
              <a:latin typeface="Arial"/>
              <a:cs typeface="Arial"/>
            </a:rPr>
            <a:t>1-0</a:t>
          </a:r>
        </a:p>
      </xdr:txBody>
    </xdr:sp>
    <xdr:clientData/>
  </xdr:oneCellAnchor>
  <xdr:oneCellAnchor>
    <xdr:from>
      <xdr:col>8</xdr:col>
      <xdr:colOff>85725</xdr:colOff>
      <xdr:row>1</xdr:row>
      <xdr:rowOff>85725</xdr:rowOff>
    </xdr:from>
    <xdr:ext cx="505908" cy="155748"/>
    <xdr:sp macro="" textlink="">
      <xdr:nvSpPr>
        <xdr:cNvPr id="3152" name="Text Box 80"/>
        <xdr:cNvSpPr txBox="1">
          <a:spLocks noChangeArrowheads="1"/>
        </xdr:cNvSpPr>
      </xdr:nvSpPr>
      <xdr:spPr bwMode="auto">
        <a:xfrm>
          <a:off x="1057275" y="228600"/>
          <a:ext cx="505908" cy="155748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US" sz="900" b="0" i="0" u="none" strike="noStrike" baseline="0">
              <a:solidFill>
                <a:srgbClr val="000000"/>
              </a:solidFill>
              <a:latin typeface="Arial"/>
              <a:cs typeface="Arial"/>
            </a:rPr>
            <a:t>Pipe riser</a:t>
          </a:r>
        </a:p>
      </xdr:txBody>
    </xdr:sp>
    <xdr:clientData/>
  </xdr:oneCellAnchor>
  <xdr:oneCellAnchor>
    <xdr:from>
      <xdr:col>8</xdr:col>
      <xdr:colOff>76200</xdr:colOff>
      <xdr:row>7</xdr:row>
      <xdr:rowOff>114300</xdr:rowOff>
    </xdr:from>
    <xdr:ext cx="698461" cy="155748"/>
    <xdr:sp macro="" textlink="">
      <xdr:nvSpPr>
        <xdr:cNvPr id="3153" name="Text Box 81"/>
        <xdr:cNvSpPr txBox="1">
          <a:spLocks noChangeArrowheads="1"/>
        </xdr:cNvSpPr>
      </xdr:nvSpPr>
      <xdr:spPr bwMode="auto">
        <a:xfrm>
          <a:off x="1047750" y="1323975"/>
          <a:ext cx="698461" cy="155748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US" sz="900" b="0" i="0" u="none" strike="noStrike" baseline="0">
              <a:solidFill>
                <a:srgbClr val="000000"/>
              </a:solidFill>
              <a:latin typeface="Arial"/>
              <a:cs typeface="Arial"/>
            </a:rPr>
            <a:t>Tile inlet stub</a:t>
          </a:r>
        </a:p>
      </xdr:txBody>
    </xdr:sp>
    <xdr:clientData/>
  </xdr:oneCellAnchor>
  <xdr:oneCellAnchor>
    <xdr:from>
      <xdr:col>18</xdr:col>
      <xdr:colOff>0</xdr:colOff>
      <xdr:row>8</xdr:row>
      <xdr:rowOff>142875</xdr:rowOff>
    </xdr:from>
    <xdr:ext cx="322845" cy="155748"/>
    <xdr:sp macro="" textlink="">
      <xdr:nvSpPr>
        <xdr:cNvPr id="3154" name="Text Box 82"/>
        <xdr:cNvSpPr txBox="1">
          <a:spLocks noChangeArrowheads="1"/>
        </xdr:cNvSpPr>
      </xdr:nvSpPr>
      <xdr:spPr bwMode="auto">
        <a:xfrm>
          <a:off x="2057400" y="1533525"/>
          <a:ext cx="322845" cy="155748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US" sz="900" b="0" i="0" u="none" strike="noStrike" baseline="0">
              <a:solidFill>
                <a:srgbClr val="000000"/>
              </a:solidFill>
              <a:latin typeface="Arial"/>
              <a:cs typeface="Arial"/>
            </a:rPr>
            <a:t>2'stub</a:t>
          </a:r>
        </a:p>
      </xdr:txBody>
    </xdr:sp>
    <xdr:clientData/>
  </xdr:oneCellAnchor>
  <xdr:twoCellAnchor>
    <xdr:from>
      <xdr:col>18</xdr:col>
      <xdr:colOff>104775</xdr:colOff>
      <xdr:row>7</xdr:row>
      <xdr:rowOff>19050</xdr:rowOff>
    </xdr:from>
    <xdr:to>
      <xdr:col>20</xdr:col>
      <xdr:colOff>76200</xdr:colOff>
      <xdr:row>7</xdr:row>
      <xdr:rowOff>171450</xdr:rowOff>
    </xdr:to>
    <xdr:sp macro="" textlink="">
      <xdr:nvSpPr>
        <xdr:cNvPr id="3561" name="Freeform 83"/>
        <xdr:cNvSpPr>
          <a:spLocks/>
        </xdr:cNvSpPr>
      </xdr:nvSpPr>
      <xdr:spPr bwMode="auto">
        <a:xfrm>
          <a:off x="2162175" y="1228725"/>
          <a:ext cx="219075" cy="152400"/>
        </a:xfrm>
        <a:custGeom>
          <a:avLst/>
          <a:gdLst>
            <a:gd name="T0" fmla="*/ 0 w 23"/>
            <a:gd name="T1" fmla="*/ 0 h 16"/>
            <a:gd name="T2" fmla="*/ 8 w 23"/>
            <a:gd name="T3" fmla="*/ 12 h 16"/>
            <a:gd name="T4" fmla="*/ 18 w 23"/>
            <a:gd name="T5" fmla="*/ 12 h 16"/>
            <a:gd name="T6" fmla="*/ 23 w 23"/>
            <a:gd name="T7" fmla="*/ 12 h 16"/>
            <a:gd name="T8" fmla="*/ 17 w 23"/>
            <a:gd name="T9" fmla="*/ 16 h 16"/>
            <a:gd name="T10" fmla="*/ 17 w 23"/>
            <a:gd name="T11" fmla="*/ 12 h 16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23"/>
            <a:gd name="T19" fmla="*/ 0 h 16"/>
            <a:gd name="T20" fmla="*/ 23 w 23"/>
            <a:gd name="T21" fmla="*/ 16 h 16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23" h="16">
              <a:moveTo>
                <a:pt x="0" y="0"/>
              </a:moveTo>
              <a:lnTo>
                <a:pt x="8" y="12"/>
              </a:lnTo>
              <a:lnTo>
                <a:pt x="18" y="12"/>
              </a:lnTo>
              <a:lnTo>
                <a:pt x="23" y="12"/>
              </a:lnTo>
              <a:lnTo>
                <a:pt x="17" y="16"/>
              </a:lnTo>
              <a:lnTo>
                <a:pt x="17" y="12"/>
              </a:lnTo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stealth" w="sm" len="med"/>
          <a:tailEnd type="none" w="med" len="med"/>
        </a:ln>
      </xdr:spPr>
    </xdr:sp>
    <xdr:clientData/>
  </xdr:twoCellAnchor>
  <xdr:twoCellAnchor>
    <xdr:from>
      <xdr:col>19</xdr:col>
      <xdr:colOff>19050</xdr:colOff>
      <xdr:row>7</xdr:row>
      <xdr:rowOff>85725</xdr:rowOff>
    </xdr:from>
    <xdr:to>
      <xdr:col>19</xdr:col>
      <xdr:colOff>95250</xdr:colOff>
      <xdr:row>7</xdr:row>
      <xdr:rowOff>161925</xdr:rowOff>
    </xdr:to>
    <xdr:sp macro="" textlink="">
      <xdr:nvSpPr>
        <xdr:cNvPr id="3562" name="Oval 84"/>
        <xdr:cNvSpPr>
          <a:spLocks noChangeArrowheads="1"/>
        </xdr:cNvSpPr>
      </xdr:nvSpPr>
      <xdr:spPr bwMode="auto">
        <a:xfrm>
          <a:off x="2200275" y="1295400"/>
          <a:ext cx="76200" cy="76200"/>
        </a:xfrm>
        <a:prstGeom prst="ellips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oneCellAnchor>
    <xdr:from>
      <xdr:col>18</xdr:col>
      <xdr:colOff>85725</xdr:colOff>
      <xdr:row>7</xdr:row>
      <xdr:rowOff>152400</xdr:rowOff>
    </xdr:from>
    <xdr:ext cx="178895" cy="155748"/>
    <xdr:sp macro="" textlink="">
      <xdr:nvSpPr>
        <xdr:cNvPr id="3157" name="Text Box 85"/>
        <xdr:cNvSpPr txBox="1">
          <a:spLocks noChangeArrowheads="1"/>
        </xdr:cNvSpPr>
      </xdr:nvSpPr>
      <xdr:spPr bwMode="auto">
        <a:xfrm>
          <a:off x="2143125" y="1362075"/>
          <a:ext cx="178895" cy="155748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US" sz="900" b="0" i="0" u="none" strike="noStrike" baseline="0">
              <a:solidFill>
                <a:srgbClr val="000000"/>
              </a:solidFill>
              <a:latin typeface="Arial"/>
              <a:cs typeface="Arial"/>
            </a:rPr>
            <a:t>1/4</a:t>
          </a:r>
        </a:p>
      </xdr:txBody>
    </xdr:sp>
    <xdr:clientData/>
  </xdr:oneCellAnchor>
  <xdr:twoCellAnchor>
    <xdr:from>
      <xdr:col>20</xdr:col>
      <xdr:colOff>104775</xdr:colOff>
      <xdr:row>7</xdr:row>
      <xdr:rowOff>38100</xdr:rowOff>
    </xdr:from>
    <xdr:to>
      <xdr:col>22</xdr:col>
      <xdr:colOff>85725</xdr:colOff>
      <xdr:row>9</xdr:row>
      <xdr:rowOff>38100</xdr:rowOff>
    </xdr:to>
    <xdr:sp macro="" textlink="">
      <xdr:nvSpPr>
        <xdr:cNvPr id="3564" name="Freeform 86"/>
        <xdr:cNvSpPr>
          <a:spLocks/>
        </xdr:cNvSpPr>
      </xdr:nvSpPr>
      <xdr:spPr bwMode="auto">
        <a:xfrm>
          <a:off x="2409825" y="1247775"/>
          <a:ext cx="228600" cy="361950"/>
        </a:xfrm>
        <a:custGeom>
          <a:avLst/>
          <a:gdLst>
            <a:gd name="T0" fmla="*/ 0 w 24"/>
            <a:gd name="T1" fmla="*/ 38 h 38"/>
            <a:gd name="T2" fmla="*/ 6 w 24"/>
            <a:gd name="T3" fmla="*/ 36 h 38"/>
            <a:gd name="T4" fmla="*/ 12 w 24"/>
            <a:gd name="T5" fmla="*/ 32 h 38"/>
            <a:gd name="T6" fmla="*/ 16 w 24"/>
            <a:gd name="T7" fmla="*/ 28 h 38"/>
            <a:gd name="T8" fmla="*/ 19 w 24"/>
            <a:gd name="T9" fmla="*/ 23 h 38"/>
            <a:gd name="T10" fmla="*/ 21 w 24"/>
            <a:gd name="T11" fmla="*/ 19 h 38"/>
            <a:gd name="T12" fmla="*/ 23 w 24"/>
            <a:gd name="T13" fmla="*/ 12 h 38"/>
            <a:gd name="T14" fmla="*/ 24 w 24"/>
            <a:gd name="T15" fmla="*/ 6 h 38"/>
            <a:gd name="T16" fmla="*/ 24 w 24"/>
            <a:gd name="T17" fmla="*/ 0 h 38"/>
            <a:gd name="T18" fmla="*/ 0 60000 65536"/>
            <a:gd name="T19" fmla="*/ 0 60000 65536"/>
            <a:gd name="T20" fmla="*/ 0 60000 65536"/>
            <a:gd name="T21" fmla="*/ 0 60000 65536"/>
            <a:gd name="T22" fmla="*/ 0 60000 65536"/>
            <a:gd name="T23" fmla="*/ 0 60000 65536"/>
            <a:gd name="T24" fmla="*/ 0 60000 65536"/>
            <a:gd name="T25" fmla="*/ 0 60000 65536"/>
            <a:gd name="T26" fmla="*/ 0 60000 65536"/>
            <a:gd name="T27" fmla="*/ 0 w 24"/>
            <a:gd name="T28" fmla="*/ 0 h 38"/>
            <a:gd name="T29" fmla="*/ 24 w 24"/>
            <a:gd name="T30" fmla="*/ 38 h 38"/>
          </a:gdLst>
          <a:ahLst/>
          <a:cxnLst>
            <a:cxn ang="T18">
              <a:pos x="T0" y="T1"/>
            </a:cxn>
            <a:cxn ang="T19">
              <a:pos x="T2" y="T3"/>
            </a:cxn>
            <a:cxn ang="T20">
              <a:pos x="T4" y="T5"/>
            </a:cxn>
            <a:cxn ang="T21">
              <a:pos x="T6" y="T7"/>
            </a:cxn>
            <a:cxn ang="T22">
              <a:pos x="T8" y="T9"/>
            </a:cxn>
            <a:cxn ang="T23">
              <a:pos x="T10" y="T11"/>
            </a:cxn>
            <a:cxn ang="T24">
              <a:pos x="T12" y="T13"/>
            </a:cxn>
            <a:cxn ang="T25">
              <a:pos x="T14" y="T15"/>
            </a:cxn>
            <a:cxn ang="T26">
              <a:pos x="T16" y="T17"/>
            </a:cxn>
          </a:cxnLst>
          <a:rect l="T27" t="T28" r="T29" b="T30"/>
          <a:pathLst>
            <a:path w="24" h="38">
              <a:moveTo>
                <a:pt x="0" y="38"/>
              </a:moveTo>
              <a:lnTo>
                <a:pt x="6" y="36"/>
              </a:lnTo>
              <a:lnTo>
                <a:pt x="12" y="32"/>
              </a:lnTo>
              <a:lnTo>
                <a:pt x="16" y="28"/>
              </a:lnTo>
              <a:lnTo>
                <a:pt x="19" y="23"/>
              </a:lnTo>
              <a:lnTo>
                <a:pt x="21" y="19"/>
              </a:lnTo>
              <a:lnTo>
                <a:pt x="23" y="12"/>
              </a:lnTo>
              <a:lnTo>
                <a:pt x="24" y="6"/>
              </a:lnTo>
              <a:lnTo>
                <a:pt x="24" y="0"/>
              </a:lnTo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med" len="med"/>
          <a:tailEnd type="stealth" w="sm" len="med"/>
        </a:ln>
      </xdr:spPr>
    </xdr:sp>
    <xdr:clientData/>
  </xdr:twoCellAnchor>
  <xdr:oneCellAnchor>
    <xdr:from>
      <xdr:col>15</xdr:col>
      <xdr:colOff>47625</xdr:colOff>
      <xdr:row>9</xdr:row>
      <xdr:rowOff>171450</xdr:rowOff>
    </xdr:from>
    <xdr:ext cx="78355" cy="121700"/>
    <xdr:sp macro="" textlink="">
      <xdr:nvSpPr>
        <xdr:cNvPr id="3159" name="Text Box 87"/>
        <xdr:cNvSpPr txBox="1">
          <a:spLocks noChangeArrowheads="1"/>
        </xdr:cNvSpPr>
      </xdr:nvSpPr>
      <xdr:spPr bwMode="auto">
        <a:xfrm>
          <a:off x="1771650" y="1743075"/>
          <a:ext cx="78355" cy="1217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en-US" sz="700" b="0" i="0" u="none" strike="noStrike" baseline="0">
              <a:solidFill>
                <a:srgbClr val="000000"/>
              </a:solidFill>
              <a:latin typeface="Arial"/>
              <a:cs typeface="Arial"/>
            </a:rPr>
            <a:t>A</a:t>
          </a:r>
        </a:p>
      </xdr:txBody>
    </xdr:sp>
    <xdr:clientData/>
  </xdr:oneCellAnchor>
  <xdr:oneCellAnchor>
    <xdr:from>
      <xdr:col>15</xdr:col>
      <xdr:colOff>57150</xdr:colOff>
      <xdr:row>10</xdr:row>
      <xdr:rowOff>171450</xdr:rowOff>
    </xdr:from>
    <xdr:ext cx="63351" cy="121700"/>
    <xdr:sp macro="" textlink="">
      <xdr:nvSpPr>
        <xdr:cNvPr id="3160" name="Text Box 88"/>
        <xdr:cNvSpPr txBox="1">
          <a:spLocks noChangeArrowheads="1"/>
        </xdr:cNvSpPr>
      </xdr:nvSpPr>
      <xdr:spPr bwMode="auto">
        <a:xfrm>
          <a:off x="1781175" y="1924050"/>
          <a:ext cx="63351" cy="1217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en-US" sz="700" b="0" i="0" u="none" strike="noStrike" baseline="0">
              <a:solidFill>
                <a:srgbClr val="000000"/>
              </a:solidFill>
              <a:latin typeface="Arial"/>
              <a:cs typeface="Arial"/>
            </a:rPr>
            <a:t>J</a:t>
          </a:r>
        </a:p>
      </xdr:txBody>
    </xdr:sp>
    <xdr:clientData/>
  </xdr:oneCellAnchor>
  <xdr:oneCellAnchor>
    <xdr:from>
      <xdr:col>20</xdr:col>
      <xdr:colOff>85725</xdr:colOff>
      <xdr:row>9</xdr:row>
      <xdr:rowOff>142875</xdr:rowOff>
    </xdr:from>
    <xdr:ext cx="185244" cy="155748"/>
    <xdr:sp macro="" textlink="">
      <xdr:nvSpPr>
        <xdr:cNvPr id="3161" name="Text Box 89"/>
        <xdr:cNvSpPr txBox="1">
          <a:spLocks noChangeArrowheads="1"/>
        </xdr:cNvSpPr>
      </xdr:nvSpPr>
      <xdr:spPr bwMode="auto">
        <a:xfrm>
          <a:off x="2390775" y="1714500"/>
          <a:ext cx="185244" cy="155748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US" sz="900" b="0" i="0" u="none" strike="noStrike" baseline="0">
              <a:solidFill>
                <a:srgbClr val="000000"/>
              </a:solidFill>
              <a:latin typeface="Arial"/>
              <a:cs typeface="Arial"/>
            </a:rPr>
            <a:t>1-0</a:t>
          </a:r>
        </a:p>
      </xdr:txBody>
    </xdr:sp>
    <xdr:clientData/>
  </xdr:oneCellAnchor>
  <xdr:oneCellAnchor>
    <xdr:from>
      <xdr:col>8</xdr:col>
      <xdr:colOff>114300</xdr:colOff>
      <xdr:row>9</xdr:row>
      <xdr:rowOff>152400</xdr:rowOff>
    </xdr:from>
    <xdr:ext cx="185244" cy="155748"/>
    <xdr:sp macro="" textlink="">
      <xdr:nvSpPr>
        <xdr:cNvPr id="3162" name="Text Box 90"/>
        <xdr:cNvSpPr txBox="1">
          <a:spLocks noChangeArrowheads="1"/>
        </xdr:cNvSpPr>
      </xdr:nvSpPr>
      <xdr:spPr bwMode="auto">
        <a:xfrm>
          <a:off x="1085850" y="1724025"/>
          <a:ext cx="185244" cy="155748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US" sz="900" b="0" i="0" u="none" strike="noStrike" baseline="0">
              <a:solidFill>
                <a:srgbClr val="000000"/>
              </a:solidFill>
              <a:latin typeface="Arial"/>
              <a:cs typeface="Arial"/>
            </a:rPr>
            <a:t>1-0</a:t>
          </a:r>
        </a:p>
      </xdr:txBody>
    </xdr:sp>
    <xdr:clientData/>
  </xdr:oneCellAnchor>
  <xdr:oneCellAnchor>
    <xdr:from>
      <xdr:col>12</xdr:col>
      <xdr:colOff>57150</xdr:colOff>
      <xdr:row>12</xdr:row>
      <xdr:rowOff>152400</xdr:rowOff>
    </xdr:from>
    <xdr:ext cx="647100" cy="155748"/>
    <xdr:sp macro="" textlink="">
      <xdr:nvSpPr>
        <xdr:cNvPr id="3163" name="Text Box 91"/>
        <xdr:cNvSpPr txBox="1">
          <a:spLocks noChangeArrowheads="1"/>
        </xdr:cNvSpPr>
      </xdr:nvSpPr>
      <xdr:spPr bwMode="auto">
        <a:xfrm>
          <a:off x="1524000" y="2266950"/>
          <a:ext cx="647100" cy="155748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US" sz="900" b="0" i="0" u="none" strike="noStrike" baseline="0">
              <a:solidFill>
                <a:srgbClr val="000000"/>
              </a:solidFill>
              <a:latin typeface="Arial"/>
              <a:cs typeface="Arial"/>
            </a:rPr>
            <a:t>PLAN VIEW</a:t>
          </a:r>
        </a:p>
      </xdr:txBody>
    </xdr:sp>
    <xdr:clientData/>
  </xdr:oneCellAnchor>
  <xdr:oneCellAnchor>
    <xdr:from>
      <xdr:col>1</xdr:col>
      <xdr:colOff>47625</xdr:colOff>
      <xdr:row>10</xdr:row>
      <xdr:rowOff>38100</xdr:rowOff>
    </xdr:from>
    <xdr:ext cx="769057" cy="155748"/>
    <xdr:sp macro="" textlink="">
      <xdr:nvSpPr>
        <xdr:cNvPr id="3164" name="Text Box 92"/>
        <xdr:cNvSpPr txBox="1">
          <a:spLocks noChangeArrowheads="1"/>
        </xdr:cNvSpPr>
      </xdr:nvSpPr>
      <xdr:spPr bwMode="auto">
        <a:xfrm>
          <a:off x="152400" y="1790700"/>
          <a:ext cx="769057" cy="155748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US" sz="900" b="0" i="0" u="none" strike="noStrike" baseline="0">
              <a:solidFill>
                <a:srgbClr val="000000"/>
              </a:solidFill>
              <a:latin typeface="Arial"/>
              <a:cs typeface="Arial"/>
            </a:rPr>
            <a:t>Concrete base</a:t>
          </a:r>
        </a:p>
      </xdr:txBody>
    </xdr:sp>
    <xdr:clientData/>
  </xdr:oneCellAnchor>
  <xdr:twoCellAnchor>
    <xdr:from>
      <xdr:col>7</xdr:col>
      <xdr:colOff>66675</xdr:colOff>
      <xdr:row>9</xdr:row>
      <xdr:rowOff>133350</xdr:rowOff>
    </xdr:from>
    <xdr:to>
      <xdr:col>8</xdr:col>
      <xdr:colOff>9525</xdr:colOff>
      <xdr:row>10</xdr:row>
      <xdr:rowOff>123825</xdr:rowOff>
    </xdr:to>
    <xdr:sp macro="" textlink="">
      <xdr:nvSpPr>
        <xdr:cNvPr id="3571" name="Freeform 93"/>
        <xdr:cNvSpPr>
          <a:spLocks/>
        </xdr:cNvSpPr>
      </xdr:nvSpPr>
      <xdr:spPr bwMode="auto">
        <a:xfrm>
          <a:off x="914400" y="1704975"/>
          <a:ext cx="66675" cy="171450"/>
        </a:xfrm>
        <a:custGeom>
          <a:avLst/>
          <a:gdLst>
            <a:gd name="T0" fmla="*/ 7 w 7"/>
            <a:gd name="T1" fmla="*/ 0 h 18"/>
            <a:gd name="T2" fmla="*/ 3 w 7"/>
            <a:gd name="T3" fmla="*/ 4 h 18"/>
            <a:gd name="T4" fmla="*/ 1 w 7"/>
            <a:gd name="T5" fmla="*/ 7 h 18"/>
            <a:gd name="T6" fmla="*/ 0 w 7"/>
            <a:gd name="T7" fmla="*/ 9 h 18"/>
            <a:gd name="T8" fmla="*/ 0 w 7"/>
            <a:gd name="T9" fmla="*/ 11 h 18"/>
            <a:gd name="T10" fmla="*/ 2 w 7"/>
            <a:gd name="T11" fmla="*/ 12 h 18"/>
            <a:gd name="T12" fmla="*/ 4 w 7"/>
            <a:gd name="T13" fmla="*/ 12 h 18"/>
            <a:gd name="T14" fmla="*/ 5 w 7"/>
            <a:gd name="T15" fmla="*/ 14 h 18"/>
            <a:gd name="T16" fmla="*/ 4 w 7"/>
            <a:gd name="T17" fmla="*/ 17 h 18"/>
            <a:gd name="T18" fmla="*/ 2 w 7"/>
            <a:gd name="T19" fmla="*/ 18 h 18"/>
            <a:gd name="T20" fmla="*/ 0 60000 65536"/>
            <a:gd name="T21" fmla="*/ 0 60000 65536"/>
            <a:gd name="T22" fmla="*/ 0 60000 65536"/>
            <a:gd name="T23" fmla="*/ 0 60000 65536"/>
            <a:gd name="T24" fmla="*/ 0 60000 65536"/>
            <a:gd name="T25" fmla="*/ 0 60000 65536"/>
            <a:gd name="T26" fmla="*/ 0 60000 65536"/>
            <a:gd name="T27" fmla="*/ 0 60000 65536"/>
            <a:gd name="T28" fmla="*/ 0 60000 65536"/>
            <a:gd name="T29" fmla="*/ 0 60000 65536"/>
            <a:gd name="T30" fmla="*/ 0 w 7"/>
            <a:gd name="T31" fmla="*/ 0 h 18"/>
            <a:gd name="T32" fmla="*/ 7 w 7"/>
            <a:gd name="T33" fmla="*/ 18 h 18"/>
          </a:gdLst>
          <a:ahLst/>
          <a:cxnLst>
            <a:cxn ang="T20">
              <a:pos x="T0" y="T1"/>
            </a:cxn>
            <a:cxn ang="T21">
              <a:pos x="T2" y="T3"/>
            </a:cxn>
            <a:cxn ang="T22">
              <a:pos x="T4" y="T5"/>
            </a:cxn>
            <a:cxn ang="T23">
              <a:pos x="T6" y="T7"/>
            </a:cxn>
            <a:cxn ang="T24">
              <a:pos x="T8" y="T9"/>
            </a:cxn>
            <a:cxn ang="T25">
              <a:pos x="T10" y="T11"/>
            </a:cxn>
            <a:cxn ang="T26">
              <a:pos x="T12" y="T13"/>
            </a:cxn>
            <a:cxn ang="T27">
              <a:pos x="T14" y="T15"/>
            </a:cxn>
            <a:cxn ang="T28">
              <a:pos x="T16" y="T17"/>
            </a:cxn>
            <a:cxn ang="T29">
              <a:pos x="T18" y="T19"/>
            </a:cxn>
          </a:cxnLst>
          <a:rect l="T30" t="T31" r="T32" b="T33"/>
          <a:pathLst>
            <a:path w="7" h="18">
              <a:moveTo>
                <a:pt x="7" y="0"/>
              </a:moveTo>
              <a:lnTo>
                <a:pt x="3" y="4"/>
              </a:lnTo>
              <a:lnTo>
                <a:pt x="1" y="7"/>
              </a:lnTo>
              <a:lnTo>
                <a:pt x="0" y="9"/>
              </a:lnTo>
              <a:lnTo>
                <a:pt x="0" y="11"/>
              </a:lnTo>
              <a:lnTo>
                <a:pt x="2" y="12"/>
              </a:lnTo>
              <a:lnTo>
                <a:pt x="4" y="12"/>
              </a:lnTo>
              <a:lnTo>
                <a:pt x="5" y="14"/>
              </a:lnTo>
              <a:lnTo>
                <a:pt x="4" y="17"/>
              </a:lnTo>
              <a:lnTo>
                <a:pt x="2" y="18"/>
              </a:lnTo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stealth" w="sm" len="med"/>
          <a:tailEnd type="none" w="med" len="med"/>
        </a:ln>
      </xdr:spPr>
    </xdr:sp>
    <xdr:clientData/>
  </xdr:twoCellAnchor>
  <xdr:oneCellAnchor>
    <xdr:from>
      <xdr:col>27</xdr:col>
      <xdr:colOff>38100</xdr:colOff>
      <xdr:row>3</xdr:row>
      <xdr:rowOff>152400</xdr:rowOff>
    </xdr:from>
    <xdr:ext cx="95475" cy="155748"/>
    <xdr:sp macro="" textlink="">
      <xdr:nvSpPr>
        <xdr:cNvPr id="3166" name="Text Box 94"/>
        <xdr:cNvSpPr txBox="1">
          <a:spLocks noChangeArrowheads="1"/>
        </xdr:cNvSpPr>
      </xdr:nvSpPr>
      <xdr:spPr bwMode="auto">
        <a:xfrm>
          <a:off x="3209925" y="638175"/>
          <a:ext cx="95475" cy="155748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US" sz="900" b="0" i="0" u="none" strike="noStrike" baseline="0">
              <a:solidFill>
                <a:srgbClr val="000000"/>
              </a:solidFill>
              <a:latin typeface="Arial"/>
              <a:cs typeface="Arial"/>
            </a:rPr>
            <a:t>A</a:t>
          </a:r>
        </a:p>
      </xdr:txBody>
    </xdr:sp>
    <xdr:clientData/>
  </xdr:oneCellAnchor>
  <xdr:twoCellAnchor>
    <xdr:from>
      <xdr:col>13</xdr:col>
      <xdr:colOff>28575</xdr:colOff>
      <xdr:row>2</xdr:row>
      <xdr:rowOff>28575</xdr:rowOff>
    </xdr:from>
    <xdr:to>
      <xdr:col>15</xdr:col>
      <xdr:colOff>66675</xdr:colOff>
      <xdr:row>3</xdr:row>
      <xdr:rowOff>9525</xdr:rowOff>
    </xdr:to>
    <xdr:sp macro="" textlink="">
      <xdr:nvSpPr>
        <xdr:cNvPr id="3573" name="Freeform 95"/>
        <xdr:cNvSpPr>
          <a:spLocks/>
        </xdr:cNvSpPr>
      </xdr:nvSpPr>
      <xdr:spPr bwMode="auto">
        <a:xfrm>
          <a:off x="1581150" y="333375"/>
          <a:ext cx="209550" cy="161925"/>
        </a:xfrm>
        <a:custGeom>
          <a:avLst/>
          <a:gdLst>
            <a:gd name="T0" fmla="*/ 0 w 22"/>
            <a:gd name="T1" fmla="*/ 0 h 17"/>
            <a:gd name="T2" fmla="*/ 6 w 22"/>
            <a:gd name="T3" fmla="*/ 2 h 17"/>
            <a:gd name="T4" fmla="*/ 11 w 22"/>
            <a:gd name="T5" fmla="*/ 5 h 17"/>
            <a:gd name="T6" fmla="*/ 16 w 22"/>
            <a:gd name="T7" fmla="*/ 10 h 17"/>
            <a:gd name="T8" fmla="*/ 22 w 22"/>
            <a:gd name="T9" fmla="*/ 17 h 17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22"/>
            <a:gd name="T16" fmla="*/ 0 h 17"/>
            <a:gd name="T17" fmla="*/ 22 w 22"/>
            <a:gd name="T18" fmla="*/ 17 h 17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22" h="17">
              <a:moveTo>
                <a:pt x="0" y="0"/>
              </a:moveTo>
              <a:lnTo>
                <a:pt x="6" y="2"/>
              </a:lnTo>
              <a:lnTo>
                <a:pt x="11" y="5"/>
              </a:lnTo>
              <a:lnTo>
                <a:pt x="16" y="10"/>
              </a:lnTo>
              <a:lnTo>
                <a:pt x="22" y="17"/>
              </a:lnTo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med" len="med"/>
          <a:tailEnd type="stealth" w="sm" len="med"/>
        </a:ln>
      </xdr:spPr>
    </xdr:sp>
    <xdr:clientData/>
  </xdr:twoCellAnchor>
  <xdr:twoCellAnchor>
    <xdr:from>
      <xdr:col>8</xdr:col>
      <xdr:colOff>57150</xdr:colOff>
      <xdr:row>5</xdr:row>
      <xdr:rowOff>161925</xdr:rowOff>
    </xdr:from>
    <xdr:to>
      <xdr:col>9</xdr:col>
      <xdr:colOff>0</xdr:colOff>
      <xdr:row>8</xdr:row>
      <xdr:rowOff>9525</xdr:rowOff>
    </xdr:to>
    <xdr:sp macro="" textlink="">
      <xdr:nvSpPr>
        <xdr:cNvPr id="3574" name="Freeform 96"/>
        <xdr:cNvSpPr>
          <a:spLocks/>
        </xdr:cNvSpPr>
      </xdr:nvSpPr>
      <xdr:spPr bwMode="auto">
        <a:xfrm>
          <a:off x="1028700" y="1009650"/>
          <a:ext cx="66675" cy="390525"/>
        </a:xfrm>
        <a:custGeom>
          <a:avLst/>
          <a:gdLst>
            <a:gd name="T0" fmla="*/ 7 w 7"/>
            <a:gd name="T1" fmla="*/ 0 h 41"/>
            <a:gd name="T2" fmla="*/ 4 w 7"/>
            <a:gd name="T3" fmla="*/ 15 h 41"/>
            <a:gd name="T4" fmla="*/ 3 w 7"/>
            <a:gd name="T5" fmla="*/ 20 h 41"/>
            <a:gd name="T6" fmla="*/ 1 w 7"/>
            <a:gd name="T7" fmla="*/ 25 h 41"/>
            <a:gd name="T8" fmla="*/ 0 w 7"/>
            <a:gd name="T9" fmla="*/ 30 h 41"/>
            <a:gd name="T10" fmla="*/ 0 w 7"/>
            <a:gd name="T11" fmla="*/ 34 h 41"/>
            <a:gd name="T12" fmla="*/ 1 w 7"/>
            <a:gd name="T13" fmla="*/ 38 h 41"/>
            <a:gd name="T14" fmla="*/ 3 w 7"/>
            <a:gd name="T15" fmla="*/ 40 h 41"/>
            <a:gd name="T16" fmla="*/ 6 w 7"/>
            <a:gd name="T17" fmla="*/ 41 h 41"/>
            <a:gd name="T18" fmla="*/ 0 60000 65536"/>
            <a:gd name="T19" fmla="*/ 0 60000 65536"/>
            <a:gd name="T20" fmla="*/ 0 60000 65536"/>
            <a:gd name="T21" fmla="*/ 0 60000 65536"/>
            <a:gd name="T22" fmla="*/ 0 60000 65536"/>
            <a:gd name="T23" fmla="*/ 0 60000 65536"/>
            <a:gd name="T24" fmla="*/ 0 60000 65536"/>
            <a:gd name="T25" fmla="*/ 0 60000 65536"/>
            <a:gd name="T26" fmla="*/ 0 60000 65536"/>
            <a:gd name="T27" fmla="*/ 0 w 7"/>
            <a:gd name="T28" fmla="*/ 0 h 41"/>
            <a:gd name="T29" fmla="*/ 7 w 7"/>
            <a:gd name="T30" fmla="*/ 41 h 41"/>
          </a:gdLst>
          <a:ahLst/>
          <a:cxnLst>
            <a:cxn ang="T18">
              <a:pos x="T0" y="T1"/>
            </a:cxn>
            <a:cxn ang="T19">
              <a:pos x="T2" y="T3"/>
            </a:cxn>
            <a:cxn ang="T20">
              <a:pos x="T4" y="T5"/>
            </a:cxn>
            <a:cxn ang="T21">
              <a:pos x="T6" y="T7"/>
            </a:cxn>
            <a:cxn ang="T22">
              <a:pos x="T8" y="T9"/>
            </a:cxn>
            <a:cxn ang="T23">
              <a:pos x="T10" y="T11"/>
            </a:cxn>
            <a:cxn ang="T24">
              <a:pos x="T12" y="T13"/>
            </a:cxn>
            <a:cxn ang="T25">
              <a:pos x="T14" y="T15"/>
            </a:cxn>
            <a:cxn ang="T26">
              <a:pos x="T16" y="T17"/>
            </a:cxn>
          </a:cxnLst>
          <a:rect l="T27" t="T28" r="T29" b="T30"/>
          <a:pathLst>
            <a:path w="7" h="41">
              <a:moveTo>
                <a:pt x="7" y="0"/>
              </a:moveTo>
              <a:lnTo>
                <a:pt x="4" y="15"/>
              </a:lnTo>
              <a:lnTo>
                <a:pt x="3" y="20"/>
              </a:lnTo>
              <a:lnTo>
                <a:pt x="1" y="25"/>
              </a:lnTo>
              <a:lnTo>
                <a:pt x="0" y="30"/>
              </a:lnTo>
              <a:lnTo>
                <a:pt x="0" y="34"/>
              </a:lnTo>
              <a:lnTo>
                <a:pt x="1" y="38"/>
              </a:lnTo>
              <a:lnTo>
                <a:pt x="3" y="40"/>
              </a:lnTo>
              <a:lnTo>
                <a:pt x="6" y="41"/>
              </a:lnTo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stealth" w="sm" len="med"/>
          <a:tailEnd type="none" w="med" len="med"/>
        </a:ln>
      </xdr:spPr>
    </xdr:sp>
    <xdr:clientData/>
  </xdr:twoCellAnchor>
  <xdr:oneCellAnchor>
    <xdr:from>
      <xdr:col>24</xdr:col>
      <xdr:colOff>9525</xdr:colOff>
      <xdr:row>1</xdr:row>
      <xdr:rowOff>114300</xdr:rowOff>
    </xdr:from>
    <xdr:ext cx="209737" cy="200119"/>
    <xdr:sp macro="" textlink="">
      <xdr:nvSpPr>
        <xdr:cNvPr id="3169" name="Text Box 97"/>
        <xdr:cNvSpPr txBox="1">
          <a:spLocks noChangeArrowheads="1"/>
        </xdr:cNvSpPr>
      </xdr:nvSpPr>
      <xdr:spPr bwMode="auto">
        <a:xfrm>
          <a:off x="2809875" y="257175"/>
          <a:ext cx="209737" cy="20011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Symbol"/>
            </a:rPr>
            <a:t>q</a:t>
          </a:r>
          <a:r>
            <a:rPr lang="en-US" sz="1200" b="0" i="0" u="none" strike="noStrike" baseline="30000">
              <a:solidFill>
                <a:srgbClr val="000000"/>
              </a:solidFill>
              <a:latin typeface="Arial"/>
              <a:cs typeface="Arial"/>
            </a:rPr>
            <a:t>o</a:t>
          </a:r>
          <a:r>
            <a:rPr lang="en-US" sz="900" b="0" i="0" u="none" strike="noStrike" baseline="0">
              <a:solidFill>
                <a:srgbClr val="000000"/>
              </a:solidFill>
              <a:latin typeface="Arial"/>
              <a:cs typeface="Arial"/>
            </a:rPr>
            <a:t>=</a:t>
          </a:r>
        </a:p>
      </xdr:txBody>
    </xdr:sp>
    <xdr:clientData/>
  </xdr:oneCellAnchor>
  <xdr:oneCellAnchor>
    <xdr:from>
      <xdr:col>27</xdr:col>
      <xdr:colOff>114300</xdr:colOff>
      <xdr:row>1</xdr:row>
      <xdr:rowOff>142875</xdr:rowOff>
    </xdr:from>
    <xdr:ext cx="82651" cy="155748"/>
    <xdr:sp macro="" textlink="">
      <xdr:nvSpPr>
        <xdr:cNvPr id="3170" name="Text Box 98"/>
        <xdr:cNvSpPr txBox="1">
          <a:spLocks noChangeArrowheads="1"/>
        </xdr:cNvSpPr>
      </xdr:nvSpPr>
      <xdr:spPr bwMode="auto">
        <a:xfrm>
          <a:off x="3286125" y="285750"/>
          <a:ext cx="82651" cy="155748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US" sz="900" b="0" i="0" u="none" strike="noStrike" baseline="0">
              <a:solidFill>
                <a:srgbClr val="000000"/>
              </a:solidFill>
              <a:latin typeface="Arial"/>
              <a:cs typeface="Arial"/>
            </a:rPr>
            <a:t>o</a:t>
          </a:r>
        </a:p>
      </xdr:txBody>
    </xdr:sp>
    <xdr:clientData/>
  </xdr:oneCellAnchor>
  <xdr:oneCellAnchor>
    <xdr:from>
      <xdr:col>30</xdr:col>
      <xdr:colOff>114300</xdr:colOff>
      <xdr:row>1</xdr:row>
      <xdr:rowOff>142875</xdr:rowOff>
    </xdr:from>
    <xdr:ext cx="57067" cy="200119"/>
    <xdr:sp macro="" textlink="">
      <xdr:nvSpPr>
        <xdr:cNvPr id="3171" name="Text Box 99"/>
        <xdr:cNvSpPr txBox="1">
          <a:spLocks noChangeArrowheads="1"/>
        </xdr:cNvSpPr>
      </xdr:nvSpPr>
      <xdr:spPr bwMode="auto">
        <a:xfrm>
          <a:off x="3657600" y="285750"/>
          <a:ext cx="57067" cy="20011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22860" rIns="0" bIns="0" anchor="t" upright="1">
          <a:spAutoFit/>
        </a:bodyPr>
        <a:lstStyle/>
        <a:p>
          <a:pPr algn="l" rtl="0">
            <a:defRPr sz="1000"/>
          </a:pP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'</a:t>
          </a:r>
        </a:p>
      </xdr:txBody>
    </xdr:sp>
    <xdr:clientData/>
  </xdr:oneCellAnchor>
  <xdr:twoCellAnchor>
    <xdr:from>
      <xdr:col>19</xdr:col>
      <xdr:colOff>114300</xdr:colOff>
      <xdr:row>2</xdr:row>
      <xdr:rowOff>95250</xdr:rowOff>
    </xdr:from>
    <xdr:to>
      <xdr:col>24</xdr:col>
      <xdr:colOff>0</xdr:colOff>
      <xdr:row>3</xdr:row>
      <xdr:rowOff>0</xdr:rowOff>
    </xdr:to>
    <xdr:sp macro="" textlink="">
      <xdr:nvSpPr>
        <xdr:cNvPr id="3578" name="Line 100"/>
        <xdr:cNvSpPr>
          <a:spLocks noChangeShapeType="1"/>
        </xdr:cNvSpPr>
      </xdr:nvSpPr>
      <xdr:spPr bwMode="auto">
        <a:xfrm flipH="1">
          <a:off x="2295525" y="400050"/>
          <a:ext cx="504825" cy="857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23</xdr:col>
      <xdr:colOff>47625</xdr:colOff>
      <xdr:row>0</xdr:row>
      <xdr:rowOff>47625</xdr:rowOff>
    </xdr:from>
    <xdr:to>
      <xdr:col>33</xdr:col>
      <xdr:colOff>9525</xdr:colOff>
      <xdr:row>1</xdr:row>
      <xdr:rowOff>28575</xdr:rowOff>
    </xdr:to>
    <xdr:sp macro="" textlink="">
      <xdr:nvSpPr>
        <xdr:cNvPr id="3579" name="Freeform 101"/>
        <xdr:cNvSpPr>
          <a:spLocks/>
        </xdr:cNvSpPr>
      </xdr:nvSpPr>
      <xdr:spPr bwMode="auto">
        <a:xfrm>
          <a:off x="2724150" y="47625"/>
          <a:ext cx="1200150" cy="123825"/>
        </a:xfrm>
        <a:custGeom>
          <a:avLst/>
          <a:gdLst>
            <a:gd name="T0" fmla="*/ 0 w 126"/>
            <a:gd name="T1" fmla="*/ 13 h 13"/>
            <a:gd name="T2" fmla="*/ 15 w 126"/>
            <a:gd name="T3" fmla="*/ 8 h 13"/>
            <a:gd name="T4" fmla="*/ 31 w 126"/>
            <a:gd name="T5" fmla="*/ 4 h 13"/>
            <a:gd name="T6" fmla="*/ 46 w 126"/>
            <a:gd name="T7" fmla="*/ 1 h 13"/>
            <a:gd name="T8" fmla="*/ 62 w 126"/>
            <a:gd name="T9" fmla="*/ 0 h 13"/>
            <a:gd name="T10" fmla="*/ 76 w 126"/>
            <a:gd name="T11" fmla="*/ 0 h 13"/>
            <a:gd name="T12" fmla="*/ 92 w 126"/>
            <a:gd name="T13" fmla="*/ 1 h 13"/>
            <a:gd name="T14" fmla="*/ 110 w 126"/>
            <a:gd name="T15" fmla="*/ 4 h 13"/>
            <a:gd name="T16" fmla="*/ 126 w 126"/>
            <a:gd name="T17" fmla="*/ 7 h 13"/>
            <a:gd name="T18" fmla="*/ 0 60000 65536"/>
            <a:gd name="T19" fmla="*/ 0 60000 65536"/>
            <a:gd name="T20" fmla="*/ 0 60000 65536"/>
            <a:gd name="T21" fmla="*/ 0 60000 65536"/>
            <a:gd name="T22" fmla="*/ 0 60000 65536"/>
            <a:gd name="T23" fmla="*/ 0 60000 65536"/>
            <a:gd name="T24" fmla="*/ 0 60000 65536"/>
            <a:gd name="T25" fmla="*/ 0 60000 65536"/>
            <a:gd name="T26" fmla="*/ 0 60000 65536"/>
            <a:gd name="T27" fmla="*/ 0 w 126"/>
            <a:gd name="T28" fmla="*/ 0 h 13"/>
            <a:gd name="T29" fmla="*/ 126 w 126"/>
            <a:gd name="T30" fmla="*/ 13 h 13"/>
          </a:gdLst>
          <a:ahLst/>
          <a:cxnLst>
            <a:cxn ang="T18">
              <a:pos x="T0" y="T1"/>
            </a:cxn>
            <a:cxn ang="T19">
              <a:pos x="T2" y="T3"/>
            </a:cxn>
            <a:cxn ang="T20">
              <a:pos x="T4" y="T5"/>
            </a:cxn>
            <a:cxn ang="T21">
              <a:pos x="T6" y="T7"/>
            </a:cxn>
            <a:cxn ang="T22">
              <a:pos x="T8" y="T9"/>
            </a:cxn>
            <a:cxn ang="T23">
              <a:pos x="T10" y="T11"/>
            </a:cxn>
            <a:cxn ang="T24">
              <a:pos x="T12" y="T13"/>
            </a:cxn>
            <a:cxn ang="T25">
              <a:pos x="T14" y="T15"/>
            </a:cxn>
            <a:cxn ang="T26">
              <a:pos x="T16" y="T17"/>
            </a:cxn>
          </a:cxnLst>
          <a:rect l="T27" t="T28" r="T29" b="T30"/>
          <a:pathLst>
            <a:path w="126" h="13">
              <a:moveTo>
                <a:pt x="0" y="13"/>
              </a:moveTo>
              <a:lnTo>
                <a:pt x="15" y="8"/>
              </a:lnTo>
              <a:lnTo>
                <a:pt x="31" y="4"/>
              </a:lnTo>
              <a:lnTo>
                <a:pt x="46" y="1"/>
              </a:lnTo>
              <a:lnTo>
                <a:pt x="62" y="0"/>
              </a:lnTo>
              <a:lnTo>
                <a:pt x="76" y="0"/>
              </a:lnTo>
              <a:lnTo>
                <a:pt x="92" y="1"/>
              </a:lnTo>
              <a:lnTo>
                <a:pt x="110" y="4"/>
              </a:lnTo>
              <a:lnTo>
                <a:pt x="126" y="7"/>
              </a:lnTo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stealth" w="sm" len="med"/>
          <a:tailEnd type="none" w="med" len="med"/>
        </a:ln>
      </xdr:spPr>
    </xdr:sp>
    <xdr:clientData/>
  </xdr:twoCellAnchor>
  <xdr:oneCellAnchor>
    <xdr:from>
      <xdr:col>33</xdr:col>
      <xdr:colOff>0</xdr:colOff>
      <xdr:row>0</xdr:row>
      <xdr:rowOff>38100</xdr:rowOff>
    </xdr:from>
    <xdr:ext cx="2346668" cy="421077"/>
    <xdr:sp macro="" textlink="">
      <xdr:nvSpPr>
        <xdr:cNvPr id="3174" name="Text Box 102"/>
        <xdr:cNvSpPr txBox="1">
          <a:spLocks noChangeArrowheads="1"/>
        </xdr:cNvSpPr>
      </xdr:nvSpPr>
      <xdr:spPr bwMode="auto">
        <a:xfrm>
          <a:off x="3914775" y="38100"/>
          <a:ext cx="2346668" cy="42107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US" sz="900" b="0" i="0" u="none" strike="noStrike" baseline="0">
              <a:solidFill>
                <a:srgbClr val="000000"/>
              </a:solidFill>
              <a:latin typeface="Arial"/>
              <a:cs typeface="Arial"/>
            </a:rPr>
            <a:t>Concrete shall have a minimum compressive </a:t>
          </a:r>
        </a:p>
        <a:p>
          <a:pPr algn="l" rtl="0">
            <a:defRPr sz="1000"/>
          </a:pPr>
          <a:r>
            <a:rPr lang="en-US" sz="900" b="0" i="0" u="none" strike="noStrike" baseline="0">
              <a:solidFill>
                <a:srgbClr val="000000"/>
              </a:solidFill>
              <a:latin typeface="Arial"/>
              <a:cs typeface="Arial"/>
            </a:rPr>
            <a:t>strength at 28 days equal to a minimum of </a:t>
          </a:r>
        </a:p>
        <a:p>
          <a:pPr algn="l" rtl="0">
            <a:defRPr sz="1000"/>
          </a:pPr>
          <a:r>
            <a:rPr lang="en-US" sz="900" b="0" i="0" u="none" strike="noStrike" baseline="0">
              <a:solidFill>
                <a:srgbClr val="000000"/>
              </a:solidFill>
              <a:latin typeface="Arial"/>
              <a:cs typeface="Arial"/>
            </a:rPr>
            <a:t>2500 lb./sq.in. (5 bag mix)</a:t>
          </a:r>
        </a:p>
      </xdr:txBody>
    </xdr:sp>
    <xdr:clientData/>
  </xdr:oneCellAnchor>
  <xdr:twoCellAnchor>
    <xdr:from>
      <xdr:col>7</xdr:col>
      <xdr:colOff>85725</xdr:colOff>
      <xdr:row>16</xdr:row>
      <xdr:rowOff>66675</xdr:rowOff>
    </xdr:from>
    <xdr:to>
      <xdr:col>23</xdr:col>
      <xdr:colOff>19050</xdr:colOff>
      <xdr:row>16</xdr:row>
      <xdr:rowOff>66675</xdr:rowOff>
    </xdr:to>
    <xdr:sp macro="" textlink="">
      <xdr:nvSpPr>
        <xdr:cNvPr id="3581" name="Line 103"/>
        <xdr:cNvSpPr>
          <a:spLocks noChangeShapeType="1"/>
        </xdr:cNvSpPr>
      </xdr:nvSpPr>
      <xdr:spPr bwMode="auto">
        <a:xfrm>
          <a:off x="933450" y="2905125"/>
          <a:ext cx="1762125" cy="0"/>
        </a:xfrm>
        <a:prstGeom prst="line">
          <a:avLst/>
        </a:prstGeom>
        <a:noFill/>
        <a:ln w="9525">
          <a:solidFill>
            <a:srgbClr val="000000"/>
          </a:solidFill>
          <a:round/>
          <a:headEnd type="stealth" w="sm" len="med"/>
          <a:tailEnd type="stealth" w="sm" len="med"/>
        </a:ln>
      </xdr:spPr>
    </xdr:sp>
    <xdr:clientData/>
  </xdr:twoCellAnchor>
  <xdr:twoCellAnchor>
    <xdr:from>
      <xdr:col>7</xdr:col>
      <xdr:colOff>85725</xdr:colOff>
      <xdr:row>16</xdr:row>
      <xdr:rowOff>47625</xdr:rowOff>
    </xdr:from>
    <xdr:to>
      <xdr:col>7</xdr:col>
      <xdr:colOff>85725</xdr:colOff>
      <xdr:row>18</xdr:row>
      <xdr:rowOff>19050</xdr:rowOff>
    </xdr:to>
    <xdr:sp macro="" textlink="">
      <xdr:nvSpPr>
        <xdr:cNvPr id="3582" name="Line 104"/>
        <xdr:cNvSpPr>
          <a:spLocks noChangeShapeType="1"/>
        </xdr:cNvSpPr>
      </xdr:nvSpPr>
      <xdr:spPr bwMode="auto">
        <a:xfrm>
          <a:off x="933450" y="2886075"/>
          <a:ext cx="0" cy="3333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23</xdr:col>
      <xdr:colOff>28575</xdr:colOff>
      <xdr:row>16</xdr:row>
      <xdr:rowOff>28575</xdr:rowOff>
    </xdr:from>
    <xdr:to>
      <xdr:col>23</xdr:col>
      <xdr:colOff>28575</xdr:colOff>
      <xdr:row>18</xdr:row>
      <xdr:rowOff>28575</xdr:rowOff>
    </xdr:to>
    <xdr:sp macro="" textlink="">
      <xdr:nvSpPr>
        <xdr:cNvPr id="3583" name="Line 105"/>
        <xdr:cNvSpPr>
          <a:spLocks noChangeShapeType="1"/>
        </xdr:cNvSpPr>
      </xdr:nvSpPr>
      <xdr:spPr bwMode="auto">
        <a:xfrm>
          <a:off x="2705100" y="2867025"/>
          <a:ext cx="0" cy="3619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19</xdr:col>
      <xdr:colOff>76200</xdr:colOff>
      <xdr:row>17</xdr:row>
      <xdr:rowOff>28575</xdr:rowOff>
    </xdr:from>
    <xdr:to>
      <xdr:col>19</xdr:col>
      <xdr:colOff>76200</xdr:colOff>
      <xdr:row>18</xdr:row>
      <xdr:rowOff>19050</xdr:rowOff>
    </xdr:to>
    <xdr:sp macro="" textlink="">
      <xdr:nvSpPr>
        <xdr:cNvPr id="3584" name="Line 106"/>
        <xdr:cNvSpPr>
          <a:spLocks noChangeShapeType="1"/>
        </xdr:cNvSpPr>
      </xdr:nvSpPr>
      <xdr:spPr bwMode="auto">
        <a:xfrm>
          <a:off x="2257425" y="3048000"/>
          <a:ext cx="0" cy="1714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38100</xdr:colOff>
      <xdr:row>17</xdr:row>
      <xdr:rowOff>28575</xdr:rowOff>
    </xdr:from>
    <xdr:to>
      <xdr:col>11</xdr:col>
      <xdr:colOff>38100</xdr:colOff>
      <xdr:row>18</xdr:row>
      <xdr:rowOff>28575</xdr:rowOff>
    </xdr:to>
    <xdr:sp macro="" textlink="">
      <xdr:nvSpPr>
        <xdr:cNvPr id="3585" name="Line 107"/>
        <xdr:cNvSpPr>
          <a:spLocks noChangeShapeType="1"/>
        </xdr:cNvSpPr>
      </xdr:nvSpPr>
      <xdr:spPr bwMode="auto">
        <a:xfrm>
          <a:off x="1381125" y="3048000"/>
          <a:ext cx="0" cy="1809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7</xdr:col>
      <xdr:colOff>85725</xdr:colOff>
      <xdr:row>17</xdr:row>
      <xdr:rowOff>66675</xdr:rowOff>
    </xdr:from>
    <xdr:to>
      <xdr:col>11</xdr:col>
      <xdr:colOff>28575</xdr:colOff>
      <xdr:row>17</xdr:row>
      <xdr:rowOff>66675</xdr:rowOff>
    </xdr:to>
    <xdr:sp macro="" textlink="">
      <xdr:nvSpPr>
        <xdr:cNvPr id="3586" name="Line 108"/>
        <xdr:cNvSpPr>
          <a:spLocks noChangeShapeType="1"/>
        </xdr:cNvSpPr>
      </xdr:nvSpPr>
      <xdr:spPr bwMode="auto">
        <a:xfrm>
          <a:off x="933450" y="3086100"/>
          <a:ext cx="438150" cy="0"/>
        </a:xfrm>
        <a:prstGeom prst="line">
          <a:avLst/>
        </a:prstGeom>
        <a:noFill/>
        <a:ln w="9525">
          <a:solidFill>
            <a:srgbClr val="000000"/>
          </a:solidFill>
          <a:round/>
          <a:headEnd type="stealth" w="sm" len="med"/>
          <a:tailEnd type="stealth" w="sm" len="med"/>
        </a:ln>
      </xdr:spPr>
    </xdr:sp>
    <xdr:clientData/>
  </xdr:twoCellAnchor>
  <xdr:twoCellAnchor>
    <xdr:from>
      <xdr:col>19</xdr:col>
      <xdr:colOff>76200</xdr:colOff>
      <xdr:row>17</xdr:row>
      <xdr:rowOff>66675</xdr:rowOff>
    </xdr:from>
    <xdr:to>
      <xdr:col>23</xdr:col>
      <xdr:colOff>57150</xdr:colOff>
      <xdr:row>17</xdr:row>
      <xdr:rowOff>66675</xdr:rowOff>
    </xdr:to>
    <xdr:sp macro="" textlink="">
      <xdr:nvSpPr>
        <xdr:cNvPr id="3587" name="Line 109"/>
        <xdr:cNvSpPr>
          <a:spLocks noChangeShapeType="1"/>
        </xdr:cNvSpPr>
      </xdr:nvSpPr>
      <xdr:spPr bwMode="auto">
        <a:xfrm flipV="1">
          <a:off x="2257425" y="3086100"/>
          <a:ext cx="476250" cy="0"/>
        </a:xfrm>
        <a:prstGeom prst="line">
          <a:avLst/>
        </a:prstGeom>
        <a:noFill/>
        <a:ln w="9525">
          <a:solidFill>
            <a:srgbClr val="000000"/>
          </a:solidFill>
          <a:round/>
          <a:headEnd type="stealth" w="sm" len="med"/>
          <a:tailEnd type="stealth" w="sm" len="med"/>
        </a:ln>
      </xdr:spPr>
    </xdr:sp>
    <xdr:clientData/>
  </xdr:twoCellAnchor>
  <xdr:twoCellAnchor>
    <xdr:from>
      <xdr:col>4</xdr:col>
      <xdr:colOff>9525</xdr:colOff>
      <xdr:row>18</xdr:row>
      <xdr:rowOff>57150</xdr:rowOff>
    </xdr:from>
    <xdr:to>
      <xdr:col>7</xdr:col>
      <xdr:colOff>47625</xdr:colOff>
      <xdr:row>18</xdr:row>
      <xdr:rowOff>57150</xdr:rowOff>
    </xdr:to>
    <xdr:sp macro="" textlink="">
      <xdr:nvSpPr>
        <xdr:cNvPr id="3588" name="Line 110"/>
        <xdr:cNvSpPr>
          <a:spLocks noChangeShapeType="1"/>
        </xdr:cNvSpPr>
      </xdr:nvSpPr>
      <xdr:spPr bwMode="auto">
        <a:xfrm>
          <a:off x="485775" y="3257550"/>
          <a:ext cx="4095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23</xdr:col>
      <xdr:colOff>66675</xdr:colOff>
      <xdr:row>18</xdr:row>
      <xdr:rowOff>47625</xdr:rowOff>
    </xdr:from>
    <xdr:to>
      <xdr:col>26</xdr:col>
      <xdr:colOff>28575</xdr:colOff>
      <xdr:row>18</xdr:row>
      <xdr:rowOff>47625</xdr:rowOff>
    </xdr:to>
    <xdr:sp macro="" textlink="">
      <xdr:nvSpPr>
        <xdr:cNvPr id="3589" name="Line 111"/>
        <xdr:cNvSpPr>
          <a:spLocks noChangeShapeType="1"/>
        </xdr:cNvSpPr>
      </xdr:nvSpPr>
      <xdr:spPr bwMode="auto">
        <a:xfrm>
          <a:off x="2743200" y="3248025"/>
          <a:ext cx="3333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104775</xdr:colOff>
      <xdr:row>22</xdr:row>
      <xdr:rowOff>133350</xdr:rowOff>
    </xdr:from>
    <xdr:to>
      <xdr:col>7</xdr:col>
      <xdr:colOff>85725</xdr:colOff>
      <xdr:row>22</xdr:row>
      <xdr:rowOff>133350</xdr:rowOff>
    </xdr:to>
    <xdr:sp macro="" textlink="">
      <xdr:nvSpPr>
        <xdr:cNvPr id="3590" name="Line 112"/>
        <xdr:cNvSpPr>
          <a:spLocks noChangeShapeType="1"/>
        </xdr:cNvSpPr>
      </xdr:nvSpPr>
      <xdr:spPr bwMode="auto">
        <a:xfrm>
          <a:off x="333375" y="4057650"/>
          <a:ext cx="600075" cy="0"/>
        </a:xfrm>
        <a:prstGeom prst="line">
          <a:avLst/>
        </a:prstGeom>
        <a:noFill/>
        <a:ln w="190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23</xdr:col>
      <xdr:colOff>28575</xdr:colOff>
      <xdr:row>20</xdr:row>
      <xdr:rowOff>76200</xdr:rowOff>
    </xdr:from>
    <xdr:to>
      <xdr:col>30</xdr:col>
      <xdr:colOff>85725</xdr:colOff>
      <xdr:row>22</xdr:row>
      <xdr:rowOff>133350</xdr:rowOff>
    </xdr:to>
    <xdr:sp macro="" textlink="">
      <xdr:nvSpPr>
        <xdr:cNvPr id="3591" name="Freeform 113"/>
        <xdr:cNvSpPr>
          <a:spLocks/>
        </xdr:cNvSpPr>
      </xdr:nvSpPr>
      <xdr:spPr bwMode="auto">
        <a:xfrm>
          <a:off x="2705100" y="3638550"/>
          <a:ext cx="923925" cy="419100"/>
        </a:xfrm>
        <a:custGeom>
          <a:avLst/>
          <a:gdLst>
            <a:gd name="T0" fmla="*/ 0 w 97"/>
            <a:gd name="T1" fmla="*/ 44 h 44"/>
            <a:gd name="T2" fmla="*/ 41 w 97"/>
            <a:gd name="T3" fmla="*/ 44 h 44"/>
            <a:gd name="T4" fmla="*/ 97 w 97"/>
            <a:gd name="T5" fmla="*/ 0 h 44"/>
            <a:gd name="T6" fmla="*/ 0 60000 65536"/>
            <a:gd name="T7" fmla="*/ 0 60000 65536"/>
            <a:gd name="T8" fmla="*/ 0 60000 65536"/>
            <a:gd name="T9" fmla="*/ 0 w 97"/>
            <a:gd name="T10" fmla="*/ 0 h 44"/>
            <a:gd name="T11" fmla="*/ 97 w 97"/>
            <a:gd name="T12" fmla="*/ 44 h 44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97" h="44">
              <a:moveTo>
                <a:pt x="0" y="44"/>
              </a:moveTo>
              <a:lnTo>
                <a:pt x="41" y="44"/>
              </a:lnTo>
              <a:lnTo>
                <a:pt x="97" y="0"/>
              </a:lnTo>
            </a:path>
          </a:pathLst>
        </a:custGeom>
        <a:noFill/>
        <a:ln w="19050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23</xdr:col>
      <xdr:colOff>47625</xdr:colOff>
      <xdr:row>22</xdr:row>
      <xdr:rowOff>133350</xdr:rowOff>
    </xdr:from>
    <xdr:to>
      <xdr:col>23</xdr:col>
      <xdr:colOff>85725</xdr:colOff>
      <xdr:row>22</xdr:row>
      <xdr:rowOff>171450</xdr:rowOff>
    </xdr:to>
    <xdr:sp macro="" textlink="">
      <xdr:nvSpPr>
        <xdr:cNvPr id="3592" name="Line 114"/>
        <xdr:cNvSpPr>
          <a:spLocks noChangeShapeType="1"/>
        </xdr:cNvSpPr>
      </xdr:nvSpPr>
      <xdr:spPr bwMode="auto">
        <a:xfrm flipH="1">
          <a:off x="2724150" y="4057650"/>
          <a:ext cx="38100" cy="381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23</xdr:col>
      <xdr:colOff>85725</xdr:colOff>
      <xdr:row>22</xdr:row>
      <xdr:rowOff>142875</xdr:rowOff>
    </xdr:from>
    <xdr:to>
      <xdr:col>24</xdr:col>
      <xdr:colOff>0</xdr:colOff>
      <xdr:row>22</xdr:row>
      <xdr:rowOff>171450</xdr:rowOff>
    </xdr:to>
    <xdr:sp macro="" textlink="">
      <xdr:nvSpPr>
        <xdr:cNvPr id="3593" name="Line 115"/>
        <xdr:cNvSpPr>
          <a:spLocks noChangeShapeType="1"/>
        </xdr:cNvSpPr>
      </xdr:nvSpPr>
      <xdr:spPr bwMode="auto">
        <a:xfrm flipH="1">
          <a:off x="2762250" y="4067175"/>
          <a:ext cx="38100" cy="285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23</xdr:col>
      <xdr:colOff>114300</xdr:colOff>
      <xdr:row>22</xdr:row>
      <xdr:rowOff>142875</xdr:rowOff>
    </xdr:from>
    <xdr:to>
      <xdr:col>24</xdr:col>
      <xdr:colOff>28575</xdr:colOff>
      <xdr:row>23</xdr:row>
      <xdr:rowOff>0</xdr:rowOff>
    </xdr:to>
    <xdr:sp macro="" textlink="">
      <xdr:nvSpPr>
        <xdr:cNvPr id="3594" name="Line 116"/>
        <xdr:cNvSpPr>
          <a:spLocks noChangeShapeType="1"/>
        </xdr:cNvSpPr>
      </xdr:nvSpPr>
      <xdr:spPr bwMode="auto">
        <a:xfrm>
          <a:off x="2790825" y="4067175"/>
          <a:ext cx="38100" cy="381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24</xdr:col>
      <xdr:colOff>19050</xdr:colOff>
      <xdr:row>22</xdr:row>
      <xdr:rowOff>133350</xdr:rowOff>
    </xdr:from>
    <xdr:to>
      <xdr:col>24</xdr:col>
      <xdr:colOff>76200</xdr:colOff>
      <xdr:row>23</xdr:row>
      <xdr:rowOff>0</xdr:rowOff>
    </xdr:to>
    <xdr:sp macro="" textlink="">
      <xdr:nvSpPr>
        <xdr:cNvPr id="3595" name="Line 117"/>
        <xdr:cNvSpPr>
          <a:spLocks noChangeShapeType="1"/>
        </xdr:cNvSpPr>
      </xdr:nvSpPr>
      <xdr:spPr bwMode="auto">
        <a:xfrm>
          <a:off x="2819400" y="4057650"/>
          <a:ext cx="57150" cy="476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26</xdr:col>
      <xdr:colOff>66675</xdr:colOff>
      <xdr:row>22</xdr:row>
      <xdr:rowOff>123825</xdr:rowOff>
    </xdr:from>
    <xdr:to>
      <xdr:col>26</xdr:col>
      <xdr:colOff>76200</xdr:colOff>
      <xdr:row>22</xdr:row>
      <xdr:rowOff>161925</xdr:rowOff>
    </xdr:to>
    <xdr:sp macro="" textlink="">
      <xdr:nvSpPr>
        <xdr:cNvPr id="3596" name="Line 118"/>
        <xdr:cNvSpPr>
          <a:spLocks noChangeShapeType="1"/>
        </xdr:cNvSpPr>
      </xdr:nvSpPr>
      <xdr:spPr bwMode="auto">
        <a:xfrm flipH="1">
          <a:off x="3114675" y="4048125"/>
          <a:ext cx="9525" cy="381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27</xdr:col>
      <xdr:colOff>0</xdr:colOff>
      <xdr:row>22</xdr:row>
      <xdr:rowOff>85725</xdr:rowOff>
    </xdr:from>
    <xdr:to>
      <xdr:col>27</xdr:col>
      <xdr:colOff>0</xdr:colOff>
      <xdr:row>22</xdr:row>
      <xdr:rowOff>133350</xdr:rowOff>
    </xdr:to>
    <xdr:sp macro="" textlink="">
      <xdr:nvSpPr>
        <xdr:cNvPr id="3597" name="Line 119"/>
        <xdr:cNvSpPr>
          <a:spLocks noChangeShapeType="1"/>
        </xdr:cNvSpPr>
      </xdr:nvSpPr>
      <xdr:spPr bwMode="auto">
        <a:xfrm flipH="1">
          <a:off x="3171825" y="4010025"/>
          <a:ext cx="0" cy="476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27</xdr:col>
      <xdr:colOff>0</xdr:colOff>
      <xdr:row>22</xdr:row>
      <xdr:rowOff>95250</xdr:rowOff>
    </xdr:from>
    <xdr:to>
      <xdr:col>27</xdr:col>
      <xdr:colOff>47625</xdr:colOff>
      <xdr:row>22</xdr:row>
      <xdr:rowOff>95250</xdr:rowOff>
    </xdr:to>
    <xdr:sp macro="" textlink="">
      <xdr:nvSpPr>
        <xdr:cNvPr id="3598" name="Line 120"/>
        <xdr:cNvSpPr>
          <a:spLocks noChangeShapeType="1"/>
        </xdr:cNvSpPr>
      </xdr:nvSpPr>
      <xdr:spPr bwMode="auto">
        <a:xfrm>
          <a:off x="3171825" y="4019550"/>
          <a:ext cx="4762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27</xdr:col>
      <xdr:colOff>38100</xdr:colOff>
      <xdr:row>22</xdr:row>
      <xdr:rowOff>57150</xdr:rowOff>
    </xdr:from>
    <xdr:to>
      <xdr:col>27</xdr:col>
      <xdr:colOff>104775</xdr:colOff>
      <xdr:row>22</xdr:row>
      <xdr:rowOff>57150</xdr:rowOff>
    </xdr:to>
    <xdr:sp macro="" textlink="">
      <xdr:nvSpPr>
        <xdr:cNvPr id="3599" name="Line 121"/>
        <xdr:cNvSpPr>
          <a:spLocks noChangeShapeType="1"/>
        </xdr:cNvSpPr>
      </xdr:nvSpPr>
      <xdr:spPr bwMode="auto">
        <a:xfrm>
          <a:off x="3209925" y="3981450"/>
          <a:ext cx="666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27</xdr:col>
      <xdr:colOff>57150</xdr:colOff>
      <xdr:row>22</xdr:row>
      <xdr:rowOff>38100</xdr:rowOff>
    </xdr:from>
    <xdr:to>
      <xdr:col>27</xdr:col>
      <xdr:colOff>114300</xdr:colOff>
      <xdr:row>22</xdr:row>
      <xdr:rowOff>38100</xdr:rowOff>
    </xdr:to>
    <xdr:sp macro="" textlink="">
      <xdr:nvSpPr>
        <xdr:cNvPr id="3600" name="Line 122"/>
        <xdr:cNvSpPr>
          <a:spLocks noChangeShapeType="1"/>
        </xdr:cNvSpPr>
      </xdr:nvSpPr>
      <xdr:spPr bwMode="auto">
        <a:xfrm>
          <a:off x="3228975" y="3962400"/>
          <a:ext cx="5715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27</xdr:col>
      <xdr:colOff>104775</xdr:colOff>
      <xdr:row>22</xdr:row>
      <xdr:rowOff>0</xdr:rowOff>
    </xdr:from>
    <xdr:to>
      <xdr:col>27</xdr:col>
      <xdr:colOff>104775</xdr:colOff>
      <xdr:row>22</xdr:row>
      <xdr:rowOff>38100</xdr:rowOff>
    </xdr:to>
    <xdr:sp macro="" textlink="">
      <xdr:nvSpPr>
        <xdr:cNvPr id="3601" name="Line 123"/>
        <xdr:cNvSpPr>
          <a:spLocks noChangeShapeType="1"/>
        </xdr:cNvSpPr>
      </xdr:nvSpPr>
      <xdr:spPr bwMode="auto">
        <a:xfrm>
          <a:off x="3276600" y="3924300"/>
          <a:ext cx="0" cy="381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28</xdr:col>
      <xdr:colOff>28575</xdr:colOff>
      <xdr:row>21</xdr:row>
      <xdr:rowOff>142875</xdr:rowOff>
    </xdr:from>
    <xdr:to>
      <xdr:col>28</xdr:col>
      <xdr:colOff>28575</xdr:colOff>
      <xdr:row>22</xdr:row>
      <xdr:rowOff>9525</xdr:rowOff>
    </xdr:to>
    <xdr:sp macro="" textlink="">
      <xdr:nvSpPr>
        <xdr:cNvPr id="3602" name="Line 124"/>
        <xdr:cNvSpPr>
          <a:spLocks noChangeShapeType="1"/>
        </xdr:cNvSpPr>
      </xdr:nvSpPr>
      <xdr:spPr bwMode="auto">
        <a:xfrm>
          <a:off x="3324225" y="3886200"/>
          <a:ext cx="0" cy="476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24</xdr:col>
      <xdr:colOff>76200</xdr:colOff>
      <xdr:row>18</xdr:row>
      <xdr:rowOff>47625</xdr:rowOff>
    </xdr:from>
    <xdr:to>
      <xdr:col>24</xdr:col>
      <xdr:colOff>76200</xdr:colOff>
      <xdr:row>22</xdr:row>
      <xdr:rowOff>133350</xdr:rowOff>
    </xdr:to>
    <xdr:sp macro="" textlink="">
      <xdr:nvSpPr>
        <xdr:cNvPr id="3603" name="Line 125"/>
        <xdr:cNvSpPr>
          <a:spLocks noChangeShapeType="1"/>
        </xdr:cNvSpPr>
      </xdr:nvSpPr>
      <xdr:spPr bwMode="auto">
        <a:xfrm>
          <a:off x="2876550" y="3248025"/>
          <a:ext cx="0" cy="809625"/>
        </a:xfrm>
        <a:prstGeom prst="line">
          <a:avLst/>
        </a:prstGeom>
        <a:noFill/>
        <a:ln w="9525">
          <a:solidFill>
            <a:srgbClr val="000000"/>
          </a:solidFill>
          <a:round/>
          <a:headEnd type="stealth" w="sm" len="med"/>
          <a:tailEnd type="stealth" w="sm" len="med"/>
        </a:ln>
      </xdr:spPr>
    </xdr:sp>
    <xdr:clientData/>
  </xdr:twoCellAnchor>
  <xdr:twoCellAnchor>
    <xdr:from>
      <xdr:col>7</xdr:col>
      <xdr:colOff>76200</xdr:colOff>
      <xdr:row>18</xdr:row>
      <xdr:rowOff>47625</xdr:rowOff>
    </xdr:from>
    <xdr:to>
      <xdr:col>23</xdr:col>
      <xdr:colOff>28575</xdr:colOff>
      <xdr:row>22</xdr:row>
      <xdr:rowOff>133350</xdr:rowOff>
    </xdr:to>
    <xdr:sp macro="" textlink="">
      <xdr:nvSpPr>
        <xdr:cNvPr id="3604" name="Freeform 126"/>
        <xdr:cNvSpPr>
          <a:spLocks/>
        </xdr:cNvSpPr>
      </xdr:nvSpPr>
      <xdr:spPr bwMode="auto">
        <a:xfrm>
          <a:off x="923925" y="3248025"/>
          <a:ext cx="1781175" cy="809625"/>
        </a:xfrm>
        <a:custGeom>
          <a:avLst/>
          <a:gdLst>
            <a:gd name="T0" fmla="*/ 0 w 187"/>
            <a:gd name="T1" fmla="*/ 85 h 86"/>
            <a:gd name="T2" fmla="*/ 1 w 187"/>
            <a:gd name="T3" fmla="*/ 0 h 86"/>
            <a:gd name="T4" fmla="*/ 187 w 187"/>
            <a:gd name="T5" fmla="*/ 0 h 86"/>
            <a:gd name="T6" fmla="*/ 187 w 187"/>
            <a:gd name="T7" fmla="*/ 86 h 86"/>
            <a:gd name="T8" fmla="*/ 0 60000 65536"/>
            <a:gd name="T9" fmla="*/ 0 60000 65536"/>
            <a:gd name="T10" fmla="*/ 0 60000 65536"/>
            <a:gd name="T11" fmla="*/ 0 60000 65536"/>
            <a:gd name="T12" fmla="*/ 0 w 187"/>
            <a:gd name="T13" fmla="*/ 0 h 86"/>
            <a:gd name="T14" fmla="*/ 187 w 187"/>
            <a:gd name="T15" fmla="*/ 86 h 86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87" h="86">
              <a:moveTo>
                <a:pt x="0" y="85"/>
              </a:moveTo>
              <a:lnTo>
                <a:pt x="1" y="0"/>
              </a:lnTo>
              <a:lnTo>
                <a:pt x="187" y="0"/>
              </a:lnTo>
              <a:lnTo>
                <a:pt x="187" y="86"/>
              </a:lnTo>
            </a:path>
          </a:pathLst>
        </a:custGeom>
        <a:noFill/>
        <a:ln w="9525">
          <a:solidFill>
            <a:srgbClr val="000000"/>
          </a:solidFill>
          <a:round/>
          <a:headEnd type="none" w="med" len="med"/>
          <a:tailEnd type="none" w="med" len="med"/>
        </a:ln>
      </xdr:spPr>
    </xdr:sp>
    <xdr:clientData/>
  </xdr:twoCellAnchor>
  <xdr:twoCellAnchor>
    <xdr:from>
      <xdr:col>7</xdr:col>
      <xdr:colOff>85725</xdr:colOff>
      <xdr:row>22</xdr:row>
      <xdr:rowOff>133350</xdr:rowOff>
    </xdr:from>
    <xdr:to>
      <xdr:col>23</xdr:col>
      <xdr:colOff>38100</xdr:colOff>
      <xdr:row>22</xdr:row>
      <xdr:rowOff>133350</xdr:rowOff>
    </xdr:to>
    <xdr:sp macro="" textlink="">
      <xdr:nvSpPr>
        <xdr:cNvPr id="3605" name="Line 127"/>
        <xdr:cNvSpPr>
          <a:spLocks noChangeShapeType="1"/>
        </xdr:cNvSpPr>
      </xdr:nvSpPr>
      <xdr:spPr bwMode="auto">
        <a:xfrm flipV="1">
          <a:off x="933450" y="4057650"/>
          <a:ext cx="1781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7</xdr:col>
      <xdr:colOff>104775</xdr:colOff>
      <xdr:row>22</xdr:row>
      <xdr:rowOff>142875</xdr:rowOff>
    </xdr:from>
    <xdr:to>
      <xdr:col>8</xdr:col>
      <xdr:colOff>9525</xdr:colOff>
      <xdr:row>23</xdr:row>
      <xdr:rowOff>0</xdr:rowOff>
    </xdr:to>
    <xdr:sp macro="" textlink="">
      <xdr:nvSpPr>
        <xdr:cNvPr id="3606" name="Line 128"/>
        <xdr:cNvSpPr>
          <a:spLocks noChangeShapeType="1"/>
        </xdr:cNvSpPr>
      </xdr:nvSpPr>
      <xdr:spPr bwMode="auto">
        <a:xfrm flipH="1">
          <a:off x="952500" y="4067175"/>
          <a:ext cx="28575" cy="381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</xdr:col>
      <xdr:colOff>38100</xdr:colOff>
      <xdr:row>22</xdr:row>
      <xdr:rowOff>142875</xdr:rowOff>
    </xdr:from>
    <xdr:to>
      <xdr:col>8</xdr:col>
      <xdr:colOff>66675</xdr:colOff>
      <xdr:row>22</xdr:row>
      <xdr:rowOff>171450</xdr:rowOff>
    </xdr:to>
    <xdr:sp macro="" textlink="">
      <xdr:nvSpPr>
        <xdr:cNvPr id="3607" name="Line 129"/>
        <xdr:cNvSpPr>
          <a:spLocks noChangeShapeType="1"/>
        </xdr:cNvSpPr>
      </xdr:nvSpPr>
      <xdr:spPr bwMode="auto">
        <a:xfrm flipH="1">
          <a:off x="1009650" y="4067175"/>
          <a:ext cx="28575" cy="285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</xdr:col>
      <xdr:colOff>85725</xdr:colOff>
      <xdr:row>22</xdr:row>
      <xdr:rowOff>142875</xdr:rowOff>
    </xdr:from>
    <xdr:to>
      <xdr:col>8</xdr:col>
      <xdr:colOff>114300</xdr:colOff>
      <xdr:row>22</xdr:row>
      <xdr:rowOff>171450</xdr:rowOff>
    </xdr:to>
    <xdr:sp macro="" textlink="">
      <xdr:nvSpPr>
        <xdr:cNvPr id="3608" name="Line 130"/>
        <xdr:cNvSpPr>
          <a:spLocks noChangeShapeType="1"/>
        </xdr:cNvSpPr>
      </xdr:nvSpPr>
      <xdr:spPr bwMode="auto">
        <a:xfrm flipH="1">
          <a:off x="1057275" y="4067175"/>
          <a:ext cx="28575" cy="285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19050</xdr:colOff>
      <xdr:row>22</xdr:row>
      <xdr:rowOff>142875</xdr:rowOff>
    </xdr:from>
    <xdr:to>
      <xdr:col>9</xdr:col>
      <xdr:colOff>57150</xdr:colOff>
      <xdr:row>23</xdr:row>
      <xdr:rowOff>0</xdr:rowOff>
    </xdr:to>
    <xdr:sp macro="" textlink="">
      <xdr:nvSpPr>
        <xdr:cNvPr id="3609" name="Line 131"/>
        <xdr:cNvSpPr>
          <a:spLocks noChangeShapeType="1"/>
        </xdr:cNvSpPr>
      </xdr:nvSpPr>
      <xdr:spPr bwMode="auto">
        <a:xfrm>
          <a:off x="1114425" y="4067175"/>
          <a:ext cx="38100" cy="381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66675</xdr:colOff>
      <xdr:row>22</xdr:row>
      <xdr:rowOff>142875</xdr:rowOff>
    </xdr:from>
    <xdr:to>
      <xdr:col>9</xdr:col>
      <xdr:colOff>104775</xdr:colOff>
      <xdr:row>23</xdr:row>
      <xdr:rowOff>0</xdr:rowOff>
    </xdr:to>
    <xdr:sp macro="" textlink="">
      <xdr:nvSpPr>
        <xdr:cNvPr id="3610" name="Line 132"/>
        <xdr:cNvSpPr>
          <a:spLocks noChangeShapeType="1"/>
        </xdr:cNvSpPr>
      </xdr:nvSpPr>
      <xdr:spPr bwMode="auto">
        <a:xfrm>
          <a:off x="1162050" y="4067175"/>
          <a:ext cx="38100" cy="381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95250</xdr:colOff>
      <xdr:row>22</xdr:row>
      <xdr:rowOff>142875</xdr:rowOff>
    </xdr:from>
    <xdr:to>
      <xdr:col>10</xdr:col>
      <xdr:colOff>0</xdr:colOff>
      <xdr:row>22</xdr:row>
      <xdr:rowOff>171450</xdr:rowOff>
    </xdr:to>
    <xdr:sp macro="" textlink="">
      <xdr:nvSpPr>
        <xdr:cNvPr id="3611" name="Line 133"/>
        <xdr:cNvSpPr>
          <a:spLocks noChangeShapeType="1"/>
        </xdr:cNvSpPr>
      </xdr:nvSpPr>
      <xdr:spPr bwMode="auto">
        <a:xfrm flipH="1">
          <a:off x="1190625" y="4067175"/>
          <a:ext cx="28575" cy="285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</xdr:col>
      <xdr:colOff>104775</xdr:colOff>
      <xdr:row>22</xdr:row>
      <xdr:rowOff>161925</xdr:rowOff>
    </xdr:from>
    <xdr:to>
      <xdr:col>9</xdr:col>
      <xdr:colOff>0</xdr:colOff>
      <xdr:row>23</xdr:row>
      <xdr:rowOff>0</xdr:rowOff>
    </xdr:to>
    <xdr:sp macro="" textlink="">
      <xdr:nvSpPr>
        <xdr:cNvPr id="3612" name="Line 134"/>
        <xdr:cNvSpPr>
          <a:spLocks noChangeShapeType="1"/>
        </xdr:cNvSpPr>
      </xdr:nvSpPr>
      <xdr:spPr bwMode="auto">
        <a:xfrm>
          <a:off x="1076325" y="4086225"/>
          <a:ext cx="19050" cy="190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19050</xdr:colOff>
      <xdr:row>22</xdr:row>
      <xdr:rowOff>133350</xdr:rowOff>
    </xdr:from>
    <xdr:to>
      <xdr:col>3</xdr:col>
      <xdr:colOff>57150</xdr:colOff>
      <xdr:row>22</xdr:row>
      <xdr:rowOff>171450</xdr:rowOff>
    </xdr:to>
    <xdr:sp macro="" textlink="">
      <xdr:nvSpPr>
        <xdr:cNvPr id="3613" name="Line 135"/>
        <xdr:cNvSpPr>
          <a:spLocks noChangeShapeType="1"/>
        </xdr:cNvSpPr>
      </xdr:nvSpPr>
      <xdr:spPr bwMode="auto">
        <a:xfrm flipH="1">
          <a:off x="371475" y="4057650"/>
          <a:ext cx="38100" cy="381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57150</xdr:colOff>
      <xdr:row>22</xdr:row>
      <xdr:rowOff>133350</xdr:rowOff>
    </xdr:from>
    <xdr:to>
      <xdr:col>3</xdr:col>
      <xdr:colOff>104775</xdr:colOff>
      <xdr:row>23</xdr:row>
      <xdr:rowOff>0</xdr:rowOff>
    </xdr:to>
    <xdr:sp macro="" textlink="">
      <xdr:nvSpPr>
        <xdr:cNvPr id="3614" name="Line 136"/>
        <xdr:cNvSpPr>
          <a:spLocks noChangeShapeType="1"/>
        </xdr:cNvSpPr>
      </xdr:nvSpPr>
      <xdr:spPr bwMode="auto">
        <a:xfrm flipH="1">
          <a:off x="409575" y="4057650"/>
          <a:ext cx="47625" cy="476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114300</xdr:colOff>
      <xdr:row>22</xdr:row>
      <xdr:rowOff>133350</xdr:rowOff>
    </xdr:from>
    <xdr:to>
      <xdr:col>4</xdr:col>
      <xdr:colOff>28575</xdr:colOff>
      <xdr:row>22</xdr:row>
      <xdr:rowOff>171450</xdr:rowOff>
    </xdr:to>
    <xdr:sp macro="" textlink="">
      <xdr:nvSpPr>
        <xdr:cNvPr id="3615" name="Line 137"/>
        <xdr:cNvSpPr>
          <a:spLocks noChangeShapeType="1"/>
        </xdr:cNvSpPr>
      </xdr:nvSpPr>
      <xdr:spPr bwMode="auto">
        <a:xfrm>
          <a:off x="466725" y="4057650"/>
          <a:ext cx="38100" cy="381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85725</xdr:colOff>
      <xdr:row>22</xdr:row>
      <xdr:rowOff>161925</xdr:rowOff>
    </xdr:from>
    <xdr:to>
      <xdr:col>3</xdr:col>
      <xdr:colOff>114300</xdr:colOff>
      <xdr:row>23</xdr:row>
      <xdr:rowOff>0</xdr:rowOff>
    </xdr:to>
    <xdr:sp macro="" textlink="">
      <xdr:nvSpPr>
        <xdr:cNvPr id="3616" name="Line 138"/>
        <xdr:cNvSpPr>
          <a:spLocks noChangeShapeType="1"/>
        </xdr:cNvSpPr>
      </xdr:nvSpPr>
      <xdr:spPr bwMode="auto">
        <a:xfrm>
          <a:off x="438150" y="4086225"/>
          <a:ext cx="28575" cy="190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20</xdr:col>
      <xdr:colOff>114300</xdr:colOff>
      <xdr:row>18</xdr:row>
      <xdr:rowOff>114300</xdr:rowOff>
    </xdr:from>
    <xdr:to>
      <xdr:col>22</xdr:col>
      <xdr:colOff>95250</xdr:colOff>
      <xdr:row>18</xdr:row>
      <xdr:rowOff>114300</xdr:rowOff>
    </xdr:to>
    <xdr:sp macro="" textlink="">
      <xdr:nvSpPr>
        <xdr:cNvPr id="3617" name="Line 139"/>
        <xdr:cNvSpPr>
          <a:spLocks noChangeShapeType="1"/>
        </xdr:cNvSpPr>
      </xdr:nvSpPr>
      <xdr:spPr bwMode="auto">
        <a:xfrm>
          <a:off x="2419350" y="3314700"/>
          <a:ext cx="2286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38100</xdr:colOff>
      <xdr:row>19</xdr:row>
      <xdr:rowOff>9525</xdr:rowOff>
    </xdr:from>
    <xdr:to>
      <xdr:col>22</xdr:col>
      <xdr:colOff>95250</xdr:colOff>
      <xdr:row>19</xdr:row>
      <xdr:rowOff>9525</xdr:rowOff>
    </xdr:to>
    <xdr:sp macro="" textlink="">
      <xdr:nvSpPr>
        <xdr:cNvPr id="3618" name="Line 140"/>
        <xdr:cNvSpPr>
          <a:spLocks noChangeShapeType="1"/>
        </xdr:cNvSpPr>
      </xdr:nvSpPr>
      <xdr:spPr bwMode="auto">
        <a:xfrm>
          <a:off x="2466975" y="3390900"/>
          <a:ext cx="1809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20</xdr:col>
      <xdr:colOff>76200</xdr:colOff>
      <xdr:row>19</xdr:row>
      <xdr:rowOff>85725</xdr:rowOff>
    </xdr:from>
    <xdr:to>
      <xdr:col>22</xdr:col>
      <xdr:colOff>104775</xdr:colOff>
      <xdr:row>19</xdr:row>
      <xdr:rowOff>85725</xdr:rowOff>
    </xdr:to>
    <xdr:sp macro="" textlink="">
      <xdr:nvSpPr>
        <xdr:cNvPr id="3619" name="Line 141"/>
        <xdr:cNvSpPr>
          <a:spLocks noChangeShapeType="1"/>
        </xdr:cNvSpPr>
      </xdr:nvSpPr>
      <xdr:spPr bwMode="auto">
        <a:xfrm>
          <a:off x="2381250" y="3467100"/>
          <a:ext cx="27622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95250</xdr:colOff>
      <xdr:row>19</xdr:row>
      <xdr:rowOff>152400</xdr:rowOff>
    </xdr:from>
    <xdr:to>
      <xdr:col>22</xdr:col>
      <xdr:colOff>104775</xdr:colOff>
      <xdr:row>19</xdr:row>
      <xdr:rowOff>152400</xdr:rowOff>
    </xdr:to>
    <xdr:sp macro="" textlink="">
      <xdr:nvSpPr>
        <xdr:cNvPr id="3620" name="Line 142"/>
        <xdr:cNvSpPr>
          <a:spLocks noChangeShapeType="1"/>
        </xdr:cNvSpPr>
      </xdr:nvSpPr>
      <xdr:spPr bwMode="auto">
        <a:xfrm>
          <a:off x="2524125" y="3533775"/>
          <a:ext cx="13335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0</xdr:colOff>
      <xdr:row>20</xdr:row>
      <xdr:rowOff>47625</xdr:rowOff>
    </xdr:from>
    <xdr:to>
      <xdr:col>22</xdr:col>
      <xdr:colOff>104775</xdr:colOff>
      <xdr:row>20</xdr:row>
      <xdr:rowOff>47625</xdr:rowOff>
    </xdr:to>
    <xdr:sp macro="" textlink="">
      <xdr:nvSpPr>
        <xdr:cNvPr id="3621" name="Line 143"/>
        <xdr:cNvSpPr>
          <a:spLocks noChangeShapeType="1"/>
        </xdr:cNvSpPr>
      </xdr:nvSpPr>
      <xdr:spPr bwMode="auto">
        <a:xfrm>
          <a:off x="2428875" y="3609975"/>
          <a:ext cx="2286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22</xdr:col>
      <xdr:colOff>0</xdr:colOff>
      <xdr:row>21</xdr:row>
      <xdr:rowOff>85725</xdr:rowOff>
    </xdr:from>
    <xdr:to>
      <xdr:col>22</xdr:col>
      <xdr:colOff>95250</xdr:colOff>
      <xdr:row>21</xdr:row>
      <xdr:rowOff>85725</xdr:rowOff>
    </xdr:to>
    <xdr:sp macro="" textlink="">
      <xdr:nvSpPr>
        <xdr:cNvPr id="3622" name="Line 144"/>
        <xdr:cNvSpPr>
          <a:spLocks noChangeShapeType="1"/>
        </xdr:cNvSpPr>
      </xdr:nvSpPr>
      <xdr:spPr bwMode="auto">
        <a:xfrm>
          <a:off x="2552700" y="3829050"/>
          <a:ext cx="9525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85725</xdr:colOff>
      <xdr:row>20</xdr:row>
      <xdr:rowOff>104775</xdr:rowOff>
    </xdr:from>
    <xdr:to>
      <xdr:col>22</xdr:col>
      <xdr:colOff>95250</xdr:colOff>
      <xdr:row>20</xdr:row>
      <xdr:rowOff>104775</xdr:rowOff>
    </xdr:to>
    <xdr:sp macro="" textlink="">
      <xdr:nvSpPr>
        <xdr:cNvPr id="3623" name="Line 145"/>
        <xdr:cNvSpPr>
          <a:spLocks noChangeShapeType="1"/>
        </xdr:cNvSpPr>
      </xdr:nvSpPr>
      <xdr:spPr bwMode="auto">
        <a:xfrm flipV="1">
          <a:off x="2514600" y="3667125"/>
          <a:ext cx="13335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20</xdr:col>
      <xdr:colOff>85725</xdr:colOff>
      <xdr:row>21</xdr:row>
      <xdr:rowOff>9525</xdr:rowOff>
    </xdr:from>
    <xdr:to>
      <xdr:col>23</xdr:col>
      <xdr:colOff>0</xdr:colOff>
      <xdr:row>21</xdr:row>
      <xdr:rowOff>9525</xdr:rowOff>
    </xdr:to>
    <xdr:sp macro="" textlink="">
      <xdr:nvSpPr>
        <xdr:cNvPr id="3624" name="Line 146"/>
        <xdr:cNvSpPr>
          <a:spLocks noChangeShapeType="1"/>
        </xdr:cNvSpPr>
      </xdr:nvSpPr>
      <xdr:spPr bwMode="auto">
        <a:xfrm>
          <a:off x="2390775" y="3752850"/>
          <a:ext cx="28575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20</xdr:col>
      <xdr:colOff>95250</xdr:colOff>
      <xdr:row>21</xdr:row>
      <xdr:rowOff>161925</xdr:rowOff>
    </xdr:from>
    <xdr:to>
      <xdr:col>22</xdr:col>
      <xdr:colOff>114300</xdr:colOff>
      <xdr:row>21</xdr:row>
      <xdr:rowOff>161925</xdr:rowOff>
    </xdr:to>
    <xdr:sp macro="" textlink="">
      <xdr:nvSpPr>
        <xdr:cNvPr id="3625" name="Line 147"/>
        <xdr:cNvSpPr>
          <a:spLocks noChangeShapeType="1"/>
        </xdr:cNvSpPr>
      </xdr:nvSpPr>
      <xdr:spPr bwMode="auto">
        <a:xfrm>
          <a:off x="2400300" y="3905250"/>
          <a:ext cx="2667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104775</xdr:colOff>
      <xdr:row>22</xdr:row>
      <xdr:rowOff>57150</xdr:rowOff>
    </xdr:from>
    <xdr:to>
      <xdr:col>22</xdr:col>
      <xdr:colOff>76200</xdr:colOff>
      <xdr:row>22</xdr:row>
      <xdr:rowOff>57150</xdr:rowOff>
    </xdr:to>
    <xdr:sp macro="" textlink="">
      <xdr:nvSpPr>
        <xdr:cNvPr id="3626" name="Line 148"/>
        <xdr:cNvSpPr>
          <a:spLocks noChangeShapeType="1"/>
        </xdr:cNvSpPr>
      </xdr:nvSpPr>
      <xdr:spPr bwMode="auto">
        <a:xfrm>
          <a:off x="2533650" y="3981450"/>
          <a:ext cx="9525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7</xdr:col>
      <xdr:colOff>114300</xdr:colOff>
      <xdr:row>19</xdr:row>
      <xdr:rowOff>9525</xdr:rowOff>
    </xdr:from>
    <xdr:to>
      <xdr:col>9</xdr:col>
      <xdr:colOff>28575</xdr:colOff>
      <xdr:row>19</xdr:row>
      <xdr:rowOff>9525</xdr:rowOff>
    </xdr:to>
    <xdr:sp macro="" textlink="">
      <xdr:nvSpPr>
        <xdr:cNvPr id="3627" name="Line 149"/>
        <xdr:cNvSpPr>
          <a:spLocks noChangeShapeType="1"/>
        </xdr:cNvSpPr>
      </xdr:nvSpPr>
      <xdr:spPr bwMode="auto">
        <a:xfrm flipV="1">
          <a:off x="962025" y="3390900"/>
          <a:ext cx="16192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7</xdr:col>
      <xdr:colOff>114300</xdr:colOff>
      <xdr:row>19</xdr:row>
      <xdr:rowOff>76200</xdr:rowOff>
    </xdr:from>
    <xdr:to>
      <xdr:col>9</xdr:col>
      <xdr:colOff>114300</xdr:colOff>
      <xdr:row>19</xdr:row>
      <xdr:rowOff>76200</xdr:rowOff>
    </xdr:to>
    <xdr:sp macro="" textlink="">
      <xdr:nvSpPr>
        <xdr:cNvPr id="3628" name="Line 150"/>
        <xdr:cNvSpPr>
          <a:spLocks noChangeShapeType="1"/>
        </xdr:cNvSpPr>
      </xdr:nvSpPr>
      <xdr:spPr bwMode="auto">
        <a:xfrm>
          <a:off x="962025" y="3457575"/>
          <a:ext cx="24765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</xdr:col>
      <xdr:colOff>0</xdr:colOff>
      <xdr:row>19</xdr:row>
      <xdr:rowOff>152400</xdr:rowOff>
    </xdr:from>
    <xdr:to>
      <xdr:col>9</xdr:col>
      <xdr:colOff>0</xdr:colOff>
      <xdr:row>19</xdr:row>
      <xdr:rowOff>152400</xdr:rowOff>
    </xdr:to>
    <xdr:sp macro="" textlink="">
      <xdr:nvSpPr>
        <xdr:cNvPr id="3629" name="Line 151"/>
        <xdr:cNvSpPr>
          <a:spLocks noChangeShapeType="1"/>
        </xdr:cNvSpPr>
      </xdr:nvSpPr>
      <xdr:spPr bwMode="auto">
        <a:xfrm flipV="1">
          <a:off x="971550" y="3533775"/>
          <a:ext cx="12382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</xdr:col>
      <xdr:colOff>9525</xdr:colOff>
      <xdr:row>18</xdr:row>
      <xdr:rowOff>114300</xdr:rowOff>
    </xdr:from>
    <xdr:to>
      <xdr:col>10</xdr:col>
      <xdr:colOff>9525</xdr:colOff>
      <xdr:row>18</xdr:row>
      <xdr:rowOff>114300</xdr:rowOff>
    </xdr:to>
    <xdr:sp macro="" textlink="">
      <xdr:nvSpPr>
        <xdr:cNvPr id="3630" name="Line 152"/>
        <xdr:cNvSpPr>
          <a:spLocks noChangeShapeType="1"/>
        </xdr:cNvSpPr>
      </xdr:nvSpPr>
      <xdr:spPr bwMode="auto">
        <a:xfrm>
          <a:off x="981075" y="3314700"/>
          <a:ext cx="24765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7</xdr:col>
      <xdr:colOff>114300</xdr:colOff>
      <xdr:row>20</xdr:row>
      <xdr:rowOff>38100</xdr:rowOff>
    </xdr:from>
    <xdr:to>
      <xdr:col>9</xdr:col>
      <xdr:colOff>95250</xdr:colOff>
      <xdr:row>20</xdr:row>
      <xdr:rowOff>38100</xdr:rowOff>
    </xdr:to>
    <xdr:sp macro="" textlink="">
      <xdr:nvSpPr>
        <xdr:cNvPr id="3631" name="Line 153"/>
        <xdr:cNvSpPr>
          <a:spLocks noChangeShapeType="1"/>
        </xdr:cNvSpPr>
      </xdr:nvSpPr>
      <xdr:spPr bwMode="auto">
        <a:xfrm>
          <a:off x="962025" y="3600450"/>
          <a:ext cx="2286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7</xdr:col>
      <xdr:colOff>114300</xdr:colOff>
      <xdr:row>20</xdr:row>
      <xdr:rowOff>104775</xdr:rowOff>
    </xdr:from>
    <xdr:to>
      <xdr:col>8</xdr:col>
      <xdr:colOff>114300</xdr:colOff>
      <xdr:row>20</xdr:row>
      <xdr:rowOff>104775</xdr:rowOff>
    </xdr:to>
    <xdr:sp macro="" textlink="">
      <xdr:nvSpPr>
        <xdr:cNvPr id="3632" name="Line 154"/>
        <xdr:cNvSpPr>
          <a:spLocks noChangeShapeType="1"/>
        </xdr:cNvSpPr>
      </xdr:nvSpPr>
      <xdr:spPr bwMode="auto">
        <a:xfrm>
          <a:off x="962025" y="3667125"/>
          <a:ext cx="12382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</xdr:col>
      <xdr:colOff>0</xdr:colOff>
      <xdr:row>21</xdr:row>
      <xdr:rowOff>9525</xdr:rowOff>
    </xdr:from>
    <xdr:to>
      <xdr:col>10</xdr:col>
      <xdr:colOff>0</xdr:colOff>
      <xdr:row>21</xdr:row>
      <xdr:rowOff>9525</xdr:rowOff>
    </xdr:to>
    <xdr:sp macro="" textlink="">
      <xdr:nvSpPr>
        <xdr:cNvPr id="3633" name="Line 155"/>
        <xdr:cNvSpPr>
          <a:spLocks noChangeShapeType="1"/>
        </xdr:cNvSpPr>
      </xdr:nvSpPr>
      <xdr:spPr bwMode="auto">
        <a:xfrm>
          <a:off x="971550" y="3752850"/>
          <a:ext cx="24765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</xdr:col>
      <xdr:colOff>0</xdr:colOff>
      <xdr:row>21</xdr:row>
      <xdr:rowOff>95250</xdr:rowOff>
    </xdr:from>
    <xdr:to>
      <xdr:col>9</xdr:col>
      <xdr:colOff>28575</xdr:colOff>
      <xdr:row>21</xdr:row>
      <xdr:rowOff>95250</xdr:rowOff>
    </xdr:to>
    <xdr:sp macro="" textlink="">
      <xdr:nvSpPr>
        <xdr:cNvPr id="3634" name="Line 156"/>
        <xdr:cNvSpPr>
          <a:spLocks noChangeShapeType="1"/>
        </xdr:cNvSpPr>
      </xdr:nvSpPr>
      <xdr:spPr bwMode="auto">
        <a:xfrm>
          <a:off x="971550" y="3838575"/>
          <a:ext cx="1524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</xdr:col>
      <xdr:colOff>0</xdr:colOff>
      <xdr:row>21</xdr:row>
      <xdr:rowOff>161925</xdr:rowOff>
    </xdr:from>
    <xdr:to>
      <xdr:col>9</xdr:col>
      <xdr:colOff>104775</xdr:colOff>
      <xdr:row>21</xdr:row>
      <xdr:rowOff>161925</xdr:rowOff>
    </xdr:to>
    <xdr:sp macro="" textlink="">
      <xdr:nvSpPr>
        <xdr:cNvPr id="3635" name="Line 157"/>
        <xdr:cNvSpPr>
          <a:spLocks noChangeShapeType="1"/>
        </xdr:cNvSpPr>
      </xdr:nvSpPr>
      <xdr:spPr bwMode="auto">
        <a:xfrm>
          <a:off x="971550" y="3905250"/>
          <a:ext cx="2286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7</xdr:col>
      <xdr:colOff>114300</xdr:colOff>
      <xdr:row>22</xdr:row>
      <xdr:rowOff>57150</xdr:rowOff>
    </xdr:from>
    <xdr:to>
      <xdr:col>8</xdr:col>
      <xdr:colOff>76200</xdr:colOff>
      <xdr:row>22</xdr:row>
      <xdr:rowOff>57150</xdr:rowOff>
    </xdr:to>
    <xdr:sp macro="" textlink="">
      <xdr:nvSpPr>
        <xdr:cNvPr id="3636" name="Line 158"/>
        <xdr:cNvSpPr>
          <a:spLocks noChangeShapeType="1"/>
        </xdr:cNvSpPr>
      </xdr:nvSpPr>
      <xdr:spPr bwMode="auto">
        <a:xfrm>
          <a:off x="962025" y="3981450"/>
          <a:ext cx="8572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66675</xdr:colOff>
      <xdr:row>22</xdr:row>
      <xdr:rowOff>28575</xdr:rowOff>
    </xdr:from>
    <xdr:to>
      <xdr:col>19</xdr:col>
      <xdr:colOff>47625</xdr:colOff>
      <xdr:row>22</xdr:row>
      <xdr:rowOff>28575</xdr:rowOff>
    </xdr:to>
    <xdr:sp macro="" textlink="">
      <xdr:nvSpPr>
        <xdr:cNvPr id="3637" name="Line 159"/>
        <xdr:cNvSpPr>
          <a:spLocks noChangeShapeType="1"/>
        </xdr:cNvSpPr>
      </xdr:nvSpPr>
      <xdr:spPr bwMode="auto">
        <a:xfrm>
          <a:off x="2000250" y="3952875"/>
          <a:ext cx="2286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76200</xdr:colOff>
      <xdr:row>20</xdr:row>
      <xdr:rowOff>85725</xdr:rowOff>
    </xdr:from>
    <xdr:to>
      <xdr:col>19</xdr:col>
      <xdr:colOff>38100</xdr:colOff>
      <xdr:row>20</xdr:row>
      <xdr:rowOff>85725</xdr:rowOff>
    </xdr:to>
    <xdr:sp macro="" textlink="">
      <xdr:nvSpPr>
        <xdr:cNvPr id="3638" name="Line 160"/>
        <xdr:cNvSpPr>
          <a:spLocks noChangeShapeType="1"/>
        </xdr:cNvSpPr>
      </xdr:nvSpPr>
      <xdr:spPr bwMode="auto">
        <a:xfrm>
          <a:off x="2009775" y="3648075"/>
          <a:ext cx="20955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114300</xdr:colOff>
      <xdr:row>20</xdr:row>
      <xdr:rowOff>95250</xdr:rowOff>
    </xdr:from>
    <xdr:to>
      <xdr:col>17</xdr:col>
      <xdr:colOff>114300</xdr:colOff>
      <xdr:row>22</xdr:row>
      <xdr:rowOff>28575</xdr:rowOff>
    </xdr:to>
    <xdr:sp macro="" textlink="">
      <xdr:nvSpPr>
        <xdr:cNvPr id="3639" name="Line 161"/>
        <xdr:cNvSpPr>
          <a:spLocks noChangeShapeType="1"/>
        </xdr:cNvSpPr>
      </xdr:nvSpPr>
      <xdr:spPr bwMode="auto">
        <a:xfrm>
          <a:off x="2047875" y="3657600"/>
          <a:ext cx="0" cy="295275"/>
        </a:xfrm>
        <a:prstGeom prst="line">
          <a:avLst/>
        </a:prstGeom>
        <a:noFill/>
        <a:ln w="9525">
          <a:solidFill>
            <a:srgbClr val="000000"/>
          </a:solidFill>
          <a:round/>
          <a:headEnd type="stealth" w="sm" len="med"/>
          <a:tailEnd type="stealth" w="sm" len="med"/>
        </a:ln>
      </xdr:spPr>
    </xdr:sp>
    <xdr:clientData/>
  </xdr:twoCellAnchor>
  <xdr:twoCellAnchor>
    <xdr:from>
      <xdr:col>10</xdr:col>
      <xdr:colOff>85725</xdr:colOff>
      <xdr:row>18</xdr:row>
      <xdr:rowOff>123825</xdr:rowOff>
    </xdr:from>
    <xdr:to>
      <xdr:col>11</xdr:col>
      <xdr:colOff>9525</xdr:colOff>
      <xdr:row>18</xdr:row>
      <xdr:rowOff>171450</xdr:rowOff>
    </xdr:to>
    <xdr:sp macro="" textlink="">
      <xdr:nvSpPr>
        <xdr:cNvPr id="3640" name="Rectangle 162"/>
        <xdr:cNvSpPr>
          <a:spLocks noChangeArrowheads="1"/>
        </xdr:cNvSpPr>
      </xdr:nvSpPr>
      <xdr:spPr bwMode="auto">
        <a:xfrm>
          <a:off x="1304925" y="3324225"/>
          <a:ext cx="47625" cy="47625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19</xdr:col>
      <xdr:colOff>104775</xdr:colOff>
      <xdr:row>18</xdr:row>
      <xdr:rowOff>123825</xdr:rowOff>
    </xdr:from>
    <xdr:to>
      <xdr:col>20</xdr:col>
      <xdr:colOff>28575</xdr:colOff>
      <xdr:row>18</xdr:row>
      <xdr:rowOff>171450</xdr:rowOff>
    </xdr:to>
    <xdr:sp macro="" textlink="">
      <xdr:nvSpPr>
        <xdr:cNvPr id="3641" name="Rectangle 163"/>
        <xdr:cNvSpPr>
          <a:spLocks noChangeArrowheads="1"/>
        </xdr:cNvSpPr>
      </xdr:nvSpPr>
      <xdr:spPr bwMode="auto">
        <a:xfrm>
          <a:off x="2286000" y="3324225"/>
          <a:ext cx="47625" cy="47625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85725</xdr:colOff>
      <xdr:row>20</xdr:row>
      <xdr:rowOff>66675</xdr:rowOff>
    </xdr:from>
    <xdr:to>
      <xdr:col>11</xdr:col>
      <xdr:colOff>9525</xdr:colOff>
      <xdr:row>20</xdr:row>
      <xdr:rowOff>114300</xdr:rowOff>
    </xdr:to>
    <xdr:sp macro="" textlink="">
      <xdr:nvSpPr>
        <xdr:cNvPr id="3642" name="Rectangle 164"/>
        <xdr:cNvSpPr>
          <a:spLocks noChangeArrowheads="1"/>
        </xdr:cNvSpPr>
      </xdr:nvSpPr>
      <xdr:spPr bwMode="auto">
        <a:xfrm>
          <a:off x="1304925" y="3629025"/>
          <a:ext cx="47625" cy="47625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19</xdr:col>
      <xdr:colOff>104775</xdr:colOff>
      <xdr:row>20</xdr:row>
      <xdr:rowOff>66675</xdr:rowOff>
    </xdr:from>
    <xdr:to>
      <xdr:col>20</xdr:col>
      <xdr:colOff>28575</xdr:colOff>
      <xdr:row>20</xdr:row>
      <xdr:rowOff>114300</xdr:rowOff>
    </xdr:to>
    <xdr:sp macro="" textlink="">
      <xdr:nvSpPr>
        <xdr:cNvPr id="3643" name="Rectangle 165"/>
        <xdr:cNvSpPr>
          <a:spLocks noChangeArrowheads="1"/>
        </xdr:cNvSpPr>
      </xdr:nvSpPr>
      <xdr:spPr bwMode="auto">
        <a:xfrm>
          <a:off x="2286000" y="3629025"/>
          <a:ext cx="47625" cy="47625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85725</xdr:colOff>
      <xdr:row>22</xdr:row>
      <xdr:rowOff>19050</xdr:rowOff>
    </xdr:from>
    <xdr:to>
      <xdr:col>11</xdr:col>
      <xdr:colOff>9525</xdr:colOff>
      <xdr:row>22</xdr:row>
      <xdr:rowOff>66675</xdr:rowOff>
    </xdr:to>
    <xdr:sp macro="" textlink="">
      <xdr:nvSpPr>
        <xdr:cNvPr id="3644" name="Rectangle 166"/>
        <xdr:cNvSpPr>
          <a:spLocks noChangeArrowheads="1"/>
        </xdr:cNvSpPr>
      </xdr:nvSpPr>
      <xdr:spPr bwMode="auto">
        <a:xfrm>
          <a:off x="1304925" y="3943350"/>
          <a:ext cx="47625" cy="47625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19</xdr:col>
      <xdr:colOff>104775</xdr:colOff>
      <xdr:row>22</xdr:row>
      <xdr:rowOff>9525</xdr:rowOff>
    </xdr:from>
    <xdr:to>
      <xdr:col>20</xdr:col>
      <xdr:colOff>28575</xdr:colOff>
      <xdr:row>22</xdr:row>
      <xdr:rowOff>57150</xdr:rowOff>
    </xdr:to>
    <xdr:sp macro="" textlink="">
      <xdr:nvSpPr>
        <xdr:cNvPr id="3645" name="Rectangle 167"/>
        <xdr:cNvSpPr>
          <a:spLocks noChangeArrowheads="1"/>
        </xdr:cNvSpPr>
      </xdr:nvSpPr>
      <xdr:spPr bwMode="auto">
        <a:xfrm>
          <a:off x="2286000" y="3933825"/>
          <a:ext cx="47625" cy="47625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66675</xdr:colOff>
      <xdr:row>18</xdr:row>
      <xdr:rowOff>47625</xdr:rowOff>
    </xdr:from>
    <xdr:to>
      <xdr:col>10</xdr:col>
      <xdr:colOff>66675</xdr:colOff>
      <xdr:row>27</xdr:row>
      <xdr:rowOff>38100</xdr:rowOff>
    </xdr:to>
    <xdr:sp macro="" textlink="">
      <xdr:nvSpPr>
        <xdr:cNvPr id="3646" name="Line 168"/>
        <xdr:cNvSpPr>
          <a:spLocks noChangeShapeType="1"/>
        </xdr:cNvSpPr>
      </xdr:nvSpPr>
      <xdr:spPr bwMode="auto">
        <a:xfrm flipH="1">
          <a:off x="1285875" y="3248025"/>
          <a:ext cx="0" cy="16192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10</xdr:col>
      <xdr:colOff>76200</xdr:colOff>
      <xdr:row>18</xdr:row>
      <xdr:rowOff>47625</xdr:rowOff>
    </xdr:from>
    <xdr:to>
      <xdr:col>11</xdr:col>
      <xdr:colOff>38100</xdr:colOff>
      <xdr:row>27</xdr:row>
      <xdr:rowOff>38100</xdr:rowOff>
    </xdr:to>
    <xdr:sp macro="" textlink="">
      <xdr:nvSpPr>
        <xdr:cNvPr id="3647" name="Freeform 169"/>
        <xdr:cNvSpPr>
          <a:spLocks/>
        </xdr:cNvSpPr>
      </xdr:nvSpPr>
      <xdr:spPr bwMode="auto">
        <a:xfrm>
          <a:off x="1295400" y="3248025"/>
          <a:ext cx="85725" cy="1619250"/>
        </a:xfrm>
        <a:custGeom>
          <a:avLst/>
          <a:gdLst>
            <a:gd name="T0" fmla="*/ 11 w 11"/>
            <a:gd name="T1" fmla="*/ 0 h 170"/>
            <a:gd name="T2" fmla="*/ 10 w 11"/>
            <a:gd name="T3" fmla="*/ 170 h 170"/>
            <a:gd name="T4" fmla="*/ 0 w 11"/>
            <a:gd name="T5" fmla="*/ 170 h 170"/>
            <a:gd name="T6" fmla="*/ 0 60000 65536"/>
            <a:gd name="T7" fmla="*/ 0 60000 65536"/>
            <a:gd name="T8" fmla="*/ 0 60000 65536"/>
            <a:gd name="T9" fmla="*/ 0 w 11"/>
            <a:gd name="T10" fmla="*/ 0 h 170"/>
            <a:gd name="T11" fmla="*/ 11 w 11"/>
            <a:gd name="T12" fmla="*/ 170 h 170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1" h="170">
              <a:moveTo>
                <a:pt x="11" y="0"/>
              </a:moveTo>
              <a:lnTo>
                <a:pt x="10" y="170"/>
              </a:lnTo>
              <a:lnTo>
                <a:pt x="0" y="170"/>
              </a:lnTo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19</xdr:col>
      <xdr:colOff>76200</xdr:colOff>
      <xdr:row>18</xdr:row>
      <xdr:rowOff>47625</xdr:rowOff>
    </xdr:from>
    <xdr:to>
      <xdr:col>19</xdr:col>
      <xdr:colOff>76200</xdr:colOff>
      <xdr:row>27</xdr:row>
      <xdr:rowOff>38100</xdr:rowOff>
    </xdr:to>
    <xdr:sp macro="" textlink="">
      <xdr:nvSpPr>
        <xdr:cNvPr id="3648" name="Line 171"/>
        <xdr:cNvSpPr>
          <a:spLocks noChangeShapeType="1"/>
        </xdr:cNvSpPr>
      </xdr:nvSpPr>
      <xdr:spPr bwMode="auto">
        <a:xfrm>
          <a:off x="2257425" y="3248025"/>
          <a:ext cx="0" cy="16192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16</xdr:col>
      <xdr:colOff>9525</xdr:colOff>
      <xdr:row>18</xdr:row>
      <xdr:rowOff>0</xdr:rowOff>
    </xdr:from>
    <xdr:to>
      <xdr:col>16</xdr:col>
      <xdr:colOff>9525</xdr:colOff>
      <xdr:row>18</xdr:row>
      <xdr:rowOff>161925</xdr:rowOff>
    </xdr:to>
    <xdr:sp macro="" textlink="">
      <xdr:nvSpPr>
        <xdr:cNvPr id="3649" name="Line 172"/>
        <xdr:cNvSpPr>
          <a:spLocks noChangeShapeType="1"/>
        </xdr:cNvSpPr>
      </xdr:nvSpPr>
      <xdr:spPr bwMode="auto">
        <a:xfrm>
          <a:off x="1819275" y="3200400"/>
          <a:ext cx="0" cy="1619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16</xdr:col>
      <xdr:colOff>9525</xdr:colOff>
      <xdr:row>19</xdr:row>
      <xdr:rowOff>104775</xdr:rowOff>
    </xdr:from>
    <xdr:to>
      <xdr:col>16</xdr:col>
      <xdr:colOff>9525</xdr:colOff>
      <xdr:row>20</xdr:row>
      <xdr:rowOff>171450</xdr:rowOff>
    </xdr:to>
    <xdr:sp macro="" textlink="">
      <xdr:nvSpPr>
        <xdr:cNvPr id="3650" name="Line 173"/>
        <xdr:cNvSpPr>
          <a:spLocks noChangeShapeType="1"/>
        </xdr:cNvSpPr>
      </xdr:nvSpPr>
      <xdr:spPr bwMode="auto">
        <a:xfrm>
          <a:off x="1819275" y="3486150"/>
          <a:ext cx="0" cy="2476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16</xdr:col>
      <xdr:colOff>9525</xdr:colOff>
      <xdr:row>21</xdr:row>
      <xdr:rowOff>19050</xdr:rowOff>
    </xdr:from>
    <xdr:to>
      <xdr:col>16</xdr:col>
      <xdr:colOff>9525</xdr:colOff>
      <xdr:row>21</xdr:row>
      <xdr:rowOff>85725</xdr:rowOff>
    </xdr:to>
    <xdr:sp macro="" textlink="">
      <xdr:nvSpPr>
        <xdr:cNvPr id="3651" name="Line 174"/>
        <xdr:cNvSpPr>
          <a:spLocks noChangeShapeType="1"/>
        </xdr:cNvSpPr>
      </xdr:nvSpPr>
      <xdr:spPr bwMode="auto">
        <a:xfrm>
          <a:off x="1819275" y="3762375"/>
          <a:ext cx="0" cy="666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16</xdr:col>
      <xdr:colOff>9525</xdr:colOff>
      <xdr:row>21</xdr:row>
      <xdr:rowOff>133350</xdr:rowOff>
    </xdr:from>
    <xdr:to>
      <xdr:col>16</xdr:col>
      <xdr:colOff>9525</xdr:colOff>
      <xdr:row>25</xdr:row>
      <xdr:rowOff>19050</xdr:rowOff>
    </xdr:to>
    <xdr:sp macro="" textlink="">
      <xdr:nvSpPr>
        <xdr:cNvPr id="3652" name="Line 175"/>
        <xdr:cNvSpPr>
          <a:spLocks noChangeShapeType="1"/>
        </xdr:cNvSpPr>
      </xdr:nvSpPr>
      <xdr:spPr bwMode="auto">
        <a:xfrm>
          <a:off x="1819275" y="3876675"/>
          <a:ext cx="0" cy="6096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16</xdr:col>
      <xdr:colOff>9525</xdr:colOff>
      <xdr:row>26</xdr:row>
      <xdr:rowOff>28575</xdr:rowOff>
    </xdr:from>
    <xdr:to>
      <xdr:col>16</xdr:col>
      <xdr:colOff>9525</xdr:colOff>
      <xdr:row>27</xdr:row>
      <xdr:rowOff>28575</xdr:rowOff>
    </xdr:to>
    <xdr:sp macro="" textlink="">
      <xdr:nvSpPr>
        <xdr:cNvPr id="3653" name="Line 176"/>
        <xdr:cNvSpPr>
          <a:spLocks noChangeShapeType="1"/>
        </xdr:cNvSpPr>
      </xdr:nvSpPr>
      <xdr:spPr bwMode="auto">
        <a:xfrm>
          <a:off x="1819275" y="4676775"/>
          <a:ext cx="0" cy="1809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16</xdr:col>
      <xdr:colOff>9525</xdr:colOff>
      <xdr:row>28</xdr:row>
      <xdr:rowOff>85725</xdr:rowOff>
    </xdr:from>
    <xdr:to>
      <xdr:col>16</xdr:col>
      <xdr:colOff>9525</xdr:colOff>
      <xdr:row>29</xdr:row>
      <xdr:rowOff>142875</xdr:rowOff>
    </xdr:to>
    <xdr:sp macro="" textlink="">
      <xdr:nvSpPr>
        <xdr:cNvPr id="3654" name="Line 177"/>
        <xdr:cNvSpPr>
          <a:spLocks noChangeShapeType="1"/>
        </xdr:cNvSpPr>
      </xdr:nvSpPr>
      <xdr:spPr bwMode="auto">
        <a:xfrm>
          <a:off x="1819275" y="5095875"/>
          <a:ext cx="0" cy="2190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16</xdr:col>
      <xdr:colOff>9525</xdr:colOff>
      <xdr:row>30</xdr:row>
      <xdr:rowOff>9525</xdr:rowOff>
    </xdr:from>
    <xdr:to>
      <xdr:col>16</xdr:col>
      <xdr:colOff>9525</xdr:colOff>
      <xdr:row>30</xdr:row>
      <xdr:rowOff>76200</xdr:rowOff>
    </xdr:to>
    <xdr:sp macro="" textlink="">
      <xdr:nvSpPr>
        <xdr:cNvPr id="3655" name="Line 178"/>
        <xdr:cNvSpPr>
          <a:spLocks noChangeShapeType="1"/>
        </xdr:cNvSpPr>
      </xdr:nvSpPr>
      <xdr:spPr bwMode="auto">
        <a:xfrm>
          <a:off x="1819275" y="5362575"/>
          <a:ext cx="0" cy="666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16</xdr:col>
      <xdr:colOff>9525</xdr:colOff>
      <xdr:row>30</xdr:row>
      <xdr:rowOff>104775</xdr:rowOff>
    </xdr:from>
    <xdr:to>
      <xdr:col>16</xdr:col>
      <xdr:colOff>9525</xdr:colOff>
      <xdr:row>34</xdr:row>
      <xdr:rowOff>28575</xdr:rowOff>
    </xdr:to>
    <xdr:sp macro="" textlink="">
      <xdr:nvSpPr>
        <xdr:cNvPr id="3656" name="Line 179"/>
        <xdr:cNvSpPr>
          <a:spLocks noChangeShapeType="1"/>
        </xdr:cNvSpPr>
      </xdr:nvSpPr>
      <xdr:spPr bwMode="auto">
        <a:xfrm flipH="1">
          <a:off x="1819275" y="5457825"/>
          <a:ext cx="0" cy="6477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16</xdr:col>
      <xdr:colOff>9525</xdr:colOff>
      <xdr:row>34</xdr:row>
      <xdr:rowOff>47625</xdr:rowOff>
    </xdr:from>
    <xdr:to>
      <xdr:col>16</xdr:col>
      <xdr:colOff>9525</xdr:colOff>
      <xdr:row>34</xdr:row>
      <xdr:rowOff>95250</xdr:rowOff>
    </xdr:to>
    <xdr:sp macro="" textlink="">
      <xdr:nvSpPr>
        <xdr:cNvPr id="3657" name="Line 180"/>
        <xdr:cNvSpPr>
          <a:spLocks noChangeShapeType="1"/>
        </xdr:cNvSpPr>
      </xdr:nvSpPr>
      <xdr:spPr bwMode="auto">
        <a:xfrm>
          <a:off x="1819275" y="6124575"/>
          <a:ext cx="0" cy="476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16</xdr:col>
      <xdr:colOff>9525</xdr:colOff>
      <xdr:row>34</xdr:row>
      <xdr:rowOff>123825</xdr:rowOff>
    </xdr:from>
    <xdr:to>
      <xdr:col>16</xdr:col>
      <xdr:colOff>9525</xdr:colOff>
      <xdr:row>38</xdr:row>
      <xdr:rowOff>142875</xdr:rowOff>
    </xdr:to>
    <xdr:sp macro="" textlink="">
      <xdr:nvSpPr>
        <xdr:cNvPr id="3658" name="Line 181"/>
        <xdr:cNvSpPr>
          <a:spLocks noChangeShapeType="1"/>
        </xdr:cNvSpPr>
      </xdr:nvSpPr>
      <xdr:spPr bwMode="auto">
        <a:xfrm>
          <a:off x="1819275" y="6200775"/>
          <a:ext cx="0" cy="7429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15</xdr:col>
      <xdr:colOff>66675</xdr:colOff>
      <xdr:row>34</xdr:row>
      <xdr:rowOff>76200</xdr:rowOff>
    </xdr:from>
    <xdr:to>
      <xdr:col>16</xdr:col>
      <xdr:colOff>38100</xdr:colOff>
      <xdr:row>34</xdr:row>
      <xdr:rowOff>76200</xdr:rowOff>
    </xdr:to>
    <xdr:sp macro="" textlink="">
      <xdr:nvSpPr>
        <xdr:cNvPr id="3659" name="Line 182"/>
        <xdr:cNvSpPr>
          <a:spLocks noChangeShapeType="1"/>
        </xdr:cNvSpPr>
      </xdr:nvSpPr>
      <xdr:spPr bwMode="auto">
        <a:xfrm flipH="1">
          <a:off x="1790700" y="6153150"/>
          <a:ext cx="5715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19050</xdr:colOff>
      <xdr:row>34</xdr:row>
      <xdr:rowOff>76200</xdr:rowOff>
    </xdr:from>
    <xdr:to>
      <xdr:col>15</xdr:col>
      <xdr:colOff>28575</xdr:colOff>
      <xdr:row>34</xdr:row>
      <xdr:rowOff>76200</xdr:rowOff>
    </xdr:to>
    <xdr:sp macro="" textlink="">
      <xdr:nvSpPr>
        <xdr:cNvPr id="3660" name="Line 183"/>
        <xdr:cNvSpPr>
          <a:spLocks noChangeShapeType="1"/>
        </xdr:cNvSpPr>
      </xdr:nvSpPr>
      <xdr:spPr bwMode="auto">
        <a:xfrm flipH="1">
          <a:off x="1114425" y="6153150"/>
          <a:ext cx="638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</xdr:col>
      <xdr:colOff>38100</xdr:colOff>
      <xdr:row>34</xdr:row>
      <xdr:rowOff>76200</xdr:rowOff>
    </xdr:from>
    <xdr:to>
      <xdr:col>8</xdr:col>
      <xdr:colOff>104775</xdr:colOff>
      <xdr:row>34</xdr:row>
      <xdr:rowOff>76200</xdr:rowOff>
    </xdr:to>
    <xdr:sp macro="" textlink="">
      <xdr:nvSpPr>
        <xdr:cNvPr id="3661" name="Line 184"/>
        <xdr:cNvSpPr>
          <a:spLocks noChangeShapeType="1"/>
        </xdr:cNvSpPr>
      </xdr:nvSpPr>
      <xdr:spPr bwMode="auto">
        <a:xfrm flipH="1">
          <a:off x="1009650" y="6153150"/>
          <a:ext cx="666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76200</xdr:colOff>
      <xdr:row>34</xdr:row>
      <xdr:rowOff>76200</xdr:rowOff>
    </xdr:from>
    <xdr:to>
      <xdr:col>8</xdr:col>
      <xdr:colOff>9525</xdr:colOff>
      <xdr:row>34</xdr:row>
      <xdr:rowOff>76200</xdr:rowOff>
    </xdr:to>
    <xdr:sp macro="" textlink="">
      <xdr:nvSpPr>
        <xdr:cNvPr id="3662" name="Line 185"/>
        <xdr:cNvSpPr>
          <a:spLocks noChangeShapeType="1"/>
        </xdr:cNvSpPr>
      </xdr:nvSpPr>
      <xdr:spPr bwMode="auto">
        <a:xfrm>
          <a:off x="552450" y="6153150"/>
          <a:ext cx="42862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26</xdr:col>
      <xdr:colOff>0</xdr:colOff>
      <xdr:row>18</xdr:row>
      <xdr:rowOff>57150</xdr:rowOff>
    </xdr:from>
    <xdr:to>
      <xdr:col>26</xdr:col>
      <xdr:colOff>0</xdr:colOff>
      <xdr:row>27</xdr:row>
      <xdr:rowOff>28575</xdr:rowOff>
    </xdr:to>
    <xdr:sp macro="" textlink="">
      <xdr:nvSpPr>
        <xdr:cNvPr id="3663" name="Line 186"/>
        <xdr:cNvSpPr>
          <a:spLocks noChangeShapeType="1"/>
        </xdr:cNvSpPr>
      </xdr:nvSpPr>
      <xdr:spPr bwMode="auto">
        <a:xfrm>
          <a:off x="3048000" y="3257550"/>
          <a:ext cx="0" cy="1600200"/>
        </a:xfrm>
        <a:prstGeom prst="line">
          <a:avLst/>
        </a:prstGeom>
        <a:noFill/>
        <a:ln w="9525">
          <a:solidFill>
            <a:srgbClr val="000000"/>
          </a:solidFill>
          <a:round/>
          <a:headEnd type="stealth" w="sm" len="med"/>
          <a:tailEnd type="stealth" w="sm" len="med"/>
        </a:ln>
      </xdr:spPr>
    </xdr:sp>
    <xdr:clientData/>
  </xdr:twoCellAnchor>
  <xdr:twoCellAnchor>
    <xdr:from>
      <xdr:col>20</xdr:col>
      <xdr:colOff>76200</xdr:colOff>
      <xdr:row>27</xdr:row>
      <xdr:rowOff>28575</xdr:rowOff>
    </xdr:from>
    <xdr:to>
      <xdr:col>26</xdr:col>
      <xdr:colOff>38100</xdr:colOff>
      <xdr:row>27</xdr:row>
      <xdr:rowOff>28575</xdr:rowOff>
    </xdr:to>
    <xdr:sp macro="" textlink="">
      <xdr:nvSpPr>
        <xdr:cNvPr id="3664" name="Line 187"/>
        <xdr:cNvSpPr>
          <a:spLocks noChangeShapeType="1"/>
        </xdr:cNvSpPr>
      </xdr:nvSpPr>
      <xdr:spPr bwMode="auto">
        <a:xfrm>
          <a:off x="2381250" y="4857750"/>
          <a:ext cx="70485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24</xdr:col>
      <xdr:colOff>76200</xdr:colOff>
      <xdr:row>22</xdr:row>
      <xdr:rowOff>142875</xdr:rowOff>
    </xdr:from>
    <xdr:to>
      <xdr:col>24</xdr:col>
      <xdr:colOff>76200</xdr:colOff>
      <xdr:row>27</xdr:row>
      <xdr:rowOff>28575</xdr:rowOff>
    </xdr:to>
    <xdr:sp macro="" textlink="">
      <xdr:nvSpPr>
        <xdr:cNvPr id="3665" name="Line 188"/>
        <xdr:cNvSpPr>
          <a:spLocks noChangeShapeType="1"/>
        </xdr:cNvSpPr>
      </xdr:nvSpPr>
      <xdr:spPr bwMode="auto">
        <a:xfrm flipV="1">
          <a:off x="2876550" y="4067175"/>
          <a:ext cx="0" cy="790575"/>
        </a:xfrm>
        <a:prstGeom prst="line">
          <a:avLst/>
        </a:prstGeom>
        <a:noFill/>
        <a:ln w="9525">
          <a:solidFill>
            <a:srgbClr val="000000"/>
          </a:solidFill>
          <a:round/>
          <a:headEnd type="stealth" w="sm" len="med"/>
          <a:tailEnd type="stealth" w="sm" len="med"/>
        </a:ln>
      </xdr:spPr>
    </xdr:sp>
    <xdr:clientData/>
  </xdr:twoCellAnchor>
  <xdr:twoCellAnchor>
    <xdr:from>
      <xdr:col>20</xdr:col>
      <xdr:colOff>76200</xdr:colOff>
      <xdr:row>26</xdr:row>
      <xdr:rowOff>114300</xdr:rowOff>
    </xdr:from>
    <xdr:to>
      <xdr:col>22</xdr:col>
      <xdr:colOff>85725</xdr:colOff>
      <xdr:row>26</xdr:row>
      <xdr:rowOff>114300</xdr:rowOff>
    </xdr:to>
    <xdr:sp macro="" textlink="">
      <xdr:nvSpPr>
        <xdr:cNvPr id="3666" name="Line 189"/>
        <xdr:cNvSpPr>
          <a:spLocks noChangeShapeType="1"/>
        </xdr:cNvSpPr>
      </xdr:nvSpPr>
      <xdr:spPr bwMode="auto">
        <a:xfrm>
          <a:off x="2381250" y="476250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20</xdr:col>
      <xdr:colOff>76200</xdr:colOff>
      <xdr:row>25</xdr:row>
      <xdr:rowOff>0</xdr:rowOff>
    </xdr:from>
    <xdr:to>
      <xdr:col>22</xdr:col>
      <xdr:colOff>85725</xdr:colOff>
      <xdr:row>25</xdr:row>
      <xdr:rowOff>0</xdr:rowOff>
    </xdr:to>
    <xdr:sp macro="" textlink="">
      <xdr:nvSpPr>
        <xdr:cNvPr id="3667" name="Line 190"/>
        <xdr:cNvSpPr>
          <a:spLocks noChangeShapeType="1"/>
        </xdr:cNvSpPr>
      </xdr:nvSpPr>
      <xdr:spPr bwMode="auto">
        <a:xfrm>
          <a:off x="2381250" y="4467225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20</xdr:col>
      <xdr:colOff>85725</xdr:colOff>
      <xdr:row>23</xdr:row>
      <xdr:rowOff>66675</xdr:rowOff>
    </xdr:from>
    <xdr:to>
      <xdr:col>22</xdr:col>
      <xdr:colOff>85725</xdr:colOff>
      <xdr:row>23</xdr:row>
      <xdr:rowOff>66675</xdr:rowOff>
    </xdr:to>
    <xdr:sp macro="" textlink="">
      <xdr:nvSpPr>
        <xdr:cNvPr id="3668" name="Line 191"/>
        <xdr:cNvSpPr>
          <a:spLocks noChangeShapeType="1"/>
        </xdr:cNvSpPr>
      </xdr:nvSpPr>
      <xdr:spPr bwMode="auto">
        <a:xfrm>
          <a:off x="2390775" y="4171950"/>
          <a:ext cx="24765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22</xdr:col>
      <xdr:colOff>57150</xdr:colOff>
      <xdr:row>25</xdr:row>
      <xdr:rowOff>9525</xdr:rowOff>
    </xdr:from>
    <xdr:to>
      <xdr:col>22</xdr:col>
      <xdr:colOff>57150</xdr:colOff>
      <xdr:row>26</xdr:row>
      <xdr:rowOff>114300</xdr:rowOff>
    </xdr:to>
    <xdr:sp macro="" textlink="">
      <xdr:nvSpPr>
        <xdr:cNvPr id="3669" name="Line 192"/>
        <xdr:cNvSpPr>
          <a:spLocks noChangeShapeType="1"/>
        </xdr:cNvSpPr>
      </xdr:nvSpPr>
      <xdr:spPr bwMode="auto">
        <a:xfrm flipV="1">
          <a:off x="2609850" y="4476750"/>
          <a:ext cx="0" cy="285750"/>
        </a:xfrm>
        <a:prstGeom prst="line">
          <a:avLst/>
        </a:prstGeom>
        <a:noFill/>
        <a:ln w="9525">
          <a:solidFill>
            <a:srgbClr val="000000"/>
          </a:solidFill>
          <a:round/>
          <a:headEnd type="stealth" w="sm" len="med"/>
          <a:tailEnd type="stealth" w="sm" len="med"/>
        </a:ln>
      </xdr:spPr>
    </xdr:sp>
    <xdr:clientData/>
  </xdr:twoCellAnchor>
  <xdr:twoCellAnchor>
    <xdr:from>
      <xdr:col>22</xdr:col>
      <xdr:colOff>57150</xdr:colOff>
      <xdr:row>23</xdr:row>
      <xdr:rowOff>66675</xdr:rowOff>
    </xdr:from>
    <xdr:to>
      <xdr:col>22</xdr:col>
      <xdr:colOff>57150</xdr:colOff>
      <xdr:row>25</xdr:row>
      <xdr:rowOff>0</xdr:rowOff>
    </xdr:to>
    <xdr:sp macro="" textlink="">
      <xdr:nvSpPr>
        <xdr:cNvPr id="3670" name="Line 193"/>
        <xdr:cNvSpPr>
          <a:spLocks noChangeShapeType="1"/>
        </xdr:cNvSpPr>
      </xdr:nvSpPr>
      <xdr:spPr bwMode="auto">
        <a:xfrm>
          <a:off x="2609850" y="4171950"/>
          <a:ext cx="0" cy="295275"/>
        </a:xfrm>
        <a:prstGeom prst="line">
          <a:avLst/>
        </a:prstGeom>
        <a:noFill/>
        <a:ln w="9525">
          <a:solidFill>
            <a:srgbClr val="000000"/>
          </a:solidFill>
          <a:round/>
          <a:headEnd type="stealth" w="sm" len="med"/>
          <a:tailEnd type="stealth" w="sm" len="med"/>
        </a:ln>
      </xdr:spPr>
    </xdr:sp>
    <xdr:clientData/>
  </xdr:twoCellAnchor>
  <xdr:twoCellAnchor>
    <xdr:from>
      <xdr:col>22</xdr:col>
      <xdr:colOff>57150</xdr:colOff>
      <xdr:row>22</xdr:row>
      <xdr:rowOff>133350</xdr:rowOff>
    </xdr:from>
    <xdr:to>
      <xdr:col>22</xdr:col>
      <xdr:colOff>57150</xdr:colOff>
      <xdr:row>23</xdr:row>
      <xdr:rowOff>66675</xdr:rowOff>
    </xdr:to>
    <xdr:sp macro="" textlink="">
      <xdr:nvSpPr>
        <xdr:cNvPr id="3671" name="Line 194"/>
        <xdr:cNvSpPr>
          <a:spLocks noChangeShapeType="1"/>
        </xdr:cNvSpPr>
      </xdr:nvSpPr>
      <xdr:spPr bwMode="auto">
        <a:xfrm>
          <a:off x="2609850" y="4057650"/>
          <a:ext cx="0" cy="114300"/>
        </a:xfrm>
        <a:prstGeom prst="line">
          <a:avLst/>
        </a:prstGeom>
        <a:noFill/>
        <a:ln w="9525">
          <a:solidFill>
            <a:srgbClr val="000000"/>
          </a:solidFill>
          <a:round/>
          <a:headEnd type="stealth" w="sm" len="sm"/>
          <a:tailEnd type="stealth" w="sm" len="sm"/>
        </a:ln>
      </xdr:spPr>
    </xdr:sp>
    <xdr:clientData/>
  </xdr:twoCellAnchor>
  <xdr:twoCellAnchor>
    <xdr:from>
      <xdr:col>4</xdr:col>
      <xdr:colOff>57150</xdr:colOff>
      <xdr:row>18</xdr:row>
      <xdr:rowOff>57150</xdr:rowOff>
    </xdr:from>
    <xdr:to>
      <xdr:col>4</xdr:col>
      <xdr:colOff>57150</xdr:colOff>
      <xdr:row>24</xdr:row>
      <xdr:rowOff>0</xdr:rowOff>
    </xdr:to>
    <xdr:sp macro="" textlink="">
      <xdr:nvSpPr>
        <xdr:cNvPr id="3672" name="Line 195"/>
        <xdr:cNvSpPr>
          <a:spLocks noChangeShapeType="1"/>
        </xdr:cNvSpPr>
      </xdr:nvSpPr>
      <xdr:spPr bwMode="auto">
        <a:xfrm>
          <a:off x="533400" y="3257550"/>
          <a:ext cx="0" cy="1028700"/>
        </a:xfrm>
        <a:prstGeom prst="line">
          <a:avLst/>
        </a:prstGeom>
        <a:noFill/>
        <a:ln w="9525">
          <a:solidFill>
            <a:srgbClr val="000000"/>
          </a:solidFill>
          <a:round/>
          <a:headEnd type="stealth" w="sm" len="med"/>
          <a:tailEnd/>
        </a:ln>
      </xdr:spPr>
    </xdr:sp>
    <xdr:clientData/>
  </xdr:twoCellAnchor>
  <xdr:twoCellAnchor>
    <xdr:from>
      <xdr:col>4</xdr:col>
      <xdr:colOff>57150</xdr:colOff>
      <xdr:row>25</xdr:row>
      <xdr:rowOff>76200</xdr:rowOff>
    </xdr:from>
    <xdr:to>
      <xdr:col>4</xdr:col>
      <xdr:colOff>57150</xdr:colOff>
      <xdr:row>38</xdr:row>
      <xdr:rowOff>142875</xdr:rowOff>
    </xdr:to>
    <xdr:sp macro="" textlink="">
      <xdr:nvSpPr>
        <xdr:cNvPr id="3673" name="Line 196"/>
        <xdr:cNvSpPr>
          <a:spLocks noChangeShapeType="1"/>
        </xdr:cNvSpPr>
      </xdr:nvSpPr>
      <xdr:spPr bwMode="auto">
        <a:xfrm>
          <a:off x="533400" y="4543425"/>
          <a:ext cx="0" cy="24003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stealth" w="sm" len="med"/>
        </a:ln>
      </xdr:spPr>
    </xdr:sp>
    <xdr:clientData/>
  </xdr:twoCellAnchor>
  <xdr:twoCellAnchor>
    <xdr:from>
      <xdr:col>3</xdr:col>
      <xdr:colOff>114300</xdr:colOff>
      <xdr:row>38</xdr:row>
      <xdr:rowOff>142875</xdr:rowOff>
    </xdr:from>
    <xdr:to>
      <xdr:col>7</xdr:col>
      <xdr:colOff>95250</xdr:colOff>
      <xdr:row>38</xdr:row>
      <xdr:rowOff>152400</xdr:rowOff>
    </xdr:to>
    <xdr:sp macro="" textlink="">
      <xdr:nvSpPr>
        <xdr:cNvPr id="3674" name="Freeform 197"/>
        <xdr:cNvSpPr>
          <a:spLocks/>
        </xdr:cNvSpPr>
      </xdr:nvSpPr>
      <xdr:spPr bwMode="auto">
        <a:xfrm>
          <a:off x="466725" y="6943725"/>
          <a:ext cx="476250" cy="9525"/>
        </a:xfrm>
        <a:custGeom>
          <a:avLst/>
          <a:gdLst>
            <a:gd name="T0" fmla="*/ 0 w 50"/>
            <a:gd name="T1" fmla="*/ 0 h 1"/>
            <a:gd name="T2" fmla="*/ 50 w 50"/>
            <a:gd name="T3" fmla="*/ 0 h 1"/>
            <a:gd name="T4" fmla="*/ 0 60000 65536"/>
            <a:gd name="T5" fmla="*/ 0 60000 65536"/>
            <a:gd name="T6" fmla="*/ 0 w 50"/>
            <a:gd name="T7" fmla="*/ 0 h 1"/>
            <a:gd name="T8" fmla="*/ 50 w 50"/>
            <a:gd name="T9" fmla="*/ 1 h 1"/>
          </a:gdLst>
          <a:ahLst/>
          <a:cxnLst>
            <a:cxn ang="T4">
              <a:pos x="T0" y="T1"/>
            </a:cxn>
            <a:cxn ang="T5">
              <a:pos x="T2" y="T3"/>
            </a:cxn>
          </a:cxnLst>
          <a:rect l="T6" t="T7" r="T8" b="T9"/>
          <a:pathLst>
            <a:path w="50" h="1">
              <a:moveTo>
                <a:pt x="0" y="0"/>
              </a:moveTo>
              <a:lnTo>
                <a:pt x="50" y="0"/>
              </a:lnTo>
            </a:path>
          </a:pathLst>
        </a:custGeom>
        <a:noFill/>
        <a:ln w="9525">
          <a:solidFill>
            <a:srgbClr val="000000"/>
          </a:solidFill>
          <a:round/>
          <a:headEnd type="none" w="med" len="med"/>
          <a:tailEnd type="none" w="med" len="med"/>
        </a:ln>
      </xdr:spPr>
    </xdr:sp>
    <xdr:clientData/>
  </xdr:twoCellAnchor>
  <xdr:twoCellAnchor>
    <xdr:from>
      <xdr:col>2</xdr:col>
      <xdr:colOff>66675</xdr:colOff>
      <xdr:row>38</xdr:row>
      <xdr:rowOff>47625</xdr:rowOff>
    </xdr:from>
    <xdr:to>
      <xdr:col>4</xdr:col>
      <xdr:colOff>9525</xdr:colOff>
      <xdr:row>38</xdr:row>
      <xdr:rowOff>47625</xdr:rowOff>
    </xdr:to>
    <xdr:sp macro="" textlink="">
      <xdr:nvSpPr>
        <xdr:cNvPr id="3675" name="Line 198"/>
        <xdr:cNvSpPr>
          <a:spLocks noChangeShapeType="1"/>
        </xdr:cNvSpPr>
      </xdr:nvSpPr>
      <xdr:spPr bwMode="auto">
        <a:xfrm>
          <a:off x="295275" y="6848475"/>
          <a:ext cx="1905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114300</xdr:colOff>
      <xdr:row>38</xdr:row>
      <xdr:rowOff>47625</xdr:rowOff>
    </xdr:from>
    <xdr:to>
      <xdr:col>11</xdr:col>
      <xdr:colOff>0</xdr:colOff>
      <xdr:row>38</xdr:row>
      <xdr:rowOff>47625</xdr:rowOff>
    </xdr:to>
    <xdr:sp macro="" textlink="">
      <xdr:nvSpPr>
        <xdr:cNvPr id="3676" name="Line 199"/>
        <xdr:cNvSpPr>
          <a:spLocks noChangeShapeType="1"/>
        </xdr:cNvSpPr>
      </xdr:nvSpPr>
      <xdr:spPr bwMode="auto">
        <a:xfrm>
          <a:off x="590550" y="6848475"/>
          <a:ext cx="7524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7</xdr:col>
      <xdr:colOff>47625</xdr:colOff>
      <xdr:row>36</xdr:row>
      <xdr:rowOff>104775</xdr:rowOff>
    </xdr:from>
    <xdr:to>
      <xdr:col>7</xdr:col>
      <xdr:colOff>47625</xdr:colOff>
      <xdr:row>38</xdr:row>
      <xdr:rowOff>47625</xdr:rowOff>
    </xdr:to>
    <xdr:sp macro="" textlink="">
      <xdr:nvSpPr>
        <xdr:cNvPr id="3677" name="Line 200"/>
        <xdr:cNvSpPr>
          <a:spLocks noChangeShapeType="1"/>
        </xdr:cNvSpPr>
      </xdr:nvSpPr>
      <xdr:spPr bwMode="auto">
        <a:xfrm flipV="1">
          <a:off x="895350" y="6543675"/>
          <a:ext cx="0" cy="304800"/>
        </a:xfrm>
        <a:prstGeom prst="line">
          <a:avLst/>
        </a:prstGeom>
        <a:noFill/>
        <a:ln w="9525">
          <a:solidFill>
            <a:srgbClr val="000000"/>
          </a:solidFill>
          <a:round/>
          <a:headEnd type="stealth" w="sm" len="med"/>
          <a:tailEnd type="stealth" w="sm" len="med"/>
        </a:ln>
      </xdr:spPr>
    </xdr:sp>
    <xdr:clientData/>
  </xdr:twoCellAnchor>
  <xdr:twoCellAnchor>
    <xdr:from>
      <xdr:col>7</xdr:col>
      <xdr:colOff>0</xdr:colOff>
      <xdr:row>36</xdr:row>
      <xdr:rowOff>104775</xdr:rowOff>
    </xdr:from>
    <xdr:to>
      <xdr:col>7</xdr:col>
      <xdr:colOff>85725</xdr:colOff>
      <xdr:row>36</xdr:row>
      <xdr:rowOff>104775</xdr:rowOff>
    </xdr:to>
    <xdr:sp macro="" textlink="">
      <xdr:nvSpPr>
        <xdr:cNvPr id="3678" name="Line 201"/>
        <xdr:cNvSpPr>
          <a:spLocks noChangeShapeType="1"/>
        </xdr:cNvSpPr>
      </xdr:nvSpPr>
      <xdr:spPr bwMode="auto">
        <a:xfrm>
          <a:off x="847725" y="6543675"/>
          <a:ext cx="8572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104775</xdr:colOff>
      <xdr:row>33</xdr:row>
      <xdr:rowOff>85725</xdr:rowOff>
    </xdr:from>
    <xdr:to>
      <xdr:col>5</xdr:col>
      <xdr:colOff>104775</xdr:colOff>
      <xdr:row>38</xdr:row>
      <xdr:rowOff>38100</xdr:rowOff>
    </xdr:to>
    <xdr:sp macro="" textlink="">
      <xdr:nvSpPr>
        <xdr:cNvPr id="3679" name="Line 202"/>
        <xdr:cNvSpPr>
          <a:spLocks noChangeShapeType="1"/>
        </xdr:cNvSpPr>
      </xdr:nvSpPr>
      <xdr:spPr bwMode="auto">
        <a:xfrm flipH="1" flipV="1">
          <a:off x="704850" y="5981700"/>
          <a:ext cx="0" cy="857250"/>
        </a:xfrm>
        <a:prstGeom prst="line">
          <a:avLst/>
        </a:prstGeom>
        <a:noFill/>
        <a:ln w="9525">
          <a:solidFill>
            <a:srgbClr val="000000"/>
          </a:solidFill>
          <a:round/>
          <a:headEnd type="stealth" w="sm" len="med"/>
          <a:tailEnd/>
        </a:ln>
      </xdr:spPr>
    </xdr:sp>
    <xdr:clientData/>
  </xdr:twoCellAnchor>
  <xdr:twoCellAnchor>
    <xdr:from>
      <xdr:col>3</xdr:col>
      <xdr:colOff>9525</xdr:colOff>
      <xdr:row>34</xdr:row>
      <xdr:rowOff>85725</xdr:rowOff>
    </xdr:from>
    <xdr:to>
      <xdr:col>3</xdr:col>
      <xdr:colOff>9525</xdr:colOff>
      <xdr:row>38</xdr:row>
      <xdr:rowOff>47625</xdr:rowOff>
    </xdr:to>
    <xdr:sp macro="" textlink="">
      <xdr:nvSpPr>
        <xdr:cNvPr id="3680" name="Line 203"/>
        <xdr:cNvSpPr>
          <a:spLocks noChangeShapeType="1"/>
        </xdr:cNvSpPr>
      </xdr:nvSpPr>
      <xdr:spPr bwMode="auto">
        <a:xfrm flipV="1">
          <a:off x="361950" y="6162675"/>
          <a:ext cx="0" cy="685800"/>
        </a:xfrm>
        <a:prstGeom prst="line">
          <a:avLst/>
        </a:prstGeom>
        <a:noFill/>
        <a:ln w="9525">
          <a:solidFill>
            <a:srgbClr val="000000"/>
          </a:solidFill>
          <a:round/>
          <a:headEnd type="stealth" w="sm" len="med"/>
          <a:tailEnd type="stealth" w="sm" len="med"/>
        </a:ln>
      </xdr:spPr>
    </xdr:sp>
    <xdr:clientData/>
  </xdr:twoCellAnchor>
  <xdr:twoCellAnchor>
    <xdr:from>
      <xdr:col>2</xdr:col>
      <xdr:colOff>95250</xdr:colOff>
      <xdr:row>34</xdr:row>
      <xdr:rowOff>76200</xdr:rowOff>
    </xdr:from>
    <xdr:to>
      <xdr:col>4</xdr:col>
      <xdr:colOff>28575</xdr:colOff>
      <xdr:row>34</xdr:row>
      <xdr:rowOff>76200</xdr:rowOff>
    </xdr:to>
    <xdr:sp macro="" textlink="">
      <xdr:nvSpPr>
        <xdr:cNvPr id="3681" name="Line 204"/>
        <xdr:cNvSpPr>
          <a:spLocks noChangeShapeType="1"/>
        </xdr:cNvSpPr>
      </xdr:nvSpPr>
      <xdr:spPr bwMode="auto">
        <a:xfrm>
          <a:off x="323850" y="6153150"/>
          <a:ext cx="1809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7</xdr:col>
      <xdr:colOff>47625</xdr:colOff>
      <xdr:row>38</xdr:row>
      <xdr:rowOff>142875</xdr:rowOff>
    </xdr:from>
    <xdr:to>
      <xdr:col>7</xdr:col>
      <xdr:colOff>47625</xdr:colOff>
      <xdr:row>40</xdr:row>
      <xdr:rowOff>85725</xdr:rowOff>
    </xdr:to>
    <xdr:sp macro="" textlink="">
      <xdr:nvSpPr>
        <xdr:cNvPr id="3682" name="Line 205"/>
        <xdr:cNvSpPr>
          <a:spLocks noChangeShapeType="1"/>
        </xdr:cNvSpPr>
      </xdr:nvSpPr>
      <xdr:spPr bwMode="auto">
        <a:xfrm>
          <a:off x="895350" y="6943725"/>
          <a:ext cx="0" cy="304800"/>
        </a:xfrm>
        <a:prstGeom prst="line">
          <a:avLst/>
        </a:prstGeom>
        <a:noFill/>
        <a:ln w="9525">
          <a:solidFill>
            <a:srgbClr val="000000"/>
          </a:solidFill>
          <a:round/>
          <a:headEnd type="stealth" w="sm" len="med"/>
          <a:tailEnd/>
        </a:ln>
      </xdr:spPr>
    </xdr:sp>
    <xdr:clientData/>
  </xdr:twoCellAnchor>
  <xdr:twoCellAnchor>
    <xdr:from>
      <xdr:col>11</xdr:col>
      <xdr:colOff>47625</xdr:colOff>
      <xdr:row>38</xdr:row>
      <xdr:rowOff>171450</xdr:rowOff>
    </xdr:from>
    <xdr:to>
      <xdr:col>11</xdr:col>
      <xdr:colOff>47625</xdr:colOff>
      <xdr:row>40</xdr:row>
      <xdr:rowOff>0</xdr:rowOff>
    </xdr:to>
    <xdr:sp macro="" textlink="">
      <xdr:nvSpPr>
        <xdr:cNvPr id="3683" name="Line 206"/>
        <xdr:cNvSpPr>
          <a:spLocks noChangeShapeType="1"/>
        </xdr:cNvSpPr>
      </xdr:nvSpPr>
      <xdr:spPr bwMode="auto">
        <a:xfrm flipH="1">
          <a:off x="1390650" y="6972300"/>
          <a:ext cx="0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7</xdr:col>
      <xdr:colOff>114300</xdr:colOff>
      <xdr:row>39</xdr:row>
      <xdr:rowOff>142875</xdr:rowOff>
    </xdr:from>
    <xdr:to>
      <xdr:col>11</xdr:col>
      <xdr:colOff>47625</xdr:colOff>
      <xdr:row>39</xdr:row>
      <xdr:rowOff>142875</xdr:rowOff>
    </xdr:to>
    <xdr:sp macro="" textlink="">
      <xdr:nvSpPr>
        <xdr:cNvPr id="3684" name="Line 207"/>
        <xdr:cNvSpPr>
          <a:spLocks noChangeShapeType="1"/>
        </xdr:cNvSpPr>
      </xdr:nvSpPr>
      <xdr:spPr bwMode="auto">
        <a:xfrm>
          <a:off x="962025" y="7124700"/>
          <a:ext cx="428625" cy="0"/>
        </a:xfrm>
        <a:prstGeom prst="line">
          <a:avLst/>
        </a:prstGeom>
        <a:noFill/>
        <a:ln w="9525">
          <a:solidFill>
            <a:srgbClr val="000000"/>
          </a:solidFill>
          <a:round/>
          <a:headEnd type="stealth" w="sm" len="med"/>
          <a:tailEnd type="stealth" w="sm" len="med"/>
        </a:ln>
      </xdr:spPr>
    </xdr:sp>
    <xdr:clientData/>
  </xdr:twoCellAnchor>
  <xdr:twoCellAnchor>
    <xdr:from>
      <xdr:col>7</xdr:col>
      <xdr:colOff>114300</xdr:colOff>
      <xdr:row>38</xdr:row>
      <xdr:rowOff>171450</xdr:rowOff>
    </xdr:from>
    <xdr:to>
      <xdr:col>7</xdr:col>
      <xdr:colOff>114300</xdr:colOff>
      <xdr:row>41</xdr:row>
      <xdr:rowOff>0</xdr:rowOff>
    </xdr:to>
    <xdr:sp macro="" textlink="">
      <xdr:nvSpPr>
        <xdr:cNvPr id="3685" name="Line 208"/>
        <xdr:cNvSpPr>
          <a:spLocks noChangeShapeType="1"/>
        </xdr:cNvSpPr>
      </xdr:nvSpPr>
      <xdr:spPr bwMode="auto">
        <a:xfrm>
          <a:off x="962025" y="6972300"/>
          <a:ext cx="0" cy="3714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7</xdr:col>
      <xdr:colOff>114300</xdr:colOff>
      <xdr:row>40</xdr:row>
      <xdr:rowOff>152400</xdr:rowOff>
    </xdr:from>
    <xdr:to>
      <xdr:col>23</xdr:col>
      <xdr:colOff>19050</xdr:colOff>
      <xdr:row>40</xdr:row>
      <xdr:rowOff>152400</xdr:rowOff>
    </xdr:to>
    <xdr:sp macro="" textlink="">
      <xdr:nvSpPr>
        <xdr:cNvPr id="3686" name="Line 209"/>
        <xdr:cNvSpPr>
          <a:spLocks noChangeShapeType="1"/>
        </xdr:cNvSpPr>
      </xdr:nvSpPr>
      <xdr:spPr bwMode="auto">
        <a:xfrm>
          <a:off x="962025" y="7315200"/>
          <a:ext cx="1733550" cy="0"/>
        </a:xfrm>
        <a:prstGeom prst="line">
          <a:avLst/>
        </a:prstGeom>
        <a:noFill/>
        <a:ln w="9525">
          <a:solidFill>
            <a:srgbClr val="000000"/>
          </a:solidFill>
          <a:round/>
          <a:headEnd type="stealth" w="sm" len="med"/>
          <a:tailEnd type="stealth" w="sm" len="med"/>
        </a:ln>
      </xdr:spPr>
    </xdr:sp>
    <xdr:clientData/>
  </xdr:twoCellAnchor>
  <xdr:twoCellAnchor>
    <xdr:from>
      <xdr:col>23</xdr:col>
      <xdr:colOff>19050</xdr:colOff>
      <xdr:row>38</xdr:row>
      <xdr:rowOff>161925</xdr:rowOff>
    </xdr:from>
    <xdr:to>
      <xdr:col>23</xdr:col>
      <xdr:colOff>19050</xdr:colOff>
      <xdr:row>40</xdr:row>
      <xdr:rowOff>171450</xdr:rowOff>
    </xdr:to>
    <xdr:sp macro="" textlink="">
      <xdr:nvSpPr>
        <xdr:cNvPr id="3687" name="Line 210"/>
        <xdr:cNvSpPr>
          <a:spLocks noChangeShapeType="1"/>
        </xdr:cNvSpPr>
      </xdr:nvSpPr>
      <xdr:spPr bwMode="auto">
        <a:xfrm flipV="1">
          <a:off x="2695575" y="6962775"/>
          <a:ext cx="0" cy="3714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19</xdr:col>
      <xdr:colOff>66675</xdr:colOff>
      <xdr:row>39</xdr:row>
      <xdr:rowOff>142875</xdr:rowOff>
    </xdr:from>
    <xdr:to>
      <xdr:col>23</xdr:col>
      <xdr:colOff>19050</xdr:colOff>
      <xdr:row>39</xdr:row>
      <xdr:rowOff>142875</xdr:rowOff>
    </xdr:to>
    <xdr:sp macro="" textlink="">
      <xdr:nvSpPr>
        <xdr:cNvPr id="3688" name="Line 211"/>
        <xdr:cNvSpPr>
          <a:spLocks noChangeShapeType="1"/>
        </xdr:cNvSpPr>
      </xdr:nvSpPr>
      <xdr:spPr bwMode="auto">
        <a:xfrm>
          <a:off x="2247900" y="7124700"/>
          <a:ext cx="447675" cy="0"/>
        </a:xfrm>
        <a:prstGeom prst="line">
          <a:avLst/>
        </a:prstGeom>
        <a:noFill/>
        <a:ln w="9525">
          <a:solidFill>
            <a:srgbClr val="000000"/>
          </a:solidFill>
          <a:round/>
          <a:headEnd type="stealth" w="sm" len="med"/>
          <a:tailEnd type="stealth" w="sm" len="med"/>
        </a:ln>
      </xdr:spPr>
    </xdr:sp>
    <xdr:clientData/>
  </xdr:twoCellAnchor>
  <xdr:twoCellAnchor>
    <xdr:from>
      <xdr:col>19</xdr:col>
      <xdr:colOff>66675</xdr:colOff>
      <xdr:row>38</xdr:row>
      <xdr:rowOff>171450</xdr:rowOff>
    </xdr:from>
    <xdr:to>
      <xdr:col>19</xdr:col>
      <xdr:colOff>66675</xdr:colOff>
      <xdr:row>40</xdr:row>
      <xdr:rowOff>0</xdr:rowOff>
    </xdr:to>
    <xdr:sp macro="" textlink="">
      <xdr:nvSpPr>
        <xdr:cNvPr id="3689" name="Line 212"/>
        <xdr:cNvSpPr>
          <a:spLocks noChangeShapeType="1"/>
        </xdr:cNvSpPr>
      </xdr:nvSpPr>
      <xdr:spPr bwMode="auto">
        <a:xfrm>
          <a:off x="2247900" y="6972300"/>
          <a:ext cx="0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57150</xdr:colOff>
      <xdr:row>39</xdr:row>
      <xdr:rowOff>142875</xdr:rowOff>
    </xdr:from>
    <xdr:to>
      <xdr:col>19</xdr:col>
      <xdr:colOff>66675</xdr:colOff>
      <xdr:row>39</xdr:row>
      <xdr:rowOff>142875</xdr:rowOff>
    </xdr:to>
    <xdr:sp macro="" textlink="">
      <xdr:nvSpPr>
        <xdr:cNvPr id="3690" name="Line 213"/>
        <xdr:cNvSpPr>
          <a:spLocks noChangeShapeType="1"/>
        </xdr:cNvSpPr>
      </xdr:nvSpPr>
      <xdr:spPr bwMode="auto">
        <a:xfrm flipH="1">
          <a:off x="1400175" y="7124700"/>
          <a:ext cx="847725" cy="0"/>
        </a:xfrm>
        <a:prstGeom prst="line">
          <a:avLst/>
        </a:prstGeom>
        <a:noFill/>
        <a:ln w="9525">
          <a:solidFill>
            <a:srgbClr val="000000"/>
          </a:solidFill>
          <a:round/>
          <a:headEnd type="stealth" w="sm" len="med"/>
          <a:tailEnd type="stealth" w="sm" len="med"/>
        </a:ln>
      </xdr:spPr>
    </xdr:sp>
    <xdr:clientData/>
  </xdr:twoCellAnchor>
  <xdr:twoCellAnchor>
    <xdr:from>
      <xdr:col>7</xdr:col>
      <xdr:colOff>114300</xdr:colOff>
      <xdr:row>36</xdr:row>
      <xdr:rowOff>104775</xdr:rowOff>
    </xdr:from>
    <xdr:to>
      <xdr:col>23</xdr:col>
      <xdr:colOff>9525</xdr:colOff>
      <xdr:row>38</xdr:row>
      <xdr:rowOff>142875</xdr:rowOff>
    </xdr:to>
    <xdr:sp macro="" textlink="">
      <xdr:nvSpPr>
        <xdr:cNvPr id="3691" name="Rectangle 214" descr="10%"/>
        <xdr:cNvSpPr>
          <a:spLocks noChangeArrowheads="1"/>
        </xdr:cNvSpPr>
      </xdr:nvSpPr>
      <xdr:spPr bwMode="auto">
        <a:xfrm>
          <a:off x="962025" y="6543675"/>
          <a:ext cx="1724025" cy="400050"/>
        </a:xfrm>
        <a:prstGeom prst="rect">
          <a:avLst/>
        </a:prstGeom>
        <a:pattFill prst="pct10">
          <a:fgClr>
            <a:srgbClr val="000000"/>
          </a:fgClr>
          <a:bgClr>
            <a:srgbClr val="FFFFFF"/>
          </a:bgClr>
        </a:patt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7</xdr:col>
      <xdr:colOff>47625</xdr:colOff>
      <xdr:row>25</xdr:row>
      <xdr:rowOff>85725</xdr:rowOff>
    </xdr:from>
    <xdr:to>
      <xdr:col>7</xdr:col>
      <xdr:colOff>47625</xdr:colOff>
      <xdr:row>36</xdr:row>
      <xdr:rowOff>95250</xdr:rowOff>
    </xdr:to>
    <xdr:sp macro="" textlink="">
      <xdr:nvSpPr>
        <xdr:cNvPr id="3692" name="Line 215"/>
        <xdr:cNvSpPr>
          <a:spLocks noChangeShapeType="1"/>
        </xdr:cNvSpPr>
      </xdr:nvSpPr>
      <xdr:spPr bwMode="auto">
        <a:xfrm flipH="1" flipV="1">
          <a:off x="895350" y="4552950"/>
          <a:ext cx="0" cy="1981200"/>
        </a:xfrm>
        <a:prstGeom prst="line">
          <a:avLst/>
        </a:prstGeom>
        <a:noFill/>
        <a:ln w="9525">
          <a:solidFill>
            <a:srgbClr val="000000"/>
          </a:solidFill>
          <a:round/>
          <a:headEnd type="stealth" w="sm" len="med"/>
          <a:tailEnd/>
        </a:ln>
      </xdr:spPr>
    </xdr:sp>
    <xdr:clientData/>
  </xdr:twoCellAnchor>
  <xdr:twoCellAnchor>
    <xdr:from>
      <xdr:col>5</xdr:col>
      <xdr:colOff>9525</xdr:colOff>
      <xdr:row>33</xdr:row>
      <xdr:rowOff>28575</xdr:rowOff>
    </xdr:from>
    <xdr:to>
      <xdr:col>5</xdr:col>
      <xdr:colOff>9525</xdr:colOff>
      <xdr:row>33</xdr:row>
      <xdr:rowOff>152400</xdr:rowOff>
    </xdr:to>
    <xdr:sp macro="" textlink="">
      <xdr:nvSpPr>
        <xdr:cNvPr id="3693" name="Line 216"/>
        <xdr:cNvSpPr>
          <a:spLocks noChangeShapeType="1"/>
        </xdr:cNvSpPr>
      </xdr:nvSpPr>
      <xdr:spPr bwMode="auto">
        <a:xfrm>
          <a:off x="609600" y="5924550"/>
          <a:ext cx="0" cy="1238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12</xdr:col>
      <xdr:colOff>0</xdr:colOff>
      <xdr:row>33</xdr:row>
      <xdr:rowOff>19050</xdr:rowOff>
    </xdr:from>
    <xdr:to>
      <xdr:col>12</xdr:col>
      <xdr:colOff>0</xdr:colOff>
      <xdr:row>33</xdr:row>
      <xdr:rowOff>133350</xdr:rowOff>
    </xdr:to>
    <xdr:sp macro="" textlink="">
      <xdr:nvSpPr>
        <xdr:cNvPr id="3694" name="Line 217"/>
        <xdr:cNvSpPr>
          <a:spLocks noChangeShapeType="1"/>
        </xdr:cNvSpPr>
      </xdr:nvSpPr>
      <xdr:spPr bwMode="auto">
        <a:xfrm>
          <a:off x="1466850" y="5915025"/>
          <a:ext cx="0" cy="1143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9525</xdr:colOff>
      <xdr:row>33</xdr:row>
      <xdr:rowOff>57150</xdr:rowOff>
    </xdr:from>
    <xdr:to>
      <xdr:col>12</xdr:col>
      <xdr:colOff>0</xdr:colOff>
      <xdr:row>33</xdr:row>
      <xdr:rowOff>57150</xdr:rowOff>
    </xdr:to>
    <xdr:sp macro="" textlink="">
      <xdr:nvSpPr>
        <xdr:cNvPr id="3695" name="Line 218"/>
        <xdr:cNvSpPr>
          <a:spLocks noChangeShapeType="1"/>
        </xdr:cNvSpPr>
      </xdr:nvSpPr>
      <xdr:spPr bwMode="auto">
        <a:xfrm>
          <a:off x="609600" y="5953125"/>
          <a:ext cx="857250" cy="0"/>
        </a:xfrm>
        <a:prstGeom prst="line">
          <a:avLst/>
        </a:prstGeom>
        <a:noFill/>
        <a:ln w="9525">
          <a:solidFill>
            <a:srgbClr val="000000"/>
          </a:solidFill>
          <a:round/>
          <a:headEnd type="stealth" w="sm" len="med"/>
          <a:tailEnd type="stealth" w="sm" len="med"/>
        </a:ln>
      </xdr:spPr>
    </xdr:sp>
    <xdr:clientData/>
  </xdr:twoCellAnchor>
  <xdr:twoCellAnchor>
    <xdr:from>
      <xdr:col>5</xdr:col>
      <xdr:colOff>104775</xdr:colOff>
      <xdr:row>25</xdr:row>
      <xdr:rowOff>85725</xdr:rowOff>
    </xdr:from>
    <xdr:to>
      <xdr:col>5</xdr:col>
      <xdr:colOff>104775</xdr:colOff>
      <xdr:row>33</xdr:row>
      <xdr:rowOff>9525</xdr:rowOff>
    </xdr:to>
    <xdr:sp macro="" textlink="">
      <xdr:nvSpPr>
        <xdr:cNvPr id="3696" name="Line 219"/>
        <xdr:cNvSpPr>
          <a:spLocks noChangeShapeType="1"/>
        </xdr:cNvSpPr>
      </xdr:nvSpPr>
      <xdr:spPr bwMode="auto">
        <a:xfrm flipV="1">
          <a:off x="704850" y="4552950"/>
          <a:ext cx="0" cy="13525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104775</xdr:colOff>
      <xdr:row>22</xdr:row>
      <xdr:rowOff>133350</xdr:rowOff>
    </xdr:from>
    <xdr:to>
      <xdr:col>5</xdr:col>
      <xdr:colOff>104775</xdr:colOff>
      <xdr:row>23</xdr:row>
      <xdr:rowOff>161925</xdr:rowOff>
    </xdr:to>
    <xdr:sp macro="" textlink="">
      <xdr:nvSpPr>
        <xdr:cNvPr id="3697" name="Line 220"/>
        <xdr:cNvSpPr>
          <a:spLocks noChangeShapeType="1"/>
        </xdr:cNvSpPr>
      </xdr:nvSpPr>
      <xdr:spPr bwMode="auto">
        <a:xfrm flipV="1">
          <a:off x="704850" y="4057650"/>
          <a:ext cx="0" cy="2095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stealth" w="sm" len="med"/>
        </a:ln>
      </xdr:spPr>
    </xdr:sp>
    <xdr:clientData/>
  </xdr:twoCellAnchor>
  <xdr:twoCellAnchor>
    <xdr:from>
      <xdr:col>7</xdr:col>
      <xdr:colOff>38100</xdr:colOff>
      <xdr:row>22</xdr:row>
      <xdr:rowOff>142875</xdr:rowOff>
    </xdr:from>
    <xdr:to>
      <xdr:col>7</xdr:col>
      <xdr:colOff>38100</xdr:colOff>
      <xdr:row>23</xdr:row>
      <xdr:rowOff>171450</xdr:rowOff>
    </xdr:to>
    <xdr:sp macro="" textlink="">
      <xdr:nvSpPr>
        <xdr:cNvPr id="3698" name="Line 221"/>
        <xdr:cNvSpPr>
          <a:spLocks noChangeShapeType="1"/>
        </xdr:cNvSpPr>
      </xdr:nvSpPr>
      <xdr:spPr bwMode="auto">
        <a:xfrm flipV="1">
          <a:off x="885825" y="4067175"/>
          <a:ext cx="0" cy="2095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stealth" w="sm" len="med"/>
        </a:ln>
      </xdr:spPr>
    </xdr:sp>
    <xdr:clientData/>
  </xdr:twoCellAnchor>
  <xdr:twoCellAnchor>
    <xdr:from>
      <xdr:col>11</xdr:col>
      <xdr:colOff>19050</xdr:colOff>
      <xdr:row>22</xdr:row>
      <xdr:rowOff>152400</xdr:rowOff>
    </xdr:from>
    <xdr:to>
      <xdr:col>11</xdr:col>
      <xdr:colOff>66675</xdr:colOff>
      <xdr:row>34</xdr:row>
      <xdr:rowOff>0</xdr:rowOff>
    </xdr:to>
    <xdr:sp macro="" textlink="">
      <xdr:nvSpPr>
        <xdr:cNvPr id="3699" name="Freeform 222"/>
        <xdr:cNvSpPr>
          <a:spLocks/>
        </xdr:cNvSpPr>
      </xdr:nvSpPr>
      <xdr:spPr bwMode="auto">
        <a:xfrm>
          <a:off x="1362075" y="4076700"/>
          <a:ext cx="47625" cy="2000250"/>
        </a:xfrm>
        <a:custGeom>
          <a:avLst/>
          <a:gdLst>
            <a:gd name="T0" fmla="*/ 4 w 5"/>
            <a:gd name="T1" fmla="*/ 2 h 210"/>
            <a:gd name="T2" fmla="*/ 5 w 5"/>
            <a:gd name="T3" fmla="*/ 6 h 210"/>
            <a:gd name="T4" fmla="*/ 3 w 5"/>
            <a:gd name="T5" fmla="*/ 10 h 210"/>
            <a:gd name="T6" fmla="*/ 2 w 5"/>
            <a:gd name="T7" fmla="*/ 14 h 210"/>
            <a:gd name="T8" fmla="*/ 5 w 5"/>
            <a:gd name="T9" fmla="*/ 18 h 210"/>
            <a:gd name="T10" fmla="*/ 2 w 5"/>
            <a:gd name="T11" fmla="*/ 23 h 210"/>
            <a:gd name="T12" fmla="*/ 2 w 5"/>
            <a:gd name="T13" fmla="*/ 29 h 210"/>
            <a:gd name="T14" fmla="*/ 5 w 5"/>
            <a:gd name="T15" fmla="*/ 33 h 210"/>
            <a:gd name="T16" fmla="*/ 3 w 5"/>
            <a:gd name="T17" fmla="*/ 37 h 210"/>
            <a:gd name="T18" fmla="*/ 2 w 5"/>
            <a:gd name="T19" fmla="*/ 41 h 210"/>
            <a:gd name="T20" fmla="*/ 4 w 5"/>
            <a:gd name="T21" fmla="*/ 45 h 210"/>
            <a:gd name="T22" fmla="*/ 4 w 5"/>
            <a:gd name="T23" fmla="*/ 49 h 210"/>
            <a:gd name="T24" fmla="*/ 2 w 5"/>
            <a:gd name="T25" fmla="*/ 53 h 210"/>
            <a:gd name="T26" fmla="*/ 3 w 5"/>
            <a:gd name="T27" fmla="*/ 57 h 210"/>
            <a:gd name="T28" fmla="*/ 5 w 5"/>
            <a:gd name="T29" fmla="*/ 61 h 210"/>
            <a:gd name="T30" fmla="*/ 2 w 5"/>
            <a:gd name="T31" fmla="*/ 65 h 210"/>
            <a:gd name="T32" fmla="*/ 3 w 5"/>
            <a:gd name="T33" fmla="*/ 71 h 210"/>
            <a:gd name="T34" fmla="*/ 4 w 5"/>
            <a:gd name="T35" fmla="*/ 75 h 210"/>
            <a:gd name="T36" fmla="*/ 2 w 5"/>
            <a:gd name="T37" fmla="*/ 79 h 210"/>
            <a:gd name="T38" fmla="*/ 3 w 5"/>
            <a:gd name="T39" fmla="*/ 84 h 210"/>
            <a:gd name="T40" fmla="*/ 5 w 5"/>
            <a:gd name="T41" fmla="*/ 87 h 210"/>
            <a:gd name="T42" fmla="*/ 3 w 5"/>
            <a:gd name="T43" fmla="*/ 90 h 210"/>
            <a:gd name="T44" fmla="*/ 1 w 5"/>
            <a:gd name="T45" fmla="*/ 94 h 210"/>
            <a:gd name="T46" fmla="*/ 4 w 5"/>
            <a:gd name="T47" fmla="*/ 99 h 210"/>
            <a:gd name="T48" fmla="*/ 3 w 5"/>
            <a:gd name="T49" fmla="*/ 103 h 210"/>
            <a:gd name="T50" fmla="*/ 0 w 5"/>
            <a:gd name="T51" fmla="*/ 107 h 210"/>
            <a:gd name="T52" fmla="*/ 2 w 5"/>
            <a:gd name="T53" fmla="*/ 112 h 210"/>
            <a:gd name="T54" fmla="*/ 3 w 5"/>
            <a:gd name="T55" fmla="*/ 116 h 210"/>
            <a:gd name="T56" fmla="*/ 1 w 5"/>
            <a:gd name="T57" fmla="*/ 120 h 210"/>
            <a:gd name="T58" fmla="*/ 1 w 5"/>
            <a:gd name="T59" fmla="*/ 124 h 210"/>
            <a:gd name="T60" fmla="*/ 4 w 5"/>
            <a:gd name="T61" fmla="*/ 129 h 210"/>
            <a:gd name="T62" fmla="*/ 2 w 5"/>
            <a:gd name="T63" fmla="*/ 133 h 210"/>
            <a:gd name="T64" fmla="*/ 1 w 5"/>
            <a:gd name="T65" fmla="*/ 138 h 210"/>
            <a:gd name="T66" fmla="*/ 4 w 5"/>
            <a:gd name="T67" fmla="*/ 142 h 210"/>
            <a:gd name="T68" fmla="*/ 5 w 5"/>
            <a:gd name="T69" fmla="*/ 146 h 210"/>
            <a:gd name="T70" fmla="*/ 2 w 5"/>
            <a:gd name="T71" fmla="*/ 150 h 210"/>
            <a:gd name="T72" fmla="*/ 3 w 5"/>
            <a:gd name="T73" fmla="*/ 154 h 210"/>
            <a:gd name="T74" fmla="*/ 5 w 5"/>
            <a:gd name="T75" fmla="*/ 160 h 210"/>
            <a:gd name="T76" fmla="*/ 2 w 5"/>
            <a:gd name="T77" fmla="*/ 164 h 210"/>
            <a:gd name="T78" fmla="*/ 3 w 5"/>
            <a:gd name="T79" fmla="*/ 169 h 210"/>
            <a:gd name="T80" fmla="*/ 4 w 5"/>
            <a:gd name="T81" fmla="*/ 173 h 210"/>
            <a:gd name="T82" fmla="*/ 1 w 5"/>
            <a:gd name="T83" fmla="*/ 177 h 210"/>
            <a:gd name="T84" fmla="*/ 2 w 5"/>
            <a:gd name="T85" fmla="*/ 182 h 210"/>
            <a:gd name="T86" fmla="*/ 5 w 5"/>
            <a:gd name="T87" fmla="*/ 186 h 210"/>
            <a:gd name="T88" fmla="*/ 3 w 5"/>
            <a:gd name="T89" fmla="*/ 189 h 210"/>
            <a:gd name="T90" fmla="*/ 2 w 5"/>
            <a:gd name="T91" fmla="*/ 194 h 210"/>
            <a:gd name="T92" fmla="*/ 5 w 5"/>
            <a:gd name="T93" fmla="*/ 197 h 210"/>
            <a:gd name="T94" fmla="*/ 4 w 5"/>
            <a:gd name="T95" fmla="*/ 202 h 210"/>
            <a:gd name="T96" fmla="*/ 2 w 5"/>
            <a:gd name="T97" fmla="*/ 208 h 210"/>
            <a:gd name="T98" fmla="*/ 0 60000 65536"/>
            <a:gd name="T99" fmla="*/ 0 60000 65536"/>
            <a:gd name="T100" fmla="*/ 0 60000 65536"/>
            <a:gd name="T101" fmla="*/ 0 60000 65536"/>
            <a:gd name="T102" fmla="*/ 0 60000 65536"/>
            <a:gd name="T103" fmla="*/ 0 60000 65536"/>
            <a:gd name="T104" fmla="*/ 0 60000 65536"/>
            <a:gd name="T105" fmla="*/ 0 60000 65536"/>
            <a:gd name="T106" fmla="*/ 0 60000 65536"/>
            <a:gd name="T107" fmla="*/ 0 60000 65536"/>
            <a:gd name="T108" fmla="*/ 0 60000 65536"/>
            <a:gd name="T109" fmla="*/ 0 60000 65536"/>
            <a:gd name="T110" fmla="*/ 0 60000 65536"/>
            <a:gd name="T111" fmla="*/ 0 60000 65536"/>
            <a:gd name="T112" fmla="*/ 0 60000 65536"/>
            <a:gd name="T113" fmla="*/ 0 60000 65536"/>
            <a:gd name="T114" fmla="*/ 0 60000 65536"/>
            <a:gd name="T115" fmla="*/ 0 60000 65536"/>
            <a:gd name="T116" fmla="*/ 0 60000 65536"/>
            <a:gd name="T117" fmla="*/ 0 60000 65536"/>
            <a:gd name="T118" fmla="*/ 0 60000 65536"/>
            <a:gd name="T119" fmla="*/ 0 60000 65536"/>
            <a:gd name="T120" fmla="*/ 0 60000 65536"/>
            <a:gd name="T121" fmla="*/ 0 60000 65536"/>
            <a:gd name="T122" fmla="*/ 0 60000 65536"/>
            <a:gd name="T123" fmla="*/ 0 60000 65536"/>
            <a:gd name="T124" fmla="*/ 0 60000 65536"/>
            <a:gd name="T125" fmla="*/ 0 60000 65536"/>
            <a:gd name="T126" fmla="*/ 0 60000 65536"/>
            <a:gd name="T127" fmla="*/ 0 60000 65536"/>
            <a:gd name="T128" fmla="*/ 0 60000 65536"/>
            <a:gd name="T129" fmla="*/ 0 60000 65536"/>
            <a:gd name="T130" fmla="*/ 0 60000 65536"/>
            <a:gd name="T131" fmla="*/ 0 60000 65536"/>
            <a:gd name="T132" fmla="*/ 0 60000 65536"/>
            <a:gd name="T133" fmla="*/ 0 60000 65536"/>
            <a:gd name="T134" fmla="*/ 0 60000 65536"/>
            <a:gd name="T135" fmla="*/ 0 60000 65536"/>
            <a:gd name="T136" fmla="*/ 0 60000 65536"/>
            <a:gd name="T137" fmla="*/ 0 60000 65536"/>
            <a:gd name="T138" fmla="*/ 0 60000 65536"/>
            <a:gd name="T139" fmla="*/ 0 60000 65536"/>
            <a:gd name="T140" fmla="*/ 0 60000 65536"/>
            <a:gd name="T141" fmla="*/ 0 60000 65536"/>
            <a:gd name="T142" fmla="*/ 0 60000 65536"/>
            <a:gd name="T143" fmla="*/ 0 60000 65536"/>
            <a:gd name="T144" fmla="*/ 0 60000 65536"/>
            <a:gd name="T145" fmla="*/ 0 60000 65536"/>
            <a:gd name="T146" fmla="*/ 0 60000 65536"/>
            <a:gd name="T147" fmla="*/ 0 w 5"/>
            <a:gd name="T148" fmla="*/ 0 h 210"/>
            <a:gd name="T149" fmla="*/ 5 w 5"/>
            <a:gd name="T150" fmla="*/ 210 h 210"/>
          </a:gdLst>
          <a:ahLst/>
          <a:cxnLst>
            <a:cxn ang="T98">
              <a:pos x="T0" y="T1"/>
            </a:cxn>
            <a:cxn ang="T99">
              <a:pos x="T2" y="T3"/>
            </a:cxn>
            <a:cxn ang="T100">
              <a:pos x="T4" y="T5"/>
            </a:cxn>
            <a:cxn ang="T101">
              <a:pos x="T6" y="T7"/>
            </a:cxn>
            <a:cxn ang="T102">
              <a:pos x="T8" y="T9"/>
            </a:cxn>
            <a:cxn ang="T103">
              <a:pos x="T10" y="T11"/>
            </a:cxn>
            <a:cxn ang="T104">
              <a:pos x="T12" y="T13"/>
            </a:cxn>
            <a:cxn ang="T105">
              <a:pos x="T14" y="T15"/>
            </a:cxn>
            <a:cxn ang="T106">
              <a:pos x="T16" y="T17"/>
            </a:cxn>
            <a:cxn ang="T107">
              <a:pos x="T18" y="T19"/>
            </a:cxn>
            <a:cxn ang="T108">
              <a:pos x="T20" y="T21"/>
            </a:cxn>
            <a:cxn ang="T109">
              <a:pos x="T22" y="T23"/>
            </a:cxn>
            <a:cxn ang="T110">
              <a:pos x="T24" y="T25"/>
            </a:cxn>
            <a:cxn ang="T111">
              <a:pos x="T26" y="T27"/>
            </a:cxn>
            <a:cxn ang="T112">
              <a:pos x="T28" y="T29"/>
            </a:cxn>
            <a:cxn ang="T113">
              <a:pos x="T30" y="T31"/>
            </a:cxn>
            <a:cxn ang="T114">
              <a:pos x="T32" y="T33"/>
            </a:cxn>
            <a:cxn ang="T115">
              <a:pos x="T34" y="T35"/>
            </a:cxn>
            <a:cxn ang="T116">
              <a:pos x="T36" y="T37"/>
            </a:cxn>
            <a:cxn ang="T117">
              <a:pos x="T38" y="T39"/>
            </a:cxn>
            <a:cxn ang="T118">
              <a:pos x="T40" y="T41"/>
            </a:cxn>
            <a:cxn ang="T119">
              <a:pos x="T42" y="T43"/>
            </a:cxn>
            <a:cxn ang="T120">
              <a:pos x="T44" y="T45"/>
            </a:cxn>
            <a:cxn ang="T121">
              <a:pos x="T46" y="T47"/>
            </a:cxn>
            <a:cxn ang="T122">
              <a:pos x="T48" y="T49"/>
            </a:cxn>
            <a:cxn ang="T123">
              <a:pos x="T50" y="T51"/>
            </a:cxn>
            <a:cxn ang="T124">
              <a:pos x="T52" y="T53"/>
            </a:cxn>
            <a:cxn ang="T125">
              <a:pos x="T54" y="T55"/>
            </a:cxn>
            <a:cxn ang="T126">
              <a:pos x="T56" y="T57"/>
            </a:cxn>
            <a:cxn ang="T127">
              <a:pos x="T58" y="T59"/>
            </a:cxn>
            <a:cxn ang="T128">
              <a:pos x="T60" y="T61"/>
            </a:cxn>
            <a:cxn ang="T129">
              <a:pos x="T62" y="T63"/>
            </a:cxn>
            <a:cxn ang="T130">
              <a:pos x="T64" y="T65"/>
            </a:cxn>
            <a:cxn ang="T131">
              <a:pos x="T66" y="T67"/>
            </a:cxn>
            <a:cxn ang="T132">
              <a:pos x="T68" y="T69"/>
            </a:cxn>
            <a:cxn ang="T133">
              <a:pos x="T70" y="T71"/>
            </a:cxn>
            <a:cxn ang="T134">
              <a:pos x="T72" y="T73"/>
            </a:cxn>
            <a:cxn ang="T135">
              <a:pos x="T74" y="T75"/>
            </a:cxn>
            <a:cxn ang="T136">
              <a:pos x="T76" y="T77"/>
            </a:cxn>
            <a:cxn ang="T137">
              <a:pos x="T78" y="T79"/>
            </a:cxn>
            <a:cxn ang="T138">
              <a:pos x="T80" y="T81"/>
            </a:cxn>
            <a:cxn ang="T139">
              <a:pos x="T82" y="T83"/>
            </a:cxn>
            <a:cxn ang="T140">
              <a:pos x="T84" y="T85"/>
            </a:cxn>
            <a:cxn ang="T141">
              <a:pos x="T86" y="T87"/>
            </a:cxn>
            <a:cxn ang="T142">
              <a:pos x="T88" y="T89"/>
            </a:cxn>
            <a:cxn ang="T143">
              <a:pos x="T90" y="T91"/>
            </a:cxn>
            <a:cxn ang="T144">
              <a:pos x="T92" y="T93"/>
            </a:cxn>
            <a:cxn ang="T145">
              <a:pos x="T94" y="T95"/>
            </a:cxn>
            <a:cxn ang="T146">
              <a:pos x="T96" y="T97"/>
            </a:cxn>
          </a:cxnLst>
          <a:rect l="T147" t="T148" r="T149" b="T150"/>
          <a:pathLst>
            <a:path w="5" h="210">
              <a:moveTo>
                <a:pt x="2" y="0"/>
              </a:moveTo>
              <a:lnTo>
                <a:pt x="4" y="2"/>
              </a:lnTo>
              <a:lnTo>
                <a:pt x="5" y="4"/>
              </a:lnTo>
              <a:lnTo>
                <a:pt x="5" y="6"/>
              </a:lnTo>
              <a:lnTo>
                <a:pt x="4" y="8"/>
              </a:lnTo>
              <a:lnTo>
                <a:pt x="3" y="10"/>
              </a:lnTo>
              <a:lnTo>
                <a:pt x="2" y="12"/>
              </a:lnTo>
              <a:lnTo>
                <a:pt x="2" y="14"/>
              </a:lnTo>
              <a:lnTo>
                <a:pt x="4" y="16"/>
              </a:lnTo>
              <a:lnTo>
                <a:pt x="5" y="18"/>
              </a:lnTo>
              <a:lnTo>
                <a:pt x="4" y="21"/>
              </a:lnTo>
              <a:lnTo>
                <a:pt x="2" y="23"/>
              </a:lnTo>
              <a:lnTo>
                <a:pt x="2" y="26"/>
              </a:lnTo>
              <a:lnTo>
                <a:pt x="2" y="29"/>
              </a:lnTo>
              <a:lnTo>
                <a:pt x="4" y="31"/>
              </a:lnTo>
              <a:lnTo>
                <a:pt x="5" y="33"/>
              </a:lnTo>
              <a:lnTo>
                <a:pt x="4" y="35"/>
              </a:lnTo>
              <a:lnTo>
                <a:pt x="3" y="37"/>
              </a:lnTo>
              <a:lnTo>
                <a:pt x="2" y="39"/>
              </a:lnTo>
              <a:lnTo>
                <a:pt x="2" y="41"/>
              </a:lnTo>
              <a:lnTo>
                <a:pt x="3" y="43"/>
              </a:lnTo>
              <a:lnTo>
                <a:pt x="4" y="45"/>
              </a:lnTo>
              <a:lnTo>
                <a:pt x="5" y="47"/>
              </a:lnTo>
              <a:lnTo>
                <a:pt x="4" y="49"/>
              </a:lnTo>
              <a:lnTo>
                <a:pt x="3" y="51"/>
              </a:lnTo>
              <a:lnTo>
                <a:pt x="2" y="53"/>
              </a:lnTo>
              <a:lnTo>
                <a:pt x="2" y="56"/>
              </a:lnTo>
              <a:lnTo>
                <a:pt x="3" y="57"/>
              </a:lnTo>
              <a:lnTo>
                <a:pt x="5" y="59"/>
              </a:lnTo>
              <a:lnTo>
                <a:pt x="5" y="61"/>
              </a:lnTo>
              <a:lnTo>
                <a:pt x="4" y="63"/>
              </a:lnTo>
              <a:lnTo>
                <a:pt x="2" y="65"/>
              </a:lnTo>
              <a:lnTo>
                <a:pt x="2" y="68"/>
              </a:lnTo>
              <a:lnTo>
                <a:pt x="3" y="71"/>
              </a:lnTo>
              <a:lnTo>
                <a:pt x="4" y="73"/>
              </a:lnTo>
              <a:lnTo>
                <a:pt x="4" y="75"/>
              </a:lnTo>
              <a:lnTo>
                <a:pt x="3" y="77"/>
              </a:lnTo>
              <a:lnTo>
                <a:pt x="2" y="79"/>
              </a:lnTo>
              <a:lnTo>
                <a:pt x="2" y="81"/>
              </a:lnTo>
              <a:lnTo>
                <a:pt x="3" y="84"/>
              </a:lnTo>
              <a:lnTo>
                <a:pt x="4" y="86"/>
              </a:lnTo>
              <a:lnTo>
                <a:pt x="5" y="87"/>
              </a:lnTo>
              <a:lnTo>
                <a:pt x="5" y="88"/>
              </a:lnTo>
              <a:lnTo>
                <a:pt x="3" y="90"/>
              </a:lnTo>
              <a:lnTo>
                <a:pt x="2" y="92"/>
              </a:lnTo>
              <a:lnTo>
                <a:pt x="1" y="94"/>
              </a:lnTo>
              <a:lnTo>
                <a:pt x="2" y="97"/>
              </a:lnTo>
              <a:lnTo>
                <a:pt x="4" y="99"/>
              </a:lnTo>
              <a:lnTo>
                <a:pt x="4" y="101"/>
              </a:lnTo>
              <a:lnTo>
                <a:pt x="3" y="103"/>
              </a:lnTo>
              <a:lnTo>
                <a:pt x="1" y="105"/>
              </a:lnTo>
              <a:lnTo>
                <a:pt x="0" y="107"/>
              </a:lnTo>
              <a:lnTo>
                <a:pt x="1" y="110"/>
              </a:lnTo>
              <a:lnTo>
                <a:pt x="2" y="112"/>
              </a:lnTo>
              <a:lnTo>
                <a:pt x="3" y="114"/>
              </a:lnTo>
              <a:lnTo>
                <a:pt x="3" y="116"/>
              </a:lnTo>
              <a:lnTo>
                <a:pt x="2" y="118"/>
              </a:lnTo>
              <a:lnTo>
                <a:pt x="1" y="120"/>
              </a:lnTo>
              <a:lnTo>
                <a:pt x="0" y="122"/>
              </a:lnTo>
              <a:lnTo>
                <a:pt x="1" y="124"/>
              </a:lnTo>
              <a:lnTo>
                <a:pt x="3" y="126"/>
              </a:lnTo>
              <a:lnTo>
                <a:pt x="4" y="129"/>
              </a:lnTo>
              <a:lnTo>
                <a:pt x="3" y="131"/>
              </a:lnTo>
              <a:lnTo>
                <a:pt x="2" y="133"/>
              </a:lnTo>
              <a:lnTo>
                <a:pt x="1" y="135"/>
              </a:lnTo>
              <a:lnTo>
                <a:pt x="1" y="138"/>
              </a:lnTo>
              <a:lnTo>
                <a:pt x="2" y="140"/>
              </a:lnTo>
              <a:lnTo>
                <a:pt x="4" y="142"/>
              </a:lnTo>
              <a:lnTo>
                <a:pt x="5" y="144"/>
              </a:lnTo>
              <a:lnTo>
                <a:pt x="5" y="146"/>
              </a:lnTo>
              <a:lnTo>
                <a:pt x="3" y="148"/>
              </a:lnTo>
              <a:lnTo>
                <a:pt x="2" y="150"/>
              </a:lnTo>
              <a:lnTo>
                <a:pt x="2" y="153"/>
              </a:lnTo>
              <a:lnTo>
                <a:pt x="3" y="154"/>
              </a:lnTo>
              <a:lnTo>
                <a:pt x="5" y="157"/>
              </a:lnTo>
              <a:lnTo>
                <a:pt x="5" y="160"/>
              </a:lnTo>
              <a:lnTo>
                <a:pt x="4" y="162"/>
              </a:lnTo>
              <a:lnTo>
                <a:pt x="2" y="164"/>
              </a:lnTo>
              <a:lnTo>
                <a:pt x="2" y="167"/>
              </a:lnTo>
              <a:lnTo>
                <a:pt x="3" y="169"/>
              </a:lnTo>
              <a:lnTo>
                <a:pt x="4" y="171"/>
              </a:lnTo>
              <a:lnTo>
                <a:pt x="4" y="173"/>
              </a:lnTo>
              <a:lnTo>
                <a:pt x="3" y="175"/>
              </a:lnTo>
              <a:lnTo>
                <a:pt x="1" y="177"/>
              </a:lnTo>
              <a:lnTo>
                <a:pt x="1" y="180"/>
              </a:lnTo>
              <a:lnTo>
                <a:pt x="2" y="182"/>
              </a:lnTo>
              <a:lnTo>
                <a:pt x="4" y="184"/>
              </a:lnTo>
              <a:lnTo>
                <a:pt x="5" y="186"/>
              </a:lnTo>
              <a:lnTo>
                <a:pt x="4" y="188"/>
              </a:lnTo>
              <a:lnTo>
                <a:pt x="3" y="189"/>
              </a:lnTo>
              <a:lnTo>
                <a:pt x="2" y="191"/>
              </a:lnTo>
              <a:lnTo>
                <a:pt x="2" y="194"/>
              </a:lnTo>
              <a:lnTo>
                <a:pt x="4" y="196"/>
              </a:lnTo>
              <a:lnTo>
                <a:pt x="5" y="197"/>
              </a:lnTo>
              <a:lnTo>
                <a:pt x="5" y="200"/>
              </a:lnTo>
              <a:lnTo>
                <a:pt x="4" y="202"/>
              </a:lnTo>
              <a:lnTo>
                <a:pt x="2" y="205"/>
              </a:lnTo>
              <a:lnTo>
                <a:pt x="2" y="208"/>
              </a:lnTo>
              <a:lnTo>
                <a:pt x="3" y="210"/>
              </a:lnTo>
            </a:path>
          </a:pathLst>
        </a:custGeom>
        <a:noFill/>
        <a:ln w="1587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13</xdr:col>
      <xdr:colOff>66675</xdr:colOff>
      <xdr:row>34</xdr:row>
      <xdr:rowOff>85725</xdr:rowOff>
    </xdr:from>
    <xdr:to>
      <xdr:col>16</xdr:col>
      <xdr:colOff>9525</xdr:colOff>
      <xdr:row>35</xdr:row>
      <xdr:rowOff>76200</xdr:rowOff>
    </xdr:to>
    <xdr:sp macro="" textlink="">
      <xdr:nvSpPr>
        <xdr:cNvPr id="3700" name="Freeform 223"/>
        <xdr:cNvSpPr>
          <a:spLocks/>
        </xdr:cNvSpPr>
      </xdr:nvSpPr>
      <xdr:spPr bwMode="auto">
        <a:xfrm>
          <a:off x="1619250" y="6162675"/>
          <a:ext cx="200025" cy="171450"/>
        </a:xfrm>
        <a:custGeom>
          <a:avLst/>
          <a:gdLst>
            <a:gd name="T0" fmla="*/ 0 w 21"/>
            <a:gd name="T1" fmla="*/ 0 h 18"/>
            <a:gd name="T2" fmla="*/ 3 w 21"/>
            <a:gd name="T3" fmla="*/ 8 h 18"/>
            <a:gd name="T4" fmla="*/ 6 w 21"/>
            <a:gd name="T5" fmla="*/ 12 h 18"/>
            <a:gd name="T6" fmla="*/ 9 w 21"/>
            <a:gd name="T7" fmla="*/ 15 h 18"/>
            <a:gd name="T8" fmla="*/ 12 w 21"/>
            <a:gd name="T9" fmla="*/ 16 h 18"/>
            <a:gd name="T10" fmla="*/ 21 w 21"/>
            <a:gd name="T11" fmla="*/ 18 h 18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21"/>
            <a:gd name="T19" fmla="*/ 0 h 18"/>
            <a:gd name="T20" fmla="*/ 21 w 21"/>
            <a:gd name="T21" fmla="*/ 18 h 18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21" h="18">
              <a:moveTo>
                <a:pt x="0" y="0"/>
              </a:moveTo>
              <a:lnTo>
                <a:pt x="3" y="8"/>
              </a:lnTo>
              <a:lnTo>
                <a:pt x="6" y="12"/>
              </a:lnTo>
              <a:lnTo>
                <a:pt x="9" y="15"/>
              </a:lnTo>
              <a:lnTo>
                <a:pt x="12" y="16"/>
              </a:lnTo>
              <a:lnTo>
                <a:pt x="21" y="18"/>
              </a:lnTo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stealth" w="sm" len="med"/>
          <a:tailEnd type="stealth" w="sm" len="med"/>
        </a:ln>
      </xdr:spPr>
    </xdr:sp>
    <xdr:clientData/>
  </xdr:twoCellAnchor>
  <xdr:twoCellAnchor>
    <xdr:from>
      <xdr:col>5</xdr:col>
      <xdr:colOff>9525</xdr:colOff>
      <xdr:row>33</xdr:row>
      <xdr:rowOff>152400</xdr:rowOff>
    </xdr:from>
    <xdr:to>
      <xdr:col>12</xdr:col>
      <xdr:colOff>0</xdr:colOff>
      <xdr:row>35</xdr:row>
      <xdr:rowOff>9525</xdr:rowOff>
    </xdr:to>
    <xdr:sp macro="" textlink="">
      <xdr:nvSpPr>
        <xdr:cNvPr id="3701" name="Freeform 224"/>
        <xdr:cNvSpPr>
          <a:spLocks/>
        </xdr:cNvSpPr>
      </xdr:nvSpPr>
      <xdr:spPr bwMode="auto">
        <a:xfrm>
          <a:off x="609600" y="6048375"/>
          <a:ext cx="857250" cy="219075"/>
        </a:xfrm>
        <a:custGeom>
          <a:avLst/>
          <a:gdLst>
            <a:gd name="T0" fmla="*/ 90 w 90"/>
            <a:gd name="T1" fmla="*/ 23 h 23"/>
            <a:gd name="T2" fmla="*/ 85 w 90"/>
            <a:gd name="T3" fmla="*/ 20 h 23"/>
            <a:gd name="T4" fmla="*/ 81 w 90"/>
            <a:gd name="T5" fmla="*/ 21 h 23"/>
            <a:gd name="T6" fmla="*/ 77 w 90"/>
            <a:gd name="T7" fmla="*/ 23 h 23"/>
            <a:gd name="T8" fmla="*/ 72 w 90"/>
            <a:gd name="T9" fmla="*/ 22 h 23"/>
            <a:gd name="T10" fmla="*/ 68 w 90"/>
            <a:gd name="T11" fmla="*/ 20 h 23"/>
            <a:gd name="T12" fmla="*/ 64 w 90"/>
            <a:gd name="T13" fmla="*/ 22 h 23"/>
            <a:gd name="T14" fmla="*/ 59 w 90"/>
            <a:gd name="T15" fmla="*/ 23 h 23"/>
            <a:gd name="T16" fmla="*/ 54 w 90"/>
            <a:gd name="T17" fmla="*/ 20 h 23"/>
            <a:gd name="T18" fmla="*/ 50 w 90"/>
            <a:gd name="T19" fmla="*/ 21 h 23"/>
            <a:gd name="T20" fmla="*/ 45 w 90"/>
            <a:gd name="T21" fmla="*/ 23 h 23"/>
            <a:gd name="T22" fmla="*/ 40 w 90"/>
            <a:gd name="T23" fmla="*/ 21 h 23"/>
            <a:gd name="T24" fmla="*/ 36 w 90"/>
            <a:gd name="T25" fmla="*/ 20 h 23"/>
            <a:gd name="T26" fmla="*/ 33 w 90"/>
            <a:gd name="T27" fmla="*/ 22 h 23"/>
            <a:gd name="T28" fmla="*/ 29 w 90"/>
            <a:gd name="T29" fmla="*/ 23 h 23"/>
            <a:gd name="T30" fmla="*/ 25 w 90"/>
            <a:gd name="T31" fmla="*/ 21 h 23"/>
            <a:gd name="T32" fmla="*/ 21 w 90"/>
            <a:gd name="T33" fmla="*/ 20 h 23"/>
            <a:gd name="T34" fmla="*/ 17 w 90"/>
            <a:gd name="T35" fmla="*/ 22 h 23"/>
            <a:gd name="T36" fmla="*/ 13 w 90"/>
            <a:gd name="T37" fmla="*/ 23 h 23"/>
            <a:gd name="T38" fmla="*/ 9 w 90"/>
            <a:gd name="T39" fmla="*/ 21 h 23"/>
            <a:gd name="T40" fmla="*/ 5 w 90"/>
            <a:gd name="T41" fmla="*/ 21 h 23"/>
            <a:gd name="T42" fmla="*/ 0 w 90"/>
            <a:gd name="T43" fmla="*/ 23 h 23"/>
            <a:gd name="T44" fmla="*/ 2 w 90"/>
            <a:gd name="T45" fmla="*/ 2 h 23"/>
            <a:gd name="T46" fmla="*/ 6 w 90"/>
            <a:gd name="T47" fmla="*/ 4 h 23"/>
            <a:gd name="T48" fmla="*/ 10 w 90"/>
            <a:gd name="T49" fmla="*/ 2 h 23"/>
            <a:gd name="T50" fmla="*/ 15 w 90"/>
            <a:gd name="T51" fmla="*/ 1 h 23"/>
            <a:gd name="T52" fmla="*/ 19 w 90"/>
            <a:gd name="T53" fmla="*/ 3 h 23"/>
            <a:gd name="T54" fmla="*/ 24 w 90"/>
            <a:gd name="T55" fmla="*/ 2 h 23"/>
            <a:gd name="T56" fmla="*/ 29 w 90"/>
            <a:gd name="T57" fmla="*/ 0 h 23"/>
            <a:gd name="T58" fmla="*/ 34 w 90"/>
            <a:gd name="T59" fmla="*/ 3 h 23"/>
            <a:gd name="T60" fmla="*/ 38 w 90"/>
            <a:gd name="T61" fmla="*/ 4 h 23"/>
            <a:gd name="T62" fmla="*/ 43 w 90"/>
            <a:gd name="T63" fmla="*/ 1 h 23"/>
            <a:gd name="T64" fmla="*/ 47 w 90"/>
            <a:gd name="T65" fmla="*/ 2 h 23"/>
            <a:gd name="T66" fmla="*/ 52 w 90"/>
            <a:gd name="T67" fmla="*/ 4 h 23"/>
            <a:gd name="T68" fmla="*/ 56 w 90"/>
            <a:gd name="T69" fmla="*/ 1 h 23"/>
            <a:gd name="T70" fmla="*/ 61 w 90"/>
            <a:gd name="T71" fmla="*/ 1 h 23"/>
            <a:gd name="T72" fmla="*/ 66 w 90"/>
            <a:gd name="T73" fmla="*/ 4 h 23"/>
            <a:gd name="T74" fmla="*/ 71 w 90"/>
            <a:gd name="T75" fmla="*/ 1 h 23"/>
            <a:gd name="T76" fmla="*/ 77 w 90"/>
            <a:gd name="T77" fmla="*/ 1 h 23"/>
            <a:gd name="T78" fmla="*/ 81 w 90"/>
            <a:gd name="T79" fmla="*/ 4 h 23"/>
            <a:gd name="T80" fmla="*/ 85 w 90"/>
            <a:gd name="T81" fmla="*/ 1 h 23"/>
            <a:gd name="T82" fmla="*/ 90 w 90"/>
            <a:gd name="T83" fmla="*/ 0 h 23"/>
            <a:gd name="T84" fmla="*/ 0 60000 65536"/>
            <a:gd name="T85" fmla="*/ 0 60000 65536"/>
            <a:gd name="T86" fmla="*/ 0 60000 65536"/>
            <a:gd name="T87" fmla="*/ 0 60000 65536"/>
            <a:gd name="T88" fmla="*/ 0 60000 65536"/>
            <a:gd name="T89" fmla="*/ 0 60000 65536"/>
            <a:gd name="T90" fmla="*/ 0 60000 65536"/>
            <a:gd name="T91" fmla="*/ 0 60000 65536"/>
            <a:gd name="T92" fmla="*/ 0 60000 65536"/>
            <a:gd name="T93" fmla="*/ 0 60000 65536"/>
            <a:gd name="T94" fmla="*/ 0 60000 65536"/>
            <a:gd name="T95" fmla="*/ 0 60000 65536"/>
            <a:gd name="T96" fmla="*/ 0 60000 65536"/>
            <a:gd name="T97" fmla="*/ 0 60000 65536"/>
            <a:gd name="T98" fmla="*/ 0 60000 65536"/>
            <a:gd name="T99" fmla="*/ 0 60000 65536"/>
            <a:gd name="T100" fmla="*/ 0 60000 65536"/>
            <a:gd name="T101" fmla="*/ 0 60000 65536"/>
            <a:gd name="T102" fmla="*/ 0 60000 65536"/>
            <a:gd name="T103" fmla="*/ 0 60000 65536"/>
            <a:gd name="T104" fmla="*/ 0 60000 65536"/>
            <a:gd name="T105" fmla="*/ 0 60000 65536"/>
            <a:gd name="T106" fmla="*/ 0 60000 65536"/>
            <a:gd name="T107" fmla="*/ 0 60000 65536"/>
            <a:gd name="T108" fmla="*/ 0 60000 65536"/>
            <a:gd name="T109" fmla="*/ 0 60000 65536"/>
            <a:gd name="T110" fmla="*/ 0 60000 65536"/>
            <a:gd name="T111" fmla="*/ 0 60000 65536"/>
            <a:gd name="T112" fmla="*/ 0 60000 65536"/>
            <a:gd name="T113" fmla="*/ 0 60000 65536"/>
            <a:gd name="T114" fmla="*/ 0 60000 65536"/>
            <a:gd name="T115" fmla="*/ 0 60000 65536"/>
            <a:gd name="T116" fmla="*/ 0 60000 65536"/>
            <a:gd name="T117" fmla="*/ 0 60000 65536"/>
            <a:gd name="T118" fmla="*/ 0 60000 65536"/>
            <a:gd name="T119" fmla="*/ 0 60000 65536"/>
            <a:gd name="T120" fmla="*/ 0 60000 65536"/>
            <a:gd name="T121" fmla="*/ 0 60000 65536"/>
            <a:gd name="T122" fmla="*/ 0 60000 65536"/>
            <a:gd name="T123" fmla="*/ 0 60000 65536"/>
            <a:gd name="T124" fmla="*/ 0 60000 65536"/>
            <a:gd name="T125" fmla="*/ 0 60000 65536"/>
            <a:gd name="T126" fmla="*/ 0 w 90"/>
            <a:gd name="T127" fmla="*/ 0 h 23"/>
            <a:gd name="T128" fmla="*/ 90 w 90"/>
            <a:gd name="T129" fmla="*/ 23 h 23"/>
          </a:gdLst>
          <a:ahLst/>
          <a:cxnLst>
            <a:cxn ang="T84">
              <a:pos x="T0" y="T1"/>
            </a:cxn>
            <a:cxn ang="T85">
              <a:pos x="T2" y="T3"/>
            </a:cxn>
            <a:cxn ang="T86">
              <a:pos x="T4" y="T5"/>
            </a:cxn>
            <a:cxn ang="T87">
              <a:pos x="T6" y="T7"/>
            </a:cxn>
            <a:cxn ang="T88">
              <a:pos x="T8" y="T9"/>
            </a:cxn>
            <a:cxn ang="T89">
              <a:pos x="T10" y="T11"/>
            </a:cxn>
            <a:cxn ang="T90">
              <a:pos x="T12" y="T13"/>
            </a:cxn>
            <a:cxn ang="T91">
              <a:pos x="T14" y="T15"/>
            </a:cxn>
            <a:cxn ang="T92">
              <a:pos x="T16" y="T17"/>
            </a:cxn>
            <a:cxn ang="T93">
              <a:pos x="T18" y="T19"/>
            </a:cxn>
            <a:cxn ang="T94">
              <a:pos x="T20" y="T21"/>
            </a:cxn>
            <a:cxn ang="T95">
              <a:pos x="T22" y="T23"/>
            </a:cxn>
            <a:cxn ang="T96">
              <a:pos x="T24" y="T25"/>
            </a:cxn>
            <a:cxn ang="T97">
              <a:pos x="T26" y="T27"/>
            </a:cxn>
            <a:cxn ang="T98">
              <a:pos x="T28" y="T29"/>
            </a:cxn>
            <a:cxn ang="T99">
              <a:pos x="T30" y="T31"/>
            </a:cxn>
            <a:cxn ang="T100">
              <a:pos x="T32" y="T33"/>
            </a:cxn>
            <a:cxn ang="T101">
              <a:pos x="T34" y="T35"/>
            </a:cxn>
            <a:cxn ang="T102">
              <a:pos x="T36" y="T37"/>
            </a:cxn>
            <a:cxn ang="T103">
              <a:pos x="T38" y="T39"/>
            </a:cxn>
            <a:cxn ang="T104">
              <a:pos x="T40" y="T41"/>
            </a:cxn>
            <a:cxn ang="T105">
              <a:pos x="T42" y="T43"/>
            </a:cxn>
            <a:cxn ang="T106">
              <a:pos x="T44" y="T45"/>
            </a:cxn>
            <a:cxn ang="T107">
              <a:pos x="T46" y="T47"/>
            </a:cxn>
            <a:cxn ang="T108">
              <a:pos x="T48" y="T49"/>
            </a:cxn>
            <a:cxn ang="T109">
              <a:pos x="T50" y="T51"/>
            </a:cxn>
            <a:cxn ang="T110">
              <a:pos x="T52" y="T53"/>
            </a:cxn>
            <a:cxn ang="T111">
              <a:pos x="T54" y="T55"/>
            </a:cxn>
            <a:cxn ang="T112">
              <a:pos x="T56" y="T57"/>
            </a:cxn>
            <a:cxn ang="T113">
              <a:pos x="T58" y="T59"/>
            </a:cxn>
            <a:cxn ang="T114">
              <a:pos x="T60" y="T61"/>
            </a:cxn>
            <a:cxn ang="T115">
              <a:pos x="T62" y="T63"/>
            </a:cxn>
            <a:cxn ang="T116">
              <a:pos x="T64" y="T65"/>
            </a:cxn>
            <a:cxn ang="T117">
              <a:pos x="T66" y="T67"/>
            </a:cxn>
            <a:cxn ang="T118">
              <a:pos x="T68" y="T69"/>
            </a:cxn>
            <a:cxn ang="T119">
              <a:pos x="T70" y="T71"/>
            </a:cxn>
            <a:cxn ang="T120">
              <a:pos x="T72" y="T73"/>
            </a:cxn>
            <a:cxn ang="T121">
              <a:pos x="T74" y="T75"/>
            </a:cxn>
            <a:cxn ang="T122">
              <a:pos x="T76" y="T77"/>
            </a:cxn>
            <a:cxn ang="T123">
              <a:pos x="T78" y="T79"/>
            </a:cxn>
            <a:cxn ang="T124">
              <a:pos x="T80" y="T81"/>
            </a:cxn>
            <a:cxn ang="T125">
              <a:pos x="T82" y="T83"/>
            </a:cxn>
          </a:cxnLst>
          <a:rect l="T126" t="T127" r="T128" b="T129"/>
          <a:pathLst>
            <a:path w="90" h="23">
              <a:moveTo>
                <a:pt x="90" y="2"/>
              </a:moveTo>
              <a:lnTo>
                <a:pt x="90" y="23"/>
              </a:lnTo>
              <a:lnTo>
                <a:pt x="87" y="22"/>
              </a:lnTo>
              <a:lnTo>
                <a:pt x="85" y="20"/>
              </a:lnTo>
              <a:lnTo>
                <a:pt x="83" y="20"/>
              </a:lnTo>
              <a:lnTo>
                <a:pt x="81" y="21"/>
              </a:lnTo>
              <a:lnTo>
                <a:pt x="79" y="22"/>
              </a:lnTo>
              <a:lnTo>
                <a:pt x="77" y="23"/>
              </a:lnTo>
              <a:lnTo>
                <a:pt x="75" y="23"/>
              </a:lnTo>
              <a:lnTo>
                <a:pt x="72" y="22"/>
              </a:lnTo>
              <a:lnTo>
                <a:pt x="70" y="21"/>
              </a:lnTo>
              <a:lnTo>
                <a:pt x="68" y="20"/>
              </a:lnTo>
              <a:lnTo>
                <a:pt x="66" y="21"/>
              </a:lnTo>
              <a:lnTo>
                <a:pt x="64" y="22"/>
              </a:lnTo>
              <a:lnTo>
                <a:pt x="62" y="23"/>
              </a:lnTo>
              <a:lnTo>
                <a:pt x="59" y="23"/>
              </a:lnTo>
              <a:lnTo>
                <a:pt x="56" y="22"/>
              </a:lnTo>
              <a:lnTo>
                <a:pt x="54" y="20"/>
              </a:lnTo>
              <a:lnTo>
                <a:pt x="52" y="20"/>
              </a:lnTo>
              <a:lnTo>
                <a:pt x="50" y="21"/>
              </a:lnTo>
              <a:lnTo>
                <a:pt x="48" y="22"/>
              </a:lnTo>
              <a:lnTo>
                <a:pt x="45" y="23"/>
              </a:lnTo>
              <a:lnTo>
                <a:pt x="42" y="22"/>
              </a:lnTo>
              <a:lnTo>
                <a:pt x="40" y="21"/>
              </a:lnTo>
              <a:lnTo>
                <a:pt x="38" y="20"/>
              </a:lnTo>
              <a:lnTo>
                <a:pt x="36" y="20"/>
              </a:lnTo>
              <a:lnTo>
                <a:pt x="35" y="21"/>
              </a:lnTo>
              <a:lnTo>
                <a:pt x="33" y="22"/>
              </a:lnTo>
              <a:lnTo>
                <a:pt x="31" y="23"/>
              </a:lnTo>
              <a:lnTo>
                <a:pt x="29" y="23"/>
              </a:lnTo>
              <a:lnTo>
                <a:pt x="27" y="22"/>
              </a:lnTo>
              <a:lnTo>
                <a:pt x="25" y="21"/>
              </a:lnTo>
              <a:lnTo>
                <a:pt x="23" y="20"/>
              </a:lnTo>
              <a:lnTo>
                <a:pt x="21" y="20"/>
              </a:lnTo>
              <a:lnTo>
                <a:pt x="19" y="21"/>
              </a:lnTo>
              <a:lnTo>
                <a:pt x="17" y="22"/>
              </a:lnTo>
              <a:lnTo>
                <a:pt x="15" y="23"/>
              </a:lnTo>
              <a:lnTo>
                <a:pt x="13" y="23"/>
              </a:lnTo>
              <a:lnTo>
                <a:pt x="11" y="22"/>
              </a:lnTo>
              <a:lnTo>
                <a:pt x="9" y="21"/>
              </a:lnTo>
              <a:lnTo>
                <a:pt x="7" y="20"/>
              </a:lnTo>
              <a:lnTo>
                <a:pt x="5" y="21"/>
              </a:lnTo>
              <a:lnTo>
                <a:pt x="3" y="22"/>
              </a:lnTo>
              <a:lnTo>
                <a:pt x="0" y="23"/>
              </a:lnTo>
              <a:lnTo>
                <a:pt x="0" y="2"/>
              </a:lnTo>
              <a:lnTo>
                <a:pt x="2" y="2"/>
              </a:lnTo>
              <a:lnTo>
                <a:pt x="4" y="3"/>
              </a:lnTo>
              <a:lnTo>
                <a:pt x="6" y="4"/>
              </a:lnTo>
              <a:lnTo>
                <a:pt x="8" y="3"/>
              </a:lnTo>
              <a:lnTo>
                <a:pt x="10" y="2"/>
              </a:lnTo>
              <a:lnTo>
                <a:pt x="12" y="1"/>
              </a:lnTo>
              <a:lnTo>
                <a:pt x="15" y="1"/>
              </a:lnTo>
              <a:lnTo>
                <a:pt x="17" y="2"/>
              </a:lnTo>
              <a:lnTo>
                <a:pt x="19" y="3"/>
              </a:lnTo>
              <a:lnTo>
                <a:pt x="22" y="3"/>
              </a:lnTo>
              <a:lnTo>
                <a:pt x="24" y="2"/>
              </a:lnTo>
              <a:lnTo>
                <a:pt x="26" y="1"/>
              </a:lnTo>
              <a:lnTo>
                <a:pt x="29" y="0"/>
              </a:lnTo>
              <a:lnTo>
                <a:pt x="32" y="1"/>
              </a:lnTo>
              <a:lnTo>
                <a:pt x="34" y="3"/>
              </a:lnTo>
              <a:lnTo>
                <a:pt x="36" y="4"/>
              </a:lnTo>
              <a:lnTo>
                <a:pt x="38" y="4"/>
              </a:lnTo>
              <a:lnTo>
                <a:pt x="40" y="2"/>
              </a:lnTo>
              <a:lnTo>
                <a:pt x="43" y="1"/>
              </a:lnTo>
              <a:lnTo>
                <a:pt x="45" y="1"/>
              </a:lnTo>
              <a:lnTo>
                <a:pt x="47" y="2"/>
              </a:lnTo>
              <a:lnTo>
                <a:pt x="49" y="3"/>
              </a:lnTo>
              <a:lnTo>
                <a:pt x="52" y="4"/>
              </a:lnTo>
              <a:lnTo>
                <a:pt x="54" y="3"/>
              </a:lnTo>
              <a:lnTo>
                <a:pt x="56" y="1"/>
              </a:lnTo>
              <a:lnTo>
                <a:pt x="59" y="1"/>
              </a:lnTo>
              <a:lnTo>
                <a:pt x="61" y="1"/>
              </a:lnTo>
              <a:lnTo>
                <a:pt x="63" y="2"/>
              </a:lnTo>
              <a:lnTo>
                <a:pt x="66" y="4"/>
              </a:lnTo>
              <a:lnTo>
                <a:pt x="69" y="2"/>
              </a:lnTo>
              <a:lnTo>
                <a:pt x="71" y="1"/>
              </a:lnTo>
              <a:lnTo>
                <a:pt x="74" y="0"/>
              </a:lnTo>
              <a:lnTo>
                <a:pt x="77" y="1"/>
              </a:lnTo>
              <a:lnTo>
                <a:pt x="79" y="3"/>
              </a:lnTo>
              <a:lnTo>
                <a:pt x="81" y="4"/>
              </a:lnTo>
              <a:lnTo>
                <a:pt x="83" y="3"/>
              </a:lnTo>
              <a:lnTo>
                <a:pt x="85" y="1"/>
              </a:lnTo>
              <a:lnTo>
                <a:pt x="88" y="0"/>
              </a:lnTo>
              <a:lnTo>
                <a:pt x="90" y="0"/>
              </a:lnTo>
              <a:lnTo>
                <a:pt x="90" y="2"/>
              </a:lnTo>
            </a:path>
          </a:pathLst>
        </a:custGeom>
        <a:noFill/>
        <a:ln w="1587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10</xdr:col>
      <xdr:colOff>114300</xdr:colOff>
      <xdr:row>33</xdr:row>
      <xdr:rowOff>161925</xdr:rowOff>
    </xdr:from>
    <xdr:to>
      <xdr:col>11</xdr:col>
      <xdr:colOff>66675</xdr:colOff>
      <xdr:row>38</xdr:row>
      <xdr:rowOff>57150</xdr:rowOff>
    </xdr:to>
    <xdr:sp macro="" textlink="">
      <xdr:nvSpPr>
        <xdr:cNvPr id="3702" name="Freeform 225"/>
        <xdr:cNvSpPr>
          <a:spLocks/>
        </xdr:cNvSpPr>
      </xdr:nvSpPr>
      <xdr:spPr bwMode="auto">
        <a:xfrm>
          <a:off x="1333500" y="6057900"/>
          <a:ext cx="76200" cy="800100"/>
        </a:xfrm>
        <a:custGeom>
          <a:avLst/>
          <a:gdLst>
            <a:gd name="T0" fmla="*/ 5 w 8"/>
            <a:gd name="T1" fmla="*/ 84 h 84"/>
            <a:gd name="T2" fmla="*/ 5 w 8"/>
            <a:gd name="T3" fmla="*/ 80 h 84"/>
            <a:gd name="T4" fmla="*/ 6 w 8"/>
            <a:gd name="T5" fmla="*/ 78 h 84"/>
            <a:gd name="T6" fmla="*/ 7 w 8"/>
            <a:gd name="T7" fmla="*/ 76 h 84"/>
            <a:gd name="T8" fmla="*/ 8 w 8"/>
            <a:gd name="T9" fmla="*/ 74 h 84"/>
            <a:gd name="T10" fmla="*/ 7 w 8"/>
            <a:gd name="T11" fmla="*/ 71 h 84"/>
            <a:gd name="T12" fmla="*/ 5 w 8"/>
            <a:gd name="T13" fmla="*/ 69 h 84"/>
            <a:gd name="T14" fmla="*/ 4 w 8"/>
            <a:gd name="T15" fmla="*/ 67 h 84"/>
            <a:gd name="T16" fmla="*/ 5 w 8"/>
            <a:gd name="T17" fmla="*/ 64 h 84"/>
            <a:gd name="T18" fmla="*/ 7 w 8"/>
            <a:gd name="T19" fmla="*/ 62 h 84"/>
            <a:gd name="T20" fmla="*/ 8 w 8"/>
            <a:gd name="T21" fmla="*/ 60 h 84"/>
            <a:gd name="T22" fmla="*/ 7 w 8"/>
            <a:gd name="T23" fmla="*/ 58 h 84"/>
            <a:gd name="T24" fmla="*/ 6 w 8"/>
            <a:gd name="T25" fmla="*/ 56 h 84"/>
            <a:gd name="T26" fmla="*/ 5 w 8"/>
            <a:gd name="T27" fmla="*/ 55 h 84"/>
            <a:gd name="T28" fmla="*/ 4 w 8"/>
            <a:gd name="T29" fmla="*/ 53 h 84"/>
            <a:gd name="T30" fmla="*/ 4 w 8"/>
            <a:gd name="T31" fmla="*/ 51 h 84"/>
            <a:gd name="T32" fmla="*/ 6 w 8"/>
            <a:gd name="T33" fmla="*/ 49 h 84"/>
            <a:gd name="T34" fmla="*/ 7 w 8"/>
            <a:gd name="T35" fmla="*/ 47 h 84"/>
            <a:gd name="T36" fmla="*/ 8 w 8"/>
            <a:gd name="T37" fmla="*/ 45 h 84"/>
            <a:gd name="T38" fmla="*/ 7 w 8"/>
            <a:gd name="T39" fmla="*/ 43 h 84"/>
            <a:gd name="T40" fmla="*/ 5 w 8"/>
            <a:gd name="T41" fmla="*/ 41 h 84"/>
            <a:gd name="T42" fmla="*/ 5 w 8"/>
            <a:gd name="T43" fmla="*/ 38 h 84"/>
            <a:gd name="T44" fmla="*/ 6 w 8"/>
            <a:gd name="T45" fmla="*/ 35 h 84"/>
            <a:gd name="T46" fmla="*/ 8 w 8"/>
            <a:gd name="T47" fmla="*/ 33 h 84"/>
            <a:gd name="T48" fmla="*/ 8 w 8"/>
            <a:gd name="T49" fmla="*/ 31 h 84"/>
            <a:gd name="T50" fmla="*/ 7 w 8"/>
            <a:gd name="T51" fmla="*/ 30 h 84"/>
            <a:gd name="T52" fmla="*/ 5 w 8"/>
            <a:gd name="T53" fmla="*/ 27 h 84"/>
            <a:gd name="T54" fmla="*/ 5 w 8"/>
            <a:gd name="T55" fmla="*/ 24 h 84"/>
            <a:gd name="T56" fmla="*/ 6 w 8"/>
            <a:gd name="T57" fmla="*/ 22 h 84"/>
            <a:gd name="T58" fmla="*/ 7 w 8"/>
            <a:gd name="T59" fmla="*/ 19 h 84"/>
            <a:gd name="T60" fmla="*/ 0 w 8"/>
            <a:gd name="T61" fmla="*/ 0 h 84"/>
            <a:gd name="T62" fmla="*/ 0 60000 65536"/>
            <a:gd name="T63" fmla="*/ 0 60000 65536"/>
            <a:gd name="T64" fmla="*/ 0 60000 65536"/>
            <a:gd name="T65" fmla="*/ 0 60000 65536"/>
            <a:gd name="T66" fmla="*/ 0 60000 65536"/>
            <a:gd name="T67" fmla="*/ 0 60000 65536"/>
            <a:gd name="T68" fmla="*/ 0 60000 65536"/>
            <a:gd name="T69" fmla="*/ 0 60000 65536"/>
            <a:gd name="T70" fmla="*/ 0 60000 65536"/>
            <a:gd name="T71" fmla="*/ 0 60000 65536"/>
            <a:gd name="T72" fmla="*/ 0 60000 65536"/>
            <a:gd name="T73" fmla="*/ 0 60000 65536"/>
            <a:gd name="T74" fmla="*/ 0 60000 65536"/>
            <a:gd name="T75" fmla="*/ 0 60000 65536"/>
            <a:gd name="T76" fmla="*/ 0 60000 65536"/>
            <a:gd name="T77" fmla="*/ 0 60000 65536"/>
            <a:gd name="T78" fmla="*/ 0 60000 65536"/>
            <a:gd name="T79" fmla="*/ 0 60000 65536"/>
            <a:gd name="T80" fmla="*/ 0 60000 65536"/>
            <a:gd name="T81" fmla="*/ 0 60000 65536"/>
            <a:gd name="T82" fmla="*/ 0 60000 65536"/>
            <a:gd name="T83" fmla="*/ 0 60000 65536"/>
            <a:gd name="T84" fmla="*/ 0 60000 65536"/>
            <a:gd name="T85" fmla="*/ 0 60000 65536"/>
            <a:gd name="T86" fmla="*/ 0 60000 65536"/>
            <a:gd name="T87" fmla="*/ 0 60000 65536"/>
            <a:gd name="T88" fmla="*/ 0 60000 65536"/>
            <a:gd name="T89" fmla="*/ 0 60000 65536"/>
            <a:gd name="T90" fmla="*/ 0 60000 65536"/>
            <a:gd name="T91" fmla="*/ 0 60000 65536"/>
            <a:gd name="T92" fmla="*/ 0 60000 65536"/>
            <a:gd name="T93" fmla="*/ 0 w 8"/>
            <a:gd name="T94" fmla="*/ 0 h 84"/>
            <a:gd name="T95" fmla="*/ 8 w 8"/>
            <a:gd name="T96" fmla="*/ 84 h 84"/>
          </a:gdLst>
          <a:ahLst/>
          <a:cxnLst>
            <a:cxn ang="T62">
              <a:pos x="T0" y="T1"/>
            </a:cxn>
            <a:cxn ang="T63">
              <a:pos x="T2" y="T3"/>
            </a:cxn>
            <a:cxn ang="T64">
              <a:pos x="T4" y="T5"/>
            </a:cxn>
            <a:cxn ang="T65">
              <a:pos x="T6" y="T7"/>
            </a:cxn>
            <a:cxn ang="T66">
              <a:pos x="T8" y="T9"/>
            </a:cxn>
            <a:cxn ang="T67">
              <a:pos x="T10" y="T11"/>
            </a:cxn>
            <a:cxn ang="T68">
              <a:pos x="T12" y="T13"/>
            </a:cxn>
            <a:cxn ang="T69">
              <a:pos x="T14" y="T15"/>
            </a:cxn>
            <a:cxn ang="T70">
              <a:pos x="T16" y="T17"/>
            </a:cxn>
            <a:cxn ang="T71">
              <a:pos x="T18" y="T19"/>
            </a:cxn>
            <a:cxn ang="T72">
              <a:pos x="T20" y="T21"/>
            </a:cxn>
            <a:cxn ang="T73">
              <a:pos x="T22" y="T23"/>
            </a:cxn>
            <a:cxn ang="T74">
              <a:pos x="T24" y="T25"/>
            </a:cxn>
            <a:cxn ang="T75">
              <a:pos x="T26" y="T27"/>
            </a:cxn>
            <a:cxn ang="T76">
              <a:pos x="T28" y="T29"/>
            </a:cxn>
            <a:cxn ang="T77">
              <a:pos x="T30" y="T31"/>
            </a:cxn>
            <a:cxn ang="T78">
              <a:pos x="T32" y="T33"/>
            </a:cxn>
            <a:cxn ang="T79">
              <a:pos x="T34" y="T35"/>
            </a:cxn>
            <a:cxn ang="T80">
              <a:pos x="T36" y="T37"/>
            </a:cxn>
            <a:cxn ang="T81">
              <a:pos x="T38" y="T39"/>
            </a:cxn>
            <a:cxn ang="T82">
              <a:pos x="T40" y="T41"/>
            </a:cxn>
            <a:cxn ang="T83">
              <a:pos x="T42" y="T43"/>
            </a:cxn>
            <a:cxn ang="T84">
              <a:pos x="T44" y="T45"/>
            </a:cxn>
            <a:cxn ang="T85">
              <a:pos x="T46" y="T47"/>
            </a:cxn>
            <a:cxn ang="T86">
              <a:pos x="T48" y="T49"/>
            </a:cxn>
            <a:cxn ang="T87">
              <a:pos x="T50" y="T51"/>
            </a:cxn>
            <a:cxn ang="T88">
              <a:pos x="T52" y="T53"/>
            </a:cxn>
            <a:cxn ang="T89">
              <a:pos x="T54" y="T55"/>
            </a:cxn>
            <a:cxn ang="T90">
              <a:pos x="T56" y="T57"/>
            </a:cxn>
            <a:cxn ang="T91">
              <a:pos x="T58" y="T59"/>
            </a:cxn>
            <a:cxn ang="T92">
              <a:pos x="T60" y="T61"/>
            </a:cxn>
          </a:cxnLst>
          <a:rect l="T93" t="T94" r="T95" b="T96"/>
          <a:pathLst>
            <a:path w="8" h="84">
              <a:moveTo>
                <a:pt x="5" y="84"/>
              </a:moveTo>
              <a:lnTo>
                <a:pt x="5" y="80"/>
              </a:lnTo>
              <a:lnTo>
                <a:pt x="6" y="78"/>
              </a:lnTo>
              <a:lnTo>
                <a:pt x="7" y="76"/>
              </a:lnTo>
              <a:lnTo>
                <a:pt x="8" y="74"/>
              </a:lnTo>
              <a:lnTo>
                <a:pt x="7" y="71"/>
              </a:lnTo>
              <a:lnTo>
                <a:pt x="5" y="69"/>
              </a:lnTo>
              <a:lnTo>
                <a:pt x="4" y="67"/>
              </a:lnTo>
              <a:lnTo>
                <a:pt x="5" y="64"/>
              </a:lnTo>
              <a:lnTo>
                <a:pt x="7" y="62"/>
              </a:lnTo>
              <a:lnTo>
                <a:pt x="8" y="60"/>
              </a:lnTo>
              <a:lnTo>
                <a:pt x="7" y="58"/>
              </a:lnTo>
              <a:lnTo>
                <a:pt x="6" y="56"/>
              </a:lnTo>
              <a:lnTo>
                <a:pt x="5" y="55"/>
              </a:lnTo>
              <a:lnTo>
                <a:pt x="4" y="53"/>
              </a:lnTo>
              <a:lnTo>
                <a:pt x="4" y="51"/>
              </a:lnTo>
              <a:lnTo>
                <a:pt x="6" y="49"/>
              </a:lnTo>
              <a:lnTo>
                <a:pt x="7" y="47"/>
              </a:lnTo>
              <a:lnTo>
                <a:pt x="8" y="45"/>
              </a:lnTo>
              <a:lnTo>
                <a:pt x="7" y="43"/>
              </a:lnTo>
              <a:lnTo>
                <a:pt x="5" y="41"/>
              </a:lnTo>
              <a:lnTo>
                <a:pt x="5" y="38"/>
              </a:lnTo>
              <a:lnTo>
                <a:pt x="6" y="35"/>
              </a:lnTo>
              <a:lnTo>
                <a:pt x="8" y="33"/>
              </a:lnTo>
              <a:lnTo>
                <a:pt x="8" y="31"/>
              </a:lnTo>
              <a:lnTo>
                <a:pt x="7" y="30"/>
              </a:lnTo>
              <a:lnTo>
                <a:pt x="5" y="27"/>
              </a:lnTo>
              <a:lnTo>
                <a:pt x="5" y="24"/>
              </a:lnTo>
              <a:lnTo>
                <a:pt x="6" y="22"/>
              </a:lnTo>
              <a:lnTo>
                <a:pt x="7" y="19"/>
              </a:lnTo>
              <a:lnTo>
                <a:pt x="0" y="0"/>
              </a:lnTo>
            </a:path>
          </a:pathLst>
        </a:custGeom>
        <a:noFill/>
        <a:ln w="1587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66675</xdr:colOff>
      <xdr:row>38</xdr:row>
      <xdr:rowOff>57150</xdr:rowOff>
    </xdr:from>
    <xdr:to>
      <xdr:col>12</xdr:col>
      <xdr:colOff>28575</xdr:colOff>
      <xdr:row>38</xdr:row>
      <xdr:rowOff>57150</xdr:rowOff>
    </xdr:to>
    <xdr:sp macro="" textlink="">
      <xdr:nvSpPr>
        <xdr:cNvPr id="3703" name="Line 226"/>
        <xdr:cNvSpPr>
          <a:spLocks noChangeShapeType="1"/>
        </xdr:cNvSpPr>
      </xdr:nvSpPr>
      <xdr:spPr bwMode="auto">
        <a:xfrm>
          <a:off x="1409700" y="6858000"/>
          <a:ext cx="8572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12</xdr:col>
      <xdr:colOff>57150</xdr:colOff>
      <xdr:row>38</xdr:row>
      <xdr:rowOff>57150</xdr:rowOff>
    </xdr:from>
    <xdr:to>
      <xdr:col>14</xdr:col>
      <xdr:colOff>19050</xdr:colOff>
      <xdr:row>38</xdr:row>
      <xdr:rowOff>57150</xdr:rowOff>
    </xdr:to>
    <xdr:sp macro="" textlink="">
      <xdr:nvSpPr>
        <xdr:cNvPr id="3704" name="Line 227"/>
        <xdr:cNvSpPr>
          <a:spLocks noChangeShapeType="1"/>
        </xdr:cNvSpPr>
      </xdr:nvSpPr>
      <xdr:spPr bwMode="auto">
        <a:xfrm>
          <a:off x="1524000" y="6858000"/>
          <a:ext cx="13335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14</xdr:col>
      <xdr:colOff>38100</xdr:colOff>
      <xdr:row>38</xdr:row>
      <xdr:rowOff>57150</xdr:rowOff>
    </xdr:from>
    <xdr:to>
      <xdr:col>15</xdr:col>
      <xdr:colOff>57150</xdr:colOff>
      <xdr:row>38</xdr:row>
      <xdr:rowOff>57150</xdr:rowOff>
    </xdr:to>
    <xdr:sp macro="" textlink="">
      <xdr:nvSpPr>
        <xdr:cNvPr id="3705" name="Line 228"/>
        <xdr:cNvSpPr>
          <a:spLocks noChangeShapeType="1"/>
        </xdr:cNvSpPr>
      </xdr:nvSpPr>
      <xdr:spPr bwMode="auto">
        <a:xfrm>
          <a:off x="1676400" y="6858000"/>
          <a:ext cx="1047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18</xdr:col>
      <xdr:colOff>47625</xdr:colOff>
      <xdr:row>22</xdr:row>
      <xdr:rowOff>161925</xdr:rowOff>
    </xdr:from>
    <xdr:to>
      <xdr:col>19</xdr:col>
      <xdr:colOff>95250</xdr:colOff>
      <xdr:row>38</xdr:row>
      <xdr:rowOff>47625</xdr:rowOff>
    </xdr:to>
    <xdr:sp macro="" textlink="">
      <xdr:nvSpPr>
        <xdr:cNvPr id="3706" name="Freeform 229"/>
        <xdr:cNvSpPr>
          <a:spLocks/>
        </xdr:cNvSpPr>
      </xdr:nvSpPr>
      <xdr:spPr bwMode="auto">
        <a:xfrm>
          <a:off x="2105025" y="4086225"/>
          <a:ext cx="171450" cy="2762250"/>
        </a:xfrm>
        <a:custGeom>
          <a:avLst/>
          <a:gdLst>
            <a:gd name="T0" fmla="*/ 14 w 18"/>
            <a:gd name="T1" fmla="*/ 2 h 290"/>
            <a:gd name="T2" fmla="*/ 13 w 18"/>
            <a:gd name="T3" fmla="*/ 7 h 290"/>
            <a:gd name="T4" fmla="*/ 16 w 18"/>
            <a:gd name="T5" fmla="*/ 13 h 290"/>
            <a:gd name="T6" fmla="*/ 13 w 18"/>
            <a:gd name="T7" fmla="*/ 17 h 290"/>
            <a:gd name="T8" fmla="*/ 15 w 18"/>
            <a:gd name="T9" fmla="*/ 23 h 290"/>
            <a:gd name="T10" fmla="*/ 14 w 18"/>
            <a:gd name="T11" fmla="*/ 30 h 290"/>
            <a:gd name="T12" fmla="*/ 12 w 18"/>
            <a:gd name="T13" fmla="*/ 34 h 290"/>
            <a:gd name="T14" fmla="*/ 16 w 18"/>
            <a:gd name="T15" fmla="*/ 40 h 290"/>
            <a:gd name="T16" fmla="*/ 13 w 18"/>
            <a:gd name="T17" fmla="*/ 46 h 290"/>
            <a:gd name="T18" fmla="*/ 16 w 18"/>
            <a:gd name="T19" fmla="*/ 52 h 290"/>
            <a:gd name="T20" fmla="*/ 15 w 18"/>
            <a:gd name="T21" fmla="*/ 56 h 290"/>
            <a:gd name="T22" fmla="*/ 13 w 18"/>
            <a:gd name="T23" fmla="*/ 62 h 290"/>
            <a:gd name="T24" fmla="*/ 16 w 18"/>
            <a:gd name="T25" fmla="*/ 66 h 290"/>
            <a:gd name="T26" fmla="*/ 13 w 18"/>
            <a:gd name="T27" fmla="*/ 72 h 290"/>
            <a:gd name="T28" fmla="*/ 16 w 18"/>
            <a:gd name="T29" fmla="*/ 80 h 290"/>
            <a:gd name="T30" fmla="*/ 13 w 18"/>
            <a:gd name="T31" fmla="*/ 86 h 290"/>
            <a:gd name="T32" fmla="*/ 16 w 18"/>
            <a:gd name="T33" fmla="*/ 92 h 290"/>
            <a:gd name="T34" fmla="*/ 15 w 18"/>
            <a:gd name="T35" fmla="*/ 97 h 290"/>
            <a:gd name="T36" fmla="*/ 14 w 18"/>
            <a:gd name="T37" fmla="*/ 103 h 290"/>
            <a:gd name="T38" fmla="*/ 17 w 18"/>
            <a:gd name="T39" fmla="*/ 109 h 290"/>
            <a:gd name="T40" fmla="*/ 14 w 18"/>
            <a:gd name="T41" fmla="*/ 114 h 290"/>
            <a:gd name="T42" fmla="*/ 15 w 18"/>
            <a:gd name="T43" fmla="*/ 118 h 290"/>
            <a:gd name="T44" fmla="*/ 17 w 18"/>
            <a:gd name="T45" fmla="*/ 123 h 290"/>
            <a:gd name="T46" fmla="*/ 14 w 18"/>
            <a:gd name="T47" fmla="*/ 128 h 290"/>
            <a:gd name="T48" fmla="*/ 15 w 18"/>
            <a:gd name="T49" fmla="*/ 133 h 290"/>
            <a:gd name="T50" fmla="*/ 16 w 18"/>
            <a:gd name="T51" fmla="*/ 140 h 290"/>
            <a:gd name="T52" fmla="*/ 12 w 18"/>
            <a:gd name="T53" fmla="*/ 145 h 290"/>
            <a:gd name="T54" fmla="*/ 16 w 18"/>
            <a:gd name="T55" fmla="*/ 151 h 290"/>
            <a:gd name="T56" fmla="*/ 13 w 18"/>
            <a:gd name="T57" fmla="*/ 157 h 290"/>
            <a:gd name="T58" fmla="*/ 14 w 18"/>
            <a:gd name="T59" fmla="*/ 162 h 290"/>
            <a:gd name="T60" fmla="*/ 15 w 18"/>
            <a:gd name="T61" fmla="*/ 169 h 290"/>
            <a:gd name="T62" fmla="*/ 14 w 18"/>
            <a:gd name="T63" fmla="*/ 175 h 290"/>
            <a:gd name="T64" fmla="*/ 17 w 18"/>
            <a:gd name="T65" fmla="*/ 180 h 290"/>
            <a:gd name="T66" fmla="*/ 13 w 18"/>
            <a:gd name="T67" fmla="*/ 186 h 290"/>
            <a:gd name="T68" fmla="*/ 16 w 18"/>
            <a:gd name="T69" fmla="*/ 192 h 290"/>
            <a:gd name="T70" fmla="*/ 15 w 18"/>
            <a:gd name="T71" fmla="*/ 196 h 290"/>
            <a:gd name="T72" fmla="*/ 10 w 18"/>
            <a:gd name="T73" fmla="*/ 203 h 290"/>
            <a:gd name="T74" fmla="*/ 6 w 18"/>
            <a:gd name="T75" fmla="*/ 210 h 290"/>
            <a:gd name="T76" fmla="*/ 1 w 18"/>
            <a:gd name="T77" fmla="*/ 216 h 290"/>
            <a:gd name="T78" fmla="*/ 1 w 18"/>
            <a:gd name="T79" fmla="*/ 223 h 290"/>
            <a:gd name="T80" fmla="*/ 1 w 18"/>
            <a:gd name="T81" fmla="*/ 229 h 290"/>
            <a:gd name="T82" fmla="*/ 1 w 18"/>
            <a:gd name="T83" fmla="*/ 236 h 290"/>
            <a:gd name="T84" fmla="*/ 4 w 18"/>
            <a:gd name="T85" fmla="*/ 241 h 290"/>
            <a:gd name="T86" fmla="*/ 6 w 18"/>
            <a:gd name="T87" fmla="*/ 247 h 290"/>
            <a:gd name="T88" fmla="*/ 10 w 18"/>
            <a:gd name="T89" fmla="*/ 252 h 290"/>
            <a:gd name="T90" fmla="*/ 16 w 18"/>
            <a:gd name="T91" fmla="*/ 258 h 290"/>
            <a:gd name="T92" fmla="*/ 17 w 18"/>
            <a:gd name="T93" fmla="*/ 264 h 290"/>
            <a:gd name="T94" fmla="*/ 15 w 18"/>
            <a:gd name="T95" fmla="*/ 271 h 290"/>
            <a:gd name="T96" fmla="*/ 17 w 18"/>
            <a:gd name="T97" fmla="*/ 279 h 290"/>
            <a:gd name="T98" fmla="*/ 14 w 18"/>
            <a:gd name="T99" fmla="*/ 286 h 290"/>
            <a:gd name="T100" fmla="*/ 0 60000 65536"/>
            <a:gd name="T101" fmla="*/ 0 60000 65536"/>
            <a:gd name="T102" fmla="*/ 0 60000 65536"/>
            <a:gd name="T103" fmla="*/ 0 60000 65536"/>
            <a:gd name="T104" fmla="*/ 0 60000 65536"/>
            <a:gd name="T105" fmla="*/ 0 60000 65536"/>
            <a:gd name="T106" fmla="*/ 0 60000 65536"/>
            <a:gd name="T107" fmla="*/ 0 60000 65536"/>
            <a:gd name="T108" fmla="*/ 0 60000 65536"/>
            <a:gd name="T109" fmla="*/ 0 60000 65536"/>
            <a:gd name="T110" fmla="*/ 0 60000 65536"/>
            <a:gd name="T111" fmla="*/ 0 60000 65536"/>
            <a:gd name="T112" fmla="*/ 0 60000 65536"/>
            <a:gd name="T113" fmla="*/ 0 60000 65536"/>
            <a:gd name="T114" fmla="*/ 0 60000 65536"/>
            <a:gd name="T115" fmla="*/ 0 60000 65536"/>
            <a:gd name="T116" fmla="*/ 0 60000 65536"/>
            <a:gd name="T117" fmla="*/ 0 60000 65536"/>
            <a:gd name="T118" fmla="*/ 0 60000 65536"/>
            <a:gd name="T119" fmla="*/ 0 60000 65536"/>
            <a:gd name="T120" fmla="*/ 0 60000 65536"/>
            <a:gd name="T121" fmla="*/ 0 60000 65536"/>
            <a:gd name="T122" fmla="*/ 0 60000 65536"/>
            <a:gd name="T123" fmla="*/ 0 60000 65536"/>
            <a:gd name="T124" fmla="*/ 0 60000 65536"/>
            <a:gd name="T125" fmla="*/ 0 60000 65536"/>
            <a:gd name="T126" fmla="*/ 0 60000 65536"/>
            <a:gd name="T127" fmla="*/ 0 60000 65536"/>
            <a:gd name="T128" fmla="*/ 0 60000 65536"/>
            <a:gd name="T129" fmla="*/ 0 60000 65536"/>
            <a:gd name="T130" fmla="*/ 0 60000 65536"/>
            <a:gd name="T131" fmla="*/ 0 60000 65536"/>
            <a:gd name="T132" fmla="*/ 0 60000 65536"/>
            <a:gd name="T133" fmla="*/ 0 60000 65536"/>
            <a:gd name="T134" fmla="*/ 0 60000 65536"/>
            <a:gd name="T135" fmla="*/ 0 60000 65536"/>
            <a:gd name="T136" fmla="*/ 0 60000 65536"/>
            <a:gd name="T137" fmla="*/ 0 60000 65536"/>
            <a:gd name="T138" fmla="*/ 0 60000 65536"/>
            <a:gd name="T139" fmla="*/ 0 60000 65536"/>
            <a:gd name="T140" fmla="*/ 0 60000 65536"/>
            <a:gd name="T141" fmla="*/ 0 60000 65536"/>
            <a:gd name="T142" fmla="*/ 0 60000 65536"/>
            <a:gd name="T143" fmla="*/ 0 60000 65536"/>
            <a:gd name="T144" fmla="*/ 0 60000 65536"/>
            <a:gd name="T145" fmla="*/ 0 60000 65536"/>
            <a:gd name="T146" fmla="*/ 0 60000 65536"/>
            <a:gd name="T147" fmla="*/ 0 60000 65536"/>
            <a:gd name="T148" fmla="*/ 0 60000 65536"/>
            <a:gd name="T149" fmla="*/ 0 60000 65536"/>
            <a:gd name="T150" fmla="*/ 0 w 18"/>
            <a:gd name="T151" fmla="*/ 0 h 290"/>
            <a:gd name="T152" fmla="*/ 18 w 18"/>
            <a:gd name="T153" fmla="*/ 290 h 290"/>
          </a:gdLst>
          <a:ahLst/>
          <a:cxnLst>
            <a:cxn ang="T100">
              <a:pos x="T0" y="T1"/>
            </a:cxn>
            <a:cxn ang="T101">
              <a:pos x="T2" y="T3"/>
            </a:cxn>
            <a:cxn ang="T102">
              <a:pos x="T4" y="T5"/>
            </a:cxn>
            <a:cxn ang="T103">
              <a:pos x="T6" y="T7"/>
            </a:cxn>
            <a:cxn ang="T104">
              <a:pos x="T8" y="T9"/>
            </a:cxn>
            <a:cxn ang="T105">
              <a:pos x="T10" y="T11"/>
            </a:cxn>
            <a:cxn ang="T106">
              <a:pos x="T12" y="T13"/>
            </a:cxn>
            <a:cxn ang="T107">
              <a:pos x="T14" y="T15"/>
            </a:cxn>
            <a:cxn ang="T108">
              <a:pos x="T16" y="T17"/>
            </a:cxn>
            <a:cxn ang="T109">
              <a:pos x="T18" y="T19"/>
            </a:cxn>
            <a:cxn ang="T110">
              <a:pos x="T20" y="T21"/>
            </a:cxn>
            <a:cxn ang="T111">
              <a:pos x="T22" y="T23"/>
            </a:cxn>
            <a:cxn ang="T112">
              <a:pos x="T24" y="T25"/>
            </a:cxn>
            <a:cxn ang="T113">
              <a:pos x="T26" y="T27"/>
            </a:cxn>
            <a:cxn ang="T114">
              <a:pos x="T28" y="T29"/>
            </a:cxn>
            <a:cxn ang="T115">
              <a:pos x="T30" y="T31"/>
            </a:cxn>
            <a:cxn ang="T116">
              <a:pos x="T32" y="T33"/>
            </a:cxn>
            <a:cxn ang="T117">
              <a:pos x="T34" y="T35"/>
            </a:cxn>
            <a:cxn ang="T118">
              <a:pos x="T36" y="T37"/>
            </a:cxn>
            <a:cxn ang="T119">
              <a:pos x="T38" y="T39"/>
            </a:cxn>
            <a:cxn ang="T120">
              <a:pos x="T40" y="T41"/>
            </a:cxn>
            <a:cxn ang="T121">
              <a:pos x="T42" y="T43"/>
            </a:cxn>
            <a:cxn ang="T122">
              <a:pos x="T44" y="T45"/>
            </a:cxn>
            <a:cxn ang="T123">
              <a:pos x="T46" y="T47"/>
            </a:cxn>
            <a:cxn ang="T124">
              <a:pos x="T48" y="T49"/>
            </a:cxn>
            <a:cxn ang="T125">
              <a:pos x="T50" y="T51"/>
            </a:cxn>
            <a:cxn ang="T126">
              <a:pos x="T52" y="T53"/>
            </a:cxn>
            <a:cxn ang="T127">
              <a:pos x="T54" y="T55"/>
            </a:cxn>
            <a:cxn ang="T128">
              <a:pos x="T56" y="T57"/>
            </a:cxn>
            <a:cxn ang="T129">
              <a:pos x="T58" y="T59"/>
            </a:cxn>
            <a:cxn ang="T130">
              <a:pos x="T60" y="T61"/>
            </a:cxn>
            <a:cxn ang="T131">
              <a:pos x="T62" y="T63"/>
            </a:cxn>
            <a:cxn ang="T132">
              <a:pos x="T64" y="T65"/>
            </a:cxn>
            <a:cxn ang="T133">
              <a:pos x="T66" y="T67"/>
            </a:cxn>
            <a:cxn ang="T134">
              <a:pos x="T68" y="T69"/>
            </a:cxn>
            <a:cxn ang="T135">
              <a:pos x="T70" y="T71"/>
            </a:cxn>
            <a:cxn ang="T136">
              <a:pos x="T72" y="T73"/>
            </a:cxn>
            <a:cxn ang="T137">
              <a:pos x="T74" y="T75"/>
            </a:cxn>
            <a:cxn ang="T138">
              <a:pos x="T76" y="T77"/>
            </a:cxn>
            <a:cxn ang="T139">
              <a:pos x="T78" y="T79"/>
            </a:cxn>
            <a:cxn ang="T140">
              <a:pos x="T80" y="T81"/>
            </a:cxn>
            <a:cxn ang="T141">
              <a:pos x="T82" y="T83"/>
            </a:cxn>
            <a:cxn ang="T142">
              <a:pos x="T84" y="T85"/>
            </a:cxn>
            <a:cxn ang="T143">
              <a:pos x="T86" y="T87"/>
            </a:cxn>
            <a:cxn ang="T144">
              <a:pos x="T88" y="T89"/>
            </a:cxn>
            <a:cxn ang="T145">
              <a:pos x="T90" y="T91"/>
            </a:cxn>
            <a:cxn ang="T146">
              <a:pos x="T92" y="T93"/>
            </a:cxn>
            <a:cxn ang="T147">
              <a:pos x="T94" y="T95"/>
            </a:cxn>
            <a:cxn ang="T148">
              <a:pos x="T96" y="T97"/>
            </a:cxn>
            <a:cxn ang="T149">
              <a:pos x="T98" y="T99"/>
            </a:cxn>
          </a:cxnLst>
          <a:rect l="T150" t="T151" r="T152" b="T153"/>
          <a:pathLst>
            <a:path w="18" h="290">
              <a:moveTo>
                <a:pt x="16" y="0"/>
              </a:moveTo>
              <a:lnTo>
                <a:pt x="15" y="1"/>
              </a:lnTo>
              <a:lnTo>
                <a:pt x="14" y="2"/>
              </a:lnTo>
              <a:lnTo>
                <a:pt x="13" y="3"/>
              </a:lnTo>
              <a:lnTo>
                <a:pt x="13" y="5"/>
              </a:lnTo>
              <a:lnTo>
                <a:pt x="13" y="7"/>
              </a:lnTo>
              <a:lnTo>
                <a:pt x="15" y="9"/>
              </a:lnTo>
              <a:lnTo>
                <a:pt x="16" y="11"/>
              </a:lnTo>
              <a:lnTo>
                <a:pt x="16" y="13"/>
              </a:lnTo>
              <a:lnTo>
                <a:pt x="15" y="15"/>
              </a:lnTo>
              <a:lnTo>
                <a:pt x="14" y="16"/>
              </a:lnTo>
              <a:lnTo>
                <a:pt x="13" y="17"/>
              </a:lnTo>
              <a:lnTo>
                <a:pt x="13" y="19"/>
              </a:lnTo>
              <a:lnTo>
                <a:pt x="13" y="21"/>
              </a:lnTo>
              <a:lnTo>
                <a:pt x="15" y="23"/>
              </a:lnTo>
              <a:lnTo>
                <a:pt x="16" y="25"/>
              </a:lnTo>
              <a:lnTo>
                <a:pt x="16" y="27"/>
              </a:lnTo>
              <a:lnTo>
                <a:pt x="14" y="30"/>
              </a:lnTo>
              <a:lnTo>
                <a:pt x="13" y="31"/>
              </a:lnTo>
              <a:lnTo>
                <a:pt x="12" y="32"/>
              </a:lnTo>
              <a:lnTo>
                <a:pt x="12" y="34"/>
              </a:lnTo>
              <a:lnTo>
                <a:pt x="13" y="36"/>
              </a:lnTo>
              <a:lnTo>
                <a:pt x="15" y="38"/>
              </a:lnTo>
              <a:lnTo>
                <a:pt x="16" y="40"/>
              </a:lnTo>
              <a:lnTo>
                <a:pt x="15" y="42"/>
              </a:lnTo>
              <a:lnTo>
                <a:pt x="14" y="44"/>
              </a:lnTo>
              <a:lnTo>
                <a:pt x="13" y="46"/>
              </a:lnTo>
              <a:lnTo>
                <a:pt x="13" y="48"/>
              </a:lnTo>
              <a:lnTo>
                <a:pt x="14" y="50"/>
              </a:lnTo>
              <a:lnTo>
                <a:pt x="16" y="52"/>
              </a:lnTo>
              <a:lnTo>
                <a:pt x="16" y="54"/>
              </a:lnTo>
              <a:lnTo>
                <a:pt x="15" y="56"/>
              </a:lnTo>
              <a:lnTo>
                <a:pt x="14" y="58"/>
              </a:lnTo>
              <a:lnTo>
                <a:pt x="13" y="60"/>
              </a:lnTo>
              <a:lnTo>
                <a:pt x="13" y="62"/>
              </a:lnTo>
              <a:lnTo>
                <a:pt x="14" y="63"/>
              </a:lnTo>
              <a:lnTo>
                <a:pt x="15" y="64"/>
              </a:lnTo>
              <a:lnTo>
                <a:pt x="16" y="66"/>
              </a:lnTo>
              <a:lnTo>
                <a:pt x="16" y="68"/>
              </a:lnTo>
              <a:lnTo>
                <a:pt x="15" y="70"/>
              </a:lnTo>
              <a:lnTo>
                <a:pt x="13" y="72"/>
              </a:lnTo>
              <a:lnTo>
                <a:pt x="13" y="75"/>
              </a:lnTo>
              <a:lnTo>
                <a:pt x="15" y="78"/>
              </a:lnTo>
              <a:lnTo>
                <a:pt x="16" y="80"/>
              </a:lnTo>
              <a:lnTo>
                <a:pt x="16" y="82"/>
              </a:lnTo>
              <a:lnTo>
                <a:pt x="14" y="84"/>
              </a:lnTo>
              <a:lnTo>
                <a:pt x="13" y="86"/>
              </a:lnTo>
              <a:lnTo>
                <a:pt x="13" y="88"/>
              </a:lnTo>
              <a:lnTo>
                <a:pt x="14" y="90"/>
              </a:lnTo>
              <a:lnTo>
                <a:pt x="16" y="92"/>
              </a:lnTo>
              <a:lnTo>
                <a:pt x="16" y="94"/>
              </a:lnTo>
              <a:lnTo>
                <a:pt x="16" y="95"/>
              </a:lnTo>
              <a:lnTo>
                <a:pt x="15" y="97"/>
              </a:lnTo>
              <a:lnTo>
                <a:pt x="14" y="99"/>
              </a:lnTo>
              <a:lnTo>
                <a:pt x="13" y="101"/>
              </a:lnTo>
              <a:lnTo>
                <a:pt x="14" y="103"/>
              </a:lnTo>
              <a:lnTo>
                <a:pt x="16" y="105"/>
              </a:lnTo>
              <a:lnTo>
                <a:pt x="17" y="107"/>
              </a:lnTo>
              <a:lnTo>
                <a:pt x="17" y="109"/>
              </a:lnTo>
              <a:lnTo>
                <a:pt x="16" y="111"/>
              </a:lnTo>
              <a:lnTo>
                <a:pt x="15" y="113"/>
              </a:lnTo>
              <a:lnTo>
                <a:pt x="14" y="114"/>
              </a:lnTo>
              <a:lnTo>
                <a:pt x="13" y="115"/>
              </a:lnTo>
              <a:lnTo>
                <a:pt x="14" y="117"/>
              </a:lnTo>
              <a:lnTo>
                <a:pt x="15" y="118"/>
              </a:lnTo>
              <a:lnTo>
                <a:pt x="16" y="119"/>
              </a:lnTo>
              <a:lnTo>
                <a:pt x="17" y="121"/>
              </a:lnTo>
              <a:lnTo>
                <a:pt x="17" y="123"/>
              </a:lnTo>
              <a:lnTo>
                <a:pt x="16" y="125"/>
              </a:lnTo>
              <a:lnTo>
                <a:pt x="15" y="127"/>
              </a:lnTo>
              <a:lnTo>
                <a:pt x="14" y="128"/>
              </a:lnTo>
              <a:lnTo>
                <a:pt x="13" y="130"/>
              </a:lnTo>
              <a:lnTo>
                <a:pt x="14" y="132"/>
              </a:lnTo>
              <a:lnTo>
                <a:pt x="15" y="133"/>
              </a:lnTo>
              <a:lnTo>
                <a:pt x="16" y="135"/>
              </a:lnTo>
              <a:lnTo>
                <a:pt x="17" y="138"/>
              </a:lnTo>
              <a:lnTo>
                <a:pt x="16" y="140"/>
              </a:lnTo>
              <a:lnTo>
                <a:pt x="15" y="141"/>
              </a:lnTo>
              <a:lnTo>
                <a:pt x="13" y="142"/>
              </a:lnTo>
              <a:lnTo>
                <a:pt x="12" y="145"/>
              </a:lnTo>
              <a:lnTo>
                <a:pt x="13" y="147"/>
              </a:lnTo>
              <a:lnTo>
                <a:pt x="15" y="149"/>
              </a:lnTo>
              <a:lnTo>
                <a:pt x="16" y="151"/>
              </a:lnTo>
              <a:lnTo>
                <a:pt x="16" y="153"/>
              </a:lnTo>
              <a:lnTo>
                <a:pt x="14" y="155"/>
              </a:lnTo>
              <a:lnTo>
                <a:pt x="13" y="157"/>
              </a:lnTo>
              <a:lnTo>
                <a:pt x="12" y="159"/>
              </a:lnTo>
              <a:lnTo>
                <a:pt x="12" y="160"/>
              </a:lnTo>
              <a:lnTo>
                <a:pt x="14" y="162"/>
              </a:lnTo>
              <a:lnTo>
                <a:pt x="16" y="164"/>
              </a:lnTo>
              <a:lnTo>
                <a:pt x="16" y="167"/>
              </a:lnTo>
              <a:lnTo>
                <a:pt x="15" y="169"/>
              </a:lnTo>
              <a:lnTo>
                <a:pt x="13" y="171"/>
              </a:lnTo>
              <a:lnTo>
                <a:pt x="13" y="173"/>
              </a:lnTo>
              <a:lnTo>
                <a:pt x="14" y="175"/>
              </a:lnTo>
              <a:lnTo>
                <a:pt x="16" y="176"/>
              </a:lnTo>
              <a:lnTo>
                <a:pt x="17" y="178"/>
              </a:lnTo>
              <a:lnTo>
                <a:pt x="17" y="180"/>
              </a:lnTo>
              <a:lnTo>
                <a:pt x="16" y="182"/>
              </a:lnTo>
              <a:lnTo>
                <a:pt x="14" y="184"/>
              </a:lnTo>
              <a:lnTo>
                <a:pt x="13" y="186"/>
              </a:lnTo>
              <a:lnTo>
                <a:pt x="14" y="188"/>
              </a:lnTo>
              <a:lnTo>
                <a:pt x="15" y="190"/>
              </a:lnTo>
              <a:lnTo>
                <a:pt x="16" y="192"/>
              </a:lnTo>
              <a:lnTo>
                <a:pt x="16" y="194"/>
              </a:lnTo>
              <a:lnTo>
                <a:pt x="16" y="195"/>
              </a:lnTo>
              <a:lnTo>
                <a:pt x="15" y="196"/>
              </a:lnTo>
              <a:lnTo>
                <a:pt x="12" y="198"/>
              </a:lnTo>
              <a:lnTo>
                <a:pt x="12" y="201"/>
              </a:lnTo>
              <a:lnTo>
                <a:pt x="10" y="203"/>
              </a:lnTo>
              <a:lnTo>
                <a:pt x="7" y="205"/>
              </a:lnTo>
              <a:lnTo>
                <a:pt x="6" y="207"/>
              </a:lnTo>
              <a:lnTo>
                <a:pt x="6" y="210"/>
              </a:lnTo>
              <a:lnTo>
                <a:pt x="5" y="212"/>
              </a:lnTo>
              <a:lnTo>
                <a:pt x="3" y="214"/>
              </a:lnTo>
              <a:lnTo>
                <a:pt x="1" y="216"/>
              </a:lnTo>
              <a:lnTo>
                <a:pt x="1" y="218"/>
              </a:lnTo>
              <a:lnTo>
                <a:pt x="2" y="221"/>
              </a:lnTo>
              <a:lnTo>
                <a:pt x="1" y="223"/>
              </a:lnTo>
              <a:lnTo>
                <a:pt x="0" y="225"/>
              </a:lnTo>
              <a:lnTo>
                <a:pt x="0" y="227"/>
              </a:lnTo>
              <a:lnTo>
                <a:pt x="1" y="229"/>
              </a:lnTo>
              <a:lnTo>
                <a:pt x="2" y="231"/>
              </a:lnTo>
              <a:lnTo>
                <a:pt x="2" y="234"/>
              </a:lnTo>
              <a:lnTo>
                <a:pt x="1" y="236"/>
              </a:lnTo>
              <a:lnTo>
                <a:pt x="1" y="238"/>
              </a:lnTo>
              <a:lnTo>
                <a:pt x="2" y="240"/>
              </a:lnTo>
              <a:lnTo>
                <a:pt x="4" y="241"/>
              </a:lnTo>
              <a:lnTo>
                <a:pt x="4" y="243"/>
              </a:lnTo>
              <a:lnTo>
                <a:pt x="4" y="245"/>
              </a:lnTo>
              <a:lnTo>
                <a:pt x="6" y="247"/>
              </a:lnTo>
              <a:lnTo>
                <a:pt x="9" y="248"/>
              </a:lnTo>
              <a:lnTo>
                <a:pt x="9" y="250"/>
              </a:lnTo>
              <a:lnTo>
                <a:pt x="10" y="252"/>
              </a:lnTo>
              <a:lnTo>
                <a:pt x="11" y="254"/>
              </a:lnTo>
              <a:lnTo>
                <a:pt x="13" y="256"/>
              </a:lnTo>
              <a:lnTo>
                <a:pt x="16" y="258"/>
              </a:lnTo>
              <a:lnTo>
                <a:pt x="18" y="260"/>
              </a:lnTo>
              <a:lnTo>
                <a:pt x="18" y="262"/>
              </a:lnTo>
              <a:lnTo>
                <a:pt x="17" y="264"/>
              </a:lnTo>
              <a:lnTo>
                <a:pt x="15" y="266"/>
              </a:lnTo>
              <a:lnTo>
                <a:pt x="14" y="269"/>
              </a:lnTo>
              <a:lnTo>
                <a:pt x="15" y="271"/>
              </a:lnTo>
              <a:lnTo>
                <a:pt x="17" y="273"/>
              </a:lnTo>
              <a:lnTo>
                <a:pt x="18" y="276"/>
              </a:lnTo>
              <a:lnTo>
                <a:pt x="17" y="279"/>
              </a:lnTo>
              <a:lnTo>
                <a:pt x="15" y="281"/>
              </a:lnTo>
              <a:lnTo>
                <a:pt x="13" y="283"/>
              </a:lnTo>
              <a:lnTo>
                <a:pt x="14" y="286"/>
              </a:lnTo>
              <a:lnTo>
                <a:pt x="17" y="290"/>
              </a:lnTo>
            </a:path>
          </a:pathLst>
        </a:custGeom>
        <a:noFill/>
        <a:ln w="1587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16</xdr:col>
      <xdr:colOff>28575</xdr:colOff>
      <xdr:row>38</xdr:row>
      <xdr:rowOff>57150</xdr:rowOff>
    </xdr:from>
    <xdr:to>
      <xdr:col>17</xdr:col>
      <xdr:colOff>38100</xdr:colOff>
      <xdr:row>38</xdr:row>
      <xdr:rowOff>57150</xdr:rowOff>
    </xdr:to>
    <xdr:sp macro="" textlink="">
      <xdr:nvSpPr>
        <xdr:cNvPr id="3707" name="Line 230"/>
        <xdr:cNvSpPr>
          <a:spLocks noChangeShapeType="1"/>
        </xdr:cNvSpPr>
      </xdr:nvSpPr>
      <xdr:spPr bwMode="auto">
        <a:xfrm>
          <a:off x="1838325" y="6858000"/>
          <a:ext cx="13335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57150</xdr:colOff>
      <xdr:row>38</xdr:row>
      <xdr:rowOff>57150</xdr:rowOff>
    </xdr:from>
    <xdr:to>
      <xdr:col>18</xdr:col>
      <xdr:colOff>57150</xdr:colOff>
      <xdr:row>38</xdr:row>
      <xdr:rowOff>57150</xdr:rowOff>
    </xdr:to>
    <xdr:sp macro="" textlink="">
      <xdr:nvSpPr>
        <xdr:cNvPr id="3708" name="Line 231"/>
        <xdr:cNvSpPr>
          <a:spLocks noChangeShapeType="1"/>
        </xdr:cNvSpPr>
      </xdr:nvSpPr>
      <xdr:spPr bwMode="auto">
        <a:xfrm>
          <a:off x="1990725" y="6858000"/>
          <a:ext cx="12382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18</xdr:col>
      <xdr:colOff>76200</xdr:colOff>
      <xdr:row>38</xdr:row>
      <xdr:rowOff>57150</xdr:rowOff>
    </xdr:from>
    <xdr:to>
      <xdr:col>19</xdr:col>
      <xdr:colOff>57150</xdr:colOff>
      <xdr:row>38</xdr:row>
      <xdr:rowOff>57150</xdr:rowOff>
    </xdr:to>
    <xdr:sp macro="" textlink="">
      <xdr:nvSpPr>
        <xdr:cNvPr id="3709" name="Line 232"/>
        <xdr:cNvSpPr>
          <a:spLocks noChangeShapeType="1"/>
        </xdr:cNvSpPr>
      </xdr:nvSpPr>
      <xdr:spPr bwMode="auto">
        <a:xfrm>
          <a:off x="2133600" y="6858000"/>
          <a:ext cx="1047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19</xdr:col>
      <xdr:colOff>104775</xdr:colOff>
      <xdr:row>36</xdr:row>
      <xdr:rowOff>114300</xdr:rowOff>
    </xdr:from>
    <xdr:to>
      <xdr:col>25</xdr:col>
      <xdr:colOff>47625</xdr:colOff>
      <xdr:row>36</xdr:row>
      <xdr:rowOff>171450</xdr:rowOff>
    </xdr:to>
    <xdr:sp macro="" textlink="">
      <xdr:nvSpPr>
        <xdr:cNvPr id="3710" name="Freeform 233"/>
        <xdr:cNvSpPr>
          <a:spLocks/>
        </xdr:cNvSpPr>
      </xdr:nvSpPr>
      <xdr:spPr bwMode="auto">
        <a:xfrm>
          <a:off x="2286000" y="6553200"/>
          <a:ext cx="685800" cy="57150"/>
        </a:xfrm>
        <a:custGeom>
          <a:avLst/>
          <a:gdLst>
            <a:gd name="T0" fmla="*/ 0 w 72"/>
            <a:gd name="T1" fmla="*/ 1 h 6"/>
            <a:gd name="T2" fmla="*/ 2 w 72"/>
            <a:gd name="T3" fmla="*/ 0 h 6"/>
            <a:gd name="T4" fmla="*/ 4 w 72"/>
            <a:gd name="T5" fmla="*/ 0 h 6"/>
            <a:gd name="T6" fmla="*/ 6 w 72"/>
            <a:gd name="T7" fmla="*/ 1 h 6"/>
            <a:gd name="T8" fmla="*/ 9 w 72"/>
            <a:gd name="T9" fmla="*/ 2 h 6"/>
            <a:gd name="T10" fmla="*/ 11 w 72"/>
            <a:gd name="T11" fmla="*/ 3 h 6"/>
            <a:gd name="T12" fmla="*/ 14 w 72"/>
            <a:gd name="T13" fmla="*/ 2 h 6"/>
            <a:gd name="T14" fmla="*/ 16 w 72"/>
            <a:gd name="T15" fmla="*/ 1 h 6"/>
            <a:gd name="T16" fmla="*/ 17 w 72"/>
            <a:gd name="T17" fmla="*/ 0 h 6"/>
            <a:gd name="T18" fmla="*/ 19 w 72"/>
            <a:gd name="T19" fmla="*/ 0 h 6"/>
            <a:gd name="T20" fmla="*/ 22 w 72"/>
            <a:gd name="T21" fmla="*/ 2 h 6"/>
            <a:gd name="T22" fmla="*/ 24 w 72"/>
            <a:gd name="T23" fmla="*/ 3 h 6"/>
            <a:gd name="T24" fmla="*/ 26 w 72"/>
            <a:gd name="T25" fmla="*/ 4 h 6"/>
            <a:gd name="T26" fmla="*/ 29 w 72"/>
            <a:gd name="T27" fmla="*/ 3 h 6"/>
            <a:gd name="T28" fmla="*/ 32 w 72"/>
            <a:gd name="T29" fmla="*/ 1 h 6"/>
            <a:gd name="T30" fmla="*/ 34 w 72"/>
            <a:gd name="T31" fmla="*/ 1 h 6"/>
            <a:gd name="T32" fmla="*/ 36 w 72"/>
            <a:gd name="T33" fmla="*/ 2 h 6"/>
            <a:gd name="T34" fmla="*/ 39 w 72"/>
            <a:gd name="T35" fmla="*/ 4 h 6"/>
            <a:gd name="T36" fmla="*/ 42 w 72"/>
            <a:gd name="T37" fmla="*/ 4 h 6"/>
            <a:gd name="T38" fmla="*/ 45 w 72"/>
            <a:gd name="T39" fmla="*/ 3 h 6"/>
            <a:gd name="T40" fmla="*/ 47 w 72"/>
            <a:gd name="T41" fmla="*/ 2 h 6"/>
            <a:gd name="T42" fmla="*/ 49 w 72"/>
            <a:gd name="T43" fmla="*/ 1 h 6"/>
            <a:gd name="T44" fmla="*/ 51 w 72"/>
            <a:gd name="T45" fmla="*/ 2 h 6"/>
            <a:gd name="T46" fmla="*/ 53 w 72"/>
            <a:gd name="T47" fmla="*/ 4 h 6"/>
            <a:gd name="T48" fmla="*/ 56 w 72"/>
            <a:gd name="T49" fmla="*/ 5 h 6"/>
            <a:gd name="T50" fmla="*/ 58 w 72"/>
            <a:gd name="T51" fmla="*/ 5 h 6"/>
            <a:gd name="T52" fmla="*/ 60 w 72"/>
            <a:gd name="T53" fmla="*/ 4 h 6"/>
            <a:gd name="T54" fmla="*/ 62 w 72"/>
            <a:gd name="T55" fmla="*/ 3 h 6"/>
            <a:gd name="T56" fmla="*/ 63 w 72"/>
            <a:gd name="T57" fmla="*/ 2 h 6"/>
            <a:gd name="T58" fmla="*/ 65 w 72"/>
            <a:gd name="T59" fmla="*/ 2 h 6"/>
            <a:gd name="T60" fmla="*/ 67 w 72"/>
            <a:gd name="T61" fmla="*/ 4 h 6"/>
            <a:gd name="T62" fmla="*/ 69 w 72"/>
            <a:gd name="T63" fmla="*/ 5 h 6"/>
            <a:gd name="T64" fmla="*/ 72 w 72"/>
            <a:gd name="T65" fmla="*/ 6 h 6"/>
            <a:gd name="T66" fmla="*/ 0 60000 65536"/>
            <a:gd name="T67" fmla="*/ 0 60000 65536"/>
            <a:gd name="T68" fmla="*/ 0 60000 65536"/>
            <a:gd name="T69" fmla="*/ 0 60000 65536"/>
            <a:gd name="T70" fmla="*/ 0 60000 65536"/>
            <a:gd name="T71" fmla="*/ 0 60000 65536"/>
            <a:gd name="T72" fmla="*/ 0 60000 65536"/>
            <a:gd name="T73" fmla="*/ 0 60000 65536"/>
            <a:gd name="T74" fmla="*/ 0 60000 65536"/>
            <a:gd name="T75" fmla="*/ 0 60000 65536"/>
            <a:gd name="T76" fmla="*/ 0 60000 65536"/>
            <a:gd name="T77" fmla="*/ 0 60000 65536"/>
            <a:gd name="T78" fmla="*/ 0 60000 65536"/>
            <a:gd name="T79" fmla="*/ 0 60000 65536"/>
            <a:gd name="T80" fmla="*/ 0 60000 65536"/>
            <a:gd name="T81" fmla="*/ 0 60000 65536"/>
            <a:gd name="T82" fmla="*/ 0 60000 65536"/>
            <a:gd name="T83" fmla="*/ 0 60000 65536"/>
            <a:gd name="T84" fmla="*/ 0 60000 65536"/>
            <a:gd name="T85" fmla="*/ 0 60000 65536"/>
            <a:gd name="T86" fmla="*/ 0 60000 65536"/>
            <a:gd name="T87" fmla="*/ 0 60000 65536"/>
            <a:gd name="T88" fmla="*/ 0 60000 65536"/>
            <a:gd name="T89" fmla="*/ 0 60000 65536"/>
            <a:gd name="T90" fmla="*/ 0 60000 65536"/>
            <a:gd name="T91" fmla="*/ 0 60000 65536"/>
            <a:gd name="T92" fmla="*/ 0 60000 65536"/>
            <a:gd name="T93" fmla="*/ 0 60000 65536"/>
            <a:gd name="T94" fmla="*/ 0 60000 65536"/>
            <a:gd name="T95" fmla="*/ 0 60000 65536"/>
            <a:gd name="T96" fmla="*/ 0 60000 65536"/>
            <a:gd name="T97" fmla="*/ 0 60000 65536"/>
            <a:gd name="T98" fmla="*/ 0 60000 65536"/>
            <a:gd name="T99" fmla="*/ 0 w 72"/>
            <a:gd name="T100" fmla="*/ 0 h 6"/>
            <a:gd name="T101" fmla="*/ 72 w 72"/>
            <a:gd name="T102" fmla="*/ 6 h 6"/>
          </a:gdLst>
          <a:ahLst/>
          <a:cxnLst>
            <a:cxn ang="T66">
              <a:pos x="T0" y="T1"/>
            </a:cxn>
            <a:cxn ang="T67">
              <a:pos x="T2" y="T3"/>
            </a:cxn>
            <a:cxn ang="T68">
              <a:pos x="T4" y="T5"/>
            </a:cxn>
            <a:cxn ang="T69">
              <a:pos x="T6" y="T7"/>
            </a:cxn>
            <a:cxn ang="T70">
              <a:pos x="T8" y="T9"/>
            </a:cxn>
            <a:cxn ang="T71">
              <a:pos x="T10" y="T11"/>
            </a:cxn>
            <a:cxn ang="T72">
              <a:pos x="T12" y="T13"/>
            </a:cxn>
            <a:cxn ang="T73">
              <a:pos x="T14" y="T15"/>
            </a:cxn>
            <a:cxn ang="T74">
              <a:pos x="T16" y="T17"/>
            </a:cxn>
            <a:cxn ang="T75">
              <a:pos x="T18" y="T19"/>
            </a:cxn>
            <a:cxn ang="T76">
              <a:pos x="T20" y="T21"/>
            </a:cxn>
            <a:cxn ang="T77">
              <a:pos x="T22" y="T23"/>
            </a:cxn>
            <a:cxn ang="T78">
              <a:pos x="T24" y="T25"/>
            </a:cxn>
            <a:cxn ang="T79">
              <a:pos x="T26" y="T27"/>
            </a:cxn>
            <a:cxn ang="T80">
              <a:pos x="T28" y="T29"/>
            </a:cxn>
            <a:cxn ang="T81">
              <a:pos x="T30" y="T31"/>
            </a:cxn>
            <a:cxn ang="T82">
              <a:pos x="T32" y="T33"/>
            </a:cxn>
            <a:cxn ang="T83">
              <a:pos x="T34" y="T35"/>
            </a:cxn>
            <a:cxn ang="T84">
              <a:pos x="T36" y="T37"/>
            </a:cxn>
            <a:cxn ang="T85">
              <a:pos x="T38" y="T39"/>
            </a:cxn>
            <a:cxn ang="T86">
              <a:pos x="T40" y="T41"/>
            </a:cxn>
            <a:cxn ang="T87">
              <a:pos x="T42" y="T43"/>
            </a:cxn>
            <a:cxn ang="T88">
              <a:pos x="T44" y="T45"/>
            </a:cxn>
            <a:cxn ang="T89">
              <a:pos x="T46" y="T47"/>
            </a:cxn>
            <a:cxn ang="T90">
              <a:pos x="T48" y="T49"/>
            </a:cxn>
            <a:cxn ang="T91">
              <a:pos x="T50" y="T51"/>
            </a:cxn>
            <a:cxn ang="T92">
              <a:pos x="T52" y="T53"/>
            </a:cxn>
            <a:cxn ang="T93">
              <a:pos x="T54" y="T55"/>
            </a:cxn>
            <a:cxn ang="T94">
              <a:pos x="T56" y="T57"/>
            </a:cxn>
            <a:cxn ang="T95">
              <a:pos x="T58" y="T59"/>
            </a:cxn>
            <a:cxn ang="T96">
              <a:pos x="T60" y="T61"/>
            </a:cxn>
            <a:cxn ang="T97">
              <a:pos x="T62" y="T63"/>
            </a:cxn>
            <a:cxn ang="T98">
              <a:pos x="T64" y="T65"/>
            </a:cxn>
          </a:cxnLst>
          <a:rect l="T99" t="T100" r="T101" b="T102"/>
          <a:pathLst>
            <a:path w="72" h="6">
              <a:moveTo>
                <a:pt x="0" y="1"/>
              </a:moveTo>
              <a:lnTo>
                <a:pt x="2" y="0"/>
              </a:lnTo>
              <a:lnTo>
                <a:pt x="4" y="0"/>
              </a:lnTo>
              <a:lnTo>
                <a:pt x="6" y="1"/>
              </a:lnTo>
              <a:lnTo>
                <a:pt x="9" y="2"/>
              </a:lnTo>
              <a:lnTo>
                <a:pt x="11" y="3"/>
              </a:lnTo>
              <a:lnTo>
                <a:pt x="14" y="2"/>
              </a:lnTo>
              <a:lnTo>
                <a:pt x="16" y="1"/>
              </a:lnTo>
              <a:lnTo>
                <a:pt x="17" y="0"/>
              </a:lnTo>
              <a:lnTo>
                <a:pt x="19" y="0"/>
              </a:lnTo>
              <a:lnTo>
                <a:pt x="22" y="2"/>
              </a:lnTo>
              <a:lnTo>
                <a:pt x="24" y="3"/>
              </a:lnTo>
              <a:lnTo>
                <a:pt x="26" y="4"/>
              </a:lnTo>
              <a:lnTo>
                <a:pt x="29" y="3"/>
              </a:lnTo>
              <a:lnTo>
                <a:pt x="32" y="1"/>
              </a:lnTo>
              <a:lnTo>
                <a:pt x="34" y="1"/>
              </a:lnTo>
              <a:lnTo>
                <a:pt x="36" y="2"/>
              </a:lnTo>
              <a:lnTo>
                <a:pt x="39" y="4"/>
              </a:lnTo>
              <a:lnTo>
                <a:pt x="42" y="4"/>
              </a:lnTo>
              <a:lnTo>
                <a:pt x="45" y="3"/>
              </a:lnTo>
              <a:lnTo>
                <a:pt x="47" y="2"/>
              </a:lnTo>
              <a:lnTo>
                <a:pt x="49" y="1"/>
              </a:lnTo>
              <a:lnTo>
                <a:pt x="51" y="2"/>
              </a:lnTo>
              <a:lnTo>
                <a:pt x="53" y="4"/>
              </a:lnTo>
              <a:lnTo>
                <a:pt x="56" y="5"/>
              </a:lnTo>
              <a:lnTo>
                <a:pt x="58" y="5"/>
              </a:lnTo>
              <a:lnTo>
                <a:pt x="60" y="4"/>
              </a:lnTo>
              <a:lnTo>
                <a:pt x="62" y="3"/>
              </a:lnTo>
              <a:lnTo>
                <a:pt x="63" y="2"/>
              </a:lnTo>
              <a:lnTo>
                <a:pt x="65" y="2"/>
              </a:lnTo>
              <a:lnTo>
                <a:pt x="67" y="4"/>
              </a:lnTo>
              <a:lnTo>
                <a:pt x="69" y="5"/>
              </a:lnTo>
              <a:lnTo>
                <a:pt x="72" y="6"/>
              </a:lnTo>
            </a:path>
          </a:pathLst>
        </a:custGeom>
        <a:noFill/>
        <a:ln w="1587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19</xdr:col>
      <xdr:colOff>85725</xdr:colOff>
      <xdr:row>33</xdr:row>
      <xdr:rowOff>28575</xdr:rowOff>
    </xdr:from>
    <xdr:to>
      <xdr:col>25</xdr:col>
      <xdr:colOff>104775</xdr:colOff>
      <xdr:row>33</xdr:row>
      <xdr:rowOff>95250</xdr:rowOff>
    </xdr:to>
    <xdr:sp macro="" textlink="">
      <xdr:nvSpPr>
        <xdr:cNvPr id="3711" name="Freeform 234"/>
        <xdr:cNvSpPr>
          <a:spLocks/>
        </xdr:cNvSpPr>
      </xdr:nvSpPr>
      <xdr:spPr bwMode="auto">
        <a:xfrm>
          <a:off x="2266950" y="5924550"/>
          <a:ext cx="762000" cy="66675"/>
        </a:xfrm>
        <a:custGeom>
          <a:avLst/>
          <a:gdLst>
            <a:gd name="T0" fmla="*/ 0 w 80"/>
            <a:gd name="T1" fmla="*/ 2 h 7"/>
            <a:gd name="T2" fmla="*/ 2 w 80"/>
            <a:gd name="T3" fmla="*/ 0 h 7"/>
            <a:gd name="T4" fmla="*/ 5 w 80"/>
            <a:gd name="T5" fmla="*/ 0 h 7"/>
            <a:gd name="T6" fmla="*/ 7 w 80"/>
            <a:gd name="T7" fmla="*/ 0 h 7"/>
            <a:gd name="T8" fmla="*/ 9 w 80"/>
            <a:gd name="T9" fmla="*/ 1 h 7"/>
            <a:gd name="T10" fmla="*/ 10 w 80"/>
            <a:gd name="T11" fmla="*/ 2 h 7"/>
            <a:gd name="T12" fmla="*/ 12 w 80"/>
            <a:gd name="T13" fmla="*/ 3 h 7"/>
            <a:gd name="T14" fmla="*/ 14 w 80"/>
            <a:gd name="T15" fmla="*/ 3 h 7"/>
            <a:gd name="T16" fmla="*/ 16 w 80"/>
            <a:gd name="T17" fmla="*/ 2 h 7"/>
            <a:gd name="T18" fmla="*/ 19 w 80"/>
            <a:gd name="T19" fmla="*/ 1 h 7"/>
            <a:gd name="T20" fmla="*/ 22 w 80"/>
            <a:gd name="T21" fmla="*/ 1 h 7"/>
            <a:gd name="T22" fmla="*/ 24 w 80"/>
            <a:gd name="T23" fmla="*/ 2 h 7"/>
            <a:gd name="T24" fmla="*/ 26 w 80"/>
            <a:gd name="T25" fmla="*/ 4 h 7"/>
            <a:gd name="T26" fmla="*/ 28 w 80"/>
            <a:gd name="T27" fmla="*/ 4 h 7"/>
            <a:gd name="T28" fmla="*/ 31 w 80"/>
            <a:gd name="T29" fmla="*/ 3 h 7"/>
            <a:gd name="T30" fmla="*/ 33 w 80"/>
            <a:gd name="T31" fmla="*/ 2 h 7"/>
            <a:gd name="T32" fmla="*/ 35 w 80"/>
            <a:gd name="T33" fmla="*/ 1 h 7"/>
            <a:gd name="T34" fmla="*/ 37 w 80"/>
            <a:gd name="T35" fmla="*/ 1 h 7"/>
            <a:gd name="T36" fmla="*/ 39 w 80"/>
            <a:gd name="T37" fmla="*/ 2 h 7"/>
            <a:gd name="T38" fmla="*/ 40 w 80"/>
            <a:gd name="T39" fmla="*/ 3 h 7"/>
            <a:gd name="T40" fmla="*/ 42 w 80"/>
            <a:gd name="T41" fmla="*/ 4 h 7"/>
            <a:gd name="T42" fmla="*/ 43 w 80"/>
            <a:gd name="T43" fmla="*/ 5 h 7"/>
            <a:gd name="T44" fmla="*/ 45 w 80"/>
            <a:gd name="T45" fmla="*/ 4 h 7"/>
            <a:gd name="T46" fmla="*/ 48 w 80"/>
            <a:gd name="T47" fmla="*/ 3 h 7"/>
            <a:gd name="T48" fmla="*/ 51 w 80"/>
            <a:gd name="T49" fmla="*/ 3 h 7"/>
            <a:gd name="T50" fmla="*/ 53 w 80"/>
            <a:gd name="T51" fmla="*/ 3 h 7"/>
            <a:gd name="T52" fmla="*/ 55 w 80"/>
            <a:gd name="T53" fmla="*/ 4 h 7"/>
            <a:gd name="T54" fmla="*/ 57 w 80"/>
            <a:gd name="T55" fmla="*/ 5 h 7"/>
            <a:gd name="T56" fmla="*/ 59 w 80"/>
            <a:gd name="T57" fmla="*/ 6 h 7"/>
            <a:gd name="T58" fmla="*/ 61 w 80"/>
            <a:gd name="T59" fmla="*/ 6 h 7"/>
            <a:gd name="T60" fmla="*/ 63 w 80"/>
            <a:gd name="T61" fmla="*/ 5 h 7"/>
            <a:gd name="T62" fmla="*/ 65 w 80"/>
            <a:gd name="T63" fmla="*/ 4 h 7"/>
            <a:gd name="T64" fmla="*/ 68 w 80"/>
            <a:gd name="T65" fmla="*/ 4 h 7"/>
            <a:gd name="T66" fmla="*/ 70 w 80"/>
            <a:gd name="T67" fmla="*/ 5 h 7"/>
            <a:gd name="T68" fmla="*/ 72 w 80"/>
            <a:gd name="T69" fmla="*/ 6 h 7"/>
            <a:gd name="T70" fmla="*/ 74 w 80"/>
            <a:gd name="T71" fmla="*/ 7 h 7"/>
            <a:gd name="T72" fmla="*/ 76 w 80"/>
            <a:gd name="T73" fmla="*/ 6 h 7"/>
            <a:gd name="T74" fmla="*/ 78 w 80"/>
            <a:gd name="T75" fmla="*/ 5 h 7"/>
            <a:gd name="T76" fmla="*/ 80 w 80"/>
            <a:gd name="T77" fmla="*/ 4 h 7"/>
            <a:gd name="T78" fmla="*/ 0 60000 65536"/>
            <a:gd name="T79" fmla="*/ 0 60000 65536"/>
            <a:gd name="T80" fmla="*/ 0 60000 65536"/>
            <a:gd name="T81" fmla="*/ 0 60000 65536"/>
            <a:gd name="T82" fmla="*/ 0 60000 65536"/>
            <a:gd name="T83" fmla="*/ 0 60000 65536"/>
            <a:gd name="T84" fmla="*/ 0 60000 65536"/>
            <a:gd name="T85" fmla="*/ 0 60000 65536"/>
            <a:gd name="T86" fmla="*/ 0 60000 65536"/>
            <a:gd name="T87" fmla="*/ 0 60000 65536"/>
            <a:gd name="T88" fmla="*/ 0 60000 65536"/>
            <a:gd name="T89" fmla="*/ 0 60000 65536"/>
            <a:gd name="T90" fmla="*/ 0 60000 65536"/>
            <a:gd name="T91" fmla="*/ 0 60000 65536"/>
            <a:gd name="T92" fmla="*/ 0 60000 65536"/>
            <a:gd name="T93" fmla="*/ 0 60000 65536"/>
            <a:gd name="T94" fmla="*/ 0 60000 65536"/>
            <a:gd name="T95" fmla="*/ 0 60000 65536"/>
            <a:gd name="T96" fmla="*/ 0 60000 65536"/>
            <a:gd name="T97" fmla="*/ 0 60000 65536"/>
            <a:gd name="T98" fmla="*/ 0 60000 65536"/>
            <a:gd name="T99" fmla="*/ 0 60000 65536"/>
            <a:gd name="T100" fmla="*/ 0 60000 65536"/>
            <a:gd name="T101" fmla="*/ 0 60000 65536"/>
            <a:gd name="T102" fmla="*/ 0 60000 65536"/>
            <a:gd name="T103" fmla="*/ 0 60000 65536"/>
            <a:gd name="T104" fmla="*/ 0 60000 65536"/>
            <a:gd name="T105" fmla="*/ 0 60000 65536"/>
            <a:gd name="T106" fmla="*/ 0 60000 65536"/>
            <a:gd name="T107" fmla="*/ 0 60000 65536"/>
            <a:gd name="T108" fmla="*/ 0 60000 65536"/>
            <a:gd name="T109" fmla="*/ 0 60000 65536"/>
            <a:gd name="T110" fmla="*/ 0 60000 65536"/>
            <a:gd name="T111" fmla="*/ 0 60000 65536"/>
            <a:gd name="T112" fmla="*/ 0 60000 65536"/>
            <a:gd name="T113" fmla="*/ 0 60000 65536"/>
            <a:gd name="T114" fmla="*/ 0 60000 65536"/>
            <a:gd name="T115" fmla="*/ 0 60000 65536"/>
            <a:gd name="T116" fmla="*/ 0 60000 65536"/>
            <a:gd name="T117" fmla="*/ 0 w 80"/>
            <a:gd name="T118" fmla="*/ 0 h 7"/>
            <a:gd name="T119" fmla="*/ 80 w 80"/>
            <a:gd name="T120" fmla="*/ 7 h 7"/>
          </a:gdLst>
          <a:ahLst/>
          <a:cxnLst>
            <a:cxn ang="T78">
              <a:pos x="T0" y="T1"/>
            </a:cxn>
            <a:cxn ang="T79">
              <a:pos x="T2" y="T3"/>
            </a:cxn>
            <a:cxn ang="T80">
              <a:pos x="T4" y="T5"/>
            </a:cxn>
            <a:cxn ang="T81">
              <a:pos x="T6" y="T7"/>
            </a:cxn>
            <a:cxn ang="T82">
              <a:pos x="T8" y="T9"/>
            </a:cxn>
            <a:cxn ang="T83">
              <a:pos x="T10" y="T11"/>
            </a:cxn>
            <a:cxn ang="T84">
              <a:pos x="T12" y="T13"/>
            </a:cxn>
            <a:cxn ang="T85">
              <a:pos x="T14" y="T15"/>
            </a:cxn>
            <a:cxn ang="T86">
              <a:pos x="T16" y="T17"/>
            </a:cxn>
            <a:cxn ang="T87">
              <a:pos x="T18" y="T19"/>
            </a:cxn>
            <a:cxn ang="T88">
              <a:pos x="T20" y="T21"/>
            </a:cxn>
            <a:cxn ang="T89">
              <a:pos x="T22" y="T23"/>
            </a:cxn>
            <a:cxn ang="T90">
              <a:pos x="T24" y="T25"/>
            </a:cxn>
            <a:cxn ang="T91">
              <a:pos x="T26" y="T27"/>
            </a:cxn>
            <a:cxn ang="T92">
              <a:pos x="T28" y="T29"/>
            </a:cxn>
            <a:cxn ang="T93">
              <a:pos x="T30" y="T31"/>
            </a:cxn>
            <a:cxn ang="T94">
              <a:pos x="T32" y="T33"/>
            </a:cxn>
            <a:cxn ang="T95">
              <a:pos x="T34" y="T35"/>
            </a:cxn>
            <a:cxn ang="T96">
              <a:pos x="T36" y="T37"/>
            </a:cxn>
            <a:cxn ang="T97">
              <a:pos x="T38" y="T39"/>
            </a:cxn>
            <a:cxn ang="T98">
              <a:pos x="T40" y="T41"/>
            </a:cxn>
            <a:cxn ang="T99">
              <a:pos x="T42" y="T43"/>
            </a:cxn>
            <a:cxn ang="T100">
              <a:pos x="T44" y="T45"/>
            </a:cxn>
            <a:cxn ang="T101">
              <a:pos x="T46" y="T47"/>
            </a:cxn>
            <a:cxn ang="T102">
              <a:pos x="T48" y="T49"/>
            </a:cxn>
            <a:cxn ang="T103">
              <a:pos x="T50" y="T51"/>
            </a:cxn>
            <a:cxn ang="T104">
              <a:pos x="T52" y="T53"/>
            </a:cxn>
            <a:cxn ang="T105">
              <a:pos x="T54" y="T55"/>
            </a:cxn>
            <a:cxn ang="T106">
              <a:pos x="T56" y="T57"/>
            </a:cxn>
            <a:cxn ang="T107">
              <a:pos x="T58" y="T59"/>
            </a:cxn>
            <a:cxn ang="T108">
              <a:pos x="T60" y="T61"/>
            </a:cxn>
            <a:cxn ang="T109">
              <a:pos x="T62" y="T63"/>
            </a:cxn>
            <a:cxn ang="T110">
              <a:pos x="T64" y="T65"/>
            </a:cxn>
            <a:cxn ang="T111">
              <a:pos x="T66" y="T67"/>
            </a:cxn>
            <a:cxn ang="T112">
              <a:pos x="T68" y="T69"/>
            </a:cxn>
            <a:cxn ang="T113">
              <a:pos x="T70" y="T71"/>
            </a:cxn>
            <a:cxn ang="T114">
              <a:pos x="T72" y="T73"/>
            </a:cxn>
            <a:cxn ang="T115">
              <a:pos x="T74" y="T75"/>
            </a:cxn>
            <a:cxn ang="T116">
              <a:pos x="T76" y="T77"/>
            </a:cxn>
          </a:cxnLst>
          <a:rect l="T117" t="T118" r="T119" b="T120"/>
          <a:pathLst>
            <a:path w="80" h="7">
              <a:moveTo>
                <a:pt x="0" y="2"/>
              </a:moveTo>
              <a:lnTo>
                <a:pt x="2" y="0"/>
              </a:lnTo>
              <a:lnTo>
                <a:pt x="5" y="0"/>
              </a:lnTo>
              <a:lnTo>
                <a:pt x="7" y="0"/>
              </a:lnTo>
              <a:lnTo>
                <a:pt x="9" y="1"/>
              </a:lnTo>
              <a:lnTo>
                <a:pt x="10" y="2"/>
              </a:lnTo>
              <a:lnTo>
                <a:pt x="12" y="3"/>
              </a:lnTo>
              <a:lnTo>
                <a:pt x="14" y="3"/>
              </a:lnTo>
              <a:lnTo>
                <a:pt x="16" y="2"/>
              </a:lnTo>
              <a:lnTo>
                <a:pt x="19" y="1"/>
              </a:lnTo>
              <a:lnTo>
                <a:pt x="22" y="1"/>
              </a:lnTo>
              <a:lnTo>
                <a:pt x="24" y="2"/>
              </a:lnTo>
              <a:lnTo>
                <a:pt x="26" y="4"/>
              </a:lnTo>
              <a:lnTo>
                <a:pt x="28" y="4"/>
              </a:lnTo>
              <a:lnTo>
                <a:pt x="31" y="3"/>
              </a:lnTo>
              <a:lnTo>
                <a:pt x="33" y="2"/>
              </a:lnTo>
              <a:lnTo>
                <a:pt x="35" y="1"/>
              </a:lnTo>
              <a:lnTo>
                <a:pt x="37" y="1"/>
              </a:lnTo>
              <a:lnTo>
                <a:pt x="39" y="2"/>
              </a:lnTo>
              <a:lnTo>
                <a:pt x="40" y="3"/>
              </a:lnTo>
              <a:lnTo>
                <a:pt x="42" y="4"/>
              </a:lnTo>
              <a:lnTo>
                <a:pt x="43" y="5"/>
              </a:lnTo>
              <a:lnTo>
                <a:pt x="45" y="4"/>
              </a:lnTo>
              <a:lnTo>
                <a:pt x="48" y="3"/>
              </a:lnTo>
              <a:lnTo>
                <a:pt x="51" y="3"/>
              </a:lnTo>
              <a:lnTo>
                <a:pt x="53" y="3"/>
              </a:lnTo>
              <a:lnTo>
                <a:pt x="55" y="4"/>
              </a:lnTo>
              <a:lnTo>
                <a:pt x="57" y="5"/>
              </a:lnTo>
              <a:lnTo>
                <a:pt x="59" y="6"/>
              </a:lnTo>
              <a:lnTo>
                <a:pt x="61" y="6"/>
              </a:lnTo>
              <a:lnTo>
                <a:pt x="63" y="5"/>
              </a:lnTo>
              <a:lnTo>
                <a:pt x="65" y="4"/>
              </a:lnTo>
              <a:lnTo>
                <a:pt x="68" y="4"/>
              </a:lnTo>
              <a:lnTo>
                <a:pt x="70" y="5"/>
              </a:lnTo>
              <a:lnTo>
                <a:pt x="72" y="6"/>
              </a:lnTo>
              <a:lnTo>
                <a:pt x="74" y="7"/>
              </a:lnTo>
              <a:lnTo>
                <a:pt x="76" y="6"/>
              </a:lnTo>
              <a:lnTo>
                <a:pt x="78" y="5"/>
              </a:lnTo>
              <a:lnTo>
                <a:pt x="80" y="4"/>
              </a:lnTo>
            </a:path>
          </a:pathLst>
        </a:custGeom>
        <a:noFill/>
        <a:ln w="1587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20</xdr:col>
      <xdr:colOff>28575</xdr:colOff>
      <xdr:row>33</xdr:row>
      <xdr:rowOff>9525</xdr:rowOff>
    </xdr:from>
    <xdr:to>
      <xdr:col>23</xdr:col>
      <xdr:colOff>9525</xdr:colOff>
      <xdr:row>33</xdr:row>
      <xdr:rowOff>38100</xdr:rowOff>
    </xdr:to>
    <xdr:sp macro="" textlink="">
      <xdr:nvSpPr>
        <xdr:cNvPr id="3712" name="Line 235"/>
        <xdr:cNvSpPr>
          <a:spLocks noChangeShapeType="1"/>
        </xdr:cNvSpPr>
      </xdr:nvSpPr>
      <xdr:spPr bwMode="auto">
        <a:xfrm>
          <a:off x="2333625" y="5905500"/>
          <a:ext cx="352425" cy="285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19</xdr:col>
      <xdr:colOff>104775</xdr:colOff>
      <xdr:row>31</xdr:row>
      <xdr:rowOff>28575</xdr:rowOff>
    </xdr:from>
    <xdr:to>
      <xdr:col>19</xdr:col>
      <xdr:colOff>104775</xdr:colOff>
      <xdr:row>32</xdr:row>
      <xdr:rowOff>142875</xdr:rowOff>
    </xdr:to>
    <xdr:sp macro="" textlink="">
      <xdr:nvSpPr>
        <xdr:cNvPr id="3713" name="Line 236"/>
        <xdr:cNvSpPr>
          <a:spLocks noChangeShapeType="1"/>
        </xdr:cNvSpPr>
      </xdr:nvSpPr>
      <xdr:spPr bwMode="auto">
        <a:xfrm>
          <a:off x="2286000" y="5562600"/>
          <a:ext cx="0" cy="2952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19</xdr:col>
      <xdr:colOff>104775</xdr:colOff>
      <xdr:row>31</xdr:row>
      <xdr:rowOff>85725</xdr:rowOff>
    </xdr:from>
    <xdr:to>
      <xdr:col>22</xdr:col>
      <xdr:colOff>19050</xdr:colOff>
      <xdr:row>33</xdr:row>
      <xdr:rowOff>28575</xdr:rowOff>
    </xdr:to>
    <xdr:sp macro="" textlink="">
      <xdr:nvSpPr>
        <xdr:cNvPr id="3714" name="Freeform 237"/>
        <xdr:cNvSpPr>
          <a:spLocks/>
        </xdr:cNvSpPr>
      </xdr:nvSpPr>
      <xdr:spPr bwMode="auto">
        <a:xfrm>
          <a:off x="2286000" y="5619750"/>
          <a:ext cx="285750" cy="304800"/>
        </a:xfrm>
        <a:custGeom>
          <a:avLst/>
          <a:gdLst>
            <a:gd name="T0" fmla="*/ 0 w 30"/>
            <a:gd name="T1" fmla="*/ 0 h 32"/>
            <a:gd name="T2" fmla="*/ 6 w 30"/>
            <a:gd name="T3" fmla="*/ 2 h 32"/>
            <a:gd name="T4" fmla="*/ 11 w 30"/>
            <a:gd name="T5" fmla="*/ 3 h 32"/>
            <a:gd name="T6" fmla="*/ 15 w 30"/>
            <a:gd name="T7" fmla="*/ 5 h 32"/>
            <a:gd name="T8" fmla="*/ 20 w 30"/>
            <a:gd name="T9" fmla="*/ 8 h 32"/>
            <a:gd name="T10" fmla="*/ 23 w 30"/>
            <a:gd name="T11" fmla="*/ 11 h 32"/>
            <a:gd name="T12" fmla="*/ 26 w 30"/>
            <a:gd name="T13" fmla="*/ 14 h 32"/>
            <a:gd name="T14" fmla="*/ 29 w 30"/>
            <a:gd name="T15" fmla="*/ 20 h 32"/>
            <a:gd name="T16" fmla="*/ 30 w 30"/>
            <a:gd name="T17" fmla="*/ 26 h 32"/>
            <a:gd name="T18" fmla="*/ 30 w 30"/>
            <a:gd name="T19" fmla="*/ 32 h 32"/>
            <a:gd name="T20" fmla="*/ 0 60000 65536"/>
            <a:gd name="T21" fmla="*/ 0 60000 65536"/>
            <a:gd name="T22" fmla="*/ 0 60000 65536"/>
            <a:gd name="T23" fmla="*/ 0 60000 65536"/>
            <a:gd name="T24" fmla="*/ 0 60000 65536"/>
            <a:gd name="T25" fmla="*/ 0 60000 65536"/>
            <a:gd name="T26" fmla="*/ 0 60000 65536"/>
            <a:gd name="T27" fmla="*/ 0 60000 65536"/>
            <a:gd name="T28" fmla="*/ 0 60000 65536"/>
            <a:gd name="T29" fmla="*/ 0 60000 65536"/>
            <a:gd name="T30" fmla="*/ 0 w 30"/>
            <a:gd name="T31" fmla="*/ 0 h 32"/>
            <a:gd name="T32" fmla="*/ 30 w 30"/>
            <a:gd name="T33" fmla="*/ 32 h 32"/>
          </a:gdLst>
          <a:ahLst/>
          <a:cxnLst>
            <a:cxn ang="T20">
              <a:pos x="T0" y="T1"/>
            </a:cxn>
            <a:cxn ang="T21">
              <a:pos x="T2" y="T3"/>
            </a:cxn>
            <a:cxn ang="T22">
              <a:pos x="T4" y="T5"/>
            </a:cxn>
            <a:cxn ang="T23">
              <a:pos x="T6" y="T7"/>
            </a:cxn>
            <a:cxn ang="T24">
              <a:pos x="T8" y="T9"/>
            </a:cxn>
            <a:cxn ang="T25">
              <a:pos x="T10" y="T11"/>
            </a:cxn>
            <a:cxn ang="T26">
              <a:pos x="T12" y="T13"/>
            </a:cxn>
            <a:cxn ang="T27">
              <a:pos x="T14" y="T15"/>
            </a:cxn>
            <a:cxn ang="T28">
              <a:pos x="T16" y="T17"/>
            </a:cxn>
            <a:cxn ang="T29">
              <a:pos x="T18" y="T19"/>
            </a:cxn>
          </a:cxnLst>
          <a:rect l="T30" t="T31" r="T32" b="T33"/>
          <a:pathLst>
            <a:path w="30" h="32">
              <a:moveTo>
                <a:pt x="0" y="0"/>
              </a:moveTo>
              <a:lnTo>
                <a:pt x="6" y="2"/>
              </a:lnTo>
              <a:lnTo>
                <a:pt x="11" y="3"/>
              </a:lnTo>
              <a:lnTo>
                <a:pt x="15" y="5"/>
              </a:lnTo>
              <a:lnTo>
                <a:pt x="20" y="8"/>
              </a:lnTo>
              <a:lnTo>
                <a:pt x="23" y="11"/>
              </a:lnTo>
              <a:lnTo>
                <a:pt x="26" y="14"/>
              </a:lnTo>
              <a:lnTo>
                <a:pt x="29" y="20"/>
              </a:lnTo>
              <a:lnTo>
                <a:pt x="30" y="26"/>
              </a:lnTo>
              <a:lnTo>
                <a:pt x="30" y="32"/>
              </a:lnTo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stealth" w="sm" len="med"/>
          <a:tailEnd type="stealth" w="sm" len="med"/>
        </a:ln>
      </xdr:spPr>
    </xdr:sp>
    <xdr:clientData/>
  </xdr:twoCellAnchor>
  <xdr:twoCellAnchor>
    <xdr:from>
      <xdr:col>26</xdr:col>
      <xdr:colOff>0</xdr:colOff>
      <xdr:row>33</xdr:row>
      <xdr:rowOff>76200</xdr:rowOff>
    </xdr:from>
    <xdr:to>
      <xdr:col>27</xdr:col>
      <xdr:colOff>47625</xdr:colOff>
      <xdr:row>33</xdr:row>
      <xdr:rowOff>85725</xdr:rowOff>
    </xdr:to>
    <xdr:sp macro="" textlink="">
      <xdr:nvSpPr>
        <xdr:cNvPr id="3715" name="Line 238"/>
        <xdr:cNvSpPr>
          <a:spLocks noChangeShapeType="1"/>
        </xdr:cNvSpPr>
      </xdr:nvSpPr>
      <xdr:spPr bwMode="auto">
        <a:xfrm>
          <a:off x="3048000" y="5972175"/>
          <a:ext cx="171450" cy="95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38100</xdr:colOff>
      <xdr:row>33</xdr:row>
      <xdr:rowOff>0</xdr:rowOff>
    </xdr:from>
    <xdr:to>
      <xdr:col>25</xdr:col>
      <xdr:colOff>114300</xdr:colOff>
      <xdr:row>37</xdr:row>
      <xdr:rowOff>38100</xdr:rowOff>
    </xdr:to>
    <xdr:sp macro="" textlink="">
      <xdr:nvSpPr>
        <xdr:cNvPr id="3716" name="Freeform 239"/>
        <xdr:cNvSpPr>
          <a:spLocks/>
        </xdr:cNvSpPr>
      </xdr:nvSpPr>
      <xdr:spPr bwMode="auto">
        <a:xfrm>
          <a:off x="2962275" y="5895975"/>
          <a:ext cx="76200" cy="762000"/>
        </a:xfrm>
        <a:custGeom>
          <a:avLst/>
          <a:gdLst>
            <a:gd name="T0" fmla="*/ 8 w 8"/>
            <a:gd name="T1" fmla="*/ 0 h 80"/>
            <a:gd name="T2" fmla="*/ 5 w 8"/>
            <a:gd name="T3" fmla="*/ 35 h 80"/>
            <a:gd name="T4" fmla="*/ 8 w 8"/>
            <a:gd name="T5" fmla="*/ 42 h 80"/>
            <a:gd name="T6" fmla="*/ 8 w 8"/>
            <a:gd name="T7" fmla="*/ 43 h 80"/>
            <a:gd name="T8" fmla="*/ 6 w 8"/>
            <a:gd name="T9" fmla="*/ 43 h 80"/>
            <a:gd name="T10" fmla="*/ 1 w 8"/>
            <a:gd name="T11" fmla="*/ 39 h 80"/>
            <a:gd name="T12" fmla="*/ 0 w 8"/>
            <a:gd name="T13" fmla="*/ 39 h 80"/>
            <a:gd name="T14" fmla="*/ 0 w 8"/>
            <a:gd name="T15" fmla="*/ 40 h 80"/>
            <a:gd name="T16" fmla="*/ 4 w 8"/>
            <a:gd name="T17" fmla="*/ 45 h 80"/>
            <a:gd name="T18" fmla="*/ 2 w 8"/>
            <a:gd name="T19" fmla="*/ 80 h 80"/>
            <a:gd name="T20" fmla="*/ 0 60000 65536"/>
            <a:gd name="T21" fmla="*/ 0 60000 65536"/>
            <a:gd name="T22" fmla="*/ 0 60000 65536"/>
            <a:gd name="T23" fmla="*/ 0 60000 65536"/>
            <a:gd name="T24" fmla="*/ 0 60000 65536"/>
            <a:gd name="T25" fmla="*/ 0 60000 65536"/>
            <a:gd name="T26" fmla="*/ 0 60000 65536"/>
            <a:gd name="T27" fmla="*/ 0 60000 65536"/>
            <a:gd name="T28" fmla="*/ 0 60000 65536"/>
            <a:gd name="T29" fmla="*/ 0 60000 65536"/>
            <a:gd name="T30" fmla="*/ 0 w 8"/>
            <a:gd name="T31" fmla="*/ 0 h 80"/>
            <a:gd name="T32" fmla="*/ 8 w 8"/>
            <a:gd name="T33" fmla="*/ 80 h 80"/>
          </a:gdLst>
          <a:ahLst/>
          <a:cxnLst>
            <a:cxn ang="T20">
              <a:pos x="T0" y="T1"/>
            </a:cxn>
            <a:cxn ang="T21">
              <a:pos x="T2" y="T3"/>
            </a:cxn>
            <a:cxn ang="T22">
              <a:pos x="T4" y="T5"/>
            </a:cxn>
            <a:cxn ang="T23">
              <a:pos x="T6" y="T7"/>
            </a:cxn>
            <a:cxn ang="T24">
              <a:pos x="T8" y="T9"/>
            </a:cxn>
            <a:cxn ang="T25">
              <a:pos x="T10" y="T11"/>
            </a:cxn>
            <a:cxn ang="T26">
              <a:pos x="T12" y="T13"/>
            </a:cxn>
            <a:cxn ang="T27">
              <a:pos x="T14" y="T15"/>
            </a:cxn>
            <a:cxn ang="T28">
              <a:pos x="T16" y="T17"/>
            </a:cxn>
            <a:cxn ang="T29">
              <a:pos x="T18" y="T19"/>
            </a:cxn>
          </a:cxnLst>
          <a:rect l="T30" t="T31" r="T32" b="T33"/>
          <a:pathLst>
            <a:path w="8" h="80">
              <a:moveTo>
                <a:pt x="8" y="0"/>
              </a:moveTo>
              <a:lnTo>
                <a:pt x="5" y="35"/>
              </a:lnTo>
              <a:lnTo>
                <a:pt x="8" y="42"/>
              </a:lnTo>
              <a:lnTo>
                <a:pt x="8" y="43"/>
              </a:lnTo>
              <a:lnTo>
                <a:pt x="6" y="43"/>
              </a:lnTo>
              <a:lnTo>
                <a:pt x="1" y="39"/>
              </a:lnTo>
              <a:lnTo>
                <a:pt x="0" y="39"/>
              </a:lnTo>
              <a:lnTo>
                <a:pt x="0" y="40"/>
              </a:lnTo>
              <a:lnTo>
                <a:pt x="4" y="45"/>
              </a:lnTo>
              <a:lnTo>
                <a:pt x="2" y="80"/>
              </a:lnTo>
            </a:path>
          </a:pathLst>
        </a:custGeom>
        <a:noFill/>
        <a:ln w="9525">
          <a:solidFill>
            <a:srgbClr val="000000"/>
          </a:solidFill>
          <a:round/>
          <a:headEnd type="none" w="med" len="med"/>
          <a:tailEnd type="none" w="med" len="med"/>
        </a:ln>
      </xdr:spPr>
    </xdr:sp>
    <xdr:clientData/>
  </xdr:twoCellAnchor>
  <xdr:twoCellAnchor>
    <xdr:from>
      <xdr:col>25</xdr:col>
      <xdr:colOff>85725</xdr:colOff>
      <xdr:row>36</xdr:row>
      <xdr:rowOff>152400</xdr:rowOff>
    </xdr:from>
    <xdr:to>
      <xdr:col>27</xdr:col>
      <xdr:colOff>9525</xdr:colOff>
      <xdr:row>36</xdr:row>
      <xdr:rowOff>161925</xdr:rowOff>
    </xdr:to>
    <xdr:sp macro="" textlink="">
      <xdr:nvSpPr>
        <xdr:cNvPr id="3717" name="Line 240"/>
        <xdr:cNvSpPr>
          <a:spLocks noChangeShapeType="1"/>
        </xdr:cNvSpPr>
      </xdr:nvSpPr>
      <xdr:spPr bwMode="auto">
        <a:xfrm>
          <a:off x="3009900" y="6591300"/>
          <a:ext cx="171450" cy="95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26</xdr:col>
      <xdr:colOff>104775</xdr:colOff>
      <xdr:row>33</xdr:row>
      <xdr:rowOff>85725</xdr:rowOff>
    </xdr:from>
    <xdr:to>
      <xdr:col>27</xdr:col>
      <xdr:colOff>19050</xdr:colOff>
      <xdr:row>36</xdr:row>
      <xdr:rowOff>161925</xdr:rowOff>
    </xdr:to>
    <xdr:sp macro="" textlink="">
      <xdr:nvSpPr>
        <xdr:cNvPr id="3718" name="Line 241"/>
        <xdr:cNvSpPr>
          <a:spLocks noChangeShapeType="1"/>
        </xdr:cNvSpPr>
      </xdr:nvSpPr>
      <xdr:spPr bwMode="auto">
        <a:xfrm flipV="1">
          <a:off x="3152775" y="5981700"/>
          <a:ext cx="38100" cy="619125"/>
        </a:xfrm>
        <a:prstGeom prst="line">
          <a:avLst/>
        </a:prstGeom>
        <a:noFill/>
        <a:ln w="9525">
          <a:solidFill>
            <a:srgbClr val="000000"/>
          </a:solidFill>
          <a:round/>
          <a:headEnd type="stealth" w="sm" len="med"/>
          <a:tailEnd type="stealth" w="sm" len="med"/>
        </a:ln>
      </xdr:spPr>
    </xdr:sp>
    <xdr:clientData/>
  </xdr:twoCellAnchor>
  <xdr:twoCellAnchor>
    <xdr:from>
      <xdr:col>18</xdr:col>
      <xdr:colOff>114300</xdr:colOff>
      <xdr:row>23</xdr:row>
      <xdr:rowOff>66675</xdr:rowOff>
    </xdr:from>
    <xdr:to>
      <xdr:col>20</xdr:col>
      <xdr:colOff>0</xdr:colOff>
      <xdr:row>23</xdr:row>
      <xdr:rowOff>66675</xdr:rowOff>
    </xdr:to>
    <xdr:sp macro="" textlink="">
      <xdr:nvSpPr>
        <xdr:cNvPr id="3719" name="Line 242"/>
        <xdr:cNvSpPr>
          <a:spLocks noChangeShapeType="1"/>
        </xdr:cNvSpPr>
      </xdr:nvSpPr>
      <xdr:spPr bwMode="auto">
        <a:xfrm>
          <a:off x="2171700" y="4171950"/>
          <a:ext cx="13335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19</xdr:col>
      <xdr:colOff>9525</xdr:colOff>
      <xdr:row>23</xdr:row>
      <xdr:rowOff>47625</xdr:rowOff>
    </xdr:from>
    <xdr:to>
      <xdr:col>19</xdr:col>
      <xdr:colOff>57150</xdr:colOff>
      <xdr:row>23</xdr:row>
      <xdr:rowOff>85725</xdr:rowOff>
    </xdr:to>
    <xdr:sp macro="" textlink="">
      <xdr:nvSpPr>
        <xdr:cNvPr id="3720" name="Rectangle 243"/>
        <xdr:cNvSpPr>
          <a:spLocks noChangeArrowheads="1"/>
        </xdr:cNvSpPr>
      </xdr:nvSpPr>
      <xdr:spPr bwMode="auto">
        <a:xfrm>
          <a:off x="2190750" y="4152900"/>
          <a:ext cx="47625" cy="3810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19</xdr:col>
      <xdr:colOff>19050</xdr:colOff>
      <xdr:row>24</xdr:row>
      <xdr:rowOff>161925</xdr:rowOff>
    </xdr:from>
    <xdr:to>
      <xdr:col>19</xdr:col>
      <xdr:colOff>66675</xdr:colOff>
      <xdr:row>25</xdr:row>
      <xdr:rowOff>19050</xdr:rowOff>
    </xdr:to>
    <xdr:sp macro="" textlink="">
      <xdr:nvSpPr>
        <xdr:cNvPr id="3721" name="Rectangle 244"/>
        <xdr:cNvSpPr>
          <a:spLocks noChangeArrowheads="1"/>
        </xdr:cNvSpPr>
      </xdr:nvSpPr>
      <xdr:spPr bwMode="auto">
        <a:xfrm>
          <a:off x="2200275" y="4448175"/>
          <a:ext cx="47625" cy="3810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19</xdr:col>
      <xdr:colOff>76200</xdr:colOff>
      <xdr:row>23</xdr:row>
      <xdr:rowOff>47625</xdr:rowOff>
    </xdr:from>
    <xdr:to>
      <xdr:col>20</xdr:col>
      <xdr:colOff>0</xdr:colOff>
      <xdr:row>23</xdr:row>
      <xdr:rowOff>85725</xdr:rowOff>
    </xdr:to>
    <xdr:sp macro="" textlink="">
      <xdr:nvSpPr>
        <xdr:cNvPr id="3722" name="Rectangle 245"/>
        <xdr:cNvSpPr>
          <a:spLocks noChangeArrowheads="1"/>
        </xdr:cNvSpPr>
      </xdr:nvSpPr>
      <xdr:spPr bwMode="auto">
        <a:xfrm>
          <a:off x="2257425" y="4152900"/>
          <a:ext cx="47625" cy="3810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19</xdr:col>
      <xdr:colOff>76200</xdr:colOff>
      <xdr:row>24</xdr:row>
      <xdr:rowOff>161925</xdr:rowOff>
    </xdr:from>
    <xdr:to>
      <xdr:col>20</xdr:col>
      <xdr:colOff>0</xdr:colOff>
      <xdr:row>25</xdr:row>
      <xdr:rowOff>19050</xdr:rowOff>
    </xdr:to>
    <xdr:sp macro="" textlink="">
      <xdr:nvSpPr>
        <xdr:cNvPr id="3723" name="Rectangle 246"/>
        <xdr:cNvSpPr>
          <a:spLocks noChangeArrowheads="1"/>
        </xdr:cNvSpPr>
      </xdr:nvSpPr>
      <xdr:spPr bwMode="auto">
        <a:xfrm>
          <a:off x="2257425" y="4448175"/>
          <a:ext cx="47625" cy="3810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19</xdr:col>
      <xdr:colOff>0</xdr:colOff>
      <xdr:row>25</xdr:row>
      <xdr:rowOff>0</xdr:rowOff>
    </xdr:from>
    <xdr:to>
      <xdr:col>20</xdr:col>
      <xdr:colOff>9525</xdr:colOff>
      <xdr:row>25</xdr:row>
      <xdr:rowOff>0</xdr:rowOff>
    </xdr:to>
    <xdr:sp macro="" textlink="">
      <xdr:nvSpPr>
        <xdr:cNvPr id="3724" name="Line 247"/>
        <xdr:cNvSpPr>
          <a:spLocks noChangeShapeType="1"/>
        </xdr:cNvSpPr>
      </xdr:nvSpPr>
      <xdr:spPr bwMode="auto">
        <a:xfrm>
          <a:off x="2181225" y="4467225"/>
          <a:ext cx="13335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19</xdr:col>
      <xdr:colOff>28575</xdr:colOff>
      <xdr:row>26</xdr:row>
      <xdr:rowOff>95250</xdr:rowOff>
    </xdr:from>
    <xdr:to>
      <xdr:col>19</xdr:col>
      <xdr:colOff>76200</xdr:colOff>
      <xdr:row>26</xdr:row>
      <xdr:rowOff>133350</xdr:rowOff>
    </xdr:to>
    <xdr:sp macro="" textlink="">
      <xdr:nvSpPr>
        <xdr:cNvPr id="3725" name="Rectangle 248"/>
        <xdr:cNvSpPr>
          <a:spLocks noChangeArrowheads="1"/>
        </xdr:cNvSpPr>
      </xdr:nvSpPr>
      <xdr:spPr bwMode="auto">
        <a:xfrm>
          <a:off x="2209800" y="4743450"/>
          <a:ext cx="47625" cy="3810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19</xdr:col>
      <xdr:colOff>85725</xdr:colOff>
      <xdr:row>26</xdr:row>
      <xdr:rowOff>95250</xdr:rowOff>
    </xdr:from>
    <xdr:to>
      <xdr:col>20</xdr:col>
      <xdr:colOff>9525</xdr:colOff>
      <xdr:row>26</xdr:row>
      <xdr:rowOff>133350</xdr:rowOff>
    </xdr:to>
    <xdr:sp macro="" textlink="">
      <xdr:nvSpPr>
        <xdr:cNvPr id="3726" name="Rectangle 249"/>
        <xdr:cNvSpPr>
          <a:spLocks noChangeArrowheads="1"/>
        </xdr:cNvSpPr>
      </xdr:nvSpPr>
      <xdr:spPr bwMode="auto">
        <a:xfrm>
          <a:off x="2266950" y="4743450"/>
          <a:ext cx="47625" cy="3810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19</xdr:col>
      <xdr:colOff>9525</xdr:colOff>
      <xdr:row>26</xdr:row>
      <xdr:rowOff>114300</xdr:rowOff>
    </xdr:from>
    <xdr:to>
      <xdr:col>20</xdr:col>
      <xdr:colOff>19050</xdr:colOff>
      <xdr:row>26</xdr:row>
      <xdr:rowOff>114300</xdr:rowOff>
    </xdr:to>
    <xdr:sp macro="" textlink="">
      <xdr:nvSpPr>
        <xdr:cNvPr id="3727" name="Line 250"/>
        <xdr:cNvSpPr>
          <a:spLocks noChangeShapeType="1"/>
        </xdr:cNvSpPr>
      </xdr:nvSpPr>
      <xdr:spPr bwMode="auto">
        <a:xfrm>
          <a:off x="2190750" y="4762500"/>
          <a:ext cx="13335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38100</xdr:colOff>
      <xdr:row>27</xdr:row>
      <xdr:rowOff>152400</xdr:rowOff>
    </xdr:from>
    <xdr:to>
      <xdr:col>19</xdr:col>
      <xdr:colOff>76200</xdr:colOff>
      <xdr:row>27</xdr:row>
      <xdr:rowOff>152400</xdr:rowOff>
    </xdr:to>
    <xdr:sp macro="" textlink="">
      <xdr:nvSpPr>
        <xdr:cNvPr id="3728" name="Line 252"/>
        <xdr:cNvSpPr>
          <a:spLocks noChangeShapeType="1"/>
        </xdr:cNvSpPr>
      </xdr:nvSpPr>
      <xdr:spPr bwMode="auto">
        <a:xfrm>
          <a:off x="1381125" y="4981575"/>
          <a:ext cx="876300" cy="0"/>
        </a:xfrm>
        <a:prstGeom prst="line">
          <a:avLst/>
        </a:prstGeom>
        <a:noFill/>
        <a:ln w="9525">
          <a:solidFill>
            <a:srgbClr val="000000"/>
          </a:solidFill>
          <a:round/>
          <a:headEnd type="stealth" w="sm" len="med"/>
          <a:tailEnd type="stealth" w="sm" len="med"/>
        </a:ln>
      </xdr:spPr>
    </xdr:sp>
    <xdr:clientData/>
  </xdr:twoCellAnchor>
  <xdr:twoCellAnchor>
    <xdr:from>
      <xdr:col>10</xdr:col>
      <xdr:colOff>104775</xdr:colOff>
      <xdr:row>24</xdr:row>
      <xdr:rowOff>152400</xdr:rowOff>
    </xdr:from>
    <xdr:to>
      <xdr:col>11</xdr:col>
      <xdr:colOff>28575</xdr:colOff>
      <xdr:row>25</xdr:row>
      <xdr:rowOff>9525</xdr:rowOff>
    </xdr:to>
    <xdr:sp macro="" textlink="">
      <xdr:nvSpPr>
        <xdr:cNvPr id="3729" name="Rectangle 253"/>
        <xdr:cNvSpPr>
          <a:spLocks noChangeArrowheads="1"/>
        </xdr:cNvSpPr>
      </xdr:nvSpPr>
      <xdr:spPr bwMode="auto">
        <a:xfrm>
          <a:off x="1323975" y="4438650"/>
          <a:ext cx="47625" cy="3810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11</xdr:col>
      <xdr:colOff>47625</xdr:colOff>
      <xdr:row>24</xdr:row>
      <xdr:rowOff>152400</xdr:rowOff>
    </xdr:from>
    <xdr:to>
      <xdr:col>11</xdr:col>
      <xdr:colOff>95250</xdr:colOff>
      <xdr:row>25</xdr:row>
      <xdr:rowOff>9525</xdr:rowOff>
    </xdr:to>
    <xdr:sp macro="" textlink="">
      <xdr:nvSpPr>
        <xdr:cNvPr id="3730" name="Rectangle 254"/>
        <xdr:cNvSpPr>
          <a:spLocks noChangeArrowheads="1"/>
        </xdr:cNvSpPr>
      </xdr:nvSpPr>
      <xdr:spPr bwMode="auto">
        <a:xfrm>
          <a:off x="1390650" y="4438650"/>
          <a:ext cx="47625" cy="3810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104775</xdr:colOff>
      <xdr:row>23</xdr:row>
      <xdr:rowOff>47625</xdr:rowOff>
    </xdr:from>
    <xdr:to>
      <xdr:col>11</xdr:col>
      <xdr:colOff>28575</xdr:colOff>
      <xdr:row>23</xdr:row>
      <xdr:rowOff>85725</xdr:rowOff>
    </xdr:to>
    <xdr:sp macro="" textlink="">
      <xdr:nvSpPr>
        <xdr:cNvPr id="3731" name="Rectangle 255"/>
        <xdr:cNvSpPr>
          <a:spLocks noChangeArrowheads="1"/>
        </xdr:cNvSpPr>
      </xdr:nvSpPr>
      <xdr:spPr bwMode="auto">
        <a:xfrm>
          <a:off x="1323975" y="4152900"/>
          <a:ext cx="47625" cy="3810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11</xdr:col>
      <xdr:colOff>57150</xdr:colOff>
      <xdr:row>23</xdr:row>
      <xdr:rowOff>47625</xdr:rowOff>
    </xdr:from>
    <xdr:to>
      <xdr:col>11</xdr:col>
      <xdr:colOff>104775</xdr:colOff>
      <xdr:row>23</xdr:row>
      <xdr:rowOff>85725</xdr:rowOff>
    </xdr:to>
    <xdr:sp macro="" textlink="">
      <xdr:nvSpPr>
        <xdr:cNvPr id="3732" name="Rectangle 256"/>
        <xdr:cNvSpPr>
          <a:spLocks noChangeArrowheads="1"/>
        </xdr:cNvSpPr>
      </xdr:nvSpPr>
      <xdr:spPr bwMode="auto">
        <a:xfrm>
          <a:off x="1400175" y="4152900"/>
          <a:ext cx="47625" cy="3810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104775</xdr:colOff>
      <xdr:row>26</xdr:row>
      <xdr:rowOff>95250</xdr:rowOff>
    </xdr:from>
    <xdr:to>
      <xdr:col>11</xdr:col>
      <xdr:colOff>28575</xdr:colOff>
      <xdr:row>26</xdr:row>
      <xdr:rowOff>133350</xdr:rowOff>
    </xdr:to>
    <xdr:sp macro="" textlink="">
      <xdr:nvSpPr>
        <xdr:cNvPr id="3733" name="Rectangle 257"/>
        <xdr:cNvSpPr>
          <a:spLocks noChangeArrowheads="1"/>
        </xdr:cNvSpPr>
      </xdr:nvSpPr>
      <xdr:spPr bwMode="auto">
        <a:xfrm>
          <a:off x="1323975" y="4743450"/>
          <a:ext cx="47625" cy="3810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11</xdr:col>
      <xdr:colOff>57150</xdr:colOff>
      <xdr:row>26</xdr:row>
      <xdr:rowOff>95250</xdr:rowOff>
    </xdr:from>
    <xdr:to>
      <xdr:col>11</xdr:col>
      <xdr:colOff>104775</xdr:colOff>
      <xdr:row>26</xdr:row>
      <xdr:rowOff>133350</xdr:rowOff>
    </xdr:to>
    <xdr:sp macro="" textlink="">
      <xdr:nvSpPr>
        <xdr:cNvPr id="3734" name="Rectangle 258"/>
        <xdr:cNvSpPr>
          <a:spLocks noChangeArrowheads="1"/>
        </xdr:cNvSpPr>
      </xdr:nvSpPr>
      <xdr:spPr bwMode="auto">
        <a:xfrm>
          <a:off x="1400175" y="4743450"/>
          <a:ext cx="47625" cy="3810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95250</xdr:colOff>
      <xdr:row>26</xdr:row>
      <xdr:rowOff>114300</xdr:rowOff>
    </xdr:from>
    <xdr:to>
      <xdr:col>12</xdr:col>
      <xdr:colOff>0</xdr:colOff>
      <xdr:row>26</xdr:row>
      <xdr:rowOff>114300</xdr:rowOff>
    </xdr:to>
    <xdr:sp macro="" textlink="">
      <xdr:nvSpPr>
        <xdr:cNvPr id="3735" name="Line 259"/>
        <xdr:cNvSpPr>
          <a:spLocks noChangeShapeType="1"/>
        </xdr:cNvSpPr>
      </xdr:nvSpPr>
      <xdr:spPr bwMode="auto">
        <a:xfrm>
          <a:off x="1314450" y="4762500"/>
          <a:ext cx="1524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10</xdr:col>
      <xdr:colOff>95250</xdr:colOff>
      <xdr:row>24</xdr:row>
      <xdr:rowOff>171450</xdr:rowOff>
    </xdr:from>
    <xdr:to>
      <xdr:col>12</xdr:col>
      <xdr:colOff>0</xdr:colOff>
      <xdr:row>24</xdr:row>
      <xdr:rowOff>171450</xdr:rowOff>
    </xdr:to>
    <xdr:sp macro="" textlink="">
      <xdr:nvSpPr>
        <xdr:cNvPr id="3736" name="Line 260"/>
        <xdr:cNvSpPr>
          <a:spLocks noChangeShapeType="1"/>
        </xdr:cNvSpPr>
      </xdr:nvSpPr>
      <xdr:spPr bwMode="auto">
        <a:xfrm>
          <a:off x="1314450" y="4457700"/>
          <a:ext cx="1524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10</xdr:col>
      <xdr:colOff>104775</xdr:colOff>
      <xdr:row>23</xdr:row>
      <xdr:rowOff>66675</xdr:rowOff>
    </xdr:from>
    <xdr:to>
      <xdr:col>11</xdr:col>
      <xdr:colOff>114300</xdr:colOff>
      <xdr:row>23</xdr:row>
      <xdr:rowOff>66675</xdr:rowOff>
    </xdr:to>
    <xdr:sp macro="" textlink="">
      <xdr:nvSpPr>
        <xdr:cNvPr id="3737" name="Line 261"/>
        <xdr:cNvSpPr>
          <a:spLocks noChangeShapeType="1"/>
        </xdr:cNvSpPr>
      </xdr:nvSpPr>
      <xdr:spPr bwMode="auto">
        <a:xfrm>
          <a:off x="1323975" y="4171950"/>
          <a:ext cx="13335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20</xdr:col>
      <xdr:colOff>47625</xdr:colOff>
      <xdr:row>18</xdr:row>
      <xdr:rowOff>47625</xdr:rowOff>
    </xdr:from>
    <xdr:to>
      <xdr:col>20</xdr:col>
      <xdr:colOff>47625</xdr:colOff>
      <xdr:row>27</xdr:row>
      <xdr:rowOff>38100</xdr:rowOff>
    </xdr:to>
    <xdr:sp macro="" textlink="">
      <xdr:nvSpPr>
        <xdr:cNvPr id="3738" name="Line 262"/>
        <xdr:cNvSpPr>
          <a:spLocks noChangeShapeType="1"/>
        </xdr:cNvSpPr>
      </xdr:nvSpPr>
      <xdr:spPr bwMode="auto">
        <a:xfrm>
          <a:off x="2352675" y="3248025"/>
          <a:ext cx="0" cy="16192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19</xdr:col>
      <xdr:colOff>76200</xdr:colOff>
      <xdr:row>27</xdr:row>
      <xdr:rowOff>38100</xdr:rowOff>
    </xdr:from>
    <xdr:to>
      <xdr:col>20</xdr:col>
      <xdr:colOff>47625</xdr:colOff>
      <xdr:row>27</xdr:row>
      <xdr:rowOff>38100</xdr:rowOff>
    </xdr:to>
    <xdr:sp macro="" textlink="">
      <xdr:nvSpPr>
        <xdr:cNvPr id="3739" name="Line 263"/>
        <xdr:cNvSpPr>
          <a:spLocks noChangeShapeType="1"/>
        </xdr:cNvSpPr>
      </xdr:nvSpPr>
      <xdr:spPr bwMode="auto">
        <a:xfrm>
          <a:off x="2257425" y="4867275"/>
          <a:ext cx="9525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15</xdr:col>
      <xdr:colOff>28575</xdr:colOff>
      <xdr:row>15</xdr:row>
      <xdr:rowOff>123825</xdr:rowOff>
    </xdr:from>
    <xdr:to>
      <xdr:col>16</xdr:col>
      <xdr:colOff>66675</xdr:colOff>
      <xdr:row>16</xdr:row>
      <xdr:rowOff>66675</xdr:rowOff>
    </xdr:to>
    <xdr:sp macro="" textlink="">
      <xdr:nvSpPr>
        <xdr:cNvPr id="3740" name="Oval 264"/>
        <xdr:cNvSpPr>
          <a:spLocks noChangeArrowheads="1"/>
        </xdr:cNvSpPr>
      </xdr:nvSpPr>
      <xdr:spPr bwMode="auto">
        <a:xfrm>
          <a:off x="1752600" y="2781300"/>
          <a:ext cx="123825" cy="123825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23</xdr:col>
      <xdr:colOff>66675</xdr:colOff>
      <xdr:row>20</xdr:row>
      <xdr:rowOff>152400</xdr:rowOff>
    </xdr:from>
    <xdr:to>
      <xdr:col>24</xdr:col>
      <xdr:colOff>66675</xdr:colOff>
      <xdr:row>21</xdr:row>
      <xdr:rowOff>95250</xdr:rowOff>
    </xdr:to>
    <xdr:sp macro="" textlink="">
      <xdr:nvSpPr>
        <xdr:cNvPr id="3741" name="Oval 265"/>
        <xdr:cNvSpPr>
          <a:spLocks noChangeArrowheads="1"/>
        </xdr:cNvSpPr>
      </xdr:nvSpPr>
      <xdr:spPr bwMode="auto">
        <a:xfrm>
          <a:off x="2743200" y="3714750"/>
          <a:ext cx="123825" cy="123825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0</xdr:colOff>
      <xdr:row>21</xdr:row>
      <xdr:rowOff>114300</xdr:rowOff>
    </xdr:from>
    <xdr:to>
      <xdr:col>26</xdr:col>
      <xdr:colOff>0</xdr:colOff>
      <xdr:row>22</xdr:row>
      <xdr:rowOff>57150</xdr:rowOff>
    </xdr:to>
    <xdr:sp macro="" textlink="">
      <xdr:nvSpPr>
        <xdr:cNvPr id="3742" name="Oval 266"/>
        <xdr:cNvSpPr>
          <a:spLocks noChangeArrowheads="1"/>
        </xdr:cNvSpPr>
      </xdr:nvSpPr>
      <xdr:spPr bwMode="auto">
        <a:xfrm>
          <a:off x="2924175" y="3857625"/>
          <a:ext cx="123825" cy="123825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9525</xdr:colOff>
      <xdr:row>27</xdr:row>
      <xdr:rowOff>19050</xdr:rowOff>
    </xdr:from>
    <xdr:to>
      <xdr:col>14</xdr:col>
      <xdr:colOff>47625</xdr:colOff>
      <xdr:row>27</xdr:row>
      <xdr:rowOff>142875</xdr:rowOff>
    </xdr:to>
    <xdr:sp macro="" textlink="">
      <xdr:nvSpPr>
        <xdr:cNvPr id="3743" name="Oval 267"/>
        <xdr:cNvSpPr>
          <a:spLocks noChangeArrowheads="1"/>
        </xdr:cNvSpPr>
      </xdr:nvSpPr>
      <xdr:spPr bwMode="auto">
        <a:xfrm>
          <a:off x="1562100" y="4848225"/>
          <a:ext cx="123825" cy="123825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57150</xdr:colOff>
      <xdr:row>30</xdr:row>
      <xdr:rowOff>38100</xdr:rowOff>
    </xdr:from>
    <xdr:to>
      <xdr:col>4</xdr:col>
      <xdr:colOff>57150</xdr:colOff>
      <xdr:row>30</xdr:row>
      <xdr:rowOff>161925</xdr:rowOff>
    </xdr:to>
    <xdr:sp macro="" textlink="">
      <xdr:nvSpPr>
        <xdr:cNvPr id="3744" name="Oval 268"/>
        <xdr:cNvSpPr>
          <a:spLocks noChangeArrowheads="1"/>
        </xdr:cNvSpPr>
      </xdr:nvSpPr>
      <xdr:spPr bwMode="auto">
        <a:xfrm>
          <a:off x="409575" y="5391150"/>
          <a:ext cx="123825" cy="123825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104775</xdr:colOff>
      <xdr:row>30</xdr:row>
      <xdr:rowOff>19050</xdr:rowOff>
    </xdr:from>
    <xdr:to>
      <xdr:col>5</xdr:col>
      <xdr:colOff>104775</xdr:colOff>
      <xdr:row>30</xdr:row>
      <xdr:rowOff>142875</xdr:rowOff>
    </xdr:to>
    <xdr:sp macro="" textlink="">
      <xdr:nvSpPr>
        <xdr:cNvPr id="3745" name="Oval 270"/>
        <xdr:cNvSpPr>
          <a:spLocks noChangeArrowheads="1"/>
        </xdr:cNvSpPr>
      </xdr:nvSpPr>
      <xdr:spPr bwMode="auto">
        <a:xfrm>
          <a:off x="581025" y="5372100"/>
          <a:ext cx="123825" cy="123825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15</xdr:col>
      <xdr:colOff>38100</xdr:colOff>
      <xdr:row>40</xdr:row>
      <xdr:rowOff>28575</xdr:rowOff>
    </xdr:from>
    <xdr:to>
      <xdr:col>16</xdr:col>
      <xdr:colOff>76200</xdr:colOff>
      <xdr:row>40</xdr:row>
      <xdr:rowOff>152400</xdr:rowOff>
    </xdr:to>
    <xdr:sp macro="" textlink="">
      <xdr:nvSpPr>
        <xdr:cNvPr id="3746" name="Oval 271"/>
        <xdr:cNvSpPr>
          <a:spLocks noChangeArrowheads="1"/>
        </xdr:cNvSpPr>
      </xdr:nvSpPr>
      <xdr:spPr bwMode="auto">
        <a:xfrm>
          <a:off x="1762125" y="7191375"/>
          <a:ext cx="123825" cy="123825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15</xdr:col>
      <xdr:colOff>28575</xdr:colOff>
      <xdr:row>39</xdr:row>
      <xdr:rowOff>19050</xdr:rowOff>
    </xdr:from>
    <xdr:to>
      <xdr:col>16</xdr:col>
      <xdr:colOff>66675</xdr:colOff>
      <xdr:row>39</xdr:row>
      <xdr:rowOff>142875</xdr:rowOff>
    </xdr:to>
    <xdr:sp macro="" textlink="">
      <xdr:nvSpPr>
        <xdr:cNvPr id="3747" name="Oval 272"/>
        <xdr:cNvSpPr>
          <a:spLocks noChangeArrowheads="1"/>
        </xdr:cNvSpPr>
      </xdr:nvSpPr>
      <xdr:spPr bwMode="auto">
        <a:xfrm>
          <a:off x="1752600" y="7000875"/>
          <a:ext cx="123825" cy="123825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28575</xdr:colOff>
      <xdr:row>30</xdr:row>
      <xdr:rowOff>19050</xdr:rowOff>
    </xdr:from>
    <xdr:to>
      <xdr:col>7</xdr:col>
      <xdr:colOff>28575</xdr:colOff>
      <xdr:row>30</xdr:row>
      <xdr:rowOff>142875</xdr:rowOff>
    </xdr:to>
    <xdr:sp macro="" textlink="">
      <xdr:nvSpPr>
        <xdr:cNvPr id="3748" name="Oval 273"/>
        <xdr:cNvSpPr>
          <a:spLocks noChangeArrowheads="1"/>
        </xdr:cNvSpPr>
      </xdr:nvSpPr>
      <xdr:spPr bwMode="auto">
        <a:xfrm>
          <a:off x="752475" y="5372100"/>
          <a:ext cx="123825" cy="123825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0</xdr:colOff>
      <xdr:row>36</xdr:row>
      <xdr:rowOff>47625</xdr:rowOff>
    </xdr:from>
    <xdr:to>
      <xdr:col>3</xdr:col>
      <xdr:colOff>0</xdr:colOff>
      <xdr:row>36</xdr:row>
      <xdr:rowOff>171450</xdr:rowOff>
    </xdr:to>
    <xdr:sp macro="" textlink="">
      <xdr:nvSpPr>
        <xdr:cNvPr id="3749" name="Oval 274"/>
        <xdr:cNvSpPr>
          <a:spLocks noChangeArrowheads="1"/>
        </xdr:cNvSpPr>
      </xdr:nvSpPr>
      <xdr:spPr bwMode="auto">
        <a:xfrm>
          <a:off x="228600" y="6486525"/>
          <a:ext cx="123825" cy="123825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104775</xdr:colOff>
      <xdr:row>35</xdr:row>
      <xdr:rowOff>133350</xdr:rowOff>
    </xdr:from>
    <xdr:to>
      <xdr:col>26</xdr:col>
      <xdr:colOff>104775</xdr:colOff>
      <xdr:row>36</xdr:row>
      <xdr:rowOff>76200</xdr:rowOff>
    </xdr:to>
    <xdr:sp macro="" textlink="">
      <xdr:nvSpPr>
        <xdr:cNvPr id="3750" name="Oval 275"/>
        <xdr:cNvSpPr>
          <a:spLocks noChangeArrowheads="1"/>
        </xdr:cNvSpPr>
      </xdr:nvSpPr>
      <xdr:spPr bwMode="auto">
        <a:xfrm>
          <a:off x="3028950" y="6391275"/>
          <a:ext cx="123825" cy="123825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oneCellAnchor>
    <xdr:from>
      <xdr:col>8</xdr:col>
      <xdr:colOff>66675</xdr:colOff>
      <xdr:row>16</xdr:row>
      <xdr:rowOff>104775</xdr:rowOff>
    </xdr:from>
    <xdr:ext cx="185244" cy="155748"/>
    <xdr:sp macro="" textlink="">
      <xdr:nvSpPr>
        <xdr:cNvPr id="3348" name="Text Box 276"/>
        <xdr:cNvSpPr txBox="1">
          <a:spLocks noChangeArrowheads="1"/>
        </xdr:cNvSpPr>
      </xdr:nvSpPr>
      <xdr:spPr bwMode="auto">
        <a:xfrm>
          <a:off x="1038225" y="2943225"/>
          <a:ext cx="185244" cy="155748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US" sz="900" b="0" i="0" u="none" strike="noStrike" baseline="0">
              <a:solidFill>
                <a:srgbClr val="000000"/>
              </a:solidFill>
              <a:latin typeface="Arial"/>
              <a:cs typeface="Arial"/>
            </a:rPr>
            <a:t>1-0</a:t>
          </a:r>
        </a:p>
      </xdr:txBody>
    </xdr:sp>
    <xdr:clientData/>
  </xdr:oneCellAnchor>
  <xdr:oneCellAnchor>
    <xdr:from>
      <xdr:col>20</xdr:col>
      <xdr:colOff>66675</xdr:colOff>
      <xdr:row>16</xdr:row>
      <xdr:rowOff>104775</xdr:rowOff>
    </xdr:from>
    <xdr:ext cx="185244" cy="155748"/>
    <xdr:sp macro="" textlink="">
      <xdr:nvSpPr>
        <xdr:cNvPr id="3349" name="Text Box 277"/>
        <xdr:cNvSpPr txBox="1">
          <a:spLocks noChangeArrowheads="1"/>
        </xdr:cNvSpPr>
      </xdr:nvSpPr>
      <xdr:spPr bwMode="auto">
        <a:xfrm>
          <a:off x="2371725" y="2943225"/>
          <a:ext cx="185244" cy="155748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US" sz="900" b="0" i="0" u="none" strike="noStrike" baseline="0">
              <a:solidFill>
                <a:srgbClr val="000000"/>
              </a:solidFill>
              <a:latin typeface="Arial"/>
              <a:cs typeface="Arial"/>
            </a:rPr>
            <a:t>1-0</a:t>
          </a:r>
        </a:p>
      </xdr:txBody>
    </xdr:sp>
    <xdr:clientData/>
  </xdr:oneCellAnchor>
  <xdr:oneCellAnchor>
    <xdr:from>
      <xdr:col>8</xdr:col>
      <xdr:colOff>114300</xdr:colOff>
      <xdr:row>39</xdr:row>
      <xdr:rowOff>0</xdr:rowOff>
    </xdr:from>
    <xdr:ext cx="185244" cy="155748"/>
    <xdr:sp macro="" textlink="">
      <xdr:nvSpPr>
        <xdr:cNvPr id="3350" name="Text Box 278"/>
        <xdr:cNvSpPr txBox="1">
          <a:spLocks noChangeArrowheads="1"/>
        </xdr:cNvSpPr>
      </xdr:nvSpPr>
      <xdr:spPr bwMode="auto">
        <a:xfrm>
          <a:off x="1085850" y="6981825"/>
          <a:ext cx="185244" cy="155748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US" sz="900" b="0" i="0" u="none" strike="noStrike" baseline="0">
              <a:solidFill>
                <a:srgbClr val="000000"/>
              </a:solidFill>
              <a:latin typeface="Arial"/>
              <a:cs typeface="Arial"/>
            </a:rPr>
            <a:t>1-0</a:t>
          </a:r>
        </a:p>
      </xdr:txBody>
    </xdr:sp>
    <xdr:clientData/>
  </xdr:oneCellAnchor>
  <xdr:oneCellAnchor>
    <xdr:from>
      <xdr:col>20</xdr:col>
      <xdr:colOff>66675</xdr:colOff>
      <xdr:row>39</xdr:row>
      <xdr:rowOff>0</xdr:rowOff>
    </xdr:from>
    <xdr:ext cx="185244" cy="155748"/>
    <xdr:sp macro="" textlink="">
      <xdr:nvSpPr>
        <xdr:cNvPr id="3351" name="Text Box 279"/>
        <xdr:cNvSpPr txBox="1">
          <a:spLocks noChangeArrowheads="1"/>
        </xdr:cNvSpPr>
      </xdr:nvSpPr>
      <xdr:spPr bwMode="auto">
        <a:xfrm>
          <a:off x="2371725" y="6981825"/>
          <a:ext cx="185244" cy="155748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US" sz="900" b="0" i="0" u="none" strike="noStrike" baseline="0">
              <a:solidFill>
                <a:srgbClr val="000000"/>
              </a:solidFill>
              <a:latin typeface="Arial"/>
              <a:cs typeface="Arial"/>
            </a:rPr>
            <a:t>1-0</a:t>
          </a:r>
        </a:p>
      </xdr:txBody>
    </xdr:sp>
    <xdr:clientData/>
  </xdr:oneCellAnchor>
  <xdr:oneCellAnchor>
    <xdr:from>
      <xdr:col>11</xdr:col>
      <xdr:colOff>114300</xdr:colOff>
      <xdr:row>16</xdr:row>
      <xdr:rowOff>66675</xdr:rowOff>
    </xdr:from>
    <xdr:ext cx="735586" cy="288412"/>
    <xdr:sp macro="" textlink="">
      <xdr:nvSpPr>
        <xdr:cNvPr id="3352" name="Text Box 280"/>
        <xdr:cNvSpPr txBox="1">
          <a:spLocks noChangeArrowheads="1"/>
        </xdr:cNvSpPr>
      </xdr:nvSpPr>
      <xdr:spPr bwMode="auto">
        <a:xfrm>
          <a:off x="1457325" y="2905125"/>
          <a:ext cx="735586" cy="28841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US" sz="900" b="0" i="0" u="none" strike="noStrike" baseline="0">
              <a:solidFill>
                <a:srgbClr val="000000"/>
              </a:solidFill>
              <a:latin typeface="Arial"/>
              <a:cs typeface="Arial"/>
            </a:rPr>
            <a:t>2 1/2" x 2 1/2"</a:t>
          </a:r>
        </a:p>
        <a:p>
          <a:pPr algn="l" rtl="0">
            <a:defRPr sz="1000"/>
          </a:pPr>
          <a:r>
            <a:rPr lang="en-US" sz="900" b="0" i="0" u="none" strike="noStrike" baseline="0">
              <a:solidFill>
                <a:srgbClr val="000000"/>
              </a:solidFill>
              <a:latin typeface="Arial"/>
              <a:cs typeface="Arial"/>
            </a:rPr>
            <a:t>x 1/4"     s</a:t>
          </a:r>
        </a:p>
      </xdr:txBody>
    </xdr:sp>
    <xdr:clientData/>
  </xdr:oneCellAnchor>
  <xdr:twoCellAnchor>
    <xdr:from>
      <xdr:col>16</xdr:col>
      <xdr:colOff>0</xdr:colOff>
      <xdr:row>17</xdr:row>
      <xdr:rowOff>57150</xdr:rowOff>
    </xdr:from>
    <xdr:to>
      <xdr:col>16</xdr:col>
      <xdr:colOff>95250</xdr:colOff>
      <xdr:row>17</xdr:row>
      <xdr:rowOff>152400</xdr:rowOff>
    </xdr:to>
    <xdr:sp macro="" textlink="">
      <xdr:nvSpPr>
        <xdr:cNvPr id="3756" name="Freeform 281"/>
        <xdr:cNvSpPr>
          <a:spLocks/>
        </xdr:cNvSpPr>
      </xdr:nvSpPr>
      <xdr:spPr bwMode="auto">
        <a:xfrm>
          <a:off x="1809750" y="3076575"/>
          <a:ext cx="95250" cy="95250"/>
        </a:xfrm>
        <a:custGeom>
          <a:avLst/>
          <a:gdLst>
            <a:gd name="T0" fmla="*/ 7 w 10"/>
            <a:gd name="T1" fmla="*/ 0 h 10"/>
            <a:gd name="T2" fmla="*/ 0 w 10"/>
            <a:gd name="T3" fmla="*/ 10 h 10"/>
            <a:gd name="T4" fmla="*/ 10 w 10"/>
            <a:gd name="T5" fmla="*/ 10 h 10"/>
            <a:gd name="T6" fmla="*/ 0 60000 65536"/>
            <a:gd name="T7" fmla="*/ 0 60000 65536"/>
            <a:gd name="T8" fmla="*/ 0 60000 65536"/>
            <a:gd name="T9" fmla="*/ 0 w 10"/>
            <a:gd name="T10" fmla="*/ 0 h 10"/>
            <a:gd name="T11" fmla="*/ 10 w 10"/>
            <a:gd name="T12" fmla="*/ 10 h 10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" h="10">
              <a:moveTo>
                <a:pt x="7" y="0"/>
              </a:moveTo>
              <a:lnTo>
                <a:pt x="0" y="10"/>
              </a:lnTo>
              <a:lnTo>
                <a:pt x="10" y="10"/>
              </a:lnTo>
            </a:path>
          </a:pathLst>
        </a:custGeom>
        <a:noFill/>
        <a:ln w="9525">
          <a:solidFill>
            <a:srgbClr val="000000"/>
          </a:solidFill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9525</xdr:colOff>
      <xdr:row>17</xdr:row>
      <xdr:rowOff>9525</xdr:rowOff>
    </xdr:from>
    <xdr:to>
      <xdr:col>12</xdr:col>
      <xdr:colOff>9525</xdr:colOff>
      <xdr:row>18</xdr:row>
      <xdr:rowOff>66675</xdr:rowOff>
    </xdr:to>
    <xdr:sp macro="" textlink="">
      <xdr:nvSpPr>
        <xdr:cNvPr id="3757" name="Line 282"/>
        <xdr:cNvSpPr>
          <a:spLocks noChangeShapeType="1"/>
        </xdr:cNvSpPr>
      </xdr:nvSpPr>
      <xdr:spPr bwMode="auto">
        <a:xfrm flipV="1">
          <a:off x="1352550" y="3028950"/>
          <a:ext cx="123825" cy="238125"/>
        </a:xfrm>
        <a:prstGeom prst="line">
          <a:avLst/>
        </a:prstGeom>
        <a:noFill/>
        <a:ln w="9525">
          <a:solidFill>
            <a:srgbClr val="000000"/>
          </a:solidFill>
          <a:round/>
          <a:headEnd type="stealth" w="sm" len="med"/>
          <a:tailEnd/>
        </a:ln>
      </xdr:spPr>
    </xdr:sp>
    <xdr:clientData/>
  </xdr:twoCellAnchor>
  <xdr:twoCellAnchor>
    <xdr:from>
      <xdr:col>17</xdr:col>
      <xdr:colOff>76200</xdr:colOff>
      <xdr:row>17</xdr:row>
      <xdr:rowOff>85725</xdr:rowOff>
    </xdr:from>
    <xdr:to>
      <xdr:col>19</xdr:col>
      <xdr:colOff>104775</xdr:colOff>
      <xdr:row>18</xdr:row>
      <xdr:rowOff>95250</xdr:rowOff>
    </xdr:to>
    <xdr:sp macro="" textlink="">
      <xdr:nvSpPr>
        <xdr:cNvPr id="3758" name="Freeform 283"/>
        <xdr:cNvSpPr>
          <a:spLocks/>
        </xdr:cNvSpPr>
      </xdr:nvSpPr>
      <xdr:spPr bwMode="auto">
        <a:xfrm>
          <a:off x="2009775" y="3105150"/>
          <a:ext cx="276225" cy="190500"/>
        </a:xfrm>
        <a:custGeom>
          <a:avLst/>
          <a:gdLst>
            <a:gd name="T0" fmla="*/ 0 w 29"/>
            <a:gd name="T1" fmla="*/ 0 h 20"/>
            <a:gd name="T2" fmla="*/ 9 w 29"/>
            <a:gd name="T3" fmla="*/ 4 h 20"/>
            <a:gd name="T4" fmla="*/ 19 w 29"/>
            <a:gd name="T5" fmla="*/ 9 h 20"/>
            <a:gd name="T6" fmla="*/ 23 w 29"/>
            <a:gd name="T7" fmla="*/ 12 h 20"/>
            <a:gd name="T8" fmla="*/ 29 w 29"/>
            <a:gd name="T9" fmla="*/ 20 h 20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29"/>
            <a:gd name="T16" fmla="*/ 0 h 20"/>
            <a:gd name="T17" fmla="*/ 29 w 29"/>
            <a:gd name="T18" fmla="*/ 20 h 20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29" h="20">
              <a:moveTo>
                <a:pt x="0" y="0"/>
              </a:moveTo>
              <a:lnTo>
                <a:pt x="9" y="4"/>
              </a:lnTo>
              <a:lnTo>
                <a:pt x="19" y="9"/>
              </a:lnTo>
              <a:lnTo>
                <a:pt x="23" y="12"/>
              </a:lnTo>
              <a:lnTo>
                <a:pt x="29" y="20"/>
              </a:lnTo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med" len="med"/>
          <a:tailEnd type="stealth" w="sm" len="med"/>
        </a:ln>
      </xdr:spPr>
    </xdr:sp>
    <xdr:clientData/>
  </xdr:twoCellAnchor>
  <xdr:oneCellAnchor>
    <xdr:from>
      <xdr:col>12</xdr:col>
      <xdr:colOff>66675</xdr:colOff>
      <xdr:row>18</xdr:row>
      <xdr:rowOff>142875</xdr:rowOff>
    </xdr:from>
    <xdr:ext cx="486736" cy="288412"/>
    <xdr:sp macro="" textlink="">
      <xdr:nvSpPr>
        <xdr:cNvPr id="3356" name="Text Box 284"/>
        <xdr:cNvSpPr txBox="1">
          <a:spLocks noChangeArrowheads="1"/>
        </xdr:cNvSpPr>
      </xdr:nvSpPr>
      <xdr:spPr bwMode="auto">
        <a:xfrm>
          <a:off x="1533525" y="3343275"/>
          <a:ext cx="486736" cy="28841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US" sz="900" b="0" i="0" u="none" strike="noStrike" baseline="0">
              <a:solidFill>
                <a:srgbClr val="000000"/>
              </a:solidFill>
              <a:latin typeface="Arial"/>
              <a:cs typeface="Arial"/>
            </a:rPr>
            <a:t>Machine </a:t>
          </a:r>
        </a:p>
        <a:p>
          <a:pPr algn="l" rtl="0">
            <a:defRPr sz="1000"/>
          </a:pPr>
          <a:r>
            <a:rPr lang="en-US" sz="900" b="0" i="0" u="none" strike="noStrike" baseline="0">
              <a:solidFill>
                <a:srgbClr val="000000"/>
              </a:solidFill>
              <a:latin typeface="Arial"/>
              <a:cs typeface="Arial"/>
            </a:rPr>
            <a:t>bolts</a:t>
          </a:r>
        </a:p>
      </xdr:txBody>
    </xdr:sp>
    <xdr:clientData/>
  </xdr:oneCellAnchor>
  <xdr:twoCellAnchor>
    <xdr:from>
      <xdr:col>11</xdr:col>
      <xdr:colOff>19050</xdr:colOff>
      <xdr:row>18</xdr:row>
      <xdr:rowOff>171450</xdr:rowOff>
    </xdr:from>
    <xdr:to>
      <xdr:col>12</xdr:col>
      <xdr:colOff>66675</xdr:colOff>
      <xdr:row>19</xdr:row>
      <xdr:rowOff>47625</xdr:rowOff>
    </xdr:to>
    <xdr:sp macro="" textlink="">
      <xdr:nvSpPr>
        <xdr:cNvPr id="3760" name="Line 285"/>
        <xdr:cNvSpPr>
          <a:spLocks noChangeShapeType="1"/>
        </xdr:cNvSpPr>
      </xdr:nvSpPr>
      <xdr:spPr bwMode="auto">
        <a:xfrm>
          <a:off x="1362075" y="3371850"/>
          <a:ext cx="171450" cy="57150"/>
        </a:xfrm>
        <a:prstGeom prst="line">
          <a:avLst/>
        </a:prstGeom>
        <a:noFill/>
        <a:ln w="9525">
          <a:solidFill>
            <a:srgbClr val="000000"/>
          </a:solidFill>
          <a:round/>
          <a:headEnd type="stealth" w="sm" len="med"/>
          <a:tailEnd/>
        </a:ln>
      </xdr:spPr>
    </xdr:sp>
    <xdr:clientData/>
  </xdr:twoCellAnchor>
  <xdr:twoCellAnchor>
    <xdr:from>
      <xdr:col>11</xdr:col>
      <xdr:colOff>19050</xdr:colOff>
      <xdr:row>19</xdr:row>
      <xdr:rowOff>47625</xdr:rowOff>
    </xdr:from>
    <xdr:to>
      <xdr:col>12</xdr:col>
      <xdr:colOff>9525</xdr:colOff>
      <xdr:row>20</xdr:row>
      <xdr:rowOff>66675</xdr:rowOff>
    </xdr:to>
    <xdr:sp macro="" textlink="">
      <xdr:nvSpPr>
        <xdr:cNvPr id="3761" name="Freeform 286"/>
        <xdr:cNvSpPr>
          <a:spLocks/>
        </xdr:cNvSpPr>
      </xdr:nvSpPr>
      <xdr:spPr bwMode="auto">
        <a:xfrm>
          <a:off x="1362075" y="3429000"/>
          <a:ext cx="114300" cy="200025"/>
        </a:xfrm>
        <a:custGeom>
          <a:avLst/>
          <a:gdLst>
            <a:gd name="T0" fmla="*/ 0 w 12"/>
            <a:gd name="T1" fmla="*/ 21 h 21"/>
            <a:gd name="T2" fmla="*/ 6 w 12"/>
            <a:gd name="T3" fmla="*/ 13 h 21"/>
            <a:gd name="T4" fmla="*/ 10 w 12"/>
            <a:gd name="T5" fmla="*/ 6 h 21"/>
            <a:gd name="T6" fmla="*/ 12 w 12"/>
            <a:gd name="T7" fmla="*/ 0 h 21"/>
            <a:gd name="T8" fmla="*/ 0 60000 65536"/>
            <a:gd name="T9" fmla="*/ 0 60000 65536"/>
            <a:gd name="T10" fmla="*/ 0 60000 65536"/>
            <a:gd name="T11" fmla="*/ 0 60000 65536"/>
            <a:gd name="T12" fmla="*/ 0 w 12"/>
            <a:gd name="T13" fmla="*/ 0 h 21"/>
            <a:gd name="T14" fmla="*/ 12 w 12"/>
            <a:gd name="T15" fmla="*/ 21 h 21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2" h="21">
              <a:moveTo>
                <a:pt x="0" y="21"/>
              </a:moveTo>
              <a:lnTo>
                <a:pt x="6" y="13"/>
              </a:lnTo>
              <a:lnTo>
                <a:pt x="10" y="6"/>
              </a:lnTo>
              <a:lnTo>
                <a:pt x="12" y="0"/>
              </a:lnTo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stealth" w="sm" len="med"/>
          <a:tailEnd type="none" w="med" len="med"/>
        </a:ln>
      </xdr:spPr>
    </xdr:sp>
    <xdr:clientData/>
  </xdr:twoCellAnchor>
  <xdr:twoCellAnchor>
    <xdr:from>
      <xdr:col>11</xdr:col>
      <xdr:colOff>19050</xdr:colOff>
      <xdr:row>19</xdr:row>
      <xdr:rowOff>142875</xdr:rowOff>
    </xdr:from>
    <xdr:to>
      <xdr:col>12</xdr:col>
      <xdr:colOff>9525</xdr:colOff>
      <xdr:row>22</xdr:row>
      <xdr:rowOff>28575</xdr:rowOff>
    </xdr:to>
    <xdr:sp macro="" textlink="">
      <xdr:nvSpPr>
        <xdr:cNvPr id="3762" name="Freeform 287"/>
        <xdr:cNvSpPr>
          <a:spLocks/>
        </xdr:cNvSpPr>
      </xdr:nvSpPr>
      <xdr:spPr bwMode="auto">
        <a:xfrm>
          <a:off x="1362075" y="3524250"/>
          <a:ext cx="114300" cy="428625"/>
        </a:xfrm>
        <a:custGeom>
          <a:avLst/>
          <a:gdLst>
            <a:gd name="T0" fmla="*/ 0 w 12"/>
            <a:gd name="T1" fmla="*/ 45 h 45"/>
            <a:gd name="T2" fmla="*/ 6 w 12"/>
            <a:gd name="T3" fmla="*/ 37 h 45"/>
            <a:gd name="T4" fmla="*/ 10 w 12"/>
            <a:gd name="T5" fmla="*/ 28 h 45"/>
            <a:gd name="T6" fmla="*/ 12 w 12"/>
            <a:gd name="T7" fmla="*/ 19 h 45"/>
            <a:gd name="T8" fmla="*/ 12 w 12"/>
            <a:gd name="T9" fmla="*/ 9 h 45"/>
            <a:gd name="T10" fmla="*/ 9 w 12"/>
            <a:gd name="T11" fmla="*/ 0 h 45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2"/>
            <a:gd name="T19" fmla="*/ 0 h 45"/>
            <a:gd name="T20" fmla="*/ 12 w 12"/>
            <a:gd name="T21" fmla="*/ 45 h 45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2" h="45">
              <a:moveTo>
                <a:pt x="0" y="45"/>
              </a:moveTo>
              <a:lnTo>
                <a:pt x="6" y="37"/>
              </a:lnTo>
              <a:lnTo>
                <a:pt x="10" y="28"/>
              </a:lnTo>
              <a:lnTo>
                <a:pt x="12" y="19"/>
              </a:lnTo>
              <a:lnTo>
                <a:pt x="12" y="9"/>
              </a:lnTo>
              <a:lnTo>
                <a:pt x="9" y="0"/>
              </a:lnTo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stealth" w="sm" len="med"/>
          <a:tailEnd type="none" w="med" len="med"/>
        </a:ln>
      </xdr:spPr>
    </xdr:sp>
    <xdr:clientData/>
  </xdr:twoCellAnchor>
  <xdr:oneCellAnchor>
    <xdr:from>
      <xdr:col>16</xdr:col>
      <xdr:colOff>76200</xdr:colOff>
      <xdr:row>20</xdr:row>
      <xdr:rowOff>152400</xdr:rowOff>
    </xdr:from>
    <xdr:ext cx="151132" cy="189859"/>
    <xdr:sp macro="" textlink="">
      <xdr:nvSpPr>
        <xdr:cNvPr id="3360" name="Text Box 288"/>
        <xdr:cNvSpPr txBox="1">
          <a:spLocks noChangeArrowheads="1"/>
        </xdr:cNvSpPr>
      </xdr:nvSpPr>
      <xdr:spPr bwMode="auto">
        <a:xfrm>
          <a:off x="1885950" y="3714750"/>
          <a:ext cx="151132" cy="18985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="vert270" wrap="none" lIns="18288" tIns="22860" rIns="0" bIns="0" anchor="t" upright="1">
          <a:spAutoFit/>
        </a:bodyPr>
        <a:lstStyle/>
        <a:p>
          <a:pPr algn="r" rtl="0">
            <a:defRPr sz="1000"/>
          </a:pPr>
          <a:r>
            <a:rPr lang="en-US" sz="900" b="0" i="0" u="none" strike="noStrike" baseline="0">
              <a:solidFill>
                <a:srgbClr val="000000"/>
              </a:solidFill>
              <a:latin typeface="Arial"/>
              <a:cs typeface="Arial"/>
            </a:rPr>
            <a:t>1-4</a:t>
          </a:r>
        </a:p>
      </xdr:txBody>
    </xdr:sp>
    <xdr:clientData/>
  </xdr:oneCellAnchor>
  <xdr:oneCellAnchor>
    <xdr:from>
      <xdr:col>1</xdr:col>
      <xdr:colOff>76200</xdr:colOff>
      <xdr:row>16</xdr:row>
      <xdr:rowOff>152400</xdr:rowOff>
    </xdr:from>
    <xdr:ext cx="576440" cy="155748"/>
    <xdr:sp macro="" textlink="">
      <xdr:nvSpPr>
        <xdr:cNvPr id="3362" name="Text Box 290"/>
        <xdr:cNvSpPr txBox="1">
          <a:spLocks noChangeArrowheads="1"/>
        </xdr:cNvSpPr>
      </xdr:nvSpPr>
      <xdr:spPr bwMode="auto">
        <a:xfrm>
          <a:off x="180975" y="2990850"/>
          <a:ext cx="576440" cy="155748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US" sz="900" b="0" i="0" u="none" strike="noStrike" baseline="0">
              <a:solidFill>
                <a:srgbClr val="000000"/>
              </a:solidFill>
              <a:latin typeface="Arial"/>
              <a:cs typeface="Arial"/>
            </a:rPr>
            <a:t>C.M. baffle</a:t>
          </a:r>
        </a:p>
      </xdr:txBody>
    </xdr:sp>
    <xdr:clientData/>
  </xdr:oneCellAnchor>
  <xdr:twoCellAnchor>
    <xdr:from>
      <xdr:col>6</xdr:col>
      <xdr:colOff>47625</xdr:colOff>
      <xdr:row>17</xdr:row>
      <xdr:rowOff>123825</xdr:rowOff>
    </xdr:from>
    <xdr:to>
      <xdr:col>7</xdr:col>
      <xdr:colOff>85725</xdr:colOff>
      <xdr:row>18</xdr:row>
      <xdr:rowOff>38100</xdr:rowOff>
    </xdr:to>
    <xdr:sp macro="" textlink="">
      <xdr:nvSpPr>
        <xdr:cNvPr id="3765" name="Freeform 291"/>
        <xdr:cNvSpPr>
          <a:spLocks/>
        </xdr:cNvSpPr>
      </xdr:nvSpPr>
      <xdr:spPr bwMode="auto">
        <a:xfrm>
          <a:off x="771525" y="3143250"/>
          <a:ext cx="161925" cy="95250"/>
        </a:xfrm>
        <a:custGeom>
          <a:avLst/>
          <a:gdLst>
            <a:gd name="T0" fmla="*/ 0 w 17"/>
            <a:gd name="T1" fmla="*/ 0 h 10"/>
            <a:gd name="T2" fmla="*/ 9 w 17"/>
            <a:gd name="T3" fmla="*/ 3 h 10"/>
            <a:gd name="T4" fmla="*/ 17 w 17"/>
            <a:gd name="T5" fmla="*/ 10 h 10"/>
            <a:gd name="T6" fmla="*/ 0 60000 65536"/>
            <a:gd name="T7" fmla="*/ 0 60000 65536"/>
            <a:gd name="T8" fmla="*/ 0 60000 65536"/>
            <a:gd name="T9" fmla="*/ 0 w 17"/>
            <a:gd name="T10" fmla="*/ 0 h 10"/>
            <a:gd name="T11" fmla="*/ 17 w 17"/>
            <a:gd name="T12" fmla="*/ 10 h 10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7" h="10">
              <a:moveTo>
                <a:pt x="0" y="0"/>
              </a:moveTo>
              <a:lnTo>
                <a:pt x="9" y="3"/>
              </a:lnTo>
              <a:lnTo>
                <a:pt x="17" y="10"/>
              </a:lnTo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med" len="med"/>
          <a:tailEnd type="stealth" w="sm" len="med"/>
        </a:ln>
      </xdr:spPr>
    </xdr:sp>
    <xdr:clientData/>
  </xdr:twoCellAnchor>
  <xdr:oneCellAnchor>
    <xdr:from>
      <xdr:col>23</xdr:col>
      <xdr:colOff>47625</xdr:colOff>
      <xdr:row>19</xdr:row>
      <xdr:rowOff>38100</xdr:rowOff>
    </xdr:from>
    <xdr:ext cx="151132" cy="257250"/>
    <xdr:sp macro="" textlink="">
      <xdr:nvSpPr>
        <xdr:cNvPr id="3364" name="Text Box 292"/>
        <xdr:cNvSpPr txBox="1">
          <a:spLocks noChangeArrowheads="1"/>
        </xdr:cNvSpPr>
      </xdr:nvSpPr>
      <xdr:spPr bwMode="auto">
        <a:xfrm>
          <a:off x="2724150" y="3419475"/>
          <a:ext cx="151132" cy="257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="vert270" wrap="none" lIns="18288" tIns="22860" rIns="0" bIns="0" anchor="t" upright="1">
          <a:spAutoFit/>
        </a:bodyPr>
        <a:lstStyle/>
        <a:p>
          <a:pPr algn="r" rtl="0">
            <a:defRPr sz="1000"/>
          </a:pPr>
          <a:r>
            <a:rPr lang="en-US" sz="900" b="0" i="0" u="none" strike="noStrike" baseline="0">
              <a:solidFill>
                <a:srgbClr val="000000"/>
              </a:solidFill>
              <a:latin typeface="Arial"/>
              <a:cs typeface="Arial"/>
            </a:rPr>
            <a:t>=2-0</a:t>
          </a:r>
        </a:p>
      </xdr:txBody>
    </xdr:sp>
    <xdr:clientData/>
  </xdr:oneCellAnchor>
  <xdr:oneCellAnchor>
    <xdr:from>
      <xdr:col>24</xdr:col>
      <xdr:colOff>104775</xdr:colOff>
      <xdr:row>20</xdr:row>
      <xdr:rowOff>0</xdr:rowOff>
    </xdr:from>
    <xdr:ext cx="151132" cy="257250"/>
    <xdr:sp macro="" textlink="">
      <xdr:nvSpPr>
        <xdr:cNvPr id="3365" name="Text Box 293"/>
        <xdr:cNvSpPr txBox="1">
          <a:spLocks noChangeArrowheads="1"/>
        </xdr:cNvSpPr>
      </xdr:nvSpPr>
      <xdr:spPr bwMode="auto">
        <a:xfrm>
          <a:off x="2905125" y="3562350"/>
          <a:ext cx="151132" cy="257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="vert270" wrap="none" lIns="18288" tIns="22860" rIns="0" bIns="0" anchor="t" upright="1">
          <a:spAutoFit/>
        </a:bodyPr>
        <a:lstStyle/>
        <a:p>
          <a:pPr algn="r" rtl="0">
            <a:defRPr sz="1000"/>
          </a:pPr>
          <a:r>
            <a:rPr lang="en-US" sz="900" b="0" i="0" u="none" strike="noStrike" baseline="0">
              <a:solidFill>
                <a:srgbClr val="000000"/>
              </a:solidFill>
              <a:latin typeface="Arial"/>
              <a:cs typeface="Arial"/>
            </a:rPr>
            <a:t>=4-0</a:t>
          </a:r>
        </a:p>
      </xdr:txBody>
    </xdr:sp>
    <xdr:clientData/>
  </xdr:oneCellAnchor>
  <xdr:oneCellAnchor>
    <xdr:from>
      <xdr:col>26</xdr:col>
      <xdr:colOff>66675</xdr:colOff>
      <xdr:row>19</xdr:row>
      <xdr:rowOff>104775</xdr:rowOff>
    </xdr:from>
    <xdr:ext cx="294376" cy="288412"/>
    <xdr:sp macro="" textlink="">
      <xdr:nvSpPr>
        <xdr:cNvPr id="3366" name="Text Box 294"/>
        <xdr:cNvSpPr txBox="1">
          <a:spLocks noChangeArrowheads="1"/>
        </xdr:cNvSpPr>
      </xdr:nvSpPr>
      <xdr:spPr bwMode="auto">
        <a:xfrm>
          <a:off x="3114675" y="3486150"/>
          <a:ext cx="294376" cy="28841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US" sz="900" b="0" i="0" u="none" strike="noStrike" baseline="0">
              <a:solidFill>
                <a:srgbClr val="000000"/>
              </a:solidFill>
              <a:latin typeface="Arial"/>
              <a:cs typeface="Arial"/>
            </a:rPr>
            <a:t>Fill</a:t>
          </a:r>
        </a:p>
        <a:p>
          <a:pPr algn="l" rtl="0">
            <a:defRPr sz="1000"/>
          </a:pPr>
          <a:r>
            <a:rPr lang="en-US" sz="900" b="0" i="0" u="none" strike="noStrike" baseline="0">
              <a:solidFill>
                <a:srgbClr val="000000"/>
              </a:solidFill>
              <a:latin typeface="Arial"/>
              <a:cs typeface="Arial"/>
            </a:rPr>
            <a:t>slope</a:t>
          </a:r>
        </a:p>
      </xdr:txBody>
    </xdr:sp>
    <xdr:clientData/>
  </xdr:oneCellAnchor>
  <xdr:twoCellAnchor>
    <xdr:from>
      <xdr:col>28</xdr:col>
      <xdr:colOff>57150</xdr:colOff>
      <xdr:row>19</xdr:row>
      <xdr:rowOff>171450</xdr:rowOff>
    </xdr:from>
    <xdr:to>
      <xdr:col>29</xdr:col>
      <xdr:colOff>95250</xdr:colOff>
      <xdr:row>20</xdr:row>
      <xdr:rowOff>161925</xdr:rowOff>
    </xdr:to>
    <xdr:sp macro="" textlink="">
      <xdr:nvSpPr>
        <xdr:cNvPr id="3769" name="Freeform 295"/>
        <xdr:cNvSpPr>
          <a:spLocks/>
        </xdr:cNvSpPr>
      </xdr:nvSpPr>
      <xdr:spPr bwMode="auto">
        <a:xfrm>
          <a:off x="3352800" y="3552825"/>
          <a:ext cx="161925" cy="171450"/>
        </a:xfrm>
        <a:custGeom>
          <a:avLst/>
          <a:gdLst>
            <a:gd name="T0" fmla="*/ 17 w 17"/>
            <a:gd name="T1" fmla="*/ 18 h 18"/>
            <a:gd name="T2" fmla="*/ 15 w 17"/>
            <a:gd name="T3" fmla="*/ 10 h 18"/>
            <a:gd name="T4" fmla="*/ 14 w 17"/>
            <a:gd name="T5" fmla="*/ 5 h 18"/>
            <a:gd name="T6" fmla="*/ 7 w 17"/>
            <a:gd name="T7" fmla="*/ 1 h 18"/>
            <a:gd name="T8" fmla="*/ 0 w 17"/>
            <a:gd name="T9" fmla="*/ 0 h 18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7"/>
            <a:gd name="T16" fmla="*/ 0 h 18"/>
            <a:gd name="T17" fmla="*/ 17 w 17"/>
            <a:gd name="T18" fmla="*/ 18 h 18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7" h="18">
              <a:moveTo>
                <a:pt x="17" y="18"/>
              </a:moveTo>
              <a:lnTo>
                <a:pt x="15" y="10"/>
              </a:lnTo>
              <a:lnTo>
                <a:pt x="14" y="5"/>
              </a:lnTo>
              <a:lnTo>
                <a:pt x="7" y="1"/>
              </a:lnTo>
              <a:lnTo>
                <a:pt x="0" y="0"/>
              </a:lnTo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stealth" w="sm" len="med"/>
          <a:tailEnd type="none" w="med" len="med"/>
        </a:ln>
      </xdr:spPr>
    </xdr:sp>
    <xdr:clientData/>
  </xdr:twoCellAnchor>
  <xdr:oneCellAnchor>
    <xdr:from>
      <xdr:col>21</xdr:col>
      <xdr:colOff>38100</xdr:colOff>
      <xdr:row>22</xdr:row>
      <xdr:rowOff>142875</xdr:rowOff>
    </xdr:from>
    <xdr:ext cx="151132" cy="87268"/>
    <xdr:sp macro="" textlink="">
      <xdr:nvSpPr>
        <xdr:cNvPr id="3368" name="Text Box 296"/>
        <xdr:cNvSpPr txBox="1">
          <a:spLocks noChangeArrowheads="1"/>
        </xdr:cNvSpPr>
      </xdr:nvSpPr>
      <xdr:spPr bwMode="auto">
        <a:xfrm>
          <a:off x="2466975" y="4067175"/>
          <a:ext cx="151132" cy="87268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="vert270" wrap="none" lIns="18288" tIns="22860" rIns="0" bIns="0" anchor="t" upright="1">
          <a:spAutoFit/>
        </a:bodyPr>
        <a:lstStyle/>
        <a:p>
          <a:pPr algn="r" rtl="0">
            <a:defRPr sz="1000"/>
          </a:pPr>
          <a:r>
            <a:rPr lang="en-US" sz="900" b="0" i="0" u="none" strike="noStrike" baseline="0">
              <a:solidFill>
                <a:srgbClr val="000000"/>
              </a:solidFill>
              <a:latin typeface="Arial"/>
              <a:cs typeface="Arial"/>
            </a:rPr>
            <a:t>3</a:t>
          </a:r>
        </a:p>
      </xdr:txBody>
    </xdr:sp>
    <xdr:clientData/>
  </xdr:oneCellAnchor>
  <xdr:oneCellAnchor>
    <xdr:from>
      <xdr:col>21</xdr:col>
      <xdr:colOff>47625</xdr:colOff>
      <xdr:row>23</xdr:row>
      <xdr:rowOff>123825</xdr:rowOff>
    </xdr:from>
    <xdr:ext cx="151132" cy="87268"/>
    <xdr:sp macro="" textlink="">
      <xdr:nvSpPr>
        <xdr:cNvPr id="3369" name="Text Box 297"/>
        <xdr:cNvSpPr txBox="1">
          <a:spLocks noChangeArrowheads="1"/>
        </xdr:cNvSpPr>
      </xdr:nvSpPr>
      <xdr:spPr bwMode="auto">
        <a:xfrm>
          <a:off x="2476500" y="4229100"/>
          <a:ext cx="151132" cy="87268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="vert270" wrap="none" lIns="18288" tIns="22860" rIns="0" bIns="0" anchor="t" upright="1">
          <a:spAutoFit/>
        </a:bodyPr>
        <a:lstStyle/>
        <a:p>
          <a:pPr algn="r" rtl="0">
            <a:defRPr sz="1000"/>
          </a:pPr>
          <a:r>
            <a:rPr lang="en-US" sz="900" b="0" i="0" u="none" strike="noStrike" baseline="0">
              <a:solidFill>
                <a:srgbClr val="000000"/>
              </a:solidFill>
              <a:latin typeface="Arial"/>
              <a:cs typeface="Arial"/>
            </a:rPr>
            <a:t>9</a:t>
          </a:r>
        </a:p>
      </xdr:txBody>
    </xdr:sp>
    <xdr:clientData/>
  </xdr:oneCellAnchor>
  <xdr:oneCellAnchor>
    <xdr:from>
      <xdr:col>21</xdr:col>
      <xdr:colOff>38100</xdr:colOff>
      <xdr:row>25</xdr:row>
      <xdr:rowOff>104775</xdr:rowOff>
    </xdr:from>
    <xdr:ext cx="151132" cy="87268"/>
    <xdr:sp macro="" textlink="">
      <xdr:nvSpPr>
        <xdr:cNvPr id="3370" name="Text Box 298"/>
        <xdr:cNvSpPr txBox="1">
          <a:spLocks noChangeArrowheads="1"/>
        </xdr:cNvSpPr>
      </xdr:nvSpPr>
      <xdr:spPr bwMode="auto">
        <a:xfrm>
          <a:off x="2466975" y="4572000"/>
          <a:ext cx="151132" cy="87268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="vert270" wrap="none" lIns="18288" tIns="22860" rIns="0" bIns="0" anchor="t" upright="1">
          <a:spAutoFit/>
        </a:bodyPr>
        <a:lstStyle/>
        <a:p>
          <a:pPr algn="r" rtl="0">
            <a:defRPr sz="1000"/>
          </a:pPr>
          <a:r>
            <a:rPr lang="en-US" sz="900" b="0" i="0" u="none" strike="noStrike" baseline="0">
              <a:solidFill>
                <a:srgbClr val="000000"/>
              </a:solidFill>
              <a:latin typeface="Arial"/>
              <a:cs typeface="Arial"/>
            </a:rPr>
            <a:t>9</a:t>
          </a:r>
        </a:p>
      </xdr:txBody>
    </xdr:sp>
    <xdr:clientData/>
  </xdr:oneCellAnchor>
  <xdr:oneCellAnchor>
    <xdr:from>
      <xdr:col>23</xdr:col>
      <xdr:colOff>57150</xdr:colOff>
      <xdr:row>24</xdr:row>
      <xdr:rowOff>66675</xdr:rowOff>
    </xdr:from>
    <xdr:ext cx="151132" cy="189859"/>
    <xdr:sp macro="" textlink="">
      <xdr:nvSpPr>
        <xdr:cNvPr id="3371" name="Text Box 299"/>
        <xdr:cNvSpPr txBox="1">
          <a:spLocks noChangeArrowheads="1"/>
        </xdr:cNvSpPr>
      </xdr:nvSpPr>
      <xdr:spPr bwMode="auto">
        <a:xfrm>
          <a:off x="2733675" y="4352925"/>
          <a:ext cx="151132" cy="18985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="vert270" wrap="none" lIns="18288" tIns="22860" rIns="0" bIns="0" anchor="t" upright="1">
          <a:spAutoFit/>
        </a:bodyPr>
        <a:lstStyle/>
        <a:p>
          <a:pPr algn="r" rtl="0">
            <a:defRPr sz="1000"/>
          </a:pPr>
          <a:r>
            <a:rPr lang="en-US" sz="900" b="0" i="0" u="none" strike="noStrike" baseline="0">
              <a:solidFill>
                <a:srgbClr val="000000"/>
              </a:solidFill>
              <a:latin typeface="Arial"/>
              <a:cs typeface="Arial"/>
            </a:rPr>
            <a:t>2-0</a:t>
          </a:r>
        </a:p>
      </xdr:txBody>
    </xdr:sp>
    <xdr:clientData/>
  </xdr:oneCellAnchor>
  <xdr:oneCellAnchor>
    <xdr:from>
      <xdr:col>1</xdr:col>
      <xdr:colOff>104775</xdr:colOff>
      <xdr:row>23</xdr:row>
      <xdr:rowOff>152400</xdr:rowOff>
    </xdr:from>
    <xdr:ext cx="878189" cy="288412"/>
    <xdr:sp macro="" textlink="">
      <xdr:nvSpPr>
        <xdr:cNvPr id="3372" name="Text Box 300"/>
        <xdr:cNvSpPr txBox="1">
          <a:spLocks noChangeArrowheads="1"/>
        </xdr:cNvSpPr>
      </xdr:nvSpPr>
      <xdr:spPr bwMode="auto">
        <a:xfrm>
          <a:off x="209550" y="4257675"/>
          <a:ext cx="878189" cy="28841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US" sz="900" b="0" i="0" u="none" strike="noStrike" baseline="0">
              <a:solidFill>
                <a:srgbClr val="000000"/>
              </a:solidFill>
              <a:latin typeface="Arial"/>
              <a:cs typeface="Arial"/>
            </a:rPr>
            <a:t>Machine bolts,</a:t>
          </a:r>
        </a:p>
        <a:p>
          <a:pPr algn="l" rtl="0">
            <a:defRPr sz="1000"/>
          </a:pPr>
          <a:r>
            <a:rPr lang="en-US" sz="900" b="0" i="0" u="none" strike="noStrike" baseline="0">
              <a:solidFill>
                <a:srgbClr val="000000"/>
              </a:solidFill>
              <a:latin typeface="Arial"/>
              <a:cs typeface="Arial"/>
            </a:rPr>
            <a:t>field connections</a:t>
          </a:r>
        </a:p>
      </xdr:txBody>
    </xdr:sp>
    <xdr:clientData/>
  </xdr:oneCellAnchor>
  <xdr:twoCellAnchor>
    <xdr:from>
      <xdr:col>9</xdr:col>
      <xdr:colOff>0</xdr:colOff>
      <xdr:row>23</xdr:row>
      <xdr:rowOff>76200</xdr:rowOff>
    </xdr:from>
    <xdr:to>
      <xdr:col>10</xdr:col>
      <xdr:colOff>85725</xdr:colOff>
      <xdr:row>24</xdr:row>
      <xdr:rowOff>133350</xdr:rowOff>
    </xdr:to>
    <xdr:sp macro="" textlink="">
      <xdr:nvSpPr>
        <xdr:cNvPr id="3775" name="Freeform 301"/>
        <xdr:cNvSpPr>
          <a:spLocks/>
        </xdr:cNvSpPr>
      </xdr:nvSpPr>
      <xdr:spPr bwMode="auto">
        <a:xfrm>
          <a:off x="1095375" y="4181475"/>
          <a:ext cx="209550" cy="238125"/>
        </a:xfrm>
        <a:custGeom>
          <a:avLst/>
          <a:gdLst>
            <a:gd name="T0" fmla="*/ 0 w 22"/>
            <a:gd name="T1" fmla="*/ 25 h 25"/>
            <a:gd name="T2" fmla="*/ 3 w 22"/>
            <a:gd name="T3" fmla="*/ 19 h 25"/>
            <a:gd name="T4" fmla="*/ 7 w 22"/>
            <a:gd name="T5" fmla="*/ 13 h 25"/>
            <a:gd name="T6" fmla="*/ 13 w 22"/>
            <a:gd name="T7" fmla="*/ 8 h 25"/>
            <a:gd name="T8" fmla="*/ 22 w 22"/>
            <a:gd name="T9" fmla="*/ 0 h 25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22"/>
            <a:gd name="T16" fmla="*/ 0 h 25"/>
            <a:gd name="T17" fmla="*/ 22 w 22"/>
            <a:gd name="T18" fmla="*/ 25 h 25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22" h="25">
              <a:moveTo>
                <a:pt x="0" y="25"/>
              </a:moveTo>
              <a:lnTo>
                <a:pt x="3" y="19"/>
              </a:lnTo>
              <a:lnTo>
                <a:pt x="7" y="13"/>
              </a:lnTo>
              <a:lnTo>
                <a:pt x="13" y="8"/>
              </a:lnTo>
              <a:lnTo>
                <a:pt x="22" y="0"/>
              </a:lnTo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med" len="med"/>
          <a:tailEnd type="stealth" w="sm" len="med"/>
        </a:ln>
      </xdr:spPr>
    </xdr:sp>
    <xdr:clientData/>
  </xdr:twoCellAnchor>
  <xdr:twoCellAnchor>
    <xdr:from>
      <xdr:col>9</xdr:col>
      <xdr:colOff>0</xdr:colOff>
      <xdr:row>24</xdr:row>
      <xdr:rowOff>133350</xdr:rowOff>
    </xdr:from>
    <xdr:to>
      <xdr:col>10</xdr:col>
      <xdr:colOff>104775</xdr:colOff>
      <xdr:row>24</xdr:row>
      <xdr:rowOff>161925</xdr:rowOff>
    </xdr:to>
    <xdr:sp macro="" textlink="">
      <xdr:nvSpPr>
        <xdr:cNvPr id="3776" name="Freeform 302"/>
        <xdr:cNvSpPr>
          <a:spLocks/>
        </xdr:cNvSpPr>
      </xdr:nvSpPr>
      <xdr:spPr bwMode="auto">
        <a:xfrm>
          <a:off x="1095375" y="4419600"/>
          <a:ext cx="228600" cy="28575"/>
        </a:xfrm>
        <a:custGeom>
          <a:avLst/>
          <a:gdLst>
            <a:gd name="T0" fmla="*/ 0 w 24"/>
            <a:gd name="T1" fmla="*/ 0 h 3"/>
            <a:gd name="T2" fmla="*/ 24 w 24"/>
            <a:gd name="T3" fmla="*/ 3 h 3"/>
            <a:gd name="T4" fmla="*/ 0 60000 65536"/>
            <a:gd name="T5" fmla="*/ 0 60000 65536"/>
            <a:gd name="T6" fmla="*/ 0 w 24"/>
            <a:gd name="T7" fmla="*/ 0 h 3"/>
            <a:gd name="T8" fmla="*/ 24 w 24"/>
            <a:gd name="T9" fmla="*/ 3 h 3"/>
          </a:gdLst>
          <a:ahLst/>
          <a:cxnLst>
            <a:cxn ang="T4">
              <a:pos x="T0" y="T1"/>
            </a:cxn>
            <a:cxn ang="T5">
              <a:pos x="T2" y="T3"/>
            </a:cxn>
          </a:cxnLst>
          <a:rect l="T6" t="T7" r="T8" b="T9"/>
          <a:pathLst>
            <a:path w="24" h="3">
              <a:moveTo>
                <a:pt x="0" y="0"/>
              </a:moveTo>
              <a:lnTo>
                <a:pt x="24" y="3"/>
              </a:lnTo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med" len="med"/>
          <a:tailEnd type="stealth" w="sm" len="med"/>
        </a:ln>
      </xdr:spPr>
    </xdr:sp>
    <xdr:clientData/>
  </xdr:twoCellAnchor>
  <xdr:twoCellAnchor>
    <xdr:from>
      <xdr:col>9</xdr:col>
      <xdr:colOff>0</xdr:colOff>
      <xdr:row>24</xdr:row>
      <xdr:rowOff>133350</xdr:rowOff>
    </xdr:from>
    <xdr:to>
      <xdr:col>10</xdr:col>
      <xdr:colOff>95250</xdr:colOff>
      <xdr:row>26</xdr:row>
      <xdr:rowOff>104775</xdr:rowOff>
    </xdr:to>
    <xdr:sp macro="" textlink="">
      <xdr:nvSpPr>
        <xdr:cNvPr id="3777" name="Freeform 303"/>
        <xdr:cNvSpPr>
          <a:spLocks/>
        </xdr:cNvSpPr>
      </xdr:nvSpPr>
      <xdr:spPr bwMode="auto">
        <a:xfrm>
          <a:off x="1095375" y="4419600"/>
          <a:ext cx="219075" cy="333375"/>
        </a:xfrm>
        <a:custGeom>
          <a:avLst/>
          <a:gdLst>
            <a:gd name="T0" fmla="*/ 0 w 23"/>
            <a:gd name="T1" fmla="*/ 0 h 35"/>
            <a:gd name="T2" fmla="*/ 4 w 23"/>
            <a:gd name="T3" fmla="*/ 7 h 35"/>
            <a:gd name="T4" fmla="*/ 8 w 23"/>
            <a:gd name="T5" fmla="*/ 15 h 35"/>
            <a:gd name="T6" fmla="*/ 12 w 23"/>
            <a:gd name="T7" fmla="*/ 23 h 35"/>
            <a:gd name="T8" fmla="*/ 23 w 23"/>
            <a:gd name="T9" fmla="*/ 35 h 35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23"/>
            <a:gd name="T16" fmla="*/ 0 h 35"/>
            <a:gd name="T17" fmla="*/ 23 w 23"/>
            <a:gd name="T18" fmla="*/ 35 h 35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23" h="35">
              <a:moveTo>
                <a:pt x="0" y="0"/>
              </a:moveTo>
              <a:lnTo>
                <a:pt x="4" y="7"/>
              </a:lnTo>
              <a:lnTo>
                <a:pt x="8" y="15"/>
              </a:lnTo>
              <a:lnTo>
                <a:pt x="12" y="23"/>
              </a:lnTo>
              <a:lnTo>
                <a:pt x="23" y="35"/>
              </a:lnTo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med" len="med"/>
          <a:tailEnd type="stealth" w="sm" len="med"/>
        </a:ln>
      </xdr:spPr>
    </xdr:sp>
    <xdr:clientData/>
  </xdr:twoCellAnchor>
  <xdr:oneCellAnchor>
    <xdr:from>
      <xdr:col>15</xdr:col>
      <xdr:colOff>38100</xdr:colOff>
      <xdr:row>25</xdr:row>
      <xdr:rowOff>38100</xdr:rowOff>
    </xdr:from>
    <xdr:ext cx="101823" cy="155748"/>
    <xdr:sp macro="" textlink="">
      <xdr:nvSpPr>
        <xdr:cNvPr id="3376" name="Text Box 304"/>
        <xdr:cNvSpPr txBox="1">
          <a:spLocks noChangeArrowheads="1"/>
        </xdr:cNvSpPr>
      </xdr:nvSpPr>
      <xdr:spPr bwMode="auto">
        <a:xfrm>
          <a:off x="1762125" y="4505325"/>
          <a:ext cx="101823" cy="155748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US" sz="900" b="0" i="0" u="none" strike="noStrike" baseline="0">
              <a:solidFill>
                <a:srgbClr val="000000"/>
              </a:solidFill>
              <a:latin typeface="Arial"/>
              <a:cs typeface="Arial"/>
            </a:rPr>
            <a:t>C</a:t>
          </a:r>
        </a:p>
      </xdr:txBody>
    </xdr:sp>
    <xdr:clientData/>
  </xdr:oneCellAnchor>
  <xdr:oneCellAnchor>
    <xdr:from>
      <xdr:col>15</xdr:col>
      <xdr:colOff>66675</xdr:colOff>
      <xdr:row>25</xdr:row>
      <xdr:rowOff>66675</xdr:rowOff>
    </xdr:from>
    <xdr:ext cx="82651" cy="155748"/>
    <xdr:sp macro="" textlink="">
      <xdr:nvSpPr>
        <xdr:cNvPr id="3377" name="Text Box 305"/>
        <xdr:cNvSpPr txBox="1">
          <a:spLocks noChangeArrowheads="1"/>
        </xdr:cNvSpPr>
      </xdr:nvSpPr>
      <xdr:spPr bwMode="auto">
        <a:xfrm>
          <a:off x="1790700" y="4533900"/>
          <a:ext cx="82651" cy="155748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US" sz="900" b="0" i="0" u="none" strike="noStrike" baseline="0">
              <a:solidFill>
                <a:srgbClr val="000000"/>
              </a:solidFill>
              <a:latin typeface="Arial"/>
              <a:cs typeface="Arial"/>
            </a:rPr>
            <a:t>L</a:t>
          </a:r>
        </a:p>
      </xdr:txBody>
    </xdr:sp>
    <xdr:clientData/>
  </xdr:oneCellAnchor>
  <xdr:oneCellAnchor>
    <xdr:from>
      <xdr:col>14</xdr:col>
      <xdr:colOff>66675</xdr:colOff>
      <xdr:row>27</xdr:row>
      <xdr:rowOff>9525</xdr:rowOff>
    </xdr:from>
    <xdr:ext cx="319959" cy="155748"/>
    <xdr:sp macro="" textlink="">
      <xdr:nvSpPr>
        <xdr:cNvPr id="3378" name="Text Box 306"/>
        <xdr:cNvSpPr txBox="1">
          <a:spLocks noChangeArrowheads="1"/>
        </xdr:cNvSpPr>
      </xdr:nvSpPr>
      <xdr:spPr bwMode="auto">
        <a:xfrm>
          <a:off x="1704975" y="4838700"/>
          <a:ext cx="319959" cy="155748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US" sz="900" b="0" i="0" u="none" strike="noStrike" baseline="0">
              <a:solidFill>
                <a:srgbClr val="000000"/>
              </a:solidFill>
              <a:latin typeface="Arial"/>
              <a:cs typeface="Arial"/>
            </a:rPr>
            <a:t>Dia of</a:t>
          </a:r>
        </a:p>
      </xdr:txBody>
    </xdr:sp>
    <xdr:clientData/>
  </xdr:oneCellAnchor>
  <xdr:oneCellAnchor>
    <xdr:from>
      <xdr:col>13</xdr:col>
      <xdr:colOff>0</xdr:colOff>
      <xdr:row>27</xdr:row>
      <xdr:rowOff>142875</xdr:rowOff>
    </xdr:from>
    <xdr:ext cx="512320" cy="155748"/>
    <xdr:sp macro="" textlink="">
      <xdr:nvSpPr>
        <xdr:cNvPr id="3379" name="Text Box 307"/>
        <xdr:cNvSpPr txBox="1">
          <a:spLocks noChangeArrowheads="1"/>
        </xdr:cNvSpPr>
      </xdr:nvSpPr>
      <xdr:spPr bwMode="auto">
        <a:xfrm>
          <a:off x="1552575" y="4972050"/>
          <a:ext cx="512320" cy="155748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US" sz="900" b="0" i="0" u="none" strike="noStrike" baseline="0">
              <a:solidFill>
                <a:srgbClr val="000000"/>
              </a:solidFill>
              <a:latin typeface="Arial"/>
              <a:cs typeface="Arial"/>
            </a:rPr>
            <a:t>C.M. pipe</a:t>
          </a:r>
        </a:p>
      </xdr:txBody>
    </xdr:sp>
    <xdr:clientData/>
  </xdr:oneCellAnchor>
  <xdr:oneCellAnchor>
    <xdr:from>
      <xdr:col>7</xdr:col>
      <xdr:colOff>104775</xdr:colOff>
      <xdr:row>27</xdr:row>
      <xdr:rowOff>152400</xdr:rowOff>
    </xdr:from>
    <xdr:ext cx="249492" cy="288412"/>
    <xdr:sp macro="" textlink="">
      <xdr:nvSpPr>
        <xdr:cNvPr id="3380" name="Text Box 308"/>
        <xdr:cNvSpPr txBox="1">
          <a:spLocks noChangeArrowheads="1"/>
        </xdr:cNvSpPr>
      </xdr:nvSpPr>
      <xdr:spPr bwMode="auto">
        <a:xfrm>
          <a:off x="952500" y="4981575"/>
          <a:ext cx="249492" cy="28841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US" sz="900" b="0" i="0" u="none" strike="noStrike" baseline="0">
              <a:solidFill>
                <a:srgbClr val="000000"/>
              </a:solidFill>
              <a:latin typeface="Arial"/>
              <a:cs typeface="Arial"/>
            </a:rPr>
            <a:t>Pipe</a:t>
          </a:r>
        </a:p>
        <a:p>
          <a:pPr algn="l" rtl="0">
            <a:defRPr sz="1000"/>
          </a:pPr>
          <a:r>
            <a:rPr lang="en-US" sz="900" b="0" i="0" u="none" strike="noStrike" baseline="0">
              <a:solidFill>
                <a:srgbClr val="000000"/>
              </a:solidFill>
              <a:latin typeface="Arial"/>
              <a:cs typeface="Arial"/>
            </a:rPr>
            <a:t>riser</a:t>
          </a:r>
        </a:p>
      </xdr:txBody>
    </xdr:sp>
    <xdr:clientData/>
  </xdr:oneCellAnchor>
  <xdr:twoCellAnchor>
    <xdr:from>
      <xdr:col>9</xdr:col>
      <xdr:colOff>114300</xdr:colOff>
      <xdr:row>28</xdr:row>
      <xdr:rowOff>142875</xdr:rowOff>
    </xdr:from>
    <xdr:to>
      <xdr:col>11</xdr:col>
      <xdr:colOff>38100</xdr:colOff>
      <xdr:row>29</xdr:row>
      <xdr:rowOff>28575</xdr:rowOff>
    </xdr:to>
    <xdr:sp macro="" textlink="">
      <xdr:nvSpPr>
        <xdr:cNvPr id="3783" name="Freeform 309"/>
        <xdr:cNvSpPr>
          <a:spLocks/>
        </xdr:cNvSpPr>
      </xdr:nvSpPr>
      <xdr:spPr bwMode="auto">
        <a:xfrm>
          <a:off x="1209675" y="5153025"/>
          <a:ext cx="171450" cy="47625"/>
        </a:xfrm>
        <a:custGeom>
          <a:avLst/>
          <a:gdLst>
            <a:gd name="T0" fmla="*/ 0 w 18"/>
            <a:gd name="T1" fmla="*/ 0 h 5"/>
            <a:gd name="T2" fmla="*/ 7 w 18"/>
            <a:gd name="T3" fmla="*/ 4 h 5"/>
            <a:gd name="T4" fmla="*/ 18 w 18"/>
            <a:gd name="T5" fmla="*/ 5 h 5"/>
            <a:gd name="T6" fmla="*/ 0 60000 65536"/>
            <a:gd name="T7" fmla="*/ 0 60000 65536"/>
            <a:gd name="T8" fmla="*/ 0 60000 65536"/>
            <a:gd name="T9" fmla="*/ 0 w 18"/>
            <a:gd name="T10" fmla="*/ 0 h 5"/>
            <a:gd name="T11" fmla="*/ 18 w 18"/>
            <a:gd name="T12" fmla="*/ 5 h 5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8" h="5">
              <a:moveTo>
                <a:pt x="0" y="0"/>
              </a:moveTo>
              <a:lnTo>
                <a:pt x="7" y="4"/>
              </a:lnTo>
              <a:lnTo>
                <a:pt x="18" y="5"/>
              </a:lnTo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med" len="med"/>
          <a:tailEnd type="stealth" w="sm" len="med"/>
        </a:ln>
      </xdr:spPr>
    </xdr:sp>
    <xdr:clientData/>
  </xdr:twoCellAnchor>
  <xdr:oneCellAnchor>
    <xdr:from>
      <xdr:col>7</xdr:col>
      <xdr:colOff>76200</xdr:colOff>
      <xdr:row>30</xdr:row>
      <xdr:rowOff>123825</xdr:rowOff>
    </xdr:from>
    <xdr:ext cx="371255" cy="288412"/>
    <xdr:sp macro="" textlink="">
      <xdr:nvSpPr>
        <xdr:cNvPr id="3382" name="Text Box 310"/>
        <xdr:cNvSpPr txBox="1">
          <a:spLocks noChangeArrowheads="1"/>
        </xdr:cNvSpPr>
      </xdr:nvSpPr>
      <xdr:spPr bwMode="auto">
        <a:xfrm>
          <a:off x="923925" y="5476875"/>
          <a:ext cx="371255" cy="28841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US" sz="900" b="0" i="0" u="none" strike="noStrike" baseline="0">
              <a:solidFill>
                <a:srgbClr val="000000"/>
              </a:solidFill>
              <a:latin typeface="Arial"/>
              <a:cs typeface="Arial"/>
            </a:rPr>
            <a:t>Animal</a:t>
          </a:r>
        </a:p>
        <a:p>
          <a:pPr algn="l" rtl="0">
            <a:defRPr sz="1000"/>
          </a:pPr>
          <a:r>
            <a:rPr lang="en-US" sz="900" b="0" i="0" u="none" strike="noStrike" baseline="0">
              <a:solidFill>
                <a:srgbClr val="000000"/>
              </a:solidFill>
              <a:latin typeface="Arial"/>
              <a:cs typeface="Arial"/>
            </a:rPr>
            <a:t>guard</a:t>
          </a:r>
        </a:p>
      </xdr:txBody>
    </xdr:sp>
    <xdr:clientData/>
  </xdr:oneCellAnchor>
  <xdr:twoCellAnchor>
    <xdr:from>
      <xdr:col>10</xdr:col>
      <xdr:colOff>47625</xdr:colOff>
      <xdr:row>31</xdr:row>
      <xdr:rowOff>152400</xdr:rowOff>
    </xdr:from>
    <xdr:to>
      <xdr:col>13</xdr:col>
      <xdr:colOff>28575</xdr:colOff>
      <xdr:row>34</xdr:row>
      <xdr:rowOff>66675</xdr:rowOff>
    </xdr:to>
    <xdr:sp macro="" textlink="">
      <xdr:nvSpPr>
        <xdr:cNvPr id="3785" name="Freeform 311"/>
        <xdr:cNvSpPr>
          <a:spLocks/>
        </xdr:cNvSpPr>
      </xdr:nvSpPr>
      <xdr:spPr bwMode="auto">
        <a:xfrm>
          <a:off x="1266825" y="5686425"/>
          <a:ext cx="314325" cy="457200"/>
        </a:xfrm>
        <a:custGeom>
          <a:avLst/>
          <a:gdLst>
            <a:gd name="T0" fmla="*/ 12 w 33"/>
            <a:gd name="T1" fmla="*/ 48 h 48"/>
            <a:gd name="T2" fmla="*/ 23 w 33"/>
            <a:gd name="T3" fmla="*/ 45 h 48"/>
            <a:gd name="T4" fmla="*/ 30 w 33"/>
            <a:gd name="T5" fmla="*/ 39 h 48"/>
            <a:gd name="T6" fmla="*/ 33 w 33"/>
            <a:gd name="T7" fmla="*/ 32 h 48"/>
            <a:gd name="T8" fmla="*/ 33 w 33"/>
            <a:gd name="T9" fmla="*/ 26 h 48"/>
            <a:gd name="T10" fmla="*/ 29 w 33"/>
            <a:gd name="T11" fmla="*/ 20 h 48"/>
            <a:gd name="T12" fmla="*/ 0 w 33"/>
            <a:gd name="T13" fmla="*/ 0 h 48"/>
            <a:gd name="T14" fmla="*/ 0 60000 65536"/>
            <a:gd name="T15" fmla="*/ 0 60000 65536"/>
            <a:gd name="T16" fmla="*/ 0 60000 65536"/>
            <a:gd name="T17" fmla="*/ 0 60000 65536"/>
            <a:gd name="T18" fmla="*/ 0 60000 65536"/>
            <a:gd name="T19" fmla="*/ 0 60000 65536"/>
            <a:gd name="T20" fmla="*/ 0 60000 65536"/>
            <a:gd name="T21" fmla="*/ 0 w 33"/>
            <a:gd name="T22" fmla="*/ 0 h 48"/>
            <a:gd name="T23" fmla="*/ 33 w 33"/>
            <a:gd name="T24" fmla="*/ 48 h 48"/>
          </a:gdLst>
          <a:ahLst/>
          <a:cxnLst>
            <a:cxn ang="T14">
              <a:pos x="T0" y="T1"/>
            </a:cxn>
            <a:cxn ang="T15">
              <a:pos x="T2" y="T3"/>
            </a:cxn>
            <a:cxn ang="T16">
              <a:pos x="T4" y="T5"/>
            </a:cxn>
            <a:cxn ang="T17">
              <a:pos x="T6" y="T7"/>
            </a:cxn>
            <a:cxn ang="T18">
              <a:pos x="T8" y="T9"/>
            </a:cxn>
            <a:cxn ang="T19">
              <a:pos x="T10" y="T11"/>
            </a:cxn>
            <a:cxn ang="T20">
              <a:pos x="T12" y="T13"/>
            </a:cxn>
          </a:cxnLst>
          <a:rect l="T21" t="T22" r="T23" b="T24"/>
          <a:pathLst>
            <a:path w="33" h="48">
              <a:moveTo>
                <a:pt x="12" y="48"/>
              </a:moveTo>
              <a:lnTo>
                <a:pt x="23" y="45"/>
              </a:lnTo>
              <a:lnTo>
                <a:pt x="30" y="39"/>
              </a:lnTo>
              <a:lnTo>
                <a:pt x="33" y="32"/>
              </a:lnTo>
              <a:lnTo>
                <a:pt x="33" y="26"/>
              </a:lnTo>
              <a:lnTo>
                <a:pt x="29" y="20"/>
              </a:lnTo>
              <a:lnTo>
                <a:pt x="0" y="0"/>
              </a:lnTo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stealth" w="sm" len="med"/>
          <a:tailEnd type="none" w="med" len="med"/>
        </a:ln>
      </xdr:spPr>
    </xdr:sp>
    <xdr:clientData/>
  </xdr:twoCellAnchor>
  <xdr:oneCellAnchor>
    <xdr:from>
      <xdr:col>7</xdr:col>
      <xdr:colOff>85725</xdr:colOff>
      <xdr:row>32</xdr:row>
      <xdr:rowOff>85725</xdr:rowOff>
    </xdr:from>
    <xdr:ext cx="248273" cy="155748"/>
    <xdr:sp macro="" textlink="">
      <xdr:nvSpPr>
        <xdr:cNvPr id="3384" name="Text Box 312"/>
        <xdr:cNvSpPr txBox="1">
          <a:spLocks noChangeArrowheads="1"/>
        </xdr:cNvSpPr>
      </xdr:nvSpPr>
      <xdr:spPr bwMode="auto">
        <a:xfrm>
          <a:off x="933450" y="5800725"/>
          <a:ext cx="248273" cy="155748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US" sz="900" b="0" i="0" u="none" strike="noStrike" baseline="0">
              <a:solidFill>
                <a:srgbClr val="000000"/>
              </a:solidFill>
              <a:latin typeface="Arial"/>
              <a:cs typeface="Arial"/>
            </a:rPr>
            <a:t>2'-0"</a:t>
          </a:r>
        </a:p>
      </xdr:txBody>
    </xdr:sp>
    <xdr:clientData/>
  </xdr:oneCellAnchor>
  <xdr:oneCellAnchor>
    <xdr:from>
      <xdr:col>7</xdr:col>
      <xdr:colOff>76200</xdr:colOff>
      <xdr:row>33</xdr:row>
      <xdr:rowOff>38100</xdr:rowOff>
    </xdr:from>
    <xdr:ext cx="204415" cy="155748"/>
    <xdr:sp macro="" textlink="">
      <xdr:nvSpPr>
        <xdr:cNvPr id="3385" name="Text Box 313"/>
        <xdr:cNvSpPr txBox="1">
          <a:spLocks noChangeArrowheads="1"/>
        </xdr:cNvSpPr>
      </xdr:nvSpPr>
      <xdr:spPr bwMode="auto">
        <a:xfrm>
          <a:off x="923925" y="5934075"/>
          <a:ext cx="204415" cy="155748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US" sz="900" b="0" i="0" u="none" strike="noStrike" baseline="0">
              <a:solidFill>
                <a:srgbClr val="000000"/>
              </a:solidFill>
              <a:latin typeface="Arial"/>
              <a:cs typeface="Arial"/>
            </a:rPr>
            <a:t>min</a:t>
          </a:r>
        </a:p>
      </xdr:txBody>
    </xdr:sp>
    <xdr:clientData/>
  </xdr:oneCellAnchor>
  <xdr:oneCellAnchor>
    <xdr:from>
      <xdr:col>12</xdr:col>
      <xdr:colOff>38100</xdr:colOff>
      <xdr:row>35</xdr:row>
      <xdr:rowOff>0</xdr:rowOff>
    </xdr:from>
    <xdr:ext cx="189604" cy="155748"/>
    <xdr:sp macro="" textlink="">
      <xdr:nvSpPr>
        <xdr:cNvPr id="3386" name="Text Box 314"/>
        <xdr:cNvSpPr txBox="1">
          <a:spLocks noChangeArrowheads="1"/>
        </xdr:cNvSpPr>
      </xdr:nvSpPr>
      <xdr:spPr bwMode="auto">
        <a:xfrm>
          <a:off x="1504950" y="6257925"/>
          <a:ext cx="189604" cy="155748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US" sz="900" b="0" i="0" u="none" strike="noStrike" baseline="0">
              <a:solidFill>
                <a:srgbClr val="000000"/>
              </a:solidFill>
              <a:latin typeface="Arial"/>
              <a:cs typeface="Arial"/>
            </a:rPr>
            <a:t>90</a:t>
          </a:r>
          <a:r>
            <a:rPr lang="en-US" sz="900" b="0" i="0" u="none" strike="noStrike" baseline="30000">
              <a:solidFill>
                <a:srgbClr val="000000"/>
              </a:solidFill>
              <a:latin typeface="Arial"/>
              <a:cs typeface="Arial"/>
            </a:rPr>
            <a:t>o</a:t>
          </a:r>
        </a:p>
      </xdr:txBody>
    </xdr:sp>
    <xdr:clientData/>
  </xdr:oneCellAnchor>
  <xdr:oneCellAnchor>
    <xdr:from>
      <xdr:col>25</xdr:col>
      <xdr:colOff>104775</xdr:colOff>
      <xdr:row>33</xdr:row>
      <xdr:rowOff>152400</xdr:rowOff>
    </xdr:from>
    <xdr:ext cx="151132" cy="324576"/>
    <xdr:sp macro="" textlink="">
      <xdr:nvSpPr>
        <xdr:cNvPr id="3387" name="Text Box 315"/>
        <xdr:cNvSpPr txBox="1">
          <a:spLocks noChangeArrowheads="1"/>
        </xdr:cNvSpPr>
      </xdr:nvSpPr>
      <xdr:spPr bwMode="auto">
        <a:xfrm>
          <a:off x="3028950" y="6048375"/>
          <a:ext cx="151132" cy="32457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="vert270" wrap="none" lIns="18288" tIns="22860" rIns="0" bIns="0" anchor="t" upright="1">
          <a:spAutoFit/>
        </a:bodyPr>
        <a:lstStyle/>
        <a:p>
          <a:pPr algn="r" rtl="0">
            <a:defRPr sz="1000"/>
          </a:pPr>
          <a:r>
            <a:rPr lang="en-US" sz="900" b="0" i="0" u="none" strike="noStrike" baseline="0">
              <a:solidFill>
                <a:srgbClr val="000000"/>
              </a:solidFill>
              <a:latin typeface="Arial"/>
              <a:cs typeface="Arial"/>
            </a:rPr>
            <a:t>Dia of</a:t>
          </a:r>
        </a:p>
      </xdr:txBody>
    </xdr:sp>
    <xdr:clientData/>
  </xdr:oneCellAnchor>
  <xdr:oneCellAnchor>
    <xdr:from>
      <xdr:col>26</xdr:col>
      <xdr:colOff>114300</xdr:colOff>
      <xdr:row>33</xdr:row>
      <xdr:rowOff>85725</xdr:rowOff>
    </xdr:from>
    <xdr:ext cx="151132" cy="516936"/>
    <xdr:sp macro="" textlink="">
      <xdr:nvSpPr>
        <xdr:cNvPr id="3388" name="Text Box 316"/>
        <xdr:cNvSpPr txBox="1">
          <a:spLocks noChangeArrowheads="1"/>
        </xdr:cNvSpPr>
      </xdr:nvSpPr>
      <xdr:spPr bwMode="auto">
        <a:xfrm>
          <a:off x="3162300" y="5981700"/>
          <a:ext cx="151132" cy="51693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="vert270" wrap="none" lIns="18288" tIns="22860" rIns="0" bIns="0" anchor="t" upright="1">
          <a:spAutoFit/>
        </a:bodyPr>
        <a:lstStyle/>
        <a:p>
          <a:pPr algn="r" rtl="0">
            <a:defRPr sz="1000"/>
          </a:pPr>
          <a:r>
            <a:rPr lang="en-US" sz="900" b="0" i="0" u="none" strike="noStrike" baseline="0">
              <a:solidFill>
                <a:srgbClr val="000000"/>
              </a:solidFill>
              <a:latin typeface="Arial"/>
              <a:cs typeface="Arial"/>
            </a:rPr>
            <a:t>C.M. pipe</a:t>
          </a:r>
        </a:p>
      </xdr:txBody>
    </xdr:sp>
    <xdr:clientData/>
  </xdr:oneCellAnchor>
  <xdr:oneCellAnchor>
    <xdr:from>
      <xdr:col>25</xdr:col>
      <xdr:colOff>38100</xdr:colOff>
      <xdr:row>38</xdr:row>
      <xdr:rowOff>66675</xdr:rowOff>
    </xdr:from>
    <xdr:ext cx="322845" cy="155748"/>
    <xdr:sp macro="" textlink="">
      <xdr:nvSpPr>
        <xdr:cNvPr id="3389" name="Text Box 317"/>
        <xdr:cNvSpPr txBox="1">
          <a:spLocks noChangeArrowheads="1"/>
        </xdr:cNvSpPr>
      </xdr:nvSpPr>
      <xdr:spPr bwMode="auto">
        <a:xfrm>
          <a:off x="2962275" y="6867525"/>
          <a:ext cx="322845" cy="155748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US" sz="900" b="0" i="0" u="none" strike="noStrike" baseline="0">
              <a:solidFill>
                <a:srgbClr val="000000"/>
              </a:solidFill>
              <a:latin typeface="Arial"/>
              <a:cs typeface="Arial"/>
            </a:rPr>
            <a:t>2'stub</a:t>
          </a:r>
        </a:p>
      </xdr:txBody>
    </xdr:sp>
    <xdr:clientData/>
  </xdr:oneCellAnchor>
  <xdr:oneCellAnchor>
    <xdr:from>
      <xdr:col>16</xdr:col>
      <xdr:colOff>66675</xdr:colOff>
      <xdr:row>35</xdr:row>
      <xdr:rowOff>66675</xdr:rowOff>
    </xdr:from>
    <xdr:ext cx="178895" cy="155748"/>
    <xdr:sp macro="" textlink="">
      <xdr:nvSpPr>
        <xdr:cNvPr id="3391" name="Text Box 319"/>
        <xdr:cNvSpPr txBox="1">
          <a:spLocks noChangeArrowheads="1"/>
        </xdr:cNvSpPr>
      </xdr:nvSpPr>
      <xdr:spPr bwMode="auto">
        <a:xfrm>
          <a:off x="1876425" y="6324600"/>
          <a:ext cx="178895" cy="155748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US" sz="900" b="0" i="0" u="none" strike="noStrike" baseline="0">
              <a:solidFill>
                <a:srgbClr val="000000"/>
              </a:solidFill>
              <a:latin typeface="Arial"/>
              <a:cs typeface="Arial"/>
            </a:rPr>
            <a:t>1/4</a:t>
          </a:r>
        </a:p>
      </xdr:txBody>
    </xdr:sp>
    <xdr:clientData/>
  </xdr:oneCellAnchor>
  <xdr:twoCellAnchor>
    <xdr:from>
      <xdr:col>16</xdr:col>
      <xdr:colOff>66675</xdr:colOff>
      <xdr:row>35</xdr:row>
      <xdr:rowOff>142875</xdr:rowOff>
    </xdr:from>
    <xdr:to>
      <xdr:col>18</xdr:col>
      <xdr:colOff>76200</xdr:colOff>
      <xdr:row>36</xdr:row>
      <xdr:rowOff>57150</xdr:rowOff>
    </xdr:to>
    <xdr:sp macro="" textlink="">
      <xdr:nvSpPr>
        <xdr:cNvPr id="3793" name="Freeform 320"/>
        <xdr:cNvSpPr>
          <a:spLocks/>
        </xdr:cNvSpPr>
      </xdr:nvSpPr>
      <xdr:spPr bwMode="auto">
        <a:xfrm>
          <a:off x="1876425" y="6400800"/>
          <a:ext cx="257175" cy="95250"/>
        </a:xfrm>
        <a:custGeom>
          <a:avLst/>
          <a:gdLst>
            <a:gd name="T0" fmla="*/ 27 w 27"/>
            <a:gd name="T1" fmla="*/ 0 h 10"/>
            <a:gd name="T2" fmla="*/ 17 w 27"/>
            <a:gd name="T3" fmla="*/ 10 h 10"/>
            <a:gd name="T4" fmla="*/ 0 w 27"/>
            <a:gd name="T5" fmla="*/ 10 h 10"/>
            <a:gd name="T6" fmla="*/ 0 60000 65536"/>
            <a:gd name="T7" fmla="*/ 0 60000 65536"/>
            <a:gd name="T8" fmla="*/ 0 60000 65536"/>
            <a:gd name="T9" fmla="*/ 0 w 27"/>
            <a:gd name="T10" fmla="*/ 0 h 10"/>
            <a:gd name="T11" fmla="*/ 27 w 27"/>
            <a:gd name="T12" fmla="*/ 10 h 10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27" h="10">
              <a:moveTo>
                <a:pt x="27" y="0"/>
              </a:moveTo>
              <a:lnTo>
                <a:pt x="17" y="10"/>
              </a:lnTo>
              <a:lnTo>
                <a:pt x="0" y="10"/>
              </a:lnTo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stealth" w="sm" len="med"/>
          <a:tailEnd type="none" w="med" len="med"/>
        </a:ln>
      </xdr:spPr>
    </xdr:sp>
    <xdr:clientData/>
  </xdr:twoCellAnchor>
  <xdr:twoCellAnchor>
    <xdr:from>
      <xdr:col>17</xdr:col>
      <xdr:colOff>66675</xdr:colOff>
      <xdr:row>36</xdr:row>
      <xdr:rowOff>28575</xdr:rowOff>
    </xdr:from>
    <xdr:to>
      <xdr:col>18</xdr:col>
      <xdr:colOff>9525</xdr:colOff>
      <xdr:row>36</xdr:row>
      <xdr:rowOff>85725</xdr:rowOff>
    </xdr:to>
    <xdr:sp macro="" textlink="">
      <xdr:nvSpPr>
        <xdr:cNvPr id="3794" name="Oval 321"/>
        <xdr:cNvSpPr>
          <a:spLocks noChangeArrowheads="1"/>
        </xdr:cNvSpPr>
      </xdr:nvSpPr>
      <xdr:spPr bwMode="auto">
        <a:xfrm>
          <a:off x="2000250" y="6467475"/>
          <a:ext cx="66675" cy="57150"/>
        </a:xfrm>
        <a:prstGeom prst="ellips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16</xdr:col>
      <xdr:colOff>114300</xdr:colOff>
      <xdr:row>36</xdr:row>
      <xdr:rowOff>9525</xdr:rowOff>
    </xdr:from>
    <xdr:to>
      <xdr:col>17</xdr:col>
      <xdr:colOff>47625</xdr:colOff>
      <xdr:row>36</xdr:row>
      <xdr:rowOff>57150</xdr:rowOff>
    </xdr:to>
    <xdr:sp macro="" textlink="">
      <xdr:nvSpPr>
        <xdr:cNvPr id="3795" name="Freeform 322"/>
        <xdr:cNvSpPr>
          <a:spLocks/>
        </xdr:cNvSpPr>
      </xdr:nvSpPr>
      <xdr:spPr bwMode="auto">
        <a:xfrm>
          <a:off x="1924050" y="6448425"/>
          <a:ext cx="57150" cy="47625"/>
        </a:xfrm>
        <a:custGeom>
          <a:avLst/>
          <a:gdLst>
            <a:gd name="T0" fmla="*/ 6 w 6"/>
            <a:gd name="T1" fmla="*/ 5 h 5"/>
            <a:gd name="T2" fmla="*/ 0 w 6"/>
            <a:gd name="T3" fmla="*/ 0 h 5"/>
            <a:gd name="T4" fmla="*/ 0 w 6"/>
            <a:gd name="T5" fmla="*/ 5 h 5"/>
            <a:gd name="T6" fmla="*/ 0 60000 65536"/>
            <a:gd name="T7" fmla="*/ 0 60000 65536"/>
            <a:gd name="T8" fmla="*/ 0 60000 65536"/>
            <a:gd name="T9" fmla="*/ 0 w 6"/>
            <a:gd name="T10" fmla="*/ 0 h 5"/>
            <a:gd name="T11" fmla="*/ 6 w 6"/>
            <a:gd name="T12" fmla="*/ 5 h 5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6" h="5">
              <a:moveTo>
                <a:pt x="6" y="5"/>
              </a:moveTo>
              <a:lnTo>
                <a:pt x="0" y="0"/>
              </a:lnTo>
              <a:lnTo>
                <a:pt x="0" y="5"/>
              </a:lnTo>
            </a:path>
          </a:pathLst>
        </a:custGeom>
        <a:noFill/>
        <a:ln w="9525">
          <a:solidFill>
            <a:srgbClr val="000000"/>
          </a:solidFill>
          <a:round/>
          <a:headEnd type="none" w="med" len="med"/>
          <a:tailEnd type="none" w="med" len="med"/>
        </a:ln>
      </xdr:spPr>
    </xdr:sp>
    <xdr:clientData/>
  </xdr:twoCellAnchor>
  <xdr:oneCellAnchor>
    <xdr:from>
      <xdr:col>15</xdr:col>
      <xdr:colOff>38100</xdr:colOff>
      <xdr:row>15</xdr:row>
      <xdr:rowOff>123825</xdr:rowOff>
    </xdr:from>
    <xdr:ext cx="83293" cy="121700"/>
    <xdr:sp macro="" textlink="">
      <xdr:nvSpPr>
        <xdr:cNvPr id="3395" name="Text Box 323"/>
        <xdr:cNvSpPr txBox="1">
          <a:spLocks noChangeArrowheads="1"/>
        </xdr:cNvSpPr>
      </xdr:nvSpPr>
      <xdr:spPr bwMode="auto">
        <a:xfrm>
          <a:off x="1762125" y="2781300"/>
          <a:ext cx="83293" cy="1217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en-US" sz="700" b="0" i="0" u="none" strike="noStrike" baseline="0">
              <a:solidFill>
                <a:srgbClr val="000000"/>
              </a:solidFill>
              <a:latin typeface="Arial"/>
              <a:cs typeface="Arial"/>
            </a:rPr>
            <a:t>C</a:t>
          </a:r>
        </a:p>
      </xdr:txBody>
    </xdr:sp>
    <xdr:clientData/>
  </xdr:oneCellAnchor>
  <xdr:oneCellAnchor>
    <xdr:from>
      <xdr:col>23</xdr:col>
      <xdr:colOff>66675</xdr:colOff>
      <xdr:row>20</xdr:row>
      <xdr:rowOff>152400</xdr:rowOff>
    </xdr:from>
    <xdr:ext cx="121700" cy="83292"/>
    <xdr:sp macro="" textlink="">
      <xdr:nvSpPr>
        <xdr:cNvPr id="3396" name="Text Box 324"/>
        <xdr:cNvSpPr txBox="1">
          <a:spLocks noChangeArrowheads="1"/>
        </xdr:cNvSpPr>
      </xdr:nvSpPr>
      <xdr:spPr bwMode="auto">
        <a:xfrm>
          <a:off x="2743200" y="3714750"/>
          <a:ext cx="121700" cy="8329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="vert270" wrap="none" lIns="18288" tIns="18288" rIns="0" bIns="0" anchor="t" upright="1">
          <a:spAutoFit/>
        </a:bodyPr>
        <a:lstStyle/>
        <a:p>
          <a:pPr algn="r" rtl="0">
            <a:defRPr sz="1000"/>
          </a:pPr>
          <a:r>
            <a:rPr lang="en-US" sz="700" b="0" i="0" u="none" strike="noStrike" baseline="0">
              <a:solidFill>
                <a:srgbClr val="000000"/>
              </a:solidFill>
              <a:latin typeface="Arial"/>
              <a:cs typeface="Arial"/>
            </a:rPr>
            <a:t>D</a:t>
          </a:r>
        </a:p>
      </xdr:txBody>
    </xdr:sp>
    <xdr:clientData/>
  </xdr:oneCellAnchor>
  <xdr:oneCellAnchor>
    <xdr:from>
      <xdr:col>25</xdr:col>
      <xdr:colOff>0</xdr:colOff>
      <xdr:row>21</xdr:row>
      <xdr:rowOff>133350</xdr:rowOff>
    </xdr:from>
    <xdr:ext cx="121700" cy="78355"/>
    <xdr:sp macro="" textlink="">
      <xdr:nvSpPr>
        <xdr:cNvPr id="3397" name="Text Box 325"/>
        <xdr:cNvSpPr txBox="1">
          <a:spLocks noChangeArrowheads="1"/>
        </xdr:cNvSpPr>
      </xdr:nvSpPr>
      <xdr:spPr bwMode="auto">
        <a:xfrm>
          <a:off x="2924175" y="3876675"/>
          <a:ext cx="121700" cy="78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="vert270" wrap="none" lIns="18288" tIns="18288" rIns="0" bIns="0" anchor="t" upright="1">
          <a:spAutoFit/>
        </a:bodyPr>
        <a:lstStyle/>
        <a:p>
          <a:pPr algn="r" rtl="0">
            <a:defRPr sz="1000"/>
          </a:pPr>
          <a:r>
            <a:rPr lang="en-US" sz="700" b="0" i="0" u="none" strike="noStrike" baseline="0">
              <a:solidFill>
                <a:srgbClr val="000000"/>
              </a:solidFill>
              <a:latin typeface="Arial"/>
              <a:cs typeface="Arial"/>
            </a:rPr>
            <a:t>E</a:t>
          </a:r>
        </a:p>
      </xdr:txBody>
    </xdr:sp>
    <xdr:clientData/>
  </xdr:oneCellAnchor>
  <xdr:oneCellAnchor>
    <xdr:from>
      <xdr:col>25</xdr:col>
      <xdr:colOff>104775</xdr:colOff>
      <xdr:row>35</xdr:row>
      <xdr:rowOff>142875</xdr:rowOff>
    </xdr:from>
    <xdr:ext cx="121700" cy="78355"/>
    <xdr:sp macro="" textlink="">
      <xdr:nvSpPr>
        <xdr:cNvPr id="3398" name="Text Box 326"/>
        <xdr:cNvSpPr txBox="1">
          <a:spLocks noChangeArrowheads="1"/>
        </xdr:cNvSpPr>
      </xdr:nvSpPr>
      <xdr:spPr bwMode="auto">
        <a:xfrm>
          <a:off x="3028950" y="6400800"/>
          <a:ext cx="121700" cy="78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="vert270" wrap="none" lIns="18288" tIns="18288" rIns="0" bIns="0" anchor="t" upright="1">
          <a:spAutoFit/>
        </a:bodyPr>
        <a:lstStyle/>
        <a:p>
          <a:pPr algn="r" rtl="0">
            <a:defRPr sz="1000"/>
          </a:pPr>
          <a:r>
            <a:rPr lang="en-US" sz="700" b="0" i="0" u="none" strike="noStrike" baseline="0">
              <a:solidFill>
                <a:srgbClr val="000000"/>
              </a:solidFill>
              <a:latin typeface="Arial"/>
              <a:cs typeface="Arial"/>
            </a:rPr>
            <a:t>B</a:t>
          </a:r>
        </a:p>
      </xdr:txBody>
    </xdr:sp>
    <xdr:clientData/>
  </xdr:oneCellAnchor>
  <xdr:oneCellAnchor>
    <xdr:from>
      <xdr:col>3</xdr:col>
      <xdr:colOff>47625</xdr:colOff>
      <xdr:row>30</xdr:row>
      <xdr:rowOff>57150</xdr:rowOff>
    </xdr:from>
    <xdr:ext cx="121700" cy="83292"/>
    <xdr:sp macro="" textlink="">
      <xdr:nvSpPr>
        <xdr:cNvPr id="3399" name="Text Box 327"/>
        <xdr:cNvSpPr txBox="1">
          <a:spLocks noChangeArrowheads="1"/>
        </xdr:cNvSpPr>
      </xdr:nvSpPr>
      <xdr:spPr bwMode="auto">
        <a:xfrm>
          <a:off x="400050" y="5410200"/>
          <a:ext cx="121700" cy="8329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="vert270" wrap="none" lIns="18288" tIns="18288" rIns="0" bIns="0" anchor="t" upright="1">
          <a:spAutoFit/>
        </a:bodyPr>
        <a:lstStyle/>
        <a:p>
          <a:pPr algn="r" rtl="0">
            <a:defRPr sz="1000"/>
          </a:pPr>
          <a:r>
            <a:rPr lang="en-US" sz="700" b="0" i="0" u="none" strike="noStrike" baseline="0">
              <a:solidFill>
                <a:srgbClr val="000000"/>
              </a:solidFill>
              <a:latin typeface="Arial"/>
              <a:cs typeface="Arial"/>
            </a:rPr>
            <a:t>H</a:t>
          </a:r>
        </a:p>
      </xdr:txBody>
    </xdr:sp>
    <xdr:clientData/>
  </xdr:oneCellAnchor>
  <xdr:oneCellAnchor>
    <xdr:from>
      <xdr:col>4</xdr:col>
      <xdr:colOff>104775</xdr:colOff>
      <xdr:row>30</xdr:row>
      <xdr:rowOff>38100</xdr:rowOff>
    </xdr:from>
    <xdr:ext cx="121700" cy="88294"/>
    <xdr:sp macro="" textlink="">
      <xdr:nvSpPr>
        <xdr:cNvPr id="3400" name="Text Box 328"/>
        <xdr:cNvSpPr txBox="1">
          <a:spLocks noChangeArrowheads="1"/>
        </xdr:cNvSpPr>
      </xdr:nvSpPr>
      <xdr:spPr bwMode="auto">
        <a:xfrm>
          <a:off x="581025" y="5391150"/>
          <a:ext cx="121700" cy="8829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="vert270" wrap="none" lIns="18288" tIns="18288" rIns="0" bIns="0" anchor="t" upright="1">
          <a:spAutoFit/>
        </a:bodyPr>
        <a:lstStyle/>
        <a:p>
          <a:pPr algn="r" rtl="0">
            <a:defRPr sz="1000"/>
          </a:pPr>
          <a:r>
            <a:rPr lang="en-US" sz="700" b="0" i="0" u="none" strike="noStrike" baseline="0">
              <a:solidFill>
                <a:srgbClr val="000000"/>
              </a:solidFill>
              <a:latin typeface="Arial"/>
              <a:cs typeface="Arial"/>
            </a:rPr>
            <a:t>G</a:t>
          </a:r>
        </a:p>
      </xdr:txBody>
    </xdr:sp>
    <xdr:clientData/>
  </xdr:oneCellAnchor>
  <xdr:oneCellAnchor>
    <xdr:from>
      <xdr:col>6</xdr:col>
      <xdr:colOff>38100</xdr:colOff>
      <xdr:row>30</xdr:row>
      <xdr:rowOff>38100</xdr:rowOff>
    </xdr:from>
    <xdr:ext cx="121700" cy="73289"/>
    <xdr:sp macro="" textlink="">
      <xdr:nvSpPr>
        <xdr:cNvPr id="3401" name="Text Box 329"/>
        <xdr:cNvSpPr txBox="1">
          <a:spLocks noChangeArrowheads="1"/>
        </xdr:cNvSpPr>
      </xdr:nvSpPr>
      <xdr:spPr bwMode="auto">
        <a:xfrm>
          <a:off x="762000" y="5391150"/>
          <a:ext cx="121700" cy="7328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="vert270" wrap="none" lIns="18288" tIns="18288" rIns="0" bIns="0" anchor="t" upright="1">
          <a:spAutoFit/>
        </a:bodyPr>
        <a:lstStyle/>
        <a:p>
          <a:pPr algn="r" rtl="0">
            <a:defRPr sz="1000"/>
          </a:pPr>
          <a:r>
            <a:rPr lang="en-US" sz="700" b="0" i="0" u="none" strike="noStrike" baseline="0">
              <a:solidFill>
                <a:srgbClr val="000000"/>
              </a:solidFill>
              <a:latin typeface="Arial"/>
              <a:cs typeface="Arial"/>
            </a:rPr>
            <a:t>F</a:t>
          </a:r>
        </a:p>
      </xdr:txBody>
    </xdr:sp>
    <xdr:clientData/>
  </xdr:oneCellAnchor>
  <xdr:oneCellAnchor>
    <xdr:from>
      <xdr:col>1</xdr:col>
      <xdr:colOff>114300</xdr:colOff>
      <xdr:row>36</xdr:row>
      <xdr:rowOff>66675</xdr:rowOff>
    </xdr:from>
    <xdr:ext cx="121700" cy="78355"/>
    <xdr:sp macro="" textlink="">
      <xdr:nvSpPr>
        <xdr:cNvPr id="3402" name="Text Box 330"/>
        <xdr:cNvSpPr txBox="1">
          <a:spLocks noChangeArrowheads="1"/>
        </xdr:cNvSpPr>
      </xdr:nvSpPr>
      <xdr:spPr bwMode="auto">
        <a:xfrm>
          <a:off x="219075" y="6505575"/>
          <a:ext cx="121700" cy="78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="vert270" wrap="none" lIns="18288" tIns="18288" rIns="0" bIns="0" anchor="t" upright="1">
          <a:spAutoFit/>
        </a:bodyPr>
        <a:lstStyle/>
        <a:p>
          <a:pPr algn="r" rtl="0">
            <a:defRPr sz="1000"/>
          </a:pPr>
          <a:r>
            <a:rPr lang="en-US" sz="700" b="0" i="0" u="none" strike="noStrike" baseline="0">
              <a:solidFill>
                <a:srgbClr val="000000"/>
              </a:solidFill>
              <a:latin typeface="Arial"/>
              <a:cs typeface="Arial"/>
            </a:rPr>
            <a:t>K</a:t>
          </a:r>
        </a:p>
      </xdr:txBody>
    </xdr:sp>
    <xdr:clientData/>
  </xdr:oneCellAnchor>
  <xdr:oneCellAnchor>
    <xdr:from>
      <xdr:col>15</xdr:col>
      <xdr:colOff>38100</xdr:colOff>
      <xdr:row>39</xdr:row>
      <xdr:rowOff>19050</xdr:rowOff>
    </xdr:from>
    <xdr:ext cx="78355" cy="121700"/>
    <xdr:sp macro="" textlink="">
      <xdr:nvSpPr>
        <xdr:cNvPr id="3403" name="Text Box 331"/>
        <xdr:cNvSpPr txBox="1">
          <a:spLocks noChangeArrowheads="1"/>
        </xdr:cNvSpPr>
      </xdr:nvSpPr>
      <xdr:spPr bwMode="auto">
        <a:xfrm>
          <a:off x="1762125" y="7000875"/>
          <a:ext cx="78355" cy="1217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en-US" sz="700" b="0" i="0" u="none" strike="noStrike" baseline="0">
              <a:solidFill>
                <a:srgbClr val="000000"/>
              </a:solidFill>
              <a:latin typeface="Arial"/>
              <a:cs typeface="Arial"/>
            </a:rPr>
            <a:t>A</a:t>
          </a:r>
        </a:p>
      </xdr:txBody>
    </xdr:sp>
    <xdr:clientData/>
  </xdr:oneCellAnchor>
  <xdr:oneCellAnchor>
    <xdr:from>
      <xdr:col>15</xdr:col>
      <xdr:colOff>57150</xdr:colOff>
      <xdr:row>40</xdr:row>
      <xdr:rowOff>38100</xdr:rowOff>
    </xdr:from>
    <xdr:ext cx="63351" cy="121700"/>
    <xdr:sp macro="" textlink="">
      <xdr:nvSpPr>
        <xdr:cNvPr id="3404" name="Text Box 332"/>
        <xdr:cNvSpPr txBox="1">
          <a:spLocks noChangeArrowheads="1"/>
        </xdr:cNvSpPr>
      </xdr:nvSpPr>
      <xdr:spPr bwMode="auto">
        <a:xfrm>
          <a:off x="1781175" y="7200900"/>
          <a:ext cx="63351" cy="1217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en-US" sz="700" b="0" i="0" u="none" strike="noStrike" baseline="0">
              <a:solidFill>
                <a:srgbClr val="000000"/>
              </a:solidFill>
              <a:latin typeface="Arial"/>
              <a:cs typeface="Arial"/>
            </a:rPr>
            <a:t>J</a:t>
          </a:r>
        </a:p>
      </xdr:txBody>
    </xdr:sp>
    <xdr:clientData/>
  </xdr:oneCellAnchor>
  <xdr:oneCellAnchor>
    <xdr:from>
      <xdr:col>5</xdr:col>
      <xdr:colOff>114300</xdr:colOff>
      <xdr:row>39</xdr:row>
      <xdr:rowOff>0</xdr:rowOff>
    </xdr:from>
    <xdr:ext cx="151132" cy="189859"/>
    <xdr:sp macro="" textlink="">
      <xdr:nvSpPr>
        <xdr:cNvPr id="3405" name="Text Box 333"/>
        <xdr:cNvSpPr txBox="1">
          <a:spLocks noChangeArrowheads="1"/>
        </xdr:cNvSpPr>
      </xdr:nvSpPr>
      <xdr:spPr bwMode="auto">
        <a:xfrm>
          <a:off x="714375" y="6981825"/>
          <a:ext cx="151132" cy="18985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="vert270" wrap="none" lIns="18288" tIns="22860" rIns="0" bIns="0" anchor="t" upright="1">
          <a:spAutoFit/>
        </a:bodyPr>
        <a:lstStyle/>
        <a:p>
          <a:pPr algn="r" rtl="0">
            <a:defRPr sz="1000"/>
          </a:pPr>
          <a:r>
            <a:rPr lang="en-US" sz="900" b="0" i="0" u="none" strike="noStrike" baseline="0">
              <a:solidFill>
                <a:srgbClr val="000000"/>
              </a:solidFill>
              <a:latin typeface="Arial"/>
              <a:cs typeface="Arial"/>
            </a:rPr>
            <a:t>0-6</a:t>
          </a:r>
        </a:p>
      </xdr:txBody>
    </xdr:sp>
    <xdr:clientData/>
  </xdr:oneCellAnchor>
  <xdr:oneCellAnchor>
    <xdr:from>
      <xdr:col>6</xdr:col>
      <xdr:colOff>38100</xdr:colOff>
      <xdr:row>36</xdr:row>
      <xdr:rowOff>104775</xdr:rowOff>
    </xdr:from>
    <xdr:ext cx="121700" cy="255134"/>
    <xdr:sp macro="" textlink="">
      <xdr:nvSpPr>
        <xdr:cNvPr id="3406" name="Text Box 334"/>
        <xdr:cNvSpPr txBox="1">
          <a:spLocks noChangeArrowheads="1"/>
        </xdr:cNvSpPr>
      </xdr:nvSpPr>
      <xdr:spPr bwMode="auto">
        <a:xfrm>
          <a:off x="762000" y="6543675"/>
          <a:ext cx="121700" cy="25513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="vert270" wrap="none" lIns="18288" tIns="18288" rIns="0" bIns="0" anchor="t" upright="1">
          <a:spAutoFit/>
        </a:bodyPr>
        <a:lstStyle/>
        <a:p>
          <a:pPr algn="r" rtl="0">
            <a:defRPr sz="1000"/>
          </a:pPr>
          <a:r>
            <a:rPr lang="en-US" sz="700" b="0" i="0" u="none" strike="noStrike" baseline="0">
              <a:solidFill>
                <a:srgbClr val="000000"/>
              </a:solidFill>
              <a:latin typeface="Arial"/>
              <a:cs typeface="Arial"/>
            </a:rPr>
            <a:t>Min 1'</a:t>
          </a:r>
        </a:p>
      </xdr:txBody>
    </xdr:sp>
    <xdr:clientData/>
  </xdr:oneCellAnchor>
  <xdr:twoCellAnchor>
    <xdr:from>
      <xdr:col>19</xdr:col>
      <xdr:colOff>66675</xdr:colOff>
      <xdr:row>23</xdr:row>
      <xdr:rowOff>47625</xdr:rowOff>
    </xdr:from>
    <xdr:to>
      <xdr:col>19</xdr:col>
      <xdr:colOff>66675</xdr:colOff>
      <xdr:row>23</xdr:row>
      <xdr:rowOff>85725</xdr:rowOff>
    </xdr:to>
    <xdr:sp macro="" textlink="">
      <xdr:nvSpPr>
        <xdr:cNvPr id="3808" name="Line 335"/>
        <xdr:cNvSpPr>
          <a:spLocks noChangeShapeType="1"/>
        </xdr:cNvSpPr>
      </xdr:nvSpPr>
      <xdr:spPr bwMode="auto">
        <a:xfrm>
          <a:off x="2247900" y="4152900"/>
          <a:ext cx="0" cy="381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47625</xdr:colOff>
      <xdr:row>23</xdr:row>
      <xdr:rowOff>47625</xdr:rowOff>
    </xdr:from>
    <xdr:to>
      <xdr:col>11</xdr:col>
      <xdr:colOff>47625</xdr:colOff>
      <xdr:row>23</xdr:row>
      <xdr:rowOff>85725</xdr:rowOff>
    </xdr:to>
    <xdr:sp macro="" textlink="">
      <xdr:nvSpPr>
        <xdr:cNvPr id="3809" name="Line 336"/>
        <xdr:cNvSpPr>
          <a:spLocks noChangeShapeType="1"/>
        </xdr:cNvSpPr>
      </xdr:nvSpPr>
      <xdr:spPr bwMode="auto">
        <a:xfrm>
          <a:off x="1390650" y="4152900"/>
          <a:ext cx="0" cy="381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oneCellAnchor>
    <xdr:from>
      <xdr:col>22</xdr:col>
      <xdr:colOff>0</xdr:colOff>
      <xdr:row>30</xdr:row>
      <xdr:rowOff>123825</xdr:rowOff>
    </xdr:from>
    <xdr:ext cx="209737" cy="200119"/>
    <xdr:sp macro="" textlink="">
      <xdr:nvSpPr>
        <xdr:cNvPr id="3409" name="Text Box 337"/>
        <xdr:cNvSpPr txBox="1">
          <a:spLocks noChangeArrowheads="1"/>
        </xdr:cNvSpPr>
      </xdr:nvSpPr>
      <xdr:spPr bwMode="auto">
        <a:xfrm>
          <a:off x="2552700" y="5476875"/>
          <a:ext cx="209737" cy="20011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Symbol"/>
            </a:rPr>
            <a:t>q</a:t>
          </a:r>
          <a:r>
            <a:rPr lang="en-US" sz="1200" b="0" i="0" u="none" strike="noStrike" baseline="30000">
              <a:solidFill>
                <a:srgbClr val="000000"/>
              </a:solidFill>
              <a:latin typeface="Arial"/>
              <a:cs typeface="Arial"/>
            </a:rPr>
            <a:t>o</a:t>
          </a:r>
          <a:r>
            <a:rPr lang="en-US" sz="900" b="0" i="0" u="none" strike="noStrike" baseline="0">
              <a:solidFill>
                <a:srgbClr val="000000"/>
              </a:solidFill>
              <a:latin typeface="Arial"/>
              <a:cs typeface="Arial"/>
            </a:rPr>
            <a:t>=</a:t>
          </a:r>
        </a:p>
      </xdr:txBody>
    </xdr:sp>
    <xdr:clientData/>
  </xdr:oneCellAnchor>
  <xdr:oneCellAnchor>
    <xdr:from>
      <xdr:col>26</xdr:col>
      <xdr:colOff>0</xdr:colOff>
      <xdr:row>30</xdr:row>
      <xdr:rowOff>104775</xdr:rowOff>
    </xdr:from>
    <xdr:ext cx="75533" cy="200119"/>
    <xdr:sp macro="" textlink="">
      <xdr:nvSpPr>
        <xdr:cNvPr id="3410" name="Text Box 338"/>
        <xdr:cNvSpPr txBox="1">
          <a:spLocks noChangeArrowheads="1"/>
        </xdr:cNvSpPr>
      </xdr:nvSpPr>
      <xdr:spPr bwMode="auto">
        <a:xfrm>
          <a:off x="3048000" y="5457825"/>
          <a:ext cx="75533" cy="20011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US" sz="1200" b="0" i="0" u="none" strike="noStrike" baseline="30000">
              <a:solidFill>
                <a:srgbClr val="000000"/>
              </a:solidFill>
              <a:latin typeface="Arial"/>
              <a:cs typeface="Arial"/>
            </a:rPr>
            <a:t>o</a:t>
          </a:r>
        </a:p>
      </xdr:txBody>
    </xdr:sp>
    <xdr:clientData/>
  </xdr:oneCellAnchor>
  <xdr:oneCellAnchor>
    <xdr:from>
      <xdr:col>28</xdr:col>
      <xdr:colOff>114300</xdr:colOff>
      <xdr:row>30</xdr:row>
      <xdr:rowOff>123825</xdr:rowOff>
    </xdr:from>
    <xdr:ext cx="57067" cy="200119"/>
    <xdr:sp macro="" textlink="">
      <xdr:nvSpPr>
        <xdr:cNvPr id="3411" name="Text Box 339"/>
        <xdr:cNvSpPr txBox="1">
          <a:spLocks noChangeArrowheads="1"/>
        </xdr:cNvSpPr>
      </xdr:nvSpPr>
      <xdr:spPr bwMode="auto">
        <a:xfrm>
          <a:off x="3409950" y="5476875"/>
          <a:ext cx="57067" cy="20011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22860" rIns="0" bIns="0" anchor="t" upright="1">
          <a:spAutoFit/>
        </a:bodyPr>
        <a:lstStyle/>
        <a:p>
          <a:pPr algn="l" rtl="0">
            <a:defRPr sz="1000"/>
          </a:pP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'</a:t>
          </a:r>
        </a:p>
      </xdr:txBody>
    </xdr:sp>
    <xdr:clientData/>
  </xdr:oneCellAnchor>
  <xdr:oneCellAnchor>
    <xdr:from>
      <xdr:col>28</xdr:col>
      <xdr:colOff>52459</xdr:colOff>
      <xdr:row>4</xdr:row>
      <xdr:rowOff>0</xdr:rowOff>
    </xdr:from>
    <xdr:ext cx="3038332" cy="155748"/>
    <xdr:sp macro="" textlink="">
      <xdr:nvSpPr>
        <xdr:cNvPr id="3412" name="Text Box 340"/>
        <xdr:cNvSpPr txBox="1">
          <a:spLocks noChangeArrowheads="1"/>
        </xdr:cNvSpPr>
      </xdr:nvSpPr>
      <xdr:spPr bwMode="auto">
        <a:xfrm>
          <a:off x="3348109" y="666750"/>
          <a:ext cx="3038332" cy="155748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2860" rIns="18288" bIns="0" anchor="t" upright="1">
          <a:spAutoFit/>
        </a:bodyPr>
        <a:lstStyle/>
        <a:p>
          <a:pPr algn="ctr" rtl="0">
            <a:defRPr sz="1000"/>
          </a:pPr>
          <a:r>
            <a:rPr lang="en-US" sz="900" b="1" i="0" u="none" strike="noStrike" baseline="0">
              <a:solidFill>
                <a:srgbClr val="000000"/>
              </a:solidFill>
              <a:latin typeface="Arial"/>
              <a:cs typeface="Arial"/>
            </a:rPr>
            <a:t>TABLE OF QUANTITIES FOR CONCRETE RISER BASE</a:t>
          </a:r>
        </a:p>
      </xdr:txBody>
    </xdr:sp>
    <xdr:clientData/>
  </xdr:oneCellAnchor>
  <xdr:twoCellAnchor>
    <xdr:from>
      <xdr:col>33</xdr:col>
      <xdr:colOff>104775</xdr:colOff>
      <xdr:row>10</xdr:row>
      <xdr:rowOff>0</xdr:rowOff>
    </xdr:from>
    <xdr:to>
      <xdr:col>34</xdr:col>
      <xdr:colOff>104775</xdr:colOff>
      <xdr:row>10</xdr:row>
      <xdr:rowOff>123825</xdr:rowOff>
    </xdr:to>
    <xdr:sp macro="" textlink="">
      <xdr:nvSpPr>
        <xdr:cNvPr id="3814" name="Oval 344"/>
        <xdr:cNvSpPr>
          <a:spLocks noChangeArrowheads="1"/>
        </xdr:cNvSpPr>
      </xdr:nvSpPr>
      <xdr:spPr bwMode="auto">
        <a:xfrm>
          <a:off x="4019550" y="1752600"/>
          <a:ext cx="123825" cy="123825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38</xdr:col>
      <xdr:colOff>38100</xdr:colOff>
      <xdr:row>10</xdr:row>
      <xdr:rowOff>0</xdr:rowOff>
    </xdr:from>
    <xdr:to>
      <xdr:col>39</xdr:col>
      <xdr:colOff>28575</xdr:colOff>
      <xdr:row>10</xdr:row>
      <xdr:rowOff>123825</xdr:rowOff>
    </xdr:to>
    <xdr:sp macro="" textlink="">
      <xdr:nvSpPr>
        <xdr:cNvPr id="3815" name="Oval 345"/>
        <xdr:cNvSpPr>
          <a:spLocks noChangeArrowheads="1"/>
        </xdr:cNvSpPr>
      </xdr:nvSpPr>
      <xdr:spPr bwMode="auto">
        <a:xfrm>
          <a:off x="4657725" y="1752600"/>
          <a:ext cx="123825" cy="123825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46</xdr:col>
      <xdr:colOff>19050</xdr:colOff>
      <xdr:row>10</xdr:row>
      <xdr:rowOff>0</xdr:rowOff>
    </xdr:from>
    <xdr:to>
      <xdr:col>46</xdr:col>
      <xdr:colOff>142875</xdr:colOff>
      <xdr:row>10</xdr:row>
      <xdr:rowOff>123825</xdr:rowOff>
    </xdr:to>
    <xdr:sp macro="" textlink="">
      <xdr:nvSpPr>
        <xdr:cNvPr id="3816" name="Oval 346"/>
        <xdr:cNvSpPr>
          <a:spLocks noChangeArrowheads="1"/>
        </xdr:cNvSpPr>
      </xdr:nvSpPr>
      <xdr:spPr bwMode="auto">
        <a:xfrm>
          <a:off x="5762625" y="1752600"/>
          <a:ext cx="123825" cy="123825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oneCellAnchor>
    <xdr:from>
      <xdr:col>46</xdr:col>
      <xdr:colOff>38100</xdr:colOff>
      <xdr:row>10</xdr:row>
      <xdr:rowOff>0</xdr:rowOff>
    </xdr:from>
    <xdr:ext cx="83293" cy="121700"/>
    <xdr:sp macro="" textlink="">
      <xdr:nvSpPr>
        <xdr:cNvPr id="3413" name="Text Box 341"/>
        <xdr:cNvSpPr txBox="1">
          <a:spLocks noChangeArrowheads="1"/>
        </xdr:cNvSpPr>
      </xdr:nvSpPr>
      <xdr:spPr bwMode="auto">
        <a:xfrm>
          <a:off x="5781675" y="1752600"/>
          <a:ext cx="83293" cy="1217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en-US" sz="700" b="0" i="0" u="none" strike="noStrike" baseline="0">
              <a:solidFill>
                <a:srgbClr val="000000"/>
              </a:solidFill>
              <a:latin typeface="Arial"/>
              <a:cs typeface="Arial"/>
            </a:rPr>
            <a:t>C</a:t>
          </a:r>
        </a:p>
      </xdr:txBody>
    </xdr:sp>
    <xdr:clientData/>
  </xdr:oneCellAnchor>
  <xdr:oneCellAnchor>
    <xdr:from>
      <xdr:col>33</xdr:col>
      <xdr:colOff>114300</xdr:colOff>
      <xdr:row>10</xdr:row>
      <xdr:rowOff>0</xdr:rowOff>
    </xdr:from>
    <xdr:ext cx="78355" cy="121700"/>
    <xdr:sp macro="" textlink="">
      <xdr:nvSpPr>
        <xdr:cNvPr id="3419" name="Text Box 347"/>
        <xdr:cNvSpPr txBox="1">
          <a:spLocks noChangeArrowheads="1"/>
        </xdr:cNvSpPr>
      </xdr:nvSpPr>
      <xdr:spPr bwMode="auto">
        <a:xfrm>
          <a:off x="4029075" y="1752600"/>
          <a:ext cx="78355" cy="1217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en-US" sz="700" b="0" i="0" u="none" strike="noStrike" baseline="0">
              <a:solidFill>
                <a:srgbClr val="000000"/>
              </a:solidFill>
              <a:latin typeface="Arial"/>
              <a:cs typeface="Arial"/>
            </a:rPr>
            <a:t>B</a:t>
          </a:r>
        </a:p>
      </xdr:txBody>
    </xdr:sp>
    <xdr:clientData/>
  </xdr:oneCellAnchor>
  <xdr:oneCellAnchor>
    <xdr:from>
      <xdr:col>38</xdr:col>
      <xdr:colOff>47625</xdr:colOff>
      <xdr:row>10</xdr:row>
      <xdr:rowOff>0</xdr:rowOff>
    </xdr:from>
    <xdr:ext cx="78355" cy="121700"/>
    <xdr:sp macro="" textlink="">
      <xdr:nvSpPr>
        <xdr:cNvPr id="3420" name="Text Box 348"/>
        <xdr:cNvSpPr txBox="1">
          <a:spLocks noChangeArrowheads="1"/>
        </xdr:cNvSpPr>
      </xdr:nvSpPr>
      <xdr:spPr bwMode="auto">
        <a:xfrm>
          <a:off x="4667250" y="1752600"/>
          <a:ext cx="78355" cy="1217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en-US" sz="700" b="0" i="0" u="none" strike="noStrike" baseline="0">
              <a:solidFill>
                <a:srgbClr val="000000"/>
              </a:solidFill>
              <a:latin typeface="Arial"/>
              <a:cs typeface="Arial"/>
            </a:rPr>
            <a:t>A</a:t>
          </a:r>
        </a:p>
      </xdr:txBody>
    </xdr:sp>
    <xdr:clientData/>
  </xdr:oneCellAnchor>
  <xdr:twoCellAnchor>
    <xdr:from>
      <xdr:col>32</xdr:col>
      <xdr:colOff>76200</xdr:colOff>
      <xdr:row>38</xdr:row>
      <xdr:rowOff>38100</xdr:rowOff>
    </xdr:from>
    <xdr:to>
      <xdr:col>33</xdr:col>
      <xdr:colOff>76200</xdr:colOff>
      <xdr:row>38</xdr:row>
      <xdr:rowOff>161925</xdr:rowOff>
    </xdr:to>
    <xdr:sp macro="" textlink="">
      <xdr:nvSpPr>
        <xdr:cNvPr id="3820" name="Oval 352"/>
        <xdr:cNvSpPr>
          <a:spLocks noChangeArrowheads="1"/>
        </xdr:cNvSpPr>
      </xdr:nvSpPr>
      <xdr:spPr bwMode="auto">
        <a:xfrm>
          <a:off x="3867150" y="6838950"/>
          <a:ext cx="123825" cy="123825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28575</xdr:colOff>
      <xdr:row>38</xdr:row>
      <xdr:rowOff>38100</xdr:rowOff>
    </xdr:from>
    <xdr:to>
      <xdr:col>31</xdr:col>
      <xdr:colOff>28575</xdr:colOff>
      <xdr:row>38</xdr:row>
      <xdr:rowOff>161925</xdr:rowOff>
    </xdr:to>
    <xdr:sp macro="" textlink="">
      <xdr:nvSpPr>
        <xdr:cNvPr id="3821" name="Oval 353"/>
        <xdr:cNvSpPr>
          <a:spLocks noChangeArrowheads="1"/>
        </xdr:cNvSpPr>
      </xdr:nvSpPr>
      <xdr:spPr bwMode="auto">
        <a:xfrm>
          <a:off x="3571875" y="6838950"/>
          <a:ext cx="123825" cy="123825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oneCellAnchor>
    <xdr:from>
      <xdr:col>30</xdr:col>
      <xdr:colOff>38100</xdr:colOff>
      <xdr:row>38</xdr:row>
      <xdr:rowOff>38100</xdr:rowOff>
    </xdr:from>
    <xdr:ext cx="83293" cy="121700"/>
    <xdr:sp macro="" textlink="">
      <xdr:nvSpPr>
        <xdr:cNvPr id="3447" name="Text Box 375"/>
        <xdr:cNvSpPr txBox="1">
          <a:spLocks noChangeArrowheads="1"/>
        </xdr:cNvSpPr>
      </xdr:nvSpPr>
      <xdr:spPr bwMode="auto">
        <a:xfrm>
          <a:off x="3581400" y="6838950"/>
          <a:ext cx="83293" cy="1217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en-US" sz="700" b="0" i="0" u="none" strike="noStrike" baseline="0">
              <a:solidFill>
                <a:srgbClr val="000000"/>
              </a:solidFill>
              <a:latin typeface="Arial"/>
              <a:cs typeface="Arial"/>
            </a:rPr>
            <a:t>C</a:t>
          </a:r>
        </a:p>
      </xdr:txBody>
    </xdr:sp>
    <xdr:clientData/>
  </xdr:oneCellAnchor>
  <xdr:oneCellAnchor>
    <xdr:from>
      <xdr:col>32</xdr:col>
      <xdr:colOff>85725</xdr:colOff>
      <xdr:row>38</xdr:row>
      <xdr:rowOff>38100</xdr:rowOff>
    </xdr:from>
    <xdr:ext cx="83293" cy="121700"/>
    <xdr:sp macro="" textlink="">
      <xdr:nvSpPr>
        <xdr:cNvPr id="3448" name="Text Box 376"/>
        <xdr:cNvSpPr txBox="1">
          <a:spLocks noChangeArrowheads="1"/>
        </xdr:cNvSpPr>
      </xdr:nvSpPr>
      <xdr:spPr bwMode="auto">
        <a:xfrm>
          <a:off x="3876675" y="6838950"/>
          <a:ext cx="83293" cy="1217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en-US" sz="700" b="0" i="0" u="none" strike="noStrike" baseline="0">
              <a:solidFill>
                <a:srgbClr val="000000"/>
              </a:solidFill>
              <a:latin typeface="Arial"/>
              <a:cs typeface="Arial"/>
            </a:rPr>
            <a:t>D</a:t>
          </a:r>
        </a:p>
      </xdr:txBody>
    </xdr:sp>
    <xdr:clientData/>
  </xdr:oneCellAnchor>
  <xdr:oneCellAnchor>
    <xdr:from>
      <xdr:col>30</xdr:col>
      <xdr:colOff>47625</xdr:colOff>
      <xdr:row>15</xdr:row>
      <xdr:rowOff>104775</xdr:rowOff>
    </xdr:from>
    <xdr:ext cx="2796984" cy="2186368"/>
    <xdr:sp macro="" textlink="">
      <xdr:nvSpPr>
        <xdr:cNvPr id="3449" name="Text Box 377"/>
        <xdr:cNvSpPr txBox="1">
          <a:spLocks noChangeArrowheads="1"/>
        </xdr:cNvSpPr>
      </xdr:nvSpPr>
      <xdr:spPr bwMode="auto">
        <a:xfrm>
          <a:off x="3590925" y="2762250"/>
          <a:ext cx="2796984" cy="2186368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en-US" sz="700" b="0" i="0" u="none" strike="noStrike" baseline="0">
              <a:solidFill>
                <a:srgbClr val="000000"/>
              </a:solidFill>
              <a:latin typeface="Arial"/>
              <a:cs typeface="Arial"/>
            </a:rPr>
            <a:t>NOTES:</a:t>
          </a:r>
        </a:p>
        <a:p>
          <a:pPr algn="l" rtl="0">
            <a:defRPr sz="1000"/>
          </a:pPr>
          <a:r>
            <a:rPr lang="en-US" sz="700" b="0" i="0" u="none" strike="noStrike" baseline="0">
              <a:solidFill>
                <a:srgbClr val="000000"/>
              </a:solidFill>
              <a:latin typeface="Arial"/>
              <a:cs typeface="Arial"/>
            </a:rPr>
            <a:t>1. CORRUGATED METAL PIPE MAY BE MADE OF ALUMINUM </a:t>
          </a:r>
        </a:p>
        <a:p>
          <a:pPr algn="l" rtl="0">
            <a:defRPr sz="1000"/>
          </a:pPr>
          <a:r>
            <a:rPr lang="en-US" sz="700" b="0" i="0" u="none" strike="noStrike" baseline="0">
              <a:solidFill>
                <a:srgbClr val="000000"/>
              </a:solidFill>
              <a:latin typeface="Arial"/>
              <a:cs typeface="Arial"/>
            </a:rPr>
            <a:t>    OR ZINC-COATED IRON OR STEEL AND MEET FEDERAL </a:t>
          </a:r>
        </a:p>
        <a:p>
          <a:pPr algn="l" rtl="0">
            <a:defRPr sz="1000"/>
          </a:pPr>
          <a:r>
            <a:rPr lang="en-US" sz="700" b="0" i="0" u="none" strike="noStrike" baseline="0">
              <a:solidFill>
                <a:srgbClr val="000000"/>
              </a:solidFill>
              <a:latin typeface="Arial"/>
              <a:cs typeface="Arial"/>
            </a:rPr>
            <a:t>    SPECIFICATIONS, WW-P-402C OR WW-P-405A AND  SHALL BE</a:t>
          </a:r>
        </a:p>
        <a:p>
          <a:pPr algn="l" rtl="0">
            <a:defRPr sz="1000"/>
          </a:pPr>
          <a:r>
            <a:rPr lang="en-US" sz="700" b="0" i="0" u="none" strike="noStrike" baseline="0">
              <a:solidFill>
                <a:srgbClr val="000000"/>
              </a:solidFill>
              <a:latin typeface="Arial"/>
              <a:cs typeface="Arial"/>
            </a:rPr>
            <a:t>    CLASS I OR II, SHAPE 1.  USE 16 GAGE (THICKNESS 0.06")</a:t>
          </a:r>
        </a:p>
        <a:p>
          <a:pPr algn="l" rtl="0">
            <a:defRPr sz="1000"/>
          </a:pPr>
          <a:r>
            <a:rPr lang="en-US" sz="700" b="0" i="0" u="none" strike="noStrike" baseline="0">
              <a:solidFill>
                <a:srgbClr val="000000"/>
              </a:solidFill>
              <a:latin typeface="Arial"/>
              <a:cs typeface="Arial"/>
            </a:rPr>
            <a:t>2. ALL ACCESSORIES AND FASTENERS SHALL BE OF </a:t>
          </a:r>
        </a:p>
        <a:p>
          <a:pPr algn="l" rtl="0">
            <a:defRPr sz="1000"/>
          </a:pPr>
          <a:r>
            <a:rPr lang="en-US" sz="700" b="0" i="0" u="none" strike="noStrike" baseline="0">
              <a:solidFill>
                <a:srgbClr val="000000"/>
              </a:solidFill>
              <a:latin typeface="Arial"/>
              <a:cs typeface="Arial"/>
            </a:rPr>
            <a:t>    COMPATIBLE METALS THROUGHOUT STRUCTURE.  </a:t>
          </a:r>
        </a:p>
        <a:p>
          <a:pPr algn="l" rtl="0">
            <a:defRPr sz="1000"/>
          </a:pPr>
          <a:r>
            <a:rPr lang="en-US" sz="700" b="0" i="0" u="none" strike="noStrike" baseline="0">
              <a:solidFill>
                <a:srgbClr val="000000"/>
              </a:solidFill>
              <a:latin typeface="Arial"/>
              <a:cs typeface="Arial"/>
            </a:rPr>
            <a:t>    GALVANIZED OR CADMIUM PLATED BOLTS, NUTS, AND </a:t>
          </a:r>
        </a:p>
        <a:p>
          <a:pPr algn="l" rtl="0">
            <a:defRPr sz="1000"/>
          </a:pPr>
          <a:r>
            <a:rPr lang="en-US" sz="700" b="0" i="0" u="none" strike="noStrike" baseline="0">
              <a:solidFill>
                <a:srgbClr val="000000"/>
              </a:solidFill>
              <a:latin typeface="Arial"/>
              <a:cs typeface="Arial"/>
            </a:rPr>
            <a:t>    WASHERS MAY BE USED.</a:t>
          </a:r>
        </a:p>
        <a:p>
          <a:pPr algn="l" rtl="0">
            <a:defRPr sz="1000"/>
          </a:pPr>
          <a:r>
            <a:rPr lang="en-US" sz="700" b="0" i="0" u="none" strike="noStrike" baseline="0">
              <a:solidFill>
                <a:srgbClr val="000000"/>
              </a:solidFill>
              <a:latin typeface="Arial"/>
              <a:cs typeface="Arial"/>
            </a:rPr>
            <a:t>3. ALL HOLES FOR BOLTS SHALL BE 1/16" LARGER THAN </a:t>
          </a:r>
        </a:p>
        <a:p>
          <a:pPr algn="l" rtl="0">
            <a:defRPr sz="1000"/>
          </a:pPr>
          <a:r>
            <a:rPr lang="en-US" sz="700" b="0" i="0" u="none" strike="noStrike" baseline="0">
              <a:solidFill>
                <a:srgbClr val="000000"/>
              </a:solidFill>
              <a:latin typeface="Arial"/>
              <a:cs typeface="Arial"/>
            </a:rPr>
            <a:t>    DIAMETER OF BOLTS.</a:t>
          </a:r>
        </a:p>
        <a:p>
          <a:pPr algn="l" rtl="0">
            <a:defRPr sz="1000"/>
          </a:pPr>
          <a:r>
            <a:rPr lang="en-US" sz="700" b="0" i="0" u="none" strike="noStrike" baseline="0">
              <a:solidFill>
                <a:srgbClr val="000000"/>
              </a:solidFill>
              <a:latin typeface="Arial"/>
              <a:cs typeface="Arial"/>
            </a:rPr>
            <a:t>4. DROP INLET SHALL BE SHOP FABRICATED.</a:t>
          </a:r>
        </a:p>
        <a:p>
          <a:pPr algn="l" rtl="0">
            <a:defRPr sz="1000"/>
          </a:pPr>
          <a:r>
            <a:rPr lang="en-US" sz="700" b="0" i="0" u="none" strike="noStrike" baseline="0">
              <a:solidFill>
                <a:srgbClr val="000000"/>
              </a:solidFill>
              <a:latin typeface="Arial"/>
              <a:cs typeface="Arial"/>
            </a:rPr>
            <a:t>5. ZINC-COATED METALS, AFTER WELDING OR CUTTING </a:t>
          </a:r>
        </a:p>
        <a:p>
          <a:pPr algn="l" rtl="0">
            <a:defRPr sz="1000"/>
          </a:pPr>
          <a:r>
            <a:rPr lang="en-US" sz="700" b="0" i="0" u="none" strike="noStrike" baseline="0">
              <a:solidFill>
                <a:srgbClr val="000000"/>
              </a:solidFill>
              <a:latin typeface="Arial"/>
              <a:cs typeface="Arial"/>
            </a:rPr>
            <a:t>     SHALL BE REPAIRED AS FOLLOWS:</a:t>
          </a:r>
        </a:p>
        <a:p>
          <a:pPr algn="l" rtl="0">
            <a:defRPr sz="1000"/>
          </a:pPr>
          <a:r>
            <a:rPr lang="en-US" sz="700" b="0" i="0" u="none" strike="noStrike" baseline="0">
              <a:solidFill>
                <a:srgbClr val="000000"/>
              </a:solidFill>
              <a:latin typeface="Arial"/>
              <a:cs typeface="Arial"/>
            </a:rPr>
            <a:t>     (A) THOROUGHLY CLEAN THE DAMAGED AREAS ON BOTH </a:t>
          </a:r>
        </a:p>
        <a:p>
          <a:pPr algn="l" rtl="0">
            <a:defRPr sz="1000"/>
          </a:pPr>
          <a:r>
            <a:rPr lang="en-US" sz="700" b="0" i="0" u="none" strike="noStrike" baseline="0">
              <a:solidFill>
                <a:srgbClr val="000000"/>
              </a:solidFill>
              <a:latin typeface="Arial"/>
              <a:cs typeface="Arial"/>
            </a:rPr>
            <a:t>             SIDES OF THE PIPE WITH WIRE BRUSH</a:t>
          </a:r>
        </a:p>
        <a:p>
          <a:pPr algn="l" rtl="0">
            <a:defRPr sz="1000"/>
          </a:pPr>
          <a:r>
            <a:rPr lang="en-US" sz="700" b="0" i="0" u="none" strike="noStrike" baseline="0">
              <a:solidFill>
                <a:srgbClr val="000000"/>
              </a:solidFill>
              <a:latin typeface="Arial"/>
              <a:cs typeface="Arial"/>
            </a:rPr>
            <a:t>     (B) PAINT THE CLEANED AREAS WITH TWO COATS OF ZINC</a:t>
          </a:r>
        </a:p>
        <a:p>
          <a:pPr algn="l" rtl="0">
            <a:defRPr sz="1000"/>
          </a:pPr>
          <a:r>
            <a:rPr lang="en-US" sz="700" b="0" i="0" u="none" strike="noStrike" baseline="0">
              <a:solidFill>
                <a:srgbClr val="000000"/>
              </a:solidFill>
              <a:latin typeface="Arial"/>
              <a:cs typeface="Arial"/>
            </a:rPr>
            <a:t>             OXIDE - ZINC DUST PAINT.</a:t>
          </a:r>
        </a:p>
        <a:p>
          <a:pPr algn="l" rtl="0">
            <a:defRPr sz="1000"/>
          </a:pPr>
          <a:r>
            <a:rPr lang="en-US" sz="700" b="0" i="0" u="none" strike="noStrike" baseline="0">
              <a:solidFill>
                <a:srgbClr val="000000"/>
              </a:solidFill>
              <a:latin typeface="Arial"/>
              <a:cs typeface="Arial"/>
            </a:rPr>
            <a:t>     (C) APPLY A HEAVY COAT OF ASPHALT OVER THE</a:t>
          </a:r>
        </a:p>
        <a:p>
          <a:pPr algn="l" rtl="0">
            <a:defRPr sz="1000"/>
          </a:pPr>
          <a:r>
            <a:rPr lang="en-US" sz="700" b="0" i="0" u="none" strike="noStrike" baseline="0">
              <a:solidFill>
                <a:srgbClr val="000000"/>
              </a:solidFill>
              <a:latin typeface="Arial"/>
              <a:cs typeface="Arial"/>
            </a:rPr>
            <a:t>            PAINTED AREAS.</a:t>
          </a:r>
        </a:p>
        <a:p>
          <a:pPr algn="l" rtl="0">
            <a:defRPr sz="1000"/>
          </a:pPr>
          <a:endParaRPr lang="en-US" sz="7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oneCellAnchor>
  <xdr:oneCellAnchor>
    <xdr:from>
      <xdr:col>13</xdr:col>
      <xdr:colOff>9525</xdr:colOff>
      <xdr:row>27</xdr:row>
      <xdr:rowOff>0</xdr:rowOff>
    </xdr:from>
    <xdr:ext cx="95475" cy="155748"/>
    <xdr:sp macro="" textlink="">
      <xdr:nvSpPr>
        <xdr:cNvPr id="3452" name="Text Box 380"/>
        <xdr:cNvSpPr txBox="1">
          <a:spLocks noChangeArrowheads="1"/>
        </xdr:cNvSpPr>
      </xdr:nvSpPr>
      <xdr:spPr bwMode="auto">
        <a:xfrm>
          <a:off x="1562100" y="4829175"/>
          <a:ext cx="95475" cy="155748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US" sz="900" b="0" i="0" u="none" strike="noStrike" baseline="0">
              <a:solidFill>
                <a:srgbClr val="000000"/>
              </a:solidFill>
              <a:latin typeface="Arial"/>
              <a:cs typeface="Arial"/>
            </a:rPr>
            <a:t>A</a:t>
          </a:r>
        </a:p>
      </xdr:txBody>
    </xdr:sp>
    <xdr:clientData/>
  </xdr:oneCellAnchor>
  <xdr:twoCellAnchor>
    <xdr:from>
      <xdr:col>30</xdr:col>
      <xdr:colOff>9525</xdr:colOff>
      <xdr:row>34</xdr:row>
      <xdr:rowOff>38100</xdr:rowOff>
    </xdr:from>
    <xdr:to>
      <xdr:col>31</xdr:col>
      <xdr:colOff>9525</xdr:colOff>
      <xdr:row>34</xdr:row>
      <xdr:rowOff>161925</xdr:rowOff>
    </xdr:to>
    <xdr:sp macro="" textlink="">
      <xdr:nvSpPr>
        <xdr:cNvPr id="3826" name="Oval 383"/>
        <xdr:cNvSpPr>
          <a:spLocks noChangeArrowheads="1"/>
        </xdr:cNvSpPr>
      </xdr:nvSpPr>
      <xdr:spPr bwMode="auto">
        <a:xfrm>
          <a:off x="3552825" y="6115050"/>
          <a:ext cx="123825" cy="123825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9525</xdr:colOff>
      <xdr:row>33</xdr:row>
      <xdr:rowOff>38100</xdr:rowOff>
    </xdr:from>
    <xdr:to>
      <xdr:col>31</xdr:col>
      <xdr:colOff>9525</xdr:colOff>
      <xdr:row>33</xdr:row>
      <xdr:rowOff>161925</xdr:rowOff>
    </xdr:to>
    <xdr:sp macro="" textlink="">
      <xdr:nvSpPr>
        <xdr:cNvPr id="3827" name="Oval 384"/>
        <xdr:cNvSpPr>
          <a:spLocks noChangeArrowheads="1"/>
        </xdr:cNvSpPr>
      </xdr:nvSpPr>
      <xdr:spPr bwMode="auto">
        <a:xfrm>
          <a:off x="3552825" y="5934075"/>
          <a:ext cx="123825" cy="123825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9525</xdr:colOff>
      <xdr:row>32</xdr:row>
      <xdr:rowOff>38100</xdr:rowOff>
    </xdr:from>
    <xdr:to>
      <xdr:col>31</xdr:col>
      <xdr:colOff>9525</xdr:colOff>
      <xdr:row>32</xdr:row>
      <xdr:rowOff>161925</xdr:rowOff>
    </xdr:to>
    <xdr:sp macro="" textlink="">
      <xdr:nvSpPr>
        <xdr:cNvPr id="3828" name="Oval 385"/>
        <xdr:cNvSpPr>
          <a:spLocks noChangeArrowheads="1"/>
        </xdr:cNvSpPr>
      </xdr:nvSpPr>
      <xdr:spPr bwMode="auto">
        <a:xfrm>
          <a:off x="3552825" y="5753100"/>
          <a:ext cx="123825" cy="123825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40</xdr:col>
      <xdr:colOff>9525</xdr:colOff>
      <xdr:row>33</xdr:row>
      <xdr:rowOff>38100</xdr:rowOff>
    </xdr:from>
    <xdr:to>
      <xdr:col>41</xdr:col>
      <xdr:colOff>9525</xdr:colOff>
      <xdr:row>33</xdr:row>
      <xdr:rowOff>161925</xdr:rowOff>
    </xdr:to>
    <xdr:sp macro="" textlink="">
      <xdr:nvSpPr>
        <xdr:cNvPr id="3829" name="Oval 386"/>
        <xdr:cNvSpPr>
          <a:spLocks noChangeArrowheads="1"/>
        </xdr:cNvSpPr>
      </xdr:nvSpPr>
      <xdr:spPr bwMode="auto">
        <a:xfrm>
          <a:off x="4895850" y="5934075"/>
          <a:ext cx="142875" cy="123825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40</xdr:col>
      <xdr:colOff>9525</xdr:colOff>
      <xdr:row>32</xdr:row>
      <xdr:rowOff>38100</xdr:rowOff>
    </xdr:from>
    <xdr:to>
      <xdr:col>41</xdr:col>
      <xdr:colOff>9525</xdr:colOff>
      <xdr:row>32</xdr:row>
      <xdr:rowOff>161925</xdr:rowOff>
    </xdr:to>
    <xdr:sp macro="" textlink="">
      <xdr:nvSpPr>
        <xdr:cNvPr id="3830" name="Oval 387"/>
        <xdr:cNvSpPr>
          <a:spLocks noChangeArrowheads="1"/>
        </xdr:cNvSpPr>
      </xdr:nvSpPr>
      <xdr:spPr bwMode="auto">
        <a:xfrm>
          <a:off x="4895850" y="5753100"/>
          <a:ext cx="142875" cy="123825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45</xdr:col>
      <xdr:colOff>9525</xdr:colOff>
      <xdr:row>32</xdr:row>
      <xdr:rowOff>38100</xdr:rowOff>
    </xdr:from>
    <xdr:to>
      <xdr:col>46</xdr:col>
      <xdr:colOff>9525</xdr:colOff>
      <xdr:row>32</xdr:row>
      <xdr:rowOff>161925</xdr:rowOff>
    </xdr:to>
    <xdr:sp macro="" textlink="">
      <xdr:nvSpPr>
        <xdr:cNvPr id="3831" name="Oval 388"/>
        <xdr:cNvSpPr>
          <a:spLocks noChangeArrowheads="1"/>
        </xdr:cNvSpPr>
      </xdr:nvSpPr>
      <xdr:spPr bwMode="auto">
        <a:xfrm>
          <a:off x="5610225" y="5753100"/>
          <a:ext cx="142875" cy="123825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35</xdr:col>
      <xdr:colOff>9525</xdr:colOff>
      <xdr:row>34</xdr:row>
      <xdr:rowOff>38100</xdr:rowOff>
    </xdr:from>
    <xdr:to>
      <xdr:col>36</xdr:col>
      <xdr:colOff>9525</xdr:colOff>
      <xdr:row>34</xdr:row>
      <xdr:rowOff>161925</xdr:rowOff>
    </xdr:to>
    <xdr:sp macro="" textlink="">
      <xdr:nvSpPr>
        <xdr:cNvPr id="3832" name="Oval 389"/>
        <xdr:cNvSpPr>
          <a:spLocks noChangeArrowheads="1"/>
        </xdr:cNvSpPr>
      </xdr:nvSpPr>
      <xdr:spPr bwMode="auto">
        <a:xfrm>
          <a:off x="4171950" y="6115050"/>
          <a:ext cx="133350" cy="123825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35</xdr:col>
      <xdr:colOff>9525</xdr:colOff>
      <xdr:row>32</xdr:row>
      <xdr:rowOff>38100</xdr:rowOff>
    </xdr:from>
    <xdr:to>
      <xdr:col>36</xdr:col>
      <xdr:colOff>9525</xdr:colOff>
      <xdr:row>32</xdr:row>
      <xdr:rowOff>161925</xdr:rowOff>
    </xdr:to>
    <xdr:sp macro="" textlink="">
      <xdr:nvSpPr>
        <xdr:cNvPr id="3833" name="Oval 390"/>
        <xdr:cNvSpPr>
          <a:spLocks noChangeArrowheads="1"/>
        </xdr:cNvSpPr>
      </xdr:nvSpPr>
      <xdr:spPr bwMode="auto">
        <a:xfrm>
          <a:off x="4171950" y="5753100"/>
          <a:ext cx="133350" cy="123825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35</xdr:col>
      <xdr:colOff>9525</xdr:colOff>
      <xdr:row>33</xdr:row>
      <xdr:rowOff>38100</xdr:rowOff>
    </xdr:from>
    <xdr:to>
      <xdr:col>36</xdr:col>
      <xdr:colOff>9525</xdr:colOff>
      <xdr:row>33</xdr:row>
      <xdr:rowOff>161925</xdr:rowOff>
    </xdr:to>
    <xdr:sp macro="" textlink="">
      <xdr:nvSpPr>
        <xdr:cNvPr id="3834" name="Oval 391"/>
        <xdr:cNvSpPr>
          <a:spLocks noChangeArrowheads="1"/>
        </xdr:cNvSpPr>
      </xdr:nvSpPr>
      <xdr:spPr bwMode="auto">
        <a:xfrm>
          <a:off x="4171950" y="5934075"/>
          <a:ext cx="133350" cy="123825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40</xdr:col>
      <xdr:colOff>9525</xdr:colOff>
      <xdr:row>34</xdr:row>
      <xdr:rowOff>38100</xdr:rowOff>
    </xdr:from>
    <xdr:to>
      <xdr:col>41</xdr:col>
      <xdr:colOff>9525</xdr:colOff>
      <xdr:row>34</xdr:row>
      <xdr:rowOff>161925</xdr:rowOff>
    </xdr:to>
    <xdr:sp macro="" textlink="">
      <xdr:nvSpPr>
        <xdr:cNvPr id="3835" name="Oval 392"/>
        <xdr:cNvSpPr>
          <a:spLocks noChangeArrowheads="1"/>
        </xdr:cNvSpPr>
      </xdr:nvSpPr>
      <xdr:spPr bwMode="auto">
        <a:xfrm>
          <a:off x="4895850" y="6115050"/>
          <a:ext cx="142875" cy="123825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oneCellAnchor>
    <xdr:from>
      <xdr:col>30</xdr:col>
      <xdr:colOff>19050</xdr:colOff>
      <xdr:row>32</xdr:row>
      <xdr:rowOff>38100</xdr:rowOff>
    </xdr:from>
    <xdr:ext cx="78355" cy="121700"/>
    <xdr:sp macro="" textlink="">
      <xdr:nvSpPr>
        <xdr:cNvPr id="3465" name="Text Box 393"/>
        <xdr:cNvSpPr txBox="1">
          <a:spLocks noChangeArrowheads="1"/>
        </xdr:cNvSpPr>
      </xdr:nvSpPr>
      <xdr:spPr bwMode="auto">
        <a:xfrm>
          <a:off x="3562350" y="5753100"/>
          <a:ext cx="78355" cy="1217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en-US" sz="700" b="0" i="0" u="none" strike="noStrike" baseline="0">
              <a:solidFill>
                <a:srgbClr val="000000"/>
              </a:solidFill>
              <a:latin typeface="Arial"/>
              <a:cs typeface="Arial"/>
            </a:rPr>
            <a:t>A</a:t>
          </a:r>
        </a:p>
      </xdr:txBody>
    </xdr:sp>
    <xdr:clientData/>
  </xdr:oneCellAnchor>
  <xdr:oneCellAnchor>
    <xdr:from>
      <xdr:col>30</xdr:col>
      <xdr:colOff>19050</xdr:colOff>
      <xdr:row>33</xdr:row>
      <xdr:rowOff>38100</xdr:rowOff>
    </xdr:from>
    <xdr:ext cx="78355" cy="121700"/>
    <xdr:sp macro="" textlink="">
      <xdr:nvSpPr>
        <xdr:cNvPr id="3466" name="Text Box 394"/>
        <xdr:cNvSpPr txBox="1">
          <a:spLocks noChangeArrowheads="1"/>
        </xdr:cNvSpPr>
      </xdr:nvSpPr>
      <xdr:spPr bwMode="auto">
        <a:xfrm>
          <a:off x="3562350" y="5934075"/>
          <a:ext cx="78355" cy="1217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en-US" sz="700" b="0" i="0" u="none" strike="noStrike" baseline="0">
              <a:solidFill>
                <a:srgbClr val="000000"/>
              </a:solidFill>
              <a:latin typeface="Arial"/>
              <a:cs typeface="Arial"/>
            </a:rPr>
            <a:t>B</a:t>
          </a:r>
        </a:p>
      </xdr:txBody>
    </xdr:sp>
    <xdr:clientData/>
  </xdr:oneCellAnchor>
  <xdr:oneCellAnchor>
    <xdr:from>
      <xdr:col>30</xdr:col>
      <xdr:colOff>19050</xdr:colOff>
      <xdr:row>34</xdr:row>
      <xdr:rowOff>38100</xdr:rowOff>
    </xdr:from>
    <xdr:ext cx="83293" cy="121700"/>
    <xdr:sp macro="" textlink="">
      <xdr:nvSpPr>
        <xdr:cNvPr id="3467" name="Text Box 395"/>
        <xdr:cNvSpPr txBox="1">
          <a:spLocks noChangeArrowheads="1"/>
        </xdr:cNvSpPr>
      </xdr:nvSpPr>
      <xdr:spPr bwMode="auto">
        <a:xfrm>
          <a:off x="3562350" y="6115050"/>
          <a:ext cx="83293" cy="1217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en-US" sz="700" b="0" i="0" u="none" strike="noStrike" baseline="0">
              <a:solidFill>
                <a:srgbClr val="000000"/>
              </a:solidFill>
              <a:latin typeface="Arial"/>
              <a:cs typeface="Arial"/>
            </a:rPr>
            <a:t>C</a:t>
          </a:r>
        </a:p>
      </xdr:txBody>
    </xdr:sp>
    <xdr:clientData/>
  </xdr:oneCellAnchor>
  <xdr:oneCellAnchor>
    <xdr:from>
      <xdr:col>35</xdr:col>
      <xdr:colOff>19050</xdr:colOff>
      <xdr:row>32</xdr:row>
      <xdr:rowOff>38100</xdr:rowOff>
    </xdr:from>
    <xdr:ext cx="83293" cy="121700"/>
    <xdr:sp macro="" textlink="">
      <xdr:nvSpPr>
        <xdr:cNvPr id="3468" name="Text Box 396"/>
        <xdr:cNvSpPr txBox="1">
          <a:spLocks noChangeArrowheads="1"/>
        </xdr:cNvSpPr>
      </xdr:nvSpPr>
      <xdr:spPr bwMode="auto">
        <a:xfrm>
          <a:off x="4181475" y="5753100"/>
          <a:ext cx="83293" cy="1217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en-US" sz="700" b="0" i="0" u="none" strike="noStrike" baseline="0">
              <a:solidFill>
                <a:srgbClr val="000000"/>
              </a:solidFill>
              <a:latin typeface="Arial"/>
              <a:cs typeface="Arial"/>
            </a:rPr>
            <a:t>D</a:t>
          </a:r>
        </a:p>
      </xdr:txBody>
    </xdr:sp>
    <xdr:clientData/>
  </xdr:oneCellAnchor>
  <xdr:oneCellAnchor>
    <xdr:from>
      <xdr:col>35</xdr:col>
      <xdr:colOff>38100</xdr:colOff>
      <xdr:row>33</xdr:row>
      <xdr:rowOff>38100</xdr:rowOff>
    </xdr:from>
    <xdr:ext cx="78355" cy="121700"/>
    <xdr:sp macro="" textlink="">
      <xdr:nvSpPr>
        <xdr:cNvPr id="3469" name="Text Box 397"/>
        <xdr:cNvSpPr txBox="1">
          <a:spLocks noChangeArrowheads="1"/>
        </xdr:cNvSpPr>
      </xdr:nvSpPr>
      <xdr:spPr bwMode="auto">
        <a:xfrm>
          <a:off x="4200525" y="5934075"/>
          <a:ext cx="78355" cy="1217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en-US" sz="700" b="0" i="0" u="none" strike="noStrike" baseline="0">
              <a:solidFill>
                <a:srgbClr val="000000"/>
              </a:solidFill>
              <a:latin typeface="Arial"/>
              <a:cs typeface="Arial"/>
            </a:rPr>
            <a:t>E</a:t>
          </a:r>
        </a:p>
      </xdr:txBody>
    </xdr:sp>
    <xdr:clientData/>
  </xdr:oneCellAnchor>
  <xdr:oneCellAnchor>
    <xdr:from>
      <xdr:col>35</xdr:col>
      <xdr:colOff>38100</xdr:colOff>
      <xdr:row>34</xdr:row>
      <xdr:rowOff>38100</xdr:rowOff>
    </xdr:from>
    <xdr:ext cx="73290" cy="121700"/>
    <xdr:sp macro="" textlink="">
      <xdr:nvSpPr>
        <xdr:cNvPr id="3470" name="Text Box 398"/>
        <xdr:cNvSpPr txBox="1">
          <a:spLocks noChangeArrowheads="1"/>
        </xdr:cNvSpPr>
      </xdr:nvSpPr>
      <xdr:spPr bwMode="auto">
        <a:xfrm>
          <a:off x="4200525" y="6115050"/>
          <a:ext cx="73290" cy="1217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en-US" sz="700" b="0" i="0" u="none" strike="noStrike" baseline="0">
              <a:solidFill>
                <a:srgbClr val="000000"/>
              </a:solidFill>
              <a:latin typeface="Arial"/>
              <a:cs typeface="Arial"/>
            </a:rPr>
            <a:t>F</a:t>
          </a:r>
        </a:p>
      </xdr:txBody>
    </xdr:sp>
    <xdr:clientData/>
  </xdr:oneCellAnchor>
  <xdr:oneCellAnchor>
    <xdr:from>
      <xdr:col>40</xdr:col>
      <xdr:colOff>19050</xdr:colOff>
      <xdr:row>32</xdr:row>
      <xdr:rowOff>38100</xdr:rowOff>
    </xdr:from>
    <xdr:ext cx="88294" cy="121700"/>
    <xdr:sp macro="" textlink="">
      <xdr:nvSpPr>
        <xdr:cNvPr id="3471" name="Text Box 399"/>
        <xdr:cNvSpPr txBox="1">
          <a:spLocks noChangeArrowheads="1"/>
        </xdr:cNvSpPr>
      </xdr:nvSpPr>
      <xdr:spPr bwMode="auto">
        <a:xfrm>
          <a:off x="4905375" y="5753100"/>
          <a:ext cx="88294" cy="1217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en-US" sz="700" b="0" i="0" u="none" strike="noStrike" baseline="0">
              <a:solidFill>
                <a:srgbClr val="000000"/>
              </a:solidFill>
              <a:latin typeface="Arial"/>
              <a:cs typeface="Arial"/>
            </a:rPr>
            <a:t>G</a:t>
          </a:r>
        </a:p>
      </xdr:txBody>
    </xdr:sp>
    <xdr:clientData/>
  </xdr:oneCellAnchor>
  <xdr:oneCellAnchor>
    <xdr:from>
      <xdr:col>40</xdr:col>
      <xdr:colOff>28575</xdr:colOff>
      <xdr:row>33</xdr:row>
      <xdr:rowOff>38100</xdr:rowOff>
    </xdr:from>
    <xdr:ext cx="83293" cy="121700"/>
    <xdr:sp macro="" textlink="">
      <xdr:nvSpPr>
        <xdr:cNvPr id="3472" name="Text Box 400"/>
        <xdr:cNvSpPr txBox="1">
          <a:spLocks noChangeArrowheads="1"/>
        </xdr:cNvSpPr>
      </xdr:nvSpPr>
      <xdr:spPr bwMode="auto">
        <a:xfrm>
          <a:off x="4914900" y="5934075"/>
          <a:ext cx="83293" cy="1217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en-US" sz="700" b="0" i="0" u="none" strike="noStrike" baseline="0">
              <a:solidFill>
                <a:srgbClr val="000000"/>
              </a:solidFill>
              <a:latin typeface="Arial"/>
              <a:cs typeface="Arial"/>
            </a:rPr>
            <a:t>H</a:t>
          </a:r>
        </a:p>
      </xdr:txBody>
    </xdr:sp>
    <xdr:clientData/>
  </xdr:oneCellAnchor>
  <xdr:oneCellAnchor>
    <xdr:from>
      <xdr:col>40</xdr:col>
      <xdr:colOff>38100</xdr:colOff>
      <xdr:row>34</xdr:row>
      <xdr:rowOff>38100</xdr:rowOff>
    </xdr:from>
    <xdr:ext cx="63351" cy="121700"/>
    <xdr:sp macro="" textlink="">
      <xdr:nvSpPr>
        <xdr:cNvPr id="3473" name="Text Box 401"/>
        <xdr:cNvSpPr txBox="1">
          <a:spLocks noChangeArrowheads="1"/>
        </xdr:cNvSpPr>
      </xdr:nvSpPr>
      <xdr:spPr bwMode="auto">
        <a:xfrm>
          <a:off x="4924425" y="6115050"/>
          <a:ext cx="63351" cy="1217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en-US" sz="700" b="0" i="0" u="none" strike="noStrike" baseline="0">
              <a:solidFill>
                <a:srgbClr val="000000"/>
              </a:solidFill>
              <a:latin typeface="Arial"/>
              <a:cs typeface="Arial"/>
            </a:rPr>
            <a:t>J</a:t>
          </a:r>
        </a:p>
      </xdr:txBody>
    </xdr:sp>
    <xdr:clientData/>
  </xdr:oneCellAnchor>
  <xdr:oneCellAnchor>
    <xdr:from>
      <xdr:col>45</xdr:col>
      <xdr:colOff>38100</xdr:colOff>
      <xdr:row>32</xdr:row>
      <xdr:rowOff>38100</xdr:rowOff>
    </xdr:from>
    <xdr:ext cx="78355" cy="121700"/>
    <xdr:sp macro="" textlink="">
      <xdr:nvSpPr>
        <xdr:cNvPr id="3474" name="Text Box 402"/>
        <xdr:cNvSpPr txBox="1">
          <a:spLocks noChangeArrowheads="1"/>
        </xdr:cNvSpPr>
      </xdr:nvSpPr>
      <xdr:spPr bwMode="auto">
        <a:xfrm>
          <a:off x="5638800" y="5753100"/>
          <a:ext cx="78355" cy="1217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en-US" sz="700" b="0" i="0" u="none" strike="noStrike" baseline="0">
              <a:solidFill>
                <a:srgbClr val="000000"/>
              </a:solidFill>
              <a:latin typeface="Arial"/>
              <a:cs typeface="Arial"/>
            </a:rPr>
            <a:t>K</a:t>
          </a:r>
        </a:p>
      </xdr:txBody>
    </xdr:sp>
    <xdr:clientData/>
  </xdr:oneCellAnchor>
  <xdr:oneCellAnchor>
    <xdr:from>
      <xdr:col>8</xdr:col>
      <xdr:colOff>76200</xdr:colOff>
      <xdr:row>42</xdr:row>
      <xdr:rowOff>38100</xdr:rowOff>
    </xdr:from>
    <xdr:ext cx="1518493" cy="288412"/>
    <xdr:sp macro="" textlink="">
      <xdr:nvSpPr>
        <xdr:cNvPr id="3475" name="Text Box 403"/>
        <xdr:cNvSpPr txBox="1">
          <a:spLocks noChangeArrowheads="1"/>
        </xdr:cNvSpPr>
      </xdr:nvSpPr>
      <xdr:spPr bwMode="auto">
        <a:xfrm>
          <a:off x="1047750" y="7562850"/>
          <a:ext cx="1518493" cy="28841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2860" rIns="18288" bIns="0" anchor="t" upright="1">
          <a:spAutoFit/>
        </a:bodyPr>
        <a:lstStyle/>
        <a:p>
          <a:pPr algn="ctr" rtl="0">
            <a:defRPr sz="1000"/>
          </a:pPr>
          <a:r>
            <a:rPr lang="en-US" sz="900" b="0" i="0" u="none" strike="noStrike" baseline="0">
              <a:solidFill>
                <a:srgbClr val="000000"/>
              </a:solidFill>
              <a:latin typeface="Arial"/>
              <a:cs typeface="Arial"/>
            </a:rPr>
            <a:t>SECTION ON CENTERLINE</a:t>
          </a:r>
        </a:p>
        <a:p>
          <a:pPr algn="ctr" rtl="0">
            <a:defRPr sz="1000"/>
          </a:pPr>
          <a:r>
            <a:rPr lang="en-US" sz="900" b="0" i="0" u="none" strike="noStrike" baseline="0">
              <a:solidFill>
                <a:srgbClr val="000000"/>
              </a:solidFill>
              <a:latin typeface="Arial"/>
              <a:cs typeface="Arial"/>
            </a:rPr>
            <a:t>SECTION A-A</a:t>
          </a:r>
        </a:p>
      </xdr:txBody>
    </xdr:sp>
    <xdr:clientData/>
  </xdr:oneCellAnchor>
  <xdr:oneCellAnchor>
    <xdr:from>
      <xdr:col>9</xdr:col>
      <xdr:colOff>76200</xdr:colOff>
      <xdr:row>44</xdr:row>
      <xdr:rowOff>123825</xdr:rowOff>
    </xdr:from>
    <xdr:ext cx="1186992" cy="170560"/>
    <xdr:sp macro="" textlink="">
      <xdr:nvSpPr>
        <xdr:cNvPr id="3476" name="Text Box 404"/>
        <xdr:cNvSpPr txBox="1">
          <a:spLocks noChangeArrowheads="1"/>
        </xdr:cNvSpPr>
      </xdr:nvSpPr>
      <xdr:spPr bwMode="auto">
        <a:xfrm>
          <a:off x="1171575" y="8010525"/>
          <a:ext cx="1186992" cy="1705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US" sz="1000" b="1" i="0" u="sng" strike="noStrike" baseline="0">
              <a:solidFill>
                <a:srgbClr val="000000"/>
              </a:solidFill>
              <a:latin typeface="Arial"/>
              <a:cs typeface="Arial"/>
            </a:rPr>
            <a:t>DETAILS OF INLET</a:t>
          </a:r>
        </a:p>
      </xdr:txBody>
    </xdr:sp>
    <xdr:clientData/>
  </xdr:oneCellAnchor>
  <xdr:twoCellAnchor>
    <xdr:from>
      <xdr:col>24</xdr:col>
      <xdr:colOff>9525</xdr:colOff>
      <xdr:row>36</xdr:row>
      <xdr:rowOff>161925</xdr:rowOff>
    </xdr:from>
    <xdr:to>
      <xdr:col>25</xdr:col>
      <xdr:colOff>38100</xdr:colOff>
      <xdr:row>38</xdr:row>
      <xdr:rowOff>85725</xdr:rowOff>
    </xdr:to>
    <xdr:sp macro="" textlink="">
      <xdr:nvSpPr>
        <xdr:cNvPr id="3848" name="Freeform 405"/>
        <xdr:cNvSpPr>
          <a:spLocks/>
        </xdr:cNvSpPr>
      </xdr:nvSpPr>
      <xdr:spPr bwMode="auto">
        <a:xfrm>
          <a:off x="2809875" y="6600825"/>
          <a:ext cx="152400" cy="285750"/>
        </a:xfrm>
        <a:custGeom>
          <a:avLst/>
          <a:gdLst>
            <a:gd name="T0" fmla="*/ 0 w 16"/>
            <a:gd name="T1" fmla="*/ 0 h 30"/>
            <a:gd name="T2" fmla="*/ 1 w 16"/>
            <a:gd name="T3" fmla="*/ 9 h 30"/>
            <a:gd name="T4" fmla="*/ 2 w 16"/>
            <a:gd name="T5" fmla="*/ 13 h 30"/>
            <a:gd name="T6" fmla="*/ 4 w 16"/>
            <a:gd name="T7" fmla="*/ 17 h 30"/>
            <a:gd name="T8" fmla="*/ 7 w 16"/>
            <a:gd name="T9" fmla="*/ 21 h 30"/>
            <a:gd name="T10" fmla="*/ 11 w 16"/>
            <a:gd name="T11" fmla="*/ 25 h 30"/>
            <a:gd name="T12" fmla="*/ 16 w 16"/>
            <a:gd name="T13" fmla="*/ 30 h 30"/>
            <a:gd name="T14" fmla="*/ 0 60000 65536"/>
            <a:gd name="T15" fmla="*/ 0 60000 65536"/>
            <a:gd name="T16" fmla="*/ 0 60000 65536"/>
            <a:gd name="T17" fmla="*/ 0 60000 65536"/>
            <a:gd name="T18" fmla="*/ 0 60000 65536"/>
            <a:gd name="T19" fmla="*/ 0 60000 65536"/>
            <a:gd name="T20" fmla="*/ 0 60000 65536"/>
            <a:gd name="T21" fmla="*/ 0 w 16"/>
            <a:gd name="T22" fmla="*/ 0 h 30"/>
            <a:gd name="T23" fmla="*/ 16 w 16"/>
            <a:gd name="T24" fmla="*/ 30 h 30"/>
          </a:gdLst>
          <a:ahLst/>
          <a:cxnLst>
            <a:cxn ang="T14">
              <a:pos x="T0" y="T1"/>
            </a:cxn>
            <a:cxn ang="T15">
              <a:pos x="T2" y="T3"/>
            </a:cxn>
            <a:cxn ang="T16">
              <a:pos x="T4" y="T5"/>
            </a:cxn>
            <a:cxn ang="T17">
              <a:pos x="T6" y="T7"/>
            </a:cxn>
            <a:cxn ang="T18">
              <a:pos x="T8" y="T9"/>
            </a:cxn>
            <a:cxn ang="T19">
              <a:pos x="T10" y="T11"/>
            </a:cxn>
            <a:cxn ang="T20">
              <a:pos x="T12" y="T13"/>
            </a:cxn>
          </a:cxnLst>
          <a:rect l="T21" t="T22" r="T23" b="T24"/>
          <a:pathLst>
            <a:path w="16" h="30">
              <a:moveTo>
                <a:pt x="0" y="0"/>
              </a:moveTo>
              <a:lnTo>
                <a:pt x="1" y="9"/>
              </a:lnTo>
              <a:lnTo>
                <a:pt x="2" y="13"/>
              </a:lnTo>
              <a:lnTo>
                <a:pt x="4" y="17"/>
              </a:lnTo>
              <a:lnTo>
                <a:pt x="7" y="21"/>
              </a:lnTo>
              <a:lnTo>
                <a:pt x="11" y="25"/>
              </a:lnTo>
              <a:lnTo>
                <a:pt x="16" y="30"/>
              </a:lnTo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stealth" w="sm" len="med"/>
          <a:tailEnd type="none" w="med" len="med"/>
        </a:ln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19050</xdr:colOff>
      <xdr:row>50</xdr:row>
      <xdr:rowOff>38100</xdr:rowOff>
    </xdr:from>
    <xdr:to>
      <xdr:col>15</xdr:col>
      <xdr:colOff>76200</xdr:colOff>
      <xdr:row>59</xdr:row>
      <xdr:rowOff>76200</xdr:rowOff>
    </xdr:to>
    <xdr:pic>
      <xdr:nvPicPr>
        <xdr:cNvPr id="1332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l="8183" t="14287" r="51825" b="42862"/>
        <a:stretch>
          <a:fillRect/>
        </a:stretch>
      </xdr:blipFill>
      <xdr:spPr bwMode="auto">
        <a:xfrm>
          <a:off x="123825" y="8705850"/>
          <a:ext cx="1676400" cy="85725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>
    <xdr:from>
      <xdr:col>55</xdr:col>
      <xdr:colOff>19050</xdr:colOff>
      <xdr:row>50</xdr:row>
      <xdr:rowOff>38100</xdr:rowOff>
    </xdr:from>
    <xdr:to>
      <xdr:col>69</xdr:col>
      <xdr:colOff>76200</xdr:colOff>
      <xdr:row>59</xdr:row>
      <xdr:rowOff>76200</xdr:rowOff>
    </xdr:to>
    <xdr:pic>
      <xdr:nvPicPr>
        <xdr:cNvPr id="1332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l="8183" t="14287" r="51825" b="42862"/>
        <a:stretch>
          <a:fillRect/>
        </a:stretch>
      </xdr:blipFill>
      <xdr:spPr bwMode="auto">
        <a:xfrm>
          <a:off x="6543675" y="8705850"/>
          <a:ext cx="1676400" cy="85725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oneCellAnchor>
    <xdr:from>
      <xdr:col>1</xdr:col>
      <xdr:colOff>85725</xdr:colOff>
      <xdr:row>1</xdr:row>
      <xdr:rowOff>9525</xdr:rowOff>
    </xdr:from>
    <xdr:ext cx="6362383" cy="7544373"/>
    <xdr:sp macro="" textlink="">
      <xdr:nvSpPr>
        <xdr:cNvPr id="13316" name="Text Box 4"/>
        <xdr:cNvSpPr txBox="1">
          <a:spLocks noChangeArrowheads="1"/>
        </xdr:cNvSpPr>
      </xdr:nvSpPr>
      <xdr:spPr bwMode="auto">
        <a:xfrm>
          <a:off x="190500" y="180975"/>
          <a:ext cx="6362383" cy="7544373"/>
        </a:xfrm>
        <a:prstGeom prst="rect">
          <a:avLst/>
        </a:prstGeom>
        <a:noFill/>
        <a:ln w="9525" algn="ctr">
          <a:noFill/>
          <a:miter lim="800000"/>
          <a:headEnd/>
          <a:tailEnd type="none" w="sm" len="med"/>
        </a:ln>
        <a:effectLst/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1. SCOPE</a:t>
          </a: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     The work shall consist of furnishing and placing circular, arched or elliptical corrugated metal pipe and the </a:t>
          </a: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     necessary fittings as shown on the plans.  This specification does not cover pipe designed for pressure flow.</a:t>
          </a: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2. MATERIALS</a:t>
          </a: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      Zinc-coated, aluminum coated or aluminum-zinc alloy coated iron or steel corrugated pipe and fittings shall</a:t>
          </a: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      conform to the requirements of ASTM Specification A-760 for the specified type of pipe, and to the following </a:t>
          </a: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      additional requirements:</a:t>
          </a: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      a. The sheet thickness, and the corrugation type and nominal size shall be as shown on the drawings.</a:t>
          </a: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      b. Unless otherwise specified, circumferential shop riveted seams shall have a maximum rivet spacing of </a:t>
          </a: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          6 inches, except that 6 rivets will be sufficient for 12-inch diameter pipe.</a:t>
          </a: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      c. When close riveted pipe is specified:  (1) the pipe shall be fabricated so that the rivet spacing in the </a:t>
          </a: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          circumferential seams shall not exceed 3 inches, except that 12 rivets will be sufficient to secure the </a:t>
          </a: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          circumferential seams in 12-inch pipe, and (2) in those portions of the longitudinal seams that will be </a:t>
          </a: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          covered by the coupling bands, the rivets shall have finished flat heads or the rivets and holes shall be </a:t>
          </a: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          omitted and the seams shall be connected by welding to provide a minimum of obstruction to the seating</a:t>
          </a: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          off the coupling bands.</a:t>
          </a: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      d. Double riveting or double spot welding of pipe less than 42 inches in diameter may be required.  If </a:t>
          </a: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          specified, the riveting or welding shall be done in the manner specified for pipe 42 inches or greater </a:t>
          </a: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          in diameter.</a:t>
          </a: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      e. When specified, caulked seam corrugated metal pipe shall conform to the following additional </a:t>
          </a: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          requirements:</a:t>
          </a: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               (1) Caulked seam corrugated metal pipe shall have all circumferential and horizontal seams caulked</a:t>
          </a: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                    with an asphalt compound before riveting.  This shall be accomplished by applying a uniform </a:t>
          </a: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                    bead (1/4) inch minimum diameter) of the asphalt compound to the inner lap surface before </a:t>
          </a: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                    riveting, such that when the rivets are in place, all voids are filled and a coating of asphalt is </a:t>
          </a: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                    between the lap surfaces.</a:t>
          </a: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               (2) The asphalt compound shall consist of an asphalt base combined with inert filler material to form</a:t>
          </a: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                    a heavy-bodied compound that will not sag or run out of the seam.  The compound shall contain </a:t>
          </a: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                    63 to 68 percent solids by weight.  It shall be similar in type and equal in quality to Trumbull 5W </a:t>
          </a: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                    Asphalt Mastic, knife grade, as manufactured by the Trumbull Asphalt Company of Delaware.</a:t>
          </a: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3. HANDLING THE PIPE</a:t>
          </a: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      The contractor shall furnish such equipment as is necessary to place the pipe without damaging the pipe</a:t>
          </a: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      or coating.  The pipe shall be transported and handled in such a manner as to prevent bruising, scaling or</a:t>
          </a: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      breaking of the spelter coating or bituminous coating.</a:t>
          </a: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4. REPAIR OF DAMAGED COATINGS</a:t>
          </a: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      Breaks or scuffs on bituminous coatings that are less than 36 square inches in area shall be repaired by </a:t>
          </a: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      the application of two coats of hot asphaltic paint or a coating of cold-applied bituminous mastic.  The </a:t>
          </a: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      repair coating shall be at least 0.05 inches after hardening and shall bond securely and permanently to the</a:t>
          </a: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      pipe.  The material shall meet the physical requirements for the original coating.  Whenever individual </a:t>
          </a: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      breaks exceed 36 square inches in area or when the total area of breaks exceeds 0.5 percent of the total </a:t>
          </a: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      surface area of the pipe, the pipe will be rejected.</a:t>
          </a:r>
        </a:p>
      </xdr:txBody>
    </xdr:sp>
    <xdr:clientData/>
  </xdr:oneCellAnchor>
  <xdr:twoCellAnchor editAs="oneCell">
    <xdr:from>
      <xdr:col>2</xdr:col>
      <xdr:colOff>47625</xdr:colOff>
      <xdr:row>38</xdr:row>
      <xdr:rowOff>0</xdr:rowOff>
    </xdr:from>
    <xdr:to>
      <xdr:col>3</xdr:col>
      <xdr:colOff>0</xdr:colOff>
      <xdr:row>39</xdr:row>
      <xdr:rowOff>19050</xdr:rowOff>
    </xdr:to>
    <xdr:sp macro="" textlink="">
      <xdr:nvSpPr>
        <xdr:cNvPr id="13323" name="Text Box 5"/>
        <xdr:cNvSpPr txBox="1">
          <a:spLocks noChangeArrowheads="1"/>
        </xdr:cNvSpPr>
      </xdr:nvSpPr>
      <xdr:spPr bwMode="auto">
        <a:xfrm>
          <a:off x="276225" y="6657975"/>
          <a:ext cx="76200" cy="200025"/>
        </a:xfrm>
        <a:prstGeom prst="rect">
          <a:avLst/>
        </a:prstGeom>
        <a:noFill/>
        <a:ln w="9525" algn="ctr">
          <a:noFill/>
          <a:miter lim="800000"/>
          <a:headEnd/>
          <a:tailEnd type="none" w="sm" len="med"/>
        </a:ln>
      </xdr:spPr>
    </xdr:sp>
    <xdr:clientData/>
  </xdr:twoCellAnchor>
  <xdr:oneCellAnchor>
    <xdr:from>
      <xdr:col>55</xdr:col>
      <xdr:colOff>114300</xdr:colOff>
      <xdr:row>1</xdr:row>
      <xdr:rowOff>38100</xdr:rowOff>
    </xdr:from>
    <xdr:ext cx="6283900" cy="4742324"/>
    <xdr:sp macro="" textlink="">
      <xdr:nvSpPr>
        <xdr:cNvPr id="13319" name="Text Box 7"/>
        <xdr:cNvSpPr txBox="1">
          <a:spLocks noChangeArrowheads="1"/>
        </xdr:cNvSpPr>
      </xdr:nvSpPr>
      <xdr:spPr bwMode="auto">
        <a:xfrm>
          <a:off x="6638925" y="209550"/>
          <a:ext cx="6283900" cy="4742324"/>
        </a:xfrm>
        <a:prstGeom prst="rect">
          <a:avLst/>
        </a:prstGeom>
        <a:noFill/>
        <a:ln w="9525" algn="ctr">
          <a:noFill/>
          <a:miter lim="800000"/>
          <a:headEnd/>
          <a:tailEnd type="none" w="sm" len="med"/>
        </a:ln>
        <a:effectLst/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5. LAYING AND BEDDING THE PIPE</a:t>
          </a: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     Unless otherwise specified, the pipe shall be installed in accordance with the manufacturer's </a:t>
          </a: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     recommendations.  The pipe shall be laid with the outside laps of circumferential joints pointing upstream</a:t>
          </a: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     and with longitudinal laps at the sides at about the vertical midheight of the pipe.  Field welding of </a:t>
          </a: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     corrugated galvanized iron or steel pipe will not be permitted.  Unless otherwise specified, the pipe sections</a:t>
          </a: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     shall be joined with water-tight coupling bands, with a minimum width of 12 inches, or flanges for a </a:t>
          </a: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     flange-type connection.  The area between pipe and coupling band shall be coated with either an asphalt </a:t>
          </a: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     cement to insure a water-tight joint or a rubber neoprene gasket 3/8 inch thick and as wide as the </a:t>
          </a: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     connecting band + 1 inch.</a:t>
          </a: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     The trench or foundation width in or on which the pipe will be laid should be at least:  (1) 2 times the pipe</a:t>
          </a: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     diameter, or (2) the pipe diameter plus 2 feet, whichever is the greater.</a:t>
          </a: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     Pipe should be laid on a moist, compacted foundation (not wet nor hard and dry).  Just before the pipe is</a:t>
          </a: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     laid, spread a 2 to 3 inch layer of moist loose soil for the pipe to be placed on.  The pipe should make </a:t>
          </a: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     uniform contact with the soil along its entire length.</a:t>
          </a: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     Perforated pipe shall be laid with perforations down and oriented symmetrically about a vertical </a:t>
          </a: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     centerline.  Perforations shall be clear of any obstructions at the time the pipe is laid.</a:t>
          </a: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6. BACKFILLING</a:t>
          </a: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     The pipe shall be loaded sufficiently during backfilling around the side to prevent its being lifted from the </a:t>
          </a: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     bedding.</a:t>
          </a: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     Backfill around the pipe shall be placed in layers not more than 6 inches thick before compaction.  Each </a:t>
          </a: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     layer of backfill shall be compacted with power tampers or hand tamping to a greater density than the </a:t>
          </a: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     surrounding undisturbed soil.  Backfill over and around the pipe shall be brought up uniformly on all sides</a:t>
          </a: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     and shall extend a minimum of 2 feet over the pipe before earth embankment with earth moving equipment </a:t>
          </a: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     over the pipe is started.  Special care shall be taken not to disturb the grade and alignment during backfill</a:t>
          </a: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     operations.</a:t>
          </a: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7. ADDITIONAL ITEMS WHICH APPLY TO THIS JOB</a:t>
          </a:r>
        </a:p>
      </xdr:txBody>
    </xdr:sp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GrassdWtrwy1121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Design"/>
      <sheetName val="Survey"/>
      <sheetName val="Cost Est."/>
      <sheetName val="IN-ENG-57L"/>
      <sheetName val="IN-ENG-42"/>
      <sheetName val="Profile"/>
      <sheetName val="IN-ENG-14P"/>
      <sheetName val="IN-ENG-14T"/>
      <sheetName val="Specs"/>
      <sheetName val="Defaults"/>
      <sheetName val="Plan View"/>
      <sheetName val="IN-ENG-36-1"/>
      <sheetName val="IN-ENG-36-2"/>
      <sheetName val="IN-ENG-36-3"/>
      <sheetName val="Riprap Defaults"/>
    </sheetNames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stealth" w="sm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stealth" w="sm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>
    <pageSetUpPr autoPageBreaks="0"/>
  </sheetPr>
  <dimension ref="A1:BG64"/>
  <sheetViews>
    <sheetView showGridLines="0" topLeftCell="A4" workbookViewId="0">
      <selection activeCell="BE17" sqref="BE17"/>
    </sheetView>
  </sheetViews>
  <sheetFormatPr defaultRowHeight="12.75"/>
  <cols>
    <col min="1" max="1" width="1.5703125" style="11" customWidth="1"/>
    <col min="2" max="12" width="1.85546875" style="11" customWidth="1"/>
    <col min="13" max="16" width="1.28515625" style="11" customWidth="1"/>
    <col min="17" max="35" width="1.85546875" style="11" customWidth="1"/>
    <col min="36" max="36" width="2" style="11" customWidth="1"/>
    <col min="37" max="37" width="1.42578125" style="11" customWidth="1"/>
    <col min="38" max="38" width="1.7109375" style="11" customWidth="1"/>
    <col min="39" max="40" width="2" style="11" customWidth="1"/>
    <col min="41" max="46" width="2.140625" style="11" customWidth="1"/>
    <col min="47" max="47" width="2.28515625" style="47" customWidth="1"/>
    <col min="48" max="50" width="1" style="11" customWidth="1"/>
    <col min="51" max="51" width="2.28515625" style="11" customWidth="1"/>
    <col min="52" max="52" width="0.42578125" style="11" customWidth="1"/>
    <col min="53" max="53" width="3.140625" style="11" customWidth="1"/>
    <col min="54" max="54" width="0.7109375" style="11" customWidth="1"/>
    <col min="55" max="55" width="9.28515625" style="11" customWidth="1"/>
    <col min="56" max="58" width="9.140625" style="11"/>
    <col min="59" max="59" width="0" style="11" hidden="1" customWidth="1"/>
    <col min="60" max="16384" width="9.140625" style="11"/>
  </cols>
  <sheetData>
    <row r="1" spans="2:59" s="7" customFormat="1" ht="2.25" customHeight="1">
      <c r="B1" s="5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9"/>
      <c r="S1" s="49"/>
      <c r="T1" s="49"/>
      <c r="U1" s="49"/>
      <c r="V1" s="49"/>
      <c r="W1" s="49"/>
      <c r="X1" s="49"/>
      <c r="Y1" s="49"/>
      <c r="Z1" s="49"/>
      <c r="AA1" s="49"/>
      <c r="AB1" s="49"/>
      <c r="AC1" s="49"/>
      <c r="AD1" s="49"/>
      <c r="AE1" s="49"/>
      <c r="AF1" s="49"/>
      <c r="AG1" s="49"/>
      <c r="AH1" s="49"/>
      <c r="AI1" s="49"/>
      <c r="AJ1" s="49"/>
      <c r="AK1" s="49"/>
      <c r="AL1" s="49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6"/>
    </row>
    <row r="2" spans="2:59" s="7" customFormat="1" ht="12" customHeight="1">
      <c r="B2" s="91"/>
      <c r="C2" s="90"/>
      <c r="D2" s="90"/>
      <c r="E2" s="90"/>
      <c r="F2" s="90"/>
      <c r="G2" s="90"/>
      <c r="H2" s="90"/>
      <c r="I2" s="90"/>
      <c r="J2" s="90"/>
      <c r="K2" s="90"/>
      <c r="L2" s="90"/>
      <c r="M2" s="90"/>
      <c r="N2" s="90"/>
      <c r="O2" s="90"/>
      <c r="P2" s="90"/>
      <c r="Q2" s="90"/>
      <c r="R2" s="164">
        <f>(AN5-F6)*R6</f>
        <v>0</v>
      </c>
      <c r="S2" s="164"/>
      <c r="T2" s="164"/>
      <c r="U2" s="90" t="s">
        <v>8</v>
      </c>
      <c r="V2" s="90"/>
      <c r="W2" s="90"/>
      <c r="X2" s="90"/>
      <c r="Y2" s="164"/>
      <c r="Z2" s="164"/>
      <c r="AA2" s="164"/>
      <c r="AB2" s="90" t="s">
        <v>8</v>
      </c>
      <c r="AC2" s="90"/>
      <c r="AD2" s="90"/>
      <c r="AE2" s="90"/>
      <c r="AF2" s="90"/>
      <c r="AG2" s="90"/>
      <c r="AH2" s="90"/>
      <c r="AI2" s="164">
        <f>(AN5-AU16)*AH6</f>
        <v>0</v>
      </c>
      <c r="AJ2" s="164"/>
      <c r="AK2" s="164"/>
      <c r="AL2" s="158" t="s">
        <v>8</v>
      </c>
      <c r="AM2" s="158"/>
      <c r="AN2" s="90"/>
      <c r="AO2" s="90"/>
      <c r="AP2" s="90"/>
      <c r="AQ2" s="90"/>
      <c r="AR2" s="90"/>
      <c r="AS2" s="90"/>
      <c r="AT2" s="90"/>
      <c r="AU2" s="90"/>
      <c r="AV2" s="90"/>
      <c r="AW2" s="90"/>
      <c r="AX2" s="90"/>
      <c r="AY2" s="90"/>
      <c r="AZ2" s="90"/>
      <c r="BA2" s="90"/>
      <c r="BB2" s="48"/>
    </row>
    <row r="3" spans="2:59">
      <c r="B3" s="8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  <c r="AF3" s="9"/>
      <c r="AG3" s="9"/>
      <c r="AH3" s="9"/>
      <c r="AI3" s="9"/>
      <c r="AJ3" s="9"/>
      <c r="AK3" s="9"/>
      <c r="AL3" s="9"/>
      <c r="AM3" s="9"/>
      <c r="AN3" s="9"/>
      <c r="AO3" s="9"/>
      <c r="AP3" s="9"/>
      <c r="AQ3" s="9"/>
      <c r="AR3" s="9"/>
      <c r="AS3" s="9"/>
      <c r="AT3" s="9"/>
      <c r="AU3" s="9"/>
      <c r="AV3" s="9"/>
      <c r="AW3" s="9"/>
      <c r="AX3" s="9"/>
      <c r="AY3" s="9"/>
      <c r="AZ3" s="9"/>
      <c r="BA3" s="9"/>
      <c r="BB3" s="10"/>
    </row>
    <row r="4" spans="2:59">
      <c r="B4" s="8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  <c r="AE4" s="9"/>
      <c r="AF4" s="9"/>
      <c r="AG4" s="9"/>
      <c r="AH4" s="9"/>
      <c r="AI4" s="9"/>
      <c r="AJ4" s="9"/>
      <c r="AK4" s="9"/>
      <c r="AL4" s="9"/>
      <c r="AM4" s="9"/>
      <c r="AN4" s="9"/>
      <c r="AO4" s="9"/>
      <c r="AP4" s="9"/>
      <c r="AQ4" s="9"/>
      <c r="AR4" s="9"/>
      <c r="AS4" s="9"/>
      <c r="AT4" s="9"/>
      <c r="AU4" s="9"/>
      <c r="AV4" s="9"/>
      <c r="AW4" s="9"/>
      <c r="AX4" s="9"/>
      <c r="AY4" s="9"/>
      <c r="AZ4" s="9"/>
      <c r="BA4" s="9"/>
      <c r="BB4" s="10"/>
    </row>
    <row r="5" spans="2:59">
      <c r="B5" s="8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  <c r="AG5" s="9"/>
      <c r="AH5" s="9"/>
      <c r="AI5" s="9"/>
      <c r="AJ5" s="9"/>
      <c r="AK5" s="9"/>
      <c r="AL5" s="9"/>
      <c r="AM5" s="9"/>
      <c r="AN5" s="163"/>
      <c r="AO5" s="163"/>
      <c r="AP5" s="163"/>
      <c r="AQ5" s="9"/>
      <c r="AR5" s="9"/>
      <c r="AS5" s="9"/>
      <c r="AT5" s="9"/>
      <c r="AU5" s="9"/>
      <c r="AV5" s="9"/>
      <c r="AW5" s="9"/>
      <c r="AX5" s="9"/>
      <c r="AY5" s="9"/>
      <c r="AZ5" s="9"/>
      <c r="BA5" s="9"/>
      <c r="BB5" s="10"/>
    </row>
    <row r="6" spans="2:59">
      <c r="B6" s="8"/>
      <c r="C6" s="9"/>
      <c r="D6" s="9"/>
      <c r="E6" s="9"/>
      <c r="F6" s="139"/>
      <c r="G6" s="139"/>
      <c r="H6" s="139"/>
      <c r="I6" s="139"/>
      <c r="J6" s="9"/>
      <c r="K6" s="9"/>
      <c r="L6" s="9"/>
      <c r="M6" s="9"/>
      <c r="N6" s="9"/>
      <c r="O6" s="9"/>
      <c r="P6" s="9"/>
      <c r="Q6" s="9"/>
      <c r="R6" s="132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9"/>
      <c r="AG6" s="9"/>
      <c r="AH6" s="132"/>
      <c r="AI6" s="9"/>
      <c r="AJ6" s="9"/>
      <c r="AK6" s="9"/>
      <c r="AL6" s="9"/>
      <c r="AM6" s="9"/>
      <c r="AN6" s="9"/>
      <c r="AO6" s="9"/>
      <c r="AP6" s="9"/>
      <c r="AQ6" s="9"/>
      <c r="AR6" s="9"/>
      <c r="AS6" s="9"/>
      <c r="AT6" s="9"/>
      <c r="AU6" s="9"/>
      <c r="AV6" s="9"/>
      <c r="AW6" s="9"/>
      <c r="AX6" s="9"/>
      <c r="AY6" s="9"/>
      <c r="AZ6" s="9"/>
      <c r="BA6" s="9"/>
      <c r="BB6" s="10"/>
    </row>
    <row r="7" spans="2:59" ht="14.25" customHeight="1">
      <c r="B7" s="12"/>
      <c r="C7" s="13"/>
      <c r="D7" s="13"/>
      <c r="E7" s="13"/>
      <c r="F7" s="13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13"/>
      <c r="AM7" s="13"/>
      <c r="AN7" s="13"/>
      <c r="AO7" s="13"/>
      <c r="AP7" s="13"/>
      <c r="AQ7" s="13"/>
      <c r="AR7" s="13"/>
      <c r="AS7" s="13"/>
      <c r="AT7" s="13"/>
      <c r="AU7" s="13"/>
      <c r="AV7" s="13"/>
      <c r="AW7" s="13"/>
      <c r="AX7" s="13"/>
      <c r="AY7" s="13"/>
      <c r="AZ7" s="13"/>
      <c r="BA7" s="14"/>
      <c r="BB7" s="15"/>
    </row>
    <row r="8" spans="2:59" ht="14.25" customHeight="1">
      <c r="B8" s="16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2"/>
      <c r="AB8" s="32"/>
      <c r="AC8" s="163"/>
      <c r="AD8" s="163"/>
      <c r="AE8" s="16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17"/>
      <c r="AV8" s="3"/>
      <c r="AW8" s="3"/>
      <c r="AX8" s="3"/>
      <c r="AY8" s="3"/>
      <c r="AZ8" s="3"/>
      <c r="BA8" s="3"/>
      <c r="BB8" s="18"/>
    </row>
    <row r="9" spans="2:59" ht="14.25" customHeight="1">
      <c r="B9" s="16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9"/>
      <c r="AE9" s="9"/>
      <c r="AF9" s="9"/>
      <c r="AG9" s="9"/>
      <c r="AH9" s="9"/>
      <c r="AI9" s="9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18"/>
      <c r="BD9" s="278"/>
      <c r="BG9" s="278">
        <f>F6-E15</f>
        <v>0</v>
      </c>
    </row>
    <row r="10" spans="2:59" ht="14.25" customHeight="1">
      <c r="B10" s="16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9"/>
      <c r="P10" s="9"/>
      <c r="Q10" s="9"/>
      <c r="R10" s="9"/>
      <c r="S10" s="9"/>
      <c r="T10" s="9"/>
      <c r="U10" s="9"/>
      <c r="V10" s="163"/>
      <c r="W10" s="163"/>
      <c r="X10" s="163"/>
      <c r="Y10" s="72" t="s">
        <v>8</v>
      </c>
      <c r="Z10" s="9"/>
      <c r="AA10" s="32"/>
      <c r="AB10" s="32"/>
      <c r="AC10" s="67"/>
      <c r="AD10" s="67"/>
      <c r="AE10" s="32"/>
      <c r="AF10" s="32"/>
      <c r="AG10" s="67"/>
      <c r="AH10" s="67"/>
      <c r="AI10" s="9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18"/>
    </row>
    <row r="11" spans="2:59" ht="14.25" customHeight="1">
      <c r="B11" s="16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66"/>
      <c r="AD11" s="197"/>
      <c r="AE11" s="197"/>
      <c r="AF11" s="9"/>
      <c r="AG11" s="9"/>
      <c r="AH11" s="9"/>
      <c r="AI11" s="9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161"/>
      <c r="AV11" s="161"/>
      <c r="AW11" s="161"/>
      <c r="AX11" s="161"/>
      <c r="AY11" s="161"/>
      <c r="AZ11" s="3"/>
      <c r="BA11" s="3"/>
      <c r="BB11" s="18"/>
    </row>
    <row r="12" spans="2:59" ht="14.25" customHeight="1">
      <c r="B12" s="16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9"/>
      <c r="AH12" s="9"/>
      <c r="AI12" s="9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18"/>
    </row>
    <row r="13" spans="2:59" ht="14.25" customHeight="1">
      <c r="B13" s="16"/>
      <c r="C13" s="3"/>
      <c r="D13" s="3"/>
      <c r="E13" s="139"/>
      <c r="F13" s="139"/>
      <c r="G13" s="139"/>
      <c r="H13" s="139"/>
      <c r="I13" s="3"/>
      <c r="J13" s="3"/>
      <c r="K13" s="3"/>
      <c r="L13" s="3"/>
      <c r="M13" s="3"/>
      <c r="N13" s="3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9"/>
      <c r="AD13" s="9"/>
      <c r="AE13" s="9"/>
      <c r="AF13" s="9"/>
      <c r="AG13" s="9"/>
      <c r="AH13" s="9"/>
      <c r="AI13" s="9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18"/>
    </row>
    <row r="14" spans="2:59" ht="14.25" customHeight="1">
      <c r="B14" s="16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163"/>
      <c r="AC14" s="163"/>
      <c r="AD14" s="163"/>
      <c r="AE14" s="9" t="s">
        <v>8</v>
      </c>
      <c r="AF14" s="9"/>
      <c r="AG14" s="9"/>
      <c r="AH14" s="9"/>
      <c r="AI14" s="9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18"/>
    </row>
    <row r="15" spans="2:59" ht="14.25" customHeight="1">
      <c r="B15" s="16"/>
      <c r="C15" s="3"/>
      <c r="D15" s="3"/>
      <c r="E15" s="277"/>
      <c r="F15" s="277"/>
      <c r="G15" s="277"/>
      <c r="H15" s="277"/>
      <c r="I15" s="3"/>
      <c r="J15" s="3"/>
      <c r="K15" s="3"/>
      <c r="L15" s="3"/>
      <c r="M15" s="3"/>
      <c r="N15" s="3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  <c r="AD15" s="9"/>
      <c r="AE15" s="9"/>
      <c r="AF15" s="9"/>
      <c r="AG15" s="9"/>
      <c r="AH15" s="9"/>
      <c r="AI15" s="9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18"/>
    </row>
    <row r="16" spans="2:59">
      <c r="B16" s="8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  <c r="AC16" s="9"/>
      <c r="AD16" s="9"/>
      <c r="AE16" s="9"/>
      <c r="AF16" s="9"/>
      <c r="AG16" s="9"/>
      <c r="AH16" s="9"/>
      <c r="AI16" s="9"/>
      <c r="AJ16" s="9"/>
      <c r="AK16" s="9"/>
      <c r="AL16" s="9"/>
      <c r="AM16" s="9"/>
      <c r="AN16" s="9"/>
      <c r="AO16" s="9"/>
      <c r="AP16" s="9"/>
      <c r="AQ16" s="9"/>
      <c r="AR16" s="9"/>
      <c r="AS16" s="9"/>
      <c r="AT16" s="9"/>
      <c r="AU16" s="293"/>
      <c r="AV16" s="161"/>
      <c r="AW16" s="161"/>
      <c r="AX16" s="161"/>
      <c r="AY16" s="161"/>
      <c r="AZ16" s="9"/>
      <c r="BA16" s="9"/>
      <c r="BB16" s="10"/>
    </row>
    <row r="17" spans="2:56" ht="18" customHeight="1" thickBot="1">
      <c r="B17" s="50"/>
      <c r="C17" s="51"/>
      <c r="D17" s="51"/>
      <c r="E17" s="51"/>
      <c r="F17" s="51"/>
      <c r="G17" s="51"/>
      <c r="H17" s="51"/>
      <c r="I17" s="51"/>
      <c r="J17" s="51"/>
      <c r="K17" s="51"/>
      <c r="L17" s="51"/>
      <c r="M17" s="51"/>
      <c r="N17" s="51"/>
      <c r="O17" s="51"/>
      <c r="P17" s="51"/>
      <c r="Q17" s="51"/>
      <c r="R17" s="51"/>
      <c r="S17" s="51"/>
      <c r="T17" s="51"/>
      <c r="U17" s="51"/>
      <c r="V17" s="51"/>
      <c r="W17" s="51"/>
      <c r="X17" s="51"/>
      <c r="Y17" s="51"/>
      <c r="Z17" s="51"/>
      <c r="AA17" s="51"/>
      <c r="AB17" s="51"/>
      <c r="AC17" s="51"/>
      <c r="AD17" s="51"/>
      <c r="AE17" s="51"/>
      <c r="AF17" s="51"/>
      <c r="AG17" s="51"/>
      <c r="AH17" s="51"/>
      <c r="AI17" s="51"/>
      <c r="AJ17" s="51"/>
      <c r="AK17" s="51"/>
      <c r="AL17" s="51"/>
      <c r="AM17" s="51"/>
      <c r="AN17" s="51"/>
      <c r="AO17" s="51"/>
      <c r="AP17" s="51"/>
      <c r="AQ17" s="51"/>
      <c r="AR17" s="51"/>
      <c r="AS17" s="51"/>
      <c r="AT17" s="51"/>
      <c r="AU17" s="51"/>
      <c r="AV17" s="51"/>
      <c r="AW17" s="51"/>
      <c r="AX17" s="51"/>
      <c r="AY17" s="51"/>
      <c r="AZ17" s="51"/>
      <c r="BA17" s="51"/>
      <c r="BB17" s="52"/>
    </row>
    <row r="18" spans="2:56" ht="12.75" customHeight="1">
      <c r="B18" s="16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13"/>
      <c r="AK18" s="13"/>
      <c r="AL18" s="13"/>
      <c r="AM18" s="13"/>
      <c r="AN18" s="13"/>
      <c r="AO18" s="13"/>
      <c r="AP18" s="13"/>
      <c r="AQ18" s="13"/>
      <c r="AR18" s="13"/>
      <c r="AS18" s="13"/>
      <c r="AT18" s="13"/>
      <c r="AU18" s="13"/>
      <c r="AV18" s="13"/>
      <c r="AW18" s="13"/>
      <c r="AX18" s="13"/>
      <c r="AY18" s="13"/>
      <c r="AZ18" s="13"/>
      <c r="BA18" s="13"/>
      <c r="BB18" s="19"/>
      <c r="BD18" s="133"/>
    </row>
    <row r="19" spans="2:56" ht="22.5" customHeight="1">
      <c r="B19" s="16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18"/>
    </row>
    <row r="20" spans="2:56" ht="14.25" customHeight="1">
      <c r="B20" s="16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18"/>
    </row>
    <row r="21" spans="2:56" ht="14.25" customHeight="1">
      <c r="B21" s="16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  <c r="AE21" s="9"/>
      <c r="AF21" s="9"/>
      <c r="AG21" s="9"/>
      <c r="AH21" s="9"/>
      <c r="AI21" s="9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18"/>
    </row>
    <row r="22" spans="2:56" ht="14.25" customHeight="1">
      <c r="B22" s="16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  <c r="AC22" s="9"/>
      <c r="AD22" s="9"/>
      <c r="AE22" s="9"/>
      <c r="AF22" s="9"/>
      <c r="AG22" s="9"/>
      <c r="AH22" s="9"/>
      <c r="AI22" s="9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18"/>
    </row>
    <row r="23" spans="2:56" ht="14.25" customHeight="1">
      <c r="B23" s="16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  <c r="AD23" s="9"/>
      <c r="AE23" s="9"/>
      <c r="AF23" s="9"/>
      <c r="AG23" s="9"/>
      <c r="AH23" s="9"/>
      <c r="AI23" s="9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18"/>
    </row>
    <row r="24" spans="2:56" ht="14.25" customHeight="1">
      <c r="B24" s="16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  <c r="AE24" s="9"/>
      <c r="AF24" s="9"/>
      <c r="AG24" s="9"/>
      <c r="AH24" s="9"/>
      <c r="AI24" s="9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18"/>
    </row>
    <row r="25" spans="2:56" ht="14.25" customHeight="1">
      <c r="B25" s="16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  <c r="AC25" s="9"/>
      <c r="AD25" s="9"/>
      <c r="AE25" s="9"/>
      <c r="AF25" s="9"/>
      <c r="AG25" s="9"/>
      <c r="AH25" s="9"/>
      <c r="AI25" s="9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18"/>
    </row>
    <row r="26" spans="2:56" ht="14.25" customHeight="1">
      <c r="B26" s="16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  <c r="AD26" s="9"/>
      <c r="AE26" s="9"/>
      <c r="AF26" s="9"/>
      <c r="AG26" s="9"/>
      <c r="AH26" s="9"/>
      <c r="AI26" s="9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18"/>
    </row>
    <row r="27" spans="2:56" ht="14.25" customHeight="1">
      <c r="B27" s="16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  <c r="AC27" s="9"/>
      <c r="AD27" s="9"/>
      <c r="AE27" s="9"/>
      <c r="AF27" s="9"/>
      <c r="AG27" s="9"/>
      <c r="AH27" s="9"/>
      <c r="AI27" s="9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18"/>
    </row>
    <row r="28" spans="2:56">
      <c r="B28" s="8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  <c r="AC28" s="9"/>
      <c r="AD28" s="9"/>
      <c r="AE28" s="9"/>
      <c r="AF28" s="9"/>
      <c r="AG28" s="9"/>
      <c r="AH28" s="9"/>
      <c r="AI28" s="9"/>
      <c r="AJ28" s="9"/>
      <c r="AK28" s="9"/>
      <c r="AL28" s="9"/>
      <c r="AM28" s="9"/>
      <c r="AN28" s="9"/>
      <c r="AO28" s="9"/>
      <c r="AP28" s="9"/>
      <c r="AQ28" s="9"/>
      <c r="AR28" s="9"/>
      <c r="AS28" s="9"/>
      <c r="AT28" s="9"/>
      <c r="AU28" s="9"/>
      <c r="AV28" s="9"/>
      <c r="AW28" s="9"/>
      <c r="AX28" s="9"/>
      <c r="AY28" s="9"/>
      <c r="AZ28" s="9"/>
      <c r="BA28" s="9"/>
      <c r="BB28" s="10"/>
    </row>
    <row r="29" spans="2:56">
      <c r="B29" s="8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  <c r="AC29" s="9"/>
      <c r="AD29" s="9"/>
      <c r="AE29" s="9"/>
      <c r="AF29" s="9"/>
      <c r="AG29" s="9"/>
      <c r="AH29" s="9"/>
      <c r="AI29" s="9"/>
      <c r="AJ29" s="9"/>
      <c r="AK29" s="9"/>
      <c r="AL29" s="9"/>
      <c r="AM29" s="9"/>
      <c r="AN29" s="9"/>
      <c r="AO29" s="9"/>
      <c r="AP29" s="9"/>
      <c r="AQ29" s="9"/>
      <c r="AR29" s="9"/>
      <c r="AS29" s="9"/>
      <c r="AT29" s="9"/>
      <c r="AU29" s="9"/>
      <c r="AV29" s="9"/>
      <c r="AW29" s="9"/>
      <c r="AX29" s="9"/>
      <c r="AY29" s="9"/>
      <c r="AZ29" s="9"/>
      <c r="BA29" s="9"/>
      <c r="BB29" s="10"/>
    </row>
    <row r="30" spans="2:56" ht="13.5" thickBot="1">
      <c r="B30" s="53"/>
      <c r="C30" s="44"/>
      <c r="D30" s="44"/>
      <c r="E30" s="44"/>
      <c r="F30" s="44"/>
      <c r="G30" s="44"/>
      <c r="H30" s="44"/>
      <c r="I30" s="44"/>
      <c r="J30" s="44"/>
      <c r="K30" s="44"/>
      <c r="L30" s="44"/>
      <c r="M30" s="44"/>
      <c r="N30" s="44"/>
      <c r="O30" s="44"/>
      <c r="P30" s="44"/>
      <c r="Q30" s="44"/>
      <c r="R30" s="44"/>
      <c r="S30" s="44"/>
      <c r="T30" s="44"/>
      <c r="U30" s="44"/>
      <c r="V30" s="44"/>
      <c r="W30" s="44"/>
      <c r="X30" s="44"/>
      <c r="Y30" s="44"/>
      <c r="Z30" s="44"/>
      <c r="AA30" s="44"/>
      <c r="AB30" s="44"/>
      <c r="AC30" s="44"/>
      <c r="AD30" s="44"/>
      <c r="AE30" s="44"/>
      <c r="AF30" s="44"/>
      <c r="AG30" s="44"/>
      <c r="AH30" s="44"/>
      <c r="AI30" s="44"/>
      <c r="AJ30" s="44"/>
      <c r="AK30" s="44"/>
      <c r="AL30" s="44"/>
      <c r="AM30" s="44"/>
      <c r="AN30" s="44"/>
      <c r="AO30" s="44"/>
      <c r="AP30" s="44"/>
      <c r="AQ30" s="44"/>
      <c r="AR30" s="44"/>
      <c r="AS30" s="44"/>
      <c r="AT30" s="44"/>
      <c r="AU30" s="44"/>
      <c r="AV30" s="44"/>
      <c r="AW30" s="44"/>
      <c r="AX30" s="44"/>
      <c r="AY30" s="44"/>
      <c r="AZ30" s="44"/>
      <c r="BA30" s="44"/>
      <c r="BB30" s="54"/>
    </row>
    <row r="31" spans="2:56" ht="10.5" customHeight="1" thickBot="1">
      <c r="B31" s="8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  <c r="AD31" s="9"/>
      <c r="AE31" s="9"/>
      <c r="AF31" s="9"/>
      <c r="AG31" s="9"/>
      <c r="AH31" s="9"/>
      <c r="AI31" s="9"/>
      <c r="AJ31" s="9"/>
      <c r="AK31" s="9"/>
      <c r="AL31" s="9"/>
      <c r="AM31" s="9"/>
      <c r="AN31" s="9"/>
      <c r="AO31" s="9"/>
      <c r="AP31" s="9"/>
      <c r="AQ31" s="9"/>
      <c r="AR31" s="9"/>
      <c r="AS31" s="9"/>
      <c r="AT31" s="9"/>
      <c r="AU31" s="9"/>
      <c r="AV31" s="9"/>
      <c r="AW31" s="9"/>
      <c r="AX31" s="9"/>
      <c r="AY31" s="9"/>
      <c r="AZ31" s="9"/>
      <c r="BA31" s="9"/>
      <c r="BB31" s="10"/>
    </row>
    <row r="32" spans="2:56" ht="11.25" customHeight="1">
      <c r="B32" s="8"/>
      <c r="C32" s="188" t="s">
        <v>52</v>
      </c>
      <c r="D32" s="189"/>
      <c r="E32" s="189"/>
      <c r="F32" s="189"/>
      <c r="G32" s="189"/>
      <c r="H32" s="189"/>
      <c r="I32" s="189"/>
      <c r="J32" s="189"/>
      <c r="K32" s="189"/>
      <c r="L32" s="189"/>
      <c r="M32" s="189"/>
      <c r="N32" s="189"/>
      <c r="O32" s="189"/>
      <c r="P32" s="189"/>
      <c r="Q32" s="189"/>
      <c r="R32" s="189"/>
      <c r="S32" s="189"/>
      <c r="T32" s="189"/>
      <c r="U32" s="189"/>
      <c r="V32" s="189"/>
      <c r="W32" s="189"/>
      <c r="X32" s="189"/>
      <c r="Y32" s="189"/>
      <c r="Z32" s="189"/>
      <c r="AA32" s="189"/>
      <c r="AB32" s="190"/>
      <c r="AC32" s="9"/>
      <c r="AD32" s="9"/>
      <c r="AE32" s="9"/>
      <c r="AF32" s="9"/>
      <c r="AG32" s="9"/>
      <c r="AH32" s="55"/>
      <c r="AI32" s="56"/>
      <c r="AJ32" s="56"/>
      <c r="AK32" s="56"/>
      <c r="AL32" s="56"/>
      <c r="AM32" s="56"/>
      <c r="AN32" s="56"/>
      <c r="AO32" s="56"/>
      <c r="AP32" s="56"/>
      <c r="AQ32" s="56"/>
      <c r="AR32" s="56"/>
      <c r="AS32" s="56"/>
      <c r="AT32" s="56"/>
      <c r="AU32" s="56"/>
      <c r="AV32" s="56"/>
      <c r="AW32" s="56"/>
      <c r="AX32" s="56"/>
      <c r="AY32" s="56"/>
      <c r="AZ32" s="56"/>
      <c r="BA32" s="57"/>
      <c r="BB32" s="10"/>
    </row>
    <row r="33" spans="1:54" ht="12" customHeight="1" thickBot="1">
      <c r="B33" s="8"/>
      <c r="C33" s="6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AA33" s="9"/>
      <c r="AB33" s="70"/>
      <c r="AC33" s="9"/>
      <c r="AD33" s="9"/>
      <c r="AE33" s="9"/>
      <c r="AF33" s="9"/>
      <c r="AG33" s="9"/>
      <c r="AH33" s="53"/>
      <c r="AI33" s="44"/>
      <c r="AJ33" s="44"/>
      <c r="AK33" s="44"/>
      <c r="AL33" s="44"/>
      <c r="AM33" s="44"/>
      <c r="AN33" s="44"/>
      <c r="AO33" s="44"/>
      <c r="AP33" s="44"/>
      <c r="AQ33" s="44"/>
      <c r="AR33" s="44"/>
      <c r="AS33" s="44"/>
      <c r="AT33" s="44"/>
      <c r="AU33" s="44"/>
      <c r="AV33" s="44"/>
      <c r="AW33" s="44"/>
      <c r="AX33" s="44"/>
      <c r="AY33" s="44"/>
      <c r="AZ33" s="44"/>
      <c r="BA33" s="54"/>
      <c r="BB33" s="10"/>
    </row>
    <row r="34" spans="1:54" ht="12.75" customHeight="1">
      <c r="B34" s="8"/>
      <c r="C34" s="6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AA34" s="9"/>
      <c r="AB34" s="70"/>
      <c r="AC34" s="9"/>
      <c r="AD34" s="9"/>
      <c r="AE34" s="9"/>
      <c r="AF34" s="9"/>
      <c r="AG34" s="9"/>
      <c r="AH34" s="193" t="s">
        <v>27</v>
      </c>
      <c r="AI34" s="194"/>
      <c r="AJ34" s="194"/>
      <c r="AK34" s="194"/>
      <c r="AL34" s="194"/>
      <c r="AM34" s="194"/>
      <c r="AN34" s="194"/>
      <c r="AO34" s="194" t="s">
        <v>26</v>
      </c>
      <c r="AP34" s="194"/>
      <c r="AQ34" s="194"/>
      <c r="AR34" s="194"/>
      <c r="AS34" s="200" t="s">
        <v>25</v>
      </c>
      <c r="AT34" s="200"/>
      <c r="AU34" s="200"/>
      <c r="AV34" s="200"/>
      <c r="AW34" s="200"/>
      <c r="AX34" s="200"/>
      <c r="AY34" s="200"/>
      <c r="AZ34" s="200"/>
      <c r="BA34" s="201"/>
      <c r="BB34" s="10"/>
    </row>
    <row r="35" spans="1:54" ht="12.75" customHeight="1" thickBot="1">
      <c r="B35" s="8"/>
      <c r="C35" s="69" t="s">
        <v>9</v>
      </c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U35" s="191"/>
      <c r="V35" s="192"/>
      <c r="W35" s="192"/>
      <c r="X35" s="192"/>
      <c r="Y35" s="9" t="s">
        <v>20</v>
      </c>
      <c r="Z35" s="9"/>
      <c r="AA35" s="9"/>
      <c r="AB35" s="70"/>
      <c r="AC35" s="9"/>
      <c r="AD35" s="9"/>
      <c r="AE35" s="9"/>
      <c r="AF35" s="9"/>
      <c r="AG35" s="9"/>
      <c r="AH35" s="195"/>
      <c r="AI35" s="196"/>
      <c r="AJ35" s="196"/>
      <c r="AK35" s="196"/>
      <c r="AL35" s="196"/>
      <c r="AM35" s="196"/>
      <c r="AN35" s="196"/>
      <c r="AO35" s="196"/>
      <c r="AP35" s="196"/>
      <c r="AQ35" s="196"/>
      <c r="AR35" s="196"/>
      <c r="AS35" s="202"/>
      <c r="AT35" s="202"/>
      <c r="AU35" s="202"/>
      <c r="AV35" s="202"/>
      <c r="AW35" s="202"/>
      <c r="AX35" s="202"/>
      <c r="AY35" s="202"/>
      <c r="AZ35" s="202"/>
      <c r="BA35" s="203"/>
      <c r="BB35" s="10"/>
    </row>
    <row r="36" spans="1:54" ht="12.75" customHeight="1">
      <c r="B36" s="8"/>
      <c r="C36" s="69" t="s">
        <v>10</v>
      </c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U36" s="199"/>
      <c r="V36" s="199"/>
      <c r="W36" s="199"/>
      <c r="X36" s="199"/>
      <c r="Y36" s="9" t="s">
        <v>20</v>
      </c>
      <c r="Z36" s="9"/>
      <c r="AA36" s="9"/>
      <c r="AB36" s="70"/>
      <c r="AC36" s="9"/>
      <c r="AD36" s="9"/>
      <c r="AE36" s="9"/>
      <c r="AF36" s="9"/>
      <c r="AG36" s="9"/>
      <c r="AH36" s="204"/>
      <c r="AI36" s="160"/>
      <c r="AJ36" s="160"/>
      <c r="AK36" s="160"/>
      <c r="AL36" s="160"/>
      <c r="AM36" s="160"/>
      <c r="AN36" s="160"/>
      <c r="AO36" s="160"/>
      <c r="AP36" s="160"/>
      <c r="AQ36" s="160"/>
      <c r="AR36" s="160"/>
      <c r="AS36" s="160"/>
      <c r="AT36" s="160"/>
      <c r="AU36" s="160"/>
      <c r="AV36" s="160"/>
      <c r="AW36" s="160"/>
      <c r="AX36" s="160"/>
      <c r="AY36" s="160"/>
      <c r="AZ36" s="160"/>
      <c r="BA36" s="162"/>
      <c r="BB36" s="10"/>
    </row>
    <row r="37" spans="1:54">
      <c r="B37" s="8"/>
      <c r="C37" s="69" t="s">
        <v>11</v>
      </c>
      <c r="D37" s="9"/>
      <c r="E37" s="9"/>
      <c r="F37" s="156">
        <f>AD11</f>
        <v>0</v>
      </c>
      <c r="G37" s="156"/>
      <c r="H37" s="9" t="s">
        <v>21</v>
      </c>
      <c r="I37" s="9"/>
      <c r="J37" s="9"/>
      <c r="K37" s="9"/>
      <c r="L37" s="9"/>
      <c r="M37" s="9"/>
      <c r="N37" s="9"/>
      <c r="O37" s="9"/>
      <c r="P37" s="9"/>
      <c r="Q37" s="72" t="s">
        <v>50</v>
      </c>
      <c r="R37" s="9"/>
      <c r="U37" s="67"/>
      <c r="V37" s="67"/>
      <c r="W37" s="67"/>
      <c r="X37" s="67"/>
      <c r="Y37" s="9"/>
      <c r="Z37" s="9"/>
      <c r="AA37" s="9"/>
      <c r="AB37" s="70"/>
      <c r="AC37" s="9"/>
      <c r="AD37" s="9"/>
      <c r="AE37" s="9"/>
      <c r="AF37" s="9"/>
      <c r="AG37" s="9"/>
      <c r="AH37" s="151"/>
      <c r="AI37" s="152"/>
      <c r="AJ37" s="152"/>
      <c r="AK37" s="152"/>
      <c r="AL37" s="152"/>
      <c r="AM37" s="152"/>
      <c r="AN37" s="152"/>
      <c r="AO37" s="152"/>
      <c r="AP37" s="152"/>
      <c r="AQ37" s="152"/>
      <c r="AR37" s="152"/>
      <c r="AS37" s="152"/>
      <c r="AT37" s="152"/>
      <c r="AU37" s="152"/>
      <c r="AV37" s="152"/>
      <c r="AW37" s="152"/>
      <c r="AX37" s="152"/>
      <c r="AY37" s="152"/>
      <c r="AZ37" s="152"/>
      <c r="BA37" s="159"/>
      <c r="BB37" s="10"/>
    </row>
    <row r="38" spans="1:54">
      <c r="B38" s="8"/>
      <c r="C38" s="79"/>
      <c r="D38" s="72" t="s">
        <v>62</v>
      </c>
      <c r="E38" s="9"/>
      <c r="F38" s="67"/>
      <c r="G38" s="67"/>
      <c r="H38" s="72"/>
      <c r="I38" s="9"/>
      <c r="J38" s="9"/>
      <c r="K38" s="9"/>
      <c r="L38" s="9"/>
      <c r="M38" s="9"/>
      <c r="N38" s="9"/>
      <c r="O38" s="9"/>
      <c r="P38" s="9"/>
      <c r="Q38" s="72"/>
      <c r="R38" s="9"/>
      <c r="U38" s="142"/>
      <c r="V38" s="142"/>
      <c r="W38" s="142"/>
      <c r="X38" s="142"/>
      <c r="Y38" s="9" t="s">
        <v>22</v>
      </c>
      <c r="Z38" s="9"/>
      <c r="AA38" s="9"/>
      <c r="AB38" s="70"/>
      <c r="AC38" s="9"/>
      <c r="AD38" s="9"/>
      <c r="AE38" s="9"/>
      <c r="AF38" s="9"/>
      <c r="AG38" s="9"/>
      <c r="AH38" s="151"/>
      <c r="AI38" s="152"/>
      <c r="AJ38" s="152"/>
      <c r="AK38" s="152"/>
      <c r="AL38" s="152"/>
      <c r="AM38" s="152"/>
      <c r="AN38" s="152"/>
      <c r="AO38" s="152"/>
      <c r="AP38" s="152"/>
      <c r="AQ38" s="152"/>
      <c r="AR38" s="152"/>
      <c r="AS38" s="152"/>
      <c r="AT38" s="152"/>
      <c r="AU38" s="152"/>
      <c r="AV38" s="152"/>
      <c r="AW38" s="152"/>
      <c r="AX38" s="152"/>
      <c r="AY38" s="152"/>
      <c r="AZ38" s="152"/>
      <c r="BA38" s="159"/>
      <c r="BB38" s="10"/>
    </row>
    <row r="39" spans="1:54">
      <c r="B39" s="8"/>
      <c r="C39" s="79" t="s">
        <v>12</v>
      </c>
      <c r="D39" s="72"/>
      <c r="E39" s="32"/>
      <c r="F39" s="156"/>
      <c r="G39" s="156"/>
      <c r="H39" s="72" t="s">
        <v>21</v>
      </c>
      <c r="I39" s="9"/>
      <c r="J39" s="9"/>
      <c r="K39" s="9"/>
      <c r="L39" s="9"/>
      <c r="M39" s="9"/>
      <c r="N39" s="9"/>
      <c r="O39" s="9"/>
      <c r="P39" s="9"/>
      <c r="Q39" s="72" t="s">
        <v>50</v>
      </c>
      <c r="R39" s="9"/>
      <c r="U39" s="67"/>
      <c r="V39" s="67"/>
      <c r="W39" s="67"/>
      <c r="X39" s="67"/>
      <c r="Y39" s="9"/>
      <c r="Z39" s="9"/>
      <c r="AA39" s="9"/>
      <c r="AB39" s="70"/>
      <c r="AC39" s="9"/>
      <c r="AD39" s="9"/>
      <c r="AE39" s="9"/>
      <c r="AF39" s="9"/>
      <c r="AG39" s="9"/>
      <c r="AH39" s="151"/>
      <c r="AI39" s="152"/>
      <c r="AJ39" s="152"/>
      <c r="AK39" s="152"/>
      <c r="AL39" s="152"/>
      <c r="AM39" s="152"/>
      <c r="AN39" s="152"/>
      <c r="AO39" s="152"/>
      <c r="AP39" s="152"/>
      <c r="AQ39" s="152"/>
      <c r="AR39" s="152"/>
      <c r="AS39" s="152"/>
      <c r="AT39" s="152"/>
      <c r="AU39" s="152"/>
      <c r="AV39" s="152"/>
      <c r="AW39" s="152"/>
      <c r="AX39" s="152"/>
      <c r="AY39" s="152"/>
      <c r="AZ39" s="152"/>
      <c r="BA39" s="159"/>
      <c r="BB39" s="10"/>
    </row>
    <row r="40" spans="1:54" ht="13.5" customHeight="1">
      <c r="B40" s="8"/>
      <c r="C40" s="79"/>
      <c r="D40" s="72" t="s">
        <v>63</v>
      </c>
      <c r="E40" s="9"/>
      <c r="F40" s="67"/>
      <c r="G40" s="67"/>
      <c r="H40" s="72"/>
      <c r="I40" s="9"/>
      <c r="J40" s="9"/>
      <c r="K40" s="9"/>
      <c r="L40" s="9"/>
      <c r="M40" s="9"/>
      <c r="N40" s="9"/>
      <c r="O40" s="9"/>
      <c r="P40" s="9"/>
      <c r="Q40" s="80"/>
      <c r="R40" s="9"/>
      <c r="U40" s="142"/>
      <c r="V40" s="142"/>
      <c r="W40" s="142"/>
      <c r="X40" s="142"/>
      <c r="Y40" s="9" t="s">
        <v>22</v>
      </c>
      <c r="Z40" s="9"/>
      <c r="AA40" s="9"/>
      <c r="AB40" s="70"/>
      <c r="AC40" s="9"/>
      <c r="AD40" s="9"/>
      <c r="AE40" s="9"/>
      <c r="AF40" s="9"/>
      <c r="AG40" s="9"/>
      <c r="AH40" s="151"/>
      <c r="AI40" s="152"/>
      <c r="AJ40" s="152"/>
      <c r="AK40" s="152"/>
      <c r="AL40" s="152"/>
      <c r="AM40" s="152"/>
      <c r="AN40" s="152"/>
      <c r="AO40" s="153"/>
      <c r="AP40" s="153"/>
      <c r="AQ40" s="153"/>
      <c r="AR40" s="153"/>
      <c r="AS40" s="153"/>
      <c r="AT40" s="153"/>
      <c r="AU40" s="153"/>
      <c r="AV40" s="153"/>
      <c r="AW40" s="153"/>
      <c r="AX40" s="153"/>
      <c r="AY40" s="153"/>
      <c r="AZ40" s="153"/>
      <c r="BA40" s="154"/>
      <c r="BB40" s="21"/>
    </row>
    <row r="41" spans="1:54" ht="12.75" customHeight="1" thickBot="1">
      <c r="B41" s="22"/>
      <c r="C41" s="81" t="s">
        <v>13</v>
      </c>
      <c r="D41" s="80"/>
      <c r="E41" s="32"/>
      <c r="F41" s="23"/>
      <c r="G41" s="156"/>
      <c r="H41" s="156"/>
      <c r="I41" s="80" t="s">
        <v>21</v>
      </c>
      <c r="J41" s="23"/>
      <c r="K41" s="23"/>
      <c r="L41" s="23"/>
      <c r="M41" s="23"/>
      <c r="N41" s="23"/>
      <c r="O41" s="9"/>
      <c r="P41" s="9"/>
      <c r="Q41" s="9"/>
      <c r="R41" s="9"/>
      <c r="U41" s="198" t="s">
        <v>51</v>
      </c>
      <c r="V41" s="199"/>
      <c r="W41" s="199"/>
      <c r="X41" s="199"/>
      <c r="Y41" s="9" t="s">
        <v>22</v>
      </c>
      <c r="Z41" s="9"/>
      <c r="AA41" s="9"/>
      <c r="AB41" s="70"/>
      <c r="AC41" s="9"/>
      <c r="AD41" s="9"/>
      <c r="AE41" s="9"/>
      <c r="AF41" s="9"/>
      <c r="AG41" s="9"/>
      <c r="AH41" s="140"/>
      <c r="AI41" s="141"/>
      <c r="AJ41" s="141"/>
      <c r="AK41" s="141"/>
      <c r="AL41" s="141"/>
      <c r="AM41" s="141"/>
      <c r="AN41" s="141"/>
      <c r="AO41" s="145"/>
      <c r="AP41" s="145"/>
      <c r="AQ41" s="145"/>
      <c r="AR41" s="145"/>
      <c r="AS41" s="145"/>
      <c r="AT41" s="145"/>
      <c r="AU41" s="145"/>
      <c r="AV41" s="145"/>
      <c r="AW41" s="145"/>
      <c r="AX41" s="145"/>
      <c r="AY41" s="145"/>
      <c r="AZ41" s="145"/>
      <c r="BA41" s="146"/>
      <c r="BB41" s="21"/>
    </row>
    <row r="42" spans="1:54" ht="12.75" customHeight="1">
      <c r="B42" s="8"/>
      <c r="C42" s="79" t="s">
        <v>14</v>
      </c>
      <c r="D42" s="9"/>
      <c r="E42" s="9"/>
      <c r="F42" s="9"/>
      <c r="G42" s="9"/>
      <c r="H42" s="9"/>
      <c r="I42" s="156"/>
      <c r="J42" s="156"/>
      <c r="K42" s="72" t="s">
        <v>21</v>
      </c>
      <c r="L42" s="9"/>
      <c r="M42" s="9"/>
      <c r="N42" s="9"/>
      <c r="O42" s="9"/>
      <c r="P42" s="9"/>
      <c r="Q42" s="9"/>
      <c r="R42" s="9"/>
      <c r="U42" s="157"/>
      <c r="V42" s="157"/>
      <c r="W42" s="157"/>
      <c r="X42" s="157"/>
      <c r="Y42" s="9" t="s">
        <v>23</v>
      </c>
      <c r="Z42" s="9"/>
      <c r="AA42" s="9"/>
      <c r="AB42" s="70"/>
      <c r="AC42" s="9"/>
      <c r="AD42" s="9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2"/>
      <c r="AU42" s="9"/>
      <c r="AV42" s="129"/>
      <c r="AW42" s="129"/>
      <c r="AX42" s="129"/>
      <c r="AY42" s="129"/>
      <c r="AZ42" s="129"/>
      <c r="BA42" s="129"/>
      <c r="BB42" s="21"/>
    </row>
    <row r="43" spans="1:54" ht="12.75" customHeight="1">
      <c r="B43" s="8"/>
      <c r="C43" s="79" t="s">
        <v>15</v>
      </c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U43" s="176"/>
      <c r="V43" s="176"/>
      <c r="W43" s="176"/>
      <c r="X43" s="176"/>
      <c r="Y43" s="9" t="s">
        <v>23</v>
      </c>
      <c r="Z43" s="9"/>
      <c r="AA43" s="9"/>
      <c r="AB43" s="70"/>
      <c r="AC43" s="9"/>
      <c r="AD43" s="9"/>
      <c r="AE43" s="32"/>
      <c r="AF43" s="32"/>
      <c r="AG43" s="32"/>
      <c r="AH43" s="32"/>
      <c r="AI43" s="32"/>
      <c r="AJ43" s="32"/>
      <c r="AK43" s="32"/>
      <c r="AL43" s="32"/>
      <c r="AM43" s="32"/>
      <c r="AN43" s="32"/>
      <c r="AO43" s="32"/>
      <c r="AP43" s="32"/>
      <c r="AQ43" s="32"/>
      <c r="AR43" s="32"/>
      <c r="AS43" s="32"/>
      <c r="AT43" s="32"/>
      <c r="AU43" s="9"/>
      <c r="AV43" s="129"/>
      <c r="AW43" s="129"/>
      <c r="AX43" s="129"/>
      <c r="AY43" s="129"/>
      <c r="AZ43" s="129"/>
      <c r="BA43" s="129"/>
      <c r="BB43" s="21"/>
    </row>
    <row r="44" spans="1:54" ht="12.75" customHeight="1">
      <c r="A44" s="165" t="s">
        <v>68</v>
      </c>
      <c r="B44" s="8"/>
      <c r="C44" s="81" t="s">
        <v>16</v>
      </c>
      <c r="D44" s="26"/>
      <c r="E44" s="26"/>
      <c r="F44" s="26"/>
      <c r="G44" s="26"/>
      <c r="H44" s="26"/>
      <c r="I44" s="26"/>
      <c r="J44" s="26"/>
      <c r="K44" s="26"/>
      <c r="L44" s="26"/>
      <c r="M44" s="26"/>
      <c r="N44" s="26"/>
      <c r="O44" s="26"/>
      <c r="P44" s="3"/>
      <c r="Q44" s="3"/>
      <c r="R44" s="9"/>
      <c r="U44" s="176"/>
      <c r="V44" s="176"/>
      <c r="W44" s="176"/>
      <c r="X44" s="176"/>
      <c r="Y44" s="9" t="s">
        <v>23</v>
      </c>
      <c r="Z44" s="9"/>
      <c r="AA44" s="9"/>
      <c r="AB44" s="70"/>
      <c r="AC44" s="9"/>
      <c r="AD44" s="9"/>
      <c r="AE44" s="32"/>
      <c r="AF44" s="32"/>
      <c r="AG44" s="32"/>
      <c r="AH44" s="32"/>
      <c r="AI44" s="32"/>
      <c r="AJ44" s="32"/>
      <c r="AK44" s="32"/>
      <c r="AL44" s="32"/>
      <c r="AM44" s="32"/>
      <c r="AN44" s="32"/>
      <c r="AO44" s="32"/>
      <c r="AP44" s="32"/>
      <c r="AQ44" s="32"/>
      <c r="AR44" s="32"/>
      <c r="AS44" s="32"/>
      <c r="AT44" s="32"/>
      <c r="AU44" s="9"/>
      <c r="AV44" s="129"/>
      <c r="AW44" s="129"/>
      <c r="AX44" s="129"/>
      <c r="AY44" s="129"/>
      <c r="AZ44" s="129"/>
      <c r="BA44" s="129"/>
      <c r="BB44" s="21"/>
    </row>
    <row r="45" spans="1:54" ht="12.75" customHeight="1">
      <c r="A45" s="166"/>
      <c r="B45" s="25"/>
      <c r="C45" s="81" t="s">
        <v>17</v>
      </c>
      <c r="D45" s="26"/>
      <c r="E45" s="26"/>
      <c r="F45" s="26"/>
      <c r="G45" s="26"/>
      <c r="H45" s="26"/>
      <c r="I45" s="26"/>
      <c r="J45" s="26"/>
      <c r="K45" s="26"/>
      <c r="L45" s="26"/>
      <c r="M45" s="26"/>
      <c r="N45" s="26"/>
      <c r="O45" s="9"/>
      <c r="P45" s="3"/>
      <c r="Q45" s="3"/>
      <c r="R45" s="3"/>
      <c r="U45" s="176"/>
      <c r="V45" s="176"/>
      <c r="W45" s="176"/>
      <c r="X45" s="176"/>
      <c r="Y45" s="9" t="s">
        <v>23</v>
      </c>
      <c r="Z45" s="3"/>
      <c r="AA45" s="3"/>
      <c r="AB45" s="73"/>
      <c r="AC45" s="3"/>
      <c r="AD45" s="3"/>
      <c r="AE45" s="32"/>
      <c r="AF45" s="32"/>
      <c r="AG45" s="32"/>
      <c r="AH45" s="32"/>
      <c r="AI45" s="32"/>
      <c r="AJ45" s="32"/>
      <c r="AK45" s="32"/>
      <c r="AL45" s="32"/>
      <c r="AM45" s="32"/>
      <c r="AN45" s="32"/>
      <c r="AO45" s="32"/>
      <c r="AP45" s="32"/>
      <c r="AQ45" s="32"/>
      <c r="AR45" s="32"/>
      <c r="AS45" s="32"/>
      <c r="AT45" s="32"/>
      <c r="AU45" s="9"/>
      <c r="AV45" s="128"/>
      <c r="AW45" s="128"/>
      <c r="AX45" s="128"/>
      <c r="AY45" s="128"/>
      <c r="AZ45" s="128"/>
      <c r="BA45" s="128"/>
      <c r="BB45" s="27"/>
    </row>
    <row r="46" spans="1:54" ht="12.75" customHeight="1">
      <c r="A46" s="166"/>
      <c r="B46" s="25"/>
      <c r="C46" s="79" t="s">
        <v>18</v>
      </c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3"/>
      <c r="U46" s="176"/>
      <c r="V46" s="176"/>
      <c r="W46" s="176"/>
      <c r="X46" s="176"/>
      <c r="Y46" s="9" t="s">
        <v>20</v>
      </c>
      <c r="Z46" s="3"/>
      <c r="AA46" s="3"/>
      <c r="AB46" s="73"/>
      <c r="AC46" s="3"/>
      <c r="AD46" s="3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2"/>
      <c r="AU46" s="9"/>
      <c r="AV46" s="128"/>
      <c r="AW46" s="128"/>
      <c r="AX46" s="128"/>
      <c r="AY46" s="128"/>
      <c r="AZ46" s="128"/>
      <c r="BA46" s="128"/>
      <c r="BB46" s="28"/>
    </row>
    <row r="47" spans="1:54" ht="12.75" customHeight="1">
      <c r="A47" s="166"/>
      <c r="B47" s="8"/>
      <c r="C47" s="79" t="s">
        <v>19</v>
      </c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U47" s="176"/>
      <c r="V47" s="176"/>
      <c r="W47" s="176"/>
      <c r="X47" s="176"/>
      <c r="Y47" s="9" t="s">
        <v>24</v>
      </c>
      <c r="Z47" s="9"/>
      <c r="AA47" s="9"/>
      <c r="AB47" s="70"/>
      <c r="AC47" s="9"/>
      <c r="AD47" s="9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2"/>
      <c r="AU47" s="9"/>
      <c r="AV47" s="128"/>
      <c r="AW47" s="128"/>
      <c r="AX47" s="128"/>
      <c r="AY47" s="128"/>
      <c r="AZ47" s="128"/>
      <c r="BA47" s="128"/>
      <c r="BB47" s="28"/>
    </row>
    <row r="48" spans="1:54" ht="12.75" customHeight="1">
      <c r="A48" s="166"/>
      <c r="B48" s="8"/>
      <c r="C48" s="84" t="s">
        <v>54</v>
      </c>
      <c r="R48" s="9"/>
      <c r="U48" s="176"/>
      <c r="V48" s="176"/>
      <c r="W48" s="176"/>
      <c r="X48" s="176"/>
      <c r="Y48" s="9" t="s">
        <v>55</v>
      </c>
      <c r="Z48" s="9"/>
      <c r="AA48" s="9"/>
      <c r="AB48" s="70"/>
      <c r="AC48" s="9"/>
      <c r="AD48" s="9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2"/>
      <c r="AU48" s="9"/>
      <c r="AV48" s="128"/>
      <c r="AW48" s="128"/>
      <c r="AX48" s="128"/>
      <c r="AY48" s="128"/>
      <c r="AZ48" s="128"/>
      <c r="BA48" s="128"/>
      <c r="BB48" s="28"/>
    </row>
    <row r="49" spans="1:57" ht="12.75" customHeight="1">
      <c r="A49" s="166"/>
      <c r="B49" s="8"/>
      <c r="C49" s="83"/>
      <c r="D49" s="74"/>
      <c r="E49" s="74"/>
      <c r="F49" s="74"/>
      <c r="G49" s="74"/>
      <c r="H49" s="74"/>
      <c r="I49" s="74"/>
      <c r="J49" s="74"/>
      <c r="K49" s="74"/>
      <c r="L49" s="74"/>
      <c r="M49" s="74"/>
      <c r="N49" s="74"/>
      <c r="O49" s="74"/>
      <c r="P49" s="74"/>
      <c r="Q49" s="74"/>
      <c r="R49" s="74"/>
      <c r="S49" s="74"/>
      <c r="T49" s="74"/>
      <c r="U49" s="150"/>
      <c r="V49" s="150"/>
      <c r="W49" s="150"/>
      <c r="X49" s="150"/>
      <c r="Y49" s="74"/>
      <c r="Z49" s="82"/>
      <c r="AA49" s="74"/>
      <c r="AB49" s="75"/>
      <c r="AC49" s="9"/>
      <c r="AD49" s="9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2"/>
      <c r="AU49" s="9"/>
      <c r="AV49" s="130"/>
      <c r="AW49" s="130"/>
      <c r="AX49" s="130"/>
      <c r="AY49" s="130"/>
      <c r="AZ49" s="130"/>
      <c r="BA49" s="130"/>
      <c r="BB49" s="29"/>
      <c r="BE49" s="290"/>
    </row>
    <row r="50" spans="1:57" ht="12.75" customHeight="1">
      <c r="A50" s="166"/>
      <c r="B50" s="8"/>
      <c r="C50" s="72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66"/>
      <c r="V50" s="66"/>
      <c r="W50" s="66"/>
      <c r="X50" s="66"/>
      <c r="Y50" s="9"/>
      <c r="Z50" s="32"/>
      <c r="AA50" s="9"/>
      <c r="AB50" s="9"/>
      <c r="AC50" s="9"/>
      <c r="AD50" s="9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2"/>
      <c r="AU50" s="9"/>
      <c r="AV50" s="130"/>
      <c r="AW50" s="130"/>
      <c r="AX50" s="130"/>
      <c r="AY50" s="130"/>
      <c r="AZ50" s="130"/>
      <c r="BA50" s="130"/>
      <c r="BB50" s="29"/>
    </row>
    <row r="51" spans="1:57" ht="12.75" customHeight="1">
      <c r="A51" s="166"/>
      <c r="B51" s="8"/>
      <c r="C51" s="72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66"/>
      <c r="V51" s="66"/>
      <c r="W51" s="66"/>
      <c r="X51" s="66"/>
      <c r="Y51" s="9"/>
      <c r="Z51" s="32"/>
      <c r="AA51" s="9"/>
      <c r="AB51" s="9"/>
      <c r="AC51" s="9"/>
      <c r="AD51" s="9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2"/>
      <c r="AU51" s="9"/>
      <c r="AV51" s="130"/>
      <c r="AW51" s="130"/>
      <c r="AX51" s="130"/>
      <c r="AY51" s="130"/>
      <c r="AZ51" s="130"/>
      <c r="BA51" s="130"/>
      <c r="BB51" s="29"/>
    </row>
    <row r="52" spans="1:57" ht="4.5" customHeight="1">
      <c r="A52" s="166"/>
      <c r="B52" s="30"/>
      <c r="C52" s="31"/>
      <c r="D52" s="31"/>
      <c r="E52" s="31"/>
      <c r="F52" s="31"/>
      <c r="G52" s="31"/>
      <c r="H52" s="31"/>
      <c r="I52" s="31"/>
      <c r="J52" s="31"/>
      <c r="K52" s="31"/>
      <c r="L52" s="31"/>
      <c r="M52" s="31"/>
      <c r="N52" s="31"/>
      <c r="O52" s="31"/>
      <c r="P52" s="31"/>
      <c r="Q52" s="31"/>
      <c r="R52" s="31"/>
      <c r="S52" s="31"/>
      <c r="T52" s="31"/>
      <c r="U52" s="31"/>
      <c r="V52" s="31"/>
      <c r="W52" s="31"/>
      <c r="X52" s="31"/>
      <c r="Y52" s="31"/>
      <c r="Z52" s="31"/>
      <c r="AA52" s="31"/>
      <c r="AB52" s="31"/>
      <c r="AC52" s="31"/>
      <c r="AD52" s="31"/>
      <c r="AE52" s="31"/>
      <c r="AF52" s="31"/>
      <c r="AG52" s="31"/>
      <c r="AH52" s="31"/>
      <c r="AI52" s="31"/>
      <c r="AJ52" s="32"/>
      <c r="AK52" s="33"/>
      <c r="AL52" s="33"/>
      <c r="AM52" s="33"/>
      <c r="AN52" s="33"/>
      <c r="AO52" s="33"/>
      <c r="AP52" s="33"/>
      <c r="AQ52" s="33"/>
      <c r="AR52" s="33"/>
      <c r="AS52" s="33"/>
      <c r="AT52" s="33"/>
      <c r="AU52" s="33"/>
      <c r="AV52" s="33"/>
      <c r="AW52" s="33"/>
      <c r="AX52" s="33"/>
      <c r="AY52" s="33"/>
      <c r="AZ52" s="33"/>
      <c r="BA52" s="20"/>
      <c r="BB52" s="34"/>
    </row>
    <row r="53" spans="1:57" ht="8.25" customHeight="1">
      <c r="A53" s="166"/>
      <c r="B53" s="167"/>
      <c r="C53" s="168"/>
      <c r="D53" s="168"/>
      <c r="E53" s="168"/>
      <c r="F53" s="168"/>
      <c r="G53" s="168"/>
      <c r="H53" s="168"/>
      <c r="I53" s="168"/>
      <c r="J53" s="168"/>
      <c r="K53" s="168"/>
      <c r="L53" s="168"/>
      <c r="M53" s="168"/>
      <c r="N53" s="168"/>
      <c r="O53" s="168"/>
      <c r="P53" s="169"/>
      <c r="Q53" s="209" t="s">
        <v>53</v>
      </c>
      <c r="R53" s="210"/>
      <c r="S53" s="210"/>
      <c r="T53" s="210"/>
      <c r="U53" s="210"/>
      <c r="V53" s="210"/>
      <c r="W53" s="210"/>
      <c r="X53" s="210"/>
      <c r="Y53" s="210"/>
      <c r="Z53" s="210"/>
      <c r="AA53" s="210"/>
      <c r="AB53" s="210"/>
      <c r="AC53" s="210"/>
      <c r="AD53" s="210"/>
      <c r="AE53" s="210"/>
      <c r="AF53" s="210"/>
      <c r="AG53" s="210"/>
      <c r="AH53" s="210"/>
      <c r="AI53" s="210"/>
      <c r="AJ53" s="211"/>
      <c r="AK53" s="35"/>
      <c r="AL53" s="93"/>
      <c r="AM53" s="93"/>
      <c r="AN53" s="93"/>
      <c r="AO53" s="131"/>
      <c r="AP53" s="131"/>
      <c r="AQ53" s="131"/>
      <c r="AR53" s="131"/>
      <c r="AS53" s="131"/>
      <c r="AT53" s="131"/>
      <c r="AU53" s="131"/>
      <c r="AV53" s="32"/>
      <c r="AW53" s="32"/>
      <c r="AX53" s="155" t="s">
        <v>1</v>
      </c>
      <c r="AY53" s="155"/>
      <c r="AZ53" s="32"/>
      <c r="BA53" s="36"/>
      <c r="BB53" s="37"/>
      <c r="BC53" s="32"/>
    </row>
    <row r="54" spans="1:57" ht="7.5" customHeight="1">
      <c r="A54" s="166"/>
      <c r="B54" s="170"/>
      <c r="C54" s="171"/>
      <c r="D54" s="171"/>
      <c r="E54" s="171"/>
      <c r="F54" s="171"/>
      <c r="G54" s="171"/>
      <c r="H54" s="171"/>
      <c r="I54" s="171"/>
      <c r="J54" s="171"/>
      <c r="K54" s="171"/>
      <c r="L54" s="171"/>
      <c r="M54" s="171"/>
      <c r="N54" s="171"/>
      <c r="O54" s="171"/>
      <c r="P54" s="172"/>
      <c r="Q54" s="212"/>
      <c r="R54" s="213"/>
      <c r="S54" s="213"/>
      <c r="T54" s="213"/>
      <c r="U54" s="213"/>
      <c r="V54" s="213"/>
      <c r="W54" s="213"/>
      <c r="X54" s="213"/>
      <c r="Y54" s="213"/>
      <c r="Z54" s="213"/>
      <c r="AA54" s="213"/>
      <c r="AB54" s="213"/>
      <c r="AC54" s="213"/>
      <c r="AD54" s="213"/>
      <c r="AE54" s="213"/>
      <c r="AF54" s="213"/>
      <c r="AG54" s="213"/>
      <c r="AH54" s="213"/>
      <c r="AI54" s="213"/>
      <c r="AJ54" s="214"/>
      <c r="AK54" s="35"/>
      <c r="AL54" s="149" t="s">
        <v>0</v>
      </c>
      <c r="AM54" s="149"/>
      <c r="AN54" s="149"/>
      <c r="AO54" s="216"/>
      <c r="AP54" s="216"/>
      <c r="AQ54" s="216"/>
      <c r="AR54" s="216"/>
      <c r="AS54" s="216"/>
      <c r="AT54" s="216"/>
      <c r="AU54" s="216"/>
      <c r="AV54" s="32"/>
      <c r="AW54" s="32"/>
      <c r="AX54" s="135">
        <f ca="1">TODAY()</f>
        <v>41289</v>
      </c>
      <c r="AY54" s="135"/>
      <c r="AZ54" s="32"/>
      <c r="BA54" s="134"/>
      <c r="BB54" s="10"/>
      <c r="BC54" s="32"/>
    </row>
    <row r="55" spans="1:57" ht="7.5" customHeight="1">
      <c r="A55" s="166"/>
      <c r="B55" s="170"/>
      <c r="C55" s="171"/>
      <c r="D55" s="171"/>
      <c r="E55" s="171"/>
      <c r="F55" s="171"/>
      <c r="G55" s="171"/>
      <c r="H55" s="171"/>
      <c r="I55" s="171"/>
      <c r="J55" s="171"/>
      <c r="K55" s="171"/>
      <c r="L55" s="171"/>
      <c r="M55" s="171"/>
      <c r="N55" s="171"/>
      <c r="O55" s="171"/>
      <c r="P55" s="172"/>
      <c r="Q55" s="212"/>
      <c r="R55" s="213"/>
      <c r="S55" s="213"/>
      <c r="T55" s="213"/>
      <c r="U55" s="213"/>
      <c r="V55" s="213"/>
      <c r="W55" s="213"/>
      <c r="X55" s="213"/>
      <c r="Y55" s="213"/>
      <c r="Z55" s="213"/>
      <c r="AA55" s="213"/>
      <c r="AB55" s="213"/>
      <c r="AC55" s="213"/>
      <c r="AD55" s="213"/>
      <c r="AE55" s="213"/>
      <c r="AF55" s="213"/>
      <c r="AG55" s="213"/>
      <c r="AH55" s="213"/>
      <c r="AI55" s="213"/>
      <c r="AJ55" s="214"/>
      <c r="AK55" s="35"/>
      <c r="AL55" s="149"/>
      <c r="AM55" s="149"/>
      <c r="AN55" s="149"/>
      <c r="AO55" s="217"/>
      <c r="AP55" s="217"/>
      <c r="AQ55" s="217"/>
      <c r="AR55" s="217"/>
      <c r="AS55" s="217"/>
      <c r="AT55" s="217"/>
      <c r="AU55" s="217"/>
      <c r="AV55" s="32"/>
      <c r="AW55" s="32"/>
      <c r="AX55" s="136"/>
      <c r="AY55" s="136"/>
      <c r="AZ55" s="32"/>
      <c r="BA55" s="134"/>
      <c r="BB55" s="10"/>
      <c r="BC55" s="32"/>
    </row>
    <row r="56" spans="1:57" ht="11.25" customHeight="1">
      <c r="A56" s="166"/>
      <c r="B56" s="170"/>
      <c r="C56" s="171"/>
      <c r="D56" s="171"/>
      <c r="E56" s="171"/>
      <c r="F56" s="171"/>
      <c r="G56" s="171"/>
      <c r="H56" s="171"/>
      <c r="I56" s="171"/>
      <c r="J56" s="171"/>
      <c r="K56" s="171"/>
      <c r="L56" s="171"/>
      <c r="M56" s="171"/>
      <c r="N56" s="171"/>
      <c r="O56" s="171"/>
      <c r="P56" s="172"/>
      <c r="Q56" s="205" t="s">
        <v>56</v>
      </c>
      <c r="R56" s="206"/>
      <c r="S56" s="206"/>
      <c r="T56" s="206"/>
      <c r="U56" s="206"/>
      <c r="V56" s="207"/>
      <c r="W56" s="207"/>
      <c r="X56" s="207"/>
      <c r="Y56" s="207"/>
      <c r="Z56" s="207"/>
      <c r="AA56" s="207"/>
      <c r="AB56" s="207"/>
      <c r="AC56" s="207"/>
      <c r="AD56" s="207"/>
      <c r="AE56" s="207"/>
      <c r="AF56" s="207"/>
      <c r="AG56" s="207"/>
      <c r="AH56" s="207"/>
      <c r="AI56" s="207"/>
      <c r="AJ56" s="94"/>
      <c r="AK56" s="35"/>
      <c r="AL56" s="149" t="s">
        <v>2</v>
      </c>
      <c r="AM56" s="149"/>
      <c r="AN56" s="149"/>
      <c r="AO56" s="219"/>
      <c r="AP56" s="219"/>
      <c r="AQ56" s="219"/>
      <c r="AR56" s="219"/>
      <c r="AS56" s="219"/>
      <c r="AT56" s="219"/>
      <c r="AU56" s="219"/>
      <c r="AV56" s="32"/>
      <c r="AW56" s="32"/>
      <c r="AX56" s="215"/>
      <c r="AY56" s="215"/>
      <c r="AZ56" s="32"/>
      <c r="BA56" s="218" t="s">
        <v>7</v>
      </c>
      <c r="BB56" s="10"/>
      <c r="BC56" s="32"/>
    </row>
    <row r="57" spans="1:57" ht="3" customHeight="1">
      <c r="A57" s="166"/>
      <c r="B57" s="170"/>
      <c r="C57" s="171"/>
      <c r="D57" s="171"/>
      <c r="E57" s="171"/>
      <c r="F57" s="171"/>
      <c r="G57" s="171"/>
      <c r="H57" s="171"/>
      <c r="I57" s="171"/>
      <c r="J57" s="171"/>
      <c r="K57" s="171"/>
      <c r="L57" s="171"/>
      <c r="M57" s="171"/>
      <c r="N57" s="171"/>
      <c r="O57" s="171"/>
      <c r="P57" s="172"/>
      <c r="Q57" s="205"/>
      <c r="R57" s="206"/>
      <c r="S57" s="206"/>
      <c r="T57" s="206"/>
      <c r="U57" s="206"/>
      <c r="V57" s="208"/>
      <c r="W57" s="208"/>
      <c r="X57" s="208"/>
      <c r="Y57" s="208"/>
      <c r="Z57" s="208"/>
      <c r="AA57" s="208"/>
      <c r="AB57" s="208"/>
      <c r="AC57" s="208"/>
      <c r="AD57" s="208"/>
      <c r="AE57" s="208"/>
      <c r="AF57" s="208"/>
      <c r="AG57" s="208"/>
      <c r="AH57" s="208"/>
      <c r="AI57" s="208"/>
      <c r="AJ57" s="38"/>
      <c r="AK57" s="35"/>
      <c r="AL57" s="149"/>
      <c r="AM57" s="149"/>
      <c r="AN57" s="149"/>
      <c r="AO57" s="144"/>
      <c r="AP57" s="144"/>
      <c r="AQ57" s="144"/>
      <c r="AR57" s="144"/>
      <c r="AS57" s="144"/>
      <c r="AT57" s="144"/>
      <c r="AU57" s="144"/>
      <c r="AV57" s="32"/>
      <c r="AW57" s="32"/>
      <c r="AX57" s="138"/>
      <c r="AY57" s="138"/>
      <c r="AZ57" s="32"/>
      <c r="BA57" s="218"/>
      <c r="BB57" s="39"/>
      <c r="BC57" s="32"/>
    </row>
    <row r="58" spans="1:57" ht="11.25" customHeight="1">
      <c r="A58" s="166"/>
      <c r="B58" s="170"/>
      <c r="C58" s="171"/>
      <c r="D58" s="171"/>
      <c r="E58" s="171"/>
      <c r="F58" s="171"/>
      <c r="G58" s="171"/>
      <c r="H58" s="171"/>
      <c r="I58" s="171"/>
      <c r="J58" s="171"/>
      <c r="K58" s="171"/>
      <c r="L58" s="171"/>
      <c r="M58" s="171"/>
      <c r="N58" s="171"/>
      <c r="O58" s="171"/>
      <c r="P58" s="172"/>
      <c r="Q58" s="180" t="s">
        <v>65</v>
      </c>
      <c r="R58" s="181"/>
      <c r="S58" s="181"/>
      <c r="T58" s="181"/>
      <c r="U58" s="181"/>
      <c r="V58" s="186"/>
      <c r="W58" s="186"/>
      <c r="X58" s="186"/>
      <c r="Y58" s="186"/>
      <c r="Z58" s="186"/>
      <c r="AA58" s="186"/>
      <c r="AB58" s="186"/>
      <c r="AC58" s="186"/>
      <c r="AD58" s="186"/>
      <c r="AE58" s="186"/>
      <c r="AF58" s="186"/>
      <c r="AG58" s="186"/>
      <c r="AH58" s="186"/>
      <c r="AI58" s="186"/>
      <c r="AJ58" s="85"/>
      <c r="AK58" s="32"/>
      <c r="AL58" s="149" t="s">
        <v>4</v>
      </c>
      <c r="AM58" s="149"/>
      <c r="AN58" s="149"/>
      <c r="AO58" s="143"/>
      <c r="AP58" s="143"/>
      <c r="AQ58" s="143"/>
      <c r="AR58" s="143"/>
      <c r="AS58" s="143"/>
      <c r="AT58" s="143"/>
      <c r="AU58" s="143"/>
      <c r="AV58" s="32"/>
      <c r="AW58" s="32"/>
      <c r="AX58" s="137"/>
      <c r="AY58" s="137"/>
      <c r="AZ58" s="32"/>
      <c r="BA58" s="134"/>
      <c r="BB58" s="24"/>
      <c r="BC58" s="32"/>
    </row>
    <row r="59" spans="1:57" ht="3" customHeight="1">
      <c r="A59" s="166"/>
      <c r="B59" s="170"/>
      <c r="C59" s="171"/>
      <c r="D59" s="171"/>
      <c r="E59" s="171"/>
      <c r="F59" s="171"/>
      <c r="G59" s="171"/>
      <c r="H59" s="171"/>
      <c r="I59" s="171"/>
      <c r="J59" s="171"/>
      <c r="K59" s="171"/>
      <c r="L59" s="171"/>
      <c r="M59" s="171"/>
      <c r="N59" s="171"/>
      <c r="O59" s="171"/>
      <c r="P59" s="172"/>
      <c r="Q59" s="182"/>
      <c r="R59" s="181"/>
      <c r="S59" s="181"/>
      <c r="T59" s="181"/>
      <c r="U59" s="181"/>
      <c r="V59" s="179"/>
      <c r="W59" s="179"/>
      <c r="X59" s="179"/>
      <c r="Y59" s="179"/>
      <c r="Z59" s="179"/>
      <c r="AA59" s="179"/>
      <c r="AB59" s="179"/>
      <c r="AC59" s="179"/>
      <c r="AD59" s="179"/>
      <c r="AE59" s="179"/>
      <c r="AF59" s="179"/>
      <c r="AG59" s="179"/>
      <c r="AH59" s="179"/>
      <c r="AI59" s="179"/>
      <c r="AJ59" s="85"/>
      <c r="AK59" s="32"/>
      <c r="AL59" s="149"/>
      <c r="AM59" s="149"/>
      <c r="AN59" s="149"/>
      <c r="AO59" s="144"/>
      <c r="AP59" s="144"/>
      <c r="AQ59" s="144"/>
      <c r="AR59" s="144"/>
      <c r="AS59" s="144"/>
      <c r="AT59" s="144"/>
      <c r="AU59" s="144"/>
      <c r="AV59" s="32"/>
      <c r="AW59" s="32"/>
      <c r="AX59" s="138"/>
      <c r="AY59" s="138"/>
      <c r="AZ59" s="32"/>
      <c r="BA59" s="134"/>
      <c r="BB59" s="24"/>
      <c r="BC59" s="32"/>
    </row>
    <row r="60" spans="1:57" ht="6" customHeight="1">
      <c r="A60" s="166"/>
      <c r="B60" s="170"/>
      <c r="C60" s="171"/>
      <c r="D60" s="171"/>
      <c r="E60" s="171"/>
      <c r="F60" s="171"/>
      <c r="G60" s="171"/>
      <c r="H60" s="171"/>
      <c r="I60" s="171"/>
      <c r="J60" s="171"/>
      <c r="K60" s="171"/>
      <c r="L60" s="171"/>
      <c r="M60" s="171"/>
      <c r="N60" s="171"/>
      <c r="O60" s="171"/>
      <c r="P60" s="172"/>
      <c r="Q60" s="291"/>
      <c r="R60" s="292"/>
      <c r="S60" s="292"/>
      <c r="T60" s="292"/>
      <c r="U60" s="292"/>
      <c r="V60" s="292"/>
      <c r="W60" s="292"/>
      <c r="X60" s="183" t="s">
        <v>57</v>
      </c>
      <c r="Y60" s="183"/>
      <c r="Z60" s="183"/>
      <c r="AA60" s="183"/>
      <c r="AB60" s="183"/>
      <c r="AC60" s="183"/>
      <c r="AD60" s="183"/>
      <c r="AE60" s="183"/>
      <c r="AF60" s="183"/>
      <c r="AG60" s="183"/>
      <c r="AH60" s="183"/>
      <c r="AI60" s="183"/>
      <c r="AJ60" s="184"/>
      <c r="AK60" s="35"/>
      <c r="AL60" s="149" t="s">
        <v>5</v>
      </c>
      <c r="AM60" s="149"/>
      <c r="AN60" s="149"/>
      <c r="AO60" s="143"/>
      <c r="AP60" s="143"/>
      <c r="AQ60" s="143"/>
      <c r="AR60" s="143"/>
      <c r="AS60" s="143"/>
      <c r="AT60" s="143"/>
      <c r="AU60" s="143"/>
      <c r="AV60" s="32"/>
      <c r="AW60" s="32"/>
      <c r="AX60" s="137"/>
      <c r="AY60" s="137"/>
      <c r="AZ60" s="32"/>
      <c r="BA60" s="147" t="s">
        <v>6</v>
      </c>
      <c r="BB60" s="40"/>
      <c r="BC60" s="32"/>
    </row>
    <row r="61" spans="1:57" ht="6.75" customHeight="1">
      <c r="A61" s="166"/>
      <c r="B61" s="170"/>
      <c r="C61" s="171"/>
      <c r="D61" s="171"/>
      <c r="E61" s="171"/>
      <c r="F61" s="171"/>
      <c r="G61" s="171"/>
      <c r="H61" s="171"/>
      <c r="I61" s="171"/>
      <c r="J61" s="171"/>
      <c r="K61" s="171"/>
      <c r="L61" s="171"/>
      <c r="M61" s="171"/>
      <c r="N61" s="171"/>
      <c r="O61" s="171"/>
      <c r="P61" s="172"/>
      <c r="Q61" s="291"/>
      <c r="R61" s="292"/>
      <c r="S61" s="292"/>
      <c r="T61" s="292"/>
      <c r="U61" s="292"/>
      <c r="V61" s="292"/>
      <c r="W61" s="292"/>
      <c r="X61" s="185"/>
      <c r="Y61" s="185"/>
      <c r="Z61" s="185"/>
      <c r="AA61" s="185"/>
      <c r="AB61" s="185"/>
      <c r="AC61" s="185"/>
      <c r="AD61" s="185"/>
      <c r="AE61" s="185"/>
      <c r="AF61" s="185"/>
      <c r="AG61" s="185"/>
      <c r="AH61" s="185"/>
      <c r="AI61" s="185"/>
      <c r="AJ61" s="184"/>
      <c r="AK61" s="35"/>
      <c r="AL61" s="149"/>
      <c r="AM61" s="149"/>
      <c r="AN61" s="149"/>
      <c r="AO61" s="144"/>
      <c r="AP61" s="144"/>
      <c r="AQ61" s="144"/>
      <c r="AR61" s="144"/>
      <c r="AS61" s="144"/>
      <c r="AT61" s="144"/>
      <c r="AU61" s="144"/>
      <c r="AV61" s="32"/>
      <c r="AW61" s="32"/>
      <c r="AX61" s="138"/>
      <c r="AY61" s="138"/>
      <c r="AZ61" s="32"/>
      <c r="BA61" s="147"/>
      <c r="BB61" s="40"/>
      <c r="BC61" s="32"/>
    </row>
    <row r="62" spans="1:57" ht="11.25" customHeight="1">
      <c r="A62" s="166"/>
      <c r="B62" s="170"/>
      <c r="C62" s="171"/>
      <c r="D62" s="171"/>
      <c r="E62" s="171"/>
      <c r="F62" s="171"/>
      <c r="G62" s="171"/>
      <c r="H62" s="171"/>
      <c r="I62" s="171"/>
      <c r="J62" s="171"/>
      <c r="K62" s="171"/>
      <c r="L62" s="171"/>
      <c r="M62" s="171"/>
      <c r="N62" s="171"/>
      <c r="O62" s="171"/>
      <c r="P62" s="172"/>
      <c r="Q62" s="177" t="s">
        <v>58</v>
      </c>
      <c r="R62" s="178"/>
      <c r="S62" s="178"/>
      <c r="T62" s="178"/>
      <c r="U62" s="179"/>
      <c r="V62" s="179"/>
      <c r="W62" s="179"/>
      <c r="X62" s="179"/>
      <c r="Y62" s="87"/>
      <c r="Z62" s="87" t="s">
        <v>59</v>
      </c>
      <c r="AA62" s="179"/>
      <c r="AB62" s="179"/>
      <c r="AC62" s="179"/>
      <c r="AD62" s="88"/>
      <c r="AE62" s="86" t="s">
        <v>60</v>
      </c>
      <c r="AF62" s="179"/>
      <c r="AG62" s="179"/>
      <c r="AH62" s="179"/>
      <c r="AI62" s="87"/>
      <c r="AJ62" s="89"/>
      <c r="AK62" s="35"/>
      <c r="AL62" s="149" t="s">
        <v>3</v>
      </c>
      <c r="AM62" s="149"/>
      <c r="AN62" s="149"/>
      <c r="AO62" s="144"/>
      <c r="AP62" s="144"/>
      <c r="AQ62" s="144"/>
      <c r="AR62" s="144"/>
      <c r="AS62" s="144"/>
      <c r="AT62" s="144"/>
      <c r="AU62" s="144"/>
      <c r="AV62" s="144"/>
      <c r="AW62" s="144"/>
      <c r="AX62" s="144"/>
      <c r="AY62" s="144"/>
      <c r="AZ62" s="32"/>
      <c r="BA62" s="147"/>
      <c r="BB62" s="40"/>
      <c r="BC62" s="32"/>
    </row>
    <row r="63" spans="1:57" ht="3.75" customHeight="1" thickBot="1">
      <c r="A63" s="166"/>
      <c r="B63" s="173"/>
      <c r="C63" s="174"/>
      <c r="D63" s="174"/>
      <c r="E63" s="174"/>
      <c r="F63" s="174"/>
      <c r="G63" s="174"/>
      <c r="H63" s="174"/>
      <c r="I63" s="174"/>
      <c r="J63" s="174"/>
      <c r="K63" s="174"/>
      <c r="L63" s="174"/>
      <c r="M63" s="174"/>
      <c r="N63" s="174"/>
      <c r="O63" s="174"/>
      <c r="P63" s="175"/>
      <c r="Q63" s="41"/>
      <c r="R63" s="42"/>
      <c r="S63" s="42"/>
      <c r="T63" s="42"/>
      <c r="U63" s="42"/>
      <c r="V63" s="42"/>
      <c r="W63" s="42"/>
      <c r="X63" s="42"/>
      <c r="Y63" s="42"/>
      <c r="Z63" s="42"/>
      <c r="AA63" s="42"/>
      <c r="AB63" s="42"/>
      <c r="AC63" s="42"/>
      <c r="AD63" s="42"/>
      <c r="AE63" s="42"/>
      <c r="AF63" s="42"/>
      <c r="AG63" s="42"/>
      <c r="AH63" s="42"/>
      <c r="AI63" s="42"/>
      <c r="AJ63" s="43"/>
      <c r="AK63" s="41"/>
      <c r="AL63" s="42"/>
      <c r="AM63" s="42"/>
      <c r="AN63" s="42"/>
      <c r="AO63" s="42"/>
      <c r="AP63" s="42"/>
      <c r="AQ63" s="42"/>
      <c r="AR63" s="42"/>
      <c r="AS63" s="42"/>
      <c r="AT63" s="42"/>
      <c r="AU63" s="44"/>
      <c r="AV63" s="42"/>
      <c r="AW63" s="42"/>
      <c r="AX63" s="42"/>
      <c r="AY63" s="42"/>
      <c r="AZ63" s="42"/>
      <c r="BA63" s="148"/>
      <c r="BB63" s="45"/>
      <c r="BC63" s="32"/>
    </row>
    <row r="64" spans="1:57" ht="9" customHeight="1">
      <c r="AU64" s="46"/>
    </row>
  </sheetData>
  <sheetProtection password="8550" sheet="1" objects="1"/>
  <mergeCells count="85">
    <mergeCell ref="AX56:AY57"/>
    <mergeCell ref="AL54:AN55"/>
    <mergeCell ref="AO54:AU55"/>
    <mergeCell ref="BA56:BA57"/>
    <mergeCell ref="AL56:AN57"/>
    <mergeCell ref="AO56:AU57"/>
    <mergeCell ref="BA54:BA55"/>
    <mergeCell ref="U47:X47"/>
    <mergeCell ref="U48:X48"/>
    <mergeCell ref="Q56:U57"/>
    <mergeCell ref="V56:AI57"/>
    <mergeCell ref="Q53:AJ55"/>
    <mergeCell ref="U44:X44"/>
    <mergeCell ref="U45:X45"/>
    <mergeCell ref="U46:X46"/>
    <mergeCell ref="G41:H41"/>
    <mergeCell ref="U40:X40"/>
    <mergeCell ref="U41:X41"/>
    <mergeCell ref="AS34:BA35"/>
    <mergeCell ref="AO34:AR35"/>
    <mergeCell ref="U36:X36"/>
    <mergeCell ref="AO39:AR39"/>
    <mergeCell ref="AO37:AR37"/>
    <mergeCell ref="AH36:AN36"/>
    <mergeCell ref="AU11:AY11"/>
    <mergeCell ref="AB14:AD14"/>
    <mergeCell ref="C32:AB32"/>
    <mergeCell ref="U35:X35"/>
    <mergeCell ref="AH34:AN35"/>
    <mergeCell ref="AD11:AE11"/>
    <mergeCell ref="AL60:AN61"/>
    <mergeCell ref="Q58:U59"/>
    <mergeCell ref="AA62:AC62"/>
    <mergeCell ref="AF62:AH62"/>
    <mergeCell ref="X60:AJ61"/>
    <mergeCell ref="V58:AI59"/>
    <mergeCell ref="Q60:W61"/>
    <mergeCell ref="A44:A63"/>
    <mergeCell ref="B53:P63"/>
    <mergeCell ref="E13:H13"/>
    <mergeCell ref="E15:H15"/>
    <mergeCell ref="AC8:AE8"/>
    <mergeCell ref="U43:X43"/>
    <mergeCell ref="Q62:T62"/>
    <mergeCell ref="U62:X62"/>
    <mergeCell ref="V10:X10"/>
    <mergeCell ref="F39:G39"/>
    <mergeCell ref="AS38:BA38"/>
    <mergeCell ref="AS39:BA39"/>
    <mergeCell ref="AO36:AR36"/>
    <mergeCell ref="AH38:AN38"/>
    <mergeCell ref="AH39:AN39"/>
    <mergeCell ref="AU16:AY16"/>
    <mergeCell ref="AS36:BA36"/>
    <mergeCell ref="AS37:BA37"/>
    <mergeCell ref="F37:G37"/>
    <mergeCell ref="I42:J42"/>
    <mergeCell ref="AO41:AR41"/>
    <mergeCell ref="U42:X42"/>
    <mergeCell ref="AH40:AN40"/>
    <mergeCell ref="AL2:AM2"/>
    <mergeCell ref="AN5:AP5"/>
    <mergeCell ref="R2:T2"/>
    <mergeCell ref="Y2:AA2"/>
    <mergeCell ref="AI2:AK2"/>
    <mergeCell ref="AO60:AU61"/>
    <mergeCell ref="AS41:BA41"/>
    <mergeCell ref="BA60:BA63"/>
    <mergeCell ref="AL62:AN62"/>
    <mergeCell ref="AO62:AY62"/>
    <mergeCell ref="U49:X49"/>
    <mergeCell ref="AX60:AY61"/>
    <mergeCell ref="AO58:AU59"/>
    <mergeCell ref="AX53:AY53"/>
    <mergeCell ref="AL58:AN59"/>
    <mergeCell ref="BA58:BA59"/>
    <mergeCell ref="AX54:AY55"/>
    <mergeCell ref="AX58:AY59"/>
    <mergeCell ref="F6:I6"/>
    <mergeCell ref="AH41:AN41"/>
    <mergeCell ref="U38:X38"/>
    <mergeCell ref="AH37:AN37"/>
    <mergeCell ref="AS40:BA40"/>
    <mergeCell ref="AO40:AR40"/>
    <mergeCell ref="AO38:AR38"/>
  </mergeCells>
  <phoneticPr fontId="23" type="noConversion"/>
  <conditionalFormatting sqref="Y2:AA2 AN5:AP5 AH6 R6 U40:X48 E13:H13 E15:H15 V10:X10 AD11:AE11 AC8:AE8 AB14:AD14 AU11:AY11 AU16:AY16 U35:X36 F39:G39 G41:H41 I42:J42 U38:X38 BA58:BA59 V56:AI59 Q60:W61 U62:X62 AA62:AC62 AF62:AH62 AO54:AU55 BA54:BA55">
    <cfRule type="containsBlanks" dxfId="5" priority="8" stopIfTrue="1">
      <formula>LEN(TRIM(E2))=0</formula>
    </cfRule>
  </conditionalFormatting>
  <conditionalFormatting sqref="AH36:BA41">
    <cfRule type="expression" dxfId="4" priority="2" stopIfTrue="1">
      <formula>ISBLANK($AO$36)</formula>
    </cfRule>
  </conditionalFormatting>
  <conditionalFormatting sqref="F6:I6">
    <cfRule type="containsBlanks" dxfId="3" priority="1" stopIfTrue="1">
      <formula>LEN(TRIM(F6))=0</formula>
    </cfRule>
  </conditionalFormatting>
  <pageMargins left="0.7" right="0.33" top="0.33" bottom="0.33" header="0.5" footer="0.5"/>
  <pageSetup orientation="portrait" r:id="rId1"/>
  <headerFooter alignWithMargins="0"/>
  <ignoredErrors>
    <ignoredError sqref="U41" twoDigitTextYear="1"/>
  </ignoredErrors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sheetPr codeName="Sheet2">
    <pageSetUpPr autoPageBreaks="0"/>
  </sheetPr>
  <dimension ref="A1:BE61"/>
  <sheetViews>
    <sheetView showGridLines="0" topLeftCell="A4" workbookViewId="0">
      <selection activeCell="AF34" sqref="AF34:AI34"/>
    </sheetView>
  </sheetViews>
  <sheetFormatPr defaultRowHeight="12.75"/>
  <cols>
    <col min="1" max="1" width="1.5703125" style="11" customWidth="1"/>
    <col min="2" max="12" width="1.85546875" style="11" customWidth="1"/>
    <col min="13" max="16" width="1.28515625" style="11" customWidth="1"/>
    <col min="17" max="35" width="1.85546875" style="11" customWidth="1"/>
    <col min="36" max="36" width="2" style="11" customWidth="1"/>
    <col min="37" max="37" width="1.42578125" style="11" customWidth="1"/>
    <col min="38" max="38" width="3.42578125" style="11" customWidth="1"/>
    <col min="39" max="40" width="2" style="11" customWidth="1"/>
    <col min="41" max="46" width="2.140625" style="11" customWidth="1"/>
    <col min="47" max="47" width="2.28515625" style="47" customWidth="1"/>
    <col min="48" max="50" width="1" style="11" customWidth="1"/>
    <col min="51" max="51" width="2.28515625" style="11" customWidth="1"/>
    <col min="52" max="52" width="0.42578125" style="11" customWidth="1"/>
    <col min="53" max="53" width="3.140625" style="11" customWidth="1"/>
    <col min="54" max="54" width="0.7109375" style="11" customWidth="1"/>
    <col min="55" max="55" width="9.28515625" style="11" customWidth="1"/>
    <col min="56" max="16384" width="9.140625" style="11"/>
  </cols>
  <sheetData>
    <row r="1" spans="2:54" s="65" customFormat="1" ht="11.25" customHeight="1">
      <c r="B1" s="61"/>
      <c r="C1" s="62"/>
      <c r="D1" s="62"/>
      <c r="E1" s="62"/>
      <c r="F1" s="62"/>
      <c r="G1" s="62"/>
      <c r="H1" s="62"/>
      <c r="I1" s="62"/>
      <c r="J1" s="62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2"/>
      <c r="AC1" s="62"/>
      <c r="AD1" s="62"/>
      <c r="AE1" s="62"/>
      <c r="AF1" s="62"/>
      <c r="AG1" s="62"/>
      <c r="AH1" s="62"/>
      <c r="AI1" s="62"/>
      <c r="AJ1" s="62"/>
      <c r="AK1" s="62"/>
      <c r="AL1" s="62"/>
      <c r="AM1" s="62"/>
      <c r="AN1" s="62"/>
      <c r="AO1" s="62"/>
      <c r="AP1" s="62"/>
      <c r="AQ1" s="62"/>
      <c r="AR1" s="62"/>
      <c r="AS1" s="62"/>
      <c r="AT1" s="62"/>
      <c r="AU1" s="62"/>
      <c r="AV1" s="62"/>
      <c r="AW1" s="62"/>
      <c r="AX1" s="62"/>
      <c r="AY1" s="62"/>
      <c r="AZ1" s="62"/>
      <c r="BA1" s="62"/>
      <c r="BB1" s="63"/>
    </row>
    <row r="2" spans="2:54">
      <c r="B2" s="8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67"/>
      <c r="AB2" s="67"/>
      <c r="AC2" s="66"/>
      <c r="AD2" s="67"/>
      <c r="AE2" s="67"/>
      <c r="AF2" s="9"/>
      <c r="AG2" s="9"/>
      <c r="AH2" s="9"/>
      <c r="AI2" s="9"/>
      <c r="AJ2" s="9"/>
      <c r="AK2" s="9"/>
      <c r="AL2" s="9"/>
      <c r="AM2" s="9"/>
      <c r="AN2" s="9"/>
      <c r="AO2" s="9"/>
      <c r="AP2" s="9"/>
      <c r="AQ2" s="9"/>
      <c r="AR2" s="9"/>
      <c r="AS2" s="9"/>
      <c r="AT2" s="9"/>
      <c r="AU2" s="9"/>
      <c r="AV2" s="9"/>
      <c r="AW2" s="9"/>
      <c r="AX2" s="9"/>
      <c r="AY2" s="9"/>
      <c r="AZ2" s="9"/>
      <c r="BA2" s="9"/>
      <c r="BB2" s="10"/>
    </row>
    <row r="3" spans="2:54" ht="14.25" customHeight="1">
      <c r="B3" s="12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223"/>
      <c r="AB3" s="223"/>
      <c r="AC3" s="13"/>
      <c r="AD3" s="223"/>
      <c r="AE3" s="22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13"/>
      <c r="AT3" s="13"/>
      <c r="AU3" s="13"/>
      <c r="AV3" s="13"/>
      <c r="AW3" s="13"/>
      <c r="AX3" s="13"/>
      <c r="AY3" s="13"/>
      <c r="AZ3" s="13"/>
      <c r="BA3" s="14"/>
      <c r="BB3" s="15"/>
    </row>
    <row r="4" spans="2:54" ht="14.25" customHeight="1">
      <c r="B4" s="16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17"/>
      <c r="AV4" s="3"/>
      <c r="AW4" s="3"/>
      <c r="AX4" s="3"/>
      <c r="AY4" s="3"/>
      <c r="AZ4" s="3"/>
      <c r="BA4" s="3"/>
      <c r="BB4" s="18"/>
    </row>
    <row r="5" spans="2:54" ht="14.25" customHeight="1">
      <c r="B5" s="16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  <c r="AG5" s="9"/>
      <c r="AH5" s="9"/>
      <c r="AI5" s="9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18"/>
    </row>
    <row r="6" spans="2:54" ht="14.25" customHeight="1">
      <c r="B6" s="16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244" t="s">
        <v>32</v>
      </c>
      <c r="AE6" s="244"/>
      <c r="AF6" s="244"/>
      <c r="AG6" s="244"/>
      <c r="AH6" s="244"/>
      <c r="AI6" s="244"/>
      <c r="AJ6" s="244"/>
      <c r="AK6" s="244"/>
      <c r="AL6" s="244"/>
      <c r="AM6" s="244"/>
      <c r="AN6" s="244"/>
      <c r="AO6" s="244"/>
      <c r="AP6" s="244"/>
      <c r="AQ6" s="232" t="s">
        <v>31</v>
      </c>
      <c r="AR6" s="232"/>
      <c r="AS6" s="232" t="s">
        <v>30</v>
      </c>
      <c r="AT6" s="232"/>
      <c r="AU6" s="232" t="s">
        <v>29</v>
      </c>
      <c r="AV6" s="232"/>
      <c r="AW6" s="232"/>
      <c r="AX6" s="232"/>
      <c r="AY6" s="232" t="s">
        <v>28</v>
      </c>
      <c r="AZ6" s="232"/>
      <c r="BA6" s="232"/>
      <c r="BB6" s="18"/>
    </row>
    <row r="7" spans="2:54" ht="14.25" customHeight="1">
      <c r="B7" s="16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244" t="s">
        <v>33</v>
      </c>
      <c r="AE7" s="244"/>
      <c r="AF7" s="244"/>
      <c r="AG7" s="244"/>
      <c r="AH7" s="244"/>
      <c r="AI7" s="244"/>
      <c r="AJ7" s="244"/>
      <c r="AK7" s="244"/>
      <c r="AL7" s="244"/>
      <c r="AM7" s="244"/>
      <c r="AN7" s="244"/>
      <c r="AO7" s="244"/>
      <c r="AP7" s="244"/>
      <c r="AQ7" s="233">
        <v>0.68</v>
      </c>
      <c r="AR7" s="233"/>
      <c r="AS7" s="233">
        <v>0.78</v>
      </c>
      <c r="AT7" s="233"/>
      <c r="AU7" s="233">
        <v>0.89</v>
      </c>
      <c r="AV7" s="233"/>
      <c r="AW7" s="233"/>
      <c r="AX7" s="233"/>
      <c r="AY7" s="233">
        <v>1.1200000000000001</v>
      </c>
      <c r="AZ7" s="233"/>
      <c r="BA7" s="233"/>
      <c r="BB7" s="18"/>
    </row>
    <row r="8" spans="2:54" ht="14.25" customHeight="1">
      <c r="B8" s="16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2"/>
      <c r="AU8" s="9"/>
      <c r="AV8" s="32"/>
      <c r="AW8" s="32"/>
      <c r="AX8" s="32"/>
      <c r="AY8" s="32"/>
      <c r="AZ8" s="32"/>
      <c r="BA8" s="32"/>
      <c r="BB8" s="18"/>
    </row>
    <row r="9" spans="2:54" ht="14.25" customHeight="1">
      <c r="B9" s="16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224" t="s">
        <v>41</v>
      </c>
      <c r="AE9" s="224"/>
      <c r="AF9" s="224"/>
      <c r="AG9" s="224"/>
      <c r="AH9" s="224"/>
      <c r="AI9" s="224"/>
      <c r="AJ9" s="224"/>
      <c r="AK9" s="224"/>
      <c r="AL9" s="224"/>
      <c r="AM9" s="224"/>
      <c r="AN9" s="224"/>
      <c r="AO9" s="224"/>
      <c r="AP9" s="224"/>
      <c r="AQ9" s="224" t="s">
        <v>42</v>
      </c>
      <c r="AR9" s="224"/>
      <c r="AS9" s="224"/>
      <c r="AT9" s="224"/>
      <c r="AU9" s="224"/>
      <c r="AV9" s="224"/>
      <c r="AW9" s="224"/>
      <c r="AX9" s="224"/>
      <c r="AY9" s="224"/>
      <c r="AZ9" s="224"/>
      <c r="BA9" s="224"/>
      <c r="BB9" s="18"/>
    </row>
    <row r="10" spans="2:54" ht="14.25" customHeight="1">
      <c r="B10" s="16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  <c r="AD10" s="237" t="s">
        <v>43</v>
      </c>
      <c r="AE10" s="238"/>
      <c r="AF10" s="238"/>
      <c r="AG10" s="238"/>
      <c r="AH10" s="238"/>
      <c r="AI10" s="239"/>
      <c r="AJ10" s="243" t="s">
        <v>40</v>
      </c>
      <c r="AK10" s="243"/>
      <c r="AL10" s="243"/>
      <c r="AM10" s="243"/>
      <c r="AN10" s="243"/>
      <c r="AO10" s="243"/>
      <c r="AP10" s="243"/>
      <c r="AQ10" s="243" t="s">
        <v>39</v>
      </c>
      <c r="AR10" s="243"/>
      <c r="AS10" s="243"/>
      <c r="AT10" s="243"/>
      <c r="AU10" s="243"/>
      <c r="AV10" s="243"/>
      <c r="AW10" s="243"/>
      <c r="AX10" s="243"/>
      <c r="AY10" s="243"/>
      <c r="AZ10" s="243"/>
      <c r="BA10" s="243"/>
      <c r="BB10" s="18"/>
    </row>
    <row r="11" spans="2:54" ht="14.25" customHeight="1">
      <c r="B11" s="16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240"/>
      <c r="AE11" s="241"/>
      <c r="AF11" s="241"/>
      <c r="AG11" s="241"/>
      <c r="AH11" s="241"/>
      <c r="AI11" s="242"/>
      <c r="AJ11" s="243"/>
      <c r="AK11" s="243"/>
      <c r="AL11" s="243"/>
      <c r="AM11" s="243"/>
      <c r="AN11" s="243"/>
      <c r="AO11" s="243"/>
      <c r="AP11" s="243"/>
      <c r="AQ11" s="243"/>
      <c r="AR11" s="243"/>
      <c r="AS11" s="243"/>
      <c r="AT11" s="243"/>
      <c r="AU11" s="243"/>
      <c r="AV11" s="243"/>
      <c r="AW11" s="243"/>
      <c r="AX11" s="243"/>
      <c r="AY11" s="243"/>
      <c r="AZ11" s="243"/>
      <c r="BA11" s="243"/>
      <c r="BB11" s="18"/>
    </row>
    <row r="12" spans="2:54" ht="14.25" customHeight="1">
      <c r="B12" s="8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225" t="s">
        <v>34</v>
      </c>
      <c r="AE12" s="226"/>
      <c r="AF12" s="226"/>
      <c r="AG12" s="226"/>
      <c r="AH12" s="226"/>
      <c r="AI12" s="227"/>
      <c r="AJ12" s="225">
        <v>18</v>
      </c>
      <c r="AK12" s="226"/>
      <c r="AL12" s="226"/>
      <c r="AM12" s="226"/>
      <c r="AN12" s="226"/>
      <c r="AO12" s="226"/>
      <c r="AP12" s="227"/>
      <c r="AQ12" s="234" t="s">
        <v>36</v>
      </c>
      <c r="AR12" s="235"/>
      <c r="AS12" s="235"/>
      <c r="AT12" s="235"/>
      <c r="AU12" s="235"/>
      <c r="AV12" s="235"/>
      <c r="AW12" s="235"/>
      <c r="AX12" s="235"/>
      <c r="AY12" s="235"/>
      <c r="AZ12" s="235"/>
      <c r="BA12" s="236"/>
      <c r="BB12" s="10"/>
    </row>
    <row r="13" spans="2:54" ht="14.25" customHeight="1">
      <c r="B13" s="58"/>
      <c r="C13" s="59"/>
      <c r="D13" s="59"/>
      <c r="E13" s="59"/>
      <c r="F13" s="59"/>
      <c r="G13" s="59"/>
      <c r="H13" s="59"/>
      <c r="I13" s="59"/>
      <c r="J13" s="59"/>
      <c r="K13" s="59"/>
      <c r="L13" s="59"/>
      <c r="M13" s="59"/>
      <c r="N13" s="59"/>
      <c r="O13" s="59"/>
      <c r="P13" s="59"/>
      <c r="Q13" s="59"/>
      <c r="R13" s="59"/>
      <c r="S13" s="59"/>
      <c r="T13" s="59"/>
      <c r="U13" s="59"/>
      <c r="V13" s="59"/>
      <c r="W13" s="59"/>
      <c r="X13" s="59"/>
      <c r="Y13" s="59"/>
      <c r="Z13" s="59"/>
      <c r="AA13" s="59"/>
      <c r="AB13" s="59"/>
      <c r="AC13" s="59"/>
      <c r="AD13" s="225">
        <v>15</v>
      </c>
      <c r="AE13" s="226"/>
      <c r="AF13" s="226"/>
      <c r="AG13" s="226"/>
      <c r="AH13" s="226"/>
      <c r="AI13" s="227"/>
      <c r="AJ13" s="225">
        <v>24</v>
      </c>
      <c r="AK13" s="226"/>
      <c r="AL13" s="226"/>
      <c r="AM13" s="226"/>
      <c r="AN13" s="226"/>
      <c r="AO13" s="226"/>
      <c r="AP13" s="227"/>
      <c r="AQ13" s="245" t="s">
        <v>37</v>
      </c>
      <c r="AR13" s="246"/>
      <c r="AS13" s="246"/>
      <c r="AT13" s="246"/>
      <c r="AU13" s="246"/>
      <c r="AV13" s="246"/>
      <c r="AW13" s="246"/>
      <c r="AX13" s="246"/>
      <c r="AY13" s="246"/>
      <c r="AZ13" s="246"/>
      <c r="BA13" s="247"/>
      <c r="BB13" s="60"/>
    </row>
    <row r="14" spans="2:54" ht="14.25" customHeight="1">
      <c r="B14" s="16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221">
        <v>18</v>
      </c>
      <c r="AE14" s="221"/>
      <c r="AF14" s="221"/>
      <c r="AG14" s="221"/>
      <c r="AH14" s="221"/>
      <c r="AI14" s="221"/>
      <c r="AJ14" s="221">
        <v>24</v>
      </c>
      <c r="AK14" s="221"/>
      <c r="AL14" s="221"/>
      <c r="AM14" s="221"/>
      <c r="AN14" s="221"/>
      <c r="AO14" s="221"/>
      <c r="AP14" s="221"/>
      <c r="AQ14" s="220" t="s">
        <v>37</v>
      </c>
      <c r="AR14" s="221"/>
      <c r="AS14" s="221"/>
      <c r="AT14" s="221"/>
      <c r="AU14" s="221"/>
      <c r="AV14" s="221"/>
      <c r="AW14" s="221"/>
      <c r="AX14" s="221"/>
      <c r="AY14" s="221"/>
      <c r="AZ14" s="221"/>
      <c r="BA14" s="221"/>
      <c r="BB14" s="19"/>
    </row>
    <row r="15" spans="2:54" ht="14.25" customHeight="1">
      <c r="B15" s="16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221" t="s">
        <v>35</v>
      </c>
      <c r="AE15" s="221"/>
      <c r="AF15" s="221"/>
      <c r="AG15" s="221"/>
      <c r="AH15" s="221"/>
      <c r="AI15" s="221"/>
      <c r="AJ15" s="221">
        <v>30</v>
      </c>
      <c r="AK15" s="221"/>
      <c r="AL15" s="221"/>
      <c r="AM15" s="221"/>
      <c r="AN15" s="221"/>
      <c r="AO15" s="221"/>
      <c r="AP15" s="221"/>
      <c r="AQ15" s="220" t="s">
        <v>38</v>
      </c>
      <c r="AR15" s="221"/>
      <c r="AS15" s="221"/>
      <c r="AT15" s="221"/>
      <c r="AU15" s="221"/>
      <c r="AV15" s="221"/>
      <c r="AW15" s="221"/>
      <c r="AX15" s="221"/>
      <c r="AY15" s="221"/>
      <c r="AZ15" s="221"/>
      <c r="BA15" s="221"/>
      <c r="BB15" s="18"/>
    </row>
    <row r="16" spans="2:54" ht="14.25" customHeight="1">
      <c r="B16" s="16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2"/>
      <c r="AE16" s="32"/>
      <c r="AF16" s="32"/>
      <c r="AG16" s="32"/>
      <c r="AH16" s="32"/>
      <c r="AI16" s="32"/>
      <c r="AJ16" s="32"/>
      <c r="AK16" s="32"/>
      <c r="AL16" s="32"/>
      <c r="AM16" s="32"/>
      <c r="AN16" s="32"/>
      <c r="AO16" s="32"/>
      <c r="AP16" s="32"/>
      <c r="AQ16" s="32"/>
      <c r="AR16" s="32"/>
      <c r="AS16" s="32"/>
      <c r="AT16" s="32"/>
      <c r="AU16" s="9"/>
      <c r="AV16" s="32"/>
      <c r="AW16" s="32"/>
      <c r="AX16" s="32"/>
      <c r="AY16" s="32"/>
      <c r="AZ16" s="32"/>
      <c r="BA16" s="32"/>
      <c r="BB16" s="18"/>
    </row>
    <row r="17" spans="2:57" ht="14.25" customHeight="1">
      <c r="B17" s="16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32"/>
      <c r="AE17" s="32"/>
      <c r="AF17" s="32"/>
      <c r="AG17" s="32"/>
      <c r="AH17" s="32"/>
      <c r="AI17" s="32"/>
      <c r="AJ17" s="32"/>
      <c r="AK17" s="32"/>
      <c r="AL17" s="32"/>
      <c r="AM17" s="32"/>
      <c r="AN17" s="32"/>
      <c r="AO17" s="32"/>
      <c r="AP17" s="32"/>
      <c r="AQ17" s="32"/>
      <c r="AR17" s="32"/>
      <c r="AS17" s="32"/>
      <c r="AT17" s="32"/>
      <c r="AU17" s="9"/>
      <c r="AV17" s="32"/>
      <c r="AW17" s="32"/>
      <c r="AX17" s="32"/>
      <c r="AY17" s="32"/>
      <c r="AZ17" s="32"/>
      <c r="BA17" s="32"/>
      <c r="BB17" s="18"/>
    </row>
    <row r="18" spans="2:57" ht="14.25" customHeight="1">
      <c r="B18" s="16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  <c r="AC18" s="9"/>
      <c r="AD18" s="9"/>
      <c r="AE18" s="9"/>
      <c r="AF18" s="9"/>
      <c r="AG18" s="9"/>
      <c r="AH18" s="9"/>
      <c r="AI18" s="9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18"/>
    </row>
    <row r="19" spans="2:57" ht="14.25" customHeight="1">
      <c r="B19" s="16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  <c r="AE19" s="9"/>
      <c r="AF19" s="9"/>
      <c r="AG19" s="9"/>
      <c r="AH19" s="9"/>
      <c r="AI19" s="9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18"/>
    </row>
    <row r="20" spans="2:57" ht="14.25" customHeight="1">
      <c r="B20" s="16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  <c r="AE20" s="9"/>
      <c r="AF20" s="9"/>
      <c r="AG20" s="9"/>
      <c r="AH20" s="9"/>
      <c r="AI20" s="9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18"/>
    </row>
    <row r="21" spans="2:57" ht="14.25" customHeight="1">
      <c r="B21" s="16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  <c r="AE21" s="9"/>
      <c r="AF21" s="9"/>
      <c r="AG21" s="9"/>
      <c r="AH21" s="9"/>
      <c r="AI21" s="9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18"/>
    </row>
    <row r="22" spans="2:57" ht="14.25" customHeight="1">
      <c r="B22" s="16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  <c r="AC22" s="9"/>
      <c r="AD22" s="9"/>
      <c r="AE22" s="9"/>
      <c r="AF22" s="9"/>
      <c r="AG22" s="9"/>
      <c r="AH22" s="9"/>
      <c r="AI22" s="9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18"/>
    </row>
    <row r="23" spans="2:57" ht="14.25" customHeight="1">
      <c r="B23" s="16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  <c r="AD23" s="9"/>
      <c r="AE23" s="9"/>
      <c r="AF23" s="9"/>
      <c r="AG23" s="9"/>
      <c r="AH23" s="9"/>
      <c r="AI23" s="9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18"/>
    </row>
    <row r="24" spans="2:57" ht="14.25" customHeight="1">
      <c r="B24" s="8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  <c r="AE24" s="9"/>
      <c r="AF24" s="9"/>
      <c r="AG24" s="9"/>
      <c r="AH24" s="9"/>
      <c r="AI24" s="9"/>
      <c r="AJ24" s="9"/>
      <c r="AK24" s="9"/>
      <c r="AL24" s="9"/>
      <c r="AM24" s="9"/>
      <c r="AN24" s="9"/>
      <c r="AO24" s="9"/>
      <c r="AP24" s="9"/>
      <c r="AQ24" s="9"/>
      <c r="AR24" s="9"/>
      <c r="AS24" s="9"/>
      <c r="AT24" s="9"/>
      <c r="AU24" s="9"/>
      <c r="AV24" s="9"/>
      <c r="AW24" s="9"/>
      <c r="AX24" s="9"/>
      <c r="AY24" s="9"/>
      <c r="AZ24" s="9"/>
      <c r="BA24" s="9"/>
      <c r="BB24" s="10"/>
    </row>
    <row r="25" spans="2:57" ht="14.25" customHeight="1">
      <c r="B25" s="8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  <c r="AC25" s="9"/>
      <c r="AD25" s="9"/>
      <c r="AE25" s="9"/>
      <c r="AF25" s="9"/>
      <c r="AG25" s="9"/>
      <c r="AH25" s="9"/>
      <c r="AI25" s="9"/>
      <c r="AJ25" s="9"/>
      <c r="AK25" s="9"/>
      <c r="AL25" s="9"/>
      <c r="AM25" s="9"/>
      <c r="AN25" s="9"/>
      <c r="AO25" s="9"/>
      <c r="AP25" s="9"/>
      <c r="AQ25" s="9"/>
      <c r="AR25" s="9"/>
      <c r="AS25" s="9"/>
      <c r="AT25" s="9"/>
      <c r="AU25" s="9"/>
      <c r="AV25" s="9"/>
      <c r="AW25" s="9"/>
      <c r="AX25" s="9"/>
      <c r="AY25" s="9"/>
      <c r="AZ25" s="9"/>
      <c r="BA25" s="9"/>
      <c r="BB25" s="10"/>
    </row>
    <row r="26" spans="2:57" ht="14.25" customHeight="1">
      <c r="B26" s="8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  <c r="AD26" s="9"/>
      <c r="AE26" s="9"/>
      <c r="AF26" s="9"/>
      <c r="AG26" s="9"/>
      <c r="AH26" s="9"/>
      <c r="AI26" s="9"/>
      <c r="AJ26" s="9"/>
      <c r="AK26" s="9"/>
      <c r="AL26" s="9"/>
      <c r="AM26" s="9"/>
      <c r="AN26" s="9"/>
      <c r="AO26" s="9"/>
      <c r="AP26" s="9"/>
      <c r="AQ26" s="9"/>
      <c r="AR26" s="9"/>
      <c r="AS26" s="9"/>
      <c r="AT26" s="9"/>
      <c r="AU26" s="9"/>
      <c r="AV26" s="9"/>
      <c r="AW26" s="9"/>
      <c r="AX26" s="9"/>
      <c r="AY26" s="9"/>
      <c r="AZ26" s="9"/>
      <c r="BA26" s="9"/>
      <c r="BB26" s="10"/>
    </row>
    <row r="27" spans="2:57" ht="14.25" customHeight="1">
      <c r="B27" s="8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  <c r="AC27" s="9"/>
      <c r="AD27" s="9"/>
      <c r="AE27" s="9"/>
      <c r="AF27" s="9"/>
      <c r="AG27" s="9"/>
      <c r="AH27" s="9"/>
      <c r="AI27" s="9"/>
      <c r="AJ27" s="9"/>
      <c r="AK27" s="9"/>
      <c r="AL27" s="9"/>
      <c r="AM27" s="9"/>
      <c r="AN27" s="9"/>
      <c r="AO27" s="9"/>
      <c r="AP27" s="9"/>
      <c r="AQ27" s="9"/>
      <c r="AR27" s="9"/>
      <c r="AS27" s="9"/>
      <c r="AT27" s="9"/>
      <c r="AU27" s="9"/>
      <c r="AV27" s="9"/>
      <c r="AW27" s="9"/>
      <c r="AX27" s="9"/>
      <c r="AY27" s="9"/>
      <c r="AZ27" s="9"/>
      <c r="BA27" s="9"/>
      <c r="BB27" s="10"/>
    </row>
    <row r="28" spans="2:57" ht="14.25" customHeight="1">
      <c r="B28" s="8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  <c r="AC28" s="9"/>
      <c r="AD28" s="9"/>
      <c r="AE28" s="9"/>
      <c r="AF28" s="9"/>
      <c r="AG28" s="9"/>
      <c r="AH28" s="9"/>
      <c r="AI28" s="9"/>
      <c r="AJ28" s="9"/>
      <c r="AK28" s="9"/>
      <c r="AL28" s="9"/>
      <c r="AM28" s="9"/>
      <c r="AN28" s="9"/>
      <c r="AO28" s="9"/>
      <c r="AP28" s="9"/>
      <c r="AQ28" s="9"/>
      <c r="AR28" s="9"/>
      <c r="AS28" s="9"/>
      <c r="AT28" s="9"/>
      <c r="AU28" s="9"/>
      <c r="AV28" s="9"/>
      <c r="AW28" s="9"/>
      <c r="AX28" s="9"/>
      <c r="AY28" s="9"/>
      <c r="AZ28" s="9"/>
      <c r="BA28" s="9"/>
      <c r="BB28" s="10"/>
    </row>
    <row r="29" spans="2:57">
      <c r="B29" s="8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  <c r="AC29" s="9"/>
      <c r="AD29" s="9"/>
      <c r="AE29" s="71"/>
      <c r="AF29" s="71"/>
      <c r="AG29" s="71"/>
      <c r="AH29" s="71"/>
      <c r="AI29" s="71"/>
      <c r="AJ29" s="71"/>
      <c r="AK29" s="71"/>
      <c r="AL29" s="71"/>
      <c r="AM29" s="71"/>
      <c r="AN29" s="71"/>
      <c r="AO29" s="71"/>
      <c r="AP29" s="71"/>
      <c r="AQ29" s="71"/>
      <c r="AR29" s="71"/>
      <c r="AS29" s="71"/>
      <c r="AT29" s="71"/>
      <c r="AU29" s="71"/>
      <c r="AV29" s="71"/>
      <c r="AW29" s="71"/>
      <c r="AX29" s="71"/>
      <c r="AY29" s="71"/>
      <c r="AZ29" s="71"/>
      <c r="BA29" s="71"/>
      <c r="BB29" s="10"/>
    </row>
    <row r="30" spans="2:57" ht="14.25" customHeight="1">
      <c r="B30" s="8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  <c r="AC30" s="9"/>
      <c r="AD30" s="9"/>
      <c r="BB30" s="18"/>
      <c r="BC30" s="3"/>
      <c r="BD30" s="3"/>
      <c r="BE30" s="3"/>
    </row>
    <row r="31" spans="2:57" ht="14.25" customHeight="1">
      <c r="B31" s="8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  <c r="AD31" s="9"/>
      <c r="BB31" s="10"/>
      <c r="BC31" s="9"/>
      <c r="BD31" s="9"/>
      <c r="BE31" s="9"/>
    </row>
    <row r="32" spans="2:57" ht="14.25" customHeight="1">
      <c r="B32" s="8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192"/>
      <c r="Z32" s="192"/>
      <c r="AA32" s="9"/>
      <c r="AB32" s="192"/>
      <c r="AC32" s="192"/>
      <c r="AD32" s="9"/>
      <c r="AE32" s="222" t="s">
        <v>61</v>
      </c>
      <c r="AF32" s="189"/>
      <c r="AG32" s="189"/>
      <c r="AH32" s="189"/>
      <c r="AI32" s="189"/>
      <c r="AJ32" s="189"/>
      <c r="AK32" s="189"/>
      <c r="AL32" s="189"/>
      <c r="AM32" s="189"/>
      <c r="AN32" s="189"/>
      <c r="AO32" s="189"/>
      <c r="AP32" s="189"/>
      <c r="AQ32" s="189"/>
      <c r="AR32" s="189"/>
      <c r="AS32" s="189"/>
      <c r="AT32" s="189"/>
      <c r="AU32" s="189"/>
      <c r="AV32" s="189"/>
      <c r="AW32" s="189"/>
      <c r="AX32" s="189"/>
      <c r="AY32" s="189"/>
      <c r="AZ32" s="189"/>
      <c r="BA32" s="190"/>
      <c r="BB32" s="10"/>
      <c r="BC32" s="9"/>
      <c r="BD32" s="9"/>
      <c r="BE32" s="9"/>
    </row>
    <row r="33" spans="1:57" ht="14.25" customHeight="1">
      <c r="B33" s="8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Y33" s="9"/>
      <c r="Z33" s="9"/>
      <c r="AA33" s="9"/>
      <c r="AB33" s="9"/>
      <c r="AC33" s="9"/>
      <c r="AD33" s="9"/>
      <c r="AE33" s="68"/>
      <c r="AF33" s="254"/>
      <c r="AG33" s="254"/>
      <c r="AH33" s="254"/>
      <c r="AI33" s="255"/>
      <c r="AJ33" s="279"/>
      <c r="AK33" s="254">
        <v>2</v>
      </c>
      <c r="AL33" s="254"/>
      <c r="AM33" s="254"/>
      <c r="AN33" s="255"/>
      <c r="AO33" s="279"/>
      <c r="AP33" s="254">
        <f>AK35+1</f>
        <v>1</v>
      </c>
      <c r="AQ33" s="254"/>
      <c r="AR33" s="254"/>
      <c r="AS33" s="255"/>
      <c r="AT33" s="279"/>
      <c r="AU33" s="254"/>
      <c r="AV33" s="254"/>
      <c r="AW33" s="254"/>
      <c r="AX33" s="254"/>
      <c r="AY33" s="254"/>
      <c r="AZ33" s="254"/>
      <c r="BA33" s="255"/>
      <c r="BB33" s="10"/>
      <c r="BC33" s="9"/>
      <c r="BD33" s="9"/>
      <c r="BE33" s="9"/>
    </row>
    <row r="34" spans="1:57" ht="14.25" customHeight="1">
      <c r="B34" s="8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  <c r="AC34" s="9"/>
      <c r="AD34" s="9"/>
      <c r="AE34" s="68"/>
      <c r="AF34" s="254"/>
      <c r="AG34" s="254"/>
      <c r="AH34" s="254"/>
      <c r="AI34" s="255"/>
      <c r="AJ34" s="279"/>
      <c r="AK34" s="254">
        <v>4</v>
      </c>
      <c r="AL34" s="254"/>
      <c r="AM34" s="254"/>
      <c r="AN34" s="255"/>
      <c r="AO34" s="279"/>
      <c r="AP34" s="254">
        <f>AK35+AK33+0.5</f>
        <v>2.5</v>
      </c>
      <c r="AQ34" s="254"/>
      <c r="AR34" s="254"/>
      <c r="AS34" s="255"/>
      <c r="AT34" s="279"/>
      <c r="AU34" s="280"/>
      <c r="AV34" s="280"/>
      <c r="AW34" s="280"/>
      <c r="AX34" s="280"/>
      <c r="AY34" s="280"/>
      <c r="AZ34" s="280"/>
      <c r="BA34" s="281"/>
      <c r="BB34" s="10"/>
    </row>
    <row r="35" spans="1:57" ht="14.25" customHeight="1">
      <c r="B35" s="8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  <c r="AC35" s="9"/>
      <c r="AD35" s="9"/>
      <c r="AE35" s="68"/>
      <c r="AF35" s="254">
        <f>AF33+2</f>
        <v>2</v>
      </c>
      <c r="AG35" s="254"/>
      <c r="AH35" s="254"/>
      <c r="AI35" s="255"/>
      <c r="AJ35" s="279"/>
      <c r="AK35" s="254">
        <f>'IN-ENG-27 1(2)'!BG9</f>
        <v>0</v>
      </c>
      <c r="AL35" s="254"/>
      <c r="AM35" s="254"/>
      <c r="AN35" s="255"/>
      <c r="AO35" s="279"/>
      <c r="AP35" s="254">
        <f>AF33+2</f>
        <v>2</v>
      </c>
      <c r="AQ35" s="254"/>
      <c r="AR35" s="254"/>
      <c r="AS35" s="255"/>
      <c r="AT35" s="279"/>
      <c r="AU35" s="280"/>
      <c r="AV35" s="280"/>
      <c r="AW35" s="280"/>
      <c r="AX35" s="280"/>
      <c r="AY35" s="280"/>
      <c r="AZ35" s="280"/>
      <c r="BA35" s="281"/>
      <c r="BB35" s="10"/>
    </row>
    <row r="36" spans="1:57" ht="14.25" customHeight="1">
      <c r="B36" s="8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  <c r="AB36" s="9"/>
      <c r="AC36" s="9"/>
      <c r="AD36" s="32"/>
      <c r="AE36" s="256" t="s">
        <v>49</v>
      </c>
      <c r="AF36" s="257"/>
      <c r="AG36" s="257"/>
      <c r="AH36" s="257"/>
      <c r="AI36" s="257"/>
      <c r="AJ36" s="257"/>
      <c r="AK36" s="257"/>
      <c r="AL36" s="257"/>
      <c r="AM36" s="257"/>
      <c r="AN36" s="257"/>
      <c r="AO36" s="257"/>
      <c r="AP36" s="257"/>
      <c r="AQ36" s="257"/>
      <c r="AR36" s="257"/>
      <c r="AS36" s="258"/>
      <c r="AT36" s="262" t="s">
        <v>45</v>
      </c>
      <c r="AU36" s="263"/>
      <c r="AV36" s="263"/>
      <c r="AW36" s="263"/>
      <c r="AX36" s="263"/>
      <c r="AY36" s="263"/>
      <c r="AZ36" s="263"/>
      <c r="BA36" s="264"/>
      <c r="BB36" s="10"/>
    </row>
    <row r="37" spans="1:57" ht="14.25" customHeight="1">
      <c r="B37" s="8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  <c r="AC37" s="9"/>
      <c r="AD37" s="9"/>
      <c r="AE37" s="259"/>
      <c r="AF37" s="260"/>
      <c r="AG37" s="260"/>
      <c r="AH37" s="260"/>
      <c r="AI37" s="260"/>
      <c r="AJ37" s="260"/>
      <c r="AK37" s="260"/>
      <c r="AL37" s="260"/>
      <c r="AM37" s="260"/>
      <c r="AN37" s="260"/>
      <c r="AO37" s="260"/>
      <c r="AP37" s="260"/>
      <c r="AQ37" s="260"/>
      <c r="AR37" s="260"/>
      <c r="AS37" s="261"/>
      <c r="AT37" s="265"/>
      <c r="AU37" s="266"/>
      <c r="AV37" s="266"/>
      <c r="AW37" s="266"/>
      <c r="AX37" s="266"/>
      <c r="AY37" s="266"/>
      <c r="AZ37" s="266"/>
      <c r="BA37" s="267"/>
      <c r="BB37" s="21"/>
    </row>
    <row r="38" spans="1:57" ht="14.25" customHeight="1">
      <c r="B38" s="22"/>
      <c r="C38" s="23"/>
      <c r="D38" s="23"/>
      <c r="E38" s="23"/>
      <c r="F38" s="23"/>
      <c r="G38" s="23"/>
      <c r="H38" s="23"/>
      <c r="I38" s="23"/>
      <c r="J38" s="23"/>
      <c r="K38" s="23"/>
      <c r="L38" s="23"/>
      <c r="M38" s="23"/>
      <c r="N38" s="23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  <c r="AC38" s="9"/>
      <c r="AD38" s="9"/>
      <c r="AE38" s="229" t="s">
        <v>44</v>
      </c>
      <c r="AF38" s="230"/>
      <c r="AG38" s="230"/>
      <c r="AH38" s="230"/>
      <c r="AI38" s="230"/>
      <c r="AJ38" s="230"/>
      <c r="AK38" s="230"/>
      <c r="AL38" s="230"/>
      <c r="AM38" s="230"/>
      <c r="AN38" s="230"/>
      <c r="AO38" s="230"/>
      <c r="AP38" s="230"/>
      <c r="AQ38" s="230"/>
      <c r="AR38" s="230"/>
      <c r="AS38" s="231"/>
      <c r="AT38" s="248">
        <v>2</v>
      </c>
      <c r="AU38" s="249"/>
      <c r="AV38" s="249"/>
      <c r="AW38" s="249"/>
      <c r="AX38" s="249"/>
      <c r="AY38" s="249"/>
      <c r="AZ38" s="249"/>
      <c r="BA38" s="250"/>
      <c r="BB38" s="21"/>
    </row>
    <row r="39" spans="1:57" ht="14.25" customHeight="1">
      <c r="B39" s="8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  <c r="AB39" s="9"/>
      <c r="AC39" s="9"/>
      <c r="AD39" s="9"/>
      <c r="AE39" s="229" t="s">
        <v>48</v>
      </c>
      <c r="AF39" s="230"/>
      <c r="AG39" s="230"/>
      <c r="AH39" s="230"/>
      <c r="AI39" s="230"/>
      <c r="AJ39" s="230"/>
      <c r="AK39" s="230"/>
      <c r="AL39" s="230"/>
      <c r="AM39" s="230"/>
      <c r="AN39" s="230"/>
      <c r="AO39" s="230"/>
      <c r="AP39" s="230"/>
      <c r="AQ39" s="230"/>
      <c r="AR39" s="230"/>
      <c r="AS39" s="231"/>
      <c r="AT39" s="248">
        <v>1</v>
      </c>
      <c r="AU39" s="249"/>
      <c r="AV39" s="249"/>
      <c r="AW39" s="249"/>
      <c r="AX39" s="249"/>
      <c r="AY39" s="249"/>
      <c r="AZ39" s="249"/>
      <c r="BA39" s="250"/>
      <c r="BB39" s="21"/>
    </row>
    <row r="40" spans="1:57" ht="14.25" customHeight="1">
      <c r="B40" s="8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  <c r="AB40" s="9"/>
      <c r="AC40" s="9"/>
      <c r="AD40" s="9"/>
      <c r="AE40" s="229" t="s">
        <v>64</v>
      </c>
      <c r="AF40" s="230"/>
      <c r="AG40" s="230"/>
      <c r="AH40" s="230"/>
      <c r="AI40" s="230"/>
      <c r="AJ40" s="230"/>
      <c r="AK40" s="230"/>
      <c r="AL40" s="230"/>
      <c r="AM40" s="230"/>
      <c r="AN40" s="230"/>
      <c r="AO40" s="230"/>
      <c r="AP40" s="230"/>
      <c r="AQ40" s="230"/>
      <c r="AR40" s="230"/>
      <c r="AS40" s="231"/>
      <c r="AT40" s="248">
        <v>12</v>
      </c>
      <c r="AU40" s="249"/>
      <c r="AV40" s="249"/>
      <c r="AW40" s="249"/>
      <c r="AX40" s="249"/>
      <c r="AY40" s="249"/>
      <c r="AZ40" s="249"/>
      <c r="BA40" s="250"/>
      <c r="BB40" s="21"/>
    </row>
    <row r="41" spans="1:57" ht="14.25" customHeight="1">
      <c r="A41" s="165" t="s">
        <v>69</v>
      </c>
      <c r="B41" s="8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  <c r="AB41" s="9"/>
      <c r="AC41" s="9"/>
      <c r="AD41" s="9"/>
      <c r="AE41" s="229" t="s">
        <v>46</v>
      </c>
      <c r="AF41" s="230"/>
      <c r="AG41" s="230"/>
      <c r="AH41" s="230"/>
      <c r="AI41" s="230"/>
      <c r="AJ41" s="230"/>
      <c r="AK41" s="230"/>
      <c r="AL41" s="230"/>
      <c r="AM41" s="230"/>
      <c r="AN41" s="230"/>
      <c r="AO41" s="230"/>
      <c r="AP41" s="230"/>
      <c r="AQ41" s="230"/>
      <c r="AR41" s="230"/>
      <c r="AS41" s="231"/>
      <c r="AT41" s="248">
        <v>12</v>
      </c>
      <c r="AU41" s="249"/>
      <c r="AV41" s="249"/>
      <c r="AW41" s="249"/>
      <c r="AX41" s="249"/>
      <c r="AY41" s="249"/>
      <c r="AZ41" s="249"/>
      <c r="BA41" s="250"/>
      <c r="BB41" s="21"/>
    </row>
    <row r="42" spans="1:57" ht="14.25" customHeight="1">
      <c r="A42" s="166"/>
      <c r="B42" s="25"/>
      <c r="C42" s="26"/>
      <c r="D42" s="26"/>
      <c r="E42" s="26"/>
      <c r="F42" s="26"/>
      <c r="G42" s="26"/>
      <c r="H42" s="26"/>
      <c r="I42" s="26"/>
      <c r="J42" s="26"/>
      <c r="K42" s="26"/>
      <c r="L42" s="26"/>
      <c r="M42" s="26"/>
      <c r="N42" s="26"/>
      <c r="O42" s="26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229" t="s">
        <v>47</v>
      </c>
      <c r="AF42" s="230"/>
      <c r="AG42" s="230"/>
      <c r="AH42" s="230"/>
      <c r="AI42" s="230"/>
      <c r="AJ42" s="230"/>
      <c r="AK42" s="230"/>
      <c r="AL42" s="230"/>
      <c r="AM42" s="230"/>
      <c r="AN42" s="230"/>
      <c r="AO42" s="230"/>
      <c r="AP42" s="230"/>
      <c r="AQ42" s="230"/>
      <c r="AR42" s="230"/>
      <c r="AS42" s="231"/>
      <c r="AT42" s="248">
        <v>12</v>
      </c>
      <c r="AU42" s="249"/>
      <c r="AV42" s="249"/>
      <c r="AW42" s="249"/>
      <c r="AX42" s="249"/>
      <c r="AY42" s="249"/>
      <c r="AZ42" s="249"/>
      <c r="BA42" s="250"/>
      <c r="BB42" s="27"/>
    </row>
    <row r="43" spans="1:57" ht="14.25" customHeight="1">
      <c r="A43" s="166"/>
      <c r="B43" s="25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282"/>
      <c r="AF43" s="283"/>
      <c r="AG43" s="283"/>
      <c r="AH43" s="283"/>
      <c r="AI43" s="283"/>
      <c r="AJ43" s="283"/>
      <c r="AK43" s="283"/>
      <c r="AL43" s="283"/>
      <c r="AM43" s="283"/>
      <c r="AN43" s="283"/>
      <c r="AO43" s="283"/>
      <c r="AP43" s="283"/>
      <c r="AQ43" s="283"/>
      <c r="AR43" s="283"/>
      <c r="AS43" s="284"/>
      <c r="AT43" s="285"/>
      <c r="AU43" s="286"/>
      <c r="AV43" s="286"/>
      <c r="AW43" s="286"/>
      <c r="AX43" s="286"/>
      <c r="AY43" s="286"/>
      <c r="AZ43" s="286"/>
      <c r="BA43" s="287"/>
      <c r="BB43" s="28"/>
    </row>
    <row r="44" spans="1:57" ht="14.25" customHeight="1">
      <c r="A44" s="166"/>
      <c r="B44" s="8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  <c r="AA44" s="9"/>
      <c r="AB44" s="9"/>
      <c r="AC44" s="9"/>
      <c r="AD44" s="9"/>
      <c r="AE44" s="282"/>
      <c r="AF44" s="283"/>
      <c r="AG44" s="283"/>
      <c r="AH44" s="283"/>
      <c r="AI44" s="283"/>
      <c r="AJ44" s="283"/>
      <c r="AK44" s="283"/>
      <c r="AL44" s="283"/>
      <c r="AM44" s="283"/>
      <c r="AN44" s="283"/>
      <c r="AO44" s="283"/>
      <c r="AP44" s="283"/>
      <c r="AQ44" s="283"/>
      <c r="AR44" s="283"/>
      <c r="AS44" s="284"/>
      <c r="AT44" s="285"/>
      <c r="AU44" s="286"/>
      <c r="AV44" s="286"/>
      <c r="AW44" s="286"/>
      <c r="AX44" s="286"/>
      <c r="AY44" s="286"/>
      <c r="AZ44" s="286"/>
      <c r="BA44" s="287"/>
      <c r="BB44" s="28"/>
    </row>
    <row r="45" spans="1:57" ht="14.25" customHeight="1">
      <c r="A45" s="166"/>
      <c r="B45" s="8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  <c r="AA45" s="9"/>
      <c r="AB45" s="9"/>
      <c r="AC45" s="9"/>
      <c r="AD45" s="9"/>
      <c r="AE45" s="282"/>
      <c r="AF45" s="283"/>
      <c r="AG45" s="283"/>
      <c r="AH45" s="283"/>
      <c r="AI45" s="283"/>
      <c r="AJ45" s="283"/>
      <c r="AK45" s="283"/>
      <c r="AL45" s="283"/>
      <c r="AM45" s="283"/>
      <c r="AN45" s="283"/>
      <c r="AO45" s="283"/>
      <c r="AP45" s="283"/>
      <c r="AQ45" s="283"/>
      <c r="AR45" s="283"/>
      <c r="AS45" s="284"/>
      <c r="AT45" s="285"/>
      <c r="AU45" s="286"/>
      <c r="AV45" s="286"/>
      <c r="AW45" s="286"/>
      <c r="AX45" s="286"/>
      <c r="AY45" s="286"/>
      <c r="AZ45" s="286"/>
      <c r="BA45" s="287"/>
      <c r="BB45" s="28"/>
    </row>
    <row r="46" spans="1:57" ht="14.25" customHeight="1">
      <c r="A46" s="166"/>
      <c r="B46" s="8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  <c r="AB46" s="9"/>
      <c r="AC46" s="9"/>
      <c r="AD46" s="9"/>
      <c r="AE46" s="282"/>
      <c r="AF46" s="283"/>
      <c r="AG46" s="283"/>
      <c r="AH46" s="283"/>
      <c r="AI46" s="283"/>
      <c r="AJ46" s="283"/>
      <c r="AK46" s="283"/>
      <c r="AL46" s="283"/>
      <c r="AM46" s="283"/>
      <c r="AN46" s="283"/>
      <c r="AO46" s="283"/>
      <c r="AP46" s="283"/>
      <c r="AQ46" s="283"/>
      <c r="AR46" s="283"/>
      <c r="AS46" s="284"/>
      <c r="AT46" s="285"/>
      <c r="AU46" s="286"/>
      <c r="AV46" s="286"/>
      <c r="AW46" s="286"/>
      <c r="AX46" s="286"/>
      <c r="AY46" s="286"/>
      <c r="AZ46" s="286"/>
      <c r="BA46" s="287"/>
      <c r="BB46" s="29"/>
    </row>
    <row r="47" spans="1:57" ht="14.25" customHeight="1">
      <c r="A47" s="166"/>
      <c r="B47" s="8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  <c r="AB47" s="9"/>
      <c r="AC47" s="9"/>
      <c r="AD47" s="9"/>
      <c r="AE47" s="282"/>
      <c r="AF47" s="283"/>
      <c r="AG47" s="283"/>
      <c r="AH47" s="283"/>
      <c r="AI47" s="283"/>
      <c r="AJ47" s="283"/>
      <c r="AK47" s="283"/>
      <c r="AL47" s="283"/>
      <c r="AM47" s="283"/>
      <c r="AN47" s="283"/>
      <c r="AO47" s="283"/>
      <c r="AP47" s="283"/>
      <c r="AQ47" s="283"/>
      <c r="AR47" s="283"/>
      <c r="AS47" s="284"/>
      <c r="AT47" s="285"/>
      <c r="AU47" s="286"/>
      <c r="AV47" s="286"/>
      <c r="AW47" s="286"/>
      <c r="AX47" s="286"/>
      <c r="AY47" s="286"/>
      <c r="AZ47" s="286"/>
      <c r="BA47" s="287"/>
      <c r="BB47" s="29"/>
    </row>
    <row r="48" spans="1:57" ht="14.25" customHeight="1">
      <c r="A48" s="166"/>
      <c r="B48" s="8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  <c r="AB48" s="9"/>
      <c r="AC48" s="9"/>
      <c r="AD48" s="9"/>
      <c r="AE48" s="288"/>
      <c r="AF48" s="288"/>
      <c r="AG48" s="288"/>
      <c r="AH48" s="288"/>
      <c r="AI48" s="288"/>
      <c r="AJ48" s="288"/>
      <c r="AK48" s="288"/>
      <c r="AL48" s="288"/>
      <c r="AM48" s="288"/>
      <c r="AN48" s="288"/>
      <c r="AO48" s="288"/>
      <c r="AP48" s="288"/>
      <c r="AQ48" s="288"/>
      <c r="AR48" s="288"/>
      <c r="AS48" s="288"/>
      <c r="AT48" s="285"/>
      <c r="AU48" s="286"/>
      <c r="AV48" s="286"/>
      <c r="AW48" s="286"/>
      <c r="AX48" s="286"/>
      <c r="AY48" s="286"/>
      <c r="AZ48" s="286"/>
      <c r="BA48" s="287"/>
      <c r="BB48" s="29"/>
    </row>
    <row r="49" spans="1:55" ht="3.75" customHeight="1">
      <c r="A49" s="166"/>
      <c r="B49" s="30"/>
      <c r="C49" s="31"/>
      <c r="D49" s="31"/>
      <c r="E49" s="31"/>
      <c r="F49" s="31"/>
      <c r="G49" s="31"/>
      <c r="H49" s="31"/>
      <c r="I49" s="31"/>
      <c r="J49" s="31"/>
      <c r="K49" s="31"/>
      <c r="L49" s="31"/>
      <c r="M49" s="31"/>
      <c r="N49" s="31"/>
      <c r="O49" s="31"/>
      <c r="P49" s="31"/>
      <c r="Q49" s="31"/>
      <c r="R49" s="31"/>
      <c r="S49" s="31"/>
      <c r="T49" s="31"/>
      <c r="U49" s="31"/>
      <c r="V49" s="31"/>
      <c r="W49" s="31"/>
      <c r="X49" s="31"/>
      <c r="Y49" s="31"/>
      <c r="Z49" s="31"/>
      <c r="AA49" s="31"/>
      <c r="AB49" s="31"/>
      <c r="AC49" s="31"/>
      <c r="AD49" s="31"/>
      <c r="AE49" s="31"/>
      <c r="AF49" s="31"/>
      <c r="AG49" s="31"/>
      <c r="AH49" s="31"/>
      <c r="AI49" s="31"/>
      <c r="AJ49" s="32"/>
      <c r="AK49" s="33"/>
      <c r="AL49" s="33"/>
      <c r="AM49" s="33"/>
      <c r="AN49" s="33"/>
      <c r="AO49" s="33"/>
      <c r="AP49" s="33"/>
      <c r="AQ49" s="33"/>
      <c r="AR49" s="33"/>
      <c r="AS49" s="33"/>
      <c r="AT49" s="33"/>
      <c r="AU49" s="33"/>
      <c r="AV49" s="33"/>
      <c r="AW49" s="33"/>
      <c r="AX49" s="33"/>
      <c r="AY49" s="33"/>
      <c r="AZ49" s="33"/>
      <c r="BA49" s="20"/>
      <c r="BB49" s="34"/>
    </row>
    <row r="50" spans="1:55" ht="8.25" customHeight="1">
      <c r="A50" s="166"/>
      <c r="B50" s="167"/>
      <c r="C50" s="168"/>
      <c r="D50" s="168"/>
      <c r="E50" s="168"/>
      <c r="F50" s="168"/>
      <c r="G50" s="168"/>
      <c r="H50" s="168"/>
      <c r="I50" s="168"/>
      <c r="J50" s="168"/>
      <c r="K50" s="168"/>
      <c r="L50" s="168"/>
      <c r="M50" s="168"/>
      <c r="N50" s="168"/>
      <c r="O50" s="168"/>
      <c r="P50" s="169"/>
      <c r="Q50" s="209" t="s">
        <v>53</v>
      </c>
      <c r="R50" s="210"/>
      <c r="S50" s="210"/>
      <c r="T50" s="210"/>
      <c r="U50" s="210"/>
      <c r="V50" s="210"/>
      <c r="W50" s="210"/>
      <c r="X50" s="210"/>
      <c r="Y50" s="210"/>
      <c r="Z50" s="210"/>
      <c r="AA50" s="210"/>
      <c r="AB50" s="210"/>
      <c r="AC50" s="210"/>
      <c r="AD50" s="210"/>
      <c r="AE50" s="210"/>
      <c r="AF50" s="210"/>
      <c r="AG50" s="210"/>
      <c r="AH50" s="210"/>
      <c r="AI50" s="210"/>
      <c r="AJ50" s="211"/>
      <c r="AK50" s="35"/>
      <c r="AL50" s="93"/>
      <c r="AM50" s="93"/>
      <c r="AN50" s="93"/>
      <c r="AO50" s="98" t="str">
        <f>IF(ISBLANK('IN-ENG-27 1(2)'!AO53),"",'IN-ENG-27 1(2)'!AO53)</f>
        <v/>
      </c>
      <c r="AP50" s="98"/>
      <c r="AQ50" s="98"/>
      <c r="AR50" s="98"/>
      <c r="AS50" s="98"/>
      <c r="AT50" s="98"/>
      <c r="AU50" s="98"/>
      <c r="AV50" s="32"/>
      <c r="AW50" s="32"/>
      <c r="AX50" s="92" t="s">
        <v>1</v>
      </c>
      <c r="AY50" s="92"/>
      <c r="AZ50" s="32"/>
      <c r="BA50" s="36"/>
      <c r="BB50" s="37"/>
      <c r="BC50" s="32"/>
    </row>
    <row r="51" spans="1:55" ht="7.5" customHeight="1">
      <c r="A51" s="166"/>
      <c r="B51" s="170"/>
      <c r="C51" s="171"/>
      <c r="D51" s="171"/>
      <c r="E51" s="171"/>
      <c r="F51" s="171"/>
      <c r="G51" s="171"/>
      <c r="H51" s="171"/>
      <c r="I51" s="171"/>
      <c r="J51" s="171"/>
      <c r="K51" s="171"/>
      <c r="L51" s="171"/>
      <c r="M51" s="171"/>
      <c r="N51" s="171"/>
      <c r="O51" s="171"/>
      <c r="P51" s="172"/>
      <c r="Q51" s="212"/>
      <c r="R51" s="213"/>
      <c r="S51" s="213"/>
      <c r="T51" s="213"/>
      <c r="U51" s="213"/>
      <c r="V51" s="213"/>
      <c r="W51" s="213"/>
      <c r="X51" s="213"/>
      <c r="Y51" s="213"/>
      <c r="Z51" s="213"/>
      <c r="AA51" s="213"/>
      <c r="AB51" s="213"/>
      <c r="AC51" s="213"/>
      <c r="AD51" s="213"/>
      <c r="AE51" s="213"/>
      <c r="AF51" s="213"/>
      <c r="AG51" s="213"/>
      <c r="AH51" s="213"/>
      <c r="AI51" s="213"/>
      <c r="AJ51" s="214"/>
      <c r="AK51" s="35"/>
      <c r="AL51" s="149" t="s">
        <v>0</v>
      </c>
      <c r="AM51" s="149"/>
      <c r="AN51" s="149"/>
      <c r="AO51" s="144" t="str">
        <f>IF(ISBLANK('IN-ENG-27 1(2)'!AO54)," ",'IN-ENG-27 1(2)'!AO54)</f>
        <v xml:space="preserve"> </v>
      </c>
      <c r="AP51" s="144"/>
      <c r="AQ51" s="144"/>
      <c r="AR51" s="144"/>
      <c r="AS51" s="144"/>
      <c r="AT51" s="144"/>
      <c r="AU51" s="144"/>
      <c r="AV51" s="32"/>
      <c r="AW51" s="32"/>
      <c r="AX51" s="136">
        <f ca="1">TODAY()</f>
        <v>41289</v>
      </c>
      <c r="AY51" s="136"/>
      <c r="AZ51" s="32"/>
      <c r="BA51" s="251" t="str">
        <f>IF(ISBLANK('IN-ENG-27 1(2)'!BA54),"",'IN-ENG-27 1(2)'!BA54)</f>
        <v/>
      </c>
      <c r="BB51" s="10"/>
      <c r="BC51" s="32"/>
    </row>
    <row r="52" spans="1:55" ht="7.5" customHeight="1">
      <c r="A52" s="166"/>
      <c r="B52" s="170"/>
      <c r="C52" s="171"/>
      <c r="D52" s="171"/>
      <c r="E52" s="171"/>
      <c r="F52" s="171"/>
      <c r="G52" s="171"/>
      <c r="H52" s="171"/>
      <c r="I52" s="171"/>
      <c r="J52" s="171"/>
      <c r="K52" s="171"/>
      <c r="L52" s="171"/>
      <c r="M52" s="171"/>
      <c r="N52" s="171"/>
      <c r="O52" s="171"/>
      <c r="P52" s="172"/>
      <c r="Q52" s="212"/>
      <c r="R52" s="213"/>
      <c r="S52" s="213"/>
      <c r="T52" s="213"/>
      <c r="U52" s="213"/>
      <c r="V52" s="213"/>
      <c r="W52" s="213"/>
      <c r="X52" s="213"/>
      <c r="Y52" s="213"/>
      <c r="Z52" s="213"/>
      <c r="AA52" s="213"/>
      <c r="AB52" s="213"/>
      <c r="AC52" s="213"/>
      <c r="AD52" s="213"/>
      <c r="AE52" s="213"/>
      <c r="AF52" s="213"/>
      <c r="AG52" s="213"/>
      <c r="AH52" s="213"/>
      <c r="AI52" s="213"/>
      <c r="AJ52" s="214"/>
      <c r="AK52" s="35"/>
      <c r="AL52" s="149"/>
      <c r="AM52" s="149"/>
      <c r="AN52" s="149"/>
      <c r="AO52" s="144"/>
      <c r="AP52" s="144"/>
      <c r="AQ52" s="144"/>
      <c r="AR52" s="144"/>
      <c r="AS52" s="144"/>
      <c r="AT52" s="144"/>
      <c r="AU52" s="144"/>
      <c r="AV52" s="32"/>
      <c r="AW52" s="32"/>
      <c r="AX52" s="136"/>
      <c r="AY52" s="136"/>
      <c r="AZ52" s="32"/>
      <c r="BA52" s="251"/>
      <c r="BB52" s="10"/>
      <c r="BC52" s="32"/>
    </row>
    <row r="53" spans="1:55" ht="11.25" customHeight="1">
      <c r="A53" s="166"/>
      <c r="B53" s="170"/>
      <c r="C53" s="171"/>
      <c r="D53" s="171"/>
      <c r="E53" s="171"/>
      <c r="F53" s="171"/>
      <c r="G53" s="171"/>
      <c r="H53" s="171"/>
      <c r="I53" s="171"/>
      <c r="J53" s="171"/>
      <c r="K53" s="171"/>
      <c r="L53" s="171"/>
      <c r="M53" s="171"/>
      <c r="N53" s="171"/>
      <c r="O53" s="171"/>
      <c r="P53" s="172"/>
      <c r="Q53" s="205" t="s">
        <v>56</v>
      </c>
      <c r="R53" s="206"/>
      <c r="S53" s="206"/>
      <c r="T53" s="206"/>
      <c r="U53" s="206"/>
      <c r="V53" s="228" t="str">
        <f>IF(ISBLANK('IN-ENG-27 1(2)'!V56),"",'IN-ENG-27 1(2)'!V56)</f>
        <v/>
      </c>
      <c r="W53" s="228"/>
      <c r="X53" s="228"/>
      <c r="Y53" s="228"/>
      <c r="Z53" s="228"/>
      <c r="AA53" s="228"/>
      <c r="AB53" s="228"/>
      <c r="AC53" s="228"/>
      <c r="AD53" s="228"/>
      <c r="AE53" s="228"/>
      <c r="AF53" s="228"/>
      <c r="AG53" s="228"/>
      <c r="AH53" s="228"/>
      <c r="AI53" s="228"/>
      <c r="AJ53" s="94"/>
      <c r="AK53" s="35"/>
      <c r="AL53" s="149" t="s">
        <v>2</v>
      </c>
      <c r="AM53" s="149"/>
      <c r="AN53" s="149"/>
      <c r="AO53" s="144" t="str">
        <f>IF(ISBLANK('IN-ENG-27 1(2)'!AO56)," ",'IN-ENG-27 1(2)'!AO56)</f>
        <v xml:space="preserve"> </v>
      </c>
      <c r="AP53" s="144"/>
      <c r="AQ53" s="144"/>
      <c r="AR53" s="144"/>
      <c r="AS53" s="144"/>
      <c r="AT53" s="144"/>
      <c r="AU53" s="144"/>
      <c r="AV53" s="32"/>
      <c r="AW53" s="32"/>
      <c r="AX53" s="215"/>
      <c r="AY53" s="215"/>
      <c r="AZ53" s="32"/>
      <c r="BA53" s="218" t="s">
        <v>7</v>
      </c>
      <c r="BB53" s="10"/>
      <c r="BC53" s="32"/>
    </row>
    <row r="54" spans="1:55" ht="3" customHeight="1">
      <c r="A54" s="166"/>
      <c r="B54" s="170"/>
      <c r="C54" s="171"/>
      <c r="D54" s="171"/>
      <c r="E54" s="171"/>
      <c r="F54" s="171"/>
      <c r="G54" s="171"/>
      <c r="H54" s="171"/>
      <c r="I54" s="171"/>
      <c r="J54" s="171"/>
      <c r="K54" s="171"/>
      <c r="L54" s="171"/>
      <c r="M54" s="171"/>
      <c r="N54" s="171"/>
      <c r="O54" s="171"/>
      <c r="P54" s="172"/>
      <c r="Q54" s="205"/>
      <c r="R54" s="206"/>
      <c r="S54" s="206"/>
      <c r="T54" s="206"/>
      <c r="U54" s="206"/>
      <c r="V54" s="252"/>
      <c r="W54" s="252"/>
      <c r="X54" s="252"/>
      <c r="Y54" s="252"/>
      <c r="Z54" s="252"/>
      <c r="AA54" s="252"/>
      <c r="AB54" s="252"/>
      <c r="AC54" s="252"/>
      <c r="AD54" s="252"/>
      <c r="AE54" s="252"/>
      <c r="AF54" s="252"/>
      <c r="AG54" s="252"/>
      <c r="AH54" s="252"/>
      <c r="AI54" s="252"/>
      <c r="AJ54" s="38"/>
      <c r="AK54" s="35"/>
      <c r="AL54" s="149"/>
      <c r="AM54" s="149"/>
      <c r="AN54" s="149"/>
      <c r="AO54" s="144"/>
      <c r="AP54" s="144"/>
      <c r="AQ54" s="144"/>
      <c r="AR54" s="144"/>
      <c r="AS54" s="144"/>
      <c r="AT54" s="144"/>
      <c r="AU54" s="144"/>
      <c r="AV54" s="32"/>
      <c r="AW54" s="32"/>
      <c r="AX54" s="138"/>
      <c r="AY54" s="138"/>
      <c r="AZ54" s="32"/>
      <c r="BA54" s="218"/>
      <c r="BB54" s="39"/>
      <c r="BC54" s="32"/>
    </row>
    <row r="55" spans="1:55" ht="11.25" customHeight="1">
      <c r="A55" s="166"/>
      <c r="B55" s="170"/>
      <c r="C55" s="171"/>
      <c r="D55" s="171"/>
      <c r="E55" s="171"/>
      <c r="F55" s="171"/>
      <c r="G55" s="171"/>
      <c r="H55" s="171"/>
      <c r="I55" s="171"/>
      <c r="J55" s="171"/>
      <c r="K55" s="171"/>
      <c r="L55" s="171"/>
      <c r="M55" s="171"/>
      <c r="N55" s="171"/>
      <c r="O55" s="171"/>
      <c r="P55" s="172"/>
      <c r="Q55" s="180" t="s">
        <v>65</v>
      </c>
      <c r="R55" s="228"/>
      <c r="S55" s="228"/>
      <c r="T55" s="228"/>
      <c r="U55" s="228"/>
      <c r="V55" s="228" t="str">
        <f>IF(ISBLANK('IN-ENG-27 1(2)'!V58),"",'IN-ENG-27 1(2)'!V58)</f>
        <v/>
      </c>
      <c r="W55" s="228"/>
      <c r="X55" s="228"/>
      <c r="Y55" s="228"/>
      <c r="Z55" s="228"/>
      <c r="AA55" s="228"/>
      <c r="AB55" s="228"/>
      <c r="AC55" s="228"/>
      <c r="AD55" s="228"/>
      <c r="AE55" s="228"/>
      <c r="AF55" s="228"/>
      <c r="AG55" s="228"/>
      <c r="AH55" s="228"/>
      <c r="AI55" s="228"/>
      <c r="AJ55" s="85"/>
      <c r="AK55" s="32"/>
      <c r="AL55" s="149" t="s">
        <v>4</v>
      </c>
      <c r="AM55" s="149"/>
      <c r="AN55" s="149"/>
      <c r="AO55" s="143"/>
      <c r="AP55" s="143"/>
      <c r="AQ55" s="143"/>
      <c r="AR55" s="143"/>
      <c r="AS55" s="143"/>
      <c r="AT55" s="143"/>
      <c r="AU55" s="143"/>
      <c r="AV55" s="32"/>
      <c r="AW55" s="32"/>
      <c r="AX55" s="215"/>
      <c r="AY55" s="215"/>
      <c r="AZ55" s="32"/>
      <c r="BA55" s="251" t="str">
        <f>IF(ISBLANK('IN-ENG-27 1(2)'!BA58),"",'IN-ENG-27 1(2)'!BA58+1)</f>
        <v/>
      </c>
      <c r="BB55" s="24"/>
      <c r="BC55" s="32"/>
    </row>
    <row r="56" spans="1:55" ht="3" customHeight="1">
      <c r="A56" s="166"/>
      <c r="B56" s="170"/>
      <c r="C56" s="171"/>
      <c r="D56" s="171"/>
      <c r="E56" s="171"/>
      <c r="F56" s="171"/>
      <c r="G56" s="171"/>
      <c r="H56" s="171"/>
      <c r="I56" s="171"/>
      <c r="J56" s="171"/>
      <c r="K56" s="171"/>
      <c r="L56" s="171"/>
      <c r="M56" s="171"/>
      <c r="N56" s="171"/>
      <c r="O56" s="171"/>
      <c r="P56" s="172"/>
      <c r="Q56" s="180"/>
      <c r="R56" s="228"/>
      <c r="S56" s="228"/>
      <c r="T56" s="228"/>
      <c r="U56" s="228"/>
      <c r="V56" s="252"/>
      <c r="W56" s="252"/>
      <c r="X56" s="252"/>
      <c r="Y56" s="252"/>
      <c r="Z56" s="252"/>
      <c r="AA56" s="252"/>
      <c r="AB56" s="252"/>
      <c r="AC56" s="252"/>
      <c r="AD56" s="252"/>
      <c r="AE56" s="252"/>
      <c r="AF56" s="252"/>
      <c r="AG56" s="252"/>
      <c r="AH56" s="252"/>
      <c r="AI56" s="252"/>
      <c r="AJ56" s="85"/>
      <c r="AK56" s="32"/>
      <c r="AL56" s="149"/>
      <c r="AM56" s="149"/>
      <c r="AN56" s="149"/>
      <c r="AO56" s="144"/>
      <c r="AP56" s="144"/>
      <c r="AQ56" s="144"/>
      <c r="AR56" s="144"/>
      <c r="AS56" s="144"/>
      <c r="AT56" s="144"/>
      <c r="AU56" s="144"/>
      <c r="AV56" s="32"/>
      <c r="AW56" s="32"/>
      <c r="AX56" s="138"/>
      <c r="AY56" s="138"/>
      <c r="AZ56" s="32"/>
      <c r="BA56" s="251"/>
      <c r="BB56" s="24"/>
      <c r="BC56" s="32"/>
    </row>
    <row r="57" spans="1:55" ht="6" customHeight="1">
      <c r="A57" s="166"/>
      <c r="B57" s="170"/>
      <c r="C57" s="171"/>
      <c r="D57" s="171"/>
      <c r="E57" s="171"/>
      <c r="F57" s="171"/>
      <c r="G57" s="171"/>
      <c r="H57" s="171"/>
      <c r="I57" s="171"/>
      <c r="J57" s="171"/>
      <c r="K57" s="171"/>
      <c r="L57" s="171"/>
      <c r="M57" s="171"/>
      <c r="N57" s="171"/>
      <c r="O57" s="171"/>
      <c r="P57" s="172"/>
      <c r="Q57" s="180" t="str">
        <f>IF(ISBLANK('IN-ENG-27 1(2)'!Q60),"",'IN-ENG-27 1(2)'!Q60)</f>
        <v/>
      </c>
      <c r="R57" s="228"/>
      <c r="S57" s="228"/>
      <c r="T57" s="228"/>
      <c r="U57" s="228"/>
      <c r="V57" s="228"/>
      <c r="W57" s="228"/>
      <c r="X57" s="185" t="s">
        <v>57</v>
      </c>
      <c r="Y57" s="185"/>
      <c r="Z57" s="185"/>
      <c r="AA57" s="185"/>
      <c r="AB57" s="185"/>
      <c r="AC57" s="185"/>
      <c r="AD57" s="185"/>
      <c r="AE57" s="185"/>
      <c r="AF57" s="185"/>
      <c r="AG57" s="185"/>
      <c r="AH57" s="185"/>
      <c r="AI57" s="185"/>
      <c r="AJ57" s="184"/>
      <c r="AK57" s="35"/>
      <c r="AL57" s="149" t="s">
        <v>5</v>
      </c>
      <c r="AM57" s="149"/>
      <c r="AN57" s="149"/>
      <c r="AO57" s="143"/>
      <c r="AP57" s="143"/>
      <c r="AQ57" s="143"/>
      <c r="AR57" s="143"/>
      <c r="AS57" s="143"/>
      <c r="AT57" s="143"/>
      <c r="AU57" s="143"/>
      <c r="AV57" s="32"/>
      <c r="AW57" s="32"/>
      <c r="AX57" s="215"/>
      <c r="AY57" s="215"/>
      <c r="AZ57" s="32"/>
      <c r="BA57" s="147" t="s">
        <v>6</v>
      </c>
      <c r="BB57" s="40"/>
      <c r="BC57" s="32"/>
    </row>
    <row r="58" spans="1:55" ht="6.75" customHeight="1">
      <c r="A58" s="166"/>
      <c r="B58" s="170"/>
      <c r="C58" s="171"/>
      <c r="D58" s="171"/>
      <c r="E58" s="171"/>
      <c r="F58" s="171"/>
      <c r="G58" s="171"/>
      <c r="H58" s="171"/>
      <c r="I58" s="171"/>
      <c r="J58" s="171"/>
      <c r="K58" s="171"/>
      <c r="L58" s="171"/>
      <c r="M58" s="171"/>
      <c r="N58" s="171"/>
      <c r="O58" s="171"/>
      <c r="P58" s="172"/>
      <c r="Q58" s="180"/>
      <c r="R58" s="228"/>
      <c r="S58" s="228"/>
      <c r="T58" s="228"/>
      <c r="U58" s="228"/>
      <c r="V58" s="228"/>
      <c r="W58" s="228"/>
      <c r="X58" s="185"/>
      <c r="Y58" s="185"/>
      <c r="Z58" s="185"/>
      <c r="AA58" s="185"/>
      <c r="AB58" s="185"/>
      <c r="AC58" s="185"/>
      <c r="AD58" s="185"/>
      <c r="AE58" s="185"/>
      <c r="AF58" s="185"/>
      <c r="AG58" s="185"/>
      <c r="AH58" s="185"/>
      <c r="AI58" s="185"/>
      <c r="AJ58" s="184"/>
      <c r="AK58" s="35"/>
      <c r="AL58" s="149"/>
      <c r="AM58" s="149"/>
      <c r="AN58" s="149"/>
      <c r="AO58" s="144"/>
      <c r="AP58" s="144"/>
      <c r="AQ58" s="144"/>
      <c r="AR58" s="144"/>
      <c r="AS58" s="144"/>
      <c r="AT58" s="144"/>
      <c r="AU58" s="144"/>
      <c r="AV58" s="32"/>
      <c r="AW58" s="32"/>
      <c r="AX58" s="138"/>
      <c r="AY58" s="138"/>
      <c r="AZ58" s="32"/>
      <c r="BA58" s="147"/>
      <c r="BB58" s="40"/>
      <c r="BC58" s="32"/>
    </row>
    <row r="59" spans="1:55" ht="11.25" customHeight="1">
      <c r="A59" s="166"/>
      <c r="B59" s="170"/>
      <c r="C59" s="171"/>
      <c r="D59" s="171"/>
      <c r="E59" s="171"/>
      <c r="F59" s="171"/>
      <c r="G59" s="171"/>
      <c r="H59" s="171"/>
      <c r="I59" s="171"/>
      <c r="J59" s="171"/>
      <c r="K59" s="171"/>
      <c r="L59" s="171"/>
      <c r="M59" s="171"/>
      <c r="N59" s="171"/>
      <c r="O59" s="171"/>
      <c r="P59" s="172"/>
      <c r="Q59" s="177" t="s">
        <v>58</v>
      </c>
      <c r="R59" s="178"/>
      <c r="S59" s="178"/>
      <c r="T59" s="178"/>
      <c r="U59" s="253" t="str">
        <f>IF(ISBLANK('IN-ENG-27 1(2)'!U62),"",'IN-ENG-27 1(2)'!U62)</f>
        <v/>
      </c>
      <c r="V59" s="253"/>
      <c r="W59" s="253"/>
      <c r="X59" s="253"/>
      <c r="Y59" s="87"/>
      <c r="Z59" s="87" t="s">
        <v>59</v>
      </c>
      <c r="AA59" s="253" t="str">
        <f>IF(ISBLANK('IN-ENG-27 1(2)'!AA62),"",'IN-ENG-27 1(2)'!AA62)</f>
        <v/>
      </c>
      <c r="AB59" s="253"/>
      <c r="AC59" s="253"/>
      <c r="AD59" s="88"/>
      <c r="AE59" s="86" t="s">
        <v>60</v>
      </c>
      <c r="AF59" s="253" t="str">
        <f>IF(ISBLANK('IN-ENG-27 1(2)'!AF62),"",'IN-ENG-27 1(2)'!AF62)</f>
        <v/>
      </c>
      <c r="AG59" s="253"/>
      <c r="AH59" s="253"/>
      <c r="AI59" s="87"/>
      <c r="AJ59" s="89"/>
      <c r="AK59" s="35"/>
      <c r="AL59" s="149" t="s">
        <v>3</v>
      </c>
      <c r="AM59" s="149"/>
      <c r="AN59" s="149"/>
      <c r="AO59" s="144"/>
      <c r="AP59" s="144"/>
      <c r="AQ59" s="144"/>
      <c r="AR59" s="144"/>
      <c r="AS59" s="144"/>
      <c r="AT59" s="144"/>
      <c r="AU59" s="144"/>
      <c r="AV59" s="144"/>
      <c r="AW59" s="144"/>
      <c r="AX59" s="144"/>
      <c r="AY59" s="144"/>
      <c r="AZ59" s="32"/>
      <c r="BA59" s="147"/>
      <c r="BB59" s="40"/>
      <c r="BC59" s="32"/>
    </row>
    <row r="60" spans="1:55" ht="3.75" customHeight="1" thickBot="1">
      <c r="A60" s="166"/>
      <c r="B60" s="173"/>
      <c r="C60" s="174"/>
      <c r="D60" s="174"/>
      <c r="E60" s="174"/>
      <c r="F60" s="174"/>
      <c r="G60" s="174"/>
      <c r="H60" s="174"/>
      <c r="I60" s="174"/>
      <c r="J60" s="174"/>
      <c r="K60" s="174"/>
      <c r="L60" s="174"/>
      <c r="M60" s="174"/>
      <c r="N60" s="174"/>
      <c r="O60" s="174"/>
      <c r="P60" s="175"/>
      <c r="Q60" s="41"/>
      <c r="R60" s="42"/>
      <c r="S60" s="42"/>
      <c r="T60" s="42"/>
      <c r="U60" s="42"/>
      <c r="V60" s="42"/>
      <c r="W60" s="42"/>
      <c r="X60" s="42"/>
      <c r="Y60" s="42"/>
      <c r="Z60" s="42"/>
      <c r="AA60" s="42"/>
      <c r="AB60" s="42"/>
      <c r="AC60" s="42"/>
      <c r="AD60" s="42"/>
      <c r="AE60" s="42"/>
      <c r="AF60" s="42"/>
      <c r="AG60" s="42"/>
      <c r="AH60" s="42"/>
      <c r="AI60" s="42"/>
      <c r="AJ60" s="43"/>
      <c r="AK60" s="41"/>
      <c r="AL60" s="42"/>
      <c r="AM60" s="42"/>
      <c r="AN60" s="42"/>
      <c r="AO60" s="42"/>
      <c r="AP60" s="42"/>
      <c r="AQ60" s="42"/>
      <c r="AR60" s="42"/>
      <c r="AS60" s="42"/>
      <c r="AT60" s="42"/>
      <c r="AU60" s="44"/>
      <c r="AV60" s="42"/>
      <c r="AW60" s="42"/>
      <c r="AX60" s="42"/>
      <c r="AY60" s="42"/>
      <c r="AZ60" s="42"/>
      <c r="BA60" s="148"/>
      <c r="BB60" s="45"/>
      <c r="BC60" s="32"/>
    </row>
    <row r="61" spans="1:55" ht="9" customHeight="1">
      <c r="AU61" s="46"/>
    </row>
  </sheetData>
  <sheetProtection password="8550" sheet="1" objects="1" scenarios="1"/>
  <mergeCells count="99">
    <mergeCell ref="AF33:AI33"/>
    <mergeCell ref="AT42:BA42"/>
    <mergeCell ref="AT43:BA43"/>
    <mergeCell ref="AT44:BA44"/>
    <mergeCell ref="AF34:AI34"/>
    <mergeCell ref="AK34:AN34"/>
    <mergeCell ref="AP34:AS34"/>
    <mergeCell ref="AU34:BA34"/>
    <mergeCell ref="AU35:BA35"/>
    <mergeCell ref="AP35:AS35"/>
    <mergeCell ref="AU33:BA33"/>
    <mergeCell ref="AP33:AS33"/>
    <mergeCell ref="AK33:AN33"/>
    <mergeCell ref="AT45:BA45"/>
    <mergeCell ref="AK35:AN35"/>
    <mergeCell ref="AT46:BA46"/>
    <mergeCell ref="BA53:BA54"/>
    <mergeCell ref="AE47:AS47"/>
    <mergeCell ref="AE48:AS48"/>
    <mergeCell ref="AT47:BA47"/>
    <mergeCell ref="AT48:BA48"/>
    <mergeCell ref="AX53:AY54"/>
    <mergeCell ref="AO51:AU52"/>
    <mergeCell ref="AX51:AY52"/>
    <mergeCell ref="AE43:AS43"/>
    <mergeCell ref="AE44:AS44"/>
    <mergeCell ref="AE38:AS38"/>
    <mergeCell ref="AE39:AS39"/>
    <mergeCell ref="Q53:U54"/>
    <mergeCell ref="V53:AI54"/>
    <mergeCell ref="AL53:AN54"/>
    <mergeCell ref="AO53:AU54"/>
    <mergeCell ref="Q59:T59"/>
    <mergeCell ref="U59:X59"/>
    <mergeCell ref="AA59:AC59"/>
    <mergeCell ref="AF59:AH59"/>
    <mergeCell ref="Y32:Z32"/>
    <mergeCell ref="AB32:AC32"/>
    <mergeCell ref="BA55:BA56"/>
    <mergeCell ref="BA51:BA52"/>
    <mergeCell ref="Q50:AJ52"/>
    <mergeCell ref="Q55:U56"/>
    <mergeCell ref="V55:AI56"/>
    <mergeCell ref="AE45:AS45"/>
    <mergeCell ref="AE40:AS40"/>
    <mergeCell ref="AT39:BA39"/>
    <mergeCell ref="AA3:AB3"/>
    <mergeCell ref="AE42:AS42"/>
    <mergeCell ref="AD6:AP6"/>
    <mergeCell ref="AD7:AP7"/>
    <mergeCell ref="AD13:AI13"/>
    <mergeCell ref="AJ13:AP13"/>
    <mergeCell ref="AQ13:BA13"/>
    <mergeCell ref="AT38:BA38"/>
    <mergeCell ref="AT41:BA41"/>
    <mergeCell ref="AT40:BA40"/>
    <mergeCell ref="AJ12:AP12"/>
    <mergeCell ref="AQ12:BA12"/>
    <mergeCell ref="AD9:AP9"/>
    <mergeCell ref="AD10:AI11"/>
    <mergeCell ref="AJ10:AP11"/>
    <mergeCell ref="AQ10:BA11"/>
    <mergeCell ref="AY7:BA7"/>
    <mergeCell ref="AS6:AT6"/>
    <mergeCell ref="AQ6:AR6"/>
    <mergeCell ref="AU6:AX6"/>
    <mergeCell ref="AQ7:AR7"/>
    <mergeCell ref="AS7:AT7"/>
    <mergeCell ref="AU7:AX7"/>
    <mergeCell ref="A41:A60"/>
    <mergeCell ref="B50:P60"/>
    <mergeCell ref="AL55:AN56"/>
    <mergeCell ref="AL57:AN58"/>
    <mergeCell ref="AL59:AN59"/>
    <mergeCell ref="Q57:W58"/>
    <mergeCell ref="AE46:AS46"/>
    <mergeCell ref="AE41:AS41"/>
    <mergeCell ref="AO55:AU56"/>
    <mergeCell ref="X57:AJ58"/>
    <mergeCell ref="AD3:AE3"/>
    <mergeCell ref="AO57:AU58"/>
    <mergeCell ref="AQ9:BA9"/>
    <mergeCell ref="AX57:AY58"/>
    <mergeCell ref="BA57:BA60"/>
    <mergeCell ref="AO59:AY59"/>
    <mergeCell ref="AD12:AI12"/>
    <mergeCell ref="AD14:AI14"/>
    <mergeCell ref="AD15:AI15"/>
    <mergeCell ref="AY6:BA6"/>
    <mergeCell ref="AQ15:BA15"/>
    <mergeCell ref="AJ14:AP14"/>
    <mergeCell ref="AJ15:AP15"/>
    <mergeCell ref="AE32:BA32"/>
    <mergeCell ref="AQ14:BA14"/>
    <mergeCell ref="AX55:AY56"/>
    <mergeCell ref="AF35:AI35"/>
    <mergeCell ref="AE36:AS37"/>
    <mergeCell ref="AT36:BA37"/>
    <mergeCell ref="AL51:AN52"/>
  </mergeCells>
  <phoneticPr fontId="23" type="noConversion"/>
  <conditionalFormatting sqref="AA3:AB3 AD3:AE3 Y32:Z32 AB32:AC32 AF33:AI35 AK33:AN35 AP33:AS35 AU33:BA33">
    <cfRule type="containsBlanks" dxfId="2" priority="1" stopIfTrue="1">
      <formula>LEN(TRIM(Y3))=0</formula>
    </cfRule>
  </conditionalFormatting>
  <pageMargins left="0.7" right="0.33" top="0.33" bottom="0.33" header="0.5" footer="0.5"/>
  <pageSetup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>
  <sheetPr codeName="Sheet3">
    <pageSetUpPr autoPageBreaks="0"/>
  </sheetPr>
  <dimension ref="A1:DD62"/>
  <sheetViews>
    <sheetView showGridLines="0" tabSelected="1" topLeftCell="A13" workbookViewId="0">
      <selection activeCell="BG32" sqref="BG32:DC49"/>
    </sheetView>
  </sheetViews>
  <sheetFormatPr defaultRowHeight="12.75"/>
  <cols>
    <col min="1" max="1" width="1.5703125" customWidth="1"/>
    <col min="2" max="12" width="1.85546875" customWidth="1"/>
    <col min="13" max="16" width="1.28515625" customWidth="1"/>
    <col min="17" max="35" width="1.85546875" customWidth="1"/>
    <col min="36" max="36" width="2" customWidth="1"/>
    <col min="37" max="37" width="1.42578125" customWidth="1"/>
    <col min="38" max="38" width="1.7109375" customWidth="1"/>
    <col min="39" max="40" width="2" customWidth="1"/>
    <col min="41" max="46" width="2.140625" customWidth="1"/>
    <col min="47" max="47" width="2.28515625" style="1" customWidth="1"/>
    <col min="48" max="50" width="1" customWidth="1"/>
    <col min="51" max="51" width="2.28515625" customWidth="1"/>
    <col min="52" max="52" width="0.42578125" customWidth="1"/>
    <col min="53" max="53" width="3.140625" customWidth="1"/>
    <col min="54" max="54" width="0.7109375" customWidth="1"/>
    <col min="55" max="55" width="1.5703125" customWidth="1"/>
    <col min="56" max="66" width="1.85546875" customWidth="1"/>
    <col min="67" max="70" width="1.28515625" customWidth="1"/>
    <col min="71" max="89" width="1.85546875" customWidth="1"/>
    <col min="90" max="90" width="2" customWidth="1"/>
    <col min="91" max="91" width="1.42578125" customWidth="1"/>
    <col min="92" max="92" width="1.7109375" customWidth="1"/>
    <col min="93" max="94" width="2" customWidth="1"/>
    <col min="95" max="100" width="2.140625" customWidth="1"/>
    <col min="101" max="101" width="2.28515625" customWidth="1"/>
    <col min="102" max="104" width="1" customWidth="1"/>
    <col min="105" max="105" width="2.28515625" customWidth="1"/>
    <col min="106" max="106" width="0.42578125" customWidth="1"/>
    <col min="107" max="107" width="3.140625" customWidth="1"/>
    <col min="108" max="108" width="0.7109375" customWidth="1"/>
  </cols>
  <sheetData>
    <row r="1" spans="2:108" s="64" customFormat="1" ht="13.5" customHeight="1">
      <c r="B1" s="76"/>
      <c r="C1" s="77"/>
      <c r="D1" s="77"/>
      <c r="E1" s="77"/>
      <c r="F1" s="77"/>
      <c r="G1" s="77"/>
      <c r="H1" s="77"/>
      <c r="I1" s="77"/>
      <c r="J1" s="77"/>
      <c r="K1" s="77"/>
      <c r="L1" s="77"/>
      <c r="M1" s="77"/>
      <c r="N1" s="77"/>
      <c r="O1" s="77"/>
      <c r="P1" s="77"/>
      <c r="Q1" s="77"/>
      <c r="R1" s="77"/>
      <c r="S1" s="77"/>
      <c r="T1" s="77"/>
      <c r="U1" s="77"/>
      <c r="V1" s="77"/>
      <c r="W1" s="77"/>
      <c r="X1" s="77"/>
      <c r="Y1" s="77"/>
      <c r="Z1" s="77"/>
      <c r="AA1" s="77"/>
      <c r="AB1" s="77"/>
      <c r="AC1" s="77"/>
      <c r="AD1" s="77"/>
      <c r="AE1" s="77"/>
      <c r="AF1" s="77"/>
      <c r="AG1" s="77"/>
      <c r="AH1" s="77"/>
      <c r="AI1" s="77"/>
      <c r="AJ1" s="77"/>
      <c r="AK1" s="77"/>
      <c r="AL1" s="77"/>
      <c r="AM1" s="77"/>
      <c r="AN1" s="77"/>
      <c r="AO1" s="77"/>
      <c r="AP1" s="77"/>
      <c r="AQ1" s="77"/>
      <c r="AR1" s="77"/>
      <c r="AS1" s="77"/>
      <c r="AT1" s="77"/>
      <c r="AU1" s="77"/>
      <c r="AV1" s="77"/>
      <c r="AW1" s="77"/>
      <c r="AX1" s="77"/>
      <c r="AY1" s="77"/>
      <c r="AZ1" s="77"/>
      <c r="BA1" s="77"/>
      <c r="BB1" s="78"/>
      <c r="BC1" s="65"/>
      <c r="BD1" s="76"/>
      <c r="BE1" s="77"/>
      <c r="BF1" s="77"/>
      <c r="BG1" s="77"/>
      <c r="BH1" s="77"/>
      <c r="BI1" s="77"/>
      <c r="BJ1" s="77"/>
      <c r="BK1" s="77"/>
      <c r="BL1" s="77"/>
      <c r="BM1" s="77"/>
      <c r="BN1" s="77"/>
      <c r="BO1" s="77"/>
      <c r="BP1" s="77"/>
      <c r="BQ1" s="77"/>
      <c r="BR1" s="77"/>
      <c r="BS1" s="77"/>
      <c r="BT1" s="77"/>
      <c r="BU1" s="77"/>
      <c r="BV1" s="77"/>
      <c r="BW1" s="77"/>
      <c r="BX1" s="77"/>
      <c r="BY1" s="77"/>
      <c r="BZ1" s="77"/>
      <c r="CA1" s="77"/>
      <c r="CB1" s="77"/>
      <c r="CC1" s="77"/>
      <c r="CD1" s="77"/>
      <c r="CE1" s="77"/>
      <c r="CF1" s="77"/>
      <c r="CG1" s="77"/>
      <c r="CH1" s="77"/>
      <c r="CI1" s="77"/>
      <c r="CJ1" s="77"/>
      <c r="CK1" s="77"/>
      <c r="CL1" s="77"/>
      <c r="CM1" s="77"/>
      <c r="CN1" s="77"/>
      <c r="CO1" s="77"/>
      <c r="CP1" s="77"/>
      <c r="CQ1" s="77"/>
      <c r="CR1" s="77"/>
      <c r="CS1" s="77"/>
      <c r="CT1" s="77"/>
      <c r="CU1" s="77"/>
      <c r="CV1" s="77"/>
      <c r="CW1" s="77"/>
      <c r="CX1" s="77"/>
      <c r="CY1" s="77"/>
      <c r="CZ1" s="77"/>
      <c r="DA1" s="77"/>
      <c r="DB1" s="77"/>
      <c r="DC1" s="77"/>
      <c r="DD1" s="78"/>
    </row>
    <row r="2" spans="2:108" s="64" customFormat="1" ht="12.75" customHeight="1">
      <c r="B2" s="102"/>
      <c r="C2" s="72"/>
      <c r="D2" s="72"/>
      <c r="E2" s="97"/>
      <c r="F2" s="103"/>
      <c r="G2" s="103"/>
      <c r="H2" s="103"/>
      <c r="I2" s="103"/>
      <c r="J2" s="103"/>
      <c r="K2" s="103"/>
      <c r="L2" s="103"/>
      <c r="M2" s="103"/>
      <c r="N2" s="103"/>
      <c r="O2" s="103"/>
      <c r="P2" s="103"/>
      <c r="Q2" s="103"/>
      <c r="R2" s="103"/>
      <c r="S2" s="103"/>
      <c r="T2" s="103"/>
      <c r="U2" s="103"/>
      <c r="V2" s="103"/>
      <c r="W2" s="103"/>
      <c r="X2" s="103"/>
      <c r="Y2" s="103"/>
      <c r="Z2" s="103"/>
      <c r="AA2" s="103"/>
      <c r="AB2" s="103"/>
      <c r="AC2" s="103"/>
      <c r="AD2" s="103"/>
      <c r="AE2" s="103"/>
      <c r="AF2" s="103"/>
      <c r="AG2" s="103"/>
      <c r="AH2" s="103"/>
      <c r="AI2" s="103"/>
      <c r="AJ2" s="103"/>
      <c r="AK2" s="103"/>
      <c r="AL2" s="103"/>
      <c r="AM2" s="103"/>
      <c r="AN2" s="103"/>
      <c r="AO2" s="103"/>
      <c r="AP2" s="103"/>
      <c r="AQ2" s="103"/>
      <c r="AR2" s="103"/>
      <c r="AS2" s="103"/>
      <c r="AT2" s="103"/>
      <c r="AU2" s="103"/>
      <c r="AV2" s="103"/>
      <c r="AW2" s="103"/>
      <c r="AX2" s="103"/>
      <c r="AY2" s="103"/>
      <c r="AZ2" s="103"/>
      <c r="BA2" s="103"/>
      <c r="BB2" s="104"/>
      <c r="BC2" s="65"/>
      <c r="BD2" s="102"/>
      <c r="BE2" s="72"/>
      <c r="BF2" s="72"/>
      <c r="BG2" s="72"/>
      <c r="BH2" s="114"/>
      <c r="BI2" s="114"/>
      <c r="BJ2" s="114"/>
      <c r="BK2" s="114"/>
      <c r="BL2" s="114"/>
      <c r="BM2" s="114"/>
      <c r="BN2" s="114"/>
      <c r="BO2" s="114"/>
      <c r="BP2" s="114"/>
      <c r="BQ2" s="114"/>
      <c r="BR2" s="114"/>
      <c r="BS2" s="114"/>
      <c r="BT2" s="114"/>
      <c r="BU2" s="114"/>
      <c r="BV2" s="114"/>
      <c r="BW2" s="114"/>
      <c r="BX2" s="114"/>
      <c r="BY2" s="114"/>
      <c r="BZ2" s="114"/>
      <c r="CA2" s="114"/>
      <c r="CB2" s="114"/>
      <c r="CC2" s="114"/>
      <c r="CD2" s="114"/>
      <c r="CE2" s="114"/>
      <c r="CF2" s="114"/>
      <c r="CG2" s="114"/>
      <c r="CH2" s="114"/>
      <c r="CI2" s="114"/>
      <c r="CJ2" s="114"/>
      <c r="CK2" s="114"/>
      <c r="CL2" s="114"/>
      <c r="CM2" s="114"/>
      <c r="CN2" s="114"/>
      <c r="CO2" s="114"/>
      <c r="CP2" s="114"/>
      <c r="CQ2" s="114"/>
      <c r="CR2" s="114"/>
      <c r="CS2" s="114"/>
      <c r="CT2" s="114"/>
      <c r="CU2" s="114"/>
      <c r="CV2" s="114"/>
      <c r="CW2" s="114"/>
      <c r="CX2" s="114"/>
      <c r="CY2" s="114"/>
      <c r="CZ2" s="114"/>
      <c r="DA2" s="114"/>
      <c r="DB2" s="114"/>
      <c r="DC2" s="114"/>
      <c r="DD2" s="104"/>
    </row>
    <row r="3" spans="2:108" s="64" customFormat="1" ht="13.5" customHeight="1">
      <c r="B3" s="105"/>
      <c r="C3" s="106"/>
      <c r="D3" s="106"/>
      <c r="E3" s="106"/>
      <c r="F3" s="103"/>
      <c r="G3" s="103"/>
      <c r="H3" s="103"/>
      <c r="I3" s="103"/>
      <c r="J3" s="103"/>
      <c r="K3" s="103"/>
      <c r="L3" s="103"/>
      <c r="M3" s="103"/>
      <c r="N3" s="103"/>
      <c r="O3" s="103"/>
      <c r="P3" s="103"/>
      <c r="Q3" s="103"/>
      <c r="R3" s="103"/>
      <c r="S3" s="103"/>
      <c r="T3" s="103"/>
      <c r="U3" s="103"/>
      <c r="V3" s="103"/>
      <c r="W3" s="103"/>
      <c r="X3" s="103"/>
      <c r="Y3" s="103"/>
      <c r="Z3" s="103"/>
      <c r="AA3" s="103"/>
      <c r="AB3" s="103"/>
      <c r="AC3" s="103"/>
      <c r="AD3" s="103"/>
      <c r="AE3" s="103"/>
      <c r="AF3" s="103"/>
      <c r="AG3" s="103"/>
      <c r="AH3" s="103"/>
      <c r="AI3" s="103"/>
      <c r="AJ3" s="103"/>
      <c r="AK3" s="103"/>
      <c r="AL3" s="103"/>
      <c r="AM3" s="103"/>
      <c r="AN3" s="103"/>
      <c r="AO3" s="103"/>
      <c r="AP3" s="103"/>
      <c r="AQ3" s="103"/>
      <c r="AR3" s="103"/>
      <c r="AS3" s="103"/>
      <c r="AT3" s="103"/>
      <c r="AU3" s="103"/>
      <c r="AV3" s="103"/>
      <c r="AW3" s="103"/>
      <c r="AX3" s="103"/>
      <c r="AY3" s="103"/>
      <c r="AZ3" s="103"/>
      <c r="BA3" s="103"/>
      <c r="BB3" s="107"/>
      <c r="BC3" s="65"/>
      <c r="BD3" s="105"/>
      <c r="BE3" s="106"/>
      <c r="BF3" s="106"/>
      <c r="BG3" s="106"/>
      <c r="BH3" s="114"/>
      <c r="BI3" s="114"/>
      <c r="BJ3" s="114"/>
      <c r="BK3" s="114"/>
      <c r="BL3" s="114"/>
      <c r="BM3" s="114"/>
      <c r="BN3" s="114"/>
      <c r="BO3" s="114"/>
      <c r="BP3" s="114"/>
      <c r="BQ3" s="114"/>
      <c r="BR3" s="114"/>
      <c r="BS3" s="114"/>
      <c r="BT3" s="114"/>
      <c r="BU3" s="114"/>
      <c r="BV3" s="114"/>
      <c r="BW3" s="114"/>
      <c r="BX3" s="114"/>
      <c r="BY3" s="114"/>
      <c r="BZ3" s="114"/>
      <c r="CA3" s="114"/>
      <c r="CB3" s="114"/>
      <c r="CC3" s="114"/>
      <c r="CD3" s="114"/>
      <c r="CE3" s="114"/>
      <c r="CF3" s="114"/>
      <c r="CG3" s="114"/>
      <c r="CH3" s="114"/>
      <c r="CI3" s="114"/>
      <c r="CJ3" s="114"/>
      <c r="CK3" s="114"/>
      <c r="CL3" s="114"/>
      <c r="CM3" s="114"/>
      <c r="CN3" s="114"/>
      <c r="CO3" s="114"/>
      <c r="CP3" s="114"/>
      <c r="CQ3" s="114"/>
      <c r="CR3" s="114"/>
      <c r="CS3" s="114"/>
      <c r="CT3" s="114"/>
      <c r="CU3" s="114"/>
      <c r="CV3" s="114"/>
      <c r="CW3" s="114"/>
      <c r="CX3" s="114"/>
      <c r="CY3" s="114"/>
      <c r="CZ3" s="114"/>
      <c r="DA3" s="114"/>
      <c r="DB3" s="114"/>
      <c r="DC3" s="114"/>
      <c r="DD3" s="107"/>
    </row>
    <row r="4" spans="2:108" s="64" customFormat="1" ht="14.25" customHeight="1">
      <c r="B4" s="102"/>
      <c r="C4" s="72"/>
      <c r="D4" s="72"/>
      <c r="E4" s="72"/>
      <c r="F4" s="97"/>
      <c r="G4" s="72"/>
      <c r="H4" s="72"/>
      <c r="I4" s="72"/>
      <c r="J4" s="72"/>
      <c r="K4" s="72"/>
      <c r="L4" s="72"/>
      <c r="M4" s="72"/>
      <c r="N4" s="72"/>
      <c r="O4" s="72"/>
      <c r="P4" s="72"/>
      <c r="Q4" s="72"/>
      <c r="R4" s="72"/>
      <c r="S4" s="72"/>
      <c r="T4" s="72"/>
      <c r="U4" s="72"/>
      <c r="V4" s="72"/>
      <c r="W4" s="72"/>
      <c r="X4" s="72"/>
      <c r="Y4" s="72"/>
      <c r="Z4" s="72"/>
      <c r="AA4" s="72"/>
      <c r="AB4" s="72"/>
      <c r="AC4" s="72"/>
      <c r="AD4" s="72"/>
      <c r="AE4" s="72"/>
      <c r="AF4" s="72"/>
      <c r="AG4" s="72"/>
      <c r="AH4" s="72"/>
      <c r="AI4" s="72"/>
      <c r="AJ4" s="72"/>
      <c r="AK4" s="72"/>
      <c r="AL4" s="72"/>
      <c r="AM4" s="72"/>
      <c r="AN4" s="72"/>
      <c r="AO4" s="72"/>
      <c r="AP4" s="72"/>
      <c r="AQ4" s="72"/>
      <c r="AR4" s="72"/>
      <c r="AS4" s="72"/>
      <c r="AT4" s="72"/>
      <c r="AU4" s="72"/>
      <c r="AV4" s="72"/>
      <c r="AW4" s="72"/>
      <c r="AX4" s="72"/>
      <c r="AY4" s="72"/>
      <c r="AZ4" s="72"/>
      <c r="BA4" s="72"/>
      <c r="BB4" s="104"/>
      <c r="BC4" s="65"/>
      <c r="BD4" s="102"/>
      <c r="BE4" s="72"/>
      <c r="BF4" s="72"/>
      <c r="BG4" s="72"/>
      <c r="BH4" s="114"/>
      <c r="BI4" s="114"/>
      <c r="BJ4" s="114"/>
      <c r="BK4" s="114"/>
      <c r="BL4" s="114"/>
      <c r="BM4" s="114"/>
      <c r="BN4" s="114"/>
      <c r="BO4" s="114"/>
      <c r="BP4" s="114"/>
      <c r="BQ4" s="114"/>
      <c r="BR4" s="114"/>
      <c r="BS4" s="114"/>
      <c r="BT4" s="114"/>
      <c r="BU4" s="114"/>
      <c r="BV4" s="114"/>
      <c r="BW4" s="114"/>
      <c r="BX4" s="114"/>
      <c r="BY4" s="114"/>
      <c r="BZ4" s="114"/>
      <c r="CA4" s="114"/>
      <c r="CB4" s="114"/>
      <c r="CC4" s="114"/>
      <c r="CD4" s="114"/>
      <c r="CE4" s="114"/>
      <c r="CF4" s="114"/>
      <c r="CG4" s="114"/>
      <c r="CH4" s="114"/>
      <c r="CI4" s="114"/>
      <c r="CJ4" s="114"/>
      <c r="CK4" s="114"/>
      <c r="CL4" s="114"/>
      <c r="CM4" s="114"/>
      <c r="CN4" s="114"/>
      <c r="CO4" s="114"/>
      <c r="CP4" s="114"/>
      <c r="CQ4" s="114"/>
      <c r="CR4" s="114"/>
      <c r="CS4" s="114"/>
      <c r="CT4" s="114"/>
      <c r="CU4" s="114"/>
      <c r="CV4" s="114"/>
      <c r="CW4" s="114"/>
      <c r="CX4" s="114"/>
      <c r="CY4" s="114"/>
      <c r="CZ4" s="114"/>
      <c r="DA4" s="114"/>
      <c r="DB4" s="114"/>
      <c r="DC4" s="114"/>
      <c r="DD4" s="104"/>
    </row>
    <row r="5" spans="2:108" s="64" customFormat="1" ht="14.25" customHeight="1">
      <c r="B5" s="102"/>
      <c r="C5" s="72"/>
      <c r="D5" s="72"/>
      <c r="E5" s="72"/>
      <c r="F5" s="72"/>
      <c r="G5" s="72"/>
      <c r="H5" s="72"/>
      <c r="I5" s="72"/>
      <c r="J5" s="72"/>
      <c r="K5" s="72"/>
      <c r="L5" s="72"/>
      <c r="M5" s="72"/>
      <c r="N5" s="72"/>
      <c r="O5" s="72"/>
      <c r="P5" s="72"/>
      <c r="Q5" s="72"/>
      <c r="R5" s="72"/>
      <c r="S5" s="72"/>
      <c r="T5" s="72"/>
      <c r="U5" s="72"/>
      <c r="V5" s="72"/>
      <c r="W5" s="72"/>
      <c r="X5" s="72"/>
      <c r="Y5" s="72"/>
      <c r="Z5" s="72"/>
      <c r="AA5" s="72"/>
      <c r="AB5" s="72"/>
      <c r="AC5" s="72"/>
      <c r="AD5" s="72"/>
      <c r="AE5" s="72"/>
      <c r="AF5" s="72"/>
      <c r="AG5" s="72"/>
      <c r="AH5" s="72"/>
      <c r="AI5" s="72"/>
      <c r="AJ5" s="72"/>
      <c r="AK5" s="72"/>
      <c r="AL5" s="72"/>
      <c r="AM5" s="72"/>
      <c r="AN5" s="72"/>
      <c r="AO5" s="72"/>
      <c r="AP5" s="72"/>
      <c r="AQ5" s="72"/>
      <c r="AR5" s="72"/>
      <c r="AS5" s="72"/>
      <c r="AT5" s="72"/>
      <c r="AU5" s="72"/>
      <c r="AV5" s="72"/>
      <c r="AW5" s="72"/>
      <c r="AX5" s="72"/>
      <c r="AY5" s="72"/>
      <c r="AZ5" s="72"/>
      <c r="BA5" s="72"/>
      <c r="BB5" s="104"/>
      <c r="BC5" s="65"/>
      <c r="BD5" s="102"/>
      <c r="BE5" s="72"/>
      <c r="BF5" s="72"/>
      <c r="BG5" s="72"/>
      <c r="BH5" s="114"/>
      <c r="BI5" s="114"/>
      <c r="BJ5" s="114"/>
      <c r="BK5" s="114"/>
      <c r="BL5" s="114"/>
      <c r="BM5" s="114"/>
      <c r="BN5" s="114"/>
      <c r="BO5" s="114"/>
      <c r="BP5" s="114"/>
      <c r="BQ5" s="114"/>
      <c r="BR5" s="114"/>
      <c r="BS5" s="114"/>
      <c r="BT5" s="114"/>
      <c r="BU5" s="114"/>
      <c r="BV5" s="114"/>
      <c r="BW5" s="114"/>
      <c r="BX5" s="114"/>
      <c r="BY5" s="114"/>
      <c r="BZ5" s="114"/>
      <c r="CA5" s="114"/>
      <c r="CB5" s="114"/>
      <c r="CC5" s="114"/>
      <c r="CD5" s="114"/>
      <c r="CE5" s="114"/>
      <c r="CF5" s="114"/>
      <c r="CG5" s="114"/>
      <c r="CH5" s="114"/>
      <c r="CI5" s="114"/>
      <c r="CJ5" s="114"/>
      <c r="CK5" s="114"/>
      <c r="CL5" s="114"/>
      <c r="CM5" s="114"/>
      <c r="CN5" s="114"/>
      <c r="CO5" s="114"/>
      <c r="CP5" s="114"/>
      <c r="CQ5" s="114"/>
      <c r="CR5" s="114"/>
      <c r="CS5" s="114"/>
      <c r="CT5" s="114"/>
      <c r="CU5" s="114"/>
      <c r="CV5" s="114"/>
      <c r="CW5" s="114"/>
      <c r="CX5" s="114"/>
      <c r="CY5" s="114"/>
      <c r="CZ5" s="114"/>
      <c r="DA5" s="114"/>
      <c r="DB5" s="114"/>
      <c r="DC5" s="114"/>
      <c r="DD5" s="104"/>
    </row>
    <row r="6" spans="2:108" s="64" customFormat="1" ht="14.25" customHeight="1">
      <c r="B6" s="102"/>
      <c r="C6" s="72"/>
      <c r="D6" s="72"/>
      <c r="E6" s="97"/>
      <c r="F6" s="108"/>
      <c r="G6" s="108"/>
      <c r="H6" s="108"/>
      <c r="I6" s="108"/>
      <c r="J6" s="108"/>
      <c r="K6" s="108"/>
      <c r="L6" s="108"/>
      <c r="M6" s="108"/>
      <c r="N6" s="108"/>
      <c r="O6" s="108"/>
      <c r="P6" s="108"/>
      <c r="Q6" s="108"/>
      <c r="R6" s="108"/>
      <c r="S6" s="108"/>
      <c r="T6" s="108"/>
      <c r="U6" s="108"/>
      <c r="V6" s="108"/>
      <c r="W6" s="108"/>
      <c r="X6" s="108"/>
      <c r="Y6" s="108"/>
      <c r="Z6" s="108"/>
      <c r="AA6" s="108"/>
      <c r="AB6" s="108"/>
      <c r="AC6" s="108"/>
      <c r="AD6" s="108"/>
      <c r="AE6" s="108"/>
      <c r="AF6" s="108"/>
      <c r="AG6" s="108"/>
      <c r="AH6" s="108"/>
      <c r="AI6" s="108"/>
      <c r="AJ6" s="108"/>
      <c r="AK6" s="108"/>
      <c r="AL6" s="108"/>
      <c r="AM6" s="108"/>
      <c r="AN6" s="108"/>
      <c r="AO6" s="108"/>
      <c r="AP6" s="108"/>
      <c r="AQ6" s="108"/>
      <c r="AR6" s="108"/>
      <c r="AS6" s="108"/>
      <c r="AT6" s="108"/>
      <c r="AU6" s="108"/>
      <c r="AV6" s="108"/>
      <c r="AW6" s="108"/>
      <c r="AX6" s="108"/>
      <c r="AY6" s="108"/>
      <c r="AZ6" s="108"/>
      <c r="BA6" s="108"/>
      <c r="BB6" s="104"/>
      <c r="BC6" s="65"/>
      <c r="BD6" s="102"/>
      <c r="BE6" s="72"/>
      <c r="BF6" s="72"/>
      <c r="BG6" s="72"/>
      <c r="BH6" s="114"/>
      <c r="BI6" s="114"/>
      <c r="BJ6" s="114"/>
      <c r="BK6" s="114"/>
      <c r="BL6" s="114"/>
      <c r="BM6" s="114"/>
      <c r="BN6" s="114"/>
      <c r="BO6" s="114"/>
      <c r="BP6" s="114"/>
      <c r="BQ6" s="114"/>
      <c r="BR6" s="114"/>
      <c r="BS6" s="114"/>
      <c r="BT6" s="114"/>
      <c r="BU6" s="114"/>
      <c r="BV6" s="114"/>
      <c r="BW6" s="114"/>
      <c r="BX6" s="114"/>
      <c r="BY6" s="114"/>
      <c r="BZ6" s="114"/>
      <c r="CA6" s="114"/>
      <c r="CB6" s="114"/>
      <c r="CC6" s="114"/>
      <c r="CD6" s="114"/>
      <c r="CE6" s="114"/>
      <c r="CF6" s="114"/>
      <c r="CG6" s="114"/>
      <c r="CH6" s="114"/>
      <c r="CI6" s="114"/>
      <c r="CJ6" s="114"/>
      <c r="CK6" s="114"/>
      <c r="CL6" s="114"/>
      <c r="CM6" s="114"/>
      <c r="CN6" s="114"/>
      <c r="CO6" s="114"/>
      <c r="CP6" s="114"/>
      <c r="CQ6" s="114"/>
      <c r="CR6" s="114"/>
      <c r="CS6" s="114"/>
      <c r="CT6" s="114"/>
      <c r="CU6" s="114"/>
      <c r="CV6" s="114"/>
      <c r="CW6" s="114"/>
      <c r="CX6" s="114"/>
      <c r="CY6" s="114"/>
      <c r="CZ6" s="114"/>
      <c r="DA6" s="114"/>
      <c r="DB6" s="114"/>
      <c r="DC6" s="114"/>
      <c r="DD6" s="104"/>
    </row>
    <row r="7" spans="2:108" s="64" customFormat="1" ht="14.25" customHeight="1">
      <c r="B7" s="102"/>
      <c r="C7" s="72"/>
      <c r="D7" s="72"/>
      <c r="E7" s="72"/>
      <c r="F7" s="108"/>
      <c r="G7" s="108"/>
      <c r="H7" s="108"/>
      <c r="I7" s="108"/>
      <c r="J7" s="108"/>
      <c r="K7" s="108"/>
      <c r="L7" s="108"/>
      <c r="M7" s="108"/>
      <c r="N7" s="108"/>
      <c r="O7" s="108"/>
      <c r="P7" s="108"/>
      <c r="Q7" s="108"/>
      <c r="R7" s="108"/>
      <c r="S7" s="108"/>
      <c r="T7" s="108"/>
      <c r="U7" s="108"/>
      <c r="V7" s="108"/>
      <c r="W7" s="108"/>
      <c r="X7" s="108"/>
      <c r="Y7" s="108"/>
      <c r="Z7" s="108"/>
      <c r="AA7" s="108"/>
      <c r="AB7" s="108"/>
      <c r="AC7" s="108"/>
      <c r="AD7" s="108"/>
      <c r="AE7" s="108"/>
      <c r="AF7" s="108"/>
      <c r="AG7" s="108"/>
      <c r="AH7" s="108"/>
      <c r="AI7" s="108"/>
      <c r="AJ7" s="108"/>
      <c r="AK7" s="108"/>
      <c r="AL7" s="108"/>
      <c r="AM7" s="108"/>
      <c r="AN7" s="108"/>
      <c r="AO7" s="108"/>
      <c r="AP7" s="108"/>
      <c r="AQ7" s="108"/>
      <c r="AR7" s="108"/>
      <c r="AS7" s="108"/>
      <c r="AT7" s="108"/>
      <c r="AU7" s="108"/>
      <c r="AV7" s="108"/>
      <c r="AW7" s="108"/>
      <c r="AX7" s="108"/>
      <c r="AY7" s="108"/>
      <c r="AZ7" s="108"/>
      <c r="BA7" s="108"/>
      <c r="BB7" s="104"/>
      <c r="BC7" s="65"/>
      <c r="BD7" s="102"/>
      <c r="BE7" s="72"/>
      <c r="BF7" s="72"/>
      <c r="BG7" s="72"/>
      <c r="BH7" s="114"/>
      <c r="BI7" s="114"/>
      <c r="BJ7" s="114"/>
      <c r="BK7" s="114"/>
      <c r="BL7" s="114"/>
      <c r="BM7" s="114"/>
      <c r="BN7" s="114"/>
      <c r="BO7" s="114"/>
      <c r="BP7" s="114"/>
      <c r="BQ7" s="114"/>
      <c r="BR7" s="114"/>
      <c r="BS7" s="114"/>
      <c r="BT7" s="114"/>
      <c r="BU7" s="114"/>
      <c r="BV7" s="114"/>
      <c r="BW7" s="114"/>
      <c r="BX7" s="114"/>
      <c r="BY7" s="114"/>
      <c r="BZ7" s="114"/>
      <c r="CA7" s="114"/>
      <c r="CB7" s="114"/>
      <c r="CC7" s="114"/>
      <c r="CD7" s="114"/>
      <c r="CE7" s="114"/>
      <c r="CF7" s="114"/>
      <c r="CG7" s="114"/>
      <c r="CH7" s="114"/>
      <c r="CI7" s="114"/>
      <c r="CJ7" s="114"/>
      <c r="CK7" s="114"/>
      <c r="CL7" s="114"/>
      <c r="CM7" s="114"/>
      <c r="CN7" s="114"/>
      <c r="CO7" s="114"/>
      <c r="CP7" s="114"/>
      <c r="CQ7" s="114"/>
      <c r="CR7" s="114"/>
      <c r="CS7" s="114"/>
      <c r="CT7" s="114"/>
      <c r="CU7" s="114"/>
      <c r="CV7" s="114"/>
      <c r="CW7" s="114"/>
      <c r="CX7" s="114"/>
      <c r="CY7" s="114"/>
      <c r="CZ7" s="114"/>
      <c r="DA7" s="114"/>
      <c r="DB7" s="114"/>
      <c r="DC7" s="114"/>
      <c r="DD7" s="104"/>
    </row>
    <row r="8" spans="2:108" s="64" customFormat="1" ht="14.25" customHeight="1">
      <c r="B8" s="102"/>
      <c r="C8" s="72"/>
      <c r="D8" s="72"/>
      <c r="E8" s="72"/>
      <c r="F8" s="108"/>
      <c r="G8" s="108"/>
      <c r="H8" s="108"/>
      <c r="I8" s="108"/>
      <c r="J8" s="108"/>
      <c r="K8" s="108"/>
      <c r="L8" s="108"/>
      <c r="M8" s="108"/>
      <c r="N8" s="108"/>
      <c r="O8" s="108"/>
      <c r="P8" s="108"/>
      <c r="Q8" s="108"/>
      <c r="R8" s="108"/>
      <c r="S8" s="108"/>
      <c r="T8" s="108"/>
      <c r="U8" s="108"/>
      <c r="V8" s="108"/>
      <c r="W8" s="108"/>
      <c r="X8" s="108"/>
      <c r="Y8" s="108"/>
      <c r="Z8" s="108"/>
      <c r="AA8" s="108"/>
      <c r="AB8" s="108"/>
      <c r="AC8" s="108"/>
      <c r="AD8" s="108"/>
      <c r="AE8" s="108"/>
      <c r="AF8" s="108"/>
      <c r="AG8" s="108"/>
      <c r="AH8" s="108"/>
      <c r="AI8" s="108"/>
      <c r="AJ8" s="108"/>
      <c r="AK8" s="108"/>
      <c r="AL8" s="108"/>
      <c r="AM8" s="108"/>
      <c r="AN8" s="108"/>
      <c r="AO8" s="108"/>
      <c r="AP8" s="108"/>
      <c r="AQ8" s="108"/>
      <c r="AR8" s="108"/>
      <c r="AS8" s="108"/>
      <c r="AT8" s="108"/>
      <c r="AU8" s="108"/>
      <c r="AV8" s="108"/>
      <c r="AW8" s="108"/>
      <c r="AX8" s="108"/>
      <c r="AY8" s="108"/>
      <c r="AZ8" s="108"/>
      <c r="BA8" s="108"/>
      <c r="BB8" s="104"/>
      <c r="BC8" s="65"/>
      <c r="BD8" s="102"/>
      <c r="BE8" s="72"/>
      <c r="BF8" s="72"/>
      <c r="BG8" s="72"/>
      <c r="BH8" s="114"/>
      <c r="BI8" s="114"/>
      <c r="BJ8" s="114"/>
      <c r="BK8" s="114"/>
      <c r="BL8" s="114"/>
      <c r="BM8" s="114"/>
      <c r="BN8" s="114"/>
      <c r="BO8" s="114"/>
      <c r="BP8" s="114"/>
      <c r="BQ8" s="114"/>
      <c r="BR8" s="114"/>
      <c r="BS8" s="114"/>
      <c r="BT8" s="114"/>
      <c r="BU8" s="114"/>
      <c r="BV8" s="114"/>
      <c r="BW8" s="114"/>
      <c r="BX8" s="114"/>
      <c r="BY8" s="114"/>
      <c r="BZ8" s="114"/>
      <c r="CA8" s="114"/>
      <c r="CB8" s="114"/>
      <c r="CC8" s="114"/>
      <c r="CD8" s="114"/>
      <c r="CE8" s="114"/>
      <c r="CF8" s="114"/>
      <c r="CG8" s="114"/>
      <c r="CH8" s="114"/>
      <c r="CI8" s="114"/>
      <c r="CJ8" s="114"/>
      <c r="CK8" s="114"/>
      <c r="CL8" s="114"/>
      <c r="CM8" s="114"/>
      <c r="CN8" s="114"/>
      <c r="CO8" s="114"/>
      <c r="CP8" s="114"/>
      <c r="CQ8" s="114"/>
      <c r="CR8" s="114"/>
      <c r="CS8" s="114"/>
      <c r="CT8" s="114"/>
      <c r="CU8" s="114"/>
      <c r="CV8" s="114"/>
      <c r="CW8" s="114"/>
      <c r="CX8" s="114"/>
      <c r="CY8" s="114"/>
      <c r="CZ8" s="114"/>
      <c r="DA8" s="114"/>
      <c r="DB8" s="114"/>
      <c r="DC8" s="114"/>
      <c r="DD8" s="104"/>
    </row>
    <row r="9" spans="2:108" s="64" customFormat="1" ht="14.25" customHeight="1">
      <c r="B9" s="102"/>
      <c r="C9" s="72"/>
      <c r="D9" s="72"/>
      <c r="E9" s="72"/>
      <c r="F9" s="72"/>
      <c r="G9" s="109"/>
      <c r="H9" s="109"/>
      <c r="I9" s="109"/>
      <c r="J9" s="109"/>
      <c r="K9" s="109"/>
      <c r="L9" s="109"/>
      <c r="M9" s="109"/>
      <c r="N9" s="109"/>
      <c r="O9" s="109"/>
      <c r="P9" s="109"/>
      <c r="Q9" s="109"/>
      <c r="R9" s="109"/>
      <c r="S9" s="109"/>
      <c r="T9" s="109"/>
      <c r="U9" s="109"/>
      <c r="V9" s="109"/>
      <c r="W9" s="109"/>
      <c r="X9" s="109"/>
      <c r="Y9" s="109"/>
      <c r="Z9" s="109"/>
      <c r="AA9" s="109"/>
      <c r="AB9" s="109"/>
      <c r="AC9" s="109"/>
      <c r="AD9" s="109"/>
      <c r="AE9" s="109"/>
      <c r="AF9" s="109"/>
      <c r="AG9" s="109"/>
      <c r="AH9" s="109"/>
      <c r="AI9" s="109"/>
      <c r="AJ9" s="109"/>
      <c r="AK9" s="109"/>
      <c r="AL9" s="109"/>
      <c r="AM9" s="109"/>
      <c r="AN9" s="109"/>
      <c r="AO9" s="109"/>
      <c r="AP9" s="109"/>
      <c r="AQ9" s="109"/>
      <c r="AR9" s="109"/>
      <c r="AS9" s="109"/>
      <c r="AT9" s="109"/>
      <c r="AU9" s="109"/>
      <c r="AV9" s="109"/>
      <c r="AW9" s="109"/>
      <c r="AX9" s="109"/>
      <c r="AY9" s="109"/>
      <c r="AZ9" s="109"/>
      <c r="BA9" s="109"/>
      <c r="BB9" s="104"/>
      <c r="BC9" s="65"/>
      <c r="BD9" s="102"/>
      <c r="BE9" s="72"/>
      <c r="BF9" s="72"/>
      <c r="BG9" s="72"/>
      <c r="BH9" s="114"/>
      <c r="BI9" s="114"/>
      <c r="BJ9" s="114"/>
      <c r="BK9" s="114"/>
      <c r="BL9" s="114"/>
      <c r="BM9" s="114"/>
      <c r="BN9" s="114"/>
      <c r="BO9" s="114"/>
      <c r="BP9" s="114"/>
      <c r="BQ9" s="114"/>
      <c r="BR9" s="114"/>
      <c r="BS9" s="114"/>
      <c r="BT9" s="114"/>
      <c r="BU9" s="114"/>
      <c r="BV9" s="114"/>
      <c r="BW9" s="114"/>
      <c r="BX9" s="114"/>
      <c r="BY9" s="114"/>
      <c r="BZ9" s="114"/>
      <c r="CA9" s="114"/>
      <c r="CB9" s="114"/>
      <c r="CC9" s="114"/>
      <c r="CD9" s="114"/>
      <c r="CE9" s="114"/>
      <c r="CF9" s="114"/>
      <c r="CG9" s="114"/>
      <c r="CH9" s="114"/>
      <c r="CI9" s="114"/>
      <c r="CJ9" s="114"/>
      <c r="CK9" s="114"/>
      <c r="CL9" s="114"/>
      <c r="CM9" s="114"/>
      <c r="CN9" s="114"/>
      <c r="CO9" s="114"/>
      <c r="CP9" s="114"/>
      <c r="CQ9" s="114"/>
      <c r="CR9" s="114"/>
      <c r="CS9" s="114"/>
      <c r="CT9" s="114"/>
      <c r="CU9" s="114"/>
      <c r="CV9" s="114"/>
      <c r="CW9" s="114"/>
      <c r="CX9" s="114"/>
      <c r="CY9" s="114"/>
      <c r="CZ9" s="114"/>
      <c r="DA9" s="114"/>
      <c r="DB9" s="114"/>
      <c r="DC9" s="114"/>
      <c r="DD9" s="104"/>
    </row>
    <row r="10" spans="2:108" s="64" customFormat="1" ht="14.25" customHeight="1">
      <c r="B10" s="102"/>
      <c r="C10" s="72"/>
      <c r="D10" s="72"/>
      <c r="E10" s="72"/>
      <c r="F10" s="97"/>
      <c r="G10" s="97"/>
      <c r="H10" s="72"/>
      <c r="I10" s="72"/>
      <c r="J10" s="72"/>
      <c r="K10" s="72"/>
      <c r="L10" s="72"/>
      <c r="M10" s="72"/>
      <c r="N10" s="72"/>
      <c r="O10" s="72"/>
      <c r="P10" s="72"/>
      <c r="Q10" s="72"/>
      <c r="R10" s="72"/>
      <c r="S10" s="72"/>
      <c r="T10" s="72"/>
      <c r="U10" s="72"/>
      <c r="V10" s="72"/>
      <c r="W10" s="72"/>
      <c r="X10" s="72"/>
      <c r="Y10" s="72"/>
      <c r="Z10" s="72"/>
      <c r="AA10" s="72"/>
      <c r="AB10" s="72"/>
      <c r="AC10" s="72"/>
      <c r="AD10" s="72"/>
      <c r="AE10" s="72"/>
      <c r="AF10" s="72"/>
      <c r="AG10" s="72"/>
      <c r="AH10" s="72"/>
      <c r="AI10" s="72"/>
      <c r="AJ10" s="72"/>
      <c r="AK10" s="72"/>
      <c r="AL10" s="72"/>
      <c r="AM10" s="72"/>
      <c r="AN10" s="72"/>
      <c r="AO10" s="72"/>
      <c r="AP10" s="72"/>
      <c r="AQ10" s="72"/>
      <c r="AR10" s="72"/>
      <c r="AS10" s="72"/>
      <c r="AT10" s="72"/>
      <c r="AU10" s="72"/>
      <c r="AV10" s="72"/>
      <c r="AW10" s="72"/>
      <c r="AX10" s="72"/>
      <c r="AY10" s="72"/>
      <c r="AZ10" s="72"/>
      <c r="BA10" s="72"/>
      <c r="BB10" s="104"/>
      <c r="BC10" s="65"/>
      <c r="BD10" s="102"/>
      <c r="BE10" s="72"/>
      <c r="BF10" s="72"/>
      <c r="BG10" s="72"/>
      <c r="BH10" s="72"/>
      <c r="BI10" s="72"/>
      <c r="BJ10" s="97"/>
      <c r="BK10" s="97"/>
      <c r="BL10" s="72"/>
      <c r="BM10" s="72"/>
      <c r="BN10" s="72"/>
      <c r="BO10" s="72"/>
      <c r="BP10" s="72"/>
      <c r="BQ10" s="72"/>
      <c r="BR10" s="72"/>
      <c r="BS10" s="72"/>
      <c r="BT10" s="72"/>
      <c r="BU10" s="72"/>
      <c r="BV10" s="72"/>
      <c r="BW10" s="72"/>
      <c r="BX10" s="72"/>
      <c r="BY10" s="72"/>
      <c r="BZ10" s="72"/>
      <c r="CA10" s="72"/>
      <c r="CB10" s="72"/>
      <c r="CC10" s="72"/>
      <c r="CD10" s="72"/>
      <c r="CE10" s="72"/>
      <c r="CF10" s="72"/>
      <c r="CG10" s="72"/>
      <c r="CH10" s="72"/>
      <c r="CI10" s="72"/>
      <c r="CJ10" s="72"/>
      <c r="CK10" s="72"/>
      <c r="CL10" s="72"/>
      <c r="CM10" s="72"/>
      <c r="CN10" s="72"/>
      <c r="CO10" s="72"/>
      <c r="CP10" s="72"/>
      <c r="CQ10" s="72"/>
      <c r="CR10" s="72"/>
      <c r="CS10" s="72"/>
      <c r="CT10" s="72"/>
      <c r="CU10" s="72"/>
      <c r="CV10" s="72"/>
      <c r="CW10" s="72"/>
      <c r="CX10" s="72"/>
      <c r="CY10" s="72"/>
      <c r="CZ10" s="72"/>
      <c r="DA10" s="72"/>
      <c r="DB10" s="72"/>
      <c r="DC10" s="72"/>
      <c r="DD10" s="104"/>
    </row>
    <row r="11" spans="2:108" s="64" customFormat="1" ht="14.25" customHeight="1">
      <c r="B11" s="102"/>
      <c r="C11" s="72"/>
      <c r="D11" s="72"/>
      <c r="E11" s="72"/>
      <c r="F11" s="72"/>
      <c r="G11" s="96"/>
      <c r="H11" s="110"/>
      <c r="I11" s="110"/>
      <c r="J11" s="110"/>
      <c r="K11" s="110"/>
      <c r="L11" s="110"/>
      <c r="M11" s="110"/>
      <c r="N11" s="110"/>
      <c r="O11" s="110"/>
      <c r="P11" s="110"/>
      <c r="Q11" s="110"/>
      <c r="R11" s="110"/>
      <c r="S11" s="110"/>
      <c r="T11" s="110"/>
      <c r="U11" s="110"/>
      <c r="V11" s="110"/>
      <c r="W11" s="110"/>
      <c r="X11" s="110"/>
      <c r="Y11" s="110"/>
      <c r="Z11" s="110"/>
      <c r="AA11" s="110"/>
      <c r="AB11" s="110"/>
      <c r="AC11" s="110"/>
      <c r="AD11" s="110"/>
      <c r="AE11" s="110"/>
      <c r="AF11" s="110"/>
      <c r="AG11" s="110"/>
      <c r="AH11" s="110"/>
      <c r="AI11" s="110"/>
      <c r="AJ11" s="110"/>
      <c r="AK11" s="110"/>
      <c r="AL11" s="110"/>
      <c r="AM11" s="110"/>
      <c r="AN11" s="110"/>
      <c r="AO11" s="110"/>
      <c r="AP11" s="110"/>
      <c r="AQ11" s="110"/>
      <c r="AR11" s="110"/>
      <c r="AS11" s="110"/>
      <c r="AT11" s="110"/>
      <c r="AU11" s="110"/>
      <c r="AV11" s="110"/>
      <c r="AW11" s="110"/>
      <c r="AX11" s="110"/>
      <c r="AY11" s="110"/>
      <c r="AZ11" s="110"/>
      <c r="BA11" s="110"/>
      <c r="BB11" s="104"/>
      <c r="BC11" s="65"/>
      <c r="BD11" s="102"/>
      <c r="BE11" s="72"/>
      <c r="BF11" s="72"/>
      <c r="BG11" s="72"/>
      <c r="BH11" s="112"/>
      <c r="BI11" s="126"/>
      <c r="BJ11" s="126"/>
      <c r="BK11" s="126"/>
      <c r="BL11" s="126"/>
      <c r="BM11" s="126"/>
      <c r="BN11" s="126"/>
      <c r="BO11" s="126"/>
      <c r="BP11" s="126"/>
      <c r="BQ11" s="126"/>
      <c r="BR11" s="126"/>
      <c r="BS11" s="126"/>
      <c r="BT11" s="126"/>
      <c r="BU11" s="126"/>
      <c r="BV11" s="126"/>
      <c r="BW11" s="126"/>
      <c r="BX11" s="126"/>
      <c r="BY11" s="126"/>
      <c r="BZ11" s="126"/>
      <c r="CA11" s="126"/>
      <c r="CB11" s="126"/>
      <c r="CC11" s="126"/>
      <c r="CD11" s="126"/>
      <c r="CE11" s="126"/>
      <c r="CF11" s="126"/>
      <c r="CG11" s="126"/>
      <c r="CH11" s="126"/>
      <c r="CI11" s="126"/>
      <c r="CJ11" s="126"/>
      <c r="CK11" s="126"/>
      <c r="CL11" s="126"/>
      <c r="CM11" s="126"/>
      <c r="CN11" s="126"/>
      <c r="CO11" s="126"/>
      <c r="CP11" s="126"/>
      <c r="CQ11" s="126"/>
      <c r="CR11" s="126"/>
      <c r="CS11" s="126"/>
      <c r="CT11" s="126"/>
      <c r="CU11" s="126"/>
      <c r="CV11" s="126"/>
      <c r="CW11" s="126"/>
      <c r="CX11" s="126"/>
      <c r="CY11" s="126"/>
      <c r="CZ11" s="126"/>
      <c r="DA11" s="126"/>
      <c r="DB11" s="126"/>
      <c r="DC11" s="126"/>
      <c r="DD11" s="104"/>
    </row>
    <row r="12" spans="2:108" s="64" customFormat="1">
      <c r="B12" s="102"/>
      <c r="C12" s="72"/>
      <c r="D12" s="72"/>
      <c r="E12" s="72"/>
      <c r="F12" s="97"/>
      <c r="G12" s="110"/>
      <c r="H12" s="110"/>
      <c r="I12" s="110"/>
      <c r="J12" s="110"/>
      <c r="K12" s="110"/>
      <c r="L12" s="110"/>
      <c r="M12" s="110"/>
      <c r="N12" s="110"/>
      <c r="O12" s="110"/>
      <c r="P12" s="110"/>
      <c r="Q12" s="110"/>
      <c r="R12" s="110"/>
      <c r="S12" s="110"/>
      <c r="T12" s="110"/>
      <c r="U12" s="110"/>
      <c r="V12" s="110"/>
      <c r="W12" s="110"/>
      <c r="X12" s="110"/>
      <c r="Y12" s="110"/>
      <c r="Z12" s="110"/>
      <c r="AA12" s="110"/>
      <c r="AB12" s="110"/>
      <c r="AC12" s="110"/>
      <c r="AD12" s="110"/>
      <c r="AE12" s="110"/>
      <c r="AF12" s="110"/>
      <c r="AG12" s="110"/>
      <c r="AH12" s="110"/>
      <c r="AI12" s="110"/>
      <c r="AJ12" s="110"/>
      <c r="AK12" s="110"/>
      <c r="AL12" s="110"/>
      <c r="AM12" s="110"/>
      <c r="AN12" s="110"/>
      <c r="AO12" s="110"/>
      <c r="AP12" s="110"/>
      <c r="AQ12" s="110"/>
      <c r="AR12" s="110"/>
      <c r="AS12" s="110"/>
      <c r="AT12" s="110"/>
      <c r="AU12" s="110"/>
      <c r="AV12" s="110"/>
      <c r="AW12" s="110"/>
      <c r="AX12" s="110"/>
      <c r="AY12" s="110"/>
      <c r="AZ12" s="110"/>
      <c r="BA12" s="110"/>
      <c r="BB12" s="104"/>
      <c r="BC12" s="65"/>
      <c r="BD12" s="102"/>
      <c r="BE12" s="72"/>
      <c r="BF12" s="72"/>
      <c r="BG12" s="72"/>
      <c r="BH12" s="126"/>
      <c r="BI12" s="126"/>
      <c r="BJ12" s="126"/>
      <c r="BK12" s="126"/>
      <c r="BL12" s="126"/>
      <c r="BM12" s="126"/>
      <c r="BN12" s="126"/>
      <c r="BO12" s="126"/>
      <c r="BP12" s="126"/>
      <c r="BQ12" s="126"/>
      <c r="BR12" s="126"/>
      <c r="BS12" s="126"/>
      <c r="BT12" s="126"/>
      <c r="BU12" s="126"/>
      <c r="BV12" s="126"/>
      <c r="BW12" s="126"/>
      <c r="BX12" s="126"/>
      <c r="BY12" s="126"/>
      <c r="BZ12" s="126"/>
      <c r="CA12" s="126"/>
      <c r="CB12" s="126"/>
      <c r="CC12" s="126"/>
      <c r="CD12" s="126"/>
      <c r="CE12" s="126"/>
      <c r="CF12" s="126"/>
      <c r="CG12" s="126"/>
      <c r="CH12" s="126"/>
      <c r="CI12" s="126"/>
      <c r="CJ12" s="126"/>
      <c r="CK12" s="126"/>
      <c r="CL12" s="126"/>
      <c r="CM12" s="126"/>
      <c r="CN12" s="126"/>
      <c r="CO12" s="126"/>
      <c r="CP12" s="126"/>
      <c r="CQ12" s="126"/>
      <c r="CR12" s="126"/>
      <c r="CS12" s="126"/>
      <c r="CT12" s="126"/>
      <c r="CU12" s="126"/>
      <c r="CV12" s="126"/>
      <c r="CW12" s="126"/>
      <c r="CX12" s="126"/>
      <c r="CY12" s="126"/>
      <c r="CZ12" s="126"/>
      <c r="DA12" s="126"/>
      <c r="DB12" s="126"/>
      <c r="DC12" s="126"/>
      <c r="DD12" s="104"/>
    </row>
    <row r="13" spans="2:108" s="64" customFormat="1" ht="14.25" customHeight="1">
      <c r="B13" s="102"/>
      <c r="C13" s="72"/>
      <c r="D13" s="72"/>
      <c r="E13" s="72"/>
      <c r="F13" s="72"/>
      <c r="G13" s="72"/>
      <c r="H13" s="72"/>
      <c r="I13" s="72"/>
      <c r="J13" s="72"/>
      <c r="K13" s="72"/>
      <c r="L13" s="72"/>
      <c r="M13" s="72"/>
      <c r="N13" s="72"/>
      <c r="O13" s="72"/>
      <c r="P13" s="72"/>
      <c r="Q13" s="72"/>
      <c r="R13" s="72"/>
      <c r="S13" s="72"/>
      <c r="T13" s="72"/>
      <c r="U13" s="72"/>
      <c r="V13" s="72"/>
      <c r="W13" s="72"/>
      <c r="X13" s="72"/>
      <c r="Y13" s="72"/>
      <c r="Z13" s="72"/>
      <c r="AA13" s="72"/>
      <c r="AB13" s="72"/>
      <c r="AC13" s="72"/>
      <c r="AD13" s="72"/>
      <c r="AE13" s="72"/>
      <c r="AF13" s="72"/>
      <c r="AG13" s="72"/>
      <c r="AH13" s="72"/>
      <c r="AI13" s="72"/>
      <c r="AJ13" s="72"/>
      <c r="AK13" s="72"/>
      <c r="AL13" s="72"/>
      <c r="AM13" s="72"/>
      <c r="AN13" s="72"/>
      <c r="AO13" s="72"/>
      <c r="AP13" s="72"/>
      <c r="AQ13" s="72"/>
      <c r="AR13" s="72"/>
      <c r="AS13" s="72"/>
      <c r="AT13" s="72"/>
      <c r="AU13" s="72"/>
      <c r="AV13" s="72"/>
      <c r="AW13" s="72"/>
      <c r="AX13" s="72"/>
      <c r="AY13" s="72"/>
      <c r="AZ13" s="72"/>
      <c r="BA13" s="72"/>
      <c r="BB13" s="104"/>
      <c r="BC13" s="65"/>
      <c r="BD13" s="102"/>
      <c r="BE13" s="72"/>
      <c r="BF13" s="72"/>
      <c r="BG13" s="72"/>
      <c r="BH13" s="126"/>
      <c r="BI13" s="126"/>
      <c r="BJ13" s="126"/>
      <c r="BK13" s="126"/>
      <c r="BL13" s="126"/>
      <c r="BM13" s="126"/>
      <c r="BN13" s="126"/>
      <c r="BO13" s="126"/>
      <c r="BP13" s="126"/>
      <c r="BQ13" s="126"/>
      <c r="BR13" s="126"/>
      <c r="BS13" s="126"/>
      <c r="BT13" s="126"/>
      <c r="BU13" s="126"/>
      <c r="BV13" s="126"/>
      <c r="BW13" s="126"/>
      <c r="BX13" s="126"/>
      <c r="BY13" s="126"/>
      <c r="BZ13" s="126"/>
      <c r="CA13" s="126"/>
      <c r="CB13" s="126"/>
      <c r="CC13" s="126"/>
      <c r="CD13" s="126"/>
      <c r="CE13" s="126"/>
      <c r="CF13" s="126"/>
      <c r="CG13" s="126"/>
      <c r="CH13" s="126"/>
      <c r="CI13" s="126"/>
      <c r="CJ13" s="126"/>
      <c r="CK13" s="126"/>
      <c r="CL13" s="126"/>
      <c r="CM13" s="126"/>
      <c r="CN13" s="126"/>
      <c r="CO13" s="126"/>
      <c r="CP13" s="126"/>
      <c r="CQ13" s="126"/>
      <c r="CR13" s="126"/>
      <c r="CS13" s="126"/>
      <c r="CT13" s="126"/>
      <c r="CU13" s="126"/>
      <c r="CV13" s="126"/>
      <c r="CW13" s="126"/>
      <c r="CX13" s="126"/>
      <c r="CY13" s="126"/>
      <c r="CZ13" s="126"/>
      <c r="DA13" s="126"/>
      <c r="DB13" s="126"/>
      <c r="DC13" s="126"/>
      <c r="DD13" s="104"/>
    </row>
    <row r="14" spans="2:108" s="64" customFormat="1" ht="13.5" customHeight="1">
      <c r="B14" s="102"/>
      <c r="C14" s="72"/>
      <c r="D14" s="72"/>
      <c r="E14" s="72"/>
      <c r="F14" s="97"/>
      <c r="G14" s="111"/>
      <c r="H14" s="111"/>
      <c r="I14" s="111"/>
      <c r="J14" s="111"/>
      <c r="K14" s="111"/>
      <c r="L14" s="111"/>
      <c r="M14" s="111"/>
      <c r="N14" s="111"/>
      <c r="O14" s="111"/>
      <c r="P14" s="111"/>
      <c r="Q14" s="111"/>
      <c r="R14" s="111"/>
      <c r="S14" s="111"/>
      <c r="T14" s="111"/>
      <c r="U14" s="111"/>
      <c r="V14" s="111"/>
      <c r="W14" s="111"/>
      <c r="X14" s="111"/>
      <c r="Y14" s="111"/>
      <c r="Z14" s="111"/>
      <c r="AA14" s="111"/>
      <c r="AB14" s="111"/>
      <c r="AC14" s="111"/>
      <c r="AD14" s="111"/>
      <c r="AE14" s="111"/>
      <c r="AF14" s="111"/>
      <c r="AG14" s="111"/>
      <c r="AH14" s="111"/>
      <c r="AI14" s="111"/>
      <c r="AJ14" s="111"/>
      <c r="AK14" s="111"/>
      <c r="AL14" s="111"/>
      <c r="AM14" s="111"/>
      <c r="AN14" s="111"/>
      <c r="AO14" s="111"/>
      <c r="AP14" s="111"/>
      <c r="AQ14" s="111"/>
      <c r="AR14" s="111"/>
      <c r="AS14" s="111"/>
      <c r="AT14" s="111"/>
      <c r="AU14" s="111"/>
      <c r="AV14" s="111"/>
      <c r="AW14" s="111"/>
      <c r="AX14" s="111"/>
      <c r="AY14" s="111"/>
      <c r="AZ14" s="111"/>
      <c r="BA14" s="111"/>
      <c r="BB14" s="107"/>
      <c r="BC14" s="65"/>
      <c r="BD14" s="102"/>
      <c r="BE14" s="72"/>
      <c r="BF14" s="97"/>
      <c r="BG14" s="97"/>
      <c r="BH14" s="97"/>
      <c r="BI14" s="97"/>
      <c r="BJ14" s="97"/>
      <c r="BK14" s="97"/>
      <c r="BL14" s="72"/>
      <c r="BM14" s="72"/>
      <c r="BN14" s="72"/>
      <c r="BO14" s="72"/>
      <c r="BP14" s="72"/>
      <c r="BQ14" s="72"/>
      <c r="BR14" s="72"/>
      <c r="BS14" s="72"/>
      <c r="BT14" s="72"/>
      <c r="BU14" s="72"/>
      <c r="BV14" s="72"/>
      <c r="BW14" s="72"/>
      <c r="BX14" s="72"/>
      <c r="BY14" s="72"/>
      <c r="BZ14" s="72"/>
      <c r="CA14" s="72"/>
      <c r="CB14" s="72"/>
      <c r="CC14" s="72"/>
      <c r="CD14" s="72"/>
      <c r="CE14" s="72"/>
      <c r="CF14" s="72"/>
      <c r="CG14" s="72"/>
      <c r="CH14" s="72"/>
      <c r="CI14" s="72"/>
      <c r="CJ14" s="72"/>
      <c r="CK14" s="72"/>
      <c r="CL14" s="106"/>
      <c r="CM14" s="106"/>
      <c r="CN14" s="106"/>
      <c r="CO14" s="106"/>
      <c r="CP14" s="106"/>
      <c r="CQ14" s="106"/>
      <c r="CR14" s="106"/>
      <c r="CS14" s="106"/>
      <c r="CT14" s="106"/>
      <c r="CU14" s="106"/>
      <c r="CV14" s="106"/>
      <c r="CW14" s="106"/>
      <c r="CX14" s="106"/>
      <c r="CY14" s="106"/>
      <c r="CZ14" s="106"/>
      <c r="DA14" s="106"/>
      <c r="DB14" s="106"/>
      <c r="DC14" s="106"/>
      <c r="DD14" s="107"/>
    </row>
    <row r="15" spans="2:108" s="64" customFormat="1" ht="13.5" customHeight="1">
      <c r="B15" s="102"/>
      <c r="C15" s="72"/>
      <c r="D15" s="72"/>
      <c r="E15" s="72"/>
      <c r="F15" s="72"/>
      <c r="G15" s="111"/>
      <c r="H15" s="111"/>
      <c r="I15" s="111"/>
      <c r="J15" s="111"/>
      <c r="K15" s="111"/>
      <c r="L15" s="111"/>
      <c r="M15" s="111"/>
      <c r="N15" s="111"/>
      <c r="O15" s="111"/>
      <c r="P15" s="111"/>
      <c r="Q15" s="111"/>
      <c r="R15" s="111"/>
      <c r="S15" s="111"/>
      <c r="T15" s="111"/>
      <c r="U15" s="111"/>
      <c r="V15" s="111"/>
      <c r="W15" s="111"/>
      <c r="X15" s="111"/>
      <c r="Y15" s="111"/>
      <c r="Z15" s="111"/>
      <c r="AA15" s="111"/>
      <c r="AB15" s="111"/>
      <c r="AC15" s="111"/>
      <c r="AD15" s="111"/>
      <c r="AE15" s="111"/>
      <c r="AF15" s="111"/>
      <c r="AG15" s="111"/>
      <c r="AH15" s="111"/>
      <c r="AI15" s="111"/>
      <c r="AJ15" s="111"/>
      <c r="AK15" s="111"/>
      <c r="AL15" s="111"/>
      <c r="AM15" s="111"/>
      <c r="AN15" s="111"/>
      <c r="AO15" s="111"/>
      <c r="AP15" s="111"/>
      <c r="AQ15" s="111"/>
      <c r="AR15" s="111"/>
      <c r="AS15" s="111"/>
      <c r="AT15" s="111"/>
      <c r="AU15" s="111"/>
      <c r="AV15" s="111"/>
      <c r="AW15" s="111"/>
      <c r="AX15" s="111"/>
      <c r="AY15" s="111"/>
      <c r="AZ15" s="111"/>
      <c r="BA15" s="111"/>
      <c r="BB15" s="104"/>
      <c r="BC15" s="65"/>
      <c r="BD15" s="102"/>
      <c r="BE15" s="72"/>
      <c r="BF15" s="97"/>
      <c r="BG15" s="97"/>
      <c r="BH15" s="101"/>
      <c r="BI15" s="101"/>
      <c r="BJ15" s="101"/>
      <c r="BK15" s="101"/>
      <c r="BL15" s="101"/>
      <c r="BM15" s="101"/>
      <c r="BN15" s="101"/>
      <c r="BO15" s="101"/>
      <c r="BP15" s="101"/>
      <c r="BQ15" s="101"/>
      <c r="BR15" s="101"/>
      <c r="BS15" s="101"/>
      <c r="BT15" s="101"/>
      <c r="BU15" s="101"/>
      <c r="BV15" s="101"/>
      <c r="BW15" s="101"/>
      <c r="BX15" s="101"/>
      <c r="BY15" s="101"/>
      <c r="BZ15" s="101"/>
      <c r="CA15" s="101"/>
      <c r="CB15" s="101"/>
      <c r="CC15" s="101"/>
      <c r="CD15" s="101"/>
      <c r="CE15" s="101"/>
      <c r="CF15" s="101"/>
      <c r="CG15" s="101"/>
      <c r="CH15" s="101"/>
      <c r="CI15" s="101"/>
      <c r="CJ15" s="101"/>
      <c r="CK15" s="101"/>
      <c r="CL15" s="101"/>
      <c r="CM15" s="101"/>
      <c r="CN15" s="101"/>
      <c r="CO15" s="101"/>
      <c r="CP15" s="101"/>
      <c r="CQ15" s="101"/>
      <c r="CR15" s="101"/>
      <c r="CS15" s="101"/>
      <c r="CT15" s="101"/>
      <c r="CU15" s="101"/>
      <c r="CV15" s="101"/>
      <c r="CW15" s="101"/>
      <c r="CX15" s="101"/>
      <c r="CY15" s="101"/>
      <c r="CZ15" s="101"/>
      <c r="DA15" s="101"/>
      <c r="DB15" s="101"/>
      <c r="DC15" s="101"/>
      <c r="DD15" s="104"/>
    </row>
    <row r="16" spans="2:108" s="64" customFormat="1" ht="14.25" customHeight="1">
      <c r="B16" s="102"/>
      <c r="C16" s="72"/>
      <c r="D16" s="72"/>
      <c r="E16" s="72"/>
      <c r="F16" s="97"/>
      <c r="G16" s="111"/>
      <c r="H16" s="111"/>
      <c r="I16" s="111"/>
      <c r="J16" s="111"/>
      <c r="K16" s="111"/>
      <c r="L16" s="111"/>
      <c r="M16" s="111"/>
      <c r="N16" s="111"/>
      <c r="O16" s="111"/>
      <c r="P16" s="111"/>
      <c r="Q16" s="111"/>
      <c r="R16" s="111"/>
      <c r="S16" s="111"/>
      <c r="T16" s="111"/>
      <c r="U16" s="111"/>
      <c r="V16" s="111"/>
      <c r="W16" s="111"/>
      <c r="X16" s="111"/>
      <c r="Y16" s="111"/>
      <c r="Z16" s="111"/>
      <c r="AA16" s="111"/>
      <c r="AB16" s="111"/>
      <c r="AC16" s="111"/>
      <c r="AD16" s="111"/>
      <c r="AE16" s="111"/>
      <c r="AF16" s="111"/>
      <c r="AG16" s="111"/>
      <c r="AH16" s="111"/>
      <c r="AI16" s="111"/>
      <c r="AJ16" s="111"/>
      <c r="AK16" s="111"/>
      <c r="AL16" s="111"/>
      <c r="AM16" s="111"/>
      <c r="AN16" s="111"/>
      <c r="AO16" s="111"/>
      <c r="AP16" s="111"/>
      <c r="AQ16" s="111"/>
      <c r="AR16" s="111"/>
      <c r="AS16" s="111"/>
      <c r="AT16" s="111"/>
      <c r="AU16" s="111"/>
      <c r="AV16" s="111"/>
      <c r="AW16" s="111"/>
      <c r="AX16" s="111"/>
      <c r="AY16" s="111"/>
      <c r="AZ16" s="111"/>
      <c r="BA16" s="111"/>
      <c r="BB16" s="104"/>
      <c r="BC16" s="65"/>
      <c r="BD16" s="102"/>
      <c r="BE16" s="72"/>
      <c r="BF16" s="97"/>
      <c r="BG16" s="97"/>
      <c r="BH16" s="101"/>
      <c r="BI16" s="101"/>
      <c r="BJ16" s="101"/>
      <c r="BK16" s="101"/>
      <c r="BL16" s="101"/>
      <c r="BM16" s="101"/>
      <c r="BN16" s="101"/>
      <c r="BO16" s="101"/>
      <c r="BP16" s="101"/>
      <c r="BQ16" s="101"/>
      <c r="BR16" s="101"/>
      <c r="BS16" s="101"/>
      <c r="BT16" s="101"/>
      <c r="BU16" s="101"/>
      <c r="BV16" s="101"/>
      <c r="BW16" s="101"/>
      <c r="BX16" s="101"/>
      <c r="BY16" s="101"/>
      <c r="BZ16" s="101"/>
      <c r="CA16" s="101"/>
      <c r="CB16" s="101"/>
      <c r="CC16" s="101"/>
      <c r="CD16" s="101"/>
      <c r="CE16" s="101"/>
      <c r="CF16" s="101"/>
      <c r="CG16" s="101"/>
      <c r="CH16" s="101"/>
      <c r="CI16" s="101"/>
      <c r="CJ16" s="101"/>
      <c r="CK16" s="101"/>
      <c r="CL16" s="101"/>
      <c r="CM16" s="101"/>
      <c r="CN16" s="101"/>
      <c r="CO16" s="101"/>
      <c r="CP16" s="101"/>
      <c r="CQ16" s="101"/>
      <c r="CR16" s="101"/>
      <c r="CS16" s="101"/>
      <c r="CT16" s="101"/>
      <c r="CU16" s="101"/>
      <c r="CV16" s="101"/>
      <c r="CW16" s="101"/>
      <c r="CX16" s="101"/>
      <c r="CY16" s="101"/>
      <c r="CZ16" s="101"/>
      <c r="DA16" s="101"/>
      <c r="DB16" s="101"/>
      <c r="DC16" s="101"/>
      <c r="DD16" s="104"/>
    </row>
    <row r="17" spans="2:108" s="64" customFormat="1" ht="14.25" customHeight="1">
      <c r="B17" s="102"/>
      <c r="C17" s="72"/>
      <c r="D17" s="72"/>
      <c r="E17" s="72"/>
      <c r="F17" s="97"/>
      <c r="G17" s="111"/>
      <c r="H17" s="111"/>
      <c r="I17" s="111"/>
      <c r="J17" s="111"/>
      <c r="K17" s="111"/>
      <c r="L17" s="111"/>
      <c r="M17" s="111"/>
      <c r="N17" s="111"/>
      <c r="O17" s="111"/>
      <c r="P17" s="111"/>
      <c r="Q17" s="111"/>
      <c r="R17" s="111"/>
      <c r="S17" s="111"/>
      <c r="T17" s="111"/>
      <c r="U17" s="111"/>
      <c r="V17" s="111"/>
      <c r="W17" s="111"/>
      <c r="X17" s="111"/>
      <c r="Y17" s="111"/>
      <c r="Z17" s="111"/>
      <c r="AA17" s="111"/>
      <c r="AB17" s="111"/>
      <c r="AC17" s="111"/>
      <c r="AD17" s="111"/>
      <c r="AE17" s="111"/>
      <c r="AF17" s="111"/>
      <c r="AG17" s="111"/>
      <c r="AH17" s="111"/>
      <c r="AI17" s="111"/>
      <c r="AJ17" s="111"/>
      <c r="AK17" s="111"/>
      <c r="AL17" s="111"/>
      <c r="AM17" s="111"/>
      <c r="AN17" s="111"/>
      <c r="AO17" s="111"/>
      <c r="AP17" s="111"/>
      <c r="AQ17" s="111"/>
      <c r="AR17" s="111"/>
      <c r="AS17" s="111"/>
      <c r="AT17" s="111"/>
      <c r="AU17" s="111"/>
      <c r="AV17" s="111"/>
      <c r="AW17" s="111"/>
      <c r="AX17" s="111"/>
      <c r="AY17" s="111"/>
      <c r="AZ17" s="111"/>
      <c r="BA17" s="111"/>
      <c r="BB17" s="104"/>
      <c r="BC17" s="65"/>
      <c r="BD17" s="102"/>
      <c r="BE17" s="72"/>
      <c r="BF17" s="97"/>
      <c r="BG17" s="97"/>
      <c r="BH17" s="101"/>
      <c r="BI17" s="101"/>
      <c r="BJ17" s="101"/>
      <c r="BK17" s="101"/>
      <c r="BL17" s="101"/>
      <c r="BM17" s="101"/>
      <c r="BN17" s="101"/>
      <c r="BO17" s="101"/>
      <c r="BP17" s="101"/>
      <c r="BQ17" s="101"/>
      <c r="BR17" s="101"/>
      <c r="BS17" s="101"/>
      <c r="BT17" s="101"/>
      <c r="BU17" s="101"/>
      <c r="BV17" s="101"/>
      <c r="BW17" s="101"/>
      <c r="BX17" s="101"/>
      <c r="BY17" s="101"/>
      <c r="BZ17" s="101"/>
      <c r="CA17" s="101"/>
      <c r="CB17" s="101"/>
      <c r="CC17" s="101"/>
      <c r="CD17" s="101"/>
      <c r="CE17" s="101"/>
      <c r="CF17" s="101"/>
      <c r="CG17" s="101"/>
      <c r="CH17" s="101"/>
      <c r="CI17" s="101"/>
      <c r="CJ17" s="101"/>
      <c r="CK17" s="101"/>
      <c r="CL17" s="101"/>
      <c r="CM17" s="101"/>
      <c r="CN17" s="101"/>
      <c r="CO17" s="101"/>
      <c r="CP17" s="101"/>
      <c r="CQ17" s="101"/>
      <c r="CR17" s="101"/>
      <c r="CS17" s="101"/>
      <c r="CT17" s="101"/>
      <c r="CU17" s="101"/>
      <c r="CV17" s="101"/>
      <c r="CW17" s="101"/>
      <c r="CX17" s="101"/>
      <c r="CY17" s="101"/>
      <c r="CZ17" s="101"/>
      <c r="DA17" s="101"/>
      <c r="DB17" s="101"/>
      <c r="DC17" s="101"/>
      <c r="DD17" s="104"/>
    </row>
    <row r="18" spans="2:108" s="64" customFormat="1" ht="14.25" customHeight="1">
      <c r="B18" s="102"/>
      <c r="C18" s="72"/>
      <c r="D18" s="72"/>
      <c r="E18" s="72"/>
      <c r="F18" s="97"/>
      <c r="G18" s="111"/>
      <c r="H18" s="111"/>
      <c r="I18" s="111"/>
      <c r="J18" s="111"/>
      <c r="K18" s="111"/>
      <c r="L18" s="111"/>
      <c r="M18" s="111"/>
      <c r="N18" s="111"/>
      <c r="O18" s="111"/>
      <c r="P18" s="111"/>
      <c r="Q18" s="111"/>
      <c r="R18" s="111"/>
      <c r="S18" s="111"/>
      <c r="T18" s="111"/>
      <c r="U18" s="111"/>
      <c r="V18" s="111"/>
      <c r="W18" s="111"/>
      <c r="X18" s="111"/>
      <c r="Y18" s="111"/>
      <c r="Z18" s="111"/>
      <c r="AA18" s="111"/>
      <c r="AB18" s="111"/>
      <c r="AC18" s="111"/>
      <c r="AD18" s="111"/>
      <c r="AE18" s="111"/>
      <c r="AF18" s="111"/>
      <c r="AG18" s="111"/>
      <c r="AH18" s="111"/>
      <c r="AI18" s="111"/>
      <c r="AJ18" s="111"/>
      <c r="AK18" s="111"/>
      <c r="AL18" s="111"/>
      <c r="AM18" s="111"/>
      <c r="AN18" s="111"/>
      <c r="AO18" s="111"/>
      <c r="AP18" s="111"/>
      <c r="AQ18" s="111"/>
      <c r="AR18" s="111"/>
      <c r="AS18" s="111"/>
      <c r="AT18" s="111"/>
      <c r="AU18" s="111"/>
      <c r="AV18" s="111"/>
      <c r="AW18" s="111"/>
      <c r="AX18" s="111"/>
      <c r="AY18" s="111"/>
      <c r="AZ18" s="111"/>
      <c r="BA18" s="111"/>
      <c r="BB18" s="104"/>
      <c r="BC18" s="65"/>
      <c r="BD18" s="102"/>
      <c r="BE18" s="72"/>
      <c r="BF18" s="97"/>
      <c r="BG18" s="97"/>
      <c r="BH18" s="97"/>
      <c r="BI18" s="97"/>
      <c r="BJ18" s="97"/>
      <c r="BK18" s="97"/>
      <c r="BL18" s="72"/>
      <c r="BM18" s="72"/>
      <c r="BN18" s="72"/>
      <c r="BO18" s="72"/>
      <c r="BP18" s="72"/>
      <c r="BQ18" s="72"/>
      <c r="BR18" s="72"/>
      <c r="BS18" s="72"/>
      <c r="BT18" s="72"/>
      <c r="BU18" s="72"/>
      <c r="BV18" s="72"/>
      <c r="BW18" s="72"/>
      <c r="BX18" s="72"/>
      <c r="BY18" s="72"/>
      <c r="BZ18" s="72"/>
      <c r="CA18" s="72"/>
      <c r="CB18" s="72"/>
      <c r="CC18" s="72"/>
      <c r="CD18" s="72"/>
      <c r="CE18" s="72"/>
      <c r="CF18" s="72"/>
      <c r="CG18" s="72"/>
      <c r="CH18" s="72"/>
      <c r="CI18" s="72"/>
      <c r="CJ18" s="72"/>
      <c r="CK18" s="72"/>
      <c r="CL18" s="72"/>
      <c r="CM18" s="72"/>
      <c r="CN18" s="72"/>
      <c r="CO18" s="72"/>
      <c r="CP18" s="72"/>
      <c r="CQ18" s="72"/>
      <c r="CR18" s="72"/>
      <c r="CS18" s="72"/>
      <c r="CT18" s="72"/>
      <c r="CU18" s="72"/>
      <c r="CV18" s="72"/>
      <c r="CW18" s="72"/>
      <c r="CX18" s="72"/>
      <c r="CY18" s="72"/>
      <c r="CZ18" s="72"/>
      <c r="DA18" s="72"/>
      <c r="DB18" s="72"/>
      <c r="DC18" s="72"/>
      <c r="DD18" s="104"/>
    </row>
    <row r="19" spans="2:108" s="64" customFormat="1" ht="14.25" customHeight="1">
      <c r="B19" s="102"/>
      <c r="C19" s="97"/>
      <c r="D19" s="97"/>
      <c r="E19" s="97"/>
      <c r="F19" s="97"/>
      <c r="G19" s="111"/>
      <c r="H19" s="111"/>
      <c r="I19" s="111"/>
      <c r="J19" s="111"/>
      <c r="K19" s="111"/>
      <c r="L19" s="111"/>
      <c r="M19" s="111"/>
      <c r="N19" s="111"/>
      <c r="O19" s="111"/>
      <c r="P19" s="111"/>
      <c r="Q19" s="111"/>
      <c r="R19" s="111"/>
      <c r="S19" s="111"/>
      <c r="T19" s="111"/>
      <c r="U19" s="111"/>
      <c r="V19" s="111"/>
      <c r="W19" s="111"/>
      <c r="X19" s="111"/>
      <c r="Y19" s="111"/>
      <c r="Z19" s="111"/>
      <c r="AA19" s="111"/>
      <c r="AB19" s="111"/>
      <c r="AC19" s="111"/>
      <c r="AD19" s="111"/>
      <c r="AE19" s="111"/>
      <c r="AF19" s="111"/>
      <c r="AG19" s="111"/>
      <c r="AH19" s="111"/>
      <c r="AI19" s="111"/>
      <c r="AJ19" s="111"/>
      <c r="AK19" s="111"/>
      <c r="AL19" s="111"/>
      <c r="AM19" s="111"/>
      <c r="AN19" s="111"/>
      <c r="AO19" s="111"/>
      <c r="AP19" s="111"/>
      <c r="AQ19" s="111"/>
      <c r="AR19" s="111"/>
      <c r="AS19" s="111"/>
      <c r="AT19" s="111"/>
      <c r="AU19" s="111"/>
      <c r="AV19" s="111"/>
      <c r="AW19" s="111"/>
      <c r="AX19" s="111"/>
      <c r="AY19" s="111"/>
      <c r="AZ19" s="111"/>
      <c r="BA19" s="111"/>
      <c r="BB19" s="104"/>
      <c r="BC19" s="65"/>
      <c r="BD19" s="102"/>
      <c r="BE19" s="72"/>
      <c r="BF19" s="97"/>
      <c r="BG19" s="97"/>
      <c r="BH19" s="100"/>
      <c r="BI19" s="120"/>
      <c r="BJ19" s="120"/>
      <c r="BK19" s="120"/>
      <c r="BL19" s="120"/>
      <c r="BM19" s="120"/>
      <c r="BN19" s="120"/>
      <c r="BO19" s="120"/>
      <c r="BP19" s="120"/>
      <c r="BQ19" s="120"/>
      <c r="BR19" s="120"/>
      <c r="BS19" s="120"/>
      <c r="BT19" s="120"/>
      <c r="BU19" s="120"/>
      <c r="BV19" s="120"/>
      <c r="BW19" s="120"/>
      <c r="BX19" s="120"/>
      <c r="BY19" s="120"/>
      <c r="BZ19" s="120"/>
      <c r="CA19" s="120"/>
      <c r="CB19" s="120"/>
      <c r="CC19" s="120"/>
      <c r="CD19" s="120"/>
      <c r="CE19" s="120"/>
      <c r="CF19" s="120"/>
      <c r="CG19" s="120"/>
      <c r="CH19" s="120"/>
      <c r="CI19" s="120"/>
      <c r="CJ19" s="120"/>
      <c r="CK19" s="120"/>
      <c r="CL19" s="120"/>
      <c r="CM19" s="120"/>
      <c r="CN19" s="120"/>
      <c r="CO19" s="120"/>
      <c r="CP19" s="120"/>
      <c r="CQ19" s="120"/>
      <c r="CR19" s="120"/>
      <c r="CS19" s="120"/>
      <c r="CT19" s="120"/>
      <c r="CU19" s="120"/>
      <c r="CV19" s="120"/>
      <c r="CW19" s="120"/>
      <c r="CX19" s="120"/>
      <c r="CY19" s="120"/>
      <c r="CZ19" s="120"/>
      <c r="DA19" s="120"/>
      <c r="DB19" s="120"/>
      <c r="DC19" s="120"/>
      <c r="DD19" s="104"/>
    </row>
    <row r="20" spans="2:108" s="64" customFormat="1" ht="14.25" customHeight="1">
      <c r="B20" s="102"/>
      <c r="C20" s="97"/>
      <c r="D20" s="97"/>
      <c r="E20" s="97"/>
      <c r="F20" s="97"/>
      <c r="G20" s="97"/>
      <c r="H20" s="97"/>
      <c r="I20" s="97"/>
      <c r="J20" s="72"/>
      <c r="K20" s="72"/>
      <c r="L20" s="72"/>
      <c r="M20" s="72"/>
      <c r="N20" s="72"/>
      <c r="O20" s="72"/>
      <c r="P20" s="72"/>
      <c r="Q20" s="72"/>
      <c r="R20" s="72"/>
      <c r="S20" s="72"/>
      <c r="T20" s="72"/>
      <c r="U20" s="72"/>
      <c r="V20" s="72"/>
      <c r="W20" s="72"/>
      <c r="X20" s="72"/>
      <c r="Y20" s="72"/>
      <c r="Z20" s="72"/>
      <c r="AA20" s="72"/>
      <c r="AB20" s="72"/>
      <c r="AC20" s="72"/>
      <c r="AD20" s="72"/>
      <c r="AE20" s="72"/>
      <c r="AF20" s="72"/>
      <c r="AG20" s="72"/>
      <c r="AH20" s="72"/>
      <c r="AI20" s="72"/>
      <c r="AJ20" s="72"/>
      <c r="AK20" s="72"/>
      <c r="AL20" s="72"/>
      <c r="AM20" s="72"/>
      <c r="AN20" s="72"/>
      <c r="AO20" s="72"/>
      <c r="AP20" s="72"/>
      <c r="AQ20" s="72"/>
      <c r="AR20" s="72"/>
      <c r="AS20" s="72"/>
      <c r="AT20" s="72"/>
      <c r="AU20" s="72"/>
      <c r="AV20" s="72"/>
      <c r="AW20" s="72"/>
      <c r="AX20" s="72"/>
      <c r="AY20" s="72"/>
      <c r="AZ20" s="72"/>
      <c r="BA20" s="72"/>
      <c r="BB20" s="104"/>
      <c r="BC20" s="65"/>
      <c r="BD20" s="102"/>
      <c r="BE20" s="72"/>
      <c r="BF20" s="97"/>
      <c r="BG20" s="97"/>
      <c r="BH20" s="120"/>
      <c r="BI20" s="120"/>
      <c r="BJ20" s="120"/>
      <c r="BK20" s="120"/>
      <c r="BL20" s="120"/>
      <c r="BM20" s="120"/>
      <c r="BN20" s="120"/>
      <c r="BO20" s="120"/>
      <c r="BP20" s="120"/>
      <c r="BQ20" s="120"/>
      <c r="BR20" s="120"/>
      <c r="BS20" s="120"/>
      <c r="BT20" s="120"/>
      <c r="BU20" s="120"/>
      <c r="BV20" s="120"/>
      <c r="BW20" s="120"/>
      <c r="BX20" s="120"/>
      <c r="BY20" s="120"/>
      <c r="BZ20" s="120"/>
      <c r="CA20" s="120"/>
      <c r="CB20" s="120"/>
      <c r="CC20" s="120"/>
      <c r="CD20" s="120"/>
      <c r="CE20" s="120"/>
      <c r="CF20" s="120"/>
      <c r="CG20" s="120"/>
      <c r="CH20" s="120"/>
      <c r="CI20" s="120"/>
      <c r="CJ20" s="120"/>
      <c r="CK20" s="120"/>
      <c r="CL20" s="120"/>
      <c r="CM20" s="120"/>
      <c r="CN20" s="120"/>
      <c r="CO20" s="120"/>
      <c r="CP20" s="120"/>
      <c r="CQ20" s="120"/>
      <c r="CR20" s="120"/>
      <c r="CS20" s="120"/>
      <c r="CT20" s="120"/>
      <c r="CU20" s="120"/>
      <c r="CV20" s="120"/>
      <c r="CW20" s="120"/>
      <c r="CX20" s="120"/>
      <c r="CY20" s="120"/>
      <c r="CZ20" s="120"/>
      <c r="DA20" s="120"/>
      <c r="DB20" s="120"/>
      <c r="DC20" s="120"/>
      <c r="DD20" s="104"/>
    </row>
    <row r="21" spans="2:108" s="64" customFormat="1" ht="14.25" customHeight="1">
      <c r="B21" s="102"/>
      <c r="C21" s="97"/>
      <c r="D21" s="97"/>
      <c r="E21" s="72"/>
      <c r="F21" s="97"/>
      <c r="G21" s="112"/>
      <c r="H21" s="112"/>
      <c r="I21" s="112"/>
      <c r="J21" s="112"/>
      <c r="K21" s="112"/>
      <c r="L21" s="112"/>
      <c r="M21" s="112"/>
      <c r="N21" s="112"/>
      <c r="O21" s="112"/>
      <c r="P21" s="112"/>
      <c r="Q21" s="112"/>
      <c r="R21" s="112"/>
      <c r="S21" s="112"/>
      <c r="T21" s="112"/>
      <c r="U21" s="112"/>
      <c r="V21" s="112"/>
      <c r="W21" s="112"/>
      <c r="X21" s="112"/>
      <c r="Y21" s="112"/>
      <c r="Z21" s="112"/>
      <c r="AA21" s="112"/>
      <c r="AB21" s="112"/>
      <c r="AC21" s="112"/>
      <c r="AD21" s="112"/>
      <c r="AE21" s="112"/>
      <c r="AF21" s="112"/>
      <c r="AG21" s="112"/>
      <c r="AH21" s="112"/>
      <c r="AI21" s="112"/>
      <c r="AJ21" s="112"/>
      <c r="AK21" s="112"/>
      <c r="AL21" s="112"/>
      <c r="AM21" s="112"/>
      <c r="AN21" s="112"/>
      <c r="AO21" s="112"/>
      <c r="AP21" s="112"/>
      <c r="AQ21" s="112"/>
      <c r="AR21" s="112"/>
      <c r="AS21" s="112"/>
      <c r="AT21" s="112"/>
      <c r="AU21" s="112"/>
      <c r="AV21" s="112"/>
      <c r="AW21" s="112"/>
      <c r="AX21" s="112"/>
      <c r="AY21" s="112"/>
      <c r="AZ21" s="112"/>
      <c r="BA21" s="112"/>
      <c r="BB21" s="104"/>
      <c r="BC21" s="65"/>
      <c r="BD21" s="102"/>
      <c r="BE21" s="97"/>
      <c r="BF21" s="97"/>
      <c r="BG21" s="97"/>
      <c r="BH21" s="97"/>
      <c r="BI21" s="97"/>
      <c r="BJ21" s="72"/>
      <c r="BK21" s="72"/>
      <c r="BL21" s="72"/>
      <c r="BM21" s="72"/>
      <c r="BN21" s="72"/>
      <c r="BO21" s="72"/>
      <c r="BP21" s="72"/>
      <c r="BQ21" s="72"/>
      <c r="BR21" s="72"/>
      <c r="BS21" s="72"/>
      <c r="BT21" s="72"/>
      <c r="BU21" s="72"/>
      <c r="BV21" s="72"/>
      <c r="BW21" s="72"/>
      <c r="BX21" s="72"/>
      <c r="BY21" s="72"/>
      <c r="BZ21" s="72"/>
      <c r="CA21" s="72"/>
      <c r="CB21" s="72"/>
      <c r="CC21" s="72"/>
      <c r="CD21" s="72"/>
      <c r="CE21" s="72"/>
      <c r="CF21" s="72"/>
      <c r="CG21" s="72"/>
      <c r="CH21" s="72"/>
      <c r="CI21" s="72"/>
      <c r="CJ21" s="72"/>
      <c r="CK21" s="72"/>
      <c r="CL21" s="72"/>
      <c r="CM21" s="72"/>
      <c r="CN21" s="72"/>
      <c r="CO21" s="72"/>
      <c r="CP21" s="72"/>
      <c r="CQ21" s="72"/>
      <c r="CR21" s="72"/>
      <c r="CS21" s="72"/>
      <c r="CT21" s="72"/>
      <c r="CU21" s="72"/>
      <c r="CV21" s="72"/>
      <c r="CW21" s="72"/>
      <c r="CX21" s="72"/>
      <c r="CY21" s="72"/>
      <c r="CZ21" s="72"/>
      <c r="DA21" s="72"/>
      <c r="DB21" s="72"/>
      <c r="DC21" s="72"/>
      <c r="DD21" s="104"/>
    </row>
    <row r="22" spans="2:108" s="64" customFormat="1" ht="14.25" customHeight="1">
      <c r="B22" s="102"/>
      <c r="C22" s="97"/>
      <c r="D22" s="97"/>
      <c r="E22" s="97"/>
      <c r="F22" s="97"/>
      <c r="G22" s="112"/>
      <c r="H22" s="112"/>
      <c r="I22" s="112"/>
      <c r="J22" s="112"/>
      <c r="K22" s="112"/>
      <c r="L22" s="112"/>
      <c r="M22" s="112"/>
      <c r="N22" s="112"/>
      <c r="O22" s="112"/>
      <c r="P22" s="112"/>
      <c r="Q22" s="112"/>
      <c r="R22" s="112"/>
      <c r="S22" s="112"/>
      <c r="T22" s="112"/>
      <c r="U22" s="112"/>
      <c r="V22" s="112"/>
      <c r="W22" s="112"/>
      <c r="X22" s="112"/>
      <c r="Y22" s="112"/>
      <c r="Z22" s="112"/>
      <c r="AA22" s="112"/>
      <c r="AB22" s="112"/>
      <c r="AC22" s="112"/>
      <c r="AD22" s="112"/>
      <c r="AE22" s="112"/>
      <c r="AF22" s="112"/>
      <c r="AG22" s="112"/>
      <c r="AH22" s="112"/>
      <c r="AI22" s="112"/>
      <c r="AJ22" s="112"/>
      <c r="AK22" s="112"/>
      <c r="AL22" s="112"/>
      <c r="AM22" s="112"/>
      <c r="AN22" s="112"/>
      <c r="AO22" s="112"/>
      <c r="AP22" s="112"/>
      <c r="AQ22" s="112"/>
      <c r="AR22" s="112"/>
      <c r="AS22" s="112"/>
      <c r="AT22" s="112"/>
      <c r="AU22" s="112"/>
      <c r="AV22" s="112"/>
      <c r="AW22" s="112"/>
      <c r="AX22" s="112"/>
      <c r="AY22" s="112"/>
      <c r="AZ22" s="112"/>
      <c r="BA22" s="112"/>
      <c r="BB22" s="104"/>
      <c r="BC22" s="65"/>
      <c r="BD22" s="102"/>
      <c r="BE22" s="72"/>
      <c r="BF22" s="97"/>
      <c r="BG22" s="72"/>
      <c r="BH22" s="97"/>
      <c r="BI22" s="97"/>
      <c r="BJ22" s="72"/>
      <c r="BK22" s="72"/>
      <c r="BL22" s="72"/>
      <c r="BM22" s="72"/>
      <c r="BN22" s="72"/>
      <c r="BO22" s="72"/>
      <c r="BP22" s="72"/>
      <c r="BQ22" s="72"/>
      <c r="BR22" s="72"/>
      <c r="BS22" s="72"/>
      <c r="BT22" s="72"/>
      <c r="BU22" s="72"/>
      <c r="BV22" s="72"/>
      <c r="BW22" s="72"/>
      <c r="BX22" s="72"/>
      <c r="BY22" s="72"/>
      <c r="BZ22" s="72"/>
      <c r="CA22" s="72"/>
      <c r="CB22" s="72"/>
      <c r="CC22" s="72"/>
      <c r="CD22" s="72"/>
      <c r="CE22" s="72"/>
      <c r="CF22" s="72"/>
      <c r="CG22" s="72"/>
      <c r="CH22" s="72"/>
      <c r="CI22" s="72"/>
      <c r="CJ22" s="72"/>
      <c r="CK22" s="72"/>
      <c r="CL22" s="72"/>
      <c r="CM22" s="72"/>
      <c r="CN22" s="72"/>
      <c r="CO22" s="72"/>
      <c r="CP22" s="72"/>
      <c r="CQ22" s="72"/>
      <c r="CR22" s="72"/>
      <c r="CS22" s="72"/>
      <c r="CT22" s="72"/>
      <c r="CU22" s="72"/>
      <c r="CV22" s="72"/>
      <c r="CW22" s="72"/>
      <c r="CX22" s="72"/>
      <c r="CY22" s="72"/>
      <c r="CZ22" s="72"/>
      <c r="DA22" s="72"/>
      <c r="DB22" s="72"/>
      <c r="DC22" s="72"/>
      <c r="DD22" s="104"/>
    </row>
    <row r="23" spans="2:108" s="64" customFormat="1" ht="14.25" customHeight="1">
      <c r="B23" s="102"/>
      <c r="C23" s="97"/>
      <c r="D23" s="97"/>
      <c r="E23" s="97"/>
      <c r="F23" s="97"/>
      <c r="G23" s="112"/>
      <c r="H23" s="112"/>
      <c r="I23" s="112"/>
      <c r="J23" s="112"/>
      <c r="K23" s="112"/>
      <c r="L23" s="112"/>
      <c r="M23" s="112"/>
      <c r="N23" s="112"/>
      <c r="O23" s="112"/>
      <c r="P23" s="112"/>
      <c r="Q23" s="112"/>
      <c r="R23" s="112"/>
      <c r="S23" s="112"/>
      <c r="T23" s="112"/>
      <c r="U23" s="112"/>
      <c r="V23" s="112"/>
      <c r="W23" s="112"/>
      <c r="X23" s="112"/>
      <c r="Y23" s="112"/>
      <c r="Z23" s="112"/>
      <c r="AA23" s="112"/>
      <c r="AB23" s="112"/>
      <c r="AC23" s="112"/>
      <c r="AD23" s="112"/>
      <c r="AE23" s="112"/>
      <c r="AF23" s="112"/>
      <c r="AG23" s="112"/>
      <c r="AH23" s="112"/>
      <c r="AI23" s="112"/>
      <c r="AJ23" s="112"/>
      <c r="AK23" s="112"/>
      <c r="AL23" s="112"/>
      <c r="AM23" s="112"/>
      <c r="AN23" s="112"/>
      <c r="AO23" s="112"/>
      <c r="AP23" s="112"/>
      <c r="AQ23" s="112"/>
      <c r="AR23" s="112"/>
      <c r="AS23" s="112"/>
      <c r="AT23" s="112"/>
      <c r="AU23" s="112"/>
      <c r="AV23" s="112"/>
      <c r="AW23" s="112"/>
      <c r="AX23" s="112"/>
      <c r="AY23" s="112"/>
      <c r="AZ23" s="112"/>
      <c r="BA23" s="112"/>
      <c r="BB23" s="104"/>
      <c r="BC23" s="65"/>
      <c r="BD23" s="102"/>
      <c r="BE23" s="72"/>
      <c r="BF23" s="97"/>
      <c r="BG23" s="97"/>
      <c r="BH23" s="100"/>
      <c r="BI23" s="120"/>
      <c r="BJ23" s="120"/>
      <c r="BK23" s="120"/>
      <c r="BL23" s="120"/>
      <c r="BM23" s="120"/>
      <c r="BN23" s="120"/>
      <c r="BO23" s="120"/>
      <c r="BP23" s="120"/>
      <c r="BQ23" s="120"/>
      <c r="BR23" s="120"/>
      <c r="BS23" s="120"/>
      <c r="BT23" s="120"/>
      <c r="BU23" s="120"/>
      <c r="BV23" s="120"/>
      <c r="BW23" s="120"/>
      <c r="BX23" s="120"/>
      <c r="BY23" s="120"/>
      <c r="BZ23" s="120"/>
      <c r="CA23" s="120"/>
      <c r="CB23" s="120"/>
      <c r="CC23" s="120"/>
      <c r="CD23" s="120"/>
      <c r="CE23" s="120"/>
      <c r="CF23" s="120"/>
      <c r="CG23" s="120"/>
      <c r="CH23" s="120"/>
      <c r="CI23" s="120"/>
      <c r="CJ23" s="120"/>
      <c r="CK23" s="120"/>
      <c r="CL23" s="120"/>
      <c r="CM23" s="120"/>
      <c r="CN23" s="120"/>
      <c r="CO23" s="120"/>
      <c r="CP23" s="120"/>
      <c r="CQ23" s="120"/>
      <c r="CR23" s="120"/>
      <c r="CS23" s="120"/>
      <c r="CT23" s="120"/>
      <c r="CU23" s="120"/>
      <c r="CV23" s="120"/>
      <c r="CW23" s="120"/>
      <c r="CX23" s="120"/>
      <c r="CY23" s="120"/>
      <c r="CZ23" s="120"/>
      <c r="DA23" s="120"/>
      <c r="DB23" s="120"/>
      <c r="DC23" s="120"/>
      <c r="DD23" s="104"/>
    </row>
    <row r="24" spans="2:108" s="64" customFormat="1" ht="13.5" customHeight="1">
      <c r="B24" s="102"/>
      <c r="C24" s="97"/>
      <c r="D24" s="97"/>
      <c r="E24" s="97"/>
      <c r="F24" s="97"/>
      <c r="G24" s="97"/>
      <c r="H24" s="72"/>
      <c r="I24" s="72"/>
      <c r="J24" s="72"/>
      <c r="K24" s="72"/>
      <c r="L24" s="72"/>
      <c r="M24" s="72"/>
      <c r="N24" s="72"/>
      <c r="O24" s="72"/>
      <c r="P24" s="72"/>
      <c r="Q24" s="72"/>
      <c r="R24" s="72"/>
      <c r="S24" s="72"/>
      <c r="T24" s="72"/>
      <c r="U24" s="72"/>
      <c r="V24" s="72"/>
      <c r="W24" s="72"/>
      <c r="X24" s="72"/>
      <c r="Y24" s="72"/>
      <c r="Z24" s="72"/>
      <c r="AA24" s="72"/>
      <c r="AB24" s="72"/>
      <c r="AC24" s="72"/>
      <c r="AD24" s="72"/>
      <c r="AE24" s="72"/>
      <c r="AF24" s="72"/>
      <c r="AG24" s="72"/>
      <c r="AH24" s="72"/>
      <c r="AI24" s="72"/>
      <c r="AJ24" s="72"/>
      <c r="AK24" s="72"/>
      <c r="AL24" s="72"/>
      <c r="AM24" s="72"/>
      <c r="AN24" s="72"/>
      <c r="AO24" s="72"/>
      <c r="AP24" s="72"/>
      <c r="AQ24" s="72"/>
      <c r="AR24" s="72"/>
      <c r="AS24" s="72"/>
      <c r="AT24" s="72"/>
      <c r="AU24" s="72"/>
      <c r="AV24" s="72"/>
      <c r="AW24" s="72"/>
      <c r="AX24" s="72"/>
      <c r="AY24" s="72"/>
      <c r="AZ24" s="72"/>
      <c r="BA24" s="72"/>
      <c r="BB24" s="104"/>
      <c r="BC24" s="65"/>
      <c r="BD24" s="102"/>
      <c r="BE24" s="72"/>
      <c r="BF24" s="97"/>
      <c r="BG24" s="97"/>
      <c r="BH24" s="120"/>
      <c r="BI24" s="120"/>
      <c r="BJ24" s="120"/>
      <c r="BK24" s="120"/>
      <c r="BL24" s="120"/>
      <c r="BM24" s="120"/>
      <c r="BN24" s="120"/>
      <c r="BO24" s="120"/>
      <c r="BP24" s="120"/>
      <c r="BQ24" s="120"/>
      <c r="BR24" s="120"/>
      <c r="BS24" s="120"/>
      <c r="BT24" s="120"/>
      <c r="BU24" s="120"/>
      <c r="BV24" s="120"/>
      <c r="BW24" s="120"/>
      <c r="BX24" s="120"/>
      <c r="BY24" s="120"/>
      <c r="BZ24" s="120"/>
      <c r="CA24" s="120"/>
      <c r="CB24" s="120"/>
      <c r="CC24" s="120"/>
      <c r="CD24" s="120"/>
      <c r="CE24" s="120"/>
      <c r="CF24" s="120"/>
      <c r="CG24" s="120"/>
      <c r="CH24" s="120"/>
      <c r="CI24" s="120"/>
      <c r="CJ24" s="120"/>
      <c r="CK24" s="120"/>
      <c r="CL24" s="120"/>
      <c r="CM24" s="120"/>
      <c r="CN24" s="120"/>
      <c r="CO24" s="120"/>
      <c r="CP24" s="120"/>
      <c r="CQ24" s="120"/>
      <c r="CR24" s="120"/>
      <c r="CS24" s="120"/>
      <c r="CT24" s="120"/>
      <c r="CU24" s="120"/>
      <c r="CV24" s="120"/>
      <c r="CW24" s="120"/>
      <c r="CX24" s="120"/>
      <c r="CY24" s="120"/>
      <c r="CZ24" s="120"/>
      <c r="DA24" s="120"/>
      <c r="DB24" s="120"/>
      <c r="DC24" s="120"/>
      <c r="DD24" s="104"/>
    </row>
    <row r="25" spans="2:108" s="64" customFormat="1" ht="13.5" customHeight="1">
      <c r="B25" s="102"/>
      <c r="C25" s="97"/>
      <c r="D25" s="72"/>
      <c r="E25" s="72"/>
      <c r="F25" s="97"/>
      <c r="G25" s="100"/>
      <c r="H25" s="100"/>
      <c r="I25" s="100"/>
      <c r="J25" s="100"/>
      <c r="K25" s="100"/>
      <c r="L25" s="100"/>
      <c r="M25" s="100"/>
      <c r="N25" s="100"/>
      <c r="O25" s="100"/>
      <c r="P25" s="100"/>
      <c r="Q25" s="100"/>
      <c r="R25" s="100"/>
      <c r="S25" s="100"/>
      <c r="T25" s="100"/>
      <c r="U25" s="100"/>
      <c r="V25" s="100"/>
      <c r="W25" s="100"/>
      <c r="X25" s="100"/>
      <c r="Y25" s="100"/>
      <c r="Z25" s="100"/>
      <c r="AA25" s="100"/>
      <c r="AB25" s="100"/>
      <c r="AC25" s="100"/>
      <c r="AD25" s="100"/>
      <c r="AE25" s="100"/>
      <c r="AF25" s="100"/>
      <c r="AG25" s="100"/>
      <c r="AH25" s="100"/>
      <c r="AI25" s="100"/>
      <c r="AJ25" s="100"/>
      <c r="AK25" s="100"/>
      <c r="AL25" s="100"/>
      <c r="AM25" s="100"/>
      <c r="AN25" s="100"/>
      <c r="AO25" s="100"/>
      <c r="AP25" s="100"/>
      <c r="AQ25" s="100"/>
      <c r="AR25" s="100"/>
      <c r="AS25" s="100"/>
      <c r="AT25" s="100"/>
      <c r="AU25" s="100"/>
      <c r="AV25" s="100"/>
      <c r="AW25" s="100"/>
      <c r="AX25" s="100"/>
      <c r="AY25" s="100"/>
      <c r="AZ25" s="100"/>
      <c r="BA25" s="100"/>
      <c r="BB25" s="104"/>
      <c r="BC25" s="65"/>
      <c r="BD25" s="102"/>
      <c r="BE25" s="72"/>
      <c r="BF25" s="97"/>
      <c r="BG25" s="97"/>
      <c r="BH25" s="97"/>
      <c r="BI25" s="97"/>
      <c r="BJ25" s="97"/>
      <c r="BK25" s="72"/>
      <c r="BL25" s="72"/>
      <c r="BM25" s="72"/>
      <c r="BN25" s="72"/>
      <c r="BO25" s="72"/>
      <c r="BP25" s="72"/>
      <c r="BQ25" s="72"/>
      <c r="BR25" s="72"/>
      <c r="BS25" s="72"/>
      <c r="BT25" s="72"/>
      <c r="BU25" s="72"/>
      <c r="BV25" s="72"/>
      <c r="BW25" s="72"/>
      <c r="BX25" s="72"/>
      <c r="BY25" s="72"/>
      <c r="BZ25" s="72"/>
      <c r="CA25" s="72"/>
      <c r="CB25" s="72"/>
      <c r="CC25" s="72"/>
      <c r="CD25" s="72"/>
      <c r="CE25" s="72"/>
      <c r="CF25" s="72"/>
      <c r="CG25" s="72"/>
      <c r="CH25" s="72"/>
      <c r="CI25" s="72"/>
      <c r="CJ25" s="72"/>
      <c r="CK25" s="72"/>
      <c r="CL25" s="72"/>
      <c r="CM25" s="72"/>
      <c r="CN25" s="72"/>
      <c r="CO25" s="72"/>
      <c r="CP25" s="72"/>
      <c r="CQ25" s="72"/>
      <c r="CR25" s="72"/>
      <c r="CS25" s="72"/>
      <c r="CT25" s="72"/>
      <c r="CU25" s="72"/>
      <c r="CV25" s="72"/>
      <c r="CW25" s="72"/>
      <c r="CX25" s="72"/>
      <c r="CY25" s="72"/>
      <c r="CZ25" s="72"/>
      <c r="DA25" s="72"/>
      <c r="DB25" s="72"/>
      <c r="DC25" s="72"/>
      <c r="DD25" s="104"/>
    </row>
    <row r="26" spans="2:108" s="64" customFormat="1" ht="13.5" customHeight="1">
      <c r="B26" s="102"/>
      <c r="C26" s="72"/>
      <c r="D26" s="72"/>
      <c r="E26" s="72"/>
      <c r="F26" s="72"/>
      <c r="G26" s="100"/>
      <c r="H26" s="100"/>
      <c r="I26" s="100"/>
      <c r="J26" s="100"/>
      <c r="K26" s="100"/>
      <c r="L26" s="100"/>
      <c r="M26" s="100"/>
      <c r="N26" s="100"/>
      <c r="O26" s="100"/>
      <c r="P26" s="100"/>
      <c r="Q26" s="100"/>
      <c r="R26" s="100"/>
      <c r="S26" s="100"/>
      <c r="T26" s="100"/>
      <c r="U26" s="100"/>
      <c r="V26" s="100"/>
      <c r="W26" s="100"/>
      <c r="X26" s="100"/>
      <c r="Y26" s="100"/>
      <c r="Z26" s="100"/>
      <c r="AA26" s="100"/>
      <c r="AB26" s="100"/>
      <c r="AC26" s="100"/>
      <c r="AD26" s="100"/>
      <c r="AE26" s="100"/>
      <c r="AF26" s="100"/>
      <c r="AG26" s="100"/>
      <c r="AH26" s="100"/>
      <c r="AI26" s="100"/>
      <c r="AJ26" s="100"/>
      <c r="AK26" s="100"/>
      <c r="AL26" s="100"/>
      <c r="AM26" s="100"/>
      <c r="AN26" s="100"/>
      <c r="AO26" s="100"/>
      <c r="AP26" s="100"/>
      <c r="AQ26" s="100"/>
      <c r="AR26" s="100"/>
      <c r="AS26" s="100"/>
      <c r="AT26" s="100"/>
      <c r="AU26" s="100"/>
      <c r="AV26" s="100"/>
      <c r="AW26" s="100"/>
      <c r="AX26" s="100"/>
      <c r="AY26" s="100"/>
      <c r="AZ26" s="100"/>
      <c r="BA26" s="100"/>
      <c r="BB26" s="104"/>
      <c r="BC26" s="65"/>
      <c r="BD26" s="102"/>
      <c r="BE26" s="72"/>
      <c r="BF26" s="72"/>
      <c r="BG26" s="97"/>
      <c r="BH26" s="101"/>
      <c r="BI26" s="101"/>
      <c r="BJ26" s="101"/>
      <c r="BK26" s="101"/>
      <c r="BL26" s="101"/>
      <c r="BM26" s="101"/>
      <c r="BN26" s="101"/>
      <c r="BO26" s="101"/>
      <c r="BP26" s="101"/>
      <c r="BQ26" s="101"/>
      <c r="BR26" s="101"/>
      <c r="BS26" s="101"/>
      <c r="BT26" s="101"/>
      <c r="BU26" s="101"/>
      <c r="BV26" s="101"/>
      <c r="BW26" s="101"/>
      <c r="BX26" s="101"/>
      <c r="BY26" s="101"/>
      <c r="BZ26" s="101"/>
      <c r="CA26" s="101"/>
      <c r="CB26" s="101"/>
      <c r="CC26" s="101"/>
      <c r="CD26" s="101"/>
      <c r="CE26" s="101"/>
      <c r="CF26" s="101"/>
      <c r="CG26" s="101"/>
      <c r="CH26" s="101"/>
      <c r="CI26" s="101"/>
      <c r="CJ26" s="101"/>
      <c r="CK26" s="101"/>
      <c r="CL26" s="101"/>
      <c r="CM26" s="101"/>
      <c r="CN26" s="101"/>
      <c r="CO26" s="101"/>
      <c r="CP26" s="101"/>
      <c r="CQ26" s="101"/>
      <c r="CR26" s="101"/>
      <c r="CS26" s="101"/>
      <c r="CT26" s="101"/>
      <c r="CU26" s="101"/>
      <c r="CV26" s="101"/>
      <c r="CW26" s="101"/>
      <c r="CX26" s="101"/>
      <c r="CY26" s="101"/>
      <c r="CZ26" s="101"/>
      <c r="DA26" s="101"/>
      <c r="DB26" s="101"/>
      <c r="DC26" s="101"/>
      <c r="DD26" s="104"/>
    </row>
    <row r="27" spans="2:108" s="64" customFormat="1" ht="13.5" customHeight="1">
      <c r="B27" s="102"/>
      <c r="C27" s="72"/>
      <c r="D27" s="72"/>
      <c r="E27" s="72"/>
      <c r="F27" s="97"/>
      <c r="G27" s="97"/>
      <c r="H27" s="97"/>
      <c r="I27" s="72"/>
      <c r="J27" s="72"/>
      <c r="K27" s="72"/>
      <c r="L27" s="72"/>
      <c r="M27" s="72"/>
      <c r="N27" s="72"/>
      <c r="O27" s="72"/>
      <c r="P27" s="72"/>
      <c r="Q27" s="72"/>
      <c r="R27" s="72"/>
      <c r="S27" s="72"/>
      <c r="T27" s="72"/>
      <c r="U27" s="72"/>
      <c r="V27" s="72"/>
      <c r="W27" s="72"/>
      <c r="X27" s="72"/>
      <c r="Y27" s="72"/>
      <c r="Z27" s="72"/>
      <c r="AA27" s="72"/>
      <c r="AB27" s="72"/>
      <c r="AC27" s="72"/>
      <c r="AD27" s="72"/>
      <c r="AE27" s="72"/>
      <c r="AF27" s="72"/>
      <c r="AG27" s="72"/>
      <c r="AH27" s="72"/>
      <c r="AI27" s="72"/>
      <c r="AJ27" s="72"/>
      <c r="AK27" s="72"/>
      <c r="AL27" s="72"/>
      <c r="AM27" s="72"/>
      <c r="AN27" s="72"/>
      <c r="AO27" s="72"/>
      <c r="AP27" s="72"/>
      <c r="AQ27" s="72"/>
      <c r="AR27" s="72"/>
      <c r="AS27" s="72"/>
      <c r="AT27" s="72"/>
      <c r="AU27" s="72"/>
      <c r="AV27" s="72"/>
      <c r="AW27" s="72"/>
      <c r="AX27" s="72"/>
      <c r="AY27" s="72"/>
      <c r="AZ27" s="72"/>
      <c r="BA27" s="72"/>
      <c r="BB27" s="104"/>
      <c r="BC27" s="65"/>
      <c r="BD27" s="102"/>
      <c r="BE27" s="72"/>
      <c r="BF27" s="72"/>
      <c r="BG27" s="97"/>
      <c r="BH27" s="101"/>
      <c r="BI27" s="101"/>
      <c r="BJ27" s="101"/>
      <c r="BK27" s="101"/>
      <c r="BL27" s="101"/>
      <c r="BM27" s="101"/>
      <c r="BN27" s="101"/>
      <c r="BO27" s="101"/>
      <c r="BP27" s="101"/>
      <c r="BQ27" s="101"/>
      <c r="BR27" s="101"/>
      <c r="BS27" s="101"/>
      <c r="BT27" s="101"/>
      <c r="BU27" s="101"/>
      <c r="BV27" s="101"/>
      <c r="BW27" s="101"/>
      <c r="BX27" s="101"/>
      <c r="BY27" s="101"/>
      <c r="BZ27" s="101"/>
      <c r="CA27" s="101"/>
      <c r="CB27" s="101"/>
      <c r="CC27" s="101"/>
      <c r="CD27" s="101"/>
      <c r="CE27" s="101"/>
      <c r="CF27" s="101"/>
      <c r="CG27" s="101"/>
      <c r="CH27" s="101"/>
      <c r="CI27" s="101"/>
      <c r="CJ27" s="101"/>
      <c r="CK27" s="101"/>
      <c r="CL27" s="101"/>
      <c r="CM27" s="101"/>
      <c r="CN27" s="101"/>
      <c r="CO27" s="101"/>
      <c r="CP27" s="101"/>
      <c r="CQ27" s="101"/>
      <c r="CR27" s="101"/>
      <c r="CS27" s="101"/>
      <c r="CT27" s="101"/>
      <c r="CU27" s="101"/>
      <c r="CV27" s="101"/>
      <c r="CW27" s="101"/>
      <c r="CX27" s="101"/>
      <c r="CY27" s="101"/>
      <c r="CZ27" s="101"/>
      <c r="DA27" s="101"/>
      <c r="DB27" s="101"/>
      <c r="DC27" s="101"/>
      <c r="DD27" s="104"/>
    </row>
    <row r="28" spans="2:108" s="64" customFormat="1" ht="13.5" customHeight="1">
      <c r="B28" s="102"/>
      <c r="C28" s="72"/>
      <c r="D28" s="72"/>
      <c r="E28" s="72"/>
      <c r="F28" s="72"/>
      <c r="G28" s="113"/>
      <c r="H28" s="97"/>
      <c r="I28" s="114"/>
      <c r="J28" s="114"/>
      <c r="K28" s="114"/>
      <c r="L28" s="114"/>
      <c r="M28" s="114"/>
      <c r="N28" s="114"/>
      <c r="O28" s="114"/>
      <c r="P28" s="114"/>
      <c r="Q28" s="114"/>
      <c r="R28" s="114"/>
      <c r="S28" s="114"/>
      <c r="T28" s="114"/>
      <c r="U28" s="114"/>
      <c r="V28" s="114"/>
      <c r="W28" s="114"/>
      <c r="X28" s="114"/>
      <c r="Y28" s="114"/>
      <c r="Z28" s="114"/>
      <c r="AA28" s="114"/>
      <c r="AB28" s="114"/>
      <c r="AC28" s="114"/>
      <c r="AD28" s="114"/>
      <c r="AE28" s="114"/>
      <c r="AF28" s="114"/>
      <c r="AG28" s="114"/>
      <c r="AH28" s="114"/>
      <c r="AI28" s="114"/>
      <c r="AJ28" s="114"/>
      <c r="AK28" s="114"/>
      <c r="AL28" s="114"/>
      <c r="AM28" s="114"/>
      <c r="AN28" s="114"/>
      <c r="AO28" s="114"/>
      <c r="AP28" s="114"/>
      <c r="AQ28" s="114"/>
      <c r="AR28" s="114"/>
      <c r="AS28" s="114"/>
      <c r="AT28" s="114"/>
      <c r="AU28" s="114"/>
      <c r="AV28" s="114"/>
      <c r="AW28" s="114"/>
      <c r="AX28" s="114"/>
      <c r="AY28" s="114"/>
      <c r="AZ28" s="114"/>
      <c r="BA28" s="114"/>
      <c r="BB28" s="104"/>
      <c r="BC28" s="65"/>
      <c r="BD28" s="102"/>
      <c r="BE28" s="72"/>
      <c r="BF28" s="72"/>
      <c r="BG28" s="72"/>
      <c r="BH28" s="101"/>
      <c r="BI28" s="101"/>
      <c r="BJ28" s="101"/>
      <c r="BK28" s="101"/>
      <c r="BL28" s="101"/>
      <c r="BM28" s="101"/>
      <c r="BN28" s="101"/>
      <c r="BO28" s="101"/>
      <c r="BP28" s="101"/>
      <c r="BQ28" s="101"/>
      <c r="BR28" s="101"/>
      <c r="BS28" s="101"/>
      <c r="BT28" s="101"/>
      <c r="BU28" s="101"/>
      <c r="BV28" s="101"/>
      <c r="BW28" s="101"/>
      <c r="BX28" s="101"/>
      <c r="BY28" s="101"/>
      <c r="BZ28" s="101"/>
      <c r="CA28" s="101"/>
      <c r="CB28" s="101"/>
      <c r="CC28" s="101"/>
      <c r="CD28" s="101"/>
      <c r="CE28" s="101"/>
      <c r="CF28" s="101"/>
      <c r="CG28" s="101"/>
      <c r="CH28" s="101"/>
      <c r="CI28" s="101"/>
      <c r="CJ28" s="101"/>
      <c r="CK28" s="101"/>
      <c r="CL28" s="101"/>
      <c r="CM28" s="101"/>
      <c r="CN28" s="101"/>
      <c r="CO28" s="101"/>
      <c r="CP28" s="101"/>
      <c r="CQ28" s="101"/>
      <c r="CR28" s="101"/>
      <c r="CS28" s="101"/>
      <c r="CT28" s="101"/>
      <c r="CU28" s="101"/>
      <c r="CV28" s="101"/>
      <c r="CW28" s="101"/>
      <c r="CX28" s="101"/>
      <c r="CY28" s="101"/>
      <c r="CZ28" s="101"/>
      <c r="DA28" s="101"/>
      <c r="DB28" s="101"/>
      <c r="DC28" s="101"/>
      <c r="DD28" s="104"/>
    </row>
    <row r="29" spans="2:108" s="64" customFormat="1" ht="13.5" customHeight="1">
      <c r="B29" s="102"/>
      <c r="C29" s="72"/>
      <c r="D29" s="72"/>
      <c r="E29" s="97"/>
      <c r="F29" s="97"/>
      <c r="G29" s="72"/>
      <c r="H29" s="72"/>
      <c r="I29" s="114"/>
      <c r="J29" s="114"/>
      <c r="K29" s="114"/>
      <c r="L29" s="114"/>
      <c r="M29" s="114"/>
      <c r="N29" s="114"/>
      <c r="O29" s="114"/>
      <c r="P29" s="114"/>
      <c r="Q29" s="114"/>
      <c r="R29" s="114"/>
      <c r="S29" s="114"/>
      <c r="T29" s="114"/>
      <c r="U29" s="114"/>
      <c r="V29" s="114"/>
      <c r="W29" s="114"/>
      <c r="X29" s="114"/>
      <c r="Y29" s="114"/>
      <c r="Z29" s="114"/>
      <c r="AA29" s="114"/>
      <c r="AB29" s="114"/>
      <c r="AC29" s="114"/>
      <c r="AD29" s="114"/>
      <c r="AE29" s="114"/>
      <c r="AF29" s="114"/>
      <c r="AG29" s="114"/>
      <c r="AH29" s="114"/>
      <c r="AI29" s="114"/>
      <c r="AJ29" s="114"/>
      <c r="AK29" s="114"/>
      <c r="AL29" s="114"/>
      <c r="AM29" s="114"/>
      <c r="AN29" s="114"/>
      <c r="AO29" s="114"/>
      <c r="AP29" s="114"/>
      <c r="AQ29" s="114"/>
      <c r="AR29" s="114"/>
      <c r="AS29" s="114"/>
      <c r="AT29" s="114"/>
      <c r="AU29" s="114"/>
      <c r="AV29" s="114"/>
      <c r="AW29" s="114"/>
      <c r="AX29" s="114"/>
      <c r="AY29" s="114"/>
      <c r="AZ29" s="114"/>
      <c r="BA29" s="114"/>
      <c r="BB29" s="104"/>
      <c r="BC29" s="65"/>
      <c r="BD29" s="102"/>
      <c r="BE29" s="72"/>
      <c r="BF29" s="72"/>
      <c r="BG29" s="72"/>
      <c r="BH29" s="101"/>
      <c r="BI29" s="101"/>
      <c r="BJ29" s="101"/>
      <c r="BK29" s="101"/>
      <c r="BL29" s="101"/>
      <c r="BM29" s="101"/>
      <c r="BN29" s="101"/>
      <c r="BO29" s="101"/>
      <c r="BP29" s="101"/>
      <c r="BQ29" s="101"/>
      <c r="BR29" s="101"/>
      <c r="BS29" s="101"/>
      <c r="BT29" s="101"/>
      <c r="BU29" s="101"/>
      <c r="BV29" s="101"/>
      <c r="BW29" s="101"/>
      <c r="BX29" s="101"/>
      <c r="BY29" s="101"/>
      <c r="BZ29" s="101"/>
      <c r="CA29" s="101"/>
      <c r="CB29" s="101"/>
      <c r="CC29" s="101"/>
      <c r="CD29" s="101"/>
      <c r="CE29" s="101"/>
      <c r="CF29" s="101"/>
      <c r="CG29" s="101"/>
      <c r="CH29" s="101"/>
      <c r="CI29" s="101"/>
      <c r="CJ29" s="101"/>
      <c r="CK29" s="101"/>
      <c r="CL29" s="101"/>
      <c r="CM29" s="101"/>
      <c r="CN29" s="101"/>
      <c r="CO29" s="101"/>
      <c r="CP29" s="101"/>
      <c r="CQ29" s="101"/>
      <c r="CR29" s="101"/>
      <c r="CS29" s="101"/>
      <c r="CT29" s="101"/>
      <c r="CU29" s="101"/>
      <c r="CV29" s="101"/>
      <c r="CW29" s="101"/>
      <c r="CX29" s="101"/>
      <c r="CY29" s="101"/>
      <c r="CZ29" s="101"/>
      <c r="DA29" s="101"/>
      <c r="DB29" s="101"/>
      <c r="DC29" s="101"/>
      <c r="DD29" s="104"/>
    </row>
    <row r="30" spans="2:108" s="64" customFormat="1">
      <c r="B30" s="102"/>
      <c r="C30" s="72"/>
      <c r="D30" s="72"/>
      <c r="E30" s="72"/>
      <c r="F30" s="72"/>
      <c r="G30" s="72"/>
      <c r="H30" s="72"/>
      <c r="I30" s="114"/>
      <c r="J30" s="114"/>
      <c r="K30" s="114"/>
      <c r="L30" s="114"/>
      <c r="M30" s="114"/>
      <c r="N30" s="114"/>
      <c r="O30" s="114"/>
      <c r="P30" s="114"/>
      <c r="Q30" s="114"/>
      <c r="R30" s="114"/>
      <c r="S30" s="114"/>
      <c r="T30" s="114"/>
      <c r="U30" s="114"/>
      <c r="V30" s="114"/>
      <c r="W30" s="114"/>
      <c r="X30" s="114"/>
      <c r="Y30" s="114"/>
      <c r="Z30" s="114"/>
      <c r="AA30" s="114"/>
      <c r="AB30" s="114"/>
      <c r="AC30" s="114"/>
      <c r="AD30" s="114"/>
      <c r="AE30" s="114"/>
      <c r="AF30" s="114"/>
      <c r="AG30" s="114"/>
      <c r="AH30" s="114"/>
      <c r="AI30" s="114"/>
      <c r="AJ30" s="114"/>
      <c r="AK30" s="114"/>
      <c r="AL30" s="114"/>
      <c r="AM30" s="114"/>
      <c r="AN30" s="114"/>
      <c r="AO30" s="114"/>
      <c r="AP30" s="114"/>
      <c r="AQ30" s="114"/>
      <c r="AR30" s="114"/>
      <c r="AS30" s="114"/>
      <c r="AT30" s="114"/>
      <c r="AU30" s="114"/>
      <c r="AV30" s="114"/>
      <c r="AW30" s="114"/>
      <c r="AX30" s="114"/>
      <c r="AY30" s="114"/>
      <c r="AZ30" s="114"/>
      <c r="BA30" s="114"/>
      <c r="BB30" s="104"/>
      <c r="BC30" s="65"/>
      <c r="BD30" s="102"/>
      <c r="BE30" s="72"/>
      <c r="BF30" s="72"/>
      <c r="BG30" s="72"/>
      <c r="BH30" s="101"/>
      <c r="BI30" s="101"/>
      <c r="BJ30" s="101"/>
      <c r="BK30" s="101"/>
      <c r="BL30" s="101"/>
      <c r="BM30" s="101"/>
      <c r="BN30" s="101"/>
      <c r="BO30" s="101"/>
      <c r="BP30" s="101"/>
      <c r="BQ30" s="101"/>
      <c r="BR30" s="101"/>
      <c r="BS30" s="101"/>
      <c r="BT30" s="101"/>
      <c r="BU30" s="101"/>
      <c r="BV30" s="101"/>
      <c r="BW30" s="101"/>
      <c r="BX30" s="101"/>
      <c r="BY30" s="101"/>
      <c r="BZ30" s="101"/>
      <c r="CA30" s="101"/>
      <c r="CB30" s="101"/>
      <c r="CC30" s="101"/>
      <c r="CD30" s="101"/>
      <c r="CE30" s="101"/>
      <c r="CF30" s="101"/>
      <c r="CG30" s="101"/>
      <c r="CH30" s="101"/>
      <c r="CI30" s="101"/>
      <c r="CJ30" s="101"/>
      <c r="CK30" s="101"/>
      <c r="CL30" s="101"/>
      <c r="CM30" s="101"/>
      <c r="CN30" s="101"/>
      <c r="CO30" s="101"/>
      <c r="CP30" s="101"/>
      <c r="CQ30" s="101"/>
      <c r="CR30" s="101"/>
      <c r="CS30" s="101"/>
      <c r="CT30" s="101"/>
      <c r="CU30" s="101"/>
      <c r="CV30" s="101"/>
      <c r="CW30" s="101"/>
      <c r="CX30" s="101"/>
      <c r="CY30" s="101"/>
      <c r="CZ30" s="101"/>
      <c r="DA30" s="101"/>
      <c r="DB30" s="101"/>
      <c r="DC30" s="101"/>
      <c r="DD30" s="104"/>
    </row>
    <row r="31" spans="2:108" s="64" customFormat="1" ht="14.25" customHeight="1">
      <c r="B31" s="102"/>
      <c r="C31" s="72"/>
      <c r="D31" s="72"/>
      <c r="E31" s="97"/>
      <c r="F31" s="97"/>
      <c r="G31" s="72"/>
      <c r="H31" s="72"/>
      <c r="I31" s="114"/>
      <c r="J31" s="114"/>
      <c r="K31" s="114"/>
      <c r="L31" s="114"/>
      <c r="M31" s="114"/>
      <c r="N31" s="114"/>
      <c r="O31" s="114"/>
      <c r="P31" s="114"/>
      <c r="Q31" s="114"/>
      <c r="R31" s="114"/>
      <c r="S31" s="114"/>
      <c r="T31" s="114"/>
      <c r="U31" s="114"/>
      <c r="V31" s="114"/>
      <c r="W31" s="114"/>
      <c r="X31" s="114"/>
      <c r="Y31" s="114"/>
      <c r="Z31" s="114"/>
      <c r="AA31" s="114"/>
      <c r="AB31" s="114"/>
      <c r="AC31" s="114"/>
      <c r="AD31" s="114"/>
      <c r="AE31" s="114"/>
      <c r="AF31" s="114"/>
      <c r="AG31" s="114"/>
      <c r="AH31" s="114"/>
      <c r="AI31" s="114"/>
      <c r="AJ31" s="114"/>
      <c r="AK31" s="114"/>
      <c r="AL31" s="114"/>
      <c r="AM31" s="114"/>
      <c r="AN31" s="114"/>
      <c r="AO31" s="114"/>
      <c r="AP31" s="114"/>
      <c r="AQ31" s="114"/>
      <c r="AR31" s="114"/>
      <c r="AS31" s="114"/>
      <c r="AT31" s="114"/>
      <c r="AU31" s="114"/>
      <c r="AV31" s="114"/>
      <c r="AW31" s="114"/>
      <c r="AX31" s="114"/>
      <c r="AY31" s="114"/>
      <c r="AZ31" s="114"/>
      <c r="BA31" s="114"/>
      <c r="BB31" s="104"/>
      <c r="BC31" s="65"/>
      <c r="BD31" s="102"/>
      <c r="BE31" s="72"/>
      <c r="BF31" s="72"/>
      <c r="BG31" s="72"/>
      <c r="BH31" s="72"/>
      <c r="BI31" s="72"/>
      <c r="BJ31" s="97"/>
      <c r="BK31" s="72"/>
      <c r="BL31" s="72"/>
      <c r="BM31" s="72"/>
      <c r="BN31" s="72"/>
      <c r="BO31" s="72"/>
      <c r="BP31" s="72"/>
      <c r="BQ31" s="72"/>
      <c r="BR31" s="72"/>
      <c r="BS31" s="72"/>
      <c r="BT31" s="72"/>
      <c r="BU31" s="72"/>
      <c r="BV31" s="72"/>
      <c r="BW31" s="72"/>
      <c r="BX31" s="72"/>
      <c r="BY31" s="72"/>
      <c r="BZ31" s="72"/>
      <c r="CA31" s="72"/>
      <c r="CB31" s="72"/>
      <c r="CC31" s="72"/>
      <c r="CD31" s="72"/>
      <c r="CE31" s="72"/>
      <c r="CF31" s="72"/>
      <c r="CG31" s="72"/>
      <c r="CH31" s="72"/>
      <c r="CI31" s="72"/>
      <c r="CJ31" s="72"/>
      <c r="CK31" s="72"/>
      <c r="CL31" s="72"/>
      <c r="CM31" s="72"/>
      <c r="CN31" s="72"/>
      <c r="CO31" s="72"/>
      <c r="CP31" s="72"/>
      <c r="CQ31" s="72"/>
      <c r="CR31" s="72"/>
      <c r="CS31" s="72"/>
      <c r="CT31" s="72"/>
      <c r="CU31" s="72"/>
      <c r="CV31" s="72"/>
      <c r="CW31" s="72"/>
      <c r="CX31" s="72"/>
      <c r="CY31" s="72"/>
      <c r="CZ31" s="72"/>
      <c r="DA31" s="72"/>
      <c r="DB31" s="72"/>
      <c r="DC31" s="72"/>
      <c r="DD31" s="104"/>
    </row>
    <row r="32" spans="2:108" s="64" customFormat="1" ht="13.5" customHeight="1">
      <c r="B32" s="102"/>
      <c r="C32" s="72"/>
      <c r="D32" s="72"/>
      <c r="E32" s="72"/>
      <c r="F32" s="72"/>
      <c r="G32" s="72"/>
      <c r="H32" s="72"/>
      <c r="I32" s="72"/>
      <c r="J32" s="72"/>
      <c r="K32" s="72"/>
      <c r="L32" s="72"/>
      <c r="M32" s="72"/>
      <c r="N32" s="72"/>
      <c r="O32" s="72"/>
      <c r="P32" s="72"/>
      <c r="Q32" s="72"/>
      <c r="R32" s="72"/>
      <c r="S32" s="72"/>
      <c r="T32" s="72"/>
      <c r="U32" s="72"/>
      <c r="V32" s="72"/>
      <c r="W32" s="72"/>
      <c r="X32" s="72"/>
      <c r="Y32" s="72"/>
      <c r="Z32" s="72"/>
      <c r="AA32" s="72"/>
      <c r="AB32" s="72"/>
      <c r="AC32" s="72"/>
      <c r="AD32" s="72"/>
      <c r="AE32" s="72"/>
      <c r="AF32" s="72"/>
      <c r="AG32" s="72"/>
      <c r="AH32" s="72"/>
      <c r="AI32" s="72"/>
      <c r="AJ32" s="72"/>
      <c r="AK32" s="72"/>
      <c r="AL32" s="72"/>
      <c r="AM32" s="72"/>
      <c r="AN32" s="72"/>
      <c r="AO32" s="72"/>
      <c r="AP32" s="72"/>
      <c r="AQ32" s="72"/>
      <c r="AR32" s="72"/>
      <c r="AS32" s="72"/>
      <c r="AT32" s="72"/>
      <c r="AU32" s="72"/>
      <c r="AV32" s="72"/>
      <c r="AW32" s="72"/>
      <c r="AX32" s="72"/>
      <c r="AY32" s="72"/>
      <c r="AZ32" s="72"/>
      <c r="BA32" s="72"/>
      <c r="BB32" s="104"/>
      <c r="BC32" s="65"/>
      <c r="BD32" s="102"/>
      <c r="BE32" s="72"/>
      <c r="BF32" s="72"/>
      <c r="BG32" s="289"/>
      <c r="BH32" s="289"/>
      <c r="BI32" s="289"/>
      <c r="BJ32" s="289"/>
      <c r="BK32" s="289"/>
      <c r="BL32" s="289"/>
      <c r="BM32" s="289"/>
      <c r="BN32" s="289"/>
      <c r="BO32" s="289"/>
      <c r="BP32" s="289"/>
      <c r="BQ32" s="289"/>
      <c r="BR32" s="289"/>
      <c r="BS32" s="289"/>
      <c r="BT32" s="289"/>
      <c r="BU32" s="289"/>
      <c r="BV32" s="289"/>
      <c r="BW32" s="289"/>
      <c r="BX32" s="289"/>
      <c r="BY32" s="289"/>
      <c r="BZ32" s="289"/>
      <c r="CA32" s="289"/>
      <c r="CB32" s="289"/>
      <c r="CC32" s="289"/>
      <c r="CD32" s="289"/>
      <c r="CE32" s="289"/>
      <c r="CF32" s="289"/>
      <c r="CG32" s="289"/>
      <c r="CH32" s="289"/>
      <c r="CI32" s="289"/>
      <c r="CJ32" s="289"/>
      <c r="CK32" s="289"/>
      <c r="CL32" s="289"/>
      <c r="CM32" s="289"/>
      <c r="CN32" s="289"/>
      <c r="CO32" s="289"/>
      <c r="CP32" s="289"/>
      <c r="CQ32" s="289"/>
      <c r="CR32" s="289"/>
      <c r="CS32" s="289"/>
      <c r="CT32" s="289"/>
      <c r="CU32" s="289"/>
      <c r="CV32" s="289"/>
      <c r="CW32" s="289"/>
      <c r="CX32" s="289"/>
      <c r="CY32" s="289"/>
      <c r="CZ32" s="289"/>
      <c r="DA32" s="289"/>
      <c r="DB32" s="289"/>
      <c r="DC32" s="289"/>
      <c r="DD32" s="104"/>
    </row>
    <row r="33" spans="1:108" s="64" customFormat="1" ht="13.5" customHeight="1">
      <c r="B33" s="102"/>
      <c r="C33" s="72"/>
      <c r="D33" s="72"/>
      <c r="E33" s="72"/>
      <c r="F33" s="72"/>
      <c r="G33" s="72"/>
      <c r="H33" s="72"/>
      <c r="I33" s="72"/>
      <c r="J33" s="72"/>
      <c r="K33" s="72"/>
      <c r="L33" s="72"/>
      <c r="M33" s="72"/>
      <c r="N33" s="72"/>
      <c r="O33" s="72"/>
      <c r="P33" s="72"/>
      <c r="Q33" s="72"/>
      <c r="R33" s="72"/>
      <c r="S33" s="72"/>
      <c r="T33" s="72"/>
      <c r="U33" s="72"/>
      <c r="V33" s="72"/>
      <c r="W33" s="72"/>
      <c r="X33" s="72"/>
      <c r="Y33" s="72"/>
      <c r="Z33" s="72"/>
      <c r="AA33" s="72"/>
      <c r="AB33" s="72"/>
      <c r="AC33" s="72"/>
      <c r="AD33" s="72"/>
      <c r="AE33" s="72"/>
      <c r="AF33" s="72"/>
      <c r="AG33" s="72"/>
      <c r="AH33" s="72"/>
      <c r="AI33" s="72"/>
      <c r="AJ33" s="72"/>
      <c r="AK33" s="72"/>
      <c r="AL33" s="72"/>
      <c r="AM33" s="72"/>
      <c r="AN33" s="72"/>
      <c r="AO33" s="72"/>
      <c r="AP33" s="72"/>
      <c r="AQ33" s="72"/>
      <c r="AR33" s="72"/>
      <c r="AS33" s="72"/>
      <c r="AT33" s="72"/>
      <c r="AU33" s="72"/>
      <c r="AV33" s="72"/>
      <c r="AW33" s="72"/>
      <c r="AX33" s="72"/>
      <c r="AY33" s="72"/>
      <c r="AZ33" s="72"/>
      <c r="BA33" s="72"/>
      <c r="BB33" s="104"/>
      <c r="BC33" s="65"/>
      <c r="BD33" s="102"/>
      <c r="BE33" s="72"/>
      <c r="BF33" s="72"/>
      <c r="BG33" s="289"/>
      <c r="BH33" s="289"/>
      <c r="BI33" s="289"/>
      <c r="BJ33" s="289"/>
      <c r="BK33" s="289"/>
      <c r="BL33" s="289"/>
      <c r="BM33" s="289"/>
      <c r="BN33" s="289"/>
      <c r="BO33" s="289"/>
      <c r="BP33" s="289"/>
      <c r="BQ33" s="289"/>
      <c r="BR33" s="289"/>
      <c r="BS33" s="289"/>
      <c r="BT33" s="289"/>
      <c r="BU33" s="289"/>
      <c r="BV33" s="289"/>
      <c r="BW33" s="289"/>
      <c r="BX33" s="289"/>
      <c r="BY33" s="289"/>
      <c r="BZ33" s="289"/>
      <c r="CA33" s="289"/>
      <c r="CB33" s="289"/>
      <c r="CC33" s="289"/>
      <c r="CD33" s="289"/>
      <c r="CE33" s="289"/>
      <c r="CF33" s="289"/>
      <c r="CG33" s="289"/>
      <c r="CH33" s="289"/>
      <c r="CI33" s="289"/>
      <c r="CJ33" s="289"/>
      <c r="CK33" s="289"/>
      <c r="CL33" s="289"/>
      <c r="CM33" s="289"/>
      <c r="CN33" s="289"/>
      <c r="CO33" s="289"/>
      <c r="CP33" s="289"/>
      <c r="CQ33" s="289"/>
      <c r="CR33" s="289"/>
      <c r="CS33" s="289"/>
      <c r="CT33" s="289"/>
      <c r="CU33" s="289"/>
      <c r="CV33" s="289"/>
      <c r="CW33" s="289"/>
      <c r="CX33" s="289"/>
      <c r="CY33" s="289"/>
      <c r="CZ33" s="289"/>
      <c r="DA33" s="289"/>
      <c r="DB33" s="289"/>
      <c r="DC33" s="289"/>
      <c r="DD33" s="104"/>
    </row>
    <row r="34" spans="1:108" s="64" customFormat="1" ht="13.5" customHeight="1">
      <c r="B34" s="102"/>
      <c r="C34" s="72"/>
      <c r="D34" s="72"/>
      <c r="E34" s="97"/>
      <c r="F34" s="97"/>
      <c r="G34" s="113"/>
      <c r="H34" s="72"/>
      <c r="I34" s="114"/>
      <c r="J34" s="114"/>
      <c r="K34" s="114"/>
      <c r="L34" s="114"/>
      <c r="M34" s="114"/>
      <c r="N34" s="114"/>
      <c r="O34" s="114"/>
      <c r="P34" s="114"/>
      <c r="Q34" s="114"/>
      <c r="R34" s="114"/>
      <c r="S34" s="114"/>
      <c r="T34" s="114"/>
      <c r="U34" s="114"/>
      <c r="V34" s="114"/>
      <c r="W34" s="114"/>
      <c r="X34" s="114"/>
      <c r="Y34" s="114"/>
      <c r="Z34" s="114"/>
      <c r="AA34" s="114"/>
      <c r="AB34" s="114"/>
      <c r="AC34" s="114"/>
      <c r="AD34" s="114"/>
      <c r="AE34" s="114"/>
      <c r="AF34" s="114"/>
      <c r="AG34" s="114"/>
      <c r="AH34" s="114"/>
      <c r="AI34" s="114"/>
      <c r="AJ34" s="114"/>
      <c r="AK34" s="114"/>
      <c r="AL34" s="114"/>
      <c r="AM34" s="114"/>
      <c r="AN34" s="114"/>
      <c r="AO34" s="114"/>
      <c r="AP34" s="114"/>
      <c r="AQ34" s="114"/>
      <c r="AR34" s="114"/>
      <c r="AS34" s="114"/>
      <c r="AT34" s="114"/>
      <c r="AU34" s="114"/>
      <c r="AV34" s="114"/>
      <c r="AW34" s="114"/>
      <c r="AX34" s="114"/>
      <c r="AY34" s="114"/>
      <c r="AZ34" s="114"/>
      <c r="BA34" s="114"/>
      <c r="BB34" s="104"/>
      <c r="BC34" s="65"/>
      <c r="BD34" s="102"/>
      <c r="BE34" s="72"/>
      <c r="BF34" s="72"/>
      <c r="BG34" s="289"/>
      <c r="BH34" s="289"/>
      <c r="BI34" s="289"/>
      <c r="BJ34" s="289"/>
      <c r="BK34" s="289"/>
      <c r="BL34" s="289"/>
      <c r="BM34" s="289"/>
      <c r="BN34" s="289"/>
      <c r="BO34" s="289"/>
      <c r="BP34" s="289"/>
      <c r="BQ34" s="289"/>
      <c r="BR34" s="289"/>
      <c r="BS34" s="289"/>
      <c r="BT34" s="289"/>
      <c r="BU34" s="289"/>
      <c r="BV34" s="289"/>
      <c r="BW34" s="289"/>
      <c r="BX34" s="289"/>
      <c r="BY34" s="289"/>
      <c r="BZ34" s="289"/>
      <c r="CA34" s="289"/>
      <c r="CB34" s="289"/>
      <c r="CC34" s="289"/>
      <c r="CD34" s="289"/>
      <c r="CE34" s="289"/>
      <c r="CF34" s="289"/>
      <c r="CG34" s="289"/>
      <c r="CH34" s="289"/>
      <c r="CI34" s="289"/>
      <c r="CJ34" s="289"/>
      <c r="CK34" s="289"/>
      <c r="CL34" s="289"/>
      <c r="CM34" s="289"/>
      <c r="CN34" s="289"/>
      <c r="CO34" s="289"/>
      <c r="CP34" s="289"/>
      <c r="CQ34" s="289"/>
      <c r="CR34" s="289"/>
      <c r="CS34" s="289"/>
      <c r="CT34" s="289"/>
      <c r="CU34" s="289"/>
      <c r="CV34" s="289"/>
      <c r="CW34" s="289"/>
      <c r="CX34" s="289"/>
      <c r="CY34" s="289"/>
      <c r="CZ34" s="289"/>
      <c r="DA34" s="289"/>
      <c r="DB34" s="289"/>
      <c r="DC34" s="289"/>
      <c r="DD34" s="104"/>
    </row>
    <row r="35" spans="1:108" s="64" customFormat="1" ht="13.5" customHeight="1">
      <c r="B35" s="102"/>
      <c r="C35" s="72"/>
      <c r="D35" s="72"/>
      <c r="E35" s="72"/>
      <c r="F35" s="72"/>
      <c r="G35" s="72"/>
      <c r="H35" s="72"/>
      <c r="I35" s="114"/>
      <c r="J35" s="114"/>
      <c r="K35" s="114"/>
      <c r="L35" s="114"/>
      <c r="M35" s="114"/>
      <c r="N35" s="114"/>
      <c r="O35" s="114"/>
      <c r="P35" s="114"/>
      <c r="Q35" s="114"/>
      <c r="R35" s="114"/>
      <c r="S35" s="114"/>
      <c r="T35" s="114"/>
      <c r="U35" s="114"/>
      <c r="V35" s="114"/>
      <c r="W35" s="114"/>
      <c r="X35" s="114"/>
      <c r="Y35" s="114"/>
      <c r="Z35" s="114"/>
      <c r="AA35" s="114"/>
      <c r="AB35" s="114"/>
      <c r="AC35" s="114"/>
      <c r="AD35" s="114"/>
      <c r="AE35" s="114"/>
      <c r="AF35" s="114"/>
      <c r="AG35" s="114"/>
      <c r="AH35" s="114"/>
      <c r="AI35" s="114"/>
      <c r="AJ35" s="114"/>
      <c r="AK35" s="114"/>
      <c r="AL35" s="114"/>
      <c r="AM35" s="114"/>
      <c r="AN35" s="114"/>
      <c r="AO35" s="114"/>
      <c r="AP35" s="114"/>
      <c r="AQ35" s="114"/>
      <c r="AR35" s="114"/>
      <c r="AS35" s="114"/>
      <c r="AT35" s="114"/>
      <c r="AU35" s="114"/>
      <c r="AV35" s="114"/>
      <c r="AW35" s="114"/>
      <c r="AX35" s="114"/>
      <c r="AY35" s="114"/>
      <c r="AZ35" s="114"/>
      <c r="BA35" s="114"/>
      <c r="BB35" s="104"/>
      <c r="BC35" s="65"/>
      <c r="BD35" s="102"/>
      <c r="BE35" s="72"/>
      <c r="BF35" s="72"/>
      <c r="BG35" s="289"/>
      <c r="BH35" s="289"/>
      <c r="BI35" s="289"/>
      <c r="BJ35" s="289"/>
      <c r="BK35" s="289"/>
      <c r="BL35" s="289"/>
      <c r="BM35" s="289"/>
      <c r="BN35" s="289"/>
      <c r="BO35" s="289"/>
      <c r="BP35" s="289"/>
      <c r="BQ35" s="289"/>
      <c r="BR35" s="289"/>
      <c r="BS35" s="289"/>
      <c r="BT35" s="289"/>
      <c r="BU35" s="289"/>
      <c r="BV35" s="289"/>
      <c r="BW35" s="289"/>
      <c r="BX35" s="289"/>
      <c r="BY35" s="289"/>
      <c r="BZ35" s="289"/>
      <c r="CA35" s="289"/>
      <c r="CB35" s="289"/>
      <c r="CC35" s="289"/>
      <c r="CD35" s="289"/>
      <c r="CE35" s="289"/>
      <c r="CF35" s="289"/>
      <c r="CG35" s="289"/>
      <c r="CH35" s="289"/>
      <c r="CI35" s="289"/>
      <c r="CJ35" s="289"/>
      <c r="CK35" s="289"/>
      <c r="CL35" s="289"/>
      <c r="CM35" s="289"/>
      <c r="CN35" s="289"/>
      <c r="CO35" s="289"/>
      <c r="CP35" s="289"/>
      <c r="CQ35" s="289"/>
      <c r="CR35" s="289"/>
      <c r="CS35" s="289"/>
      <c r="CT35" s="289"/>
      <c r="CU35" s="289"/>
      <c r="CV35" s="289"/>
      <c r="CW35" s="289"/>
      <c r="CX35" s="289"/>
      <c r="CY35" s="289"/>
      <c r="CZ35" s="289"/>
      <c r="DA35" s="289"/>
      <c r="DB35" s="289"/>
      <c r="DC35" s="289"/>
      <c r="DD35" s="104"/>
    </row>
    <row r="36" spans="1:108" s="64" customFormat="1" ht="13.5" customHeight="1">
      <c r="B36" s="102"/>
      <c r="C36" s="72"/>
      <c r="D36" s="72"/>
      <c r="E36" s="72"/>
      <c r="F36" s="72"/>
      <c r="G36" s="72"/>
      <c r="H36" s="72"/>
      <c r="I36" s="114"/>
      <c r="J36" s="114"/>
      <c r="K36" s="114"/>
      <c r="L36" s="114"/>
      <c r="M36" s="114"/>
      <c r="N36" s="114"/>
      <c r="O36" s="114"/>
      <c r="P36" s="114"/>
      <c r="Q36" s="114"/>
      <c r="R36" s="114"/>
      <c r="S36" s="114"/>
      <c r="T36" s="114"/>
      <c r="U36" s="114"/>
      <c r="V36" s="114"/>
      <c r="W36" s="114"/>
      <c r="X36" s="114"/>
      <c r="Y36" s="114"/>
      <c r="Z36" s="114"/>
      <c r="AA36" s="114"/>
      <c r="AB36" s="114"/>
      <c r="AC36" s="114"/>
      <c r="AD36" s="114"/>
      <c r="AE36" s="114"/>
      <c r="AF36" s="114"/>
      <c r="AG36" s="114"/>
      <c r="AH36" s="114"/>
      <c r="AI36" s="114"/>
      <c r="AJ36" s="114"/>
      <c r="AK36" s="114"/>
      <c r="AL36" s="114"/>
      <c r="AM36" s="114"/>
      <c r="AN36" s="114"/>
      <c r="AO36" s="114"/>
      <c r="AP36" s="114"/>
      <c r="AQ36" s="114"/>
      <c r="AR36" s="114"/>
      <c r="AS36" s="114"/>
      <c r="AT36" s="114"/>
      <c r="AU36" s="114"/>
      <c r="AV36" s="114"/>
      <c r="AW36" s="114"/>
      <c r="AX36" s="114"/>
      <c r="AY36" s="114"/>
      <c r="AZ36" s="114"/>
      <c r="BA36" s="114"/>
      <c r="BB36" s="104"/>
      <c r="BC36" s="65"/>
      <c r="BD36" s="102"/>
      <c r="BE36" s="72"/>
      <c r="BF36" s="72"/>
      <c r="BG36" s="289"/>
      <c r="BH36" s="289"/>
      <c r="BI36" s="289"/>
      <c r="BJ36" s="289"/>
      <c r="BK36" s="289"/>
      <c r="BL36" s="289"/>
      <c r="BM36" s="289"/>
      <c r="BN36" s="289"/>
      <c r="BO36" s="289"/>
      <c r="BP36" s="289"/>
      <c r="BQ36" s="289"/>
      <c r="BR36" s="289"/>
      <c r="BS36" s="289"/>
      <c r="BT36" s="289"/>
      <c r="BU36" s="289"/>
      <c r="BV36" s="289"/>
      <c r="BW36" s="289"/>
      <c r="BX36" s="289"/>
      <c r="BY36" s="289"/>
      <c r="BZ36" s="289"/>
      <c r="CA36" s="289"/>
      <c r="CB36" s="289"/>
      <c r="CC36" s="289"/>
      <c r="CD36" s="289"/>
      <c r="CE36" s="289"/>
      <c r="CF36" s="289"/>
      <c r="CG36" s="289"/>
      <c r="CH36" s="289"/>
      <c r="CI36" s="289"/>
      <c r="CJ36" s="289"/>
      <c r="CK36" s="289"/>
      <c r="CL36" s="289"/>
      <c r="CM36" s="289"/>
      <c r="CN36" s="289"/>
      <c r="CO36" s="289"/>
      <c r="CP36" s="289"/>
      <c r="CQ36" s="289"/>
      <c r="CR36" s="289"/>
      <c r="CS36" s="289"/>
      <c r="CT36" s="289"/>
      <c r="CU36" s="289"/>
      <c r="CV36" s="289"/>
      <c r="CW36" s="289"/>
      <c r="CX36" s="289"/>
      <c r="CY36" s="289"/>
      <c r="CZ36" s="289"/>
      <c r="DA36" s="289"/>
      <c r="DB36" s="289"/>
      <c r="DC36" s="289"/>
      <c r="DD36" s="104"/>
    </row>
    <row r="37" spans="1:108" s="64" customFormat="1" ht="13.5" customHeight="1">
      <c r="B37" s="102"/>
      <c r="C37" s="72"/>
      <c r="D37" s="72"/>
      <c r="E37" s="72"/>
      <c r="F37" s="72"/>
      <c r="G37" s="72"/>
      <c r="H37" s="72"/>
      <c r="I37" s="114"/>
      <c r="J37" s="114"/>
      <c r="K37" s="114"/>
      <c r="L37" s="114"/>
      <c r="M37" s="114"/>
      <c r="N37" s="114"/>
      <c r="O37" s="114"/>
      <c r="P37" s="114"/>
      <c r="Q37" s="114"/>
      <c r="R37" s="114"/>
      <c r="S37" s="114"/>
      <c r="T37" s="114"/>
      <c r="U37" s="114"/>
      <c r="V37" s="114"/>
      <c r="W37" s="114"/>
      <c r="X37" s="114"/>
      <c r="Y37" s="114"/>
      <c r="Z37" s="114"/>
      <c r="AA37" s="114"/>
      <c r="AB37" s="114"/>
      <c r="AC37" s="114"/>
      <c r="AD37" s="114"/>
      <c r="AE37" s="114"/>
      <c r="AF37" s="114"/>
      <c r="AG37" s="114"/>
      <c r="AH37" s="114"/>
      <c r="AI37" s="114"/>
      <c r="AJ37" s="114"/>
      <c r="AK37" s="114"/>
      <c r="AL37" s="114"/>
      <c r="AM37" s="114"/>
      <c r="AN37" s="114"/>
      <c r="AO37" s="114"/>
      <c r="AP37" s="114"/>
      <c r="AQ37" s="114"/>
      <c r="AR37" s="114"/>
      <c r="AS37" s="114"/>
      <c r="AT37" s="114"/>
      <c r="AU37" s="114"/>
      <c r="AV37" s="114"/>
      <c r="AW37" s="114"/>
      <c r="AX37" s="114"/>
      <c r="AY37" s="114"/>
      <c r="AZ37" s="114"/>
      <c r="BA37" s="114"/>
      <c r="BB37" s="104"/>
      <c r="BC37" s="65"/>
      <c r="BD37" s="102"/>
      <c r="BE37" s="72"/>
      <c r="BF37" s="72"/>
      <c r="BG37" s="289"/>
      <c r="BH37" s="289"/>
      <c r="BI37" s="289"/>
      <c r="BJ37" s="289"/>
      <c r="BK37" s="289"/>
      <c r="BL37" s="289"/>
      <c r="BM37" s="289"/>
      <c r="BN37" s="289"/>
      <c r="BO37" s="289"/>
      <c r="BP37" s="289"/>
      <c r="BQ37" s="289"/>
      <c r="BR37" s="289"/>
      <c r="BS37" s="289"/>
      <c r="BT37" s="289"/>
      <c r="BU37" s="289"/>
      <c r="BV37" s="289"/>
      <c r="BW37" s="289"/>
      <c r="BX37" s="289"/>
      <c r="BY37" s="289"/>
      <c r="BZ37" s="289"/>
      <c r="CA37" s="289"/>
      <c r="CB37" s="289"/>
      <c r="CC37" s="289"/>
      <c r="CD37" s="289"/>
      <c r="CE37" s="289"/>
      <c r="CF37" s="289"/>
      <c r="CG37" s="289"/>
      <c r="CH37" s="289"/>
      <c r="CI37" s="289"/>
      <c r="CJ37" s="289"/>
      <c r="CK37" s="289"/>
      <c r="CL37" s="289"/>
      <c r="CM37" s="289"/>
      <c r="CN37" s="289"/>
      <c r="CO37" s="289"/>
      <c r="CP37" s="289"/>
      <c r="CQ37" s="289"/>
      <c r="CR37" s="289"/>
      <c r="CS37" s="289"/>
      <c r="CT37" s="289"/>
      <c r="CU37" s="289"/>
      <c r="CV37" s="289"/>
      <c r="CW37" s="289"/>
      <c r="CX37" s="289"/>
      <c r="CY37" s="289"/>
      <c r="CZ37" s="289"/>
      <c r="DA37" s="289"/>
      <c r="DB37" s="289"/>
      <c r="DC37" s="289"/>
      <c r="DD37" s="104"/>
    </row>
    <row r="38" spans="1:108" s="64" customFormat="1" ht="13.5" customHeight="1">
      <c r="B38" s="102"/>
      <c r="C38" s="72"/>
      <c r="D38" s="72"/>
      <c r="E38" s="72"/>
      <c r="F38" s="72"/>
      <c r="G38" s="72"/>
      <c r="H38" s="72"/>
      <c r="I38" s="72"/>
      <c r="J38" s="72"/>
      <c r="K38" s="72"/>
      <c r="L38" s="72"/>
      <c r="M38" s="72"/>
      <c r="N38" s="72"/>
      <c r="O38" s="72"/>
      <c r="P38" s="72"/>
      <c r="Q38" s="72"/>
      <c r="R38" s="72"/>
      <c r="S38" s="72"/>
      <c r="T38" s="72"/>
      <c r="U38" s="72"/>
      <c r="V38" s="72"/>
      <c r="W38" s="72"/>
      <c r="X38" s="72"/>
      <c r="Y38" s="72"/>
      <c r="Z38" s="72"/>
      <c r="AA38" s="72"/>
      <c r="AB38" s="72"/>
      <c r="AC38" s="72"/>
      <c r="AD38" s="72"/>
      <c r="AE38" s="72"/>
      <c r="AF38" s="72"/>
      <c r="AG38" s="72"/>
      <c r="AH38" s="72"/>
      <c r="AI38" s="72"/>
      <c r="AJ38" s="72"/>
      <c r="AK38" s="72"/>
      <c r="AL38" s="106"/>
      <c r="AM38" s="106"/>
      <c r="AN38" s="106"/>
      <c r="AO38" s="106"/>
      <c r="AP38" s="106"/>
      <c r="AQ38" s="106"/>
      <c r="AR38" s="106"/>
      <c r="AS38" s="106"/>
      <c r="AT38" s="106"/>
      <c r="AU38" s="72"/>
      <c r="AV38" s="72"/>
      <c r="AW38" s="72"/>
      <c r="AX38" s="72"/>
      <c r="AY38" s="72"/>
      <c r="AZ38" s="72"/>
      <c r="BA38" s="72"/>
      <c r="BB38" s="104"/>
      <c r="BC38" s="65"/>
      <c r="BD38" s="102"/>
      <c r="BE38" s="72"/>
      <c r="BF38" s="72"/>
      <c r="BG38" s="289"/>
      <c r="BH38" s="289"/>
      <c r="BI38" s="289"/>
      <c r="BJ38" s="289"/>
      <c r="BK38" s="289"/>
      <c r="BL38" s="289"/>
      <c r="BM38" s="289"/>
      <c r="BN38" s="289"/>
      <c r="BO38" s="289"/>
      <c r="BP38" s="289"/>
      <c r="BQ38" s="289"/>
      <c r="BR38" s="289"/>
      <c r="BS38" s="289"/>
      <c r="BT38" s="289"/>
      <c r="BU38" s="289"/>
      <c r="BV38" s="289"/>
      <c r="BW38" s="289"/>
      <c r="BX38" s="289"/>
      <c r="BY38" s="289"/>
      <c r="BZ38" s="289"/>
      <c r="CA38" s="289"/>
      <c r="CB38" s="289"/>
      <c r="CC38" s="289"/>
      <c r="CD38" s="289"/>
      <c r="CE38" s="289"/>
      <c r="CF38" s="289"/>
      <c r="CG38" s="289"/>
      <c r="CH38" s="289"/>
      <c r="CI38" s="289"/>
      <c r="CJ38" s="289"/>
      <c r="CK38" s="289"/>
      <c r="CL38" s="289"/>
      <c r="CM38" s="289"/>
      <c r="CN38" s="289"/>
      <c r="CO38" s="289"/>
      <c r="CP38" s="289"/>
      <c r="CQ38" s="289"/>
      <c r="CR38" s="289"/>
      <c r="CS38" s="289"/>
      <c r="CT38" s="289"/>
      <c r="CU38" s="289"/>
      <c r="CV38" s="289"/>
      <c r="CW38" s="289"/>
      <c r="CX38" s="289"/>
      <c r="CY38" s="289"/>
      <c r="CZ38" s="289"/>
      <c r="DA38" s="289"/>
      <c r="DB38" s="289"/>
      <c r="DC38" s="289"/>
      <c r="DD38" s="104"/>
    </row>
    <row r="39" spans="1:108" s="64" customFormat="1" ht="14.25" customHeight="1">
      <c r="B39" s="102"/>
      <c r="C39" s="72"/>
      <c r="D39" s="97"/>
      <c r="E39" s="72"/>
      <c r="F39" s="72"/>
      <c r="G39" s="72"/>
      <c r="H39" s="72"/>
      <c r="I39" s="72"/>
      <c r="J39" s="72"/>
      <c r="K39" s="72"/>
      <c r="L39" s="72"/>
      <c r="M39" s="72"/>
      <c r="N39" s="72"/>
      <c r="O39" s="72"/>
      <c r="P39" s="72"/>
      <c r="Q39" s="72"/>
      <c r="R39" s="72"/>
      <c r="S39" s="72"/>
      <c r="T39" s="72"/>
      <c r="U39" s="72"/>
      <c r="V39" s="72"/>
      <c r="W39" s="72"/>
      <c r="X39" s="72"/>
      <c r="Y39" s="72"/>
      <c r="Z39" s="72"/>
      <c r="AA39" s="72"/>
      <c r="AB39" s="72"/>
      <c r="AC39" s="72"/>
      <c r="AD39" s="72"/>
      <c r="AE39" s="72"/>
      <c r="AF39" s="72"/>
      <c r="AG39" s="72"/>
      <c r="AH39" s="72"/>
      <c r="AI39" s="72"/>
      <c r="AJ39" s="72"/>
      <c r="AK39" s="72"/>
      <c r="AL39" s="72"/>
      <c r="AM39" s="72"/>
      <c r="AN39" s="72"/>
      <c r="AO39" s="72"/>
      <c r="AP39" s="72"/>
      <c r="AQ39" s="72"/>
      <c r="AR39" s="72"/>
      <c r="AS39" s="72"/>
      <c r="AT39" s="72"/>
      <c r="AU39" s="72"/>
      <c r="AV39" s="72"/>
      <c r="AW39" s="72"/>
      <c r="AX39" s="72"/>
      <c r="AY39" s="106"/>
      <c r="AZ39" s="72"/>
      <c r="BA39" s="72"/>
      <c r="BB39" s="104"/>
      <c r="BC39" s="65"/>
      <c r="BD39" s="102"/>
      <c r="BE39" s="72"/>
      <c r="BF39" s="72"/>
      <c r="BG39" s="289"/>
      <c r="BH39" s="289"/>
      <c r="BI39" s="289"/>
      <c r="BJ39" s="289"/>
      <c r="BK39" s="289"/>
      <c r="BL39" s="289"/>
      <c r="BM39" s="289"/>
      <c r="BN39" s="289"/>
      <c r="BO39" s="289"/>
      <c r="BP39" s="289"/>
      <c r="BQ39" s="289"/>
      <c r="BR39" s="289"/>
      <c r="BS39" s="289"/>
      <c r="BT39" s="289"/>
      <c r="BU39" s="289"/>
      <c r="BV39" s="289"/>
      <c r="BW39" s="289"/>
      <c r="BX39" s="289"/>
      <c r="BY39" s="289"/>
      <c r="BZ39" s="289"/>
      <c r="CA39" s="289"/>
      <c r="CB39" s="289"/>
      <c r="CC39" s="289"/>
      <c r="CD39" s="289"/>
      <c r="CE39" s="289"/>
      <c r="CF39" s="289"/>
      <c r="CG39" s="289"/>
      <c r="CH39" s="289"/>
      <c r="CI39" s="289"/>
      <c r="CJ39" s="289"/>
      <c r="CK39" s="289"/>
      <c r="CL39" s="289"/>
      <c r="CM39" s="289"/>
      <c r="CN39" s="289"/>
      <c r="CO39" s="289"/>
      <c r="CP39" s="289"/>
      <c r="CQ39" s="289"/>
      <c r="CR39" s="289"/>
      <c r="CS39" s="289"/>
      <c r="CT39" s="289"/>
      <c r="CU39" s="289"/>
      <c r="CV39" s="289"/>
      <c r="CW39" s="289"/>
      <c r="CX39" s="289"/>
      <c r="CY39" s="289"/>
      <c r="CZ39" s="289"/>
      <c r="DA39" s="289"/>
      <c r="DB39" s="289"/>
      <c r="DC39" s="289"/>
      <c r="DD39" s="104"/>
    </row>
    <row r="40" spans="1:108" s="64" customFormat="1" ht="13.5" customHeight="1">
      <c r="B40" s="102"/>
      <c r="C40" s="72"/>
      <c r="D40" s="72"/>
      <c r="E40" s="72"/>
      <c r="F40" s="114"/>
      <c r="G40" s="114"/>
      <c r="H40" s="114"/>
      <c r="I40" s="114"/>
      <c r="J40" s="114"/>
      <c r="K40" s="114"/>
      <c r="L40" s="114"/>
      <c r="M40" s="114"/>
      <c r="N40" s="114"/>
      <c r="O40" s="114"/>
      <c r="P40" s="114"/>
      <c r="Q40" s="114"/>
      <c r="R40" s="114"/>
      <c r="S40" s="114"/>
      <c r="T40" s="114"/>
      <c r="U40" s="114"/>
      <c r="V40" s="114"/>
      <c r="W40" s="114"/>
      <c r="X40" s="114"/>
      <c r="Y40" s="114"/>
      <c r="Z40" s="114"/>
      <c r="AA40" s="114"/>
      <c r="AB40" s="114"/>
      <c r="AC40" s="114"/>
      <c r="AD40" s="114"/>
      <c r="AE40" s="114"/>
      <c r="AF40" s="114"/>
      <c r="AG40" s="114"/>
      <c r="AH40" s="114"/>
      <c r="AI40" s="114"/>
      <c r="AJ40" s="114"/>
      <c r="AK40" s="114"/>
      <c r="AL40" s="114"/>
      <c r="AM40" s="114"/>
      <c r="AN40" s="114"/>
      <c r="AO40" s="114"/>
      <c r="AP40" s="114"/>
      <c r="AQ40" s="114"/>
      <c r="AR40" s="114"/>
      <c r="AS40" s="114"/>
      <c r="AT40" s="114"/>
      <c r="AU40" s="114"/>
      <c r="AV40" s="114"/>
      <c r="AW40" s="114"/>
      <c r="AX40" s="114"/>
      <c r="AY40" s="114"/>
      <c r="AZ40" s="114"/>
      <c r="BA40" s="114"/>
      <c r="BB40" s="104"/>
      <c r="BC40" s="65"/>
      <c r="BD40" s="102"/>
      <c r="BE40" s="72"/>
      <c r="BF40" s="72"/>
      <c r="BG40" s="289"/>
      <c r="BH40" s="289"/>
      <c r="BI40" s="289"/>
      <c r="BJ40" s="289"/>
      <c r="BK40" s="289"/>
      <c r="BL40" s="289"/>
      <c r="BM40" s="289"/>
      <c r="BN40" s="289"/>
      <c r="BO40" s="289"/>
      <c r="BP40" s="289"/>
      <c r="BQ40" s="289"/>
      <c r="BR40" s="289"/>
      <c r="BS40" s="289"/>
      <c r="BT40" s="289"/>
      <c r="BU40" s="289"/>
      <c r="BV40" s="289"/>
      <c r="BW40" s="289"/>
      <c r="BX40" s="289"/>
      <c r="BY40" s="289"/>
      <c r="BZ40" s="289"/>
      <c r="CA40" s="289"/>
      <c r="CB40" s="289"/>
      <c r="CC40" s="289"/>
      <c r="CD40" s="289"/>
      <c r="CE40" s="289"/>
      <c r="CF40" s="289"/>
      <c r="CG40" s="289"/>
      <c r="CH40" s="289"/>
      <c r="CI40" s="289"/>
      <c r="CJ40" s="289"/>
      <c r="CK40" s="289"/>
      <c r="CL40" s="289"/>
      <c r="CM40" s="289"/>
      <c r="CN40" s="289"/>
      <c r="CO40" s="289"/>
      <c r="CP40" s="289"/>
      <c r="CQ40" s="289"/>
      <c r="CR40" s="289"/>
      <c r="CS40" s="289"/>
      <c r="CT40" s="289"/>
      <c r="CU40" s="289"/>
      <c r="CV40" s="289"/>
      <c r="CW40" s="289"/>
      <c r="CX40" s="289"/>
      <c r="CY40" s="289"/>
      <c r="CZ40" s="289"/>
      <c r="DA40" s="289"/>
      <c r="DB40" s="289"/>
      <c r="DC40" s="289"/>
      <c r="DD40" s="104"/>
    </row>
    <row r="41" spans="1:108" s="64" customFormat="1" ht="13.5" customHeight="1">
      <c r="B41" s="102"/>
      <c r="C41" s="72"/>
      <c r="D41" s="72"/>
      <c r="E41" s="97"/>
      <c r="F41" s="114"/>
      <c r="G41" s="114"/>
      <c r="H41" s="114"/>
      <c r="I41" s="114"/>
      <c r="J41" s="114"/>
      <c r="K41" s="114"/>
      <c r="L41" s="114"/>
      <c r="M41" s="114"/>
      <c r="N41" s="114"/>
      <c r="O41" s="114"/>
      <c r="P41" s="114"/>
      <c r="Q41" s="114"/>
      <c r="R41" s="114"/>
      <c r="S41" s="114"/>
      <c r="T41" s="114"/>
      <c r="U41" s="114"/>
      <c r="V41" s="114"/>
      <c r="W41" s="114"/>
      <c r="X41" s="114"/>
      <c r="Y41" s="114"/>
      <c r="Z41" s="114"/>
      <c r="AA41" s="114"/>
      <c r="AB41" s="114"/>
      <c r="AC41" s="114"/>
      <c r="AD41" s="114"/>
      <c r="AE41" s="114"/>
      <c r="AF41" s="114"/>
      <c r="AG41" s="114"/>
      <c r="AH41" s="114"/>
      <c r="AI41" s="114"/>
      <c r="AJ41" s="114"/>
      <c r="AK41" s="114"/>
      <c r="AL41" s="114"/>
      <c r="AM41" s="114"/>
      <c r="AN41" s="114"/>
      <c r="AO41" s="114"/>
      <c r="AP41" s="114"/>
      <c r="AQ41" s="114"/>
      <c r="AR41" s="114"/>
      <c r="AS41" s="114"/>
      <c r="AT41" s="114"/>
      <c r="AU41" s="114"/>
      <c r="AV41" s="114"/>
      <c r="AW41" s="114"/>
      <c r="AX41" s="114"/>
      <c r="AY41" s="114"/>
      <c r="AZ41" s="114"/>
      <c r="BA41" s="114"/>
      <c r="BB41" s="104"/>
      <c r="BC41" s="65"/>
      <c r="BD41" s="102"/>
      <c r="BE41" s="72"/>
      <c r="BF41" s="72"/>
      <c r="BG41" s="289"/>
      <c r="BH41" s="289"/>
      <c r="BI41" s="289"/>
      <c r="BJ41" s="289"/>
      <c r="BK41" s="289"/>
      <c r="BL41" s="289"/>
      <c r="BM41" s="289"/>
      <c r="BN41" s="289"/>
      <c r="BO41" s="289"/>
      <c r="BP41" s="289"/>
      <c r="BQ41" s="289"/>
      <c r="BR41" s="289"/>
      <c r="BS41" s="289"/>
      <c r="BT41" s="289"/>
      <c r="BU41" s="289"/>
      <c r="BV41" s="289"/>
      <c r="BW41" s="289"/>
      <c r="BX41" s="289"/>
      <c r="BY41" s="289"/>
      <c r="BZ41" s="289"/>
      <c r="CA41" s="289"/>
      <c r="CB41" s="289"/>
      <c r="CC41" s="289"/>
      <c r="CD41" s="289"/>
      <c r="CE41" s="289"/>
      <c r="CF41" s="289"/>
      <c r="CG41" s="289"/>
      <c r="CH41" s="289"/>
      <c r="CI41" s="289"/>
      <c r="CJ41" s="289"/>
      <c r="CK41" s="289"/>
      <c r="CL41" s="289"/>
      <c r="CM41" s="289"/>
      <c r="CN41" s="289"/>
      <c r="CO41" s="289"/>
      <c r="CP41" s="289"/>
      <c r="CQ41" s="289"/>
      <c r="CR41" s="289"/>
      <c r="CS41" s="289"/>
      <c r="CT41" s="289"/>
      <c r="CU41" s="289"/>
      <c r="CV41" s="289"/>
      <c r="CW41" s="289"/>
      <c r="CX41" s="289"/>
      <c r="CY41" s="289"/>
      <c r="CZ41" s="289"/>
      <c r="DA41" s="289"/>
      <c r="DB41" s="289"/>
      <c r="DC41" s="289"/>
      <c r="DD41" s="104"/>
    </row>
    <row r="42" spans="1:108" ht="13.5" customHeight="1">
      <c r="A42" s="165" t="s">
        <v>70</v>
      </c>
      <c r="B42" s="115"/>
      <c r="C42" s="116"/>
      <c r="D42" s="116"/>
      <c r="E42" s="116"/>
      <c r="F42" s="114"/>
      <c r="G42" s="114"/>
      <c r="H42" s="114"/>
      <c r="I42" s="114"/>
      <c r="J42" s="114"/>
      <c r="K42" s="114"/>
      <c r="L42" s="114"/>
      <c r="M42" s="114"/>
      <c r="N42" s="114"/>
      <c r="O42" s="114"/>
      <c r="P42" s="114"/>
      <c r="Q42" s="114"/>
      <c r="R42" s="114"/>
      <c r="S42" s="114"/>
      <c r="T42" s="114"/>
      <c r="U42" s="114"/>
      <c r="V42" s="114"/>
      <c r="W42" s="114"/>
      <c r="X42" s="114"/>
      <c r="Y42" s="114"/>
      <c r="Z42" s="114"/>
      <c r="AA42" s="114"/>
      <c r="AB42" s="114"/>
      <c r="AC42" s="114"/>
      <c r="AD42" s="114"/>
      <c r="AE42" s="114"/>
      <c r="AF42" s="114"/>
      <c r="AG42" s="114"/>
      <c r="AH42" s="114"/>
      <c r="AI42" s="114"/>
      <c r="AJ42" s="114"/>
      <c r="AK42" s="114"/>
      <c r="AL42" s="114"/>
      <c r="AM42" s="114"/>
      <c r="AN42" s="114"/>
      <c r="AO42" s="114"/>
      <c r="AP42" s="114"/>
      <c r="AQ42" s="114"/>
      <c r="AR42" s="114"/>
      <c r="AS42" s="114"/>
      <c r="AT42" s="114"/>
      <c r="AU42" s="114"/>
      <c r="AV42" s="114"/>
      <c r="AW42" s="114"/>
      <c r="AX42" s="114"/>
      <c r="AY42" s="114"/>
      <c r="AZ42" s="114"/>
      <c r="BA42" s="114"/>
      <c r="BB42" s="104"/>
      <c r="BC42" s="165" t="s">
        <v>67</v>
      </c>
      <c r="BD42" s="115"/>
      <c r="BE42" s="116"/>
      <c r="BF42" s="116"/>
      <c r="BG42" s="289"/>
      <c r="BH42" s="289"/>
      <c r="BI42" s="289"/>
      <c r="BJ42" s="289"/>
      <c r="BK42" s="289"/>
      <c r="BL42" s="289"/>
      <c r="BM42" s="289"/>
      <c r="BN42" s="289"/>
      <c r="BO42" s="289"/>
      <c r="BP42" s="289"/>
      <c r="BQ42" s="289"/>
      <c r="BR42" s="289"/>
      <c r="BS42" s="289"/>
      <c r="BT42" s="289"/>
      <c r="BU42" s="289"/>
      <c r="BV42" s="289"/>
      <c r="BW42" s="289"/>
      <c r="BX42" s="289"/>
      <c r="BY42" s="289"/>
      <c r="BZ42" s="289"/>
      <c r="CA42" s="289"/>
      <c r="CB42" s="289"/>
      <c r="CC42" s="289"/>
      <c r="CD42" s="289"/>
      <c r="CE42" s="289"/>
      <c r="CF42" s="289"/>
      <c r="CG42" s="289"/>
      <c r="CH42" s="289"/>
      <c r="CI42" s="289"/>
      <c r="CJ42" s="289"/>
      <c r="CK42" s="289"/>
      <c r="CL42" s="289"/>
      <c r="CM42" s="289"/>
      <c r="CN42" s="289"/>
      <c r="CO42" s="289"/>
      <c r="CP42" s="289"/>
      <c r="CQ42" s="289"/>
      <c r="CR42" s="289"/>
      <c r="CS42" s="289"/>
      <c r="CT42" s="289"/>
      <c r="CU42" s="289"/>
      <c r="CV42" s="289"/>
      <c r="CW42" s="289"/>
      <c r="CX42" s="289"/>
      <c r="CY42" s="289"/>
      <c r="CZ42" s="289"/>
      <c r="DA42" s="289"/>
      <c r="DB42" s="289"/>
      <c r="DC42" s="289"/>
      <c r="DD42" s="104"/>
    </row>
    <row r="43" spans="1:108" ht="13.5" customHeight="1">
      <c r="A43" s="166"/>
      <c r="B43" s="115"/>
      <c r="C43" s="116"/>
      <c r="D43" s="116"/>
      <c r="E43" s="116"/>
      <c r="F43" s="116"/>
      <c r="G43" s="116"/>
      <c r="H43" s="116"/>
      <c r="I43" s="116"/>
      <c r="J43" s="116"/>
      <c r="K43" s="116"/>
      <c r="L43" s="116"/>
      <c r="M43" s="116"/>
      <c r="N43" s="116"/>
      <c r="O43" s="116"/>
      <c r="P43" s="116"/>
      <c r="Q43" s="116"/>
      <c r="R43" s="116"/>
      <c r="S43" s="116"/>
      <c r="T43" s="116"/>
      <c r="U43" s="116"/>
      <c r="V43" s="116"/>
      <c r="W43" s="116"/>
      <c r="X43" s="116"/>
      <c r="Y43" s="116"/>
      <c r="Z43" s="116"/>
      <c r="AA43" s="116"/>
      <c r="AB43" s="116"/>
      <c r="AC43" s="116"/>
      <c r="AD43" s="116"/>
      <c r="AE43" s="116"/>
      <c r="AF43" s="116"/>
      <c r="AG43" s="116"/>
      <c r="AH43" s="116"/>
      <c r="AI43" s="116"/>
      <c r="AJ43" s="116"/>
      <c r="AK43" s="117"/>
      <c r="AL43" s="117"/>
      <c r="AM43" s="117"/>
      <c r="AN43" s="117"/>
      <c r="AO43" s="117"/>
      <c r="AP43" s="117"/>
      <c r="AQ43" s="117"/>
      <c r="AR43" s="117"/>
      <c r="AS43" s="117"/>
      <c r="AT43" s="117"/>
      <c r="AU43" s="117"/>
      <c r="AV43" s="117"/>
      <c r="AW43" s="117"/>
      <c r="AX43" s="117"/>
      <c r="AY43" s="117"/>
      <c r="AZ43" s="117"/>
      <c r="BA43" s="72"/>
      <c r="BB43" s="118"/>
      <c r="BC43" s="166"/>
      <c r="BD43" s="115"/>
      <c r="BE43" s="116"/>
      <c r="BF43" s="116"/>
      <c r="BG43" s="289"/>
      <c r="BH43" s="289"/>
      <c r="BI43" s="289"/>
      <c r="BJ43" s="289"/>
      <c r="BK43" s="289"/>
      <c r="BL43" s="289"/>
      <c r="BM43" s="289"/>
      <c r="BN43" s="289"/>
      <c r="BO43" s="289"/>
      <c r="BP43" s="289"/>
      <c r="BQ43" s="289"/>
      <c r="BR43" s="289"/>
      <c r="BS43" s="289"/>
      <c r="BT43" s="289"/>
      <c r="BU43" s="289"/>
      <c r="BV43" s="289"/>
      <c r="BW43" s="289"/>
      <c r="BX43" s="289"/>
      <c r="BY43" s="289"/>
      <c r="BZ43" s="289"/>
      <c r="CA43" s="289"/>
      <c r="CB43" s="289"/>
      <c r="CC43" s="289"/>
      <c r="CD43" s="289"/>
      <c r="CE43" s="289"/>
      <c r="CF43" s="289"/>
      <c r="CG43" s="289"/>
      <c r="CH43" s="289"/>
      <c r="CI43" s="289"/>
      <c r="CJ43" s="289"/>
      <c r="CK43" s="289"/>
      <c r="CL43" s="289"/>
      <c r="CM43" s="289"/>
      <c r="CN43" s="289"/>
      <c r="CO43" s="289"/>
      <c r="CP43" s="289"/>
      <c r="CQ43" s="289"/>
      <c r="CR43" s="289"/>
      <c r="CS43" s="289"/>
      <c r="CT43" s="289"/>
      <c r="CU43" s="289"/>
      <c r="CV43" s="289"/>
      <c r="CW43" s="289"/>
      <c r="CX43" s="289"/>
      <c r="CY43" s="289"/>
      <c r="CZ43" s="289"/>
      <c r="DA43" s="289"/>
      <c r="DB43" s="289"/>
      <c r="DC43" s="289"/>
      <c r="DD43" s="118"/>
    </row>
    <row r="44" spans="1:108" ht="14.25" customHeight="1">
      <c r="A44" s="166"/>
      <c r="B44" s="115"/>
      <c r="C44" s="116"/>
      <c r="D44" s="32"/>
      <c r="E44" s="116"/>
      <c r="F44" s="116"/>
      <c r="G44" s="116"/>
      <c r="H44" s="116"/>
      <c r="I44" s="116"/>
      <c r="J44" s="116"/>
      <c r="K44" s="116"/>
      <c r="L44" s="116"/>
      <c r="M44" s="116"/>
      <c r="N44" s="116"/>
      <c r="O44" s="116"/>
      <c r="P44" s="116"/>
      <c r="Q44" s="116"/>
      <c r="R44" s="116"/>
      <c r="S44" s="116"/>
      <c r="T44" s="116"/>
      <c r="U44" s="116"/>
      <c r="V44" s="116"/>
      <c r="W44" s="116"/>
      <c r="X44" s="116"/>
      <c r="Y44" s="116"/>
      <c r="Z44" s="116"/>
      <c r="AA44" s="116"/>
      <c r="AB44" s="116"/>
      <c r="AC44" s="116"/>
      <c r="AD44" s="116"/>
      <c r="AE44" s="116"/>
      <c r="AF44" s="116"/>
      <c r="AG44" s="116"/>
      <c r="AH44" s="116"/>
      <c r="AI44" s="116"/>
      <c r="AJ44" s="116"/>
      <c r="AK44" s="117"/>
      <c r="AL44" s="117"/>
      <c r="AM44" s="117"/>
      <c r="AN44" s="117"/>
      <c r="AO44" s="117"/>
      <c r="AP44" s="117"/>
      <c r="AQ44" s="117"/>
      <c r="AR44" s="117"/>
      <c r="AS44" s="117"/>
      <c r="AT44" s="117"/>
      <c r="AU44" s="117"/>
      <c r="AV44" s="117"/>
      <c r="AW44" s="117"/>
      <c r="AX44" s="117"/>
      <c r="AY44" s="117"/>
      <c r="AZ44" s="117"/>
      <c r="BA44" s="72"/>
      <c r="BB44" s="118"/>
      <c r="BC44" s="166"/>
      <c r="BD44" s="115"/>
      <c r="BE44" s="116"/>
      <c r="BF44" s="116"/>
      <c r="BG44" s="289"/>
      <c r="BH44" s="289"/>
      <c r="BI44" s="289"/>
      <c r="BJ44" s="289"/>
      <c r="BK44" s="289"/>
      <c r="BL44" s="289"/>
      <c r="BM44" s="289"/>
      <c r="BN44" s="289"/>
      <c r="BO44" s="289"/>
      <c r="BP44" s="289"/>
      <c r="BQ44" s="289"/>
      <c r="BR44" s="289"/>
      <c r="BS44" s="289"/>
      <c r="BT44" s="289"/>
      <c r="BU44" s="289"/>
      <c r="BV44" s="289"/>
      <c r="BW44" s="289"/>
      <c r="BX44" s="289"/>
      <c r="BY44" s="289"/>
      <c r="BZ44" s="289"/>
      <c r="CA44" s="289"/>
      <c r="CB44" s="289"/>
      <c r="CC44" s="289"/>
      <c r="CD44" s="289"/>
      <c r="CE44" s="289"/>
      <c r="CF44" s="289"/>
      <c r="CG44" s="289"/>
      <c r="CH44" s="289"/>
      <c r="CI44" s="289"/>
      <c r="CJ44" s="289"/>
      <c r="CK44" s="289"/>
      <c r="CL44" s="289"/>
      <c r="CM44" s="289"/>
      <c r="CN44" s="289"/>
      <c r="CO44" s="289"/>
      <c r="CP44" s="289"/>
      <c r="CQ44" s="289"/>
      <c r="CR44" s="289"/>
      <c r="CS44" s="289"/>
      <c r="CT44" s="289"/>
      <c r="CU44" s="289"/>
      <c r="CV44" s="289"/>
      <c r="CW44" s="289"/>
      <c r="CX44" s="289"/>
      <c r="CY44" s="289"/>
      <c r="CZ44" s="289"/>
      <c r="DA44" s="289"/>
      <c r="DB44" s="289"/>
      <c r="DC44" s="289"/>
      <c r="DD44" s="118"/>
    </row>
    <row r="45" spans="1:108" ht="14.25" customHeight="1">
      <c r="A45" s="166"/>
      <c r="B45" s="115"/>
      <c r="C45" s="116"/>
      <c r="D45" s="116"/>
      <c r="E45" s="116"/>
      <c r="F45" s="119"/>
      <c r="G45" s="120"/>
      <c r="H45" s="120"/>
      <c r="I45" s="120"/>
      <c r="J45" s="120"/>
      <c r="K45" s="120"/>
      <c r="L45" s="120"/>
      <c r="M45" s="120"/>
      <c r="N45" s="120"/>
      <c r="O45" s="120"/>
      <c r="P45" s="120"/>
      <c r="Q45" s="120"/>
      <c r="R45" s="120"/>
      <c r="S45" s="120"/>
      <c r="T45" s="120"/>
      <c r="U45" s="120"/>
      <c r="V45" s="120"/>
      <c r="W45" s="120"/>
      <c r="X45" s="120"/>
      <c r="Y45" s="120"/>
      <c r="Z45" s="120"/>
      <c r="AA45" s="120"/>
      <c r="AB45" s="120"/>
      <c r="AC45" s="120"/>
      <c r="AD45" s="120"/>
      <c r="AE45" s="120"/>
      <c r="AF45" s="120"/>
      <c r="AG45" s="120"/>
      <c r="AH45" s="120"/>
      <c r="AI45" s="120"/>
      <c r="AJ45" s="120"/>
      <c r="AK45" s="120"/>
      <c r="AL45" s="120"/>
      <c r="AM45" s="120"/>
      <c r="AN45" s="120"/>
      <c r="AO45" s="120"/>
      <c r="AP45" s="120"/>
      <c r="AQ45" s="120"/>
      <c r="AR45" s="120"/>
      <c r="AS45" s="120"/>
      <c r="AT45" s="120"/>
      <c r="AU45" s="120"/>
      <c r="AV45" s="120"/>
      <c r="AW45" s="120"/>
      <c r="AX45" s="120"/>
      <c r="AY45" s="120"/>
      <c r="AZ45" s="120"/>
      <c r="BA45" s="120"/>
      <c r="BB45" s="118"/>
      <c r="BC45" s="166"/>
      <c r="BD45" s="115"/>
      <c r="BE45" s="116"/>
      <c r="BF45" s="116"/>
      <c r="BG45" s="289"/>
      <c r="BH45" s="289"/>
      <c r="BI45" s="289"/>
      <c r="BJ45" s="289"/>
      <c r="BK45" s="289"/>
      <c r="BL45" s="289"/>
      <c r="BM45" s="289"/>
      <c r="BN45" s="289"/>
      <c r="BO45" s="289"/>
      <c r="BP45" s="289"/>
      <c r="BQ45" s="289"/>
      <c r="BR45" s="289"/>
      <c r="BS45" s="289"/>
      <c r="BT45" s="289"/>
      <c r="BU45" s="289"/>
      <c r="BV45" s="289"/>
      <c r="BW45" s="289"/>
      <c r="BX45" s="289"/>
      <c r="BY45" s="289"/>
      <c r="BZ45" s="289"/>
      <c r="CA45" s="289"/>
      <c r="CB45" s="289"/>
      <c r="CC45" s="289"/>
      <c r="CD45" s="289"/>
      <c r="CE45" s="289"/>
      <c r="CF45" s="289"/>
      <c r="CG45" s="289"/>
      <c r="CH45" s="289"/>
      <c r="CI45" s="289"/>
      <c r="CJ45" s="289"/>
      <c r="CK45" s="289"/>
      <c r="CL45" s="289"/>
      <c r="CM45" s="289"/>
      <c r="CN45" s="289"/>
      <c r="CO45" s="289"/>
      <c r="CP45" s="289"/>
      <c r="CQ45" s="289"/>
      <c r="CR45" s="289"/>
      <c r="CS45" s="289"/>
      <c r="CT45" s="289"/>
      <c r="CU45" s="289"/>
      <c r="CV45" s="289"/>
      <c r="CW45" s="289"/>
      <c r="CX45" s="289"/>
      <c r="CY45" s="289"/>
      <c r="CZ45" s="289"/>
      <c r="DA45" s="289"/>
      <c r="DB45" s="289"/>
      <c r="DC45" s="289"/>
      <c r="DD45" s="118"/>
    </row>
    <row r="46" spans="1:108" ht="14.25" customHeight="1">
      <c r="A46" s="166"/>
      <c r="B46" s="115"/>
      <c r="C46" s="116"/>
      <c r="D46" s="32"/>
      <c r="E46" s="116"/>
      <c r="F46" s="120"/>
      <c r="G46" s="120"/>
      <c r="H46" s="120"/>
      <c r="I46" s="120"/>
      <c r="J46" s="120"/>
      <c r="K46" s="120"/>
      <c r="L46" s="120"/>
      <c r="M46" s="120"/>
      <c r="N46" s="120"/>
      <c r="O46" s="120"/>
      <c r="P46" s="120"/>
      <c r="Q46" s="120"/>
      <c r="R46" s="120"/>
      <c r="S46" s="120"/>
      <c r="T46" s="120"/>
      <c r="U46" s="120"/>
      <c r="V46" s="120"/>
      <c r="W46" s="120"/>
      <c r="X46" s="120"/>
      <c r="Y46" s="120"/>
      <c r="Z46" s="120"/>
      <c r="AA46" s="120"/>
      <c r="AB46" s="120"/>
      <c r="AC46" s="120"/>
      <c r="AD46" s="120"/>
      <c r="AE46" s="120"/>
      <c r="AF46" s="120"/>
      <c r="AG46" s="120"/>
      <c r="AH46" s="120"/>
      <c r="AI46" s="120"/>
      <c r="AJ46" s="120"/>
      <c r="AK46" s="120"/>
      <c r="AL46" s="120"/>
      <c r="AM46" s="120"/>
      <c r="AN46" s="120"/>
      <c r="AO46" s="120"/>
      <c r="AP46" s="120"/>
      <c r="AQ46" s="120"/>
      <c r="AR46" s="120"/>
      <c r="AS46" s="120"/>
      <c r="AT46" s="120"/>
      <c r="AU46" s="120"/>
      <c r="AV46" s="120"/>
      <c r="AW46" s="120"/>
      <c r="AX46" s="120"/>
      <c r="AY46" s="120"/>
      <c r="AZ46" s="120"/>
      <c r="BA46" s="120"/>
      <c r="BB46" s="118"/>
      <c r="BC46" s="166"/>
      <c r="BD46" s="115"/>
      <c r="BE46" s="116"/>
      <c r="BF46" s="116"/>
      <c r="BG46" s="289"/>
      <c r="BH46" s="289"/>
      <c r="BI46" s="289"/>
      <c r="BJ46" s="289"/>
      <c r="BK46" s="289"/>
      <c r="BL46" s="289"/>
      <c r="BM46" s="289"/>
      <c r="BN46" s="289"/>
      <c r="BO46" s="289"/>
      <c r="BP46" s="289"/>
      <c r="BQ46" s="289"/>
      <c r="BR46" s="289"/>
      <c r="BS46" s="289"/>
      <c r="BT46" s="289"/>
      <c r="BU46" s="289"/>
      <c r="BV46" s="289"/>
      <c r="BW46" s="289"/>
      <c r="BX46" s="289"/>
      <c r="BY46" s="289"/>
      <c r="BZ46" s="289"/>
      <c r="CA46" s="289"/>
      <c r="CB46" s="289"/>
      <c r="CC46" s="289"/>
      <c r="CD46" s="289"/>
      <c r="CE46" s="289"/>
      <c r="CF46" s="289"/>
      <c r="CG46" s="289"/>
      <c r="CH46" s="289"/>
      <c r="CI46" s="289"/>
      <c r="CJ46" s="289"/>
      <c r="CK46" s="289"/>
      <c r="CL46" s="289"/>
      <c r="CM46" s="289"/>
      <c r="CN46" s="289"/>
      <c r="CO46" s="289"/>
      <c r="CP46" s="289"/>
      <c r="CQ46" s="289"/>
      <c r="CR46" s="289"/>
      <c r="CS46" s="289"/>
      <c r="CT46" s="289"/>
      <c r="CU46" s="289"/>
      <c r="CV46" s="289"/>
      <c r="CW46" s="289"/>
      <c r="CX46" s="289"/>
      <c r="CY46" s="289"/>
      <c r="CZ46" s="289"/>
      <c r="DA46" s="289"/>
      <c r="DB46" s="289"/>
      <c r="DC46" s="289"/>
      <c r="DD46" s="118"/>
    </row>
    <row r="47" spans="1:108" ht="14.25" customHeight="1">
      <c r="A47" s="166"/>
      <c r="B47" s="115"/>
      <c r="C47" s="116"/>
      <c r="D47" s="116"/>
      <c r="E47" s="116"/>
      <c r="F47" s="120"/>
      <c r="G47" s="120"/>
      <c r="H47" s="120"/>
      <c r="I47" s="120"/>
      <c r="J47" s="120"/>
      <c r="K47" s="120"/>
      <c r="L47" s="120"/>
      <c r="M47" s="120"/>
      <c r="N47" s="120"/>
      <c r="O47" s="120"/>
      <c r="P47" s="120"/>
      <c r="Q47" s="120"/>
      <c r="R47" s="120"/>
      <c r="S47" s="120"/>
      <c r="T47" s="120"/>
      <c r="U47" s="120"/>
      <c r="V47" s="120"/>
      <c r="W47" s="120"/>
      <c r="X47" s="120"/>
      <c r="Y47" s="120"/>
      <c r="Z47" s="120"/>
      <c r="AA47" s="120"/>
      <c r="AB47" s="120"/>
      <c r="AC47" s="120"/>
      <c r="AD47" s="120"/>
      <c r="AE47" s="120"/>
      <c r="AF47" s="120"/>
      <c r="AG47" s="120"/>
      <c r="AH47" s="120"/>
      <c r="AI47" s="120"/>
      <c r="AJ47" s="120"/>
      <c r="AK47" s="120"/>
      <c r="AL47" s="120"/>
      <c r="AM47" s="120"/>
      <c r="AN47" s="120"/>
      <c r="AO47" s="120"/>
      <c r="AP47" s="120"/>
      <c r="AQ47" s="120"/>
      <c r="AR47" s="120"/>
      <c r="AS47" s="120"/>
      <c r="AT47" s="120"/>
      <c r="AU47" s="120"/>
      <c r="AV47" s="120"/>
      <c r="AW47" s="120"/>
      <c r="AX47" s="120"/>
      <c r="AY47" s="120"/>
      <c r="AZ47" s="120"/>
      <c r="BA47" s="120"/>
      <c r="BB47" s="118"/>
      <c r="BC47" s="166"/>
      <c r="BD47" s="115"/>
      <c r="BE47" s="116"/>
      <c r="BF47" s="116"/>
      <c r="BG47" s="289"/>
      <c r="BH47" s="289"/>
      <c r="BI47" s="289"/>
      <c r="BJ47" s="289"/>
      <c r="BK47" s="289"/>
      <c r="BL47" s="289"/>
      <c r="BM47" s="289"/>
      <c r="BN47" s="289"/>
      <c r="BO47" s="289"/>
      <c r="BP47" s="289"/>
      <c r="BQ47" s="289"/>
      <c r="BR47" s="289"/>
      <c r="BS47" s="289"/>
      <c r="BT47" s="289"/>
      <c r="BU47" s="289"/>
      <c r="BV47" s="289"/>
      <c r="BW47" s="289"/>
      <c r="BX47" s="289"/>
      <c r="BY47" s="289"/>
      <c r="BZ47" s="289"/>
      <c r="CA47" s="289"/>
      <c r="CB47" s="289"/>
      <c r="CC47" s="289"/>
      <c r="CD47" s="289"/>
      <c r="CE47" s="289"/>
      <c r="CF47" s="289"/>
      <c r="CG47" s="289"/>
      <c r="CH47" s="289"/>
      <c r="CI47" s="289"/>
      <c r="CJ47" s="289"/>
      <c r="CK47" s="289"/>
      <c r="CL47" s="289"/>
      <c r="CM47" s="289"/>
      <c r="CN47" s="289"/>
      <c r="CO47" s="289"/>
      <c r="CP47" s="289"/>
      <c r="CQ47" s="289"/>
      <c r="CR47" s="289"/>
      <c r="CS47" s="289"/>
      <c r="CT47" s="289"/>
      <c r="CU47" s="289"/>
      <c r="CV47" s="289"/>
      <c r="CW47" s="289"/>
      <c r="CX47" s="289"/>
      <c r="CY47" s="289"/>
      <c r="CZ47" s="289"/>
      <c r="DA47" s="289"/>
      <c r="DB47" s="289"/>
      <c r="DC47" s="289"/>
      <c r="DD47" s="118"/>
    </row>
    <row r="48" spans="1:108" ht="14.25" customHeight="1">
      <c r="A48" s="166"/>
      <c r="B48" s="115"/>
      <c r="C48" s="116"/>
      <c r="D48" s="116"/>
      <c r="E48" s="116"/>
      <c r="F48" s="120"/>
      <c r="G48" s="120"/>
      <c r="H48" s="120"/>
      <c r="I48" s="120"/>
      <c r="J48" s="120"/>
      <c r="K48" s="120"/>
      <c r="L48" s="120"/>
      <c r="M48" s="120"/>
      <c r="N48" s="120"/>
      <c r="O48" s="120"/>
      <c r="P48" s="120"/>
      <c r="Q48" s="120"/>
      <c r="R48" s="120"/>
      <c r="S48" s="120"/>
      <c r="T48" s="120"/>
      <c r="U48" s="120"/>
      <c r="V48" s="120"/>
      <c r="W48" s="120"/>
      <c r="X48" s="120"/>
      <c r="Y48" s="120"/>
      <c r="Z48" s="120"/>
      <c r="AA48" s="120"/>
      <c r="AB48" s="120"/>
      <c r="AC48" s="120"/>
      <c r="AD48" s="120"/>
      <c r="AE48" s="120"/>
      <c r="AF48" s="120"/>
      <c r="AG48" s="120"/>
      <c r="AH48" s="120"/>
      <c r="AI48" s="120"/>
      <c r="AJ48" s="120"/>
      <c r="AK48" s="120"/>
      <c r="AL48" s="120"/>
      <c r="AM48" s="120"/>
      <c r="AN48" s="120"/>
      <c r="AO48" s="120"/>
      <c r="AP48" s="120"/>
      <c r="AQ48" s="120"/>
      <c r="AR48" s="120"/>
      <c r="AS48" s="120"/>
      <c r="AT48" s="120"/>
      <c r="AU48" s="120"/>
      <c r="AV48" s="120"/>
      <c r="AW48" s="120"/>
      <c r="AX48" s="120"/>
      <c r="AY48" s="120"/>
      <c r="AZ48" s="120"/>
      <c r="BA48" s="120"/>
      <c r="BB48" s="118"/>
      <c r="BC48" s="166"/>
      <c r="BD48" s="115"/>
      <c r="BE48" s="116"/>
      <c r="BF48" s="116"/>
      <c r="BG48" s="289"/>
      <c r="BH48" s="289"/>
      <c r="BI48" s="289"/>
      <c r="BJ48" s="289"/>
      <c r="BK48" s="289"/>
      <c r="BL48" s="289"/>
      <c r="BM48" s="289"/>
      <c r="BN48" s="289"/>
      <c r="BO48" s="289"/>
      <c r="BP48" s="289"/>
      <c r="BQ48" s="289"/>
      <c r="BR48" s="289"/>
      <c r="BS48" s="289"/>
      <c r="BT48" s="289"/>
      <c r="BU48" s="289"/>
      <c r="BV48" s="289"/>
      <c r="BW48" s="289"/>
      <c r="BX48" s="289"/>
      <c r="BY48" s="289"/>
      <c r="BZ48" s="289"/>
      <c r="CA48" s="289"/>
      <c r="CB48" s="289"/>
      <c r="CC48" s="289"/>
      <c r="CD48" s="289"/>
      <c r="CE48" s="289"/>
      <c r="CF48" s="289"/>
      <c r="CG48" s="289"/>
      <c r="CH48" s="289"/>
      <c r="CI48" s="289"/>
      <c r="CJ48" s="289"/>
      <c r="CK48" s="289"/>
      <c r="CL48" s="289"/>
      <c r="CM48" s="289"/>
      <c r="CN48" s="289"/>
      <c r="CO48" s="289"/>
      <c r="CP48" s="289"/>
      <c r="CQ48" s="289"/>
      <c r="CR48" s="289"/>
      <c r="CS48" s="289"/>
      <c r="CT48" s="289"/>
      <c r="CU48" s="289"/>
      <c r="CV48" s="289"/>
      <c r="CW48" s="289"/>
      <c r="CX48" s="289"/>
      <c r="CY48" s="289"/>
      <c r="CZ48" s="289"/>
      <c r="DA48" s="289"/>
      <c r="DB48" s="289"/>
      <c r="DC48" s="289"/>
      <c r="DD48" s="118"/>
    </row>
    <row r="49" spans="1:108" ht="14.25" customHeight="1">
      <c r="A49" s="166"/>
      <c r="B49" s="115"/>
      <c r="C49" s="116"/>
      <c r="D49" s="116"/>
      <c r="E49" s="116"/>
      <c r="F49" s="120"/>
      <c r="G49" s="120"/>
      <c r="H49" s="120"/>
      <c r="I49" s="120"/>
      <c r="J49" s="120"/>
      <c r="K49" s="120"/>
      <c r="L49" s="120"/>
      <c r="M49" s="120"/>
      <c r="N49" s="120"/>
      <c r="O49" s="120"/>
      <c r="P49" s="120"/>
      <c r="Q49" s="120"/>
      <c r="R49" s="120"/>
      <c r="S49" s="120"/>
      <c r="T49" s="120"/>
      <c r="U49" s="120"/>
      <c r="V49" s="120"/>
      <c r="W49" s="120"/>
      <c r="X49" s="120"/>
      <c r="Y49" s="120"/>
      <c r="Z49" s="120"/>
      <c r="AA49" s="120"/>
      <c r="AB49" s="120"/>
      <c r="AC49" s="120"/>
      <c r="AD49" s="120"/>
      <c r="AE49" s="120"/>
      <c r="AF49" s="120"/>
      <c r="AG49" s="120"/>
      <c r="AH49" s="120"/>
      <c r="AI49" s="120"/>
      <c r="AJ49" s="120"/>
      <c r="AK49" s="120"/>
      <c r="AL49" s="120"/>
      <c r="AM49" s="120"/>
      <c r="AN49" s="120"/>
      <c r="AO49" s="120"/>
      <c r="AP49" s="120"/>
      <c r="AQ49" s="120"/>
      <c r="AR49" s="120"/>
      <c r="AS49" s="120"/>
      <c r="AT49" s="120"/>
      <c r="AU49" s="120"/>
      <c r="AV49" s="120"/>
      <c r="AW49" s="120"/>
      <c r="AX49" s="120"/>
      <c r="AY49" s="120"/>
      <c r="AZ49" s="120"/>
      <c r="BA49" s="120"/>
      <c r="BB49" s="121"/>
      <c r="BC49" s="166"/>
      <c r="BD49" s="115"/>
      <c r="BE49" s="116"/>
      <c r="BF49" s="116"/>
      <c r="BG49" s="289"/>
      <c r="BH49" s="289"/>
      <c r="BI49" s="289"/>
      <c r="BJ49" s="289"/>
      <c r="BK49" s="289"/>
      <c r="BL49" s="289"/>
      <c r="BM49" s="289"/>
      <c r="BN49" s="289"/>
      <c r="BO49" s="289"/>
      <c r="BP49" s="289"/>
      <c r="BQ49" s="289"/>
      <c r="BR49" s="289"/>
      <c r="BS49" s="289"/>
      <c r="BT49" s="289"/>
      <c r="BU49" s="289"/>
      <c r="BV49" s="289"/>
      <c r="BW49" s="289"/>
      <c r="BX49" s="289"/>
      <c r="BY49" s="289"/>
      <c r="BZ49" s="289"/>
      <c r="CA49" s="289"/>
      <c r="CB49" s="289"/>
      <c r="CC49" s="289"/>
      <c r="CD49" s="289"/>
      <c r="CE49" s="289"/>
      <c r="CF49" s="289"/>
      <c r="CG49" s="289"/>
      <c r="CH49" s="289"/>
      <c r="CI49" s="289"/>
      <c r="CJ49" s="289"/>
      <c r="CK49" s="289"/>
      <c r="CL49" s="289"/>
      <c r="CM49" s="289"/>
      <c r="CN49" s="289"/>
      <c r="CO49" s="289"/>
      <c r="CP49" s="289"/>
      <c r="CQ49" s="289"/>
      <c r="CR49" s="289"/>
      <c r="CS49" s="289"/>
      <c r="CT49" s="289"/>
      <c r="CU49" s="289"/>
      <c r="CV49" s="289"/>
      <c r="CW49" s="289"/>
      <c r="CX49" s="289"/>
      <c r="CY49" s="289"/>
      <c r="CZ49" s="289"/>
      <c r="DA49" s="289"/>
      <c r="DB49" s="289"/>
      <c r="DC49" s="289"/>
      <c r="DD49" s="121"/>
    </row>
    <row r="50" spans="1:108" ht="4.5" customHeight="1">
      <c r="A50" s="166"/>
      <c r="B50" s="122"/>
      <c r="C50" s="123"/>
      <c r="D50" s="123"/>
      <c r="E50" s="123"/>
      <c r="F50" s="124"/>
      <c r="G50" s="124"/>
      <c r="H50" s="124"/>
      <c r="I50" s="124"/>
      <c r="J50" s="124"/>
      <c r="K50" s="124"/>
      <c r="L50" s="124"/>
      <c r="M50" s="124"/>
      <c r="N50" s="124"/>
      <c r="O50" s="124"/>
      <c r="P50" s="124"/>
      <c r="Q50" s="124"/>
      <c r="R50" s="124"/>
      <c r="S50" s="124"/>
      <c r="T50" s="124"/>
      <c r="U50" s="124"/>
      <c r="V50" s="124"/>
      <c r="W50" s="124"/>
      <c r="X50" s="124"/>
      <c r="Y50" s="124"/>
      <c r="Z50" s="124"/>
      <c r="AA50" s="124"/>
      <c r="AB50" s="124"/>
      <c r="AC50" s="124"/>
      <c r="AD50" s="124"/>
      <c r="AE50" s="124"/>
      <c r="AF50" s="124"/>
      <c r="AG50" s="124"/>
      <c r="AH50" s="124"/>
      <c r="AI50" s="124"/>
      <c r="AJ50" s="124"/>
      <c r="AK50" s="124"/>
      <c r="AL50" s="124"/>
      <c r="AM50" s="124"/>
      <c r="AN50" s="124"/>
      <c r="AO50" s="124"/>
      <c r="AP50" s="124"/>
      <c r="AQ50" s="124"/>
      <c r="AR50" s="124"/>
      <c r="AS50" s="124"/>
      <c r="AT50" s="124"/>
      <c r="AU50" s="124"/>
      <c r="AV50" s="124"/>
      <c r="AW50" s="124"/>
      <c r="AX50" s="124"/>
      <c r="AY50" s="124"/>
      <c r="AZ50" s="124"/>
      <c r="BA50" s="124"/>
      <c r="BB50" s="125"/>
      <c r="BC50" s="166"/>
      <c r="BD50" s="122"/>
      <c r="BE50" s="123"/>
      <c r="BF50" s="123"/>
      <c r="BG50" s="123"/>
      <c r="BH50" s="123"/>
      <c r="BI50" s="123"/>
      <c r="BJ50" s="123"/>
      <c r="BK50" s="123"/>
      <c r="BL50" s="123"/>
      <c r="BM50" s="123"/>
      <c r="BN50" s="123"/>
      <c r="BO50" s="123"/>
      <c r="BP50" s="123"/>
      <c r="BQ50" s="123"/>
      <c r="BR50" s="123"/>
      <c r="BS50" s="123"/>
      <c r="BT50" s="123"/>
      <c r="BU50" s="123"/>
      <c r="BV50" s="123"/>
      <c r="BW50" s="123"/>
      <c r="BX50" s="123"/>
      <c r="BY50" s="123"/>
      <c r="BZ50" s="123"/>
      <c r="CA50" s="123"/>
      <c r="CB50" s="123"/>
      <c r="CC50" s="123"/>
      <c r="CD50" s="123"/>
      <c r="CE50" s="123"/>
      <c r="CF50" s="123"/>
      <c r="CG50" s="123"/>
      <c r="CH50" s="123"/>
      <c r="CI50" s="123"/>
      <c r="CJ50" s="123"/>
      <c r="CK50" s="123"/>
      <c r="CL50" s="116"/>
      <c r="CM50" s="127"/>
      <c r="CN50" s="127"/>
      <c r="CO50" s="127"/>
      <c r="CP50" s="127"/>
      <c r="CQ50" s="127"/>
      <c r="CR50" s="127"/>
      <c r="CS50" s="127"/>
      <c r="CT50" s="127"/>
      <c r="CU50" s="127"/>
      <c r="CV50" s="127"/>
      <c r="CW50" s="127"/>
      <c r="CX50" s="127"/>
      <c r="CY50" s="127"/>
      <c r="CZ50" s="127"/>
      <c r="DA50" s="127"/>
      <c r="DB50" s="127"/>
      <c r="DC50" s="72"/>
      <c r="DD50" s="125"/>
    </row>
    <row r="51" spans="1:108" ht="8.25" customHeight="1">
      <c r="A51" s="166"/>
      <c r="B51" s="167"/>
      <c r="C51" s="168"/>
      <c r="D51" s="168"/>
      <c r="E51" s="168"/>
      <c r="F51" s="168"/>
      <c r="G51" s="168"/>
      <c r="H51" s="168"/>
      <c r="I51" s="168"/>
      <c r="J51" s="168"/>
      <c r="K51" s="168"/>
      <c r="L51" s="168"/>
      <c r="M51" s="168"/>
      <c r="N51" s="168"/>
      <c r="O51" s="168"/>
      <c r="P51" s="169"/>
      <c r="Q51" s="273" t="s">
        <v>66</v>
      </c>
      <c r="R51" s="274"/>
      <c r="S51" s="274"/>
      <c r="T51" s="274"/>
      <c r="U51" s="274"/>
      <c r="V51" s="274"/>
      <c r="W51" s="274"/>
      <c r="X51" s="274"/>
      <c r="Y51" s="274"/>
      <c r="Z51" s="274"/>
      <c r="AA51" s="274"/>
      <c r="AB51" s="274"/>
      <c r="AC51" s="274"/>
      <c r="AD51" s="274"/>
      <c r="AE51" s="274"/>
      <c r="AF51" s="274"/>
      <c r="AG51" s="274"/>
      <c r="AH51" s="274"/>
      <c r="AI51" s="274"/>
      <c r="AJ51" s="275"/>
      <c r="AK51" s="35"/>
      <c r="AL51" s="32"/>
      <c r="AM51" s="93"/>
      <c r="AN51" s="93"/>
      <c r="AO51" s="268" t="str">
        <f>IF(ISBLANK('IN-ENG-27 1(2)'!AO54)," ",'IN-ENG-27 1(2)'!AO54)</f>
        <v xml:space="preserve"> </v>
      </c>
      <c r="AP51" s="268"/>
      <c r="AQ51" s="268"/>
      <c r="AR51" s="268"/>
      <c r="AS51" s="268"/>
      <c r="AT51" s="268"/>
      <c r="AU51" s="268"/>
      <c r="AV51" s="32"/>
      <c r="AW51" s="32"/>
      <c r="AX51" s="155" t="s">
        <v>1</v>
      </c>
      <c r="AY51" s="155"/>
      <c r="AZ51" s="32"/>
      <c r="BA51" s="36"/>
      <c r="BB51" s="37"/>
      <c r="BC51" s="166"/>
      <c r="BD51" s="167"/>
      <c r="BE51" s="168"/>
      <c r="BF51" s="168"/>
      <c r="BG51" s="168"/>
      <c r="BH51" s="168"/>
      <c r="BI51" s="168"/>
      <c r="BJ51" s="168"/>
      <c r="BK51" s="168"/>
      <c r="BL51" s="168"/>
      <c r="BM51" s="168"/>
      <c r="BN51" s="168"/>
      <c r="BO51" s="168"/>
      <c r="BP51" s="168"/>
      <c r="BQ51" s="168"/>
      <c r="BR51" s="169"/>
      <c r="BS51" s="273" t="s">
        <v>66</v>
      </c>
      <c r="BT51" s="274"/>
      <c r="BU51" s="274"/>
      <c r="BV51" s="274"/>
      <c r="BW51" s="274"/>
      <c r="BX51" s="274"/>
      <c r="BY51" s="274"/>
      <c r="BZ51" s="274"/>
      <c r="CA51" s="274"/>
      <c r="CB51" s="274"/>
      <c r="CC51" s="274"/>
      <c r="CD51" s="274"/>
      <c r="CE51" s="274"/>
      <c r="CF51" s="274"/>
      <c r="CG51" s="274"/>
      <c r="CH51" s="274"/>
      <c r="CI51" s="274"/>
      <c r="CJ51" s="274"/>
      <c r="CK51" s="274"/>
      <c r="CL51" s="275"/>
      <c r="CM51" s="35"/>
      <c r="CN51" s="32"/>
      <c r="CO51" s="93"/>
      <c r="CP51" s="93"/>
      <c r="CQ51" s="268" t="str">
        <f>IF(ISBLANK('IN-ENG-27 1(2)'!AO54)," ",'IN-ENG-27 1(2)'!AO54)</f>
        <v xml:space="preserve"> </v>
      </c>
      <c r="CR51" s="268"/>
      <c r="CS51" s="268"/>
      <c r="CT51" s="268"/>
      <c r="CU51" s="268"/>
      <c r="CV51" s="268"/>
      <c r="CW51" s="268"/>
      <c r="CX51" s="32"/>
      <c r="CY51" s="32"/>
      <c r="CZ51" s="155" t="s">
        <v>1</v>
      </c>
      <c r="DA51" s="155"/>
      <c r="DB51" s="32"/>
      <c r="DC51" s="36"/>
      <c r="DD51" s="37"/>
    </row>
    <row r="52" spans="1:108" ht="7.5" customHeight="1">
      <c r="A52" s="166"/>
      <c r="B52" s="170"/>
      <c r="C52" s="171"/>
      <c r="D52" s="171"/>
      <c r="E52" s="171"/>
      <c r="F52" s="171"/>
      <c r="G52" s="171"/>
      <c r="H52" s="171"/>
      <c r="I52" s="171"/>
      <c r="J52" s="171"/>
      <c r="K52" s="171"/>
      <c r="L52" s="171"/>
      <c r="M52" s="171"/>
      <c r="N52" s="171"/>
      <c r="O52" s="171"/>
      <c r="P52" s="172"/>
      <c r="Q52" s="182"/>
      <c r="R52" s="181"/>
      <c r="S52" s="181"/>
      <c r="T52" s="181"/>
      <c r="U52" s="181"/>
      <c r="V52" s="181"/>
      <c r="W52" s="181"/>
      <c r="X52" s="181"/>
      <c r="Y52" s="181"/>
      <c r="Z52" s="181"/>
      <c r="AA52" s="181"/>
      <c r="AB52" s="181"/>
      <c r="AC52" s="181"/>
      <c r="AD52" s="181"/>
      <c r="AE52" s="181"/>
      <c r="AF52" s="181"/>
      <c r="AG52" s="181"/>
      <c r="AH52" s="181"/>
      <c r="AI52" s="181"/>
      <c r="AJ52" s="276"/>
      <c r="AK52" s="35"/>
      <c r="AL52" s="149" t="s">
        <v>0</v>
      </c>
      <c r="AM52" s="149"/>
      <c r="AN52" s="149"/>
      <c r="AO52" s="219"/>
      <c r="AP52" s="219"/>
      <c r="AQ52" s="219"/>
      <c r="AR52" s="219"/>
      <c r="AS52" s="219"/>
      <c r="AT52" s="219"/>
      <c r="AU52" s="219"/>
      <c r="AV52" s="32"/>
      <c r="AW52" s="32"/>
      <c r="AX52" s="269">
        <f ca="1">TODAY()</f>
        <v>41289</v>
      </c>
      <c r="AY52" s="269"/>
      <c r="AZ52" s="32"/>
      <c r="BA52" s="134"/>
      <c r="BB52" s="10"/>
      <c r="BC52" s="166"/>
      <c r="BD52" s="170"/>
      <c r="BE52" s="171"/>
      <c r="BF52" s="171"/>
      <c r="BG52" s="171"/>
      <c r="BH52" s="171"/>
      <c r="BI52" s="171"/>
      <c r="BJ52" s="171"/>
      <c r="BK52" s="171"/>
      <c r="BL52" s="171"/>
      <c r="BM52" s="171"/>
      <c r="BN52" s="171"/>
      <c r="BO52" s="171"/>
      <c r="BP52" s="171"/>
      <c r="BQ52" s="171"/>
      <c r="BR52" s="172"/>
      <c r="BS52" s="182"/>
      <c r="BT52" s="181"/>
      <c r="BU52" s="181"/>
      <c r="BV52" s="181"/>
      <c r="BW52" s="181"/>
      <c r="BX52" s="181"/>
      <c r="BY52" s="181"/>
      <c r="BZ52" s="181"/>
      <c r="CA52" s="181"/>
      <c r="CB52" s="181"/>
      <c r="CC52" s="181"/>
      <c r="CD52" s="181"/>
      <c r="CE52" s="181"/>
      <c r="CF52" s="181"/>
      <c r="CG52" s="181"/>
      <c r="CH52" s="181"/>
      <c r="CI52" s="181"/>
      <c r="CJ52" s="181"/>
      <c r="CK52" s="181"/>
      <c r="CL52" s="276"/>
      <c r="CM52" s="35"/>
      <c r="CN52" s="149" t="s">
        <v>0</v>
      </c>
      <c r="CO52" s="149"/>
      <c r="CP52" s="149"/>
      <c r="CQ52" s="219"/>
      <c r="CR52" s="219"/>
      <c r="CS52" s="219"/>
      <c r="CT52" s="219"/>
      <c r="CU52" s="219"/>
      <c r="CV52" s="219"/>
      <c r="CW52" s="219"/>
      <c r="CX52" s="32"/>
      <c r="CY52" s="32"/>
      <c r="CZ52" s="269">
        <f ca="1">TODAY()</f>
        <v>41289</v>
      </c>
      <c r="DA52" s="269"/>
      <c r="DB52" s="32"/>
      <c r="DC52" s="251" t="str">
        <f>IF(ISBLANK(BA52)," ",BA52)</f>
        <v xml:space="preserve"> </v>
      </c>
      <c r="DD52" s="10"/>
    </row>
    <row r="53" spans="1:108" ht="7.5" customHeight="1">
      <c r="A53" s="166"/>
      <c r="B53" s="170"/>
      <c r="C53" s="171"/>
      <c r="D53" s="171"/>
      <c r="E53" s="171"/>
      <c r="F53" s="171"/>
      <c r="G53" s="171"/>
      <c r="H53" s="171"/>
      <c r="I53" s="171"/>
      <c r="J53" s="171"/>
      <c r="K53" s="171"/>
      <c r="L53" s="171"/>
      <c r="M53" s="171"/>
      <c r="N53" s="171"/>
      <c r="O53" s="171"/>
      <c r="P53" s="172"/>
      <c r="Q53" s="182"/>
      <c r="R53" s="181"/>
      <c r="S53" s="181"/>
      <c r="T53" s="181"/>
      <c r="U53" s="181"/>
      <c r="V53" s="181"/>
      <c r="W53" s="181"/>
      <c r="X53" s="181"/>
      <c r="Y53" s="181"/>
      <c r="Z53" s="181"/>
      <c r="AA53" s="181"/>
      <c r="AB53" s="181"/>
      <c r="AC53" s="181"/>
      <c r="AD53" s="181"/>
      <c r="AE53" s="181"/>
      <c r="AF53" s="181"/>
      <c r="AG53" s="181"/>
      <c r="AH53" s="181"/>
      <c r="AI53" s="181"/>
      <c r="AJ53" s="276"/>
      <c r="AK53" s="35"/>
      <c r="AL53" s="149"/>
      <c r="AM53" s="149"/>
      <c r="AN53" s="149"/>
      <c r="AO53" s="219"/>
      <c r="AP53" s="219"/>
      <c r="AQ53" s="219"/>
      <c r="AR53" s="219"/>
      <c r="AS53" s="219"/>
      <c r="AT53" s="219"/>
      <c r="AU53" s="219"/>
      <c r="AV53" s="32"/>
      <c r="AW53" s="32"/>
      <c r="AX53" s="270"/>
      <c r="AY53" s="270"/>
      <c r="AZ53" s="32"/>
      <c r="BA53" s="134"/>
      <c r="BB53" s="10"/>
      <c r="BC53" s="166"/>
      <c r="BD53" s="170"/>
      <c r="BE53" s="171"/>
      <c r="BF53" s="171"/>
      <c r="BG53" s="171"/>
      <c r="BH53" s="171"/>
      <c r="BI53" s="171"/>
      <c r="BJ53" s="171"/>
      <c r="BK53" s="171"/>
      <c r="BL53" s="171"/>
      <c r="BM53" s="171"/>
      <c r="BN53" s="171"/>
      <c r="BO53" s="171"/>
      <c r="BP53" s="171"/>
      <c r="BQ53" s="171"/>
      <c r="BR53" s="172"/>
      <c r="BS53" s="182"/>
      <c r="BT53" s="181"/>
      <c r="BU53" s="181"/>
      <c r="BV53" s="181"/>
      <c r="BW53" s="181"/>
      <c r="BX53" s="181"/>
      <c r="BY53" s="181"/>
      <c r="BZ53" s="181"/>
      <c r="CA53" s="181"/>
      <c r="CB53" s="181"/>
      <c r="CC53" s="181"/>
      <c r="CD53" s="181"/>
      <c r="CE53" s="181"/>
      <c r="CF53" s="181"/>
      <c r="CG53" s="181"/>
      <c r="CH53" s="181"/>
      <c r="CI53" s="181"/>
      <c r="CJ53" s="181"/>
      <c r="CK53" s="181"/>
      <c r="CL53" s="276"/>
      <c r="CM53" s="35"/>
      <c r="CN53" s="149"/>
      <c r="CO53" s="149"/>
      <c r="CP53" s="149"/>
      <c r="CQ53" s="219"/>
      <c r="CR53" s="219"/>
      <c r="CS53" s="219"/>
      <c r="CT53" s="219"/>
      <c r="CU53" s="219"/>
      <c r="CV53" s="219"/>
      <c r="CW53" s="219"/>
      <c r="CX53" s="32"/>
      <c r="CY53" s="32"/>
      <c r="CZ53" s="270"/>
      <c r="DA53" s="270"/>
      <c r="DB53" s="32"/>
      <c r="DC53" s="251"/>
      <c r="DD53" s="10"/>
    </row>
    <row r="54" spans="1:108" ht="11.25" customHeight="1">
      <c r="A54" s="166"/>
      <c r="B54" s="170"/>
      <c r="C54" s="171"/>
      <c r="D54" s="171"/>
      <c r="E54" s="171"/>
      <c r="F54" s="171"/>
      <c r="G54" s="171"/>
      <c r="H54" s="171"/>
      <c r="I54" s="171"/>
      <c r="J54" s="171"/>
      <c r="K54" s="171"/>
      <c r="L54" s="171"/>
      <c r="M54" s="171"/>
      <c r="N54" s="171"/>
      <c r="O54" s="171"/>
      <c r="P54" s="172"/>
      <c r="Q54" s="271" t="s">
        <v>56</v>
      </c>
      <c r="R54" s="272"/>
      <c r="S54" s="272"/>
      <c r="T54" s="272"/>
      <c r="U54" s="272"/>
      <c r="V54" s="186" t="str">
        <f>IF(ISBLANK('IN-ENG-27 1(2)'!V56),"",'IN-ENG-27 1(2)'!V56)</f>
        <v/>
      </c>
      <c r="W54" s="186"/>
      <c r="X54" s="186"/>
      <c r="Y54" s="186"/>
      <c r="Z54" s="186"/>
      <c r="AA54" s="186"/>
      <c r="AB54" s="186"/>
      <c r="AC54" s="186"/>
      <c r="AD54" s="186"/>
      <c r="AE54" s="186"/>
      <c r="AF54" s="186"/>
      <c r="AG54" s="186"/>
      <c r="AH54" s="186"/>
      <c r="AI54" s="186"/>
      <c r="AJ54" s="85"/>
      <c r="AK54" s="35"/>
      <c r="AL54" s="95" t="s">
        <v>2</v>
      </c>
      <c r="AM54" s="95"/>
      <c r="AN54" s="95"/>
      <c r="AO54" s="143"/>
      <c r="AP54" s="143"/>
      <c r="AQ54" s="143"/>
      <c r="AR54" s="143"/>
      <c r="AS54" s="143"/>
      <c r="AT54" s="143"/>
      <c r="AU54" s="143"/>
      <c r="AV54" s="32"/>
      <c r="AW54" s="32"/>
      <c r="AX54" s="137"/>
      <c r="AY54" s="137"/>
      <c r="AZ54" s="32"/>
      <c r="BA54" s="218" t="s">
        <v>7</v>
      </c>
      <c r="BB54" s="10"/>
      <c r="BC54" s="166"/>
      <c r="BD54" s="170"/>
      <c r="BE54" s="171"/>
      <c r="BF54" s="171"/>
      <c r="BG54" s="171"/>
      <c r="BH54" s="171"/>
      <c r="BI54" s="171"/>
      <c r="BJ54" s="171"/>
      <c r="BK54" s="171"/>
      <c r="BL54" s="171"/>
      <c r="BM54" s="171"/>
      <c r="BN54" s="171"/>
      <c r="BO54" s="171"/>
      <c r="BP54" s="171"/>
      <c r="BQ54" s="171"/>
      <c r="BR54" s="172"/>
      <c r="BS54" s="271" t="s">
        <v>56</v>
      </c>
      <c r="BT54" s="272"/>
      <c r="BU54" s="272"/>
      <c r="BV54" s="272"/>
      <c r="BW54" s="272"/>
      <c r="BX54" s="228" t="str">
        <f>IF(ISBLANK(V54),"",V54)</f>
        <v/>
      </c>
      <c r="BY54" s="228"/>
      <c r="BZ54" s="228"/>
      <c r="CA54" s="228"/>
      <c r="CB54" s="228"/>
      <c r="CC54" s="228"/>
      <c r="CD54" s="228"/>
      <c r="CE54" s="228"/>
      <c r="CF54" s="228"/>
      <c r="CG54" s="228"/>
      <c r="CH54" s="228"/>
      <c r="CI54" s="228"/>
      <c r="CJ54" s="228"/>
      <c r="CK54" s="228"/>
      <c r="CL54" s="85"/>
      <c r="CM54" s="35"/>
      <c r="CN54" s="95" t="s">
        <v>2</v>
      </c>
      <c r="CO54" s="95"/>
      <c r="CP54" s="95"/>
      <c r="CQ54" s="143"/>
      <c r="CR54" s="143"/>
      <c r="CS54" s="143"/>
      <c r="CT54" s="143"/>
      <c r="CU54" s="143"/>
      <c r="CV54" s="143"/>
      <c r="CW54" s="143"/>
      <c r="CX54" s="32"/>
      <c r="CY54" s="32"/>
      <c r="CZ54" s="137"/>
      <c r="DA54" s="137"/>
      <c r="DB54" s="32"/>
      <c r="DC54" s="218" t="s">
        <v>7</v>
      </c>
      <c r="DD54" s="10"/>
    </row>
    <row r="55" spans="1:108" ht="3" customHeight="1">
      <c r="A55" s="166"/>
      <c r="B55" s="170"/>
      <c r="C55" s="171"/>
      <c r="D55" s="171"/>
      <c r="E55" s="171"/>
      <c r="F55" s="171"/>
      <c r="G55" s="171"/>
      <c r="H55" s="171"/>
      <c r="I55" s="171"/>
      <c r="J55" s="171"/>
      <c r="K55" s="171"/>
      <c r="L55" s="171"/>
      <c r="M55" s="171"/>
      <c r="N55" s="171"/>
      <c r="O55" s="171"/>
      <c r="P55" s="172"/>
      <c r="Q55" s="271"/>
      <c r="R55" s="272"/>
      <c r="S55" s="272"/>
      <c r="T55" s="272"/>
      <c r="U55" s="272"/>
      <c r="V55" s="179"/>
      <c r="W55" s="179"/>
      <c r="X55" s="179"/>
      <c r="Y55" s="179"/>
      <c r="Z55" s="179"/>
      <c r="AA55" s="179"/>
      <c r="AB55" s="179"/>
      <c r="AC55" s="179"/>
      <c r="AD55" s="179"/>
      <c r="AE55" s="179"/>
      <c r="AF55" s="179"/>
      <c r="AG55" s="179"/>
      <c r="AH55" s="179"/>
      <c r="AI55" s="179"/>
      <c r="AJ55" s="38"/>
      <c r="AK55" s="35"/>
      <c r="AL55" s="95"/>
      <c r="AM55" s="95"/>
      <c r="AN55" s="95"/>
      <c r="AO55" s="144"/>
      <c r="AP55" s="144"/>
      <c r="AQ55" s="144"/>
      <c r="AR55" s="144"/>
      <c r="AS55" s="144"/>
      <c r="AT55" s="144"/>
      <c r="AU55" s="144"/>
      <c r="AV55" s="32"/>
      <c r="AW55" s="32"/>
      <c r="AX55" s="138"/>
      <c r="AY55" s="138"/>
      <c r="AZ55" s="32"/>
      <c r="BA55" s="218"/>
      <c r="BB55" s="39"/>
      <c r="BC55" s="166"/>
      <c r="BD55" s="170"/>
      <c r="BE55" s="171"/>
      <c r="BF55" s="171"/>
      <c r="BG55" s="171"/>
      <c r="BH55" s="171"/>
      <c r="BI55" s="171"/>
      <c r="BJ55" s="171"/>
      <c r="BK55" s="171"/>
      <c r="BL55" s="171"/>
      <c r="BM55" s="171"/>
      <c r="BN55" s="171"/>
      <c r="BO55" s="171"/>
      <c r="BP55" s="171"/>
      <c r="BQ55" s="171"/>
      <c r="BR55" s="172"/>
      <c r="BS55" s="271"/>
      <c r="BT55" s="272"/>
      <c r="BU55" s="272"/>
      <c r="BV55" s="272"/>
      <c r="BW55" s="272"/>
      <c r="BX55" s="252"/>
      <c r="BY55" s="252"/>
      <c r="BZ55" s="252"/>
      <c r="CA55" s="252"/>
      <c r="CB55" s="252"/>
      <c r="CC55" s="252"/>
      <c r="CD55" s="252"/>
      <c r="CE55" s="252"/>
      <c r="CF55" s="252"/>
      <c r="CG55" s="252"/>
      <c r="CH55" s="252"/>
      <c r="CI55" s="252"/>
      <c r="CJ55" s="252"/>
      <c r="CK55" s="252"/>
      <c r="CL55" s="38"/>
      <c r="CM55" s="35"/>
      <c r="CN55" s="95"/>
      <c r="CO55" s="95"/>
      <c r="CP55" s="95"/>
      <c r="CQ55" s="144"/>
      <c r="CR55" s="144"/>
      <c r="CS55" s="144"/>
      <c r="CT55" s="144"/>
      <c r="CU55" s="144"/>
      <c r="CV55" s="144"/>
      <c r="CW55" s="144"/>
      <c r="CX55" s="32"/>
      <c r="CY55" s="32"/>
      <c r="CZ55" s="138"/>
      <c r="DA55" s="138"/>
      <c r="DB55" s="32"/>
      <c r="DC55" s="218"/>
      <c r="DD55" s="39"/>
    </row>
    <row r="56" spans="1:108" ht="11.25" customHeight="1">
      <c r="A56" s="166"/>
      <c r="B56" s="170"/>
      <c r="C56" s="171"/>
      <c r="D56" s="171"/>
      <c r="E56" s="171"/>
      <c r="F56" s="171"/>
      <c r="G56" s="171"/>
      <c r="H56" s="171"/>
      <c r="I56" s="171"/>
      <c r="J56" s="171"/>
      <c r="K56" s="171"/>
      <c r="L56" s="171"/>
      <c r="M56" s="171"/>
      <c r="N56" s="171"/>
      <c r="O56" s="171"/>
      <c r="P56" s="172"/>
      <c r="Q56" s="180" t="s">
        <v>65</v>
      </c>
      <c r="R56" s="181"/>
      <c r="S56" s="181"/>
      <c r="T56" s="181"/>
      <c r="U56" s="181"/>
      <c r="V56" s="186" t="str">
        <f>IF(ISBLANK('IN-ENG-27 1(2)'!V58),"",'IN-ENG-27 1(2)'!V58)</f>
        <v/>
      </c>
      <c r="W56" s="186"/>
      <c r="X56" s="186"/>
      <c r="Y56" s="186"/>
      <c r="Z56" s="186"/>
      <c r="AA56" s="186"/>
      <c r="AB56" s="186"/>
      <c r="AC56" s="186"/>
      <c r="AD56" s="186"/>
      <c r="AE56" s="186"/>
      <c r="AF56" s="186"/>
      <c r="AG56" s="186"/>
      <c r="AH56" s="186"/>
      <c r="AI56" s="186"/>
      <c r="AJ56" s="85"/>
      <c r="AK56" s="32"/>
      <c r="AL56" s="149" t="s">
        <v>4</v>
      </c>
      <c r="AM56" s="149"/>
      <c r="AN56" s="149"/>
      <c r="AO56" s="143"/>
      <c r="AP56" s="143"/>
      <c r="AQ56" s="143"/>
      <c r="AR56" s="143"/>
      <c r="AS56" s="143"/>
      <c r="AT56" s="143"/>
      <c r="AU56" s="143"/>
      <c r="AV56" s="32"/>
      <c r="AW56" s="32"/>
      <c r="AX56" s="137"/>
      <c r="AY56" s="137"/>
      <c r="AZ56" s="32"/>
      <c r="BA56" s="134"/>
      <c r="BB56" s="24"/>
      <c r="BC56" s="166"/>
      <c r="BD56" s="170"/>
      <c r="BE56" s="171"/>
      <c r="BF56" s="171"/>
      <c r="BG56" s="171"/>
      <c r="BH56" s="171"/>
      <c r="BI56" s="171"/>
      <c r="BJ56" s="171"/>
      <c r="BK56" s="171"/>
      <c r="BL56" s="171"/>
      <c r="BM56" s="171"/>
      <c r="BN56" s="171"/>
      <c r="BO56" s="171"/>
      <c r="BP56" s="171"/>
      <c r="BQ56" s="171"/>
      <c r="BR56" s="172"/>
      <c r="BS56" s="180" t="s">
        <v>65</v>
      </c>
      <c r="BT56" s="181"/>
      <c r="BU56" s="181"/>
      <c r="BV56" s="181"/>
      <c r="BW56" s="181"/>
      <c r="BX56" s="228" t="str">
        <f>IF(ISBLANK(V56),"",V56)</f>
        <v/>
      </c>
      <c r="BY56" s="228"/>
      <c r="BZ56" s="228"/>
      <c r="CA56" s="228"/>
      <c r="CB56" s="228"/>
      <c r="CC56" s="228"/>
      <c r="CD56" s="228"/>
      <c r="CE56" s="228"/>
      <c r="CF56" s="228"/>
      <c r="CG56" s="228"/>
      <c r="CH56" s="228"/>
      <c r="CI56" s="228"/>
      <c r="CJ56" s="228"/>
      <c r="CK56" s="228"/>
      <c r="CL56" s="85"/>
      <c r="CM56" s="32"/>
      <c r="CN56" s="149" t="s">
        <v>4</v>
      </c>
      <c r="CO56" s="149"/>
      <c r="CP56" s="149"/>
      <c r="CQ56" s="143"/>
      <c r="CR56" s="143"/>
      <c r="CS56" s="143"/>
      <c r="CT56" s="143"/>
      <c r="CU56" s="143"/>
      <c r="CV56" s="143"/>
      <c r="CW56" s="143"/>
      <c r="CX56" s="32"/>
      <c r="CY56" s="32"/>
      <c r="CZ56" s="137"/>
      <c r="DA56" s="137"/>
      <c r="DB56" s="32"/>
      <c r="DC56" s="251" t="str">
        <f>IF(ISBLANK(BA56)," ",BA56+1)</f>
        <v xml:space="preserve"> </v>
      </c>
      <c r="DD56" s="24"/>
    </row>
    <row r="57" spans="1:108" ht="3" customHeight="1">
      <c r="A57" s="166"/>
      <c r="B57" s="170"/>
      <c r="C57" s="171"/>
      <c r="D57" s="171"/>
      <c r="E57" s="171"/>
      <c r="F57" s="171"/>
      <c r="G57" s="171"/>
      <c r="H57" s="171"/>
      <c r="I57" s="171"/>
      <c r="J57" s="171"/>
      <c r="K57" s="171"/>
      <c r="L57" s="171"/>
      <c r="M57" s="171"/>
      <c r="N57" s="171"/>
      <c r="O57" s="171"/>
      <c r="P57" s="172"/>
      <c r="Q57" s="182"/>
      <c r="R57" s="181"/>
      <c r="S57" s="181"/>
      <c r="T57" s="181"/>
      <c r="U57" s="181"/>
      <c r="V57" s="179"/>
      <c r="W57" s="179"/>
      <c r="X57" s="179"/>
      <c r="Y57" s="179"/>
      <c r="Z57" s="179"/>
      <c r="AA57" s="179"/>
      <c r="AB57" s="179"/>
      <c r="AC57" s="179"/>
      <c r="AD57" s="179"/>
      <c r="AE57" s="179"/>
      <c r="AF57" s="179"/>
      <c r="AG57" s="179"/>
      <c r="AH57" s="179"/>
      <c r="AI57" s="179"/>
      <c r="AJ57" s="85"/>
      <c r="AK57" s="32"/>
      <c r="AL57" s="149"/>
      <c r="AM57" s="149"/>
      <c r="AN57" s="149"/>
      <c r="AO57" s="144"/>
      <c r="AP57" s="144"/>
      <c r="AQ57" s="144"/>
      <c r="AR57" s="144"/>
      <c r="AS57" s="144"/>
      <c r="AT57" s="144"/>
      <c r="AU57" s="144"/>
      <c r="AV57" s="32"/>
      <c r="AW57" s="32"/>
      <c r="AX57" s="138"/>
      <c r="AY57" s="138"/>
      <c r="AZ57" s="32"/>
      <c r="BA57" s="134"/>
      <c r="BB57" s="24"/>
      <c r="BC57" s="166"/>
      <c r="BD57" s="170"/>
      <c r="BE57" s="171"/>
      <c r="BF57" s="171"/>
      <c r="BG57" s="171"/>
      <c r="BH57" s="171"/>
      <c r="BI57" s="171"/>
      <c r="BJ57" s="171"/>
      <c r="BK57" s="171"/>
      <c r="BL57" s="171"/>
      <c r="BM57" s="171"/>
      <c r="BN57" s="171"/>
      <c r="BO57" s="171"/>
      <c r="BP57" s="171"/>
      <c r="BQ57" s="171"/>
      <c r="BR57" s="172"/>
      <c r="BS57" s="182"/>
      <c r="BT57" s="181"/>
      <c r="BU57" s="181"/>
      <c r="BV57" s="181"/>
      <c r="BW57" s="181"/>
      <c r="BX57" s="252"/>
      <c r="BY57" s="252"/>
      <c r="BZ57" s="252"/>
      <c r="CA57" s="252"/>
      <c r="CB57" s="252"/>
      <c r="CC57" s="252"/>
      <c r="CD57" s="252"/>
      <c r="CE57" s="252"/>
      <c r="CF57" s="252"/>
      <c r="CG57" s="252"/>
      <c r="CH57" s="252"/>
      <c r="CI57" s="252"/>
      <c r="CJ57" s="252"/>
      <c r="CK57" s="252"/>
      <c r="CL57" s="85"/>
      <c r="CM57" s="32"/>
      <c r="CN57" s="149"/>
      <c r="CO57" s="149"/>
      <c r="CP57" s="149"/>
      <c r="CQ57" s="144"/>
      <c r="CR57" s="144"/>
      <c r="CS57" s="144"/>
      <c r="CT57" s="144"/>
      <c r="CU57" s="144"/>
      <c r="CV57" s="144"/>
      <c r="CW57" s="144"/>
      <c r="CX57" s="32"/>
      <c r="CY57" s="32"/>
      <c r="CZ57" s="138"/>
      <c r="DA57" s="138"/>
      <c r="DB57" s="32"/>
      <c r="DC57" s="251"/>
      <c r="DD57" s="24"/>
    </row>
    <row r="58" spans="1:108" ht="6" customHeight="1">
      <c r="A58" s="166"/>
      <c r="B58" s="170"/>
      <c r="C58" s="171"/>
      <c r="D58" s="171"/>
      <c r="E58" s="171"/>
      <c r="F58" s="171"/>
      <c r="G58" s="171"/>
      <c r="H58" s="171"/>
      <c r="I58" s="171"/>
      <c r="J58" s="171"/>
      <c r="K58" s="171"/>
      <c r="L58" s="171"/>
      <c r="M58" s="171"/>
      <c r="N58" s="171"/>
      <c r="O58" s="171"/>
      <c r="P58" s="172"/>
      <c r="Q58" s="187" t="str">
        <f>IF(ISBLANK('IN-ENG-27 1(2)'!Q60),"",'IN-ENG-27 1(2)'!Q60)</f>
        <v/>
      </c>
      <c r="R58" s="186"/>
      <c r="S58" s="186"/>
      <c r="T58" s="186"/>
      <c r="U58" s="186"/>
      <c r="V58" s="186"/>
      <c r="W58" s="186"/>
      <c r="X58" s="183" t="s">
        <v>57</v>
      </c>
      <c r="Y58" s="183"/>
      <c r="Z58" s="183"/>
      <c r="AA58" s="183"/>
      <c r="AB58" s="183"/>
      <c r="AC58" s="183"/>
      <c r="AD58" s="183"/>
      <c r="AE58" s="183"/>
      <c r="AF58" s="183"/>
      <c r="AG58" s="183"/>
      <c r="AH58" s="183"/>
      <c r="AI58" s="183"/>
      <c r="AJ58" s="184"/>
      <c r="AK58" s="35"/>
      <c r="AL58" s="149" t="s">
        <v>5</v>
      </c>
      <c r="AM58" s="149"/>
      <c r="AN58" s="149"/>
      <c r="AO58" s="143"/>
      <c r="AP58" s="143"/>
      <c r="AQ58" s="143"/>
      <c r="AR58" s="143"/>
      <c r="AS58" s="143"/>
      <c r="AT58" s="143"/>
      <c r="AU58" s="143"/>
      <c r="AV58" s="32"/>
      <c r="AW58" s="32"/>
      <c r="AX58" s="137"/>
      <c r="AY58" s="137"/>
      <c r="AZ58" s="32"/>
      <c r="BA58" s="147" t="s">
        <v>6</v>
      </c>
      <c r="BB58" s="40"/>
      <c r="BC58" s="166"/>
      <c r="BD58" s="170"/>
      <c r="BE58" s="171"/>
      <c r="BF58" s="171"/>
      <c r="BG58" s="171"/>
      <c r="BH58" s="171"/>
      <c r="BI58" s="171"/>
      <c r="BJ58" s="171"/>
      <c r="BK58" s="171"/>
      <c r="BL58" s="171"/>
      <c r="BM58" s="171"/>
      <c r="BN58" s="171"/>
      <c r="BO58" s="171"/>
      <c r="BP58" s="171"/>
      <c r="BQ58" s="171"/>
      <c r="BR58" s="172"/>
      <c r="BS58" s="180" t="str">
        <f>IF(ISBLANK(Q58),"",Q58)</f>
        <v/>
      </c>
      <c r="BT58" s="228"/>
      <c r="BU58" s="228"/>
      <c r="BV58" s="228"/>
      <c r="BW58" s="228"/>
      <c r="BX58" s="228"/>
      <c r="BY58" s="228"/>
      <c r="BZ58" s="183" t="s">
        <v>57</v>
      </c>
      <c r="CA58" s="183"/>
      <c r="CB58" s="183"/>
      <c r="CC58" s="183"/>
      <c r="CD58" s="183"/>
      <c r="CE58" s="183"/>
      <c r="CF58" s="183"/>
      <c r="CG58" s="183"/>
      <c r="CH58" s="183"/>
      <c r="CI58" s="183"/>
      <c r="CJ58" s="183"/>
      <c r="CK58" s="183"/>
      <c r="CL58" s="184"/>
      <c r="CM58" s="35"/>
      <c r="CN58" s="149" t="s">
        <v>5</v>
      </c>
      <c r="CO58" s="149"/>
      <c r="CP58" s="149"/>
      <c r="CQ58" s="143"/>
      <c r="CR58" s="143"/>
      <c r="CS58" s="143"/>
      <c r="CT58" s="143"/>
      <c r="CU58" s="143"/>
      <c r="CV58" s="143"/>
      <c r="CW58" s="143"/>
      <c r="CX58" s="32"/>
      <c r="CY58" s="32"/>
      <c r="CZ58" s="137"/>
      <c r="DA58" s="137"/>
      <c r="DB58" s="32"/>
      <c r="DC58" s="147" t="s">
        <v>6</v>
      </c>
      <c r="DD58" s="40"/>
    </row>
    <row r="59" spans="1:108" ht="6.75" customHeight="1">
      <c r="A59" s="166"/>
      <c r="B59" s="170"/>
      <c r="C59" s="171"/>
      <c r="D59" s="171"/>
      <c r="E59" s="171"/>
      <c r="F59" s="171"/>
      <c r="G59" s="171"/>
      <c r="H59" s="171"/>
      <c r="I59" s="171"/>
      <c r="J59" s="171"/>
      <c r="K59" s="171"/>
      <c r="L59" s="171"/>
      <c r="M59" s="171"/>
      <c r="N59" s="171"/>
      <c r="O59" s="171"/>
      <c r="P59" s="172"/>
      <c r="Q59" s="187"/>
      <c r="R59" s="186"/>
      <c r="S59" s="186"/>
      <c r="T59" s="186"/>
      <c r="U59" s="186"/>
      <c r="V59" s="186"/>
      <c r="W59" s="186"/>
      <c r="X59" s="185"/>
      <c r="Y59" s="185"/>
      <c r="Z59" s="185"/>
      <c r="AA59" s="185"/>
      <c r="AB59" s="185"/>
      <c r="AC59" s="185"/>
      <c r="AD59" s="185"/>
      <c r="AE59" s="185"/>
      <c r="AF59" s="185"/>
      <c r="AG59" s="185"/>
      <c r="AH59" s="185"/>
      <c r="AI59" s="185"/>
      <c r="AJ59" s="184"/>
      <c r="AK59" s="35"/>
      <c r="AL59" s="149"/>
      <c r="AM59" s="149"/>
      <c r="AN59" s="149"/>
      <c r="AO59" s="144"/>
      <c r="AP59" s="144"/>
      <c r="AQ59" s="144"/>
      <c r="AR59" s="144"/>
      <c r="AS59" s="144"/>
      <c r="AT59" s="144"/>
      <c r="AU59" s="144"/>
      <c r="AV59" s="32"/>
      <c r="AW59" s="32"/>
      <c r="AX59" s="138"/>
      <c r="AY59" s="138"/>
      <c r="AZ59" s="32"/>
      <c r="BA59" s="147"/>
      <c r="BB59" s="40"/>
      <c r="BC59" s="166"/>
      <c r="BD59" s="170"/>
      <c r="BE59" s="171"/>
      <c r="BF59" s="171"/>
      <c r="BG59" s="171"/>
      <c r="BH59" s="171"/>
      <c r="BI59" s="171"/>
      <c r="BJ59" s="171"/>
      <c r="BK59" s="171"/>
      <c r="BL59" s="171"/>
      <c r="BM59" s="171"/>
      <c r="BN59" s="171"/>
      <c r="BO59" s="171"/>
      <c r="BP59" s="171"/>
      <c r="BQ59" s="171"/>
      <c r="BR59" s="172"/>
      <c r="BS59" s="180"/>
      <c r="BT59" s="228"/>
      <c r="BU59" s="228"/>
      <c r="BV59" s="228"/>
      <c r="BW59" s="228"/>
      <c r="BX59" s="228"/>
      <c r="BY59" s="228"/>
      <c r="BZ59" s="185"/>
      <c r="CA59" s="185"/>
      <c r="CB59" s="185"/>
      <c r="CC59" s="185"/>
      <c r="CD59" s="185"/>
      <c r="CE59" s="185"/>
      <c r="CF59" s="185"/>
      <c r="CG59" s="185"/>
      <c r="CH59" s="185"/>
      <c r="CI59" s="185"/>
      <c r="CJ59" s="185"/>
      <c r="CK59" s="185"/>
      <c r="CL59" s="184"/>
      <c r="CM59" s="35"/>
      <c r="CN59" s="149"/>
      <c r="CO59" s="149"/>
      <c r="CP59" s="149"/>
      <c r="CQ59" s="144"/>
      <c r="CR59" s="144"/>
      <c r="CS59" s="144"/>
      <c r="CT59" s="144"/>
      <c r="CU59" s="144"/>
      <c r="CV59" s="144"/>
      <c r="CW59" s="144"/>
      <c r="CX59" s="32"/>
      <c r="CY59" s="32"/>
      <c r="CZ59" s="138"/>
      <c r="DA59" s="138"/>
      <c r="DB59" s="32"/>
      <c r="DC59" s="147"/>
      <c r="DD59" s="40"/>
    </row>
    <row r="60" spans="1:108" ht="11.25" customHeight="1">
      <c r="A60" s="166"/>
      <c r="B60" s="170"/>
      <c r="C60" s="171"/>
      <c r="D60" s="171"/>
      <c r="E60" s="171"/>
      <c r="F60" s="171"/>
      <c r="G60" s="171"/>
      <c r="H60" s="171"/>
      <c r="I60" s="171"/>
      <c r="J60" s="171"/>
      <c r="K60" s="171"/>
      <c r="L60" s="171"/>
      <c r="M60" s="171"/>
      <c r="N60" s="171"/>
      <c r="O60" s="171"/>
      <c r="P60" s="172"/>
      <c r="Q60" s="177" t="s">
        <v>58</v>
      </c>
      <c r="R60" s="178"/>
      <c r="S60" s="178"/>
      <c r="T60" s="178"/>
      <c r="U60" s="179" t="str">
        <f>IF(ISBLANK('IN-ENG-27 1(2)'!U62),"",'IN-ENG-27 1(2)'!U62)</f>
        <v/>
      </c>
      <c r="V60" s="179"/>
      <c r="W60" s="179"/>
      <c r="X60" s="179"/>
      <c r="Y60" s="87"/>
      <c r="Z60" s="88" t="s">
        <v>59</v>
      </c>
      <c r="AA60" s="179" t="str">
        <f>IF(ISBLANK('IN-ENG-27 1(2)'!AA62),"",'IN-ENG-27 1(2)'!AA62)</f>
        <v/>
      </c>
      <c r="AB60" s="179"/>
      <c r="AC60" s="179"/>
      <c r="AD60" s="88"/>
      <c r="AE60" s="99" t="s">
        <v>60</v>
      </c>
      <c r="AF60" s="179" t="str">
        <f>IF(ISBLANK('IN-ENG-27 1(2)'!AF62),"",'IN-ENG-27 1(2)'!AF62)</f>
        <v/>
      </c>
      <c r="AG60" s="179"/>
      <c r="AH60" s="179"/>
      <c r="AI60" s="87"/>
      <c r="AJ60" s="89"/>
      <c r="AK60" s="35"/>
      <c r="AL60" s="149" t="s">
        <v>3</v>
      </c>
      <c r="AM60" s="149"/>
      <c r="AN60" s="149"/>
      <c r="AO60" s="144"/>
      <c r="AP60" s="144"/>
      <c r="AQ60" s="144"/>
      <c r="AR60" s="144"/>
      <c r="AS60" s="144"/>
      <c r="AT60" s="144"/>
      <c r="AU60" s="144"/>
      <c r="AV60" s="144"/>
      <c r="AW60" s="144"/>
      <c r="AX60" s="144"/>
      <c r="AY60" s="144"/>
      <c r="AZ60" s="32"/>
      <c r="BA60" s="147"/>
      <c r="BB60" s="40"/>
      <c r="BC60" s="166"/>
      <c r="BD60" s="170"/>
      <c r="BE60" s="171"/>
      <c r="BF60" s="171"/>
      <c r="BG60" s="171"/>
      <c r="BH60" s="171"/>
      <c r="BI60" s="171"/>
      <c r="BJ60" s="171"/>
      <c r="BK60" s="171"/>
      <c r="BL60" s="171"/>
      <c r="BM60" s="171"/>
      <c r="BN60" s="171"/>
      <c r="BO60" s="171"/>
      <c r="BP60" s="171"/>
      <c r="BQ60" s="171"/>
      <c r="BR60" s="172"/>
      <c r="BS60" s="177" t="s">
        <v>58</v>
      </c>
      <c r="BT60" s="178"/>
      <c r="BU60" s="178"/>
      <c r="BV60" s="178"/>
      <c r="BW60" s="253" t="str">
        <f>IF(ISBLANK(U60),"",U60)</f>
        <v/>
      </c>
      <c r="BX60" s="253"/>
      <c r="BY60" s="253"/>
      <c r="BZ60" s="253"/>
      <c r="CA60" s="87"/>
      <c r="CB60" s="88" t="s">
        <v>59</v>
      </c>
      <c r="CC60" s="253" t="str">
        <f>IF(ISBLANK(AA60),"",AA60)</f>
        <v/>
      </c>
      <c r="CD60" s="253"/>
      <c r="CE60" s="253"/>
      <c r="CF60" s="88"/>
      <c r="CG60" s="99" t="s">
        <v>60</v>
      </c>
      <c r="CH60" s="253" t="str">
        <f>IF(ISBLANK(AF60),"",AF60)</f>
        <v/>
      </c>
      <c r="CI60" s="253"/>
      <c r="CJ60" s="253"/>
      <c r="CK60" s="87"/>
      <c r="CL60" s="89"/>
      <c r="CM60" s="35"/>
      <c r="CN60" s="149" t="s">
        <v>3</v>
      </c>
      <c r="CO60" s="149"/>
      <c r="CP60" s="149"/>
      <c r="CQ60" s="144"/>
      <c r="CR60" s="144"/>
      <c r="CS60" s="144"/>
      <c r="CT60" s="144"/>
      <c r="CU60" s="144"/>
      <c r="CV60" s="144"/>
      <c r="CW60" s="144"/>
      <c r="CX60" s="144"/>
      <c r="CY60" s="144"/>
      <c r="CZ60" s="144"/>
      <c r="DA60" s="144"/>
      <c r="DB60" s="32"/>
      <c r="DC60" s="147"/>
      <c r="DD60" s="40"/>
    </row>
    <row r="61" spans="1:108" ht="3.75" customHeight="1" thickBot="1">
      <c r="A61" s="166"/>
      <c r="B61" s="173"/>
      <c r="C61" s="174"/>
      <c r="D61" s="174"/>
      <c r="E61" s="174"/>
      <c r="F61" s="174"/>
      <c r="G61" s="174"/>
      <c r="H61" s="174"/>
      <c r="I61" s="174"/>
      <c r="J61" s="174"/>
      <c r="K61" s="174"/>
      <c r="L61" s="174"/>
      <c r="M61" s="174"/>
      <c r="N61" s="174"/>
      <c r="O61" s="174"/>
      <c r="P61" s="175"/>
      <c r="Q61" s="41"/>
      <c r="R61" s="42"/>
      <c r="S61" s="42"/>
      <c r="T61" s="42"/>
      <c r="U61" s="42"/>
      <c r="V61" s="42"/>
      <c r="W61" s="42"/>
      <c r="X61" s="42"/>
      <c r="Y61" s="42"/>
      <c r="Z61" s="42"/>
      <c r="AA61" s="42"/>
      <c r="AB61" s="42"/>
      <c r="AC61" s="42"/>
      <c r="AD61" s="42"/>
      <c r="AE61" s="42"/>
      <c r="AF61" s="42"/>
      <c r="AG61" s="42"/>
      <c r="AH61" s="42"/>
      <c r="AI61" s="42"/>
      <c r="AJ61" s="43"/>
      <c r="AK61" s="41"/>
      <c r="AL61" s="42"/>
      <c r="AM61" s="42"/>
      <c r="AN61" s="42"/>
      <c r="AO61" s="42"/>
      <c r="AP61" s="42"/>
      <c r="AQ61" s="42"/>
      <c r="AR61" s="42"/>
      <c r="AS61" s="42"/>
      <c r="AT61" s="42"/>
      <c r="AU61" s="44"/>
      <c r="AV61" s="42"/>
      <c r="AW61" s="42"/>
      <c r="AX61" s="42"/>
      <c r="AY61" s="42"/>
      <c r="AZ61" s="42"/>
      <c r="BA61" s="148"/>
      <c r="BB61" s="45"/>
      <c r="BC61" s="166"/>
      <c r="BD61" s="173"/>
      <c r="BE61" s="174"/>
      <c r="BF61" s="174"/>
      <c r="BG61" s="174"/>
      <c r="BH61" s="174"/>
      <c r="BI61" s="174"/>
      <c r="BJ61" s="174"/>
      <c r="BK61" s="174"/>
      <c r="BL61" s="174"/>
      <c r="BM61" s="174"/>
      <c r="BN61" s="174"/>
      <c r="BO61" s="174"/>
      <c r="BP61" s="174"/>
      <c r="BQ61" s="174"/>
      <c r="BR61" s="175"/>
      <c r="BS61" s="41"/>
      <c r="BT61" s="42"/>
      <c r="BU61" s="42"/>
      <c r="BV61" s="42"/>
      <c r="BW61" s="42"/>
      <c r="BX61" s="42"/>
      <c r="BY61" s="42"/>
      <c r="BZ61" s="42"/>
      <c r="CA61" s="42"/>
      <c r="CB61" s="42"/>
      <c r="CC61" s="42"/>
      <c r="CD61" s="42"/>
      <c r="CE61" s="42"/>
      <c r="CF61" s="42"/>
      <c r="CG61" s="42"/>
      <c r="CH61" s="42"/>
      <c r="CI61" s="42"/>
      <c r="CJ61" s="42"/>
      <c r="CK61" s="42"/>
      <c r="CL61" s="43"/>
      <c r="CM61" s="41"/>
      <c r="CN61" s="42"/>
      <c r="CO61" s="42"/>
      <c r="CP61" s="42"/>
      <c r="CQ61" s="42"/>
      <c r="CR61" s="42"/>
      <c r="CS61" s="42"/>
      <c r="CT61" s="42"/>
      <c r="CU61" s="42"/>
      <c r="CV61" s="42"/>
      <c r="CW61" s="44"/>
      <c r="CX61" s="42"/>
      <c r="CY61" s="42"/>
      <c r="CZ61" s="42"/>
      <c r="DA61" s="42"/>
      <c r="DB61" s="42"/>
      <c r="DC61" s="148"/>
      <c r="DD61" s="45"/>
    </row>
    <row r="62" spans="1:108" ht="9" customHeight="1">
      <c r="AU62" s="2"/>
    </row>
  </sheetData>
  <mergeCells count="63">
    <mergeCell ref="A42:A61"/>
    <mergeCell ref="B51:P61"/>
    <mergeCell ref="Q51:AJ53"/>
    <mergeCell ref="AO51:AU53"/>
    <mergeCell ref="Q54:U55"/>
    <mergeCell ref="V54:AI55"/>
    <mergeCell ref="AO54:AU55"/>
    <mergeCell ref="Q58:W59"/>
    <mergeCell ref="X58:AJ59"/>
    <mergeCell ref="AL58:AN59"/>
    <mergeCell ref="BA56:BA57"/>
    <mergeCell ref="AX51:AY51"/>
    <mergeCell ref="AL52:AN53"/>
    <mergeCell ref="AX52:AY53"/>
    <mergeCell ref="BA52:BA53"/>
    <mergeCell ref="AX54:AY55"/>
    <mergeCell ref="BA54:BA55"/>
    <mergeCell ref="AO60:AY60"/>
    <mergeCell ref="Q56:U57"/>
    <mergeCell ref="V56:AI57"/>
    <mergeCell ref="AL56:AN57"/>
    <mergeCell ref="AO56:AU57"/>
    <mergeCell ref="AX56:AY57"/>
    <mergeCell ref="DC54:DC55"/>
    <mergeCell ref="BS51:CL53"/>
    <mergeCell ref="AO58:AU59"/>
    <mergeCell ref="AX58:AY59"/>
    <mergeCell ref="BA58:BA61"/>
    <mergeCell ref="Q60:T60"/>
    <mergeCell ref="U60:X60"/>
    <mergeCell ref="AA60:AC60"/>
    <mergeCell ref="AF60:AH60"/>
    <mergeCell ref="AL60:AN60"/>
    <mergeCell ref="CQ56:CW57"/>
    <mergeCell ref="CZ56:DA57"/>
    <mergeCell ref="BC42:BC61"/>
    <mergeCell ref="BD51:BR61"/>
    <mergeCell ref="BG32:DC49"/>
    <mergeCell ref="DC52:DC53"/>
    <mergeCell ref="BS54:BW55"/>
    <mergeCell ref="BX54:CK55"/>
    <mergeCell ref="CQ54:CW55"/>
    <mergeCell ref="CZ54:DA55"/>
    <mergeCell ref="BS60:BV60"/>
    <mergeCell ref="BW60:BZ60"/>
    <mergeCell ref="CC60:CE60"/>
    <mergeCell ref="CQ51:CW53"/>
    <mergeCell ref="CZ51:DA51"/>
    <mergeCell ref="CN52:CP53"/>
    <mergeCell ref="CZ52:DA53"/>
    <mergeCell ref="BS56:BW57"/>
    <mergeCell ref="BX56:CK57"/>
    <mergeCell ref="CN56:CP57"/>
    <mergeCell ref="CH60:CJ60"/>
    <mergeCell ref="CN60:CP60"/>
    <mergeCell ref="CQ60:DA60"/>
    <mergeCell ref="DC56:DC57"/>
    <mergeCell ref="BS58:BY59"/>
    <mergeCell ref="BZ58:CL59"/>
    <mergeCell ref="CN58:CP59"/>
    <mergeCell ref="CQ58:CW59"/>
    <mergeCell ref="CZ58:DA59"/>
    <mergeCell ref="DC58:DC61"/>
  </mergeCells>
  <phoneticPr fontId="23" type="noConversion"/>
  <conditionalFormatting sqref="BA56:BA57 BA52:BA53">
    <cfRule type="containsBlanks" dxfId="1" priority="1" stopIfTrue="1">
      <formula>LEN(TRIM(BA52))=0</formula>
    </cfRule>
  </conditionalFormatting>
  <pageMargins left="0.7" right="0.33" top="0.33" bottom="0.33" header="0.5" footer="0.5"/>
  <pageSetup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IN-ENG-27 1(2)</vt:lpstr>
      <vt:lpstr>IN-ENG-27 2(2)</vt:lpstr>
      <vt:lpstr>Con Spec CMP </vt:lpstr>
      <vt:lpstr>'Con Spec CMP '!OLE_LINK9</vt:lpstr>
    </vt:vector>
  </TitlesOfParts>
  <Company>USDA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 Clarizia</dc:creator>
  <cp:lastModifiedBy>Andrew.Pursifull</cp:lastModifiedBy>
  <cp:lastPrinted>2004-03-02T14:22:43Z</cp:lastPrinted>
  <dcterms:created xsi:type="dcterms:W3CDTF">2003-02-19T18:00:02Z</dcterms:created>
  <dcterms:modified xsi:type="dcterms:W3CDTF">2013-01-15T13:21:27Z</dcterms:modified>
</cp:coreProperties>
</file>