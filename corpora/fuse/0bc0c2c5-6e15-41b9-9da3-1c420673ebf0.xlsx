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090" yWindow="165" windowWidth="13560" windowHeight="13830"/>
  </bookViews>
  <sheets>
    <sheet name="Worksheet Instructions" sheetId="22" r:id="rId1"/>
    <sheet name="TEMPLATE-Figure 1 Amounts" sheetId="18" r:id="rId2"/>
    <sheet name="Figures 1,2,4-Weighted" sheetId="21" r:id="rId3"/>
    <sheet name="Report Figures 1,3,5,6" sheetId="23" r:id="rId4"/>
    <sheet name="#s for Report-State" sheetId="15" r:id="rId5"/>
    <sheet name="#s for Report-Maricopa County" sheetId="17" r:id="rId6"/>
    <sheet name="Charter &amp; District Data" sheetId="16" r:id="rId7"/>
    <sheet name="County Revenue Sources" sheetId="11" r:id="rId8"/>
    <sheet name="County Valuations &amp; Other" sheetId="12" r:id="rId9"/>
  </sheets>
  <externalReferences>
    <externalReference r:id="rId10"/>
    <externalReference r:id="rId11"/>
  </externalReferences>
  <definedNames>
    <definedName name="_xlnm.Print_Area" localSheetId="5">'#s for Report-Maricopa County'!$B$3:$N$39</definedName>
    <definedName name="_xlnm.Print_Area" localSheetId="4">'#s for Report-State'!$B$3:$N$62</definedName>
    <definedName name="_xlnm.Print_Area" localSheetId="6">'Charter &amp; District Data'!$T$5:$AF$13</definedName>
    <definedName name="_xlnm.Print_Area" localSheetId="7">'County Revenue Sources'!$A$1:$Q$30</definedName>
    <definedName name="_xlnm.Print_Area" localSheetId="8">'County Valuations &amp; Other'!$A$1:$P$31</definedName>
    <definedName name="_xlnm.Print_Area" localSheetId="0">'Worksheet Instructions'!$B$2:$B$20</definedName>
    <definedName name="_xlnm.Print_Titles" localSheetId="5">'#s for Report-Maricopa County'!$20:$20</definedName>
    <definedName name="_xlnm.Print_Titles" localSheetId="4">'#s for Report-State'!$4:$7</definedName>
  </definedNames>
  <calcPr calcId="125725"/>
</workbook>
</file>

<file path=xl/calcChain.xml><?xml version="1.0" encoding="utf-8"?>
<calcChain xmlns="http://schemas.openxmlformats.org/spreadsheetml/2006/main">
  <c r="D34" i="23"/>
  <c r="C34"/>
  <c r="N50" i="21" l="1"/>
  <c r="M50"/>
  <c r="L50"/>
  <c r="K50"/>
  <c r="G31"/>
  <c r="F31"/>
  <c r="C31"/>
  <c r="E31" s="1"/>
  <c r="B31"/>
  <c r="G30"/>
  <c r="F30"/>
  <c r="C30"/>
  <c r="E30" s="1"/>
  <c r="B30"/>
  <c r="G29"/>
  <c r="F29"/>
  <c r="C29"/>
  <c r="E29" s="1"/>
  <c r="B29"/>
  <c r="G28"/>
  <c r="G36" s="1"/>
  <c r="F28"/>
  <c r="F36" s="1"/>
  <c r="C28"/>
  <c r="C36" s="1"/>
  <c r="B28"/>
  <c r="B36" s="1"/>
  <c r="F24"/>
  <c r="B24"/>
  <c r="F22"/>
  <c r="B22"/>
  <c r="F20"/>
  <c r="B20"/>
  <c r="L19"/>
  <c r="K19"/>
  <c r="J19"/>
  <c r="F18"/>
  <c r="B18"/>
  <c r="F16"/>
  <c r="B16"/>
  <c r="B17" s="1"/>
  <c r="D14"/>
  <c r="D31" s="1"/>
  <c r="E13"/>
  <c r="G12"/>
  <c r="M53" s="1"/>
  <c r="F12"/>
  <c r="M52" s="1"/>
  <c r="C12"/>
  <c r="M51" s="1"/>
  <c r="B12"/>
  <c r="M49" s="1"/>
  <c r="G11"/>
  <c r="L53" s="1"/>
  <c r="F11"/>
  <c r="L52" s="1"/>
  <c r="C11"/>
  <c r="L51" s="1"/>
  <c r="B11"/>
  <c r="L49" s="1"/>
  <c r="G10"/>
  <c r="K53" s="1"/>
  <c r="F10"/>
  <c r="K52" s="1"/>
  <c r="E10"/>
  <c r="C10"/>
  <c r="K51" s="1"/>
  <c r="B10"/>
  <c r="K49" s="1"/>
  <c r="G9"/>
  <c r="J53" s="1"/>
  <c r="F9"/>
  <c r="J52" s="1"/>
  <c r="D9"/>
  <c r="J50" s="1"/>
  <c r="C9"/>
  <c r="J51" s="1"/>
  <c r="B9"/>
  <c r="F5"/>
  <c r="K20" s="1"/>
  <c r="B5"/>
  <c r="K18" s="1"/>
  <c r="F4"/>
  <c r="J20" s="1"/>
  <c r="B4"/>
  <c r="J18" s="1"/>
  <c r="AC267" i="16"/>
  <c r="AB267"/>
  <c r="AA267"/>
  <c r="Z267"/>
  <c r="AE267"/>
  <c r="AG267"/>
  <c r="AF267" s="1"/>
  <c r="M17" i="17"/>
  <c r="L17"/>
  <c r="K17"/>
  <c r="J17"/>
  <c r="I17" s="1"/>
  <c r="H17"/>
  <c r="G17"/>
  <c r="G11"/>
  <c r="H11"/>
  <c r="M11"/>
  <c r="M22" s="1"/>
  <c r="L11"/>
  <c r="K11"/>
  <c r="K22" s="1"/>
  <c r="J11"/>
  <c r="T267" i="16"/>
  <c r="T201"/>
  <c r="I14" i="17"/>
  <c r="I8"/>
  <c r="I8" i="15"/>
  <c r="M38"/>
  <c r="L38"/>
  <c r="K38"/>
  <c r="J38"/>
  <c r="H38"/>
  <c r="B18" i="18" s="1"/>
  <c r="G38" i="15"/>
  <c r="B20" i="18" s="1"/>
  <c r="I34" i="15"/>
  <c r="M31"/>
  <c r="M43" s="1"/>
  <c r="K31"/>
  <c r="J31"/>
  <c r="J32" s="1"/>
  <c r="H29"/>
  <c r="H31" s="1"/>
  <c r="L26"/>
  <c r="L23"/>
  <c r="L11"/>
  <c r="L20"/>
  <c r="L17"/>
  <c r="L14"/>
  <c r="AE201" i="16"/>
  <c r="Z201"/>
  <c r="AA201"/>
  <c r="AB201"/>
  <c r="AC201"/>
  <c r="AD266"/>
  <c r="AD265"/>
  <c r="AD264"/>
  <c r="AD263"/>
  <c r="AD262"/>
  <c r="AD261"/>
  <c r="AD260"/>
  <c r="AD259"/>
  <c r="AD258"/>
  <c r="AD257"/>
  <c r="AD256"/>
  <c r="AD255"/>
  <c r="AD254"/>
  <c r="AD253"/>
  <c r="AD252"/>
  <c r="AD251"/>
  <c r="AD250"/>
  <c r="AD249"/>
  <c r="AD248"/>
  <c r="AD247"/>
  <c r="AD246"/>
  <c r="AD245"/>
  <c r="AD244"/>
  <c r="AD243"/>
  <c r="AD242"/>
  <c r="AD241"/>
  <c r="AD240"/>
  <c r="AD239"/>
  <c r="AD238"/>
  <c r="AD237"/>
  <c r="AD236"/>
  <c r="AD235"/>
  <c r="AD234"/>
  <c r="AD233"/>
  <c r="AD232"/>
  <c r="AD231"/>
  <c r="AD230"/>
  <c r="AD229"/>
  <c r="AD228"/>
  <c r="AD227"/>
  <c r="AD226"/>
  <c r="AD225"/>
  <c r="AD224"/>
  <c r="AD223"/>
  <c r="AD222"/>
  <c r="AD221"/>
  <c r="AD220"/>
  <c r="AD219"/>
  <c r="AD218"/>
  <c r="AD217"/>
  <c r="AD216"/>
  <c r="AD215"/>
  <c r="AD214"/>
  <c r="AD213"/>
  <c r="AD212"/>
  <c r="AD211"/>
  <c r="AD210"/>
  <c r="AD209"/>
  <c r="AD200"/>
  <c r="AD199"/>
  <c r="AD198"/>
  <c r="AD197"/>
  <c r="AD196"/>
  <c r="AD195"/>
  <c r="AD194"/>
  <c r="AD193"/>
  <c r="AD192"/>
  <c r="AD191"/>
  <c r="AD190"/>
  <c r="AD189"/>
  <c r="AD188"/>
  <c r="AD187"/>
  <c r="AD186"/>
  <c r="AD185"/>
  <c r="AD184"/>
  <c r="AD183"/>
  <c r="AD182"/>
  <c r="AD181"/>
  <c r="AD180"/>
  <c r="AD179"/>
  <c r="AD178"/>
  <c r="AD177"/>
  <c r="AD176"/>
  <c r="AD175"/>
  <c r="AD174"/>
  <c r="AD173"/>
  <c r="AD172"/>
  <c r="AD171"/>
  <c r="AD170"/>
  <c r="AD169"/>
  <c r="AD168"/>
  <c r="AD167"/>
  <c r="AD166"/>
  <c r="AD165"/>
  <c r="AD164"/>
  <c r="AD163"/>
  <c r="AD162"/>
  <c r="AD161"/>
  <c r="AD160"/>
  <c r="AD159"/>
  <c r="AD158"/>
  <c r="AD157"/>
  <c r="AD156"/>
  <c r="AD155"/>
  <c r="AD154"/>
  <c r="AD153"/>
  <c r="AD152"/>
  <c r="AD151"/>
  <c r="AD150"/>
  <c r="AD149"/>
  <c r="AD148"/>
  <c r="AD147"/>
  <c r="AD146"/>
  <c r="AD145"/>
  <c r="AD144"/>
  <c r="AD143"/>
  <c r="AD142"/>
  <c r="AD141"/>
  <c r="AD140"/>
  <c r="AD139"/>
  <c r="AD138"/>
  <c r="AD137"/>
  <c r="AD136"/>
  <c r="AD135"/>
  <c r="AD134"/>
  <c r="AD133"/>
  <c r="AD132"/>
  <c r="AD131"/>
  <c r="AD130"/>
  <c r="AD129"/>
  <c r="AD128"/>
  <c r="AD127"/>
  <c r="AD126"/>
  <c r="AD125"/>
  <c r="AD124"/>
  <c r="AD123"/>
  <c r="AD122"/>
  <c r="AD121"/>
  <c r="AD120"/>
  <c r="AD119"/>
  <c r="AD118"/>
  <c r="AD117"/>
  <c r="AD116"/>
  <c r="AD115"/>
  <c r="AD114"/>
  <c r="AD113"/>
  <c r="AD112"/>
  <c r="AD111"/>
  <c r="AD110"/>
  <c r="AD109"/>
  <c r="AD108"/>
  <c r="AD107"/>
  <c r="AD106"/>
  <c r="AD105"/>
  <c r="AD104"/>
  <c r="AD103"/>
  <c r="AD102"/>
  <c r="AD101"/>
  <c r="AD100"/>
  <c r="AD99"/>
  <c r="AD98"/>
  <c r="AD97"/>
  <c r="AD96"/>
  <c r="AD95"/>
  <c r="AD94"/>
  <c r="AD93"/>
  <c r="AD92"/>
  <c r="AD91"/>
  <c r="AD90"/>
  <c r="AD89"/>
  <c r="AD88"/>
  <c r="AD87"/>
  <c r="AD86"/>
  <c r="AD85"/>
  <c r="AD84"/>
  <c r="AD83"/>
  <c r="AD82"/>
  <c r="AD81"/>
  <c r="AD80"/>
  <c r="AD79"/>
  <c r="AD78"/>
  <c r="AD77"/>
  <c r="AD76"/>
  <c r="AD75"/>
  <c r="AD74"/>
  <c r="AD73"/>
  <c r="AD72"/>
  <c r="AD71"/>
  <c r="AD70"/>
  <c r="AD69"/>
  <c r="AD68"/>
  <c r="AD67"/>
  <c r="AD66"/>
  <c r="AD65"/>
  <c r="AD64"/>
  <c r="AD63"/>
  <c r="AD62"/>
  <c r="AD61"/>
  <c r="AD60"/>
  <c r="AD59"/>
  <c r="AD58"/>
  <c r="AD57"/>
  <c r="AD56"/>
  <c r="AD55"/>
  <c r="AD54"/>
  <c r="AD53"/>
  <c r="AD52"/>
  <c r="AD51"/>
  <c r="AD50"/>
  <c r="AD49"/>
  <c r="AD48"/>
  <c r="AD47"/>
  <c r="AD46"/>
  <c r="AD45"/>
  <c r="AD44"/>
  <c r="AD43"/>
  <c r="AD42"/>
  <c r="AD41"/>
  <c r="AD40"/>
  <c r="AD39"/>
  <c r="AD38"/>
  <c r="AD37"/>
  <c r="AD36"/>
  <c r="AD34"/>
  <c r="AD33"/>
  <c r="AD32"/>
  <c r="AD31"/>
  <c r="AD30"/>
  <c r="AD29"/>
  <c r="AD28"/>
  <c r="AD27"/>
  <c r="AD26"/>
  <c r="AD25"/>
  <c r="AD23"/>
  <c r="AD22"/>
  <c r="AD21"/>
  <c r="AD20"/>
  <c r="AD19"/>
  <c r="AD18"/>
  <c r="AD17"/>
  <c r="AD16"/>
  <c r="AD15"/>
  <c r="AD14"/>
  <c r="AD13"/>
  <c r="AD12"/>
  <c r="AD11"/>
  <c r="AD10"/>
  <c r="AD9"/>
  <c r="AD8"/>
  <c r="AD7"/>
  <c r="O9" i="12"/>
  <c r="O20"/>
  <c r="O15"/>
  <c r="O11"/>
  <c r="O12"/>
  <c r="O18"/>
  <c r="O8"/>
  <c r="O16"/>
  <c r="O19"/>
  <c r="O23"/>
  <c r="O10"/>
  <c r="O21"/>
  <c r="O13"/>
  <c r="O14"/>
  <c r="O22"/>
  <c r="O17"/>
  <c r="L9"/>
  <c r="L20"/>
  <c r="L15"/>
  <c r="L11"/>
  <c r="L12"/>
  <c r="L18"/>
  <c r="L8"/>
  <c r="L16"/>
  <c r="L19"/>
  <c r="L23"/>
  <c r="L10"/>
  <c r="L21"/>
  <c r="L13"/>
  <c r="L14"/>
  <c r="L22"/>
  <c r="L17"/>
  <c r="H7"/>
  <c r="G7"/>
  <c r="H23"/>
  <c r="G23"/>
  <c r="E23"/>
  <c r="H22"/>
  <c r="G22"/>
  <c r="E22"/>
  <c r="H21"/>
  <c r="G21"/>
  <c r="E21"/>
  <c r="H20"/>
  <c r="G20"/>
  <c r="E20"/>
  <c r="H19"/>
  <c r="G19"/>
  <c r="E19"/>
  <c r="H18"/>
  <c r="G18"/>
  <c r="E18"/>
  <c r="H17"/>
  <c r="G17"/>
  <c r="E17"/>
  <c r="H16"/>
  <c r="G16"/>
  <c r="E16"/>
  <c r="H15"/>
  <c r="G15"/>
  <c r="E15"/>
  <c r="H14"/>
  <c r="G14"/>
  <c r="E14"/>
  <c r="H13"/>
  <c r="G13"/>
  <c r="E13"/>
  <c r="H12"/>
  <c r="G12"/>
  <c r="E12"/>
  <c r="H11"/>
  <c r="G11"/>
  <c r="E11"/>
  <c r="H10"/>
  <c r="G10"/>
  <c r="E10"/>
  <c r="H9"/>
  <c r="G9"/>
  <c r="E9"/>
  <c r="Q23" i="11"/>
  <c r="N23"/>
  <c r="K23"/>
  <c r="H23"/>
  <c r="C23"/>
  <c r="E23" s="1"/>
  <c r="Q22"/>
  <c r="N22"/>
  <c r="K22"/>
  <c r="H22"/>
  <c r="C22"/>
  <c r="Q21"/>
  <c r="N21"/>
  <c r="K21"/>
  <c r="H21"/>
  <c r="C21"/>
  <c r="E21" s="1"/>
  <c r="Q20"/>
  <c r="N20"/>
  <c r="K20"/>
  <c r="H20"/>
  <c r="C20"/>
  <c r="Q19"/>
  <c r="N19"/>
  <c r="K19"/>
  <c r="H19"/>
  <c r="C19"/>
  <c r="G19" s="1"/>
  <c r="Q18"/>
  <c r="N18"/>
  <c r="K18"/>
  <c r="H18"/>
  <c r="C18"/>
  <c r="Q17"/>
  <c r="N17"/>
  <c r="K17"/>
  <c r="H17"/>
  <c r="C17"/>
  <c r="E17" s="1"/>
  <c r="Q16"/>
  <c r="N16"/>
  <c r="K16"/>
  <c r="H16"/>
  <c r="C16"/>
  <c r="E16" s="1"/>
  <c r="Q15"/>
  <c r="N15"/>
  <c r="K15"/>
  <c r="H15"/>
  <c r="C15"/>
  <c r="Q14"/>
  <c r="N14"/>
  <c r="K14"/>
  <c r="H14"/>
  <c r="C14"/>
  <c r="G14" s="1"/>
  <c r="Q13"/>
  <c r="N13"/>
  <c r="K13"/>
  <c r="H13"/>
  <c r="C13"/>
  <c r="Q12"/>
  <c r="N12"/>
  <c r="K12"/>
  <c r="H12"/>
  <c r="C12"/>
  <c r="E12" s="1"/>
  <c r="Q11"/>
  <c r="N11"/>
  <c r="K11"/>
  <c r="H11"/>
  <c r="C11"/>
  <c r="Q10"/>
  <c r="N10"/>
  <c r="K10"/>
  <c r="H10"/>
  <c r="C10"/>
  <c r="G10" s="1"/>
  <c r="Q9"/>
  <c r="N9"/>
  <c r="K9"/>
  <c r="H9"/>
  <c r="C9"/>
  <c r="E9"/>
  <c r="L12" i="17"/>
  <c r="L30" s="1"/>
  <c r="M18"/>
  <c r="L18"/>
  <c r="J18"/>
  <c r="H21"/>
  <c r="J12"/>
  <c r="J30" s="1"/>
  <c r="M12"/>
  <c r="D9" i="18" s="1"/>
  <c r="J43" i="15"/>
  <c r="K43"/>
  <c r="K47"/>
  <c r="J39"/>
  <c r="K39"/>
  <c r="M39"/>
  <c r="I38"/>
  <c r="L29"/>
  <c r="L31" s="1"/>
  <c r="AD201" i="16"/>
  <c r="AF201" s="1"/>
  <c r="E13" i="11"/>
  <c r="E11"/>
  <c r="E15"/>
  <c r="E19"/>
  <c r="G9"/>
  <c r="J9"/>
  <c r="M9"/>
  <c r="P9"/>
  <c r="E10"/>
  <c r="G11"/>
  <c r="J11"/>
  <c r="M11"/>
  <c r="P11"/>
  <c r="G13"/>
  <c r="J13"/>
  <c r="M13"/>
  <c r="P13"/>
  <c r="E14"/>
  <c r="G15"/>
  <c r="J15"/>
  <c r="M15"/>
  <c r="P15"/>
  <c r="G17"/>
  <c r="M17"/>
  <c r="E18"/>
  <c r="J19"/>
  <c r="P19"/>
  <c r="E20"/>
  <c r="G21"/>
  <c r="M21"/>
  <c r="E22"/>
  <c r="J23"/>
  <c r="P23"/>
  <c r="J10"/>
  <c r="P10"/>
  <c r="J12"/>
  <c r="P12"/>
  <c r="J14"/>
  <c r="P14"/>
  <c r="J16"/>
  <c r="P16"/>
  <c r="G18"/>
  <c r="J18"/>
  <c r="M18"/>
  <c r="P18"/>
  <c r="G20"/>
  <c r="J20"/>
  <c r="M20"/>
  <c r="P20"/>
  <c r="G22"/>
  <c r="J22"/>
  <c r="M22"/>
  <c r="P22"/>
  <c r="M30" i="17"/>
  <c r="J29"/>
  <c r="L29"/>
  <c r="H24"/>
  <c r="J48" i="15"/>
  <c r="K40"/>
  <c r="K48"/>
  <c r="M40"/>
  <c r="I39"/>
  <c r="B5" i="18" s="1"/>
  <c r="I18" s="1"/>
  <c r="J47" i="15"/>
  <c r="J49" s="1"/>
  <c r="L22" i="17" l="1"/>
  <c r="L26" s="1"/>
  <c r="D16" i="18"/>
  <c r="D20"/>
  <c r="J40" i="15"/>
  <c r="L39"/>
  <c r="K49"/>
  <c r="B19" i="21"/>
  <c r="F26"/>
  <c r="F23" s="1"/>
  <c r="B14"/>
  <c r="E12"/>
  <c r="F35"/>
  <c r="F19"/>
  <c r="B23"/>
  <c r="B26"/>
  <c r="F6"/>
  <c r="E9"/>
  <c r="E11"/>
  <c r="C14"/>
  <c r="E14" s="1"/>
  <c r="G14"/>
  <c r="F17"/>
  <c r="B25"/>
  <c r="D28"/>
  <c r="D29"/>
  <c r="D30"/>
  <c r="B35"/>
  <c r="J49"/>
  <c r="B6"/>
  <c r="F14"/>
  <c r="F25"/>
  <c r="E28"/>
  <c r="AD267" i="16"/>
  <c r="L32" i="15"/>
  <c r="I31"/>
  <c r="H51" i="18"/>
  <c r="J51" i="15"/>
  <c r="B11" i="18"/>
  <c r="J49" s="1"/>
  <c r="J50" i="15"/>
  <c r="M47"/>
  <c r="M48"/>
  <c r="C30" i="18"/>
  <c r="C10"/>
  <c r="I50" s="1"/>
  <c r="L52" i="15"/>
  <c r="K27" i="17"/>
  <c r="K26"/>
  <c r="M27"/>
  <c r="M26"/>
  <c r="H42" i="15"/>
  <c r="H46" s="1"/>
  <c r="K32"/>
  <c r="B16" i="18"/>
  <c r="B17" s="1"/>
  <c r="H45" i="15"/>
  <c r="M32"/>
  <c r="I18" i="17"/>
  <c r="D24" i="18"/>
  <c r="K19" i="17"/>
  <c r="M19"/>
  <c r="I11"/>
  <c r="C9" i="18"/>
  <c r="C11"/>
  <c r="J50" s="1"/>
  <c r="D10"/>
  <c r="I51" s="1"/>
  <c r="E10"/>
  <c r="I52" s="1"/>
  <c r="B24"/>
  <c r="C31"/>
  <c r="D11"/>
  <c r="J51" s="1"/>
  <c r="J33" i="15"/>
  <c r="J52"/>
  <c r="L40"/>
  <c r="I40" s="1"/>
  <c r="L43"/>
  <c r="L27" i="17"/>
  <c r="M29"/>
  <c r="J19"/>
  <c r="L19"/>
  <c r="K13"/>
  <c r="M16" i="11"/>
  <c r="G16"/>
  <c r="M14"/>
  <c r="M12"/>
  <c r="G12"/>
  <c r="M10"/>
  <c r="M23"/>
  <c r="G23"/>
  <c r="P21"/>
  <c r="J21"/>
  <c r="M19"/>
  <c r="P17"/>
  <c r="J17"/>
  <c r="M52" i="15"/>
  <c r="K52"/>
  <c r="J22" i="17"/>
  <c r="K12"/>
  <c r="H25"/>
  <c r="J31"/>
  <c r="L31"/>
  <c r="M31"/>
  <c r="K18"/>
  <c r="E9" i="18"/>
  <c r="E11"/>
  <c r="J52" s="1"/>
  <c r="C12"/>
  <c r="K50" s="1"/>
  <c r="D18"/>
  <c r="C28"/>
  <c r="K28" i="17" l="1"/>
  <c r="B19" i="18"/>
  <c r="L18" i="21"/>
  <c r="B7"/>
  <c r="L20"/>
  <c r="F7"/>
  <c r="H52" i="18"/>
  <c r="K29" i="17"/>
  <c r="D12" i="18"/>
  <c r="K51" s="1"/>
  <c r="K30" i="17"/>
  <c r="E29" i="18"/>
  <c r="B30"/>
  <c r="H50"/>
  <c r="C14"/>
  <c r="E31"/>
  <c r="B22"/>
  <c r="B26" s="1"/>
  <c r="B25" s="1"/>
  <c r="K33" i="15"/>
  <c r="I32"/>
  <c r="M33"/>
  <c r="D17" i="18"/>
  <c r="D19"/>
  <c r="E12"/>
  <c r="K52" s="1"/>
  <c r="K31" i="17"/>
  <c r="I22"/>
  <c r="J23"/>
  <c r="J26"/>
  <c r="J27"/>
  <c r="D31" i="18"/>
  <c r="E30"/>
  <c r="I19" i="17"/>
  <c r="C29" i="18"/>
  <c r="D22"/>
  <c r="D26" s="1"/>
  <c r="D25" s="1"/>
  <c r="L13" i="17"/>
  <c r="I12"/>
  <c r="J13"/>
  <c r="M13"/>
  <c r="I26"/>
  <c r="E28" i="18"/>
  <c r="E35" s="1"/>
  <c r="D5"/>
  <c r="I19" s="1"/>
  <c r="I31" i="17"/>
  <c r="M51" i="15"/>
  <c r="M50"/>
  <c r="B9" i="18"/>
  <c r="K50" i="15"/>
  <c r="B12" i="18"/>
  <c r="K49" s="1"/>
  <c r="K51" i="15"/>
  <c r="B10" i="18"/>
  <c r="I49" s="1"/>
  <c r="L50" i="15"/>
  <c r="L51"/>
  <c r="C35" i="18"/>
  <c r="L48" i="15"/>
  <c r="I43"/>
  <c r="D14" i="18"/>
  <c r="L33" i="15"/>
  <c r="I52"/>
  <c r="L28" i="17"/>
  <c r="M28"/>
  <c r="M49" i="15"/>
  <c r="I51"/>
  <c r="L47"/>
  <c r="E14" i="18" l="1"/>
  <c r="D30"/>
  <c r="I13" i="17"/>
  <c r="D29" i="18"/>
  <c r="B28"/>
  <c r="B31"/>
  <c r="B33"/>
  <c r="B29"/>
  <c r="K44" i="15"/>
  <c r="J44"/>
  <c r="M44"/>
  <c r="I48"/>
  <c r="H49" i="18"/>
  <c r="B14"/>
  <c r="D33"/>
  <c r="D28"/>
  <c r="D35" s="1"/>
  <c r="I29" i="17"/>
  <c r="D4" i="18"/>
  <c r="I30" i="17"/>
  <c r="M23"/>
  <c r="K23"/>
  <c r="I27"/>
  <c r="I28" s="1"/>
  <c r="L23"/>
  <c r="I50" i="15"/>
  <c r="B4" i="18"/>
  <c r="I23" i="17"/>
  <c r="L49" i="15"/>
  <c r="L44"/>
  <c r="D23" i="18"/>
  <c r="J28" i="17"/>
  <c r="I47" i="15"/>
  <c r="I49" s="1"/>
  <c r="B23" i="18"/>
  <c r="I33" i="15"/>
  <c r="B6" i="18" l="1"/>
  <c r="H18"/>
  <c r="H19"/>
  <c r="D6"/>
  <c r="B35"/>
  <c r="I44" i="15"/>
  <c r="D7" i="18" l="1"/>
  <c r="J19"/>
  <c r="B7"/>
  <c r="J18"/>
</calcChain>
</file>

<file path=xl/sharedStrings.xml><?xml version="1.0" encoding="utf-8"?>
<sst xmlns="http://schemas.openxmlformats.org/spreadsheetml/2006/main" count="5872" uniqueCount="1519">
  <si>
    <t>%</t>
  </si>
  <si>
    <t>Federal</t>
  </si>
  <si>
    <t>State</t>
  </si>
  <si>
    <t>County</t>
  </si>
  <si>
    <t>Local</t>
  </si>
  <si>
    <t>#</t>
  </si>
  <si>
    <t>Total Revenue</t>
  </si>
  <si>
    <t>Amount</t>
  </si>
  <si>
    <t>Coconino County</t>
  </si>
  <si>
    <t>Gila County</t>
  </si>
  <si>
    <t>Maricopa County</t>
  </si>
  <si>
    <t>Santa Cruz County</t>
  </si>
  <si>
    <t>Apache</t>
  </si>
  <si>
    <t>Cochise</t>
  </si>
  <si>
    <t>Coconino</t>
  </si>
  <si>
    <t>Gila</t>
  </si>
  <si>
    <t>Graham</t>
  </si>
  <si>
    <t>Greenlee</t>
  </si>
  <si>
    <t>La Paz</t>
  </si>
  <si>
    <t>Maricopa</t>
  </si>
  <si>
    <t>Mohave</t>
  </si>
  <si>
    <t>Navajo</t>
  </si>
  <si>
    <t>Pima</t>
  </si>
  <si>
    <t>Pinal</t>
  </si>
  <si>
    <t>Santa Cruz</t>
  </si>
  <si>
    <t>Yavapai</t>
  </si>
  <si>
    <t>Yuma</t>
  </si>
  <si>
    <t>Chevelon Butte</t>
  </si>
  <si>
    <t>NAVIT</t>
  </si>
  <si>
    <t>Pima Accommodation</t>
  </si>
  <si>
    <t>E = Elementary District</t>
  </si>
  <si>
    <t>H= Union High School District</t>
  </si>
  <si>
    <t xml:space="preserve">CE = Consolidated Elementary District </t>
  </si>
  <si>
    <t>C = Consolidated District</t>
  </si>
  <si>
    <t>U = Unified District</t>
  </si>
  <si>
    <t>Tempe</t>
  </si>
  <si>
    <t>Bullhead City</t>
  </si>
  <si>
    <t>Hackberry</t>
  </si>
  <si>
    <t>East Valley Academy</t>
  </si>
  <si>
    <t>Total</t>
  </si>
  <si>
    <t>01</t>
  </si>
  <si>
    <t>02</t>
  </si>
  <si>
    <t>03</t>
  </si>
  <si>
    <t>04</t>
  </si>
  <si>
    <t>05</t>
  </si>
  <si>
    <t>06</t>
  </si>
  <si>
    <t>15</t>
  </si>
  <si>
    <t>07</t>
  </si>
  <si>
    <t>08</t>
  </si>
  <si>
    <t>09</t>
  </si>
  <si>
    <t>10</t>
  </si>
  <si>
    <t>11</t>
  </si>
  <si>
    <t>12</t>
  </si>
  <si>
    <t>13</t>
  </si>
  <si>
    <t>14</t>
  </si>
  <si>
    <t>Name</t>
  </si>
  <si>
    <t>Revenue</t>
  </si>
  <si>
    <t>$PP</t>
  </si>
  <si>
    <t>Enroll-</t>
  </si>
  <si>
    <t>ment</t>
  </si>
  <si>
    <t>% Rev</t>
  </si>
  <si>
    <t>* For traditional school districts these amounts represent "County" revenues (with zero Intermediate revenue dollars); for public charter schools these amounts represent "Intermediate" revenues (with zero County revenue dollars).</t>
  </si>
  <si>
    <t>County/Intermediate*</t>
  </si>
  <si>
    <t>$PP = Dollars Per Pupil</t>
  </si>
  <si>
    <t>Aggregated by County &amp; State for Public School Districts &amp; by Total State for Public Charter Schools</t>
  </si>
  <si>
    <t>A</t>
  </si>
  <si>
    <t>B</t>
  </si>
  <si>
    <t>C</t>
  </si>
  <si>
    <t>D</t>
  </si>
  <si>
    <t>E</t>
  </si>
  <si>
    <t>G</t>
  </si>
  <si>
    <t>H</t>
  </si>
  <si>
    <t>I</t>
  </si>
  <si>
    <t>J</t>
  </si>
  <si>
    <t>K</t>
  </si>
  <si>
    <t>L</t>
  </si>
  <si>
    <t>M</t>
  </si>
  <si>
    <t>N</t>
  </si>
  <si>
    <t>O</t>
  </si>
  <si>
    <t>P</t>
  </si>
  <si>
    <t>Q</t>
  </si>
  <si>
    <t>F</t>
  </si>
  <si>
    <t>%*</t>
  </si>
  <si>
    <t>Valuation</t>
  </si>
  <si>
    <t>SRP</t>
  </si>
  <si>
    <t>N/A</t>
  </si>
  <si>
    <t>*  Percentage of Free &amp; Reduced Price Lunch Eligibility at March 2007 for public school districts; as of 2008 for public charter schools.</t>
  </si>
  <si>
    <t>$PP = dollars per pupil.</t>
  </si>
  <si>
    <t>2006-2007</t>
  </si>
  <si>
    <t xml:space="preserve">DATA SOURCE:  Annual Report of the Arizona Superintendent of Public Instruction; Volume II, Fiscal Year 2006-2007. </t>
  </si>
  <si>
    <t>DATA PRESENTATION:  By EduAnalytics, LLC; November, 2008.</t>
  </si>
  <si>
    <t>Primary Tax</t>
  </si>
  <si>
    <t>Secondary Tax</t>
  </si>
  <si>
    <t>Rates</t>
  </si>
  <si>
    <t>F&amp;RL</t>
  </si>
  <si>
    <t>Special Prog. Expenditures</t>
  </si>
  <si>
    <t>v$PP</t>
  </si>
  <si>
    <t>v$PP = Valuation on a per pupil basis.</t>
  </si>
  <si>
    <t>District or Charter</t>
  </si>
  <si>
    <t>Type</t>
  </si>
  <si>
    <t>Alpine</t>
  </si>
  <si>
    <t>Chinle</t>
  </si>
  <si>
    <t>Choncho</t>
  </si>
  <si>
    <t>Ganado</t>
  </si>
  <si>
    <t>Mcnary</t>
  </si>
  <si>
    <t>Red Mesa</t>
  </si>
  <si>
    <t>Round Valley</t>
  </si>
  <si>
    <t>Sanders</t>
  </si>
  <si>
    <t>St. Johns</t>
  </si>
  <si>
    <t>Vernon</t>
  </si>
  <si>
    <t>Window Rock</t>
  </si>
  <si>
    <t>D/C</t>
  </si>
  <si>
    <t>Ash Creek</t>
  </si>
  <si>
    <t>Benson</t>
  </si>
  <si>
    <t>Bisbee</t>
  </si>
  <si>
    <t>Bowie</t>
  </si>
  <si>
    <t>Double Adobe</t>
  </si>
  <si>
    <t>Douglas</t>
  </si>
  <si>
    <t>Elfrida</t>
  </si>
  <si>
    <t>Forrest</t>
  </si>
  <si>
    <t>McNeal</t>
  </si>
  <si>
    <t>Naco</t>
  </si>
  <si>
    <t>Palominas</t>
  </si>
  <si>
    <t>Pearce</t>
  </si>
  <si>
    <t>Pomerene</t>
  </si>
  <si>
    <t>Rucker</t>
  </si>
  <si>
    <t>San Simon</t>
  </si>
  <si>
    <t>Sierra Vista</t>
  </si>
  <si>
    <t>St David</t>
  </si>
  <si>
    <t>Tombstone</t>
  </si>
  <si>
    <t>Valley</t>
  </si>
  <si>
    <t>Wilcox</t>
  </si>
  <si>
    <t>T</t>
  </si>
  <si>
    <t>R</t>
  </si>
  <si>
    <t>V</t>
  </si>
  <si>
    <t>EC</t>
  </si>
  <si>
    <t>A = Accommodation District</t>
  </si>
  <si>
    <t>R = Regional District</t>
  </si>
  <si>
    <t>T = Technology District</t>
  </si>
  <si>
    <t>V = Vocational District</t>
  </si>
  <si>
    <t>EC = Education Center</t>
  </si>
  <si>
    <t>Cochise Tech</t>
  </si>
  <si>
    <t>Fort Huachuca</t>
  </si>
  <si>
    <t>9</t>
  </si>
  <si>
    <t>CAVIAT</t>
  </si>
  <si>
    <t>RA</t>
  </si>
  <si>
    <t>RA = Regional Accommodation District</t>
  </si>
  <si>
    <t>Flagstaff</t>
  </si>
  <si>
    <t>Fredonia-Moccasin</t>
  </si>
  <si>
    <t>Grand Canyon</t>
  </si>
  <si>
    <t>Maine</t>
  </si>
  <si>
    <t>Page</t>
  </si>
  <si>
    <t>Tuba City</t>
  </si>
  <si>
    <t>Williams</t>
  </si>
  <si>
    <t>Globe</t>
  </si>
  <si>
    <t>Hayden-Winkelman</t>
  </si>
  <si>
    <t>Miami</t>
  </si>
  <si>
    <t>Payson</t>
  </si>
  <si>
    <t>Pine Strawberry</t>
  </si>
  <si>
    <t>San Carlos</t>
  </si>
  <si>
    <t>Tonto Basin</t>
  </si>
  <si>
    <t>Young</t>
  </si>
  <si>
    <t>Bonita</t>
  </si>
  <si>
    <t>Ft. Thomas</t>
  </si>
  <si>
    <t>Gila Institute for Tech</t>
  </si>
  <si>
    <t>Klondyke</t>
  </si>
  <si>
    <t>Safford</t>
  </si>
  <si>
    <t>Solomon</t>
  </si>
  <si>
    <t>Thatcher</t>
  </si>
  <si>
    <t>Blue</t>
  </si>
  <si>
    <t>Clifton</t>
  </si>
  <si>
    <t>Duncan</t>
  </si>
  <si>
    <t>Eagle</t>
  </si>
  <si>
    <t>Morenci</t>
  </si>
  <si>
    <t>CE</t>
  </si>
  <si>
    <t>Bicentennial</t>
  </si>
  <si>
    <t>Bouse</t>
  </si>
  <si>
    <t>Parker</t>
  </si>
  <si>
    <t>Quartzsite</t>
  </si>
  <si>
    <t>Salome</t>
  </si>
  <si>
    <t>Wenden</t>
  </si>
  <si>
    <t>Agua Fria</t>
  </si>
  <si>
    <t>Aguila</t>
  </si>
  <si>
    <t>Alhambra</t>
  </si>
  <si>
    <t>Arlington</t>
  </si>
  <si>
    <t>Avondale</t>
  </si>
  <si>
    <t>Balsz</t>
  </si>
  <si>
    <t>Buckeye</t>
  </si>
  <si>
    <t>Cartwright</t>
  </si>
  <si>
    <t>Cave Creek</t>
  </si>
  <si>
    <t>Chandler</t>
  </si>
  <si>
    <t>Creighton</t>
  </si>
  <si>
    <t>Deer Valley</t>
  </si>
  <si>
    <t>Dysart</t>
  </si>
  <si>
    <t>East Valley Instutute of Tech</t>
  </si>
  <si>
    <t>Fountain Hills</t>
  </si>
  <si>
    <t>Fowler</t>
  </si>
  <si>
    <t>Gila Bend</t>
  </si>
  <si>
    <t>Gilbert</t>
  </si>
  <si>
    <t>Glendale</t>
  </si>
  <si>
    <t>Higley</t>
  </si>
  <si>
    <t>Isaac</t>
  </si>
  <si>
    <t>Kyrene</t>
  </si>
  <si>
    <t>Laveen</t>
  </si>
  <si>
    <t>Liberty</t>
  </si>
  <si>
    <t>Litchfield</t>
  </si>
  <si>
    <t>Littleton</t>
  </si>
  <si>
    <t>Madison</t>
  </si>
  <si>
    <t>Mesa</t>
  </si>
  <si>
    <t>Mobile</t>
  </si>
  <si>
    <t>Morristown</t>
  </si>
  <si>
    <t>Murphy</t>
  </si>
  <si>
    <t>Nadaburg</t>
  </si>
  <si>
    <t>Osborn</t>
  </si>
  <si>
    <t>Palo Verde</t>
  </si>
  <si>
    <t>Paloma</t>
  </si>
  <si>
    <t>Paradise Valley</t>
  </si>
  <si>
    <t>Pendergast</t>
  </si>
  <si>
    <t>Peoria</t>
  </si>
  <si>
    <t>Phoenix</t>
  </si>
  <si>
    <t>Queen Creek</t>
  </si>
  <si>
    <t>Riverside</t>
  </si>
  <si>
    <t>Roosevelt</t>
  </si>
  <si>
    <t>Saddle Mountain</t>
  </si>
  <si>
    <t>Scottsdale</t>
  </si>
  <si>
    <t>Sentinel</t>
  </si>
  <si>
    <t>Tempe High</t>
  </si>
  <si>
    <t>Tolleson</t>
  </si>
  <si>
    <t>Tolleson High</t>
  </si>
  <si>
    <t>Union</t>
  </si>
  <si>
    <t>Washington</t>
  </si>
  <si>
    <t>West-MEC Western Maricopa</t>
  </si>
  <si>
    <t>Wickenburg</t>
  </si>
  <si>
    <t>Wilson</t>
  </si>
  <si>
    <t>Colorado City</t>
  </si>
  <si>
    <t>Colorado River</t>
  </si>
  <si>
    <t>Kingman</t>
  </si>
  <si>
    <t>Lake Havasu</t>
  </si>
  <si>
    <t>Littlefield</t>
  </si>
  <si>
    <t>Mohave Valley</t>
  </si>
  <si>
    <t>Owens-Whitney</t>
  </si>
  <si>
    <t>Peach Springs</t>
  </si>
  <si>
    <t>Topock</t>
  </si>
  <si>
    <t>Valentine</t>
  </si>
  <si>
    <t>Yucca</t>
  </si>
  <si>
    <t>Blue Ridge</t>
  </si>
  <si>
    <t>Cedar</t>
  </si>
  <si>
    <t>Heber-Overgaard</t>
  </si>
  <si>
    <t>Holbrook</t>
  </si>
  <si>
    <t>Joseph City</t>
  </si>
  <si>
    <t>Kayenta</t>
  </si>
  <si>
    <t>Northeast Arizona Tech/Voc</t>
  </si>
  <si>
    <t>TV</t>
  </si>
  <si>
    <t>Pinon</t>
  </si>
  <si>
    <t>Rainbow Accommodation</t>
  </si>
  <si>
    <t>Show Low</t>
  </si>
  <si>
    <t>Snowflake</t>
  </si>
  <si>
    <t>Whiteriver</t>
  </si>
  <si>
    <t>Winslow</t>
  </si>
  <si>
    <t>Ajo</t>
  </si>
  <si>
    <t>Altar Valley</t>
  </si>
  <si>
    <t>Amphitheater</t>
  </si>
  <si>
    <t>Catalina Foothills</t>
  </si>
  <si>
    <t>Continental</t>
  </si>
  <si>
    <t>Empire</t>
  </si>
  <si>
    <t>Flowing Wells</t>
  </si>
  <si>
    <t>Indian Oasis-Baboquivari</t>
  </si>
  <si>
    <t>Marana</t>
  </si>
  <si>
    <t>Redington</t>
  </si>
  <si>
    <t>Sahuarita</t>
  </si>
  <si>
    <t>San Fernando</t>
  </si>
  <si>
    <t>Sunnyside</t>
  </si>
  <si>
    <t>Tanque Verde</t>
  </si>
  <si>
    <t>Tucson</t>
  </si>
  <si>
    <t>Vail</t>
  </si>
  <si>
    <t>Apache Junction</t>
  </si>
  <si>
    <t>Casa Grande</t>
  </si>
  <si>
    <t>Central Arizona Valley Tech</t>
  </si>
  <si>
    <t>Cobre Valley Tech</t>
  </si>
  <si>
    <t>Mary C O'Brien</t>
  </si>
  <si>
    <t>Coolidge</t>
  </si>
  <si>
    <t>Eloy</t>
  </si>
  <si>
    <t>Florence</t>
  </si>
  <si>
    <t>J O Combs</t>
  </si>
  <si>
    <t>Mammoth-San Manuel</t>
  </si>
  <si>
    <t>Oracle</t>
  </si>
  <si>
    <t>Picacho</t>
  </si>
  <si>
    <t>Ray</t>
  </si>
  <si>
    <t>Red Rock</t>
  </si>
  <si>
    <t>Sacaton</t>
  </si>
  <si>
    <t>Santa Cruz Valley</t>
  </si>
  <si>
    <t>Stanfield</t>
  </si>
  <si>
    <t>Superior</t>
  </si>
  <si>
    <t>Toltec</t>
  </si>
  <si>
    <t>Nogales</t>
  </si>
  <si>
    <t>Patagonia</t>
  </si>
  <si>
    <t>Sonoita</t>
  </si>
  <si>
    <t>Ash Fork Joint</t>
  </si>
  <si>
    <t>Bagdad</t>
  </si>
  <si>
    <t>Beaver Creek</t>
  </si>
  <si>
    <t>Camp Verde</t>
  </si>
  <si>
    <t>Canon</t>
  </si>
  <si>
    <t>Champie</t>
  </si>
  <si>
    <t>Chino Valley</t>
  </si>
  <si>
    <t>Clarkdale-Jerome</t>
  </si>
  <si>
    <t>Congress</t>
  </si>
  <si>
    <t>Conttonwood-Oak Creek</t>
  </si>
  <si>
    <t>Crown King</t>
  </si>
  <si>
    <t>Hillside</t>
  </si>
  <si>
    <t>Humboldt</t>
  </si>
  <si>
    <t>Kirkland</t>
  </si>
  <si>
    <t>Mayer</t>
  </si>
  <si>
    <t>Mingus</t>
  </si>
  <si>
    <t>Prescott</t>
  </si>
  <si>
    <t>Sedona-Oak Creek Joint</t>
  </si>
  <si>
    <t>Seligman</t>
  </si>
  <si>
    <t>Skull Valley</t>
  </si>
  <si>
    <t>Valley Academy Tech</t>
  </si>
  <si>
    <t>Walnut Grove</t>
  </si>
  <si>
    <t>Williamson Valley</t>
  </si>
  <si>
    <t>Yarnell</t>
  </si>
  <si>
    <t>Yavapai Accommodation</t>
  </si>
  <si>
    <t>Antelope</t>
  </si>
  <si>
    <t>Crane</t>
  </si>
  <si>
    <t>Gadsden</t>
  </si>
  <si>
    <t>Hyder</t>
  </si>
  <si>
    <t>Mohawk Valley</t>
  </si>
  <si>
    <t>Somerton</t>
  </si>
  <si>
    <t>Wellton</t>
  </si>
  <si>
    <t>U</t>
  </si>
  <si>
    <t>4-Winds Academy</t>
  </si>
  <si>
    <t>Kin Dah Lichii Olta</t>
  </si>
  <si>
    <t>Nazlini Community</t>
  </si>
  <si>
    <t>Center for Academic Success</t>
  </si>
  <si>
    <t>Cochise Community Dev. Corp</t>
  </si>
  <si>
    <t>Omega Alpha</t>
  </si>
  <si>
    <t>Pine Forest Ed Assoc</t>
  </si>
  <si>
    <t>Flagstaff Arts</t>
  </si>
  <si>
    <t>Flagstaff Junior Academy</t>
  </si>
  <si>
    <t>Flagstaff Unified</t>
  </si>
  <si>
    <t>Montessori-Flagstaff</t>
  </si>
  <si>
    <t>Mountain School</t>
  </si>
  <si>
    <t>Northland Prep</t>
  </si>
  <si>
    <t>PEAK Schools</t>
  </si>
  <si>
    <t>Visions Unlimited</t>
  </si>
  <si>
    <t>Destiny</t>
  </si>
  <si>
    <t>Liberty High</t>
  </si>
  <si>
    <t>Payson Center for Success</t>
  </si>
  <si>
    <t xml:space="preserve">Shelby </t>
  </si>
  <si>
    <t>Discovery Plus Academy</t>
  </si>
  <si>
    <t>Triumphant Learning Center</t>
  </si>
  <si>
    <t>Gila Ed Group</t>
  </si>
  <si>
    <t>OMEGA Schools</t>
  </si>
  <si>
    <t>Franklin Arts Academies</t>
  </si>
  <si>
    <t>New School for the Arts</t>
  </si>
  <si>
    <t>Benjamin Franklin</t>
  </si>
  <si>
    <t>Imagine Elementary-Tempe</t>
  </si>
  <si>
    <t>Academy of Arizona</t>
  </si>
  <si>
    <t>Academy of Excellence</t>
  </si>
  <si>
    <t>Academy with Community Partners</t>
  </si>
  <si>
    <t>Accelerated Learning Center</t>
  </si>
  <si>
    <t>Acclaim</t>
  </si>
  <si>
    <t>Advance Ed Services</t>
  </si>
  <si>
    <t>Advance Ed Services, Inc.</t>
  </si>
  <si>
    <t>Ahwatukee Foothills Prep</t>
  </si>
  <si>
    <t>AIBT Non-Profit-Phoenix</t>
  </si>
  <si>
    <t>Air Academy High</t>
  </si>
  <si>
    <t>All Aboard</t>
  </si>
  <si>
    <t>Allen-Cochran</t>
  </si>
  <si>
    <t>American Basic</t>
  </si>
  <si>
    <t>APEX Ed Systems, Inc.</t>
  </si>
  <si>
    <t>Apex Public Academy</t>
  </si>
  <si>
    <t>Arizona Academy of Sci. &amp; Tech.</t>
  </si>
  <si>
    <t>Arizona Agribus. &amp; Equine, Inc.</t>
  </si>
  <si>
    <t>Arizona Agribusiness &amp; Equine</t>
  </si>
  <si>
    <t>Arizona Call-a-Teen Youth</t>
  </si>
  <si>
    <t>Arizona Connections</t>
  </si>
  <si>
    <t>Arizona Integrated Academics &amp; Tech</t>
  </si>
  <si>
    <t>Arizona Montessori-Anthem</t>
  </si>
  <si>
    <t>Arizona School for the Arts</t>
  </si>
  <si>
    <t>Ascending Roots</t>
  </si>
  <si>
    <t>Atizona Agribus. &amp; Equine, Inc.</t>
  </si>
  <si>
    <t>Avondale Learning</t>
  </si>
  <si>
    <t>Back-to-Basics</t>
  </si>
  <si>
    <t>Ball Charter-Dobson</t>
  </si>
  <si>
    <t>Ball Charter-Hearn</t>
  </si>
  <si>
    <t>BASIS</t>
  </si>
  <si>
    <t>Bell Canyon</t>
  </si>
  <si>
    <t>Benchmark</t>
  </si>
  <si>
    <t>Blueprint Ed</t>
  </si>
  <si>
    <t>Bradley Academy</t>
  </si>
  <si>
    <t>Bright Beginnings</t>
  </si>
  <si>
    <t>CAFA</t>
  </si>
  <si>
    <t>Cambridge Academy East</t>
  </si>
  <si>
    <t>Carden Elementary</t>
  </si>
  <si>
    <t>Career Success</t>
  </si>
  <si>
    <t>CASY Country Day</t>
  </si>
  <si>
    <t>Challenge School</t>
  </si>
  <si>
    <t>Challenger Basic</t>
  </si>
  <si>
    <t>Chandler Prep</t>
  </si>
  <si>
    <t>Cholla Academy</t>
  </si>
  <si>
    <t>Cornerstone</t>
  </si>
  <si>
    <t>Cortez Middle</t>
  </si>
  <si>
    <t>County Gradens Ed Services</t>
  </si>
  <si>
    <t>Crown</t>
  </si>
  <si>
    <t>D. W. Higgins Institute</t>
  </si>
  <si>
    <t>DCS Parner</t>
  </si>
  <si>
    <t>Desert hills Public</t>
  </si>
  <si>
    <t>Eagles Aerie</t>
  </si>
  <si>
    <t>East Mesa</t>
  </si>
  <si>
    <t>E-cademie</t>
  </si>
  <si>
    <t>Edkey-Pathfinder Academy</t>
  </si>
  <si>
    <t>Edkey-Redwood Academy</t>
  </si>
  <si>
    <t>Educational Admin Services</t>
  </si>
  <si>
    <t>EduPreneurship</t>
  </si>
  <si>
    <t>Edu-Prize</t>
  </si>
  <si>
    <t>E-Institute</t>
  </si>
  <si>
    <t>El Dorado High</t>
  </si>
  <si>
    <t>Employ-Ability Unlimited</t>
  </si>
  <si>
    <t>Enterprise Academy</t>
  </si>
  <si>
    <t>Esperanza Community</t>
  </si>
  <si>
    <t>Expiritu Community</t>
  </si>
  <si>
    <t>Extrella High</t>
  </si>
  <si>
    <t>Ezcalibur</t>
  </si>
  <si>
    <t>Florence Critteton Services</t>
  </si>
  <si>
    <t>Foothills Academy</t>
  </si>
  <si>
    <t>Friendly House</t>
  </si>
  <si>
    <t>GAR-Student Choice</t>
  </si>
  <si>
    <t>Gem Charter</t>
  </si>
  <si>
    <t>Genesis Academy</t>
  </si>
  <si>
    <t>Global Renaissance Academy</t>
  </si>
  <si>
    <t xml:space="preserve">Happy Valley </t>
  </si>
  <si>
    <t>Heritage Academy</t>
  </si>
  <si>
    <t>Horizon Community</t>
  </si>
  <si>
    <t>Humanities &amp; Sciences</t>
  </si>
  <si>
    <t>Imagin Elementary-Camelback</t>
  </si>
  <si>
    <t>Imagine Elementary-Desert West</t>
  </si>
  <si>
    <t>Imagine Middle-East Mesa</t>
  </si>
  <si>
    <t>Imagine Middle-Surprise</t>
  </si>
  <si>
    <t>Integrity Ed Corp</t>
  </si>
  <si>
    <t>Intelli-School</t>
  </si>
  <si>
    <t>International Commerce</t>
  </si>
  <si>
    <t>International Studies</t>
  </si>
  <si>
    <t>James Madison Prep</t>
  </si>
  <si>
    <t>James Sandoval Prep</t>
  </si>
  <si>
    <t>Kachina Country Day</t>
  </si>
  <si>
    <t>Keystone Montessori</t>
  </si>
  <si>
    <t>Khalsa Montessori Elementary</t>
  </si>
  <si>
    <t>LEAD</t>
  </si>
  <si>
    <t>Legacy Ed Group</t>
  </si>
  <si>
    <t>Legacy Schools</t>
  </si>
  <si>
    <t>Liberty Traditional</t>
  </si>
  <si>
    <t>Life Skills Center</t>
  </si>
  <si>
    <t>Little Lamb Community</t>
  </si>
  <si>
    <t xml:space="preserve">Maricopa County Community </t>
  </si>
  <si>
    <t>Maya Public High</t>
  </si>
  <si>
    <t>Mesa Arts Academy</t>
  </si>
  <si>
    <t>Metropolitan Arts Insttitute</t>
  </si>
  <si>
    <t>Midtown Primary</t>
  </si>
  <si>
    <t>Milestones</t>
  </si>
  <si>
    <t>Mission</t>
  </si>
  <si>
    <t>Montessori Academy</t>
  </si>
  <si>
    <t>Montessori Ed Centre</t>
  </si>
  <si>
    <t>Montessori House</t>
  </si>
  <si>
    <t xml:space="preserve">Montezuma </t>
  </si>
  <si>
    <t>New Century Ed Mgmt Services</t>
  </si>
  <si>
    <t>New Samaritan High</t>
  </si>
  <si>
    <t>New School for the Arts Middle</t>
  </si>
  <si>
    <t>New World Ed Center</t>
  </si>
  <si>
    <t>Noah Webster Basic</t>
  </si>
  <si>
    <t>North Star</t>
  </si>
  <si>
    <t>Ocotillo High</t>
  </si>
  <si>
    <t>Ombudsman Ed Sevices</t>
  </si>
  <si>
    <t>Pan-American Elementary</t>
  </si>
  <si>
    <t>Paragon Mangaement</t>
  </si>
  <si>
    <t>Paramount Ed Studies</t>
  </si>
  <si>
    <t xml:space="preserve">PAS </t>
  </si>
  <si>
    <t>Pathfinder</t>
  </si>
  <si>
    <t>Patriot Academy</t>
  </si>
  <si>
    <t>Peoria Accelerated High</t>
  </si>
  <si>
    <t>Phoenix Advantage</t>
  </si>
  <si>
    <t>Phoenix-Academic Excellence</t>
  </si>
  <si>
    <t>Pinnacle Ed-DS</t>
  </si>
  <si>
    <t>Pinnacle Ed-FA</t>
  </si>
  <si>
    <t>Pinnacle Ed-Mesa</t>
  </si>
  <si>
    <t>Pinnacle Ed-Tempe</t>
  </si>
  <si>
    <t>Pinnacle Ed-WMAA</t>
  </si>
  <si>
    <t>Pinnacle Ed-WMCB</t>
  </si>
  <si>
    <t>PLC Charter</t>
  </si>
  <si>
    <t>Premier High</t>
  </si>
  <si>
    <t>Prescott Valley</t>
  </si>
  <si>
    <t>Primavera Technical</t>
  </si>
  <si>
    <t>Rosefiled Elementary</t>
  </si>
  <si>
    <t xml:space="preserve">RSD </t>
  </si>
  <si>
    <t>Salt River Pima-Maricopa</t>
  </si>
  <si>
    <t>SC Jensen Corp</t>
  </si>
  <si>
    <t>Scottsdale Ed Enrichment High</t>
  </si>
  <si>
    <t>Scottsdale Horizons</t>
  </si>
  <si>
    <t>Self Developoment</t>
  </si>
  <si>
    <t>Sequoia Choice</t>
  </si>
  <si>
    <t xml:space="preserve">Sierra Vista </t>
  </si>
  <si>
    <t>Skyline Technical High</t>
  </si>
  <si>
    <t>Sonoran Desert</t>
  </si>
  <si>
    <t xml:space="preserve">South Point </t>
  </si>
  <si>
    <t>South Ridge High</t>
  </si>
  <si>
    <t>StarShine Academy</t>
  </si>
  <si>
    <t>Stepping Stones Academy</t>
  </si>
  <si>
    <t>Success</t>
  </si>
  <si>
    <t>Summit High</t>
  </si>
  <si>
    <t>Sun Valley High</t>
  </si>
  <si>
    <t>Tempe Accelerated High</t>
  </si>
  <si>
    <t>Tertulia:  A Learning Comm.</t>
  </si>
  <si>
    <t>Valley of the Sun</t>
  </si>
  <si>
    <t>Ventana Academic</t>
  </si>
  <si>
    <t>Veritas Prep</t>
  </si>
  <si>
    <t>Vicki A. Romero High</t>
  </si>
  <si>
    <t>Victory High</t>
  </si>
  <si>
    <t>Villa Montessori</t>
  </si>
  <si>
    <t xml:space="preserve">Vista </t>
  </si>
  <si>
    <t>West Gilbert Elementary</t>
  </si>
  <si>
    <t>West Gilbert Middle</t>
  </si>
  <si>
    <t>West Phoenix High</t>
  </si>
  <si>
    <t xml:space="preserve">Westsind Middle </t>
  </si>
  <si>
    <t>Westwind Children's Services</t>
  </si>
  <si>
    <t xml:space="preserve">Youngtown </t>
  </si>
  <si>
    <t>Valley Academy</t>
  </si>
  <si>
    <t>Phoenix Ed Mgmt</t>
  </si>
  <si>
    <t>Academy of Building Industries</t>
  </si>
  <si>
    <t>Desert Technology</t>
  </si>
  <si>
    <t>EAGLE Academy</t>
  </si>
  <si>
    <t>Masada</t>
  </si>
  <si>
    <t>Mohave Accelerated Elementary</t>
  </si>
  <si>
    <t>Mohave Accelerated Learning Ctr</t>
  </si>
  <si>
    <t>Telesis Center for Learning</t>
  </si>
  <si>
    <t>Young Scholars Acacdemy</t>
  </si>
  <si>
    <t>Kingman Academy</t>
  </si>
  <si>
    <t xml:space="preserve">Montessori Day </t>
  </si>
  <si>
    <t>Heritage Elementary</t>
  </si>
  <si>
    <t>Developing Innovations-DINE</t>
  </si>
  <si>
    <t>Founding Fathers Academies</t>
  </si>
  <si>
    <t>Little Singer Community</t>
  </si>
  <si>
    <t>Northern Arizona</t>
  </si>
  <si>
    <t>Shonot Governing Board of Ed</t>
  </si>
  <si>
    <t>Shont Governing Board</t>
  </si>
  <si>
    <t>A Child's View</t>
  </si>
  <si>
    <t>Academy of Math &amp; Science</t>
  </si>
  <si>
    <t>Academy of Tucson</t>
  </si>
  <si>
    <t>Accelerated Elem &amp; Sec. Schools</t>
  </si>
  <si>
    <t>Allsport</t>
  </si>
  <si>
    <t>Alta Vista High</t>
  </si>
  <si>
    <t>Aprender Tucson</t>
  </si>
  <si>
    <t>Arizona Community Development</t>
  </si>
  <si>
    <t xml:space="preserve">BASIS </t>
  </si>
  <si>
    <t>Beginning Academy</t>
  </si>
  <si>
    <t>Calli Ollin Academy</t>
  </si>
  <si>
    <t>Calli Ollin-Toltecalli</t>
  </si>
  <si>
    <t>Campass High</t>
  </si>
  <si>
    <t>Canyon Rose Academy</t>
  </si>
  <si>
    <t>Carden of Tucsson</t>
  </si>
  <si>
    <t>Cesar Chavez Learning Community</t>
  </si>
  <si>
    <t>Childrens Success</t>
  </si>
  <si>
    <t>Daisy Ed Corp</t>
  </si>
  <si>
    <t>Desert Rose Academy</t>
  </si>
  <si>
    <t>Desert Sky Community</t>
  </si>
  <si>
    <t>Desert Springs Academy</t>
  </si>
  <si>
    <t>Eastpointe High</t>
  </si>
  <si>
    <t xml:space="preserve">EDGE </t>
  </si>
  <si>
    <t>Educational Impact</t>
  </si>
  <si>
    <t>El Centro</t>
  </si>
  <si>
    <t>El Pueblo Integral</t>
  </si>
  <si>
    <t>Global Ed Foundation</t>
  </si>
  <si>
    <t>Great Expectations</t>
  </si>
  <si>
    <t>Griffin Foundation</t>
  </si>
  <si>
    <t>Ha:san Ed Services</t>
  </si>
  <si>
    <t>Hermosa Montessori</t>
  </si>
  <si>
    <t>Highland Free</t>
  </si>
  <si>
    <t>Khalsa Family Services</t>
  </si>
  <si>
    <t>Lifelong Learning Research Inst.</t>
  </si>
  <si>
    <t>Luz Academy of Tucson</t>
  </si>
  <si>
    <t>MiltiDimensional Literacy Corp</t>
  </si>
  <si>
    <t>Montessori Schoolhouse of Tucson</t>
  </si>
  <si>
    <t>Mountain Rose</t>
  </si>
  <si>
    <t>New West Schools</t>
  </si>
  <si>
    <t>Nosotros</t>
  </si>
  <si>
    <t>Old Pueblo Children's</t>
  </si>
  <si>
    <t>Pima County Board of Supv</t>
  </si>
  <si>
    <t>Pima Prevention Partnership</t>
  </si>
  <si>
    <t>PPEP &amp; Affiliates</t>
  </si>
  <si>
    <t>PPEP &amp; Affiliates-Virtual</t>
  </si>
  <si>
    <t>Presidio School</t>
  </si>
  <si>
    <t>Satori</t>
  </si>
  <si>
    <t xml:space="preserve">Sierra Oaks </t>
  </si>
  <si>
    <t>Southern Arizona Community</t>
  </si>
  <si>
    <t>Southgate Academy</t>
  </si>
  <si>
    <t>TAG Elementary</t>
  </si>
  <si>
    <t>The Charter Foundation</t>
  </si>
  <si>
    <t>TLC Charter Schools</t>
  </si>
  <si>
    <t>Tucson Accelerated High</t>
  </si>
  <si>
    <t>Tucson Country Day School</t>
  </si>
  <si>
    <t>Tucson International</t>
  </si>
  <si>
    <t>Tucson Prep</t>
  </si>
  <si>
    <t>Tucson Small School</t>
  </si>
  <si>
    <t>Tucson Urban League</t>
  </si>
  <si>
    <t>Tucson Youth High</t>
  </si>
  <si>
    <t xml:space="preserve">Vision </t>
  </si>
  <si>
    <t>Wildcat Secondary</t>
  </si>
  <si>
    <t>Akimel O Otham Pee Posh</t>
  </si>
  <si>
    <t>Akimel O'Otham Pee Posh</t>
  </si>
  <si>
    <t>Apacke Trail High</t>
  </si>
  <si>
    <t>Casa Clanca Middle</t>
  </si>
  <si>
    <t>Vechij Himdag Alternative</t>
  </si>
  <si>
    <t>Skyview</t>
  </si>
  <si>
    <t>Accelerated Learning Charter</t>
  </si>
  <si>
    <t>Acorn Montessori</t>
  </si>
  <si>
    <t>American Heritage</t>
  </si>
  <si>
    <t>Arizona Up Grade Academy</t>
  </si>
  <si>
    <t>Center for Creative Ed</t>
  </si>
  <si>
    <t>Chester Newton Montessori</t>
  </si>
  <si>
    <t>Desert Star Community</t>
  </si>
  <si>
    <t>Edkey-Sequoia Ranch</t>
  </si>
  <si>
    <t>Franklin Phonetic Primary</t>
  </si>
  <si>
    <t>Kestrel Schools</t>
  </si>
  <si>
    <t xml:space="preserve">Mary Ellen Halvorson Ed </t>
  </si>
  <si>
    <t>Mingus Mountain Estate Res.</t>
  </si>
  <si>
    <t>Mingus Springs</t>
  </si>
  <si>
    <t xml:space="preserve">Mountain Oak </t>
  </si>
  <si>
    <t>New Visions</t>
  </si>
  <si>
    <t>PACE Prep</t>
  </si>
  <si>
    <t xml:space="preserve">Painted Pony Ranch </t>
  </si>
  <si>
    <t>Park View Schools</t>
  </si>
  <si>
    <t>Pathways KM</t>
  </si>
  <si>
    <t>Sedona</t>
  </si>
  <si>
    <t>Summyside Montessori</t>
  </si>
  <si>
    <t>YCFA Achieve Academy</t>
  </si>
  <si>
    <t>Az-Tec High</t>
  </si>
  <si>
    <t>Harvest Power Community</t>
  </si>
  <si>
    <t>Juniper Tree</t>
  </si>
  <si>
    <t>Yuma Private Industry</t>
  </si>
  <si>
    <t>E.Q. Scholars</t>
  </si>
  <si>
    <t>Sierra Summit</t>
  </si>
  <si>
    <t>Painted Desert Demonstration</t>
  </si>
  <si>
    <t>Choice Ed &amp; Dev-Arizona</t>
  </si>
  <si>
    <t>Choice Ed &amp; Dev-Corp</t>
  </si>
  <si>
    <t>Choice Ed &amp; Dev-Learning</t>
  </si>
  <si>
    <t>Choice Ed &amp; Dev-Sequoia</t>
  </si>
  <si>
    <t>New Horizon-Performing Arts</t>
  </si>
  <si>
    <t>Pointe Ed Services</t>
  </si>
  <si>
    <t>Partnership with Parents</t>
  </si>
  <si>
    <t>Precision Academy</t>
  </si>
  <si>
    <t>Tempe Prep</t>
  </si>
  <si>
    <t>Twenty First Century</t>
  </si>
  <si>
    <t xml:space="preserve">Twenty First Century </t>
  </si>
  <si>
    <t>Pinnacle Ed-Casa Grande</t>
  </si>
  <si>
    <t>Ira H. Hayes Memorial</t>
  </si>
  <si>
    <t>Mexicayoti Academy</t>
  </si>
  <si>
    <t>Patagonia Montessori Elem</t>
  </si>
  <si>
    <t>Pinnacle Ed-Kino</t>
  </si>
  <si>
    <t>Santa Cruz Vellaey Opportunities</t>
  </si>
  <si>
    <t>Carpe Diem Collegiate High</t>
  </si>
  <si>
    <t>C-018752000</t>
  </si>
  <si>
    <t>87</t>
  </si>
  <si>
    <t>C-018759000</t>
  </si>
  <si>
    <t>C-018760000</t>
  </si>
  <si>
    <t>C-028750000</t>
  </si>
  <si>
    <t>C-028701000</t>
  </si>
  <si>
    <t>C-028751000</t>
  </si>
  <si>
    <t>C-028752000</t>
  </si>
  <si>
    <t>C-038706000</t>
  </si>
  <si>
    <t>C-038750000</t>
  </si>
  <si>
    <t>C-038752000</t>
  </si>
  <si>
    <t>C-038703000</t>
  </si>
  <si>
    <t>C-038705000</t>
  </si>
  <si>
    <t>C-038751000</t>
  </si>
  <si>
    <t>C-038701000</t>
  </si>
  <si>
    <t>C-038753000</t>
  </si>
  <si>
    <t>C-038702000</t>
  </si>
  <si>
    <t>C-038708000</t>
  </si>
  <si>
    <t>C-078683000</t>
  </si>
  <si>
    <t>86</t>
  </si>
  <si>
    <t>C-048701000</t>
  </si>
  <si>
    <t>C-048750000</t>
  </si>
  <si>
    <t>C-048703000</t>
  </si>
  <si>
    <t>C-058703000</t>
  </si>
  <si>
    <t>C-058702000</t>
  </si>
  <si>
    <t>C-058701000</t>
  </si>
  <si>
    <t>C-158701000</t>
  </si>
  <si>
    <t>C-078603000</t>
  </si>
  <si>
    <t>C-078910000</t>
  </si>
  <si>
    <t>89</t>
  </si>
  <si>
    <t>C-078903000</t>
  </si>
  <si>
    <t>C-078754000</t>
  </si>
  <si>
    <t>C-078523000</t>
  </si>
  <si>
    <t>85</t>
  </si>
  <si>
    <t>C-078799000</t>
  </si>
  <si>
    <t>C-078604000</t>
  </si>
  <si>
    <t>C-078794000</t>
  </si>
  <si>
    <t>C-078979000</t>
  </si>
  <si>
    <t>C-078701000</t>
  </si>
  <si>
    <t>C-078938000</t>
  </si>
  <si>
    <t>C-078782000</t>
  </si>
  <si>
    <t>C-078501000</t>
  </si>
  <si>
    <t>C-078793000</t>
  </si>
  <si>
    <t>C-078970000</t>
  </si>
  <si>
    <t>C-078967000</t>
  </si>
  <si>
    <t>C-078724000</t>
  </si>
  <si>
    <t>C-078989000</t>
  </si>
  <si>
    <t>C-078785000</t>
  </si>
  <si>
    <t>C-078946000</t>
  </si>
  <si>
    <t>C-078665000</t>
  </si>
  <si>
    <t>C-078707000</t>
  </si>
  <si>
    <t>C-078993000</t>
  </si>
  <si>
    <t>C-078723000</t>
  </si>
  <si>
    <t>C-078511000</t>
  </si>
  <si>
    <t>C-078922000</t>
  </si>
  <si>
    <t>C-078991000</t>
  </si>
  <si>
    <t>C-078722000</t>
  </si>
  <si>
    <t>C-078961000</t>
  </si>
  <si>
    <t>C-078510000</t>
  </si>
  <si>
    <t>C-078614000</t>
  </si>
  <si>
    <t>C-078731000</t>
  </si>
  <si>
    <t>C-078988000</t>
  </si>
  <si>
    <t>C-078987000</t>
  </si>
  <si>
    <t>C-078736000</t>
  </si>
  <si>
    <t>C-078972000</t>
  </si>
  <si>
    <t>C-078766000</t>
  </si>
  <si>
    <t>C-078745000</t>
  </si>
  <si>
    <t>C-078746000</t>
  </si>
  <si>
    <t>C-078762000</t>
  </si>
  <si>
    <t>C-098749000</t>
  </si>
  <si>
    <t>C-078768000</t>
  </si>
  <si>
    <t>C-078909000</t>
  </si>
  <si>
    <t>C-078524000</t>
  </si>
  <si>
    <t>C-078908000</t>
  </si>
  <si>
    <t>C-078772000</t>
  </si>
  <si>
    <t>C-078957000</t>
  </si>
  <si>
    <t>C-078515000</t>
  </si>
  <si>
    <t>C-078971000</t>
  </si>
  <si>
    <t>C-078744000</t>
  </si>
  <si>
    <t>C-078916000</t>
  </si>
  <si>
    <t>C-078915000</t>
  </si>
  <si>
    <t>C-078917000</t>
  </si>
  <si>
    <t>C-078995000</t>
  </si>
  <si>
    <t>C-078994000</t>
  </si>
  <si>
    <t>C-078975000</t>
  </si>
  <si>
    <t>C-078513000</t>
  </si>
  <si>
    <t>C-078921000</t>
  </si>
  <si>
    <t>C-078702000</t>
  </si>
  <si>
    <t>C-078704000</t>
  </si>
  <si>
    <t>C-078934000</t>
  </si>
  <si>
    <t>C-078947000</t>
  </si>
  <si>
    <t>C-078725000</t>
  </si>
  <si>
    <t>C-078509000</t>
  </si>
  <si>
    <t>C-078990000</t>
  </si>
  <si>
    <t>C-078742000</t>
  </si>
  <si>
    <t>C-078740000</t>
  </si>
  <si>
    <t>C-078739000</t>
  </si>
  <si>
    <t>C-078717000</t>
  </si>
  <si>
    <t>C-078634000</t>
  </si>
  <si>
    <t>C-078911000</t>
  </si>
  <si>
    <t>C-078718000</t>
  </si>
  <si>
    <t>C-078664000</t>
  </si>
  <si>
    <t>C-078610000</t>
  </si>
  <si>
    <t>C-078505000</t>
  </si>
  <si>
    <t>C-078110000</t>
  </si>
  <si>
    <t>81</t>
  </si>
  <si>
    <t>C-078948000</t>
  </si>
  <si>
    <t>C-078901000</t>
  </si>
  <si>
    <t>C-078608000</t>
  </si>
  <si>
    <t>C-078628000</t>
  </si>
  <si>
    <t>C-078755000</t>
  </si>
  <si>
    <t>C-078611000</t>
  </si>
  <si>
    <t>C-078679000</t>
  </si>
  <si>
    <t>C-078774000</t>
  </si>
  <si>
    <t>C-078708000</t>
  </si>
  <si>
    <t>C-078663000</t>
  </si>
  <si>
    <t>C-078998000</t>
  </si>
  <si>
    <t>C-078712000</t>
  </si>
  <si>
    <t>C-078752000</t>
  </si>
  <si>
    <t>C-078713000</t>
  </si>
  <si>
    <t>C-078519000</t>
  </si>
  <si>
    <t>C-078520000</t>
  </si>
  <si>
    <t>C-078521000</t>
  </si>
  <si>
    <t>C-078522000</t>
  </si>
  <si>
    <t>C-078751000</t>
  </si>
  <si>
    <t>C-078741000</t>
  </si>
  <si>
    <t>C-078710000</t>
  </si>
  <si>
    <t>C-078902000</t>
  </si>
  <si>
    <t>C-078795000</t>
  </si>
  <si>
    <t>C-078928000</t>
  </si>
  <si>
    <t>C-078753000</t>
  </si>
  <si>
    <t>C-078779000</t>
  </si>
  <si>
    <t>C-078759000</t>
  </si>
  <si>
    <t>C-078968000</t>
  </si>
  <si>
    <t>C-078507000</t>
  </si>
  <si>
    <t>C-078685000</t>
  </si>
  <si>
    <t>C-078784000</t>
  </si>
  <si>
    <t>C-078980000</t>
  </si>
  <si>
    <t>C-078997000</t>
  </si>
  <si>
    <t>C-078647000</t>
  </si>
  <si>
    <t>C-078743000</t>
  </si>
  <si>
    <t>C-078949000</t>
  </si>
  <si>
    <t>C-078613000</t>
  </si>
  <si>
    <t>C-078906000</t>
  </si>
  <si>
    <t>C-078976000</t>
  </si>
  <si>
    <t>C-078791000</t>
  </si>
  <si>
    <t>C-078904000</t>
  </si>
  <si>
    <t>C-078977000</t>
  </si>
  <si>
    <t>C-078763000</t>
  </si>
  <si>
    <t>C-078936000</t>
  </si>
  <si>
    <t>C-078982000</t>
  </si>
  <si>
    <t>C-078771000</t>
  </si>
  <si>
    <t>C-078504000</t>
  </si>
  <si>
    <t>C-078748000</t>
  </si>
  <si>
    <t>C-078981000</t>
  </si>
  <si>
    <t>C-078760000</t>
  </si>
  <si>
    <t>C-078930000</t>
  </si>
  <si>
    <t>C-078945000</t>
  </si>
  <si>
    <t>C-078950000</t>
  </si>
  <si>
    <t>C-078767000</t>
  </si>
  <si>
    <t>C-078925000</t>
  </si>
  <si>
    <t>C-078940000</t>
  </si>
  <si>
    <t>C-078912000</t>
  </si>
  <si>
    <t>C-078905000</t>
  </si>
  <si>
    <t>C-078963000</t>
  </si>
  <si>
    <t>C-078792000</t>
  </si>
  <si>
    <t>C-078621000</t>
  </si>
  <si>
    <t>C-078733000</t>
  </si>
  <si>
    <t>C-078951000</t>
  </si>
  <si>
    <t>C-078714000</t>
  </si>
  <si>
    <t>C-078776000</t>
  </si>
  <si>
    <t>C-078730000</t>
  </si>
  <si>
    <t>C-078728000</t>
  </si>
  <si>
    <t>C-078720000</t>
  </si>
  <si>
    <t>C-078726000</t>
  </si>
  <si>
    <t>C-078729000</t>
  </si>
  <si>
    <t>C-078920000</t>
  </si>
  <si>
    <t>C-078907000</t>
  </si>
  <si>
    <t>C-078670000</t>
  </si>
  <si>
    <t>C-078939000</t>
  </si>
  <si>
    <t>C-078516000</t>
  </si>
  <si>
    <t>C-078926000</t>
  </si>
  <si>
    <t>C-078508000</t>
  </si>
  <si>
    <t>C-078735000</t>
  </si>
  <si>
    <t>C-078656000</t>
  </si>
  <si>
    <t>C-078962000</t>
  </si>
  <si>
    <t>C-078999000</t>
  </si>
  <si>
    <t>C-078734000</t>
  </si>
  <si>
    <t>C-078796000</t>
  </si>
  <si>
    <t>C-078705000</t>
  </si>
  <si>
    <t>C-078973000</t>
  </si>
  <si>
    <t>C-078914000</t>
  </si>
  <si>
    <t>C-078786000</t>
  </si>
  <si>
    <t>C-078983000</t>
  </si>
  <si>
    <t>C-078517000</t>
  </si>
  <si>
    <t>C-078992000</t>
  </si>
  <si>
    <t>C-078781000</t>
  </si>
  <si>
    <t>C-078924000</t>
  </si>
  <si>
    <t>C-078952000</t>
  </si>
  <si>
    <t>C-078953000</t>
  </si>
  <si>
    <t>C-078923000</t>
  </si>
  <si>
    <t>C-078954000</t>
  </si>
  <si>
    <t>C-078761000</t>
  </si>
  <si>
    <t>C-078747000</t>
  </si>
  <si>
    <t>C-078630000</t>
  </si>
  <si>
    <t>C-078440000</t>
  </si>
  <si>
    <t>84</t>
  </si>
  <si>
    <t>C-078964000</t>
  </si>
  <si>
    <t>C-078609000</t>
  </si>
  <si>
    <t>C-078984000</t>
  </si>
  <si>
    <t>C-078775000</t>
  </si>
  <si>
    <t>C-078757000</t>
  </si>
  <si>
    <t>C-078715000</t>
  </si>
  <si>
    <t>C-078960000</t>
  </si>
  <si>
    <t>C-078935000</t>
  </si>
  <si>
    <t>C-078974000</t>
  </si>
  <si>
    <t>C-078956000</t>
  </si>
  <si>
    <t>C-078931000</t>
  </si>
  <si>
    <t>C-078773000</t>
  </si>
  <si>
    <t>C-078933000</t>
  </si>
  <si>
    <t>C-078749000</t>
  </si>
  <si>
    <t>C-078716000</t>
  </si>
  <si>
    <t>C-088704000</t>
  </si>
  <si>
    <t>C-088757000</t>
  </si>
  <si>
    <t>C-088756000</t>
  </si>
  <si>
    <t>C-088750000</t>
  </si>
  <si>
    <t>C-088759000</t>
  </si>
  <si>
    <t>C-088703000</t>
  </si>
  <si>
    <t>C-088758000</t>
  </si>
  <si>
    <t>C-088702000</t>
  </si>
  <si>
    <t>C-088755000</t>
  </si>
  <si>
    <t>C-088620000</t>
  </si>
  <si>
    <t>C-078758000</t>
  </si>
  <si>
    <t>C-078985000</t>
  </si>
  <si>
    <t>C-098651000</t>
  </si>
  <si>
    <t>C-098750000</t>
  </si>
  <si>
    <t>C-098748000</t>
  </si>
  <si>
    <t>C-098745000</t>
  </si>
  <si>
    <t>C-098747000</t>
  </si>
  <si>
    <t>C-098746000</t>
  </si>
  <si>
    <t>C-108731000</t>
  </si>
  <si>
    <t>C-108713000</t>
  </si>
  <si>
    <t>C-108665000</t>
  </si>
  <si>
    <t>C-108767000</t>
  </si>
  <si>
    <t>C-108716000</t>
  </si>
  <si>
    <t>C-108794000</t>
  </si>
  <si>
    <t>C-108785000</t>
  </si>
  <si>
    <t>C-108709000</t>
  </si>
  <si>
    <t>C-108725000</t>
  </si>
  <si>
    <t>C-108728000</t>
  </si>
  <si>
    <t>C-108727000</t>
  </si>
  <si>
    <t>C-108793000</t>
  </si>
  <si>
    <t>C-108788000</t>
  </si>
  <si>
    <t>C-108715000</t>
  </si>
  <si>
    <t>C-108777000</t>
  </si>
  <si>
    <t>C-108712000</t>
  </si>
  <si>
    <t>C-108776000</t>
  </si>
  <si>
    <t>C-108666000</t>
  </si>
  <si>
    <t>C-108787000</t>
  </si>
  <si>
    <t>C-108732000</t>
  </si>
  <si>
    <t>C-108771000</t>
  </si>
  <si>
    <t>C-108781000</t>
  </si>
  <si>
    <t>C-108653000</t>
  </si>
  <si>
    <t>C-108717000</t>
  </si>
  <si>
    <t>C-108792000</t>
  </si>
  <si>
    <t>C-108797000</t>
  </si>
  <si>
    <t>C-108721000</t>
  </si>
  <si>
    <t>C-108770000</t>
  </si>
  <si>
    <t>C-108789000</t>
  </si>
  <si>
    <t>C-108726000</t>
  </si>
  <si>
    <t>C-108730000</t>
  </si>
  <si>
    <t>C-108701000</t>
  </si>
  <si>
    <t>C-108775000</t>
  </si>
  <si>
    <t>C-108784000</t>
  </si>
  <si>
    <t>C-108708000</t>
  </si>
  <si>
    <t>C-108702000</t>
  </si>
  <si>
    <t>C-108774000</t>
  </si>
  <si>
    <t>C-108703000</t>
  </si>
  <si>
    <t>C-108769000</t>
  </si>
  <si>
    <t>C-108724000</t>
  </si>
  <si>
    <t>C-108707000</t>
  </si>
  <si>
    <t>C-108790000</t>
  </si>
  <si>
    <t>C-108601000</t>
  </si>
  <si>
    <t>C-108711000</t>
  </si>
  <si>
    <t>C-108744000</t>
  </si>
  <si>
    <t>C-108796000</t>
  </si>
  <si>
    <t>C-108778000</t>
  </si>
  <si>
    <t>C-108719000</t>
  </si>
  <si>
    <t>C-108710000</t>
  </si>
  <si>
    <t>C-108772000</t>
  </si>
  <si>
    <t>C-108779000</t>
  </si>
  <si>
    <t>C-108780000</t>
  </si>
  <si>
    <t>C-108722000</t>
  </si>
  <si>
    <t>C-108786000</t>
  </si>
  <si>
    <t>C-108706000</t>
  </si>
  <si>
    <t>C-108773000</t>
  </si>
  <si>
    <t>C-108714000</t>
  </si>
  <si>
    <t>C-108768000</t>
  </si>
  <si>
    <t>C-108720000</t>
  </si>
  <si>
    <t>C-108766000</t>
  </si>
  <si>
    <t>C-108660000</t>
  </si>
  <si>
    <t>C-108705000</t>
  </si>
  <si>
    <t>C-108729000</t>
  </si>
  <si>
    <t>C-118705000</t>
  </si>
  <si>
    <t>C-118706000</t>
  </si>
  <si>
    <t>C-118703000</t>
  </si>
  <si>
    <t>C-118701000</t>
  </si>
  <si>
    <t>C-118704000</t>
  </si>
  <si>
    <t>C-118702000</t>
  </si>
  <si>
    <t>C-118707000</t>
  </si>
  <si>
    <t>C-128703000</t>
  </si>
  <si>
    <t>C-128725000</t>
  </si>
  <si>
    <t>C-128701000</t>
  </si>
  <si>
    <t>C-128726000</t>
  </si>
  <si>
    <t>C-138452000</t>
  </si>
  <si>
    <t>C-138763000</t>
  </si>
  <si>
    <t>C-138760000</t>
  </si>
  <si>
    <t>C-138754000</t>
  </si>
  <si>
    <t>C-138713000</t>
  </si>
  <si>
    <t>C-138761000</t>
  </si>
  <si>
    <t>C-138753000</t>
  </si>
  <si>
    <t>C-138714000</t>
  </si>
  <si>
    <t>C-138705000</t>
  </si>
  <si>
    <t>C-138751000</t>
  </si>
  <si>
    <t>C-138759000</t>
  </si>
  <si>
    <t>C-138757000</t>
  </si>
  <si>
    <t>C-138711000</t>
  </si>
  <si>
    <t>C-138712000</t>
  </si>
  <si>
    <t>C-138768000</t>
  </si>
  <si>
    <t>C-138654000</t>
  </si>
  <si>
    <t>C-138758000</t>
  </si>
  <si>
    <t>C-138756000</t>
  </si>
  <si>
    <t>C-138755000</t>
  </si>
  <si>
    <t>C-138702000</t>
  </si>
  <si>
    <t>C-138708000</t>
  </si>
  <si>
    <t>C-138767000</t>
  </si>
  <si>
    <t>C-138703000</t>
  </si>
  <si>
    <t>C-148757000</t>
  </si>
  <si>
    <t>C-148761000</t>
  </si>
  <si>
    <t>C-148760000</t>
  </si>
  <si>
    <t>C-148759000</t>
  </si>
  <si>
    <t>C-148758000</t>
  </si>
  <si>
    <t>C-040210700</t>
  </si>
  <si>
    <t>D-010307000</t>
  </si>
  <si>
    <t>D-010224000</t>
  </si>
  <si>
    <t>D-010306000</t>
  </si>
  <si>
    <t>D-010220000</t>
  </si>
  <si>
    <t>D-010323000</t>
  </si>
  <si>
    <t>D-010227000</t>
  </si>
  <si>
    <t>D-010210000</t>
  </si>
  <si>
    <t>D-010218000</t>
  </si>
  <si>
    <t>D-010201000</t>
  </si>
  <si>
    <t>D-010309000</t>
  </si>
  <si>
    <t>D-010208000</t>
  </si>
  <si>
    <t>D-999999000</t>
  </si>
  <si>
    <t>D-020342000</t>
  </si>
  <si>
    <t>D-020453000</t>
  </si>
  <si>
    <t>D-020209000</t>
  </si>
  <si>
    <t>D-020202000</t>
  </si>
  <si>
    <t>D-020214000</t>
  </si>
  <si>
    <t>D-020326000</t>
  </si>
  <si>
    <t>D-020801000</t>
  </si>
  <si>
    <t>D-020345000</t>
  </si>
  <si>
    <t>D-020227000</t>
  </si>
  <si>
    <t>D-020412000</t>
  </si>
  <si>
    <t>D-020381000</t>
  </si>
  <si>
    <t>D-020100000</t>
  </si>
  <si>
    <t>D-020355000</t>
  </si>
  <si>
    <t>D-020323000</t>
  </si>
  <si>
    <t>D-020349000</t>
  </si>
  <si>
    <t>D-020422000</t>
  </si>
  <si>
    <t>D-020364000</t>
  </si>
  <si>
    <t>D-020366000</t>
  </si>
  <si>
    <t>D-020218000</t>
  </si>
  <si>
    <t>D-020268000</t>
  </si>
  <si>
    <t>D-020221000</t>
  </si>
  <si>
    <t>D-020201000</t>
  </si>
  <si>
    <t>D-020522000</t>
  </si>
  <si>
    <t>D-020213000</t>
  </si>
  <si>
    <t>D-030801000</t>
  </si>
  <si>
    <t>D-030305000</t>
  </si>
  <si>
    <t>D-030199000</t>
  </si>
  <si>
    <t>D-030201000</t>
  </si>
  <si>
    <t>D-030206000</t>
  </si>
  <si>
    <t>D-030204000</t>
  </si>
  <si>
    <t>D-030310000</t>
  </si>
  <si>
    <t>D-030208000</t>
  </si>
  <si>
    <t>D-030215000</t>
  </si>
  <si>
    <t>D-030202000</t>
  </si>
  <si>
    <t>D-040149000</t>
  </si>
  <si>
    <t>D-040201000</t>
  </si>
  <si>
    <t>D-040241000</t>
  </si>
  <si>
    <t>D-040240000</t>
  </si>
  <si>
    <t>D-040210000</t>
  </si>
  <si>
    <t>D-040312000</t>
  </si>
  <si>
    <t>D-040220000</t>
  </si>
  <si>
    <t>D-040333000</t>
  </si>
  <si>
    <t>D-040305000</t>
  </si>
  <si>
    <t>D-050316000</t>
  </si>
  <si>
    <t>D-050207000</t>
  </si>
  <si>
    <t>D-050802000</t>
  </si>
  <si>
    <t>D-050309000</t>
  </si>
  <si>
    <t>D-050206000</t>
  </si>
  <si>
    <t>D-050201000</t>
  </si>
  <si>
    <t>D-050305000</t>
  </si>
  <si>
    <t>D-050204000</t>
  </si>
  <si>
    <t>D-060322000</t>
  </si>
  <si>
    <t>D-060203000</t>
  </si>
  <si>
    <t>D-060202000</t>
  </si>
  <si>
    <t>D-060345000</t>
  </si>
  <si>
    <t>D-060218000</t>
  </si>
  <si>
    <t>D-150576000</t>
  </si>
  <si>
    <t>D-150426000</t>
  </si>
  <si>
    <t>D-150227000</t>
  </si>
  <si>
    <t>D-150404000</t>
  </si>
  <si>
    <t>D-150430000</t>
  </si>
  <si>
    <t>D-150419000</t>
  </si>
  <si>
    <t>D-070516000</t>
  </si>
  <si>
    <t>D-070363000</t>
  </si>
  <si>
    <t>D-070468000</t>
  </si>
  <si>
    <t>D-070447000</t>
  </si>
  <si>
    <t>D-070444000</t>
  </si>
  <si>
    <t>D-070431000</t>
  </si>
  <si>
    <t>D-070433000</t>
  </si>
  <si>
    <t>D-070501000</t>
  </si>
  <si>
    <t>D-070483000</t>
  </si>
  <si>
    <t>D-070293000</t>
  </si>
  <si>
    <t>D-070280000</t>
  </si>
  <si>
    <t>D-070414000</t>
  </si>
  <si>
    <t>D-070297000</t>
  </si>
  <si>
    <t>D-070289000</t>
  </si>
  <si>
    <t>D-070801000</t>
  </si>
  <si>
    <t>D-070298000</t>
  </si>
  <si>
    <t>D-070445000</t>
  </si>
  <si>
    <t>D-070224000</t>
  </si>
  <si>
    <t>D-070241000</t>
  </si>
  <si>
    <t>D-070440000</t>
  </si>
  <si>
    <t>D-070505000</t>
  </si>
  <si>
    <t>D-070260000</t>
  </si>
  <si>
    <t>D-070405000</t>
  </si>
  <si>
    <t>D-070428000</t>
  </si>
  <si>
    <t>D-070459000</t>
  </si>
  <si>
    <t>D-070425000</t>
  </si>
  <si>
    <t>D-070479000</t>
  </si>
  <si>
    <t>D-070465000</t>
  </si>
  <si>
    <t>D-070438000</t>
  </si>
  <si>
    <t>D-070199000</t>
  </si>
  <si>
    <t>D-070204000</t>
  </si>
  <si>
    <t>D-070386000</t>
  </si>
  <si>
    <t>D-070375000</t>
  </si>
  <si>
    <t>D-070421000</t>
  </si>
  <si>
    <t>D-070381000</t>
  </si>
  <si>
    <t>D-070408000</t>
  </si>
  <si>
    <t>D-070449000</t>
  </si>
  <si>
    <t>D-070394000</t>
  </si>
  <si>
    <t>D-070269000</t>
  </si>
  <si>
    <t>D-070492000</t>
  </si>
  <si>
    <t>D-070211000</t>
  </si>
  <si>
    <t>D-070401000</t>
  </si>
  <si>
    <t>D-070510000</t>
  </si>
  <si>
    <t>D-070295000</t>
  </si>
  <si>
    <t>D-070402000</t>
  </si>
  <si>
    <t>D-070466000</t>
  </si>
  <si>
    <t>D-070290000</t>
  </si>
  <si>
    <t>D-070248000</t>
  </si>
  <si>
    <t>D-070371000</t>
  </si>
  <si>
    <t>D-070403000</t>
  </si>
  <si>
    <t>D-070513000</t>
  </si>
  <si>
    <t>D-070417000</t>
  </si>
  <si>
    <t>D-070514000</t>
  </si>
  <si>
    <t>D-070462000</t>
  </si>
  <si>
    <t>D-070406000</t>
  </si>
  <si>
    <t>D-070802000</t>
  </si>
  <si>
    <t>D-070209000</t>
  </si>
  <si>
    <t>D-070407000</t>
  </si>
  <si>
    <t>D-080415000</t>
  </si>
  <si>
    <t>D-080214000</t>
  </si>
  <si>
    <t>D-080502000</t>
  </si>
  <si>
    <t>D-080303000</t>
  </si>
  <si>
    <t>D-080220000</t>
  </si>
  <si>
    <t>D-080201000</t>
  </si>
  <si>
    <t>D-080209000</t>
  </si>
  <si>
    <t>D-080416000</t>
  </si>
  <si>
    <t>D-080306000</t>
  </si>
  <si>
    <t>D-080208000</t>
  </si>
  <si>
    <t>D-080412000</t>
  </si>
  <si>
    <t>D-080322000</t>
  </si>
  <si>
    <t>D-080313000</t>
  </si>
  <si>
    <t>D-090232000</t>
  </si>
  <si>
    <t>D-090225000</t>
  </si>
  <si>
    <t>D-090206000</t>
  </si>
  <si>
    <t>D-090203000</t>
  </si>
  <si>
    <t>D-090202000</t>
  </si>
  <si>
    <t>D-090227000</t>
  </si>
  <si>
    <t>D-090835000</t>
  </si>
  <si>
    <t>D-090836000</t>
  </si>
  <si>
    <t>D-090204000</t>
  </si>
  <si>
    <t>D-090199000</t>
  </si>
  <si>
    <t>D-090210000</t>
  </si>
  <si>
    <t>D-090205000</t>
  </si>
  <si>
    <t>D-090220000</t>
  </si>
  <si>
    <t>D-090201000</t>
  </si>
  <si>
    <t>D-100215000</t>
  </si>
  <si>
    <t>D-100351000</t>
  </si>
  <si>
    <t>D-100210000</t>
  </si>
  <si>
    <t>D-100216000</t>
  </si>
  <si>
    <t>D-100339000</t>
  </si>
  <si>
    <t>D-100337000</t>
  </si>
  <si>
    <t>D-100208000</t>
  </si>
  <si>
    <t>D-100240000</t>
  </si>
  <si>
    <t>D-100206000</t>
  </si>
  <si>
    <t>D-100100000</t>
  </si>
  <si>
    <t>D-100344000</t>
  </si>
  <si>
    <t>D-100230000</t>
  </si>
  <si>
    <t>D-100335000</t>
  </si>
  <si>
    <t>D-100212000</t>
  </si>
  <si>
    <t>D-100213000</t>
  </si>
  <si>
    <t>D-100201000</t>
  </si>
  <si>
    <t>D-100220000</t>
  </si>
  <si>
    <t>D-110243000</t>
  </si>
  <si>
    <t>D-110404000</t>
  </si>
  <si>
    <t>D-110502000</t>
  </si>
  <si>
    <t>D-110801000</t>
  </si>
  <si>
    <t>D-110802000</t>
  </si>
  <si>
    <t>D-110221000</t>
  </si>
  <si>
    <t>D-110411000</t>
  </si>
  <si>
    <t>D-110201000</t>
  </si>
  <si>
    <t>D-110344000</t>
  </si>
  <si>
    <t>D-110208000</t>
  </si>
  <si>
    <t>D-110220000</t>
  </si>
  <si>
    <t>D-110100000</t>
  </si>
  <si>
    <t>D-110302000</t>
  </si>
  <si>
    <t>D-110433000</t>
  </si>
  <si>
    <t>D-110203000</t>
  </si>
  <si>
    <t>D-110405000</t>
  </si>
  <si>
    <t>D-110418000</t>
  </si>
  <si>
    <t>D-110540000</t>
  </si>
  <si>
    <t>D-110424000</t>
  </si>
  <si>
    <t>D-110215000</t>
  </si>
  <si>
    <t>D-110422000</t>
  </si>
  <si>
    <t>D-120201000</t>
  </si>
  <si>
    <t>D-120406000</t>
  </si>
  <si>
    <t>D-120520000</t>
  </si>
  <si>
    <t>D-120199000</t>
  </si>
  <si>
    <t>D-120328000</t>
  </si>
  <si>
    <t>D-120235000</t>
  </si>
  <si>
    <t>D-120425000</t>
  </si>
  <si>
    <t>D-130231000</t>
  </si>
  <si>
    <t>D-130220000</t>
  </si>
  <si>
    <t>D-130326000</t>
  </si>
  <si>
    <t>D-130228000</t>
  </si>
  <si>
    <t>D-130350000</t>
  </si>
  <si>
    <t>D-130314000</t>
  </si>
  <si>
    <t>D-130251000</t>
  </si>
  <si>
    <t>D-130403000</t>
  </si>
  <si>
    <t>D-130317000</t>
  </si>
  <si>
    <t>D-130406000</t>
  </si>
  <si>
    <t>D-130341000</t>
  </si>
  <si>
    <t>D-130335000</t>
  </si>
  <si>
    <t>D-130222000</t>
  </si>
  <si>
    <t>D-130323000</t>
  </si>
  <si>
    <t>D-130243000</t>
  </si>
  <si>
    <t>D-130504000</t>
  </si>
  <si>
    <t>D-130201000</t>
  </si>
  <si>
    <t>D-130209000</t>
  </si>
  <si>
    <t>D-130240000</t>
  </si>
  <si>
    <t>D-130315000</t>
  </si>
  <si>
    <t>D-130801000</t>
  </si>
  <si>
    <t>D-130307000</t>
  </si>
  <si>
    <t>D-130302000</t>
  </si>
  <si>
    <t>D-130352000</t>
  </si>
  <si>
    <t>D-130199000</t>
  </si>
  <si>
    <t>D-140550000</t>
  </si>
  <si>
    <t>D-140413000</t>
  </si>
  <si>
    <t>D-140432000</t>
  </si>
  <si>
    <t>D-140416000</t>
  </si>
  <si>
    <t>D-140417000</t>
  </si>
  <si>
    <t>D-140411000</t>
  </si>
  <si>
    <t>D-140424000</t>
  </si>
  <si>
    <t>D-140401000</t>
  </si>
  <si>
    <t>D-140570000</t>
  </si>
  <si>
    <t>C-999999000</t>
  </si>
  <si>
    <t>Type Code Legend:</t>
  </si>
  <si>
    <t>Public School Districts:</t>
  </si>
  <si>
    <t>337 State-Sponsored Public Charter Schools:</t>
  </si>
  <si>
    <t>86 = State Board of Education</t>
  </si>
  <si>
    <t>87 &amp; 89 = State Board for Charter Schools</t>
  </si>
  <si>
    <t>Per Pupil Revenue</t>
  </si>
  <si>
    <t>For Public School Districts and 337 State-Sponsored Public Charter Schools</t>
  </si>
  <si>
    <t>About Excel 2007 Tables</t>
  </si>
  <si>
    <t>Select a sort order to sort the list.</t>
  </si>
  <si>
    <t xml:space="preserve">The last button used displays an up or down arrow. </t>
  </si>
  <si>
    <t>For lowest to highest per pupil in a county:</t>
  </si>
  <si>
    <t xml:space="preserve">     Then, sort by County (col. A or B)</t>
  </si>
  <si>
    <t>D/C Legend:</t>
  </si>
  <si>
    <t>C = Public Charter School</t>
  </si>
  <si>
    <t xml:space="preserve">D = Traditional Public School District </t>
  </si>
  <si>
    <t>~State</t>
  </si>
  <si>
    <t>~C</t>
  </si>
  <si>
    <t>~D</t>
  </si>
  <si>
    <t>~99</t>
  </si>
  <si>
    <t>~Total-Districts</t>
  </si>
  <si>
    <t>~C-999999999</t>
  </si>
  <si>
    <t>~D-999999999</t>
  </si>
  <si>
    <t>0</t>
  </si>
  <si>
    <t>~Total-Charters</t>
  </si>
  <si>
    <t>~Subtotal-Charter Schools</t>
  </si>
  <si>
    <t>~Subtotal-Districts</t>
  </si>
  <si>
    <t>Purple = Drop-down arrow buttons.</t>
  </si>
  <si>
    <t>Green = Subtotals by county and state total</t>
  </si>
  <si>
    <t>for public school districts.</t>
  </si>
  <si>
    <t>for public charter schools.</t>
  </si>
  <si>
    <t>Highlighting Legend:</t>
  </si>
  <si>
    <t>Yellow = Subtotals by county and state total</t>
  </si>
  <si>
    <t>Click the the arrow buttons in row 6 (purple) to sort.</t>
  </si>
  <si>
    <t xml:space="preserve">     First, sort $PP from lowest to highest (col. I).</t>
  </si>
  <si>
    <t>Always use buttons to sort (not Data | Sort).</t>
  </si>
  <si>
    <t>To see all subtotals by county and the state total:</t>
  </si>
  <si>
    <t xml:space="preserve">     Click the arrow button in E6 and sort A to Z.</t>
  </si>
  <si>
    <t>2) Use button at B6 to sort A to Z.</t>
  </si>
  <si>
    <t>1) Use button at E6 to sort A to Z.</t>
  </si>
  <si>
    <t>To return tor original sort order:</t>
  </si>
  <si>
    <t>SAVE A COPY OF THIS FILE</t>
  </si>
  <si>
    <t>BEFORE YOU BEGIN TO SORT</t>
  </si>
  <si>
    <t>1) Click the the arrow buttons in row 6 (purple) to sort.</t>
  </si>
  <si>
    <t>2) Select a sort order to sort the list.</t>
  </si>
  <si>
    <t>~Total-D</t>
  </si>
  <si>
    <t>~Total-C</t>
  </si>
  <si>
    <t>~Total-C = The total of 337 state-sponsored public charter schools (Yellow Highlight).</t>
  </si>
  <si>
    <t>~Total-D = The total of all public school districts (Green Highlight).</t>
  </si>
  <si>
    <t>Use button at B6 to sort A to Z.</t>
  </si>
  <si>
    <t>For lowest to highest revenue per pupil ($PP) by county:</t>
  </si>
  <si>
    <t>1) Click the arrow button in cell E6.</t>
  </si>
  <si>
    <t>2) Select "Sort Smallest to Largest"</t>
  </si>
  <si>
    <t xml:space="preserve">Yellow = Total for 337 state-sponsored public </t>
  </si>
  <si>
    <t>charter schools.</t>
  </si>
  <si>
    <t>Green = Total for all public school districts.</t>
  </si>
  <si>
    <t>Traditional Public School District Revenue and Public Charter School Revenue By Source**</t>
  </si>
  <si>
    <t>Revenues, Special Program Expenditures, &amp; Tax Metrics by Public School Districts &amp; Public Charter Schools**</t>
  </si>
  <si>
    <t>** Includes 337 state-sponsored public charter schools.</t>
  </si>
  <si>
    <t>Intermediate</t>
  </si>
  <si>
    <t>County /</t>
  </si>
  <si>
    <t>2006-2007 Revenues</t>
  </si>
  <si>
    <t>ADM</t>
  </si>
  <si>
    <t>Intermed</t>
  </si>
  <si>
    <t>DCS Partner</t>
  </si>
  <si>
    <t>Excalibur</t>
  </si>
  <si>
    <t>Imagine Elementary-Camelback</t>
  </si>
  <si>
    <t>Schools</t>
  </si>
  <si>
    <t>Districts /</t>
  </si>
  <si>
    <t>Adjustments:</t>
  </si>
  <si>
    <t>NOTES</t>
  </si>
  <si>
    <r>
      <rPr>
        <b/>
        <sz val="9"/>
        <color indexed="8"/>
        <rFont val="Arial"/>
        <family val="2"/>
      </rPr>
      <t xml:space="preserve">District-Sponsored Charter Schools -- AFR Not Submitted:  </t>
    </r>
    <r>
      <rPr>
        <b/>
        <sz val="8"/>
        <color indexed="8"/>
        <rFont val="Arial"/>
        <family val="2"/>
      </rPr>
      <t xml:space="preserve">
</t>
    </r>
    <r>
      <rPr>
        <sz val="8"/>
        <color indexed="8"/>
        <rFont val="Arial"/>
        <family val="2"/>
      </rPr>
      <t>Per Annual Report of the Arizona Superintendent of Public Instruction, Fiscal Year 2006-2007, Volume II, pg. II-5</t>
    </r>
  </si>
  <si>
    <t>San Pedro Valley High Schools</t>
  </si>
  <si>
    <t>Benson Unified School District</t>
  </si>
  <si>
    <t>#020209700</t>
  </si>
  <si>
    <t>Sterling Acad of Math &amp; Science</t>
  </si>
  <si>
    <t>#080208760</t>
  </si>
  <si>
    <t>Peach Springs Unified SD</t>
  </si>
  <si>
    <t>Vail Charter High School</t>
  </si>
  <si>
    <t>#100220700</t>
  </si>
  <si>
    <t>Vail Unified School District</t>
  </si>
  <si>
    <t>Civano Charter School</t>
  </si>
  <si>
    <t>#100220705</t>
  </si>
  <si>
    <t>Coolidge High School</t>
  </si>
  <si>
    <t>#110221710</t>
  </si>
  <si>
    <t>Coolidge Unified SD</t>
  </si>
  <si>
    <t>Casa Verde High School</t>
  </si>
  <si>
    <t>#110502700</t>
  </si>
  <si>
    <t>Casa Grande Union High SD</t>
  </si>
  <si>
    <t>Adjustment Subtotal</t>
  </si>
  <si>
    <t>Total -- State Districts</t>
  </si>
  <si>
    <r>
      <rPr>
        <b/>
        <sz val="9"/>
        <color indexed="8"/>
        <rFont val="Arial"/>
        <family val="2"/>
      </rPr>
      <t>State Districts:</t>
    </r>
    <r>
      <rPr>
        <sz val="9"/>
        <color indexed="8"/>
        <rFont val="Arial"/>
        <family val="2"/>
      </rPr>
      <t xml:space="preserve"> </t>
    </r>
    <r>
      <rPr>
        <sz val="8"/>
        <color indexed="8"/>
        <rFont val="Arial"/>
        <family val="2"/>
      </rPr>
      <t xml:space="preserve">
Per Annual Report of the Arizona Superintendent of Public Instruction, Fiscal Year 2006-2007, Volume II, Section I</t>
    </r>
  </si>
  <si>
    <r>
      <rPr>
        <b/>
        <sz val="9"/>
        <color indexed="8"/>
        <rFont val="Arial"/>
        <family val="2"/>
      </rPr>
      <t>State Charter Schools:</t>
    </r>
    <r>
      <rPr>
        <sz val="9"/>
        <color indexed="8"/>
        <rFont val="Arial"/>
        <family val="2"/>
      </rPr>
      <t xml:space="preserve"> </t>
    </r>
    <r>
      <rPr>
        <sz val="8"/>
        <color indexed="8"/>
        <rFont val="Arial"/>
        <family val="2"/>
      </rPr>
      <t xml:space="preserve">
Per Annual Report of the Arizona Superintendent of Public Instruction, Fiscal Year 2006-2007, Volume II, Section II</t>
    </r>
  </si>
  <si>
    <t># of</t>
  </si>
  <si>
    <t>Charter</t>
  </si>
  <si>
    <r>
      <rPr>
        <b/>
        <sz val="9"/>
        <color indexed="8"/>
        <rFont val="Arial"/>
        <family val="2"/>
      </rPr>
      <t xml:space="preserve">District-Sponsored Charter Schools -- AFR Not Submitted:  </t>
    </r>
    <r>
      <rPr>
        <b/>
        <sz val="8"/>
        <color indexed="8"/>
        <rFont val="Arial"/>
        <family val="2"/>
      </rPr>
      <t xml:space="preserve">
</t>
    </r>
    <r>
      <rPr>
        <sz val="8"/>
        <color indexed="8"/>
        <rFont val="Arial"/>
        <family val="2"/>
      </rPr>
      <t>Per Annual Report of the Arizona Superintendent of Public Instruction, Fiscal Year 2006-2007, Volume II, pg. II-5 -- subtotal from above</t>
    </r>
  </si>
  <si>
    <t>NOTES:</t>
  </si>
  <si>
    <t>Data for district-sponsored charter schools is included in sponsoring district data (Section I), and not included in charter school totals (Section II); thus subtracted from districts.</t>
  </si>
  <si>
    <t>Data for district-sponsored charter schools is included in sponsoring district data (Section I), and not included in charter school totals (Section II); thus added to charter schools.</t>
  </si>
  <si>
    <r>
      <t>Total -- State Charter Schools</t>
    </r>
    <r>
      <rPr>
        <b/>
        <vertAlign val="superscript"/>
        <sz val="10"/>
        <color indexed="8"/>
        <rFont val="Arial"/>
        <family val="2"/>
      </rPr>
      <t>4</t>
    </r>
  </si>
  <si>
    <t>Total -- District Per Pupil</t>
  </si>
  <si>
    <r>
      <t>Total -- Charter Schools Per Pupil</t>
    </r>
    <r>
      <rPr>
        <b/>
        <vertAlign val="superscript"/>
        <sz val="10"/>
        <color indexed="8"/>
        <rFont val="Arial"/>
        <family val="2"/>
      </rPr>
      <t>4</t>
    </r>
  </si>
  <si>
    <t>Statistics:</t>
  </si>
  <si>
    <t>% District Students</t>
  </si>
  <si>
    <t>% Charter Students</t>
  </si>
  <si>
    <t>% of Revenues by Source: Charters</t>
  </si>
  <si>
    <t>% of Revenues by Source: Districts</t>
  </si>
  <si>
    <t>Per Pupil Difference:  Districts-Charters</t>
  </si>
  <si>
    <t>County/
Interm.</t>
  </si>
  <si>
    <r>
      <t xml:space="preserve">Change in charter school funding if district per pupil is applied to charter schools:  More / </t>
    </r>
    <r>
      <rPr>
        <b/>
        <sz val="9"/>
        <color indexed="10"/>
        <rFont val="Arial"/>
        <family val="2"/>
      </rPr>
      <t>(Less)</t>
    </r>
  </si>
  <si>
    <r>
      <t>Change in district school funding if charter schools per pupil is applied to all districts:  More /</t>
    </r>
    <r>
      <rPr>
        <b/>
        <sz val="9"/>
        <color indexed="10"/>
        <rFont val="Arial"/>
        <family val="2"/>
      </rPr>
      <t xml:space="preserve"> (Less)</t>
    </r>
  </si>
  <si>
    <t>Districts</t>
  </si>
  <si>
    <t>Primary (K-5)</t>
  </si>
  <si>
    <t>Middle (6-8)</t>
  </si>
  <si>
    <t>High (9-12)</t>
  </si>
  <si>
    <t>Other (K-12, K-8, etc.)</t>
  </si>
  <si>
    <t>Calculation of District and Charter School Amounts -- State Totals</t>
  </si>
  <si>
    <t>1/21/2009</t>
  </si>
  <si>
    <t>No Adjustments:</t>
  </si>
  <si>
    <t>Source:</t>
  </si>
  <si>
    <t>District Data:</t>
  </si>
  <si>
    <t>Calculation of District and Charter School Amounts -- Maricopa County Totals</t>
  </si>
  <si>
    <t>In 2006-2007 there were 342 state- and district-sponsored charter organizations operating 448 charter school campuses statewide.</t>
  </si>
  <si>
    <t>C/D</t>
  </si>
  <si>
    <t>Charter Organization</t>
  </si>
  <si>
    <t>Revenue Source</t>
  </si>
  <si>
    <t>Total Maricopa County Charters</t>
  </si>
  <si>
    <t>Per Annual Report of the Arizona Superintendent of Public</t>
  </si>
  <si>
    <t>Instruction, Fiscal Year 2006-2007, Volume II, Section I.</t>
  </si>
  <si>
    <t>Charter Data:</t>
  </si>
  <si>
    <t>Instruction, Fiscal Year 2006-2007, Volume II, Section II.</t>
  </si>
  <si>
    <t>Count</t>
  </si>
  <si>
    <t>Per Pupil</t>
  </si>
  <si>
    <t>Maricopa County Charter Schools</t>
  </si>
  <si>
    <t>Revenue by Source and Total Per Pupil Revenue</t>
  </si>
  <si>
    <t>PROOF</t>
  </si>
  <si>
    <t>Maricopa County School Districts</t>
  </si>
  <si>
    <t>This data available for total school districts -- not needed here.</t>
  </si>
  <si>
    <t>Total Maricopa County Districts</t>
  </si>
  <si>
    <t>About MS Excel 2007 Tables (see at LEFT)</t>
  </si>
  <si>
    <t>Revenue by Source-% District Share</t>
  </si>
  <si>
    <t>Revenue by Source-% Charter Share</t>
  </si>
  <si>
    <t>Maricopa Total-% of Revenue by Source</t>
  </si>
  <si>
    <t>Total -- Charter Schools Per Pupil</t>
  </si>
  <si>
    <t>State K-12 Total-% of Revenue by Source</t>
  </si>
  <si>
    <t>Total used for the 2006-2007 Charter School Funding study.</t>
  </si>
  <si>
    <t>In 2006-2007 in Maricopa County there were 194 state-sponsored charter organizations (none district-sponsored) operating 252 charter school campuses.</t>
  </si>
  <si>
    <r>
      <rPr>
        <b/>
        <sz val="9"/>
        <color indexed="8"/>
        <rFont val="Arial"/>
        <family val="2"/>
      </rPr>
      <t>Maricopa County Districts:</t>
    </r>
    <r>
      <rPr>
        <sz val="9"/>
        <color indexed="8"/>
        <rFont val="Arial"/>
        <family val="2"/>
      </rPr>
      <t xml:space="preserve"> </t>
    </r>
    <r>
      <rPr>
        <sz val="8"/>
        <color indexed="8"/>
        <rFont val="Arial"/>
        <family val="2"/>
      </rPr>
      <t xml:space="preserve">
Per Annual Report of the Arizona Superintendent of Public Instruction, Fiscal Year 2006-2007, Volume II, Section I</t>
    </r>
  </si>
  <si>
    <t>Total -- Maricopa County Districts</t>
  </si>
  <si>
    <r>
      <rPr>
        <b/>
        <sz val="9"/>
        <color indexed="8"/>
        <rFont val="Arial"/>
        <family val="2"/>
      </rPr>
      <t>Maricopa County Charter Schools:</t>
    </r>
    <r>
      <rPr>
        <sz val="9"/>
        <color indexed="8"/>
        <rFont val="Arial"/>
        <family val="2"/>
      </rPr>
      <t xml:space="preserve"> </t>
    </r>
    <r>
      <rPr>
        <sz val="8"/>
        <color indexed="8"/>
        <rFont val="Arial"/>
        <family val="2"/>
      </rPr>
      <t xml:space="preserve">
Per Annual Report of the Arizona Superintendent of Public Instruction, Fiscal Year 2006-2007, Volume II, Section II</t>
    </r>
  </si>
  <si>
    <r>
      <t>Total -- Maricopa Charter Schools</t>
    </r>
    <r>
      <rPr>
        <b/>
        <vertAlign val="superscript"/>
        <sz val="10"/>
        <color indexed="8"/>
        <rFont val="Arial"/>
        <family val="2"/>
      </rPr>
      <t>2</t>
    </r>
  </si>
  <si>
    <t>Total Maricopa County Public K-12 Education</t>
  </si>
  <si>
    <t>Total Maricopa County Public K-12-Revenue</t>
  </si>
  <si>
    <t>Total State Public K-12 Education-Revenue</t>
  </si>
  <si>
    <t>Total State Public K-12 Education-ADM</t>
  </si>
  <si>
    <t>Figure 1</t>
  </si>
  <si>
    <t>Figure 2</t>
  </si>
  <si>
    <t>Statewide</t>
  </si>
  <si>
    <t>City B Name Here</t>
  </si>
  <si>
    <t>City C Name Here</t>
  </si>
  <si>
    <t>District</t>
  </si>
  <si>
    <t>Difference</t>
  </si>
  <si>
    <t>Per-Pupil Revenue</t>
  </si>
  <si>
    <t>Per-Pupil Revenue by Source</t>
  </si>
  <si>
    <t xml:space="preserve">District </t>
  </si>
  <si>
    <t>Other</t>
  </si>
  <si>
    <t>Indeterminate</t>
  </si>
  <si>
    <t>Enrollment</t>
  </si>
  <si>
    <t>Number of Charters</t>
  </si>
  <si>
    <t>Figure 4</t>
  </si>
  <si>
    <t>Percentage of Revenue by Source</t>
  </si>
  <si>
    <t xml:space="preserve">Federal </t>
  </si>
  <si>
    <t xml:space="preserve">Other </t>
  </si>
  <si>
    <t>Statewide District</t>
  </si>
  <si>
    <t>Statewide Charter</t>
  </si>
  <si>
    <t>Change in district school funding if subjected to charter funding structure</t>
  </si>
  <si>
    <t>City B District</t>
  </si>
  <si>
    <t>City B Charter</t>
  </si>
  <si>
    <t>City C District</t>
  </si>
  <si>
    <t>City C Charter</t>
  </si>
  <si>
    <t>Arizona
2006-07</t>
  </si>
  <si>
    <t>Arizona</t>
  </si>
  <si>
    <t>Maricopa-District</t>
  </si>
  <si>
    <t>Maricopa-Charter</t>
  </si>
  <si>
    <t>2 &amp; 5</t>
  </si>
  <si>
    <t xml:space="preserve">Per the Arizona Department of Education's School Finance Unit's Legislative, Business &amp; Policy Advisor charter-specific local and federal revenue data is not collected for </t>
  </si>
  <si>
    <t>district-sponsored charter schools not submitting an AFR because the sponsoring district is treated as a single entity.  Therefore, those charters may have received local and</t>
  </si>
  <si>
    <t>federal revenue, but the amounts cannot be determined.</t>
  </si>
  <si>
    <t>Statewide
    District</t>
  </si>
  <si>
    <t>Statewide
    Charter</t>
  </si>
  <si>
    <t>Maricopa
    District</t>
  </si>
  <si>
    <t>Maricopa
    Charter</t>
  </si>
  <si>
    <t>Statewide Weighted for Charter Enrollment</t>
  </si>
  <si>
    <t>n/a</t>
  </si>
  <si>
    <t>Arizona
Weighted</t>
  </si>
  <si>
    <t>Maricopa
County</t>
  </si>
  <si>
    <t>($1.9 billion)</t>
  </si>
  <si>
    <t>($1.3 billion)</t>
  </si>
  <si>
    <t>Statewide
Weighted</t>
  </si>
  <si>
    <t>Charter School Funding -- Inequity Persists</t>
  </si>
  <si>
    <t>May 2010</t>
  </si>
  <si>
    <t>Supporting Excel Spreadsheet</t>
  </si>
  <si>
    <t>Worksheet Legend and Instructions</t>
  </si>
  <si>
    <t>Data Source:</t>
  </si>
  <si>
    <t>The source for revenue and enrollment data was the Arizona Department of Education’s (ADE) web site. District and charter data were obtained from the FY 2006-07 Annual Report of the Arizona Superintendent of Public Instruction, Volume I and Volume II.  At web site:</t>
  </si>
  <si>
    <t>http://www/ade.state.az.us/schoolfinance/Reports/Default.asp</t>
  </si>
  <si>
    <t>Disclaimer:</t>
  </si>
  <si>
    <t>File Management:</t>
  </si>
  <si>
    <t>Cautions:</t>
  </si>
  <si>
    <t>This is a "read only" file containing data collections from the Arizona Department of Education.  The conclusions reached in this document are those of the author(s) and do not necessarily represent those of Ball State University.</t>
  </si>
  <si>
    <t>Arizona
(2006-07)</t>
  </si>
  <si>
    <t>($1,980)</t>
  </si>
  <si>
    <t>($1,979)</t>
  </si>
  <si>
    <t>($2,183)</t>
  </si>
  <si>
    <t>(20.7%)</t>
  </si>
  <si>
    <t>(22.8%)</t>
  </si>
  <si>
    <t>Figure 3</t>
  </si>
  <si>
    <t>State Policies</t>
  </si>
  <si>
    <t>Yes</t>
  </si>
  <si>
    <t>No</t>
  </si>
  <si>
    <t>Partial</t>
  </si>
  <si>
    <t>Charter schools receive their funding directly from the state</t>
  </si>
  <si>
    <r>
      <t>X</t>
    </r>
    <r>
      <rPr>
        <vertAlign val="superscript"/>
        <sz val="11"/>
        <color theme="1"/>
        <rFont val="Times New Roman"/>
        <family val="1"/>
      </rPr>
      <t>3</t>
    </r>
  </si>
  <si>
    <t>Charter schools are eligible for local funding</t>
  </si>
  <si>
    <t>X</t>
  </si>
  <si>
    <t>Cap on funding a charter school can receive</t>
  </si>
  <si>
    <t>District public schools receive differential funding (e.g. more funding for 9-12 vs. K-8 schools)</t>
  </si>
  <si>
    <t>Charter schools receive differential funding</t>
  </si>
  <si>
    <t>State allows district to withhold funding from charter schools for providing administrative services</t>
  </si>
  <si>
    <r>
      <t>X</t>
    </r>
    <r>
      <rPr>
        <vertAlign val="superscript"/>
        <sz val="11"/>
        <color theme="1"/>
        <rFont val="Times New Roman"/>
        <family val="1"/>
      </rPr>
      <t>4</t>
    </r>
  </si>
  <si>
    <t>State "holds harmless" district funding for charter enrollment</t>
  </si>
  <si>
    <t>School is considered LEA if authorized by non-district organization</t>
  </si>
  <si>
    <t>School is considered LEA if authorized by district</t>
  </si>
  <si>
    <t>Cap on number of charter schools</t>
  </si>
  <si>
    <t>Cap on number of charter schools authorized per year</t>
  </si>
  <si>
    <t>Cap on number of students attending charter schools</t>
  </si>
  <si>
    <t>Charter schools have an open enrollment policy</t>
  </si>
  <si>
    <r>
      <t>X</t>
    </r>
    <r>
      <rPr>
        <vertAlign val="superscript"/>
        <sz val="11"/>
        <color theme="1"/>
        <rFont val="Times New Roman"/>
        <family val="1"/>
      </rPr>
      <t>5</t>
    </r>
  </si>
  <si>
    <t>All state-approved charters function as local education agencies (LEAs), act as their own independent fiscal agents, and receive their funding directly from the state; whereas district-sponsored charter schools receive their funding through their district and do not act as their own independent fiscal agent, but provide an adequately detailed Annual Financial Report (AFR) of revenues and expenditures for purposes of identifying the sources of revenues.</t>
  </si>
  <si>
    <t xml:space="preserve">As part of the contract between the local school board and the charter school, the board may withhold a negotiated portion of the funding for oversight of and providing of services to the charter. </t>
  </si>
  <si>
    <t>Arizona charter schools are open to all students in the state.  While admission requirements are not permitted, charters schools can provide preferences for enrollment to the siblings of current students and, if sponsored by a local school board, to district residents.</t>
  </si>
  <si>
    <t>Figure 3 Notes:</t>
  </si>
  <si>
    <t>Figure 5</t>
  </si>
  <si>
    <t>Statewide Charters</t>
  </si>
  <si>
    <r>
      <t>Percentage of students eligible for free or reduced price lunch</t>
    </r>
    <r>
      <rPr>
        <vertAlign val="superscript"/>
        <sz val="11"/>
        <color theme="1"/>
        <rFont val="Times New Roman"/>
        <family val="1"/>
      </rPr>
      <t>6</t>
    </r>
  </si>
  <si>
    <t>Percentage of schools eligible for Title I</t>
  </si>
  <si>
    <t>Percentage of students by school type:</t>
  </si>
  <si>
    <t>Figure 6</t>
  </si>
  <si>
    <t>Findings</t>
  </si>
  <si>
    <t>AZ</t>
  </si>
  <si>
    <t>Federal Funding</t>
  </si>
  <si>
    <t>Charters have access to federal funds according to state statutes (Yes = black, No = white)</t>
  </si>
  <si>
    <t>Y</t>
  </si>
  <si>
    <r>
      <t xml:space="preserve">Percentage of federal revenue is </t>
    </r>
    <r>
      <rPr>
        <i/>
        <sz val="10.5"/>
        <color theme="1"/>
        <rFont val="Times New Roman"/>
        <family val="1"/>
      </rPr>
      <t>greater than</t>
    </r>
    <r>
      <rPr>
        <sz val="10.5"/>
        <color theme="1"/>
        <rFont val="Times New Roman"/>
        <family val="1"/>
      </rPr>
      <t xml:space="preserve"> (&gt;; black), </t>
    </r>
    <r>
      <rPr>
        <i/>
        <sz val="10.5"/>
        <color theme="1"/>
        <rFont val="Times New Roman"/>
        <family val="1"/>
      </rPr>
      <t>equal to</t>
    </r>
    <r>
      <rPr>
        <sz val="10.5"/>
        <color theme="1"/>
        <rFont val="Times New Roman"/>
        <family val="1"/>
      </rPr>
      <t xml:space="preserve"> (=; black), or is l</t>
    </r>
    <r>
      <rPr>
        <i/>
        <sz val="10.5"/>
        <color theme="1"/>
        <rFont val="Times New Roman"/>
        <family val="1"/>
      </rPr>
      <t xml:space="preserve">ess than </t>
    </r>
    <r>
      <rPr>
        <sz val="10.5"/>
        <color theme="1"/>
        <rFont val="Times New Roman"/>
        <family val="1"/>
      </rPr>
      <t>(&lt;; white) that of total enrollment for charter schools</t>
    </r>
  </si>
  <si>
    <t>&lt;</t>
  </si>
  <si>
    <t>State Funding</t>
  </si>
  <si>
    <t>Charters have access to state funds according to state statutes (Yes = black, No = white)</t>
  </si>
  <si>
    <r>
      <t xml:space="preserve">Percentage of state revenue is </t>
    </r>
    <r>
      <rPr>
        <i/>
        <sz val="10.5"/>
        <color theme="1"/>
        <rFont val="Times New Roman"/>
        <family val="1"/>
      </rPr>
      <t>greater than</t>
    </r>
    <r>
      <rPr>
        <sz val="10.5"/>
        <color theme="1"/>
        <rFont val="Times New Roman"/>
        <family val="1"/>
      </rPr>
      <t xml:space="preserve"> (&gt;; black), </t>
    </r>
    <r>
      <rPr>
        <i/>
        <sz val="10.5"/>
        <color theme="1"/>
        <rFont val="Times New Roman"/>
        <family val="1"/>
      </rPr>
      <t>equal to</t>
    </r>
    <r>
      <rPr>
        <sz val="10.5"/>
        <color theme="1"/>
        <rFont val="Times New Roman"/>
        <family val="1"/>
      </rPr>
      <t xml:space="preserve"> (=; black), or is l</t>
    </r>
    <r>
      <rPr>
        <i/>
        <sz val="10.5"/>
        <color theme="1"/>
        <rFont val="Times New Roman"/>
        <family val="1"/>
      </rPr>
      <t>ess than</t>
    </r>
    <r>
      <rPr>
        <sz val="10.5"/>
        <color theme="1"/>
        <rFont val="Times New Roman"/>
        <family val="1"/>
      </rPr>
      <t xml:space="preserve"> (&lt;; white) that of total enrollment for charter schools</t>
    </r>
  </si>
  <si>
    <t>&gt;</t>
  </si>
  <si>
    <t>Local Funding</t>
  </si>
  <si>
    <t>Charters have access to local funds according to state statutes (Yes = black, No = white)</t>
  </si>
  <si>
    <r>
      <t xml:space="preserve">Percentage of local revenue is </t>
    </r>
    <r>
      <rPr>
        <i/>
        <sz val="10.5"/>
        <color theme="1"/>
        <rFont val="Times New Roman"/>
        <family val="1"/>
      </rPr>
      <t>greater than</t>
    </r>
    <r>
      <rPr>
        <sz val="10.5"/>
        <color theme="1"/>
        <rFont val="Times New Roman"/>
        <family val="1"/>
      </rPr>
      <t xml:space="preserve"> (&gt;; black), </t>
    </r>
    <r>
      <rPr>
        <i/>
        <sz val="10.5"/>
        <color theme="1"/>
        <rFont val="Times New Roman"/>
        <family val="1"/>
      </rPr>
      <t>equal to</t>
    </r>
    <r>
      <rPr>
        <sz val="10.5"/>
        <color theme="1"/>
        <rFont val="Times New Roman"/>
        <family val="1"/>
      </rPr>
      <t xml:space="preserve"> (=; black), or is l</t>
    </r>
    <r>
      <rPr>
        <i/>
        <sz val="10.5"/>
        <color theme="1"/>
        <rFont val="Times New Roman"/>
        <family val="1"/>
      </rPr>
      <t xml:space="preserve">ess than </t>
    </r>
    <r>
      <rPr>
        <sz val="10.5"/>
        <color theme="1"/>
        <rFont val="Times New Roman"/>
        <family val="1"/>
      </rPr>
      <t>(&lt;; white) that of total enrollment for charter schools</t>
    </r>
  </si>
  <si>
    <t>Facilities Funding</t>
  </si>
  <si>
    <t>Charters have access to facilities funds according to state statutes (Yes = black, No = white)</t>
  </si>
  <si>
    <r>
      <t xml:space="preserve">Percentage of facilities revenue is </t>
    </r>
    <r>
      <rPr>
        <i/>
        <sz val="10.5"/>
        <color theme="1"/>
        <rFont val="Times New Roman"/>
        <family val="1"/>
      </rPr>
      <t>greater than</t>
    </r>
    <r>
      <rPr>
        <sz val="10.5"/>
        <color theme="1"/>
        <rFont val="Times New Roman"/>
        <family val="1"/>
      </rPr>
      <t xml:space="preserve"> (&gt;; black), </t>
    </r>
    <r>
      <rPr>
        <i/>
        <sz val="10.5"/>
        <color theme="1"/>
        <rFont val="Times New Roman"/>
        <family val="1"/>
      </rPr>
      <t>equal to</t>
    </r>
    <r>
      <rPr>
        <sz val="10.5"/>
        <color theme="1"/>
        <rFont val="Times New Roman"/>
        <family val="1"/>
      </rPr>
      <t xml:space="preserve"> (=; black), or is </t>
    </r>
    <r>
      <rPr>
        <i/>
        <sz val="10.5"/>
        <color theme="1"/>
        <rFont val="Times New Roman"/>
        <family val="1"/>
      </rPr>
      <t xml:space="preserve">less than </t>
    </r>
    <r>
      <rPr>
        <sz val="10.5"/>
        <color theme="1"/>
        <rFont val="Times New Roman"/>
        <family val="1"/>
      </rPr>
      <t>(&lt;; white) that of total enrollment for charter schools</t>
    </r>
  </si>
  <si>
    <t>Data Availability</t>
  </si>
  <si>
    <t>State provides detailed, public data on federal, state, local, and other revenues for district schools
(Yes = black, Partial = grey, No = white)</t>
  </si>
  <si>
    <t>State provides detailed, public data on federal, state, local and other revenues for charter schools (Yes = black, Partial = grey, No = white)</t>
  </si>
  <si>
    <t>Funding Formula</t>
  </si>
  <si>
    <t>Charters are treated as LEAs for funding purposes
(Yes = black, Partial = grey, No = white)</t>
  </si>
  <si>
    <r>
      <t>P</t>
    </r>
    <r>
      <rPr>
        <b/>
        <vertAlign val="superscript"/>
        <sz val="11"/>
        <color theme="1"/>
        <rFont val="Times New Roman"/>
        <family val="1"/>
      </rPr>
      <t>8</t>
    </r>
  </si>
  <si>
    <t>State funds student (black) or the LEA (grey)</t>
  </si>
  <si>
    <t>S</t>
  </si>
  <si>
    <t>State funding formula is fair and equitable
(Yes = black, No = white)</t>
  </si>
  <si>
    <t>Figure 6 Notes:</t>
  </si>
  <si>
    <t xml:space="preserve">All charter schools are considered LEAs for purposes of receiving and administering federal funds; however, district-sponsored charter schools receive their funding through their district. </t>
  </si>
  <si>
    <t>This spreadsheet was designed for use by the author/researcher, not for third-party use.  Some of the data in this spreadsheet may be useful to third-parties, but any interpretations or additional analysis by third-parties is done so at their own risk.</t>
  </si>
  <si>
    <t>This is a "Final (Read-Only)" Excel file.  This means you will not be able to edit this file, but you can copy whole worksheets, paste them into a new file (workbook), and then save that file under a different name.  No "Protection" has been set for this file.</t>
  </si>
  <si>
    <t>Scroll down &amp; to right</t>
  </si>
</sst>
</file>

<file path=xl/styles.xml><?xml version="1.0" encoding="utf-8"?>
<styleSheet xmlns="http://schemas.openxmlformats.org/spreadsheetml/2006/main">
  <numFmts count="9">
    <numFmt numFmtId="6" formatCode="&quot;$&quot;#,##0_);[Red]\(&quot;$&quot;#,##0\)"/>
    <numFmt numFmtId="42" formatCode="_(&quot;$&quot;* #,##0_);_(&quot;$&quot;* \(#,##0\);_(&quot;$&quot;* &quot;-&quot;_);_(@_)"/>
    <numFmt numFmtId="164" formatCode="&quot;$&quot;#,##0"/>
    <numFmt numFmtId="165" formatCode="0.0000"/>
    <numFmt numFmtId="166" formatCode="0.0%"/>
    <numFmt numFmtId="167" formatCode="#,##0.000"/>
    <numFmt numFmtId="168" formatCode="&quot;$&quot;#,##0.00"/>
    <numFmt numFmtId="169" formatCode="&quot;$&quot;#,##0.000_);[Red]\(&quot;$&quot;#,##0.000\)"/>
    <numFmt numFmtId="170" formatCode="#,##0.000_);[Red]\(#,##0.000\)"/>
  </numFmts>
  <fonts count="49">
    <font>
      <sz val="11"/>
      <color theme="1"/>
      <name val="Calibri"/>
      <family val="2"/>
      <scheme val="minor"/>
    </font>
    <font>
      <sz val="8"/>
      <color theme="1"/>
      <name val="Arial"/>
      <family val="2"/>
    </font>
    <font>
      <sz val="9"/>
      <color indexed="8"/>
      <name val="Arial"/>
      <family val="2"/>
    </font>
    <font>
      <sz val="8"/>
      <color indexed="8"/>
      <name val="Arial"/>
      <family val="2"/>
    </font>
    <font>
      <b/>
      <sz val="9"/>
      <color indexed="8"/>
      <name val="Arial"/>
      <family val="2"/>
    </font>
    <font>
      <sz val="8"/>
      <name val="Arial"/>
      <family val="2"/>
    </font>
    <font>
      <b/>
      <sz val="8"/>
      <color indexed="8"/>
      <name val="Arial"/>
      <family val="2"/>
    </font>
    <font>
      <b/>
      <sz val="8"/>
      <name val="Arial"/>
      <family val="2"/>
    </font>
    <font>
      <b/>
      <vertAlign val="superscript"/>
      <sz val="10"/>
      <color indexed="8"/>
      <name val="Arial"/>
      <family val="2"/>
    </font>
    <font>
      <b/>
      <sz val="9"/>
      <color indexed="10"/>
      <name val="Arial"/>
      <family val="2"/>
    </font>
    <font>
      <sz val="10"/>
      <name val="Arial"/>
      <family val="2"/>
    </font>
    <font>
      <sz val="10"/>
      <color indexed="10"/>
      <name val="Arial"/>
      <family val="2"/>
    </font>
    <font>
      <sz val="9"/>
      <color theme="1"/>
      <name val="Arial"/>
      <family val="2"/>
    </font>
    <font>
      <sz val="8"/>
      <color theme="1"/>
      <name val="Arial"/>
      <family val="2"/>
    </font>
    <font>
      <b/>
      <sz val="8"/>
      <color theme="1"/>
      <name val="Arial"/>
      <family val="2"/>
    </font>
    <font>
      <b/>
      <sz val="9"/>
      <color theme="1"/>
      <name val="Arial"/>
      <family val="2"/>
    </font>
    <font>
      <b/>
      <sz val="14"/>
      <color theme="1"/>
      <name val="Century Gothic"/>
      <family val="2"/>
    </font>
    <font>
      <b/>
      <sz val="12"/>
      <color theme="1"/>
      <name val="Century Gothic"/>
      <family val="2"/>
    </font>
    <font>
      <b/>
      <i/>
      <sz val="12"/>
      <color theme="1"/>
      <name val="Century Gothic"/>
      <family val="2"/>
    </font>
    <font>
      <b/>
      <sz val="9"/>
      <color rgb="FFC00000"/>
      <name val="Arial"/>
      <family val="2"/>
    </font>
    <font>
      <b/>
      <sz val="11"/>
      <color rgb="FFC00000"/>
      <name val="Calibri"/>
      <family val="2"/>
      <scheme val="minor"/>
    </font>
    <font>
      <b/>
      <sz val="11"/>
      <color theme="1"/>
      <name val="Century Gothic"/>
      <family val="2"/>
    </font>
    <font>
      <b/>
      <i/>
      <sz val="11"/>
      <color theme="1"/>
      <name val="Century Gothic"/>
      <family val="2"/>
    </font>
    <font>
      <sz val="11"/>
      <color theme="1"/>
      <name val="Arial"/>
      <family val="2"/>
    </font>
    <font>
      <sz val="8"/>
      <color theme="1"/>
      <name val="Calibri"/>
      <family val="2"/>
      <scheme val="minor"/>
    </font>
    <font>
      <b/>
      <i/>
      <sz val="9"/>
      <color theme="1"/>
      <name val="Calibri"/>
      <family val="2"/>
      <scheme val="minor"/>
    </font>
    <font>
      <sz val="9"/>
      <color theme="1"/>
      <name val="Arial Narrow"/>
      <family val="2"/>
    </font>
    <font>
      <sz val="10"/>
      <color theme="9" tint="-0.499984740745262"/>
      <name val="Arial"/>
      <family val="2"/>
    </font>
    <font>
      <b/>
      <i/>
      <sz val="9"/>
      <color theme="1"/>
      <name val="Arial"/>
      <family val="2"/>
    </font>
    <font>
      <sz val="11"/>
      <color theme="1"/>
      <name val="Calibri"/>
      <family val="2"/>
      <scheme val="minor"/>
    </font>
    <font>
      <sz val="10"/>
      <color theme="1"/>
      <name val="Arial"/>
      <family val="2"/>
    </font>
    <font>
      <b/>
      <sz val="10"/>
      <name val="Arial"/>
      <family val="2"/>
    </font>
    <font>
      <b/>
      <sz val="14"/>
      <color theme="1"/>
      <name val="Calibri"/>
      <family val="2"/>
      <scheme val="minor"/>
    </font>
    <font>
      <b/>
      <sz val="12"/>
      <color theme="1"/>
      <name val="Calibri"/>
      <family val="2"/>
      <scheme val="minor"/>
    </font>
    <font>
      <b/>
      <i/>
      <sz val="12"/>
      <color theme="1"/>
      <name val="Calibri"/>
      <family val="2"/>
      <scheme val="minor"/>
    </font>
    <font>
      <b/>
      <sz val="11"/>
      <color theme="1"/>
      <name val="Calibri"/>
      <family val="2"/>
      <scheme val="minor"/>
    </font>
    <font>
      <u/>
      <sz val="11"/>
      <color theme="10"/>
      <name val="Calibri"/>
      <family val="2"/>
    </font>
    <font>
      <sz val="11"/>
      <color theme="1"/>
      <name val="Times New Roman"/>
      <family val="1"/>
    </font>
    <font>
      <b/>
      <sz val="11"/>
      <color theme="0"/>
      <name val="Times New Roman"/>
      <family val="1"/>
    </font>
    <font>
      <b/>
      <sz val="11"/>
      <name val="Times New Roman"/>
      <family val="1"/>
    </font>
    <font>
      <sz val="11"/>
      <name val="Times New Roman"/>
      <family val="1"/>
    </font>
    <font>
      <b/>
      <i/>
      <sz val="11"/>
      <name val="Times New Roman"/>
      <family val="1"/>
    </font>
    <font>
      <b/>
      <i/>
      <sz val="11"/>
      <color theme="1"/>
      <name val="Times New Roman"/>
      <family val="1"/>
    </font>
    <font>
      <b/>
      <sz val="11"/>
      <color theme="1"/>
      <name val="Times New Roman"/>
      <family val="1"/>
    </font>
    <font>
      <vertAlign val="superscript"/>
      <sz val="11"/>
      <color theme="1"/>
      <name val="Times New Roman"/>
      <family val="1"/>
    </font>
    <font>
      <b/>
      <sz val="9"/>
      <color theme="1"/>
      <name val="Times New Roman"/>
      <family val="1"/>
    </font>
    <font>
      <sz val="10.5"/>
      <color theme="1"/>
      <name val="Times New Roman"/>
      <family val="1"/>
    </font>
    <font>
      <i/>
      <sz val="10.5"/>
      <color theme="1"/>
      <name val="Times New Roman"/>
      <family val="1"/>
    </font>
    <font>
      <b/>
      <vertAlign val="superscript"/>
      <sz val="11"/>
      <color theme="1"/>
      <name val="Times New Roman"/>
      <family val="1"/>
    </font>
  </fonts>
  <fills count="18">
    <fill>
      <patternFill patternType="none"/>
    </fill>
    <fill>
      <patternFill patternType="gray125"/>
    </fill>
    <fill>
      <patternFill patternType="solid">
        <fgColor indexed="2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FA0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0"/>
        <bgColor indexed="64"/>
      </patternFill>
    </fill>
    <fill>
      <patternFill patternType="solid">
        <fgColor rgb="FFA7FFA7"/>
        <bgColor indexed="64"/>
      </patternFill>
    </fill>
    <fill>
      <patternFill patternType="solid">
        <fgColor theme="6" tint="0.59999389629810485"/>
        <bgColor indexed="64"/>
      </patternFill>
    </fill>
    <fill>
      <patternFill patternType="solid">
        <fgColor theme="0" tint="-0.14999847407452621"/>
        <bgColor theme="0" tint="-0.14999847407452621"/>
      </patternFill>
    </fill>
    <fill>
      <patternFill patternType="solid">
        <fgColor theme="2" tint="-0.749992370372631"/>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0.3499862666707357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499984740745262"/>
      </top>
      <bottom style="thin">
        <color indexed="64"/>
      </bottom>
      <diagonal/>
    </border>
  </borders>
  <cellStyleXfs count="4">
    <xf numFmtId="0" fontId="0" fillId="0" borderId="0"/>
    <xf numFmtId="0" fontId="10" fillId="0" borderId="0"/>
    <xf numFmtId="9" fontId="29" fillId="0" borderId="0" applyFont="0" applyFill="0" applyBorder="0" applyAlignment="0" applyProtection="0"/>
    <xf numFmtId="0" fontId="36" fillId="0" borderId="0" applyNumberFormat="0" applyFill="0" applyBorder="0" applyAlignment="0" applyProtection="0">
      <alignment vertical="top"/>
      <protection locked="0"/>
    </xf>
  </cellStyleXfs>
  <cellXfs count="559">
    <xf numFmtId="0" fontId="0" fillId="0" borderId="0" xfId="0"/>
    <xf numFmtId="0" fontId="12" fillId="0" borderId="0" xfId="0" applyFont="1"/>
    <xf numFmtId="0" fontId="13" fillId="0" borderId="0" xfId="0" applyFont="1"/>
    <xf numFmtId="164" fontId="13" fillId="0" borderId="1" xfId="0" applyNumberFormat="1" applyFont="1" applyBorder="1"/>
    <xf numFmtId="164" fontId="13" fillId="0" borderId="0" xfId="0" applyNumberFormat="1" applyFont="1"/>
    <xf numFmtId="10" fontId="13" fillId="0" borderId="1" xfId="0" applyNumberFormat="1" applyFont="1" applyBorder="1"/>
    <xf numFmtId="0" fontId="12" fillId="0" borderId="1" xfId="0" applyFont="1" applyBorder="1"/>
    <xf numFmtId="164" fontId="5" fillId="0" borderId="1" xfId="0" applyNumberFormat="1" applyFont="1" applyBorder="1"/>
    <xf numFmtId="3" fontId="0" fillId="0" borderId="0" xfId="0" applyNumberFormat="1"/>
    <xf numFmtId="164" fontId="13" fillId="0" borderId="1" xfId="0" applyNumberFormat="1" applyFont="1" applyFill="1" applyBorder="1"/>
    <xf numFmtId="0" fontId="0" fillId="3" borderId="0" xfId="0" applyFill="1"/>
    <xf numFmtId="3" fontId="13" fillId="0" borderId="1" xfId="0" applyNumberFormat="1" applyFont="1" applyFill="1" applyBorder="1"/>
    <xf numFmtId="0" fontId="0" fillId="4" borderId="0" xfId="0" applyFill="1"/>
    <xf numFmtId="0" fontId="12" fillId="0" borderId="0" xfId="0" applyFont="1" applyFill="1"/>
    <xf numFmtId="0" fontId="12" fillId="0" borderId="0" xfId="0" applyFont="1" applyAlignment="1">
      <alignment horizontal="center"/>
    </xf>
    <xf numFmtId="0" fontId="0" fillId="0" borderId="0" xfId="0" applyFill="1"/>
    <xf numFmtId="0" fontId="12" fillId="4" borderId="0" xfId="0" applyFont="1" applyFill="1"/>
    <xf numFmtId="0" fontId="13" fillId="0" borderId="1" xfId="0" applyFont="1" applyBorder="1"/>
    <xf numFmtId="3" fontId="13" fillId="0" borderId="1" xfId="0" applyNumberFormat="1" applyFont="1" applyBorder="1"/>
    <xf numFmtId="0" fontId="13" fillId="0" borderId="1" xfId="0" applyFont="1" applyFill="1" applyBorder="1"/>
    <xf numFmtId="10" fontId="13" fillId="0" borderId="1" xfId="0" applyNumberFormat="1" applyFont="1" applyFill="1" applyBorder="1"/>
    <xf numFmtId="164" fontId="5" fillId="0" borderId="1" xfId="0" applyNumberFormat="1" applyFont="1" applyFill="1" applyBorder="1"/>
    <xf numFmtId="0" fontId="14" fillId="5" borderId="1" xfId="0" applyFont="1" applyFill="1" applyBorder="1"/>
    <xf numFmtId="164" fontId="13" fillId="5" borderId="1" xfId="0" applyNumberFormat="1" applyFont="1" applyFill="1" applyBorder="1"/>
    <xf numFmtId="10" fontId="13" fillId="5" borderId="1" xfId="0" applyNumberFormat="1" applyFont="1" applyFill="1" applyBorder="1"/>
    <xf numFmtId="0" fontId="14" fillId="6" borderId="1" xfId="0" applyFont="1" applyFill="1" applyBorder="1" applyAlignment="1">
      <alignment horizontal="centerContinuous"/>
    </xf>
    <xf numFmtId="0" fontId="14" fillId="6" borderId="2" xfId="0" applyFont="1" applyFill="1" applyBorder="1" applyAlignment="1">
      <alignment horizontal="centerContinuous"/>
    </xf>
    <xf numFmtId="0" fontId="14" fillId="6" borderId="3" xfId="0" applyFont="1" applyFill="1" applyBorder="1" applyAlignment="1">
      <alignment horizontal="center"/>
    </xf>
    <xf numFmtId="0" fontId="14" fillId="6" borderId="4" xfId="0" applyFont="1" applyFill="1" applyBorder="1" applyAlignment="1">
      <alignment horizontal="centerContinuous"/>
    </xf>
    <xf numFmtId="0" fontId="14" fillId="6" borderId="5" xfId="0" applyFont="1" applyFill="1" applyBorder="1" applyAlignment="1">
      <alignment horizontal="centerContinuous"/>
    </xf>
    <xf numFmtId="0" fontId="15" fillId="7" borderId="1" xfId="0" applyFont="1" applyFill="1" applyBorder="1" applyAlignment="1">
      <alignment horizontal="right" vertical="top"/>
    </xf>
    <xf numFmtId="0" fontId="15" fillId="7" borderId="2" xfId="0" applyFont="1" applyFill="1" applyBorder="1" applyAlignment="1">
      <alignment horizontal="right" vertical="top"/>
    </xf>
    <xf numFmtId="0" fontId="15" fillId="7" borderId="6" xfId="0" applyFont="1" applyFill="1" applyBorder="1" applyAlignment="1">
      <alignment horizontal="right" vertical="top"/>
    </xf>
    <xf numFmtId="0" fontId="15" fillId="7" borderId="7" xfId="0" applyFont="1" applyFill="1" applyBorder="1" applyAlignment="1">
      <alignment horizontal="right" vertical="top"/>
    </xf>
    <xf numFmtId="0" fontId="15" fillId="7" borderId="8" xfId="0" applyFont="1" applyFill="1" applyBorder="1" applyAlignment="1">
      <alignment horizontal="right" vertical="top"/>
    </xf>
    <xf numFmtId="164" fontId="14" fillId="6" borderId="9" xfId="0" applyNumberFormat="1" applyFont="1" applyFill="1" applyBorder="1" applyAlignment="1">
      <alignment horizontal="center"/>
    </xf>
    <xf numFmtId="164" fontId="14" fillId="6" borderId="5" xfId="0" applyNumberFormat="1" applyFont="1" applyFill="1" applyBorder="1" applyAlignment="1">
      <alignment horizontal="centerContinuous"/>
    </xf>
    <xf numFmtId="164" fontId="14" fillId="6" borderId="2" xfId="0" applyNumberFormat="1" applyFont="1" applyFill="1" applyBorder="1" applyAlignment="1">
      <alignment horizontal="centerContinuous"/>
    </xf>
    <xf numFmtId="164" fontId="14" fillId="6" borderId="1" xfId="0" applyNumberFormat="1" applyFont="1" applyFill="1" applyBorder="1" applyAlignment="1">
      <alignment horizontal="center"/>
    </xf>
    <xf numFmtId="164" fontId="5" fillId="5" borderId="1" xfId="0" applyNumberFormat="1" applyFont="1" applyFill="1" applyBorder="1"/>
    <xf numFmtId="10" fontId="5" fillId="5" borderId="1" xfId="0" applyNumberFormat="1" applyFont="1" applyFill="1" applyBorder="1"/>
    <xf numFmtId="9" fontId="5" fillId="5" borderId="1" xfId="0" applyNumberFormat="1" applyFont="1" applyFill="1" applyBorder="1"/>
    <xf numFmtId="165" fontId="5" fillId="5" borderId="1" xfId="0" applyNumberFormat="1" applyFont="1" applyFill="1" applyBorder="1" applyAlignment="1">
      <alignment horizontal="right"/>
    </xf>
    <xf numFmtId="0" fontId="0" fillId="0" borderId="0" xfId="0" applyBorder="1"/>
    <xf numFmtId="0" fontId="15" fillId="7" borderId="5" xfId="0" applyFont="1" applyFill="1" applyBorder="1" applyAlignment="1">
      <alignment horizontal="right" vertical="top"/>
    </xf>
    <xf numFmtId="49" fontId="13" fillId="0" borderId="5" xfId="0" applyNumberFormat="1" applyFont="1" applyBorder="1" applyAlignment="1">
      <alignment horizontal="center"/>
    </xf>
    <xf numFmtId="49" fontId="14" fillId="5" borderId="5" xfId="0" applyNumberFormat="1" applyFont="1" applyFill="1" applyBorder="1" applyAlignment="1">
      <alignment horizontal="center"/>
    </xf>
    <xf numFmtId="164" fontId="13" fillId="0" borderId="2" xfId="0" applyNumberFormat="1" applyFont="1" applyBorder="1"/>
    <xf numFmtId="165" fontId="5" fillId="5" borderId="2" xfId="0" applyNumberFormat="1" applyFont="1" applyFill="1" applyBorder="1" applyAlignment="1">
      <alignment horizontal="right"/>
    </xf>
    <xf numFmtId="0" fontId="14" fillId="6" borderId="9" xfId="0" applyFont="1" applyFill="1" applyBorder="1" applyAlignment="1">
      <alignment horizontal="center"/>
    </xf>
    <xf numFmtId="0" fontId="14" fillId="6" borderId="10" xfId="0" applyFont="1" applyFill="1" applyBorder="1" applyAlignment="1">
      <alignment horizontal="center"/>
    </xf>
    <xf numFmtId="0" fontId="14" fillId="6" borderId="11" xfId="0" applyFont="1" applyFill="1" applyBorder="1" applyAlignment="1">
      <alignment horizontal="center"/>
    </xf>
    <xf numFmtId="0" fontId="14" fillId="6" borderId="12" xfId="0" applyFont="1" applyFill="1" applyBorder="1" applyAlignment="1">
      <alignment horizontal="center"/>
    </xf>
    <xf numFmtId="164" fontId="14" fillId="6" borderId="11" xfId="0" applyNumberFormat="1" applyFont="1" applyFill="1" applyBorder="1" applyAlignment="1">
      <alignment horizontal="center"/>
    </xf>
    <xf numFmtId="0" fontId="0" fillId="8" borderId="0" xfId="0" applyFill="1"/>
    <xf numFmtId="164" fontId="13" fillId="0" borderId="2" xfId="0" applyNumberFormat="1" applyFont="1" applyFill="1" applyBorder="1"/>
    <xf numFmtId="164" fontId="13" fillId="5" borderId="2" xfId="0" applyNumberFormat="1" applyFont="1" applyFill="1" applyBorder="1"/>
    <xf numFmtId="49" fontId="13" fillId="0" borderId="13" xfId="0" applyNumberFormat="1" applyFont="1" applyBorder="1" applyAlignment="1">
      <alignment horizontal="center"/>
    </xf>
    <xf numFmtId="0" fontId="13" fillId="0" borderId="9" xfId="0" applyFont="1" applyBorder="1"/>
    <xf numFmtId="164" fontId="5" fillId="0" borderId="9" xfId="0" applyNumberFormat="1" applyFont="1" applyBorder="1"/>
    <xf numFmtId="164" fontId="14" fillId="5" borderId="7" xfId="0" applyNumberFormat="1" applyFont="1" applyFill="1" applyBorder="1"/>
    <xf numFmtId="3" fontId="13" fillId="0" borderId="9" xfId="0" applyNumberFormat="1" applyFont="1" applyBorder="1"/>
    <xf numFmtId="3" fontId="14" fillId="5" borderId="7" xfId="0" applyNumberFormat="1" applyFont="1" applyFill="1" applyBorder="1"/>
    <xf numFmtId="164" fontId="13" fillId="0" borderId="9" xfId="0" applyNumberFormat="1" applyFont="1" applyBorder="1"/>
    <xf numFmtId="10" fontId="13" fillId="0" borderId="9" xfId="0" applyNumberFormat="1" applyFont="1" applyBorder="1"/>
    <xf numFmtId="164" fontId="13" fillId="0" borderId="3" xfId="0" applyNumberFormat="1" applyFont="1" applyBorder="1"/>
    <xf numFmtId="164" fontId="14" fillId="6" borderId="4" xfId="0" applyNumberFormat="1" applyFont="1" applyFill="1" applyBorder="1" applyAlignment="1">
      <alignment horizontal="centerContinuous"/>
    </xf>
    <xf numFmtId="0" fontId="14" fillId="6" borderId="13" xfId="0" applyFont="1" applyFill="1" applyBorder="1" applyAlignment="1">
      <alignment horizontal="centerContinuous"/>
    </xf>
    <xf numFmtId="9" fontId="13" fillId="0" borderId="1" xfId="0" applyNumberFormat="1" applyFont="1" applyFill="1" applyBorder="1"/>
    <xf numFmtId="165" fontId="13" fillId="0" borderId="1" xfId="0" applyNumberFormat="1" applyFont="1" applyFill="1" applyBorder="1"/>
    <xf numFmtId="49" fontId="13" fillId="0" borderId="5" xfId="0" applyNumberFormat="1" applyFont="1" applyFill="1" applyBorder="1" applyAlignment="1">
      <alignment horizontal="center"/>
    </xf>
    <xf numFmtId="164" fontId="15" fillId="7" borderId="7" xfId="0" applyNumberFormat="1" applyFont="1" applyFill="1" applyBorder="1" applyAlignment="1">
      <alignment horizontal="right" vertical="top"/>
    </xf>
    <xf numFmtId="164" fontId="15" fillId="7" borderId="6" xfId="0" applyNumberFormat="1" applyFont="1" applyFill="1" applyBorder="1" applyAlignment="1">
      <alignment horizontal="right" vertical="top"/>
    </xf>
    <xf numFmtId="49" fontId="13" fillId="0" borderId="13" xfId="0" applyNumberFormat="1" applyFont="1" applyFill="1" applyBorder="1" applyAlignment="1">
      <alignment horizontal="center"/>
    </xf>
    <xf numFmtId="0" fontId="13" fillId="0" borderId="9" xfId="0" applyFont="1" applyFill="1" applyBorder="1"/>
    <xf numFmtId="164" fontId="5" fillId="0" borderId="9" xfId="0" applyNumberFormat="1" applyFont="1" applyFill="1" applyBorder="1"/>
    <xf numFmtId="3" fontId="13" fillId="0" borderId="9" xfId="0" applyNumberFormat="1" applyFont="1" applyFill="1" applyBorder="1"/>
    <xf numFmtId="164" fontId="13" fillId="0" borderId="9" xfId="0" applyNumberFormat="1" applyFont="1" applyFill="1" applyBorder="1"/>
    <xf numFmtId="10" fontId="13" fillId="0" borderId="9" xfId="0" applyNumberFormat="1" applyFont="1" applyFill="1" applyBorder="1"/>
    <xf numFmtId="9" fontId="13" fillId="0" borderId="9" xfId="0" applyNumberFormat="1" applyFont="1" applyFill="1" applyBorder="1"/>
    <xf numFmtId="165" fontId="13" fillId="0" borderId="9" xfId="0" applyNumberFormat="1" applyFont="1" applyFill="1" applyBorder="1"/>
    <xf numFmtId="164" fontId="13" fillId="0" borderId="3" xfId="0" applyNumberFormat="1" applyFont="1" applyFill="1" applyBorder="1"/>
    <xf numFmtId="49" fontId="14" fillId="9" borderId="5" xfId="0" applyNumberFormat="1" applyFont="1" applyFill="1" applyBorder="1" applyAlignment="1">
      <alignment horizontal="center"/>
    </xf>
    <xf numFmtId="0" fontId="14" fillId="9" borderId="1" xfId="0" applyFont="1" applyFill="1" applyBorder="1"/>
    <xf numFmtId="164" fontId="14" fillId="9" borderId="1" xfId="0" applyNumberFormat="1" applyFont="1" applyFill="1" applyBorder="1"/>
    <xf numFmtId="3" fontId="14" fillId="9" borderId="1" xfId="0" applyNumberFormat="1" applyFont="1" applyFill="1" applyBorder="1"/>
    <xf numFmtId="164" fontId="5" fillId="9" borderId="1" xfId="0" applyNumberFormat="1" applyFont="1" applyFill="1" applyBorder="1"/>
    <xf numFmtId="10" fontId="5" fillId="9" borderId="1" xfId="0" applyNumberFormat="1" applyFont="1" applyFill="1" applyBorder="1"/>
    <xf numFmtId="9" fontId="5" fillId="9" borderId="1" xfId="0" applyNumberFormat="1" applyFont="1" applyFill="1" applyBorder="1"/>
    <xf numFmtId="165" fontId="5" fillId="9" borderId="1" xfId="0" applyNumberFormat="1" applyFont="1" applyFill="1" applyBorder="1"/>
    <xf numFmtId="164" fontId="13" fillId="9" borderId="1" xfId="0" applyNumberFormat="1" applyFont="1" applyFill="1" applyBorder="1"/>
    <xf numFmtId="164" fontId="5" fillId="9" borderId="2" xfId="0" applyNumberFormat="1" applyFont="1" applyFill="1" applyBorder="1"/>
    <xf numFmtId="49" fontId="7" fillId="9" borderId="5" xfId="0" applyNumberFormat="1" applyFont="1" applyFill="1" applyBorder="1" applyAlignment="1">
      <alignment horizontal="center"/>
    </xf>
    <xf numFmtId="0" fontId="7" fillId="9" borderId="1" xfId="0" applyFont="1" applyFill="1" applyBorder="1"/>
    <xf numFmtId="164" fontId="7" fillId="9" borderId="1" xfId="0" applyNumberFormat="1" applyFont="1" applyFill="1" applyBorder="1"/>
    <xf numFmtId="3" fontId="7" fillId="9" borderId="1" xfId="0" applyNumberFormat="1" applyFont="1" applyFill="1" applyBorder="1"/>
    <xf numFmtId="49" fontId="12" fillId="0" borderId="0" xfId="0" applyNumberFormat="1" applyFont="1" applyAlignment="1">
      <alignment horizontal="center"/>
    </xf>
    <xf numFmtId="0" fontId="12" fillId="0" borderId="0" xfId="0" applyFont="1" applyAlignment="1">
      <alignment horizontal="right"/>
    </xf>
    <xf numFmtId="0" fontId="12" fillId="0" borderId="0" xfId="0" applyNumberFormat="1" applyFont="1" applyAlignment="1">
      <alignment horizontal="center"/>
    </xf>
    <xf numFmtId="0" fontId="15" fillId="0" borderId="0" xfId="0" applyFont="1" applyFill="1"/>
    <xf numFmtId="0" fontId="12" fillId="9" borderId="0" xfId="0" applyFont="1" applyFill="1"/>
    <xf numFmtId="0" fontId="12" fillId="0" borderId="9" xfId="0" applyFont="1" applyBorder="1"/>
    <xf numFmtId="0" fontId="12" fillId="0" borderId="9" xfId="0" applyFont="1" applyBorder="1" applyAlignment="1">
      <alignment horizontal="center"/>
    </xf>
    <xf numFmtId="0" fontId="12" fillId="0" borderId="1" xfId="0" applyFont="1" applyFill="1" applyBorder="1" applyAlignment="1">
      <alignment horizontal="center"/>
    </xf>
    <xf numFmtId="49" fontId="15" fillId="6" borderId="2" xfId="0" applyNumberFormat="1" applyFont="1" applyFill="1" applyBorder="1" applyAlignment="1">
      <alignment horizontal="centerContinuous"/>
    </xf>
    <xf numFmtId="0" fontId="15" fillId="6" borderId="5" xfId="0" applyFont="1" applyFill="1" applyBorder="1" applyAlignment="1">
      <alignment horizontal="centerContinuous"/>
    </xf>
    <xf numFmtId="0" fontId="15" fillId="6" borderId="9" xfId="0" applyFont="1" applyFill="1" applyBorder="1" applyAlignment="1">
      <alignment horizontal="left"/>
    </xf>
    <xf numFmtId="0" fontId="15" fillId="6" borderId="4" xfId="0" applyNumberFormat="1" applyFont="1" applyFill="1" applyBorder="1" applyAlignment="1">
      <alignment horizontal="centerContinuous"/>
    </xf>
    <xf numFmtId="0" fontId="15" fillId="6" borderId="4" xfId="0" applyFont="1" applyFill="1" applyBorder="1" applyAlignment="1">
      <alignment horizontal="centerContinuous"/>
    </xf>
    <xf numFmtId="0" fontId="15" fillId="6" borderId="9" xfId="0" applyFont="1" applyFill="1" applyBorder="1" applyAlignment="1">
      <alignment horizontal="center"/>
    </xf>
    <xf numFmtId="0" fontId="12" fillId="0" borderId="1" xfId="0" applyFont="1" applyBorder="1" applyAlignment="1">
      <alignment horizontal="center"/>
    </xf>
    <xf numFmtId="164" fontId="12" fillId="0" borderId="1" xfId="0" applyNumberFormat="1" applyFont="1" applyBorder="1"/>
    <xf numFmtId="3" fontId="12" fillId="0" borderId="1" xfId="0" applyNumberFormat="1" applyFont="1" applyBorder="1"/>
    <xf numFmtId="0" fontId="15" fillId="9" borderId="1" xfId="0" applyFont="1" applyFill="1" applyBorder="1"/>
    <xf numFmtId="0" fontId="15" fillId="9" borderId="1" xfId="0" applyFont="1" applyFill="1" applyBorder="1" applyAlignment="1">
      <alignment horizontal="center"/>
    </xf>
    <xf numFmtId="0" fontId="15" fillId="9" borderId="1" xfId="0" quotePrefix="1" applyFont="1" applyFill="1" applyBorder="1" applyAlignment="1">
      <alignment horizontal="center"/>
    </xf>
    <xf numFmtId="164" fontId="15" fillId="9" borderId="1" xfId="0" applyNumberFormat="1" applyFont="1" applyFill="1" applyBorder="1"/>
    <xf numFmtId="3" fontId="15" fillId="9" borderId="1" xfId="0" applyNumberFormat="1" applyFont="1" applyFill="1" applyBorder="1"/>
    <xf numFmtId="0" fontId="12" fillId="0" borderId="1" xfId="0" applyFont="1" applyFill="1" applyBorder="1"/>
    <xf numFmtId="0" fontId="15" fillId="7" borderId="5" xfId="0" applyNumberFormat="1" applyFont="1" applyFill="1" applyBorder="1" applyAlignment="1">
      <alignment horizontal="center" vertical="top"/>
    </xf>
    <xf numFmtId="0" fontId="15" fillId="5" borderId="1" xfId="0" applyFont="1" applyFill="1" applyBorder="1"/>
    <xf numFmtId="0" fontId="15" fillId="5" borderId="1" xfId="0" applyFont="1" applyFill="1" applyBorder="1" applyAlignment="1">
      <alignment horizontal="center"/>
    </xf>
    <xf numFmtId="164" fontId="15" fillId="5" borderId="1" xfId="0" applyNumberFormat="1" applyFont="1" applyFill="1" applyBorder="1"/>
    <xf numFmtId="3" fontId="15" fillId="5" borderId="1" xfId="0" applyNumberFormat="1" applyFont="1" applyFill="1" applyBorder="1"/>
    <xf numFmtId="0" fontId="12" fillId="3" borderId="0" xfId="0" applyFont="1" applyFill="1"/>
    <xf numFmtId="0" fontId="15" fillId="3" borderId="0" xfId="0" applyFont="1" applyFill="1"/>
    <xf numFmtId="49" fontId="16" fillId="0" borderId="0" xfId="0" applyNumberFormat="1" applyFont="1" applyAlignment="1">
      <alignment horizontal="left"/>
    </xf>
    <xf numFmtId="49" fontId="17" fillId="0" borderId="0" xfId="0" applyNumberFormat="1" applyFont="1" applyAlignment="1">
      <alignment horizontal="left"/>
    </xf>
    <xf numFmtId="49" fontId="18" fillId="0" borderId="0" xfId="0" applyNumberFormat="1" applyFont="1" applyAlignment="1">
      <alignment horizontal="left"/>
    </xf>
    <xf numFmtId="49" fontId="15" fillId="7" borderId="8" xfId="0" applyNumberFormat="1" applyFont="1" applyFill="1" applyBorder="1" applyAlignment="1">
      <alignment horizontal="right" vertical="top"/>
    </xf>
    <xf numFmtId="49" fontId="12" fillId="0" borderId="5" xfId="0" applyNumberFormat="1" applyFont="1" applyBorder="1" applyAlignment="1">
      <alignment horizontal="center"/>
    </xf>
    <xf numFmtId="49" fontId="15" fillId="9" borderId="5" xfId="0" applyNumberFormat="1" applyFont="1" applyFill="1" applyBorder="1" applyAlignment="1">
      <alignment horizontal="center"/>
    </xf>
    <xf numFmtId="49" fontId="15" fillId="5" borderId="5" xfId="0" applyNumberFormat="1" applyFont="1" applyFill="1" applyBorder="1" applyAlignment="1">
      <alignment horizontal="center"/>
    </xf>
    <xf numFmtId="0" fontId="12" fillId="0" borderId="5" xfId="0" applyNumberFormat="1" applyFont="1" applyBorder="1" applyAlignment="1">
      <alignment horizontal="center"/>
    </xf>
    <xf numFmtId="0" fontId="15" fillId="5" borderId="5" xfId="0" applyNumberFormat="1" applyFont="1" applyFill="1" applyBorder="1" applyAlignment="1">
      <alignment horizontal="center"/>
    </xf>
    <xf numFmtId="164" fontId="12" fillId="0" borderId="2" xfId="0" applyNumberFormat="1" applyFont="1" applyFill="1" applyBorder="1"/>
    <xf numFmtId="164" fontId="15" fillId="9" borderId="2" xfId="0" applyNumberFormat="1" applyFont="1" applyFill="1" applyBorder="1"/>
    <xf numFmtId="164" fontId="12" fillId="0" borderId="2" xfId="0" applyNumberFormat="1" applyFont="1" applyBorder="1"/>
    <xf numFmtId="164" fontId="15" fillId="5" borderId="2" xfId="0" applyNumberFormat="1" applyFont="1" applyFill="1" applyBorder="1"/>
    <xf numFmtId="49" fontId="15" fillId="6" borderId="11" xfId="0" applyNumberFormat="1" applyFont="1" applyFill="1" applyBorder="1" applyAlignment="1">
      <alignment horizontal="center"/>
    </xf>
    <xf numFmtId="0" fontId="15" fillId="6" borderId="11" xfId="0" applyFont="1" applyFill="1" applyBorder="1" applyAlignment="1">
      <alignment horizontal="center"/>
    </xf>
    <xf numFmtId="0" fontId="15" fillId="6" borderId="13" xfId="0" applyNumberFormat="1" applyFont="1" applyFill="1" applyBorder="1" applyAlignment="1">
      <alignment horizontal="center"/>
    </xf>
    <xf numFmtId="0" fontId="12" fillId="0" borderId="9" xfId="0" applyFont="1" applyFill="1" applyBorder="1" applyAlignment="1">
      <alignment horizontal="center"/>
    </xf>
    <xf numFmtId="164" fontId="12" fillId="0" borderId="9" xfId="0" applyNumberFormat="1" applyFont="1" applyBorder="1"/>
    <xf numFmtId="3" fontId="12" fillId="0" borderId="9" xfId="0" applyNumberFormat="1" applyFont="1" applyBorder="1"/>
    <xf numFmtId="164" fontId="12" fillId="0" borderId="3" xfId="0" applyNumberFormat="1" applyFont="1" applyBorder="1"/>
    <xf numFmtId="0" fontId="0" fillId="10" borderId="0" xfId="0" applyFill="1"/>
    <xf numFmtId="0" fontId="15" fillId="10" borderId="0" xfId="0" applyFont="1" applyFill="1"/>
    <xf numFmtId="0" fontId="12" fillId="10" borderId="0" xfId="0" applyFont="1" applyFill="1"/>
    <xf numFmtId="0" fontId="12" fillId="10" borderId="0" xfId="0" applyFont="1" applyFill="1" applyAlignment="1">
      <alignment horizontal="left"/>
    </xf>
    <xf numFmtId="0" fontId="12" fillId="7" borderId="0" xfId="0" applyFont="1" applyFill="1"/>
    <xf numFmtId="0" fontId="12" fillId="5" borderId="0" xfId="0" applyFont="1" applyFill="1"/>
    <xf numFmtId="0" fontId="15" fillId="10" borderId="0" xfId="0" applyFont="1" applyFill="1" applyAlignment="1">
      <alignment horizontal="left"/>
    </xf>
    <xf numFmtId="0" fontId="19" fillId="10" borderId="0" xfId="0" applyFont="1" applyFill="1" applyAlignment="1">
      <alignment horizontal="left"/>
    </xf>
    <xf numFmtId="0" fontId="20" fillId="10" borderId="0" xfId="0" applyFont="1" applyFill="1"/>
    <xf numFmtId="0" fontId="19" fillId="4" borderId="0" xfId="0" applyFont="1" applyFill="1" applyAlignment="1">
      <alignment horizontal="centerContinuous"/>
    </xf>
    <xf numFmtId="0" fontId="20" fillId="4" borderId="0" xfId="0" applyFont="1" applyFill="1" applyAlignment="1">
      <alignment horizontal="centerContinuous"/>
    </xf>
    <xf numFmtId="0" fontId="13" fillId="0" borderId="0" xfId="0" applyFont="1" applyBorder="1" applyAlignment="1"/>
    <xf numFmtId="0" fontId="13" fillId="3" borderId="2" xfId="0" applyFont="1" applyFill="1" applyBorder="1" applyAlignment="1"/>
    <xf numFmtId="0" fontId="13" fillId="3" borderId="4" xfId="0" applyFont="1" applyFill="1" applyBorder="1" applyAlignment="1"/>
    <xf numFmtId="0" fontId="13" fillId="3" borderId="5" xfId="0" applyFont="1" applyFill="1" applyBorder="1" applyAlignment="1"/>
    <xf numFmtId="0" fontId="21" fillId="8" borderId="0" xfId="0" applyFont="1" applyFill="1"/>
    <xf numFmtId="0" fontId="13" fillId="8" borderId="0" xfId="0" applyFont="1" applyFill="1"/>
    <xf numFmtId="164" fontId="14" fillId="8" borderId="0" xfId="0" applyNumberFormat="1" applyFont="1" applyFill="1" applyBorder="1"/>
    <xf numFmtId="3" fontId="14" fillId="8" borderId="0" xfId="0" applyNumberFormat="1" applyFont="1" applyFill="1" applyBorder="1"/>
    <xf numFmtId="164" fontId="13" fillId="8" borderId="0" xfId="0" applyNumberFormat="1" applyFont="1" applyFill="1" applyBorder="1"/>
    <xf numFmtId="10" fontId="13" fillId="8" borderId="0" xfId="0" applyNumberFormat="1" applyFont="1" applyFill="1" applyBorder="1"/>
    <xf numFmtId="0" fontId="22" fillId="8" borderId="0" xfId="0" applyFont="1" applyFill="1"/>
    <xf numFmtId="164" fontId="0" fillId="0" borderId="0" xfId="0" applyNumberFormat="1"/>
    <xf numFmtId="0" fontId="23" fillId="0" borderId="0" xfId="0" applyFont="1"/>
    <xf numFmtId="49" fontId="12" fillId="0" borderId="1" xfId="0" applyNumberFormat="1" applyFont="1" applyBorder="1" applyAlignment="1">
      <alignment horizontal="center"/>
    </xf>
    <xf numFmtId="49" fontId="12" fillId="11" borderId="1" xfId="0" applyNumberFormat="1" applyFont="1" applyFill="1" applyBorder="1" applyAlignment="1">
      <alignment horizontal="center"/>
    </xf>
    <xf numFmtId="0" fontId="12" fillId="11" borderId="1" xfId="0" applyFont="1" applyFill="1" applyBorder="1" applyAlignment="1">
      <alignment horizontal="center"/>
    </xf>
    <xf numFmtId="164" fontId="12" fillId="11" borderId="1" xfId="0" applyNumberFormat="1" applyFont="1" applyFill="1" applyBorder="1"/>
    <xf numFmtId="3" fontId="12" fillId="11" borderId="1" xfId="0" applyNumberFormat="1" applyFont="1" applyFill="1" applyBorder="1"/>
    <xf numFmtId="168" fontId="0" fillId="0" borderId="0" xfId="0" applyNumberFormat="1"/>
    <xf numFmtId="0" fontId="0" fillId="0" borderId="0" xfId="0" applyAlignment="1">
      <alignment horizontal="right"/>
    </xf>
    <xf numFmtId="164" fontId="12" fillId="0" borderId="1" xfId="0" applyNumberFormat="1" applyFont="1" applyFill="1" applyBorder="1" applyAlignment="1">
      <alignment horizontal="right"/>
    </xf>
    <xf numFmtId="164" fontId="12" fillId="11" borderId="1" xfId="0" applyNumberFormat="1" applyFont="1" applyFill="1" applyBorder="1" applyAlignment="1">
      <alignment horizontal="right"/>
    </xf>
    <xf numFmtId="164" fontId="12" fillId="0" borderId="1" xfId="0" applyNumberFormat="1" applyFont="1" applyBorder="1" applyAlignment="1">
      <alignment horizontal="right"/>
    </xf>
    <xf numFmtId="164" fontId="15" fillId="0" borderId="1" xfId="0" applyNumberFormat="1" applyFont="1" applyFill="1" applyBorder="1" applyAlignment="1">
      <alignment horizontal="right"/>
    </xf>
    <xf numFmtId="167" fontId="15" fillId="0" borderId="1" xfId="0" applyNumberFormat="1" applyFont="1" applyFill="1" applyBorder="1" applyAlignment="1">
      <alignment horizontal="right"/>
    </xf>
    <xf numFmtId="0" fontId="13" fillId="0" borderId="0" xfId="0" applyFont="1" applyAlignment="1">
      <alignment horizontal="center"/>
    </xf>
    <xf numFmtId="3" fontId="12" fillId="8" borderId="1" xfId="0" applyNumberFormat="1" applyFont="1" applyFill="1" applyBorder="1"/>
    <xf numFmtId="167" fontId="12" fillId="8" borderId="1" xfId="0" applyNumberFormat="1" applyFont="1" applyFill="1" applyBorder="1"/>
    <xf numFmtId="6" fontId="12" fillId="8" borderId="1" xfId="0" applyNumberFormat="1" applyFont="1" applyFill="1" applyBorder="1"/>
    <xf numFmtId="0" fontId="24" fillId="8" borderId="11" xfId="0" applyFont="1" applyFill="1" applyBorder="1"/>
    <xf numFmtId="0" fontId="24" fillId="8" borderId="9" xfId="0" applyFont="1" applyFill="1" applyBorder="1"/>
    <xf numFmtId="6" fontId="24" fillId="8" borderId="9" xfId="0" applyNumberFormat="1" applyFont="1" applyFill="1" applyBorder="1"/>
    <xf numFmtId="6" fontId="24" fillId="8" borderId="11" xfId="0" applyNumberFormat="1" applyFont="1" applyFill="1" applyBorder="1"/>
    <xf numFmtId="0" fontId="12" fillId="8" borderId="11" xfId="0" applyFont="1" applyFill="1" applyBorder="1" applyAlignment="1">
      <alignment horizontal="right"/>
    </xf>
    <xf numFmtId="169" fontId="12" fillId="8" borderId="11" xfId="0" applyNumberFormat="1" applyFont="1" applyFill="1" applyBorder="1"/>
    <xf numFmtId="6" fontId="12" fillId="8" borderId="11" xfId="0" applyNumberFormat="1" applyFont="1" applyFill="1" applyBorder="1"/>
    <xf numFmtId="0" fontId="12" fillId="8" borderId="11" xfId="0" applyFont="1" applyFill="1" applyBorder="1"/>
    <xf numFmtId="170" fontId="12" fillId="8" borderId="11" xfId="0" applyNumberFormat="1" applyFont="1" applyFill="1" applyBorder="1"/>
    <xf numFmtId="6" fontId="15" fillId="8" borderId="11" xfId="0" applyNumberFormat="1" applyFont="1" applyFill="1" applyBorder="1"/>
    <xf numFmtId="38" fontId="12" fillId="8" borderId="11" xfId="0" applyNumberFormat="1" applyFont="1" applyFill="1" applyBorder="1" applyAlignment="1">
      <alignment horizontal="right"/>
    </xf>
    <xf numFmtId="0" fontId="24" fillId="8" borderId="3" xfId="0" applyFont="1" applyFill="1" applyBorder="1"/>
    <xf numFmtId="0" fontId="24" fillId="8" borderId="10" xfId="0" applyFont="1" applyFill="1" applyBorder="1"/>
    <xf numFmtId="0" fontId="24" fillId="8" borderId="0" xfId="0" applyFont="1" applyFill="1" applyBorder="1"/>
    <xf numFmtId="0" fontId="0" fillId="8" borderId="10" xfId="0" applyFill="1" applyBorder="1"/>
    <xf numFmtId="0" fontId="0" fillId="8" borderId="0" xfId="0" applyFill="1" applyBorder="1"/>
    <xf numFmtId="0" fontId="13" fillId="8" borderId="0" xfId="0" applyFont="1" applyFill="1" applyBorder="1" applyAlignment="1"/>
    <xf numFmtId="0" fontId="14" fillId="3" borderId="9" xfId="0" applyFont="1" applyFill="1" applyBorder="1" applyAlignment="1">
      <alignment horizontal="center"/>
    </xf>
    <xf numFmtId="0" fontId="14" fillId="3" borderId="11" xfId="0" applyFont="1" applyFill="1" applyBorder="1" applyAlignment="1">
      <alignment horizontal="center"/>
    </xf>
    <xf numFmtId="0" fontId="14" fillId="3" borderId="10" xfId="0" applyFont="1" applyFill="1" applyBorder="1" applyAlignment="1">
      <alignment horizontal="center"/>
    </xf>
    <xf numFmtId="0" fontId="13" fillId="8" borderId="1" xfId="0" applyFont="1" applyFill="1" applyBorder="1" applyAlignment="1">
      <alignment horizontal="center"/>
    </xf>
    <xf numFmtId="0" fontId="13" fillId="8" borderId="9" xfId="0" applyFont="1" applyFill="1" applyBorder="1" applyAlignment="1">
      <alignment horizontal="center"/>
    </xf>
    <xf numFmtId="0" fontId="13" fillId="8" borderId="11" xfId="0" applyFont="1" applyFill="1" applyBorder="1" applyAlignment="1">
      <alignment horizontal="center"/>
    </xf>
    <xf numFmtId="0" fontId="12" fillId="8" borderId="11" xfId="0" applyFont="1" applyFill="1" applyBorder="1" applyAlignment="1">
      <alignment horizontal="center"/>
    </xf>
    <xf numFmtId="0" fontId="12" fillId="8" borderId="1" xfId="0" applyFont="1" applyFill="1" applyBorder="1" applyAlignment="1">
      <alignment horizontal="center"/>
    </xf>
    <xf numFmtId="6" fontId="15" fillId="8" borderId="9" xfId="0" applyNumberFormat="1" applyFont="1" applyFill="1" applyBorder="1"/>
    <xf numFmtId="0" fontId="12" fillId="8" borderId="9" xfId="0" applyFont="1" applyFill="1" applyBorder="1" applyAlignment="1">
      <alignment horizontal="center"/>
    </xf>
    <xf numFmtId="0" fontId="12" fillId="8" borderId="7" xfId="0" applyFont="1" applyFill="1" applyBorder="1" applyAlignment="1">
      <alignment horizontal="center"/>
    </xf>
    <xf numFmtId="0" fontId="12" fillId="8" borderId="9" xfId="0" applyFont="1" applyFill="1" applyBorder="1" applyAlignment="1">
      <alignment horizontal="right"/>
    </xf>
    <xf numFmtId="170" fontId="12" fillId="8" borderId="9" xfId="0" applyNumberFormat="1" applyFont="1" applyFill="1" applyBorder="1"/>
    <xf numFmtId="6" fontId="12" fillId="8" borderId="9" xfId="0" applyNumberFormat="1" applyFont="1" applyFill="1" applyBorder="1"/>
    <xf numFmtId="0" fontId="15" fillId="8" borderId="0" xfId="0" applyFont="1" applyFill="1" applyBorder="1" applyAlignment="1"/>
    <xf numFmtId="0" fontId="15" fillId="8" borderId="12" xfId="0" applyFont="1" applyFill="1" applyBorder="1" applyAlignment="1"/>
    <xf numFmtId="0" fontId="17" fillId="0" borderId="0" xfId="0" applyFont="1"/>
    <xf numFmtId="0" fontId="15" fillId="8" borderId="9" xfId="0" applyFont="1" applyFill="1" applyBorder="1" applyAlignment="1">
      <alignment horizontal="right" vertical="center"/>
    </xf>
    <xf numFmtId="170" fontId="15" fillId="8" borderId="9" xfId="0" applyNumberFormat="1" applyFont="1" applyFill="1" applyBorder="1" applyAlignment="1">
      <alignment vertical="center"/>
    </xf>
    <xf numFmtId="6" fontId="15" fillId="8" borderId="9" xfId="0" applyNumberFormat="1" applyFont="1" applyFill="1" applyBorder="1" applyAlignment="1">
      <alignment vertical="center"/>
    </xf>
    <xf numFmtId="0" fontId="12" fillId="12" borderId="7" xfId="0" applyFont="1" applyFill="1" applyBorder="1" applyAlignment="1">
      <alignment vertical="center"/>
    </xf>
    <xf numFmtId="170" fontId="12" fillId="12" borderId="7" xfId="0" applyNumberFormat="1" applyFont="1" applyFill="1" applyBorder="1" applyAlignment="1">
      <alignment vertical="center"/>
    </xf>
    <xf numFmtId="3" fontId="15" fillId="8" borderId="9" xfId="0" applyNumberFormat="1" applyFont="1" applyFill="1" applyBorder="1"/>
    <xf numFmtId="167" fontId="15" fillId="8" borderId="9" xfId="0" applyNumberFormat="1" applyFont="1" applyFill="1" applyBorder="1"/>
    <xf numFmtId="3" fontId="15" fillId="12" borderId="7" xfId="0" applyNumberFormat="1" applyFont="1" applyFill="1" applyBorder="1"/>
    <xf numFmtId="167" fontId="15" fillId="12" borderId="7" xfId="0" applyNumberFormat="1" applyFont="1" applyFill="1" applyBorder="1"/>
    <xf numFmtId="0" fontId="15" fillId="8" borderId="6" xfId="0" applyFont="1" applyFill="1" applyBorder="1" applyAlignment="1">
      <alignment horizontal="left" vertical="center"/>
    </xf>
    <xf numFmtId="0" fontId="15" fillId="8" borderId="14" xfId="0" applyFont="1" applyFill="1" applyBorder="1" applyAlignment="1">
      <alignment horizontal="left" vertical="center"/>
    </xf>
    <xf numFmtId="0" fontId="17" fillId="0" borderId="0" xfId="0" quotePrefix="1" applyFont="1" applyAlignment="1">
      <alignment horizontal="right"/>
    </xf>
    <xf numFmtId="0" fontId="12" fillId="12" borderId="11" xfId="0" applyFont="1" applyFill="1" applyBorder="1" applyAlignment="1">
      <alignment vertical="center"/>
    </xf>
    <xf numFmtId="170" fontId="12" fillId="12" borderId="11" xfId="0" applyNumberFormat="1" applyFont="1" applyFill="1" applyBorder="1" applyAlignment="1">
      <alignment vertical="center"/>
    </xf>
    <xf numFmtId="6" fontId="15" fillId="8" borderId="11" xfId="0" applyNumberFormat="1" applyFont="1" applyFill="1" applyBorder="1" applyAlignment="1">
      <alignment vertical="center"/>
    </xf>
    <xf numFmtId="166" fontId="15" fillId="8" borderId="7" xfId="0" applyNumberFormat="1" applyFont="1" applyFill="1" applyBorder="1" applyAlignment="1">
      <alignment vertical="center"/>
    </xf>
    <xf numFmtId="3" fontId="15" fillId="12" borderId="11" xfId="0" applyNumberFormat="1" applyFont="1" applyFill="1" applyBorder="1"/>
    <xf numFmtId="167" fontId="15" fillId="12" borderId="11" xfId="0" applyNumberFormat="1" applyFont="1" applyFill="1" applyBorder="1"/>
    <xf numFmtId="0" fontId="15" fillId="8" borderId="14" xfId="0" applyFont="1" applyFill="1" applyBorder="1" applyAlignment="1">
      <alignment horizontal="left"/>
    </xf>
    <xf numFmtId="3" fontId="15" fillId="13" borderId="0" xfId="0" applyNumberFormat="1" applyFont="1" applyFill="1" applyBorder="1"/>
    <xf numFmtId="0" fontId="15" fillId="13" borderId="0" xfId="0" applyFont="1" applyFill="1" applyBorder="1" applyAlignment="1">
      <alignment horizontal="left"/>
    </xf>
    <xf numFmtId="6" fontId="15" fillId="13" borderId="0" xfId="0" applyNumberFormat="1" applyFont="1" applyFill="1" applyBorder="1"/>
    <xf numFmtId="6" fontId="12" fillId="13" borderId="0" xfId="0" applyNumberFormat="1" applyFont="1" applyFill="1" applyBorder="1"/>
    <xf numFmtId="167" fontId="12" fillId="13" borderId="0" xfId="0" applyNumberFormat="1" applyFont="1" applyFill="1" applyBorder="1"/>
    <xf numFmtId="0" fontId="0" fillId="13" borderId="9" xfId="0" applyFont="1" applyFill="1" applyBorder="1"/>
    <xf numFmtId="6" fontId="15" fillId="13" borderId="11" xfId="0" applyNumberFormat="1" applyFont="1" applyFill="1" applyBorder="1"/>
    <xf numFmtId="6" fontId="12" fillId="13" borderId="11" xfId="0" applyNumberFormat="1" applyFont="1" applyFill="1" applyBorder="1"/>
    <xf numFmtId="166" fontId="12" fillId="13" borderId="11" xfId="0" applyNumberFormat="1" applyFont="1" applyFill="1" applyBorder="1"/>
    <xf numFmtId="166" fontId="12" fillId="13" borderId="1" xfId="0" applyNumberFormat="1" applyFont="1" applyFill="1" applyBorder="1"/>
    <xf numFmtId="6" fontId="15" fillId="13" borderId="7" xfId="0" applyNumberFormat="1" applyFont="1" applyFill="1" applyBorder="1"/>
    <xf numFmtId="6" fontId="15" fillId="13" borderId="9" xfId="0" applyNumberFormat="1" applyFont="1" applyFill="1" applyBorder="1"/>
    <xf numFmtId="6" fontId="12" fillId="13" borderId="7" xfId="0" applyNumberFormat="1" applyFont="1" applyFill="1" applyBorder="1"/>
    <xf numFmtId="6" fontId="12" fillId="13" borderId="11" xfId="0" applyNumberFormat="1" applyFont="1" applyFill="1" applyBorder="1" applyAlignment="1">
      <alignment horizontal="right"/>
    </xf>
    <xf numFmtId="0" fontId="0" fillId="8" borderId="3" xfId="0" applyFill="1" applyBorder="1"/>
    <xf numFmtId="0" fontId="25" fillId="8" borderId="15" xfId="0" applyFont="1" applyFill="1" applyBorder="1"/>
    <xf numFmtId="0" fontId="0" fillId="8" borderId="15" xfId="0" applyFill="1" applyBorder="1"/>
    <xf numFmtId="0" fontId="0" fillId="8" borderId="13" xfId="0" applyFill="1" applyBorder="1"/>
    <xf numFmtId="0" fontId="0" fillId="8" borderId="6" xfId="0" applyFill="1" applyBorder="1"/>
    <xf numFmtId="0" fontId="0" fillId="8" borderId="14" xfId="0" applyFill="1" applyBorder="1"/>
    <xf numFmtId="0" fontId="0" fillId="8" borderId="8" xfId="0" applyFill="1" applyBorder="1"/>
    <xf numFmtId="3" fontId="15" fillId="13" borderId="15" xfId="0" applyNumberFormat="1" applyFont="1" applyFill="1" applyBorder="1"/>
    <xf numFmtId="6" fontId="15" fillId="13" borderId="15" xfId="0" applyNumberFormat="1" applyFont="1" applyFill="1" applyBorder="1" applyAlignment="1">
      <alignment horizontal="center"/>
    </xf>
    <xf numFmtId="6" fontId="15" fillId="13" borderId="15" xfId="0" applyNumberFormat="1" applyFont="1" applyFill="1" applyBorder="1" applyAlignment="1">
      <alignment horizontal="center" wrapText="1"/>
    </xf>
    <xf numFmtId="0" fontId="12" fillId="13" borderId="13" xfId="0" applyFont="1" applyFill="1" applyBorder="1" applyAlignment="1">
      <alignment horizontal="center"/>
    </xf>
    <xf numFmtId="0" fontId="15" fillId="13" borderId="10" xfId="0" applyFont="1" applyFill="1" applyBorder="1" applyAlignment="1">
      <alignment horizontal="left"/>
    </xf>
    <xf numFmtId="0" fontId="12" fillId="13" borderId="12" xfId="0" applyFont="1" applyFill="1" applyBorder="1" applyAlignment="1">
      <alignment horizontal="center"/>
    </xf>
    <xf numFmtId="0" fontId="0" fillId="13" borderId="0" xfId="0" applyFill="1" applyBorder="1"/>
    <xf numFmtId="0" fontId="12" fillId="3" borderId="3" xfId="0" applyFont="1" applyFill="1" applyBorder="1"/>
    <xf numFmtId="0" fontId="13" fillId="3" borderId="15" xfId="0" applyFont="1" applyFill="1" applyBorder="1"/>
    <xf numFmtId="170" fontId="13" fillId="3" borderId="15" xfId="0" applyNumberFormat="1" applyFont="1" applyFill="1" applyBorder="1"/>
    <xf numFmtId="0" fontId="13" fillId="3" borderId="13" xfId="0" applyFont="1" applyFill="1" applyBorder="1" applyAlignment="1">
      <alignment horizontal="center"/>
    </xf>
    <xf numFmtId="0" fontId="13" fillId="3" borderId="10" xfId="0" applyFont="1" applyFill="1" applyBorder="1" applyAlignment="1">
      <alignment horizontal="center"/>
    </xf>
    <xf numFmtId="0" fontId="13" fillId="3" borderId="0" xfId="0" applyFont="1" applyFill="1" applyBorder="1"/>
    <xf numFmtId="0" fontId="13" fillId="3" borderId="12" xfId="0" applyFont="1" applyFill="1" applyBorder="1" applyAlignment="1">
      <alignment horizontal="center"/>
    </xf>
    <xf numFmtId="0" fontId="13" fillId="3" borderId="6" xfId="0" applyFont="1" applyFill="1" applyBorder="1" applyAlignment="1">
      <alignment horizontal="center"/>
    </xf>
    <xf numFmtId="0" fontId="13" fillId="3" borderId="14" xfId="0" applyFont="1" applyFill="1" applyBorder="1"/>
    <xf numFmtId="0" fontId="13" fillId="3" borderId="8" xfId="0" applyFont="1" applyFill="1" applyBorder="1" applyAlignment="1">
      <alignment horizontal="center"/>
    </xf>
    <xf numFmtId="3" fontId="15" fillId="13" borderId="9" xfId="0" applyNumberFormat="1" applyFont="1" applyFill="1" applyBorder="1"/>
    <xf numFmtId="167" fontId="15" fillId="13" borderId="11" xfId="0" applyNumberFormat="1" applyFont="1" applyFill="1" applyBorder="1"/>
    <xf numFmtId="166" fontId="15" fillId="13" borderId="11" xfId="0" applyNumberFormat="1" applyFont="1" applyFill="1" applyBorder="1"/>
    <xf numFmtId="166" fontId="15" fillId="13" borderId="7" xfId="0" applyNumberFormat="1" applyFont="1" applyFill="1" applyBorder="1"/>
    <xf numFmtId="0" fontId="12" fillId="13" borderId="12" xfId="0" applyFont="1" applyFill="1" applyBorder="1" applyAlignment="1"/>
    <xf numFmtId="167" fontId="15" fillId="13" borderId="15" xfId="0" applyNumberFormat="1" applyFont="1" applyFill="1" applyBorder="1" applyAlignment="1">
      <alignment horizontal="center"/>
    </xf>
    <xf numFmtId="0" fontId="16" fillId="0" borderId="0" xfId="0" applyFont="1"/>
    <xf numFmtId="0" fontId="12" fillId="9" borderId="1" xfId="0" applyFont="1" applyFill="1" applyBorder="1"/>
    <xf numFmtId="6" fontId="13" fillId="8" borderId="9" xfId="0" applyNumberFormat="1" applyFont="1" applyFill="1" applyBorder="1"/>
    <xf numFmtId="0" fontId="13" fillId="8" borderId="9" xfId="0" applyFont="1" applyFill="1" applyBorder="1"/>
    <xf numFmtId="167" fontId="15" fillId="8" borderId="1" xfId="0" applyNumberFormat="1" applyFont="1" applyFill="1" applyBorder="1"/>
    <xf numFmtId="3" fontId="15" fillId="8" borderId="9" xfId="0" applyNumberFormat="1" applyFont="1" applyFill="1" applyBorder="1" applyAlignment="1">
      <alignment horizontal="right"/>
    </xf>
    <xf numFmtId="167" fontId="15" fillId="13" borderId="9" xfId="0" applyNumberFormat="1" applyFont="1" applyFill="1" applyBorder="1"/>
    <xf numFmtId="164" fontId="15" fillId="0" borderId="1" xfId="0" applyNumberFormat="1" applyFont="1" applyFill="1" applyBorder="1"/>
    <xf numFmtId="0" fontId="15" fillId="9" borderId="1" xfId="0" applyNumberFormat="1" applyFont="1" applyFill="1" applyBorder="1" applyAlignment="1">
      <alignment horizontal="center"/>
    </xf>
    <xf numFmtId="0" fontId="12" fillId="0" borderId="7" xfId="0" applyFont="1" applyBorder="1" applyAlignment="1">
      <alignment horizontal="center"/>
    </xf>
    <xf numFmtId="0" fontId="26" fillId="0" borderId="1" xfId="0" applyFont="1" applyFill="1" applyBorder="1"/>
    <xf numFmtId="0" fontId="26" fillId="11" borderId="1" xfId="0" applyFont="1" applyFill="1" applyBorder="1"/>
    <xf numFmtId="0" fontId="26" fillId="0" borderId="1" xfId="0" applyFont="1" applyBorder="1"/>
    <xf numFmtId="0" fontId="12" fillId="0" borderId="7" xfId="0" applyFont="1" applyBorder="1"/>
    <xf numFmtId="49" fontId="12" fillId="11" borderId="7" xfId="0" applyNumberFormat="1" applyFont="1" applyFill="1" applyBorder="1" applyAlignment="1">
      <alignment horizontal="center"/>
    </xf>
    <xf numFmtId="0" fontId="12" fillId="11" borderId="7" xfId="0" applyFont="1" applyFill="1" applyBorder="1" applyAlignment="1">
      <alignment horizontal="center"/>
    </xf>
    <xf numFmtId="164" fontId="12" fillId="11" borderId="7" xfId="0" applyNumberFormat="1" applyFont="1" applyFill="1" applyBorder="1" applyAlignment="1">
      <alignment horizontal="right"/>
    </xf>
    <xf numFmtId="3" fontId="12" fillId="11" borderId="7" xfId="0" applyNumberFormat="1" applyFont="1" applyFill="1" applyBorder="1"/>
    <xf numFmtId="164" fontId="12" fillId="11" borderId="7" xfId="0" applyNumberFormat="1" applyFont="1" applyFill="1" applyBorder="1"/>
    <xf numFmtId="0" fontId="15" fillId="0" borderId="0" xfId="0" applyFont="1" applyFill="1" applyBorder="1" applyAlignment="1">
      <alignment horizontal="left"/>
    </xf>
    <xf numFmtId="164" fontId="15" fillId="0" borderId="0" xfId="0" applyNumberFormat="1" applyFont="1" applyFill="1" applyBorder="1" applyAlignment="1">
      <alignment horizontal="right"/>
    </xf>
    <xf numFmtId="167" fontId="15" fillId="0" borderId="0" xfId="0" applyNumberFormat="1" applyFont="1" applyFill="1" applyBorder="1" applyAlignment="1">
      <alignment horizontal="right"/>
    </xf>
    <xf numFmtId="164" fontId="15" fillId="0" borderId="0" xfId="0" applyNumberFormat="1" applyFont="1" applyFill="1" applyBorder="1"/>
    <xf numFmtId="0" fontId="15" fillId="0" borderId="0" xfId="0" applyNumberFormat="1" applyFont="1" applyFill="1" applyBorder="1" applyAlignment="1">
      <alignment horizontal="center"/>
    </xf>
    <xf numFmtId="0" fontId="12" fillId="0" borderId="0" xfId="0" applyFont="1" applyFill="1" applyBorder="1"/>
    <xf numFmtId="164" fontId="0" fillId="0" borderId="0" xfId="0" applyNumberFormat="1" applyFill="1" applyBorder="1"/>
    <xf numFmtId="0" fontId="26" fillId="11" borderId="7" xfId="0" applyFont="1" applyFill="1" applyBorder="1"/>
    <xf numFmtId="164" fontId="12" fillId="0" borderId="9" xfId="0" applyNumberFormat="1" applyFont="1" applyFill="1" applyBorder="1" applyAlignment="1">
      <alignment horizontal="center"/>
    </xf>
    <xf numFmtId="164" fontId="12" fillId="0" borderId="7" xfId="0" applyNumberFormat="1" applyFont="1" applyFill="1" applyBorder="1" applyAlignment="1">
      <alignment horizontal="center"/>
    </xf>
    <xf numFmtId="0" fontId="0" fillId="9" borderId="1" xfId="0" applyNumberFormat="1" applyFill="1" applyBorder="1" applyAlignment="1">
      <alignment horizontal="center"/>
    </xf>
    <xf numFmtId="164" fontId="0" fillId="0" borderId="1" xfId="0" applyNumberFormat="1" applyBorder="1"/>
    <xf numFmtId="3" fontId="0" fillId="0" borderId="1" xfId="0" applyNumberFormat="1" applyBorder="1"/>
    <xf numFmtId="166" fontId="12" fillId="13" borderId="11" xfId="0" applyNumberFormat="1" applyFont="1" applyFill="1" applyBorder="1" applyAlignment="1">
      <alignment horizontal="right"/>
    </xf>
    <xf numFmtId="0" fontId="10" fillId="0" borderId="0" xfId="1"/>
    <xf numFmtId="0" fontId="10" fillId="2" borderId="2" xfId="1" applyFill="1" applyBorder="1"/>
    <xf numFmtId="0" fontId="10" fillId="2" borderId="4" xfId="1" applyFill="1" applyBorder="1"/>
    <xf numFmtId="0" fontId="10" fillId="0" borderId="3" xfId="1" applyBorder="1" applyAlignment="1">
      <alignment wrapText="1"/>
    </xf>
    <xf numFmtId="0" fontId="10" fillId="0" borderId="6" xfId="1" applyBorder="1"/>
    <xf numFmtId="42" fontId="10" fillId="0" borderId="0" xfId="1" applyNumberFormat="1"/>
    <xf numFmtId="0" fontId="10" fillId="0" borderId="0" xfId="1" applyFill="1" applyBorder="1" applyAlignment="1">
      <alignment horizontal="center" vertical="center"/>
    </xf>
    <xf numFmtId="0" fontId="11" fillId="0" borderId="0" xfId="1" applyFont="1"/>
    <xf numFmtId="166" fontId="27" fillId="0" borderId="0" xfId="1" applyNumberFormat="1" applyFont="1"/>
    <xf numFmtId="0" fontId="10" fillId="2" borderId="1" xfId="1" applyFont="1" applyFill="1" applyBorder="1" applyAlignment="1">
      <alignment horizontal="center" vertical="center"/>
    </xf>
    <xf numFmtId="42" fontId="10" fillId="0" borderId="1" xfId="1" applyNumberFormat="1" applyFont="1" applyBorder="1"/>
    <xf numFmtId="0" fontId="10" fillId="2" borderId="4" xfId="1" applyFont="1" applyFill="1" applyBorder="1"/>
    <xf numFmtId="0" fontId="10" fillId="2" borderId="2" xfId="1" applyFont="1" applyFill="1" applyBorder="1"/>
    <xf numFmtId="0" fontId="10" fillId="0" borderId="1" xfId="1" applyFont="1" applyBorder="1"/>
    <xf numFmtId="0" fontId="10" fillId="2" borderId="2" xfId="1" applyFont="1" applyFill="1" applyBorder="1" applyAlignment="1">
      <alignment wrapText="1"/>
    </xf>
    <xf numFmtId="0" fontId="10" fillId="2" borderId="1" xfId="1" applyFont="1" applyFill="1" applyBorder="1" applyAlignment="1">
      <alignment wrapText="1"/>
    </xf>
    <xf numFmtId="166" fontId="10" fillId="0" borderId="1" xfId="1" applyNumberFormat="1" applyFont="1" applyBorder="1"/>
    <xf numFmtId="0" fontId="12" fillId="0" borderId="1" xfId="0" applyFont="1" applyBorder="1" applyAlignment="1">
      <alignment horizontal="center"/>
    </xf>
    <xf numFmtId="0" fontId="12" fillId="0" borderId="1" xfId="0" applyFont="1" applyBorder="1" applyAlignment="1">
      <alignment horizontal="center"/>
    </xf>
    <xf numFmtId="0" fontId="10" fillId="0" borderId="0" xfId="1" applyAlignment="1">
      <alignment horizontal="right" wrapText="1"/>
    </xf>
    <xf numFmtId="0" fontId="10" fillId="0" borderId="0" xfId="1" applyAlignment="1">
      <alignment horizontal="center" wrapText="1"/>
    </xf>
    <xf numFmtId="49" fontId="12" fillId="0" borderId="13" xfId="0" applyNumberFormat="1" applyFont="1" applyBorder="1" applyAlignment="1">
      <alignment horizontal="center"/>
    </xf>
    <xf numFmtId="0" fontId="10" fillId="14" borderId="4" xfId="1" applyFont="1" applyFill="1" applyBorder="1"/>
    <xf numFmtId="0" fontId="10" fillId="2" borderId="5" xfId="1" applyFont="1" applyFill="1" applyBorder="1"/>
    <xf numFmtId="0" fontId="10" fillId="14" borderId="1" xfId="1" applyFont="1" applyFill="1" applyBorder="1" applyAlignment="1">
      <alignment horizontal="center" vertical="center"/>
    </xf>
    <xf numFmtId="42" fontId="10" fillId="14" borderId="1" xfId="1" applyNumberFormat="1" applyFont="1" applyFill="1" applyBorder="1"/>
    <xf numFmtId="0" fontId="11" fillId="0" borderId="0" xfId="1" applyFont="1" applyAlignment="1">
      <alignment wrapText="1"/>
    </xf>
    <xf numFmtId="42" fontId="30" fillId="0" borderId="0" xfId="0" applyNumberFormat="1" applyFont="1"/>
    <xf numFmtId="166" fontId="10" fillId="14" borderId="1" xfId="1" applyNumberFormat="1" applyFont="1" applyFill="1" applyBorder="1"/>
    <xf numFmtId="0" fontId="10" fillId="14" borderId="4" xfId="1" applyFill="1" applyBorder="1"/>
    <xf numFmtId="0" fontId="10" fillId="2" borderId="5" xfId="1" applyFill="1" applyBorder="1"/>
    <xf numFmtId="0" fontId="0" fillId="0" borderId="0" xfId="0" applyAlignment="1">
      <alignment wrapText="1"/>
    </xf>
    <xf numFmtId="0" fontId="0" fillId="8" borderId="0" xfId="0" applyFill="1" applyAlignment="1">
      <alignment wrapText="1"/>
    </xf>
    <xf numFmtId="0" fontId="32" fillId="8" borderId="0" xfId="0" applyFont="1" applyFill="1" applyAlignment="1">
      <alignment wrapText="1"/>
    </xf>
    <xf numFmtId="17" fontId="32" fillId="8" borderId="0" xfId="0" quotePrefix="1" applyNumberFormat="1" applyFont="1" applyFill="1" applyAlignment="1">
      <alignment wrapText="1"/>
    </xf>
    <xf numFmtId="0" fontId="34" fillId="8" borderId="0" xfId="0" applyFont="1" applyFill="1" applyAlignment="1">
      <alignment wrapText="1"/>
    </xf>
    <xf numFmtId="0" fontId="35" fillId="8" borderId="0" xfId="0" applyFont="1" applyFill="1" applyAlignment="1">
      <alignment wrapText="1"/>
    </xf>
    <xf numFmtId="0" fontId="36" fillId="8" borderId="0" xfId="3" applyFill="1" applyAlignment="1" applyProtection="1">
      <alignment wrapText="1"/>
    </xf>
    <xf numFmtId="0" fontId="13" fillId="0" borderId="0" xfId="0" applyFont="1" applyFill="1" applyBorder="1" applyAlignment="1"/>
    <xf numFmtId="0" fontId="0" fillId="0" borderId="0" xfId="0" applyFill="1" applyBorder="1"/>
    <xf numFmtId="0" fontId="38" fillId="15" borderId="3" xfId="1" applyFont="1" applyFill="1" applyBorder="1" applyAlignment="1">
      <alignment horizontal="center" wrapText="1"/>
    </xf>
    <xf numFmtId="0" fontId="39" fillId="16" borderId="4" xfId="1" applyFont="1" applyFill="1" applyBorder="1" applyAlignment="1"/>
    <xf numFmtId="0" fontId="39" fillId="16" borderId="5" xfId="1" applyFont="1" applyFill="1" applyBorder="1" applyAlignment="1"/>
    <xf numFmtId="164" fontId="40" fillId="8" borderId="10" xfId="1" applyNumberFormat="1" applyFont="1" applyFill="1" applyBorder="1" applyAlignment="1">
      <alignment horizontal="left" indent="1"/>
    </xf>
    <xf numFmtId="0" fontId="39" fillId="16" borderId="1" xfId="1" applyFont="1" applyFill="1" applyBorder="1" applyAlignment="1">
      <alignment horizontal="left" wrapText="1" indent="1"/>
    </xf>
    <xf numFmtId="0" fontId="39" fillId="16" borderId="1" xfId="1" applyFont="1" applyFill="1" applyBorder="1" applyAlignment="1">
      <alignment horizontal="center" vertical="center"/>
    </xf>
    <xf numFmtId="0" fontId="40" fillId="8" borderId="10" xfId="1" applyFont="1" applyFill="1" applyBorder="1" applyAlignment="1">
      <alignment horizontal="left" indent="1"/>
    </xf>
    <xf numFmtId="164" fontId="40" fillId="8" borderId="10" xfId="1" applyNumberFormat="1" applyFont="1" applyFill="1" applyBorder="1" applyAlignment="1">
      <alignment horizontal="right" indent="1"/>
    </xf>
    <xf numFmtId="164" fontId="40" fillId="16" borderId="10" xfId="1" applyNumberFormat="1" applyFont="1" applyFill="1" applyBorder="1" applyAlignment="1">
      <alignment horizontal="right" indent="1"/>
    </xf>
    <xf numFmtId="164" fontId="40" fillId="16" borderId="11" xfId="1" applyNumberFormat="1" applyFont="1" applyFill="1" applyBorder="1" applyAlignment="1">
      <alignment horizontal="right" indent="1"/>
    </xf>
    <xf numFmtId="164" fontId="40" fillId="8" borderId="0" xfId="1" applyNumberFormat="1" applyFont="1" applyFill="1" applyBorder="1" applyAlignment="1">
      <alignment horizontal="right" indent="1"/>
    </xf>
    <xf numFmtId="164" fontId="40" fillId="8" borderId="11" xfId="1" applyNumberFormat="1" applyFont="1" applyFill="1" applyBorder="1" applyAlignment="1">
      <alignment horizontal="right" indent="1"/>
    </xf>
    <xf numFmtId="0" fontId="39" fillId="16" borderId="2" xfId="1" applyFont="1" applyFill="1" applyBorder="1" applyAlignment="1">
      <alignment horizontal="left" indent="1"/>
    </xf>
    <xf numFmtId="0" fontId="39" fillId="16" borderId="4" xfId="1" applyFont="1" applyFill="1" applyBorder="1" applyAlignment="1">
      <alignment horizontal="right" indent="2"/>
    </xf>
    <xf numFmtId="0" fontId="39" fillId="16" borderId="5" xfId="1" applyFont="1" applyFill="1" applyBorder="1" applyAlignment="1">
      <alignment horizontal="right" indent="2"/>
    </xf>
    <xf numFmtId="0" fontId="39" fillId="16" borderId="4" xfId="1" applyFont="1" applyFill="1" applyBorder="1"/>
    <xf numFmtId="0" fontId="39" fillId="16" borderId="4" xfId="1" applyFont="1" applyFill="1" applyBorder="1" applyAlignment="1">
      <alignment horizontal="center"/>
    </xf>
    <xf numFmtId="0" fontId="39" fillId="16" borderId="5" xfId="1" applyFont="1" applyFill="1" applyBorder="1"/>
    <xf numFmtId="166" fontId="40" fillId="8" borderId="9" xfId="1" applyNumberFormat="1" applyFont="1" applyFill="1" applyBorder="1" applyAlignment="1">
      <alignment horizontal="right" indent="1"/>
    </xf>
    <xf numFmtId="166" fontId="40" fillId="8" borderId="0" xfId="1" applyNumberFormat="1" applyFont="1" applyFill="1" applyBorder="1" applyAlignment="1">
      <alignment horizontal="right" indent="1"/>
    </xf>
    <xf numFmtId="166" fontId="40" fillId="16" borderId="9" xfId="1" applyNumberFormat="1" applyFont="1" applyFill="1" applyBorder="1" applyAlignment="1">
      <alignment horizontal="right" indent="1"/>
    </xf>
    <xf numFmtId="166" fontId="40" fillId="16" borderId="12" xfId="1" applyNumberFormat="1" applyFont="1" applyFill="1" applyBorder="1" applyAlignment="1">
      <alignment horizontal="right" indent="1"/>
    </xf>
    <xf numFmtId="166" fontId="40" fillId="8" borderId="12" xfId="1" applyNumberFormat="1" applyFont="1" applyFill="1" applyBorder="1" applyAlignment="1">
      <alignment horizontal="right" indent="1"/>
    </xf>
    <xf numFmtId="166" fontId="40" fillId="8" borderId="11" xfId="1" applyNumberFormat="1" applyFont="1" applyFill="1" applyBorder="1" applyAlignment="1">
      <alignment horizontal="right" indent="1"/>
    </xf>
    <xf numFmtId="166" fontId="40" fillId="16" borderId="11" xfId="1" applyNumberFormat="1" applyFont="1" applyFill="1" applyBorder="1" applyAlignment="1">
      <alignment horizontal="right" indent="1"/>
    </xf>
    <xf numFmtId="166" fontId="40" fillId="8" borderId="7" xfId="1" applyNumberFormat="1" applyFont="1" applyFill="1" applyBorder="1" applyAlignment="1">
      <alignment horizontal="right" indent="1"/>
    </xf>
    <xf numFmtId="166" fontId="40" fillId="16" borderId="7" xfId="1" applyNumberFormat="1" applyFont="1" applyFill="1" applyBorder="1" applyAlignment="1">
      <alignment horizontal="right" indent="1"/>
    </xf>
    <xf numFmtId="0" fontId="39" fillId="16" borderId="2" xfId="1" applyFont="1" applyFill="1" applyBorder="1"/>
    <xf numFmtId="0" fontId="40" fillId="8" borderId="6" xfId="1" applyFont="1" applyFill="1" applyBorder="1"/>
    <xf numFmtId="0" fontId="0" fillId="15" borderId="0" xfId="0" applyFill="1"/>
    <xf numFmtId="0" fontId="35" fillId="0" borderId="0" xfId="0" applyFont="1"/>
    <xf numFmtId="0" fontId="33" fillId="0" borderId="0" xfId="0" applyFont="1"/>
    <xf numFmtId="0" fontId="43" fillId="14" borderId="1" xfId="0" applyFont="1" applyFill="1" applyBorder="1" applyAlignment="1">
      <alignment vertical="center" wrapText="1"/>
    </xf>
    <xf numFmtId="0" fontId="43" fillId="14" borderId="1" xfId="0" applyFont="1" applyFill="1" applyBorder="1" applyAlignment="1">
      <alignment horizontal="center" vertical="center"/>
    </xf>
    <xf numFmtId="0" fontId="37" fillId="0" borderId="1" xfId="0" applyFont="1" applyBorder="1" applyAlignment="1">
      <alignment vertical="center" wrapText="1"/>
    </xf>
    <xf numFmtId="0" fontId="37" fillId="16" borderId="1" xfId="0" applyFont="1" applyFill="1" applyBorder="1" applyAlignment="1">
      <alignment horizontal="center" vertical="center"/>
    </xf>
    <xf numFmtId="0" fontId="37" fillId="0" borderId="1" xfId="0" applyFont="1" applyBorder="1" applyAlignment="1">
      <alignment horizontal="center" vertical="center"/>
    </xf>
    <xf numFmtId="0" fontId="1" fillId="0" borderId="0" xfId="0" applyFont="1" applyAlignment="1">
      <alignment horizontal="center" vertical="top"/>
    </xf>
    <xf numFmtId="0" fontId="38" fillId="15" borderId="1" xfId="0" applyFont="1" applyFill="1" applyBorder="1" applyAlignment="1">
      <alignment horizontal="center" vertical="center" wrapText="1"/>
    </xf>
    <xf numFmtId="0" fontId="43" fillId="14" borderId="1" xfId="0" applyFont="1" applyFill="1" applyBorder="1" applyAlignment="1">
      <alignment horizontal="center" vertical="center" wrapText="1"/>
    </xf>
    <xf numFmtId="166" fontId="37" fillId="0" borderId="1" xfId="0" applyNumberFormat="1" applyFont="1" applyBorder="1" applyAlignment="1">
      <alignment vertical="center"/>
    </xf>
    <xf numFmtId="166" fontId="37" fillId="14" borderId="2" xfId="0" applyNumberFormat="1" applyFont="1" applyFill="1" applyBorder="1" applyAlignment="1">
      <alignment vertical="center"/>
    </xf>
    <xf numFmtId="166" fontId="37" fillId="14" borderId="5" xfId="0" applyNumberFormat="1" applyFont="1" applyFill="1" applyBorder="1" applyAlignment="1">
      <alignment vertical="center"/>
    </xf>
    <xf numFmtId="0" fontId="37" fillId="0" borderId="1" xfId="0" applyFont="1" applyBorder="1" applyAlignment="1">
      <alignment horizontal="right" vertical="center" wrapText="1"/>
    </xf>
    <xf numFmtId="0" fontId="37" fillId="0" borderId="1" xfId="0" applyFont="1" applyBorder="1" applyAlignment="1">
      <alignment horizontal="right" wrapText="1"/>
    </xf>
    <xf numFmtId="166" fontId="37" fillId="0" borderId="1" xfId="0" applyNumberFormat="1" applyFont="1" applyBorder="1"/>
    <xf numFmtId="0" fontId="33" fillId="0" borderId="0" xfId="0" applyFont="1" applyFill="1"/>
    <xf numFmtId="0" fontId="45" fillId="14" borderId="2" xfId="0" applyFont="1" applyFill="1" applyBorder="1" applyAlignment="1">
      <alignment vertical="center"/>
    </xf>
    <xf numFmtId="0" fontId="43" fillId="14" borderId="4" xfId="0" applyFont="1" applyFill="1" applyBorder="1" applyAlignment="1">
      <alignment vertical="center"/>
    </xf>
    <xf numFmtId="0" fontId="43" fillId="14" borderId="5" xfId="0" applyFont="1" applyFill="1" applyBorder="1" applyAlignment="1">
      <alignment horizontal="center" vertical="center"/>
    </xf>
    <xf numFmtId="0" fontId="46" fillId="8" borderId="7" xfId="0" applyFont="1" applyFill="1" applyBorder="1" applyAlignment="1">
      <alignment vertical="center" wrapText="1"/>
    </xf>
    <xf numFmtId="0" fontId="38" fillId="15" borderId="16" xfId="0" applyFont="1" applyFill="1" applyBorder="1" applyAlignment="1">
      <alignment horizontal="center" vertical="center"/>
    </xf>
    <xf numFmtId="0" fontId="46" fillId="8" borderId="1" xfId="0" applyFont="1" applyFill="1" applyBorder="1" applyAlignment="1">
      <alignment vertical="center" wrapText="1"/>
    </xf>
    <xf numFmtId="0" fontId="43" fillId="8" borderId="17" xfId="0" applyFont="1" applyFill="1" applyBorder="1" applyAlignment="1">
      <alignment horizontal="center" vertical="center"/>
    </xf>
    <xf numFmtId="0" fontId="46" fillId="16" borderId="1" xfId="0" applyFont="1" applyFill="1" applyBorder="1" applyAlignment="1">
      <alignment vertical="center" wrapText="1"/>
    </xf>
    <xf numFmtId="0" fontId="38" fillId="15" borderId="17" xfId="0" applyFont="1" applyFill="1" applyBorder="1" applyAlignment="1">
      <alignment horizontal="center" vertical="center"/>
    </xf>
    <xf numFmtId="0" fontId="43" fillId="17" borderId="17" xfId="0" applyFont="1" applyFill="1" applyBorder="1" applyAlignment="1">
      <alignment horizontal="center" vertical="center"/>
    </xf>
    <xf numFmtId="0" fontId="43" fillId="8" borderId="18" xfId="0" applyFont="1" applyFill="1" applyBorder="1" applyAlignment="1">
      <alignment horizontal="center" vertical="center"/>
    </xf>
    <xf numFmtId="0" fontId="0" fillId="0" borderId="0" xfId="0" applyAlignment="1">
      <alignment vertical="top"/>
    </xf>
    <xf numFmtId="0" fontId="20" fillId="0" borderId="0" xfId="0" applyFont="1"/>
    <xf numFmtId="6" fontId="10" fillId="0" borderId="2" xfId="1" applyNumberFormat="1" applyFill="1" applyBorder="1" applyAlignment="1">
      <alignment horizontal="right"/>
    </xf>
    <xf numFmtId="0" fontId="10" fillId="0" borderId="5" xfId="1" applyFill="1" applyBorder="1" applyAlignment="1">
      <alignment horizontal="right"/>
    </xf>
    <xf numFmtId="42" fontId="10" fillId="0" borderId="2" xfId="1" applyNumberFormat="1" applyFont="1" applyBorder="1" applyAlignment="1"/>
    <xf numFmtId="42" fontId="10" fillId="0" borderId="5" xfId="1" applyNumberFormat="1" applyFont="1" applyBorder="1" applyAlignment="1"/>
    <xf numFmtId="166" fontId="10" fillId="0" borderId="2" xfId="1" applyNumberFormat="1" applyFont="1" applyBorder="1" applyAlignment="1"/>
    <xf numFmtId="166" fontId="10" fillId="0" borderId="5" xfId="1" applyNumberFormat="1" applyFont="1" applyBorder="1" applyAlignment="1"/>
    <xf numFmtId="3" fontId="10" fillId="0" borderId="2" xfId="1" applyNumberFormat="1" applyFont="1" applyFill="1" applyBorder="1" applyAlignment="1"/>
    <xf numFmtId="0" fontId="10" fillId="0" borderId="5" xfId="1" applyFont="1" applyFill="1" applyBorder="1" applyAlignment="1"/>
    <xf numFmtId="0" fontId="10" fillId="0" borderId="1" xfId="1" applyBorder="1" applyAlignment="1">
      <alignment horizontal="center" vertical="center"/>
    </xf>
    <xf numFmtId="3" fontId="10" fillId="0" borderId="2" xfId="1" applyNumberFormat="1" applyFont="1" applyBorder="1" applyAlignment="1"/>
    <xf numFmtId="3" fontId="10" fillId="0" borderId="5" xfId="1" applyNumberFormat="1" applyFont="1" applyBorder="1" applyAlignment="1"/>
    <xf numFmtId="0" fontId="10" fillId="0" borderId="9" xfId="1" applyFont="1" applyBorder="1" applyAlignment="1">
      <alignment vertical="center"/>
    </xf>
    <xf numFmtId="0" fontId="10" fillId="0" borderId="7" xfId="1" applyFont="1" applyBorder="1" applyAlignment="1">
      <alignment vertical="center"/>
    </xf>
    <xf numFmtId="6" fontId="31" fillId="0" borderId="2" xfId="1" applyNumberFormat="1" applyFont="1" applyFill="1" applyBorder="1" applyAlignment="1">
      <alignment horizontal="center"/>
    </xf>
    <xf numFmtId="0" fontId="31" fillId="0" borderId="5" xfId="1" applyFont="1" applyFill="1" applyBorder="1" applyAlignment="1">
      <alignment horizontal="center"/>
    </xf>
    <xf numFmtId="42" fontId="10" fillId="14" borderId="2" xfId="1" applyNumberFormat="1" applyFont="1" applyFill="1" applyBorder="1" applyAlignment="1">
      <alignment horizontal="center"/>
    </xf>
    <xf numFmtId="42" fontId="10" fillId="14" borderId="5" xfId="1" applyNumberFormat="1" applyFont="1" applyFill="1" applyBorder="1" applyAlignment="1">
      <alignment horizontal="center"/>
    </xf>
    <xf numFmtId="0" fontId="10" fillId="0" borderId="2" xfId="1" applyNumberFormat="1" applyFont="1" applyFill="1" applyBorder="1" applyAlignment="1">
      <alignment horizontal="center"/>
    </xf>
    <xf numFmtId="0" fontId="0" fillId="0" borderId="5" xfId="0" applyNumberFormat="1" applyBorder="1"/>
    <xf numFmtId="0" fontId="10" fillId="14" borderId="2" xfId="1" applyNumberFormat="1" applyFont="1" applyFill="1" applyBorder="1" applyAlignment="1">
      <alignment horizontal="center"/>
    </xf>
    <xf numFmtId="0" fontId="10" fillId="14" borderId="5" xfId="1" applyNumberFormat="1" applyFont="1" applyFill="1" applyBorder="1" applyAlignment="1">
      <alignment horizontal="center"/>
    </xf>
    <xf numFmtId="0" fontId="10" fillId="0" borderId="5" xfId="1" applyNumberFormat="1" applyFont="1" applyFill="1" applyBorder="1" applyAlignment="1">
      <alignment horizontal="center"/>
    </xf>
    <xf numFmtId="3" fontId="10" fillId="14" borderId="2" xfId="1" applyNumberFormat="1" applyFont="1" applyFill="1" applyBorder="1" applyAlignment="1">
      <alignment horizontal="center"/>
    </xf>
    <xf numFmtId="3" fontId="10" fillId="14" borderId="5" xfId="1" applyNumberFormat="1" applyFont="1" applyFill="1" applyBorder="1" applyAlignment="1">
      <alignment horizontal="center"/>
    </xf>
    <xf numFmtId="166" fontId="10" fillId="14" borderId="2" xfId="2" applyNumberFormat="1" applyFont="1" applyFill="1" applyBorder="1" applyAlignment="1">
      <alignment horizontal="center"/>
    </xf>
    <xf numFmtId="166" fontId="10" fillId="14" borderId="5" xfId="2" applyNumberFormat="1" applyFont="1" applyFill="1" applyBorder="1" applyAlignment="1">
      <alignment horizontal="center"/>
    </xf>
    <xf numFmtId="166" fontId="10" fillId="14" borderId="2" xfId="1" applyNumberFormat="1" applyFont="1" applyFill="1" applyBorder="1" applyAlignment="1">
      <alignment horizontal="right" wrapText="1"/>
    </xf>
    <xf numFmtId="166" fontId="10" fillId="14" borderId="5" xfId="1" applyNumberFormat="1" applyFont="1" applyFill="1" applyBorder="1" applyAlignment="1">
      <alignment horizontal="right" wrapText="1"/>
    </xf>
    <xf numFmtId="0" fontId="10" fillId="14" borderId="2" xfId="1" applyFill="1" applyBorder="1" applyAlignment="1">
      <alignment horizontal="center" vertical="center" wrapText="1"/>
    </xf>
    <xf numFmtId="0" fontId="10" fillId="14" borderId="5" xfId="1" applyFill="1" applyBorder="1" applyAlignment="1">
      <alignment horizontal="center" vertical="center" wrapText="1"/>
    </xf>
    <xf numFmtId="0" fontId="37" fillId="0" borderId="0" xfId="0" applyFont="1" applyAlignment="1">
      <alignment horizontal="left" vertical="top" wrapText="1"/>
    </xf>
    <xf numFmtId="0" fontId="45" fillId="8" borderId="11" xfId="0" applyFont="1" applyFill="1" applyBorder="1" applyAlignment="1">
      <alignment horizontal="center" vertical="center" textRotation="90"/>
    </xf>
    <xf numFmtId="0" fontId="45" fillId="8" borderId="7" xfId="0" applyFont="1" applyFill="1" applyBorder="1" applyAlignment="1">
      <alignment horizontal="center" vertical="center" textRotation="90"/>
    </xf>
    <xf numFmtId="0" fontId="45" fillId="16" borderId="9" xfId="0" applyFont="1" applyFill="1" applyBorder="1" applyAlignment="1">
      <alignment horizontal="center" vertical="center" textRotation="90"/>
    </xf>
    <xf numFmtId="0" fontId="45" fillId="16" borderId="7" xfId="0" applyFont="1" applyFill="1" applyBorder="1" applyAlignment="1">
      <alignment horizontal="center" vertical="center" textRotation="90"/>
    </xf>
    <xf numFmtId="0" fontId="45" fillId="8" borderId="9" xfId="0" applyFont="1" applyFill="1" applyBorder="1" applyAlignment="1">
      <alignment horizontal="center" vertical="center" textRotation="90"/>
    </xf>
    <xf numFmtId="0" fontId="45" fillId="16" borderId="11" xfId="0" applyFont="1" applyFill="1" applyBorder="1" applyAlignment="1">
      <alignment horizontal="center" vertical="center" textRotation="90"/>
    </xf>
    <xf numFmtId="0" fontId="1" fillId="0" borderId="0" xfId="0" applyFont="1" applyAlignment="1">
      <alignment horizontal="left" vertical="top" wrapText="1"/>
    </xf>
    <xf numFmtId="0" fontId="40" fillId="8" borderId="3" xfId="1" applyFont="1" applyFill="1" applyBorder="1" applyAlignment="1">
      <alignment horizontal="left" vertical="center" indent="1"/>
    </xf>
    <xf numFmtId="0" fontId="40" fillId="8" borderId="6" xfId="1" applyFont="1" applyFill="1" applyBorder="1" applyAlignment="1">
      <alignment horizontal="left" vertical="center" indent="1"/>
    </xf>
    <xf numFmtId="164" fontId="40" fillId="8" borderId="10" xfId="1" applyNumberFormat="1" applyFont="1" applyFill="1" applyBorder="1" applyAlignment="1">
      <alignment horizontal="right" indent="1"/>
    </xf>
    <xf numFmtId="164" fontId="40" fillId="8" borderId="0" xfId="1" applyNumberFormat="1" applyFont="1" applyFill="1" applyBorder="1" applyAlignment="1">
      <alignment horizontal="right" indent="1"/>
    </xf>
    <xf numFmtId="164" fontId="40" fillId="16" borderId="3" xfId="1" applyNumberFormat="1" applyFont="1" applyFill="1" applyBorder="1" applyAlignment="1">
      <alignment horizontal="center"/>
    </xf>
    <xf numFmtId="164" fontId="40" fillId="16" borderId="13" xfId="1" applyNumberFormat="1" applyFont="1" applyFill="1" applyBorder="1" applyAlignment="1">
      <alignment horizontal="center"/>
    </xf>
    <xf numFmtId="164" fontId="40" fillId="8" borderId="12" xfId="1" applyNumberFormat="1" applyFont="1" applyFill="1" applyBorder="1" applyAlignment="1">
      <alignment horizontal="right" indent="1"/>
    </xf>
    <xf numFmtId="0" fontId="41" fillId="8" borderId="6" xfId="1" applyNumberFormat="1" applyFont="1" applyFill="1" applyBorder="1" applyAlignment="1">
      <alignment horizontal="center"/>
    </xf>
    <xf numFmtId="0" fontId="42" fillId="8" borderId="14" xfId="0" applyNumberFormat="1" applyFont="1" applyFill="1" applyBorder="1"/>
    <xf numFmtId="0" fontId="41" fillId="16" borderId="6" xfId="1" applyNumberFormat="1" applyFont="1" applyFill="1" applyBorder="1" applyAlignment="1">
      <alignment horizontal="center"/>
    </xf>
    <xf numFmtId="0" fontId="41" fillId="16" borderId="8" xfId="1" applyNumberFormat="1" applyFont="1" applyFill="1" applyBorder="1" applyAlignment="1">
      <alignment horizontal="center"/>
    </xf>
    <xf numFmtId="0" fontId="41" fillId="8" borderId="14" xfId="1" applyNumberFormat="1" applyFont="1" applyFill="1" applyBorder="1" applyAlignment="1">
      <alignment horizontal="center"/>
    </xf>
    <xf numFmtId="0" fontId="41" fillId="8" borderId="8" xfId="1" applyNumberFormat="1" applyFont="1" applyFill="1" applyBorder="1" applyAlignment="1">
      <alignment horizontal="center"/>
    </xf>
    <xf numFmtId="164" fontId="40" fillId="8" borderId="15" xfId="1" applyNumberFormat="1" applyFont="1" applyFill="1" applyBorder="1" applyAlignment="1">
      <alignment horizontal="right" indent="1"/>
    </xf>
    <xf numFmtId="164" fontId="40" fillId="8" borderId="13" xfId="1" applyNumberFormat="1" applyFont="1" applyFill="1" applyBorder="1" applyAlignment="1">
      <alignment horizontal="right" indent="1"/>
    </xf>
    <xf numFmtId="166" fontId="40" fillId="8" borderId="6" xfId="1" applyNumberFormat="1" applyFont="1" applyFill="1" applyBorder="1" applyAlignment="1">
      <alignment horizontal="right" indent="1"/>
    </xf>
    <xf numFmtId="166" fontId="40" fillId="8" borderId="14" xfId="1" applyNumberFormat="1" applyFont="1" applyFill="1" applyBorder="1" applyAlignment="1">
      <alignment horizontal="right" indent="1"/>
    </xf>
    <xf numFmtId="166" fontId="40" fillId="8" borderId="8" xfId="1" applyNumberFormat="1" applyFont="1" applyFill="1" applyBorder="1" applyAlignment="1">
      <alignment horizontal="right" indent="1"/>
    </xf>
    <xf numFmtId="3" fontId="40" fillId="8" borderId="10" xfId="1" applyNumberFormat="1" applyFont="1" applyFill="1" applyBorder="1" applyAlignment="1">
      <alignment horizontal="right" indent="1"/>
    </xf>
    <xf numFmtId="0" fontId="40" fillId="8" borderId="0" xfId="1" applyFont="1" applyFill="1" applyBorder="1" applyAlignment="1">
      <alignment horizontal="right" indent="1"/>
    </xf>
    <xf numFmtId="3" fontId="40" fillId="16" borderId="3" xfId="1" applyNumberFormat="1" applyFont="1" applyFill="1" applyBorder="1" applyAlignment="1">
      <alignment horizontal="center"/>
    </xf>
    <xf numFmtId="3" fontId="40" fillId="16" borderId="13" xfId="1" applyNumberFormat="1" applyFont="1" applyFill="1" applyBorder="1" applyAlignment="1">
      <alignment horizontal="center"/>
    </xf>
    <xf numFmtId="3" fontId="40" fillId="8" borderId="0" xfId="1" applyNumberFormat="1" applyFont="1" applyFill="1" applyBorder="1" applyAlignment="1">
      <alignment horizontal="right" indent="1"/>
    </xf>
    <xf numFmtId="0" fontId="40" fillId="8" borderId="12" xfId="1" applyFont="1" applyFill="1" applyBorder="1" applyAlignment="1">
      <alignment horizontal="right" indent="1"/>
    </xf>
    <xf numFmtId="164" fontId="40" fillId="8" borderId="3" xfId="1" applyNumberFormat="1" applyFont="1" applyFill="1" applyBorder="1" applyAlignment="1">
      <alignment horizontal="right" indent="1"/>
    </xf>
    <xf numFmtId="3" fontId="40" fillId="8" borderId="3" xfId="1" applyNumberFormat="1" applyFont="1" applyFill="1" applyBorder="1" applyAlignment="1">
      <alignment horizontal="right" indent="1"/>
    </xf>
    <xf numFmtId="3" fontId="40" fillId="8" borderId="15" xfId="1" applyNumberFormat="1" applyFont="1" applyFill="1" applyBorder="1" applyAlignment="1">
      <alignment horizontal="right" indent="1"/>
    </xf>
    <xf numFmtId="3" fontId="40" fillId="8" borderId="13" xfId="1" applyNumberFormat="1" applyFont="1" applyFill="1" applyBorder="1" applyAlignment="1">
      <alignment horizontal="right" indent="1"/>
    </xf>
    <xf numFmtId="49" fontId="41" fillId="16" borderId="10" xfId="2" applyNumberFormat="1" applyFont="1" applyFill="1" applyBorder="1" applyAlignment="1">
      <alignment horizontal="right" wrapText="1" indent="1"/>
    </xf>
    <xf numFmtId="49" fontId="41" fillId="16" borderId="12" xfId="2" applyNumberFormat="1" applyFont="1" applyFill="1" applyBorder="1" applyAlignment="1">
      <alignment horizontal="right" wrapText="1" indent="1"/>
    </xf>
    <xf numFmtId="49" fontId="41" fillId="8" borderId="0" xfId="2" applyNumberFormat="1" applyFont="1" applyFill="1" applyBorder="1" applyAlignment="1">
      <alignment horizontal="right" indent="1"/>
    </xf>
    <xf numFmtId="49" fontId="41" fillId="8" borderId="12" xfId="2" applyNumberFormat="1" applyFont="1" applyFill="1" applyBorder="1" applyAlignment="1">
      <alignment horizontal="right" indent="1"/>
    </xf>
    <xf numFmtId="0" fontId="39" fillId="16" borderId="15" xfId="1" applyFont="1" applyFill="1" applyBorder="1" applyAlignment="1">
      <alignment horizontal="center"/>
    </xf>
    <xf numFmtId="0" fontId="39" fillId="16" borderId="13" xfId="1" applyFont="1" applyFill="1" applyBorder="1" applyAlignment="1">
      <alignment horizontal="center"/>
    </xf>
    <xf numFmtId="0" fontId="39" fillId="16" borderId="3" xfId="1" applyFont="1" applyFill="1" applyBorder="1" applyAlignment="1">
      <alignment horizontal="center" wrapText="1"/>
    </xf>
    <xf numFmtId="0" fontId="39" fillId="16" borderId="13" xfId="1" applyFont="1" applyFill="1" applyBorder="1" applyAlignment="1">
      <alignment horizontal="center" wrapText="1"/>
    </xf>
    <xf numFmtId="0" fontId="39" fillId="16" borderId="2" xfId="1" applyFont="1" applyFill="1" applyBorder="1" applyAlignment="1">
      <alignment horizontal="left" indent="1"/>
    </xf>
    <xf numFmtId="0" fontId="39" fillId="16" borderId="4" xfId="1" applyFont="1" applyFill="1" applyBorder="1" applyAlignment="1">
      <alignment horizontal="left" indent="1"/>
    </xf>
    <xf numFmtId="164" fontId="40" fillId="8" borderId="10" xfId="1" applyNumberFormat="1" applyFont="1" applyFill="1" applyBorder="1" applyAlignment="1">
      <alignment horizontal="left" vertical="center" indent="1"/>
    </xf>
    <xf numFmtId="49" fontId="41" fillId="8" borderId="10" xfId="2" applyNumberFormat="1" applyFont="1" applyFill="1" applyBorder="1" applyAlignment="1">
      <alignment horizontal="right" indent="1"/>
    </xf>
    <xf numFmtId="49" fontId="41" fillId="16" borderId="10" xfId="1" applyNumberFormat="1" applyFont="1" applyFill="1" applyBorder="1" applyAlignment="1">
      <alignment horizontal="right" indent="1"/>
    </xf>
    <xf numFmtId="49" fontId="41" fillId="16" borderId="12" xfId="1" applyNumberFormat="1" applyFont="1" applyFill="1" applyBorder="1" applyAlignment="1">
      <alignment horizontal="right" indent="1"/>
    </xf>
    <xf numFmtId="49" fontId="41" fillId="8" borderId="0" xfId="1" applyNumberFormat="1" applyFont="1" applyFill="1" applyBorder="1" applyAlignment="1">
      <alignment horizontal="right" indent="1"/>
    </xf>
    <xf numFmtId="49" fontId="41" fillId="8" borderId="12" xfId="1" applyNumberFormat="1" applyFont="1" applyFill="1" applyBorder="1" applyAlignment="1">
      <alignment horizontal="right" indent="1"/>
    </xf>
    <xf numFmtId="164" fontId="40" fillId="16" borderId="10" xfId="1" applyNumberFormat="1" applyFont="1" applyFill="1" applyBorder="1" applyAlignment="1">
      <alignment horizontal="right" indent="1"/>
    </xf>
    <xf numFmtId="164" fontId="40" fillId="16" borderId="12" xfId="1" applyNumberFormat="1" applyFont="1" applyFill="1" applyBorder="1" applyAlignment="1">
      <alignment horizontal="right" indent="1"/>
    </xf>
    <xf numFmtId="49" fontId="41" fillId="8" borderId="10" xfId="1" applyNumberFormat="1" applyFont="1" applyFill="1" applyBorder="1" applyAlignment="1">
      <alignment horizontal="right" indent="1"/>
    </xf>
    <xf numFmtId="0" fontId="13" fillId="3" borderId="0" xfId="0" applyFont="1" applyFill="1" applyBorder="1" applyAlignment="1">
      <alignment horizontal="left"/>
    </xf>
    <xf numFmtId="0" fontId="13" fillId="3" borderId="12" xfId="0" applyFont="1" applyFill="1" applyBorder="1" applyAlignment="1">
      <alignment horizontal="left"/>
    </xf>
    <xf numFmtId="0" fontId="13" fillId="3" borderId="14" xfId="0" applyFont="1" applyFill="1" applyBorder="1" applyAlignment="1">
      <alignment horizontal="left"/>
    </xf>
    <xf numFmtId="0" fontId="13" fillId="3" borderId="8" xfId="0" applyFont="1" applyFill="1" applyBorder="1" applyAlignment="1">
      <alignment horizontal="left"/>
    </xf>
    <xf numFmtId="0" fontId="13" fillId="3" borderId="10" xfId="0" applyFont="1" applyFill="1" applyBorder="1" applyAlignment="1">
      <alignment horizontal="left"/>
    </xf>
    <xf numFmtId="0" fontId="15" fillId="13" borderId="0" xfId="0" applyFont="1" applyFill="1" applyBorder="1" applyAlignment="1">
      <alignment horizontal="left" wrapText="1"/>
    </xf>
    <xf numFmtId="0" fontId="15" fillId="8" borderId="10" xfId="0" applyFont="1" applyFill="1" applyBorder="1" applyAlignment="1">
      <alignment horizontal="left" vertical="center"/>
    </xf>
    <xf numFmtId="0" fontId="15" fillId="8" borderId="0" xfId="0" applyFont="1" applyFill="1" applyBorder="1" applyAlignment="1">
      <alignment horizontal="left" vertical="center"/>
    </xf>
    <xf numFmtId="0" fontId="15" fillId="8" borderId="12" xfId="0" applyFont="1" applyFill="1" applyBorder="1" applyAlignment="1">
      <alignment horizontal="left" vertical="center"/>
    </xf>
    <xf numFmtId="0" fontId="15" fillId="8" borderId="3" xfId="0" applyFont="1" applyFill="1" applyBorder="1" applyAlignment="1">
      <alignment horizontal="left"/>
    </xf>
    <xf numFmtId="0" fontId="15" fillId="8" borderId="15" xfId="0" applyFont="1" applyFill="1" applyBorder="1" applyAlignment="1">
      <alignment horizontal="left"/>
    </xf>
    <xf numFmtId="0" fontId="28" fillId="13" borderId="3" xfId="0" applyFont="1" applyFill="1" applyBorder="1" applyAlignment="1">
      <alignment horizontal="left"/>
    </xf>
    <xf numFmtId="0" fontId="28" fillId="13" borderId="15" xfId="0" applyFont="1" applyFill="1" applyBorder="1" applyAlignment="1">
      <alignment horizontal="left"/>
    </xf>
    <xf numFmtId="0" fontId="15" fillId="13" borderId="0" xfId="0" applyFont="1" applyFill="1" applyBorder="1" applyAlignment="1">
      <alignment horizontal="left"/>
    </xf>
    <xf numFmtId="0" fontId="13" fillId="8" borderId="0" xfId="0" applyFont="1" applyFill="1" applyBorder="1" applyAlignment="1">
      <alignment horizontal="left"/>
    </xf>
    <xf numFmtId="0" fontId="15" fillId="8" borderId="3" xfId="0" applyFont="1" applyFill="1" applyBorder="1" applyAlignment="1">
      <alignment horizontal="left" vertical="center"/>
    </xf>
    <xf numFmtId="0" fontId="15" fillId="8" borderId="15" xfId="0" applyFont="1" applyFill="1" applyBorder="1" applyAlignment="1">
      <alignment horizontal="left" vertical="center"/>
    </xf>
    <xf numFmtId="0" fontId="14" fillId="8" borderId="0" xfId="0" applyFont="1" applyFill="1" applyBorder="1" applyAlignment="1">
      <alignment horizontal="left" wrapText="1"/>
    </xf>
    <xf numFmtId="0" fontId="14" fillId="8" borderId="12" xfId="0" applyFont="1" applyFill="1" applyBorder="1" applyAlignment="1">
      <alignment horizontal="left" wrapText="1"/>
    </xf>
    <xf numFmtId="0" fontId="14" fillId="8" borderId="0" xfId="0" applyFont="1" applyFill="1" applyBorder="1" applyAlignment="1">
      <alignment horizontal="left"/>
    </xf>
    <xf numFmtId="0" fontId="14" fillId="3" borderId="3" xfId="0" applyFont="1" applyFill="1" applyBorder="1" applyAlignment="1">
      <alignment horizontal="center" vertical="center"/>
    </xf>
    <xf numFmtId="0" fontId="14" fillId="3" borderId="15" xfId="0" applyFont="1" applyFill="1" applyBorder="1" applyAlignment="1">
      <alignment horizontal="center" vertical="center"/>
    </xf>
    <xf numFmtId="0" fontId="14" fillId="3" borderId="13"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14" xfId="0" applyFont="1" applyFill="1" applyBorder="1" applyAlignment="1">
      <alignment horizontal="center" vertical="center"/>
    </xf>
    <xf numFmtId="0" fontId="14" fillId="3" borderId="8" xfId="0" applyFont="1" applyFill="1" applyBorder="1" applyAlignment="1">
      <alignment horizontal="center" vertical="center"/>
    </xf>
    <xf numFmtId="0" fontId="24" fillId="3" borderId="6" xfId="0" applyFont="1" applyFill="1" applyBorder="1" applyAlignment="1">
      <alignment horizontal="left"/>
    </xf>
    <xf numFmtId="0" fontId="24" fillId="3" borderId="14" xfId="0" applyFont="1" applyFill="1" applyBorder="1" applyAlignment="1">
      <alignment horizontal="left"/>
    </xf>
    <xf numFmtId="0" fontId="24" fillId="3" borderId="8" xfId="0" applyFont="1" applyFill="1" applyBorder="1" applyAlignment="1">
      <alignment horizontal="left"/>
    </xf>
    <xf numFmtId="0" fontId="13" fillId="8" borderId="1" xfId="0" applyFont="1" applyFill="1" applyBorder="1" applyAlignment="1">
      <alignment horizontal="left" wrapText="1"/>
    </xf>
    <xf numFmtId="0" fontId="25" fillId="8" borderId="15" xfId="0" applyFont="1" applyFill="1" applyBorder="1" applyAlignment="1">
      <alignment horizontal="left"/>
    </xf>
    <xf numFmtId="0" fontId="15" fillId="8" borderId="10" xfId="0" applyFont="1" applyFill="1" applyBorder="1" applyAlignment="1">
      <alignment horizontal="left"/>
    </xf>
    <xf numFmtId="0" fontId="15" fillId="8" borderId="0" xfId="0" applyFont="1" applyFill="1" applyBorder="1" applyAlignment="1">
      <alignment horizontal="left"/>
    </xf>
    <xf numFmtId="0" fontId="13" fillId="3" borderId="3" xfId="0" applyFont="1" applyFill="1" applyBorder="1" applyAlignment="1">
      <alignment horizontal="left"/>
    </xf>
    <xf numFmtId="0" fontId="13" fillId="3" borderId="15" xfId="0" applyFont="1" applyFill="1" applyBorder="1" applyAlignment="1">
      <alignment horizontal="left"/>
    </xf>
    <xf numFmtId="0" fontId="13" fillId="3" borderId="13" xfId="0" applyFont="1" applyFill="1" applyBorder="1" applyAlignment="1">
      <alignment horizontal="left"/>
    </xf>
    <xf numFmtId="0" fontId="13" fillId="8" borderId="2" xfId="0" applyFont="1" applyFill="1" applyBorder="1" applyAlignment="1">
      <alignment horizontal="left" wrapText="1"/>
    </xf>
    <xf numFmtId="0" fontId="13" fillId="8" borderId="4" xfId="0" applyFont="1" applyFill="1" applyBorder="1" applyAlignment="1">
      <alignment horizontal="left" wrapText="1"/>
    </xf>
    <xf numFmtId="0" fontId="13" fillId="8" borderId="0" xfId="0" applyFont="1" applyFill="1" applyBorder="1" applyAlignment="1">
      <alignment horizontal="center"/>
    </xf>
    <xf numFmtId="0" fontId="12" fillId="3" borderId="0" xfId="0" applyFont="1" applyFill="1" applyBorder="1" applyAlignment="1">
      <alignment horizontal="left"/>
    </xf>
    <xf numFmtId="0" fontId="15" fillId="0" borderId="1" xfId="0" applyFont="1" applyFill="1" applyBorder="1" applyAlignment="1">
      <alignment horizontal="left"/>
    </xf>
    <xf numFmtId="0" fontId="12" fillId="3" borderId="0" xfId="0" applyFont="1" applyFill="1" applyBorder="1" applyAlignment="1">
      <alignment horizontal="left" wrapText="1"/>
    </xf>
    <xf numFmtId="0" fontId="15" fillId="3" borderId="0" xfId="0" applyFont="1" applyFill="1" applyBorder="1" applyAlignment="1">
      <alignment horizontal="left"/>
    </xf>
    <xf numFmtId="0" fontId="12" fillId="3" borderId="0" xfId="0" applyFont="1" applyFill="1" applyAlignment="1">
      <alignment horizontal="left"/>
    </xf>
    <xf numFmtId="0" fontId="12" fillId="0" borderId="1" xfId="0" applyFont="1" applyBorder="1" applyAlignment="1">
      <alignment horizontal="center"/>
    </xf>
    <xf numFmtId="164" fontId="15" fillId="4" borderId="14" xfId="0" applyNumberFormat="1" applyFont="1" applyFill="1" applyBorder="1" applyAlignment="1">
      <alignment horizontal="center"/>
    </xf>
    <xf numFmtId="0" fontId="12" fillId="0" borderId="2" xfId="0" applyFont="1" applyBorder="1" applyAlignment="1">
      <alignment horizontal="left"/>
    </xf>
    <xf numFmtId="0" fontId="12" fillId="0" borderId="4" xfId="0" applyFont="1" applyBorder="1" applyAlignment="1">
      <alignment horizontal="left"/>
    </xf>
    <xf numFmtId="0" fontId="12" fillId="0" borderId="5" xfId="0" applyFont="1" applyBorder="1" applyAlignment="1">
      <alignment horizontal="left"/>
    </xf>
    <xf numFmtId="0" fontId="13" fillId="3" borderId="1" xfId="0" applyFont="1" applyFill="1" applyBorder="1" applyAlignment="1">
      <alignment horizontal="left"/>
    </xf>
    <xf numFmtId="0" fontId="13" fillId="3" borderId="2" xfId="0" applyFont="1" applyFill="1" applyBorder="1" applyAlignment="1">
      <alignment horizontal="left"/>
    </xf>
    <xf numFmtId="0" fontId="13" fillId="3" borderId="4" xfId="0" applyFont="1" applyFill="1" applyBorder="1" applyAlignment="1">
      <alignment horizontal="left"/>
    </xf>
    <xf numFmtId="0" fontId="13" fillId="3" borderId="5" xfId="0" applyFont="1" applyFill="1" applyBorder="1" applyAlignment="1">
      <alignment horizontal="left"/>
    </xf>
    <xf numFmtId="0" fontId="13" fillId="3" borderId="1" xfId="0" applyFont="1" applyFill="1" applyBorder="1" applyAlignment="1">
      <alignment horizontal="left" wrapText="1"/>
    </xf>
    <xf numFmtId="49" fontId="13" fillId="3" borderId="1" xfId="0" applyNumberFormat="1" applyFont="1" applyFill="1" applyBorder="1" applyAlignment="1">
      <alignment horizontal="left"/>
    </xf>
    <xf numFmtId="0" fontId="21" fillId="8" borderId="0" xfId="0" applyFont="1" applyFill="1" applyAlignment="1">
      <alignment horizontal="left"/>
    </xf>
    <xf numFmtId="0" fontId="22" fillId="8" borderId="0" xfId="0" applyFont="1" applyFill="1" applyAlignment="1">
      <alignment horizontal="left"/>
    </xf>
    <xf numFmtId="0" fontId="21" fillId="8" borderId="14" xfId="0" applyFont="1" applyFill="1" applyBorder="1" applyAlignment="1">
      <alignment horizontal="left"/>
    </xf>
  </cellXfs>
  <cellStyles count="4">
    <cellStyle name="Hyperlink" xfId="3" builtinId="8"/>
    <cellStyle name="Normal" xfId="0" builtinId="0"/>
    <cellStyle name="Normal 3" xfId="1"/>
    <cellStyle name="Percent" xfId="2" builtinId="5"/>
  </cellStyles>
  <dxfs count="54">
    <dxf>
      <font>
        <b val="0"/>
        <i val="0"/>
        <strike val="0"/>
        <condense val="0"/>
        <extend val="0"/>
        <outline val="0"/>
        <shadow val="0"/>
        <u val="none"/>
        <vertAlign val="baseline"/>
        <sz val="8"/>
        <color theme="1"/>
        <name val="Arial"/>
        <scheme val="none"/>
      </font>
      <numFmt numFmtId="164" formatCode="&quot;$&quot;#,##0"/>
      <fill>
        <patternFill patternType="none">
          <fgColor indexed="64"/>
          <bgColor indexed="65"/>
        </patternFill>
      </fill>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5" formatCode="0.000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5" formatCode="0.000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3" formatCode="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3" formatCode="#,##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164" formatCode="&quot;$&quot;#,##0"/>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30" formatCode="@"/>
      <fill>
        <patternFill patternType="none">
          <fgColor indexed="64"/>
          <bgColor indexed="65"/>
        </patternFill>
      </fill>
      <alignment horizontal="center" vertical="bottom" textRotation="0" wrapText="0" indent="0" relativeIndent="0" justifyLastLine="0" shrinkToFit="0" mergeCell="0" readingOrder="0"/>
      <border diagonalUp="0" diagonalDown="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9"/>
        <color theme="1"/>
        <name val="Arial"/>
        <scheme val="none"/>
      </font>
      <numFmt numFmtId="164" formatCode="&quot;$&quot;#,##0"/>
      <fill>
        <patternFill patternType="solid">
          <fgColor indexed="64"/>
          <bgColor theme="7" tint="0.39997558519241921"/>
        </patternFill>
      </fill>
      <alignment horizontal="right" vertical="top" textRotation="0" wrapText="0" indent="0" relativeIndent="0" justifyLastLine="0" shrinkToFit="0" mergeCell="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64" formatCode="&quot;$&quot;#,##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4" formatCode="0.0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4" formatCode="0.0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4" formatCode="0.0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4" formatCode="0.0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64"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164"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30" formatCode="@"/>
      <alignment horizontal="center" vertical="bottom" textRotation="0" wrapText="0" indent="0" relativeIndent="0" justifyLastLine="0" shrinkToFit="0" mergeCell="0" readingOrder="0"/>
      <border diagonalUp="0" diagonalDown="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dxf>
    <dxf>
      <border outline="0">
        <bottom style="thin">
          <color indexed="64"/>
        </bottom>
      </border>
    </dxf>
    <dxf>
      <font>
        <b/>
        <i val="0"/>
        <strike val="0"/>
        <condense val="0"/>
        <extend val="0"/>
        <outline val="0"/>
        <shadow val="0"/>
        <u val="none"/>
        <vertAlign val="baseline"/>
        <sz val="9"/>
        <color theme="1"/>
        <name val="Arial"/>
        <scheme val="none"/>
      </font>
      <fill>
        <patternFill patternType="solid">
          <fgColor indexed="64"/>
          <bgColor theme="7" tint="0.39997558519241921"/>
        </patternFill>
      </fill>
      <alignment horizontal="right" vertical="top" textRotation="0" wrapText="0" indent="0" relativeIndent="0" justifyLastLine="0" shrinkToFit="0" mergeCell="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scheme val="none"/>
      </font>
      <numFmt numFmtId="164" formatCode="&quot;$&quot;#,##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9"/>
        <color theme="1"/>
        <name val="Arial"/>
        <scheme val="none"/>
      </font>
      <numFmt numFmtId="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numFmt numFmtId="164"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bottom" textRotation="0" wrapText="0"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alignment horizontal="center" vertical="bottom" textRotation="0" wrapText="0"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alignment horizontal="center" vertical="bottom" textRotation="0" wrapText="0"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numFmt numFmtId="0" formatCode="General"/>
      <alignment horizontal="center" vertical="bottom" textRotation="0" wrapText="0" indent="0" relativeIndent="0" justifyLastLine="0" shrinkToFit="0" mergeCell="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9"/>
        <color theme="1"/>
        <name val="Arial"/>
        <scheme val="none"/>
      </font>
      <fill>
        <patternFill patternType="solid">
          <fgColor indexed="64"/>
          <bgColor theme="7" tint="0.39997558519241921"/>
        </patternFill>
      </fill>
      <alignment horizontal="right" vertical="top" textRotation="0" wrapText="0" indent="0" relativeIndent="0" justifyLastLine="0" shrinkToFit="0" mergeCell="0" readingOrder="0"/>
      <border diagonalUp="0" diagonalDown="0" outline="0">
        <left style="thin">
          <color indexed="64"/>
        </left>
        <right style="thin">
          <color indexed="64"/>
        </right>
        <top/>
        <bottom/>
      </border>
    </dxf>
  </dxfs>
  <tableStyles count="0" defaultTableStyle="TableStyleMedium9" defaultPivotStyle="PivotStyleLight16"/>
  <colors>
    <mruColors>
      <color rgb="FF00FF00"/>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9.9796334012220267E-2"/>
          <c:y val="0.19780290537325917"/>
          <c:w val="0.87169042769857963"/>
          <c:h val="0.57509363228892263"/>
        </c:manualLayout>
      </c:layout>
      <c:barChart>
        <c:barDir val="col"/>
        <c:grouping val="clustered"/>
        <c:ser>
          <c:idx val="0"/>
          <c:order val="0"/>
          <c:tx>
            <c:strRef>
              <c:f>'TEMPLATE-Figure 1 Amounts'!$H$17</c:f>
              <c:strCache>
                <c:ptCount val="1"/>
                <c:pt idx="0">
                  <c:v>District</c:v>
                </c:pt>
              </c:strCache>
            </c:strRef>
          </c:tx>
          <c:spPr>
            <a:solidFill>
              <a:srgbClr val="000000"/>
            </a:solidFill>
            <a:ln w="12700">
              <a:solidFill>
                <a:srgbClr val="000000"/>
              </a:solidFill>
              <a:prstDash val="solid"/>
            </a:ln>
          </c:spPr>
          <c:cat>
            <c:strRef>
              <c:f>'TEMPLATE-Figure 1 Amounts'!$G$18:$G$19</c:f>
              <c:strCache>
                <c:ptCount val="2"/>
                <c:pt idx="0">
                  <c:v>Arizona</c:v>
                </c:pt>
                <c:pt idx="1">
                  <c:v>Maricopa County</c:v>
                </c:pt>
              </c:strCache>
            </c:strRef>
          </c:cat>
          <c:val>
            <c:numRef>
              <c:f>'TEMPLATE-Figure 1 Amounts'!$H$18:$H$19</c:f>
              <c:numCache>
                <c:formatCode>_("$"* #,##0_);_("$"* \(#,##0\);_("$"* "-"_);_(@_)</c:formatCode>
                <c:ptCount val="2"/>
                <c:pt idx="0">
                  <c:v>9576.9466763633245</c:v>
                </c:pt>
                <c:pt idx="1">
                  <c:v>9559.6363162758498</c:v>
                </c:pt>
              </c:numCache>
            </c:numRef>
          </c:val>
        </c:ser>
        <c:ser>
          <c:idx val="1"/>
          <c:order val="1"/>
          <c:tx>
            <c:strRef>
              <c:f>'TEMPLATE-Figure 1 Amounts'!$I$17</c:f>
              <c:strCache>
                <c:ptCount val="1"/>
                <c:pt idx="0">
                  <c:v>Charter</c:v>
                </c:pt>
              </c:strCache>
            </c:strRef>
          </c:tx>
          <c:spPr>
            <a:solidFill>
              <a:srgbClr val="C0C0C0"/>
            </a:solidFill>
            <a:ln w="12700">
              <a:solidFill>
                <a:srgbClr val="000000"/>
              </a:solidFill>
              <a:prstDash val="solid"/>
            </a:ln>
          </c:spPr>
          <c:cat>
            <c:strRef>
              <c:f>'TEMPLATE-Figure 1 Amounts'!$G$18:$G$19</c:f>
              <c:strCache>
                <c:ptCount val="2"/>
                <c:pt idx="0">
                  <c:v>Arizona</c:v>
                </c:pt>
                <c:pt idx="1">
                  <c:v>Maricopa County</c:v>
                </c:pt>
              </c:strCache>
            </c:strRef>
          </c:cat>
          <c:val>
            <c:numRef>
              <c:f>'TEMPLATE-Figure 1 Amounts'!$I$18:$I$19</c:f>
              <c:numCache>
                <c:formatCode>_("$"* #,##0_);_("$"* \(#,##0\);_("$"* "-"_);_(@_)</c:formatCode>
                <c:ptCount val="2"/>
                <c:pt idx="0">
                  <c:v>7596.7417670481882</c:v>
                </c:pt>
                <c:pt idx="1">
                  <c:v>7376.2155878704334</c:v>
                </c:pt>
              </c:numCache>
            </c:numRef>
          </c:val>
        </c:ser>
        <c:ser>
          <c:idx val="2"/>
          <c:order val="2"/>
          <c:tx>
            <c:strRef>
              <c:f>'TEMPLATE-Figure 1 Amounts'!$J$17</c:f>
              <c:strCache>
                <c:ptCount val="1"/>
                <c:pt idx="0">
                  <c:v>Difference</c:v>
                </c:pt>
              </c:strCache>
            </c:strRef>
          </c:tx>
          <c:spPr>
            <a:solidFill>
              <a:schemeClr val="bg1">
                <a:lumMod val="50000"/>
              </a:schemeClr>
            </a:solidFill>
            <a:ln>
              <a:solidFill>
                <a:schemeClr val="tx1"/>
              </a:solidFill>
            </a:ln>
          </c:spPr>
          <c:cat>
            <c:strRef>
              <c:f>'TEMPLATE-Figure 1 Amounts'!$G$18:$G$19</c:f>
              <c:strCache>
                <c:ptCount val="2"/>
                <c:pt idx="0">
                  <c:v>Arizona</c:v>
                </c:pt>
                <c:pt idx="1">
                  <c:v>Maricopa County</c:v>
                </c:pt>
              </c:strCache>
            </c:strRef>
          </c:cat>
          <c:val>
            <c:numRef>
              <c:f>'TEMPLATE-Figure 1 Amounts'!$J$18:$J$19</c:f>
              <c:numCache>
                <c:formatCode>_("$"* #,##0_);_("$"* \(#,##0\);_("$"* "-"_);_(@_)</c:formatCode>
                <c:ptCount val="2"/>
                <c:pt idx="0">
                  <c:v>1980.2049093151363</c:v>
                </c:pt>
                <c:pt idx="1">
                  <c:v>2183.4207284054164</c:v>
                </c:pt>
              </c:numCache>
            </c:numRef>
          </c:val>
        </c:ser>
        <c:axId val="66615936"/>
        <c:axId val="66621824"/>
      </c:barChart>
      <c:catAx>
        <c:axId val="66615936"/>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6621824"/>
        <c:crosses val="autoZero"/>
        <c:auto val="1"/>
        <c:lblAlgn val="ctr"/>
        <c:lblOffset val="100"/>
        <c:tickLblSkip val="1"/>
        <c:tickMarkSkip val="1"/>
      </c:catAx>
      <c:valAx>
        <c:axId val="66621824"/>
        <c:scaling>
          <c:orientation val="minMax"/>
        </c:scaling>
        <c:axPos val="l"/>
        <c:numFmt formatCode="_(&quot;$&quot;* #,##0_);_(&quot;$&quot;* \(#,##0\);_(&quot;$&quot;* &quot;-&quot;_);_(@_)" sourceLinked="1"/>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66615936"/>
        <c:crosses val="autoZero"/>
        <c:crossBetween val="between"/>
      </c:valAx>
      <c:spPr>
        <a:solidFill>
          <a:srgbClr val="FFFFFF"/>
        </a:solidFill>
        <a:ln w="12700">
          <a:solidFill>
            <a:srgbClr val="808080"/>
          </a:solidFill>
          <a:prstDash val="solid"/>
        </a:ln>
      </c:spPr>
    </c:plotArea>
    <c:legend>
      <c:legendPos val="t"/>
      <c:layout>
        <c:manualLayout>
          <c:xMode val="edge"/>
          <c:yMode val="edge"/>
          <c:x val="0.33604879461241816"/>
          <c:y val="2.9304243946250905E-2"/>
          <c:w val="0.36573934485947268"/>
          <c:h val="6.8258211909557817E-2"/>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155" r="0.7500000000000015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26476578411405338"/>
          <c:y val="0.15750972094537324"/>
          <c:w val="0.68024439918533608"/>
          <c:h val="0.6776581017417217"/>
        </c:manualLayout>
      </c:layout>
      <c:barChart>
        <c:barDir val="bar"/>
        <c:grouping val="stacked"/>
        <c:ser>
          <c:idx val="0"/>
          <c:order val="0"/>
          <c:tx>
            <c:strRef>
              <c:f>'TEMPLATE-Figure 1 Amounts'!$H$48</c:f>
              <c:strCache>
                <c:ptCount val="1"/>
                <c:pt idx="0">
                  <c:v>Federal </c:v>
                </c:pt>
              </c:strCache>
            </c:strRef>
          </c:tx>
          <c:spPr>
            <a:solidFill>
              <a:srgbClr val="000000"/>
            </a:solidFill>
            <a:ln w="12700">
              <a:solidFill>
                <a:srgbClr val="000000"/>
              </a:solidFill>
              <a:prstDash val="solid"/>
            </a:ln>
          </c:spPr>
          <c:dLbls>
            <c:dLbl>
              <c:idx val="0"/>
              <c:layout>
                <c:manualLayout>
                  <c:x val="1.1862396204033242E-2"/>
                  <c:y val="-6.2305295950155833E-2"/>
                </c:manualLayout>
              </c:layout>
              <c:spPr/>
              <c:txPr>
                <a:bodyPr/>
                <a:lstStyle/>
                <a:p>
                  <a:pPr>
                    <a:defRPr/>
                  </a:pPr>
                  <a:endParaRPr lang="en-US"/>
                </a:p>
              </c:txPr>
              <c:dLblPos val="ctr"/>
              <c:showVal val="1"/>
            </c:dLbl>
            <c:dLbl>
              <c:idx val="1"/>
              <c:layout>
                <c:manualLayout>
                  <c:x val="1.1862396204033242E-2"/>
                  <c:y val="-6.2305295950155895E-2"/>
                </c:manualLayout>
              </c:layout>
              <c:spPr/>
              <c:txPr>
                <a:bodyPr/>
                <a:lstStyle/>
                <a:p>
                  <a:pPr>
                    <a:defRPr/>
                  </a:pPr>
                  <a:endParaRPr lang="en-US"/>
                </a:p>
              </c:txPr>
              <c:dLblPos val="ctr"/>
              <c:showVal val="1"/>
            </c:dLbl>
            <c:dLbl>
              <c:idx val="2"/>
              <c:layout>
                <c:manualLayout>
                  <c:x val="7.1174377224199293E-3"/>
                  <c:y val="-6.2305295950155916E-2"/>
                </c:manualLayout>
              </c:layout>
              <c:spPr/>
              <c:txPr>
                <a:bodyPr/>
                <a:lstStyle/>
                <a:p>
                  <a:pPr>
                    <a:defRPr/>
                  </a:pPr>
                  <a:endParaRPr lang="en-US"/>
                </a:p>
              </c:txPr>
              <c:dLblPos val="ctr"/>
              <c:showVal val="1"/>
            </c:dLbl>
            <c:dLbl>
              <c:idx val="3"/>
              <c:layout>
                <c:manualLayout>
                  <c:x val="2.1352313167259836E-2"/>
                  <c:y val="-6.2305623012076934E-2"/>
                </c:manualLayout>
              </c:layout>
              <c:spPr/>
              <c:txPr>
                <a:bodyPr/>
                <a:lstStyle/>
                <a:p>
                  <a:pPr>
                    <a:defRPr/>
                  </a:pPr>
                  <a:endParaRPr lang="en-US"/>
                </a:p>
              </c:txPr>
              <c:dLblPos val="ctr"/>
              <c:showVal val="1"/>
            </c:dLbl>
            <c:showVal val="1"/>
          </c:dLbls>
          <c:cat>
            <c:strRef>
              <c:f>'TEMPLATE-Figure 1 Amounts'!$G$49:$G$52</c:f>
              <c:strCache>
                <c:ptCount val="4"/>
                <c:pt idx="0">
                  <c:v>Statewide District</c:v>
                </c:pt>
                <c:pt idx="1">
                  <c:v>Statewide Charter</c:v>
                </c:pt>
                <c:pt idx="2">
                  <c:v>Maricopa-District</c:v>
                </c:pt>
                <c:pt idx="3">
                  <c:v>Maricopa-Charter</c:v>
                </c:pt>
              </c:strCache>
            </c:strRef>
          </c:cat>
          <c:val>
            <c:numRef>
              <c:f>'TEMPLATE-Figure 1 Amounts'!$H$49:$H$52</c:f>
              <c:numCache>
                <c:formatCode>_("$"* #,##0_);_("$"* \(#,##0\);_("$"* "-"_);_(@_)</c:formatCode>
                <c:ptCount val="4"/>
                <c:pt idx="0">
                  <c:v>1022.1014048707387</c:v>
                </c:pt>
                <c:pt idx="1">
                  <c:v>657.674054651598</c:v>
                </c:pt>
                <c:pt idx="2">
                  <c:v>770.72819587049196</c:v>
                </c:pt>
                <c:pt idx="3">
                  <c:v>393.02965020179829</c:v>
                </c:pt>
              </c:numCache>
            </c:numRef>
          </c:val>
        </c:ser>
        <c:ser>
          <c:idx val="1"/>
          <c:order val="1"/>
          <c:tx>
            <c:strRef>
              <c:f>'TEMPLATE-Figure 1 Amounts'!$I$48</c:f>
              <c:strCache>
                <c:ptCount val="1"/>
                <c:pt idx="0">
                  <c:v>State</c:v>
                </c:pt>
              </c:strCache>
            </c:strRef>
          </c:tx>
          <c:spPr>
            <a:solidFill>
              <a:srgbClr val="C0C0C0"/>
            </a:solidFill>
            <a:ln w="12700">
              <a:solidFill>
                <a:srgbClr val="000000"/>
              </a:solidFill>
              <a:prstDash val="solid"/>
            </a:ln>
          </c:spPr>
          <c:dLbls>
            <c:dLbl>
              <c:idx val="0"/>
              <c:layout>
                <c:manualLayout>
                  <c:x val="2.3724792408066431E-3"/>
                  <c:y val="-6.2305295950155833E-2"/>
                </c:manualLayout>
              </c:layout>
              <c:spPr/>
              <c:txPr>
                <a:bodyPr/>
                <a:lstStyle/>
                <a:p>
                  <a:pPr>
                    <a:defRPr/>
                  </a:pPr>
                  <a:endParaRPr lang="en-US"/>
                </a:p>
              </c:txPr>
              <c:dLblPos val="ctr"/>
              <c:showVal val="1"/>
            </c:dLbl>
            <c:dLbl>
              <c:idx val="1"/>
              <c:layout>
                <c:manualLayout>
                  <c:x val="0"/>
                  <c:y val="-6.2305295950155833E-2"/>
                </c:manualLayout>
              </c:layout>
              <c:spPr/>
              <c:txPr>
                <a:bodyPr/>
                <a:lstStyle/>
                <a:p>
                  <a:pPr>
                    <a:defRPr/>
                  </a:pPr>
                  <a:endParaRPr lang="en-US"/>
                </a:p>
              </c:txPr>
              <c:dLblPos val="ctr"/>
              <c:showVal val="1"/>
            </c:dLbl>
            <c:dLbl>
              <c:idx val="2"/>
              <c:layout>
                <c:manualLayout>
                  <c:x val="2.3724792408066882E-3"/>
                  <c:y val="-6.2305623012076934E-2"/>
                </c:manualLayout>
              </c:layout>
              <c:spPr/>
              <c:txPr>
                <a:bodyPr/>
                <a:lstStyle/>
                <a:p>
                  <a:pPr>
                    <a:defRPr/>
                  </a:pPr>
                  <a:endParaRPr lang="en-US"/>
                </a:p>
              </c:txPr>
              <c:dLblPos val="ctr"/>
              <c:showVal val="1"/>
            </c:dLbl>
            <c:dLbl>
              <c:idx val="3"/>
              <c:layout>
                <c:manualLayout>
                  <c:x val="0"/>
                  <c:y val="-6.2305623012076934E-2"/>
                </c:manualLayout>
              </c:layout>
              <c:spPr/>
              <c:txPr>
                <a:bodyPr/>
                <a:lstStyle/>
                <a:p>
                  <a:pPr>
                    <a:defRPr/>
                  </a:pPr>
                  <a:endParaRPr lang="en-US"/>
                </a:p>
              </c:txPr>
              <c:dLblPos val="ctr"/>
              <c:showVal val="1"/>
            </c:dLbl>
            <c:dLblPos val="ctr"/>
            <c:showVal val="1"/>
          </c:dLbls>
          <c:cat>
            <c:strRef>
              <c:f>'TEMPLATE-Figure 1 Amounts'!$G$49:$G$52</c:f>
              <c:strCache>
                <c:ptCount val="4"/>
                <c:pt idx="0">
                  <c:v>Statewide District</c:v>
                </c:pt>
                <c:pt idx="1">
                  <c:v>Statewide Charter</c:v>
                </c:pt>
                <c:pt idx="2">
                  <c:v>Maricopa-District</c:v>
                </c:pt>
                <c:pt idx="3">
                  <c:v>Maricopa-Charter</c:v>
                </c:pt>
              </c:strCache>
            </c:strRef>
          </c:cat>
          <c:val>
            <c:numRef>
              <c:f>'TEMPLATE-Figure 1 Amounts'!$I$49:$I$52</c:f>
              <c:numCache>
                <c:formatCode>_("$"* #,##0_);_("$"* \(#,##0\);_("$"* "-"_);_(@_)</c:formatCode>
                <c:ptCount val="4"/>
                <c:pt idx="0">
                  <c:v>4668.6342674918515</c:v>
                </c:pt>
                <c:pt idx="1">
                  <c:v>6402.4843960289472</c:v>
                </c:pt>
                <c:pt idx="2">
                  <c:v>4452.2663397341967</c:v>
                </c:pt>
                <c:pt idx="3">
                  <c:v>6409.1267734281564</c:v>
                </c:pt>
              </c:numCache>
            </c:numRef>
          </c:val>
        </c:ser>
        <c:ser>
          <c:idx val="2"/>
          <c:order val="2"/>
          <c:tx>
            <c:strRef>
              <c:f>'TEMPLATE-Figure 1 Amounts'!$J$48</c:f>
              <c:strCache>
                <c:ptCount val="1"/>
                <c:pt idx="0">
                  <c:v>Local</c:v>
                </c:pt>
              </c:strCache>
            </c:strRef>
          </c:tx>
          <c:spPr>
            <a:solidFill>
              <a:srgbClr val="969696"/>
            </a:solidFill>
            <a:ln w="12700">
              <a:solidFill>
                <a:srgbClr val="000000"/>
              </a:solidFill>
              <a:prstDash val="solid"/>
            </a:ln>
          </c:spPr>
          <c:dLbls>
            <c:dLbl>
              <c:idx val="0"/>
              <c:layout>
                <c:manualLayout>
                  <c:x val="0"/>
                  <c:y val="-6.2305295950155833E-2"/>
                </c:manualLayout>
              </c:layout>
              <c:spPr/>
              <c:txPr>
                <a:bodyPr/>
                <a:lstStyle/>
                <a:p>
                  <a:pPr>
                    <a:defRPr/>
                  </a:pPr>
                  <a:endParaRPr lang="en-US"/>
                </a:p>
              </c:txPr>
              <c:dLblPos val="ctr"/>
              <c:showVal val="1"/>
            </c:dLbl>
            <c:dLbl>
              <c:idx val="1"/>
              <c:layout>
                <c:manualLayout>
                  <c:x val="-2.3724792408065611E-3"/>
                  <c:y val="-6.2305295950155895E-2"/>
                </c:manualLayout>
              </c:layout>
              <c:spPr/>
              <c:txPr>
                <a:bodyPr/>
                <a:lstStyle/>
                <a:p>
                  <a:pPr>
                    <a:defRPr/>
                  </a:pPr>
                  <a:endParaRPr lang="en-US"/>
                </a:p>
              </c:txPr>
              <c:dLblPos val="ctr"/>
              <c:showVal val="1"/>
            </c:dLbl>
            <c:dLbl>
              <c:idx val="2"/>
              <c:layout>
                <c:manualLayout>
                  <c:x val="0"/>
                  <c:y val="-6.6458982346832854E-2"/>
                </c:manualLayout>
              </c:layout>
              <c:spPr/>
              <c:txPr>
                <a:bodyPr/>
                <a:lstStyle/>
                <a:p>
                  <a:pPr>
                    <a:defRPr/>
                  </a:pPr>
                  <a:endParaRPr lang="en-US"/>
                </a:p>
              </c:txPr>
              <c:dLblPos val="ctr"/>
              <c:showVal val="1"/>
            </c:dLbl>
            <c:dLbl>
              <c:idx val="3"/>
              <c:layout>
                <c:manualLayout>
                  <c:x val="8.6989900581489837E-17"/>
                  <c:y val="-6.2305295950155909E-2"/>
                </c:manualLayout>
              </c:layout>
              <c:spPr/>
              <c:txPr>
                <a:bodyPr/>
                <a:lstStyle/>
                <a:p>
                  <a:pPr>
                    <a:defRPr/>
                  </a:pPr>
                  <a:endParaRPr lang="en-US"/>
                </a:p>
              </c:txPr>
              <c:dLblPos val="ctr"/>
              <c:showVal val="1"/>
            </c:dLbl>
            <c:showVal val="1"/>
          </c:dLbls>
          <c:cat>
            <c:strRef>
              <c:f>'TEMPLATE-Figure 1 Amounts'!$G$49:$G$52</c:f>
              <c:strCache>
                <c:ptCount val="4"/>
                <c:pt idx="0">
                  <c:v>Statewide District</c:v>
                </c:pt>
                <c:pt idx="1">
                  <c:v>Statewide Charter</c:v>
                </c:pt>
                <c:pt idx="2">
                  <c:v>Maricopa-District</c:v>
                </c:pt>
                <c:pt idx="3">
                  <c:v>Maricopa-Charter</c:v>
                </c:pt>
              </c:strCache>
            </c:strRef>
          </c:cat>
          <c:val>
            <c:numRef>
              <c:f>'TEMPLATE-Figure 1 Amounts'!$J$49:$J$52</c:f>
              <c:numCache>
                <c:formatCode>_("$"* #,##0_);_("$"* \(#,##0\);_("$"* "-"_);_(@_)</c:formatCode>
                <c:ptCount val="4"/>
                <c:pt idx="0">
                  <c:v>3881.850988455572</c:v>
                </c:pt>
                <c:pt idx="1">
                  <c:v>522.96060999194844</c:v>
                </c:pt>
                <c:pt idx="2">
                  <c:v>4334.1475567566004</c:v>
                </c:pt>
                <c:pt idx="3">
                  <c:v>565.41195267027376</c:v>
                </c:pt>
              </c:numCache>
            </c:numRef>
          </c:val>
        </c:ser>
        <c:ser>
          <c:idx val="3"/>
          <c:order val="3"/>
          <c:tx>
            <c:strRef>
              <c:f>'TEMPLATE-Figure 1 Amounts'!$K$48</c:f>
              <c:strCache>
                <c:ptCount val="1"/>
                <c:pt idx="0">
                  <c:v>Other </c:v>
                </c:pt>
              </c:strCache>
            </c:strRef>
          </c:tx>
          <c:spPr>
            <a:solidFill>
              <a:srgbClr val="333333"/>
            </a:solidFill>
            <a:ln w="12700">
              <a:solidFill>
                <a:srgbClr val="000000"/>
              </a:solidFill>
              <a:prstDash val="solid"/>
            </a:ln>
          </c:spPr>
          <c:dLbls>
            <c:dLbl>
              <c:idx val="0"/>
              <c:layout>
                <c:manualLayout>
                  <c:x val="2.3724605598677388E-2"/>
                  <c:y val="0"/>
                </c:manualLayout>
              </c:layout>
              <c:spPr/>
              <c:txPr>
                <a:bodyPr/>
                <a:lstStyle/>
                <a:p>
                  <a:pPr>
                    <a:defRPr/>
                  </a:pPr>
                  <a:endParaRPr lang="en-US"/>
                </a:p>
              </c:txPr>
              <c:dLblPos val="ctr"/>
              <c:showVal val="1"/>
            </c:dLbl>
            <c:dLbl>
              <c:idx val="1"/>
              <c:layout>
                <c:manualLayout>
                  <c:x val="3.3214709371292998E-2"/>
                  <c:y val="7.6150037580680967E-17"/>
                </c:manualLayout>
              </c:layout>
              <c:spPr/>
              <c:txPr>
                <a:bodyPr/>
                <a:lstStyle/>
                <a:p>
                  <a:pPr>
                    <a:defRPr/>
                  </a:pPr>
                  <a:endParaRPr lang="en-US"/>
                </a:p>
              </c:txPr>
              <c:dLblPos val="ctr"/>
              <c:showVal val="1"/>
            </c:dLbl>
            <c:dLbl>
              <c:idx val="2"/>
              <c:layout>
                <c:manualLayout>
                  <c:x val="2.6097271648873169E-2"/>
                  <c:y val="-4.1540134585980465E-3"/>
                </c:manualLayout>
              </c:layout>
              <c:spPr/>
              <c:txPr>
                <a:bodyPr/>
                <a:lstStyle/>
                <a:p>
                  <a:pPr>
                    <a:defRPr/>
                  </a:pPr>
                  <a:endParaRPr lang="en-US"/>
                </a:p>
              </c:txPr>
              <c:dLblPos val="ctr"/>
              <c:showVal val="1"/>
            </c:dLbl>
            <c:dLbl>
              <c:idx val="3"/>
              <c:layout>
                <c:manualLayout>
                  <c:x val="2.6097084839484034E-2"/>
                  <c:y val="-3.270619209981946E-7"/>
                </c:manualLayout>
              </c:layout>
              <c:spPr/>
              <c:txPr>
                <a:bodyPr/>
                <a:lstStyle/>
                <a:p>
                  <a:pPr>
                    <a:defRPr/>
                  </a:pPr>
                  <a:endParaRPr lang="en-US"/>
                </a:p>
              </c:txPr>
              <c:dLblPos val="ctr"/>
              <c:showVal val="1"/>
            </c:dLbl>
            <c:showVal val="1"/>
          </c:dLbls>
          <c:cat>
            <c:strRef>
              <c:f>'TEMPLATE-Figure 1 Amounts'!$G$49:$G$52</c:f>
              <c:strCache>
                <c:ptCount val="4"/>
                <c:pt idx="0">
                  <c:v>Statewide District</c:v>
                </c:pt>
                <c:pt idx="1">
                  <c:v>Statewide Charter</c:v>
                </c:pt>
                <c:pt idx="2">
                  <c:v>Maricopa-District</c:v>
                </c:pt>
                <c:pt idx="3">
                  <c:v>Maricopa-Charter</c:v>
                </c:pt>
              </c:strCache>
            </c:strRef>
          </c:cat>
          <c:val>
            <c:numRef>
              <c:f>'TEMPLATE-Figure 1 Amounts'!$K$49:$K$52</c:f>
              <c:numCache>
                <c:formatCode>_("$"* #,##0_);_("$"* \(#,##0\);_("$"* "-"_);_(@_)</c:formatCode>
                <c:ptCount val="4"/>
                <c:pt idx="0">
                  <c:v>4.3600155451633071</c:v>
                </c:pt>
                <c:pt idx="1">
                  <c:v>13.622706375693971</c:v>
                </c:pt>
                <c:pt idx="2">
                  <c:v>2.4942239145616325</c:v>
                </c:pt>
                <c:pt idx="3">
                  <c:v>8.647211570204874</c:v>
                </c:pt>
              </c:numCache>
            </c:numRef>
          </c:val>
        </c:ser>
        <c:overlap val="100"/>
        <c:axId val="64743680"/>
        <c:axId val="66662400"/>
      </c:barChart>
      <c:catAx>
        <c:axId val="64743680"/>
        <c:scaling>
          <c:orientation val="minMax"/>
        </c:scaling>
        <c:axPos val="l"/>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6662400"/>
        <c:crosses val="autoZero"/>
        <c:auto val="1"/>
        <c:lblAlgn val="ctr"/>
        <c:lblOffset val="100"/>
        <c:tickLblSkip val="1"/>
        <c:tickMarkSkip val="1"/>
      </c:catAx>
      <c:valAx>
        <c:axId val="66662400"/>
        <c:scaling>
          <c:orientation val="minMax"/>
        </c:scaling>
        <c:axPos val="b"/>
        <c:numFmt formatCode="_(&quot;$&quot;* #,##0_);_(&quot;$&quot;* \(#,##0\);_(&quot;$&quot;* &quot;-&quot;_);_(@_)"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4743680"/>
        <c:crosses val="autoZero"/>
        <c:crossBetween val="between"/>
      </c:valAx>
      <c:spPr>
        <a:solidFill>
          <a:srgbClr val="FFFFFF"/>
        </a:solidFill>
        <a:ln w="12700">
          <a:solidFill>
            <a:srgbClr val="808080"/>
          </a:solidFill>
          <a:prstDash val="solid"/>
        </a:ln>
      </c:spPr>
    </c:plotArea>
    <c:legend>
      <c:legendPos val="t"/>
      <c:layout>
        <c:manualLayout>
          <c:xMode val="edge"/>
          <c:yMode val="edge"/>
          <c:x val="0.28513240115448274"/>
          <c:y val="2.9304133858267713E-2"/>
          <c:w val="0.6374745238695696"/>
          <c:h val="8.7912073490813633E-2"/>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155" r="0.7500000000000015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9.9796334012220267E-2"/>
          <c:y val="0.19780290537325917"/>
          <c:w val="0.79885187428494564"/>
          <c:h val="0.62382016201463264"/>
        </c:manualLayout>
      </c:layout>
      <c:barChart>
        <c:barDir val="col"/>
        <c:grouping val="clustered"/>
        <c:ser>
          <c:idx val="0"/>
          <c:order val="0"/>
          <c:tx>
            <c:strRef>
              <c:f>'[2]AZ-JM'!$J$17</c:f>
              <c:strCache>
                <c:ptCount val="1"/>
                <c:pt idx="0">
                  <c:v>District</c:v>
                </c:pt>
              </c:strCache>
            </c:strRef>
          </c:tx>
          <c:spPr>
            <a:solidFill>
              <a:schemeClr val="tx1">
                <a:lumMod val="75000"/>
                <a:lumOff val="25000"/>
              </a:schemeClr>
            </a:solidFill>
            <a:ln w="12700">
              <a:solidFill>
                <a:srgbClr val="000000"/>
              </a:solidFill>
              <a:prstDash val="solid"/>
            </a:ln>
          </c:spPr>
          <c:dLbls>
            <c:dLbl>
              <c:idx val="0"/>
              <c:showVal val="1"/>
            </c:dLbl>
            <c:dLbl>
              <c:idx val="1"/>
              <c:showVal val="1"/>
            </c:dLbl>
            <c:dLbl>
              <c:idx val="2"/>
              <c:showVal val="1"/>
            </c:dLbl>
            <c:delete val="1"/>
            <c:numFmt formatCode="&quot;$&quot;#,##0" sourceLinked="0"/>
            <c:txPr>
              <a:bodyPr/>
              <a:lstStyle/>
              <a:p>
                <a:pPr>
                  <a:defRPr sz="900">
                    <a:latin typeface="+mn-lt"/>
                  </a:defRPr>
                </a:pPr>
                <a:endParaRPr lang="en-US"/>
              </a:p>
            </c:txPr>
          </c:dLbls>
          <c:cat>
            <c:strRef>
              <c:f>'[2]AZ-JM'!$I$18:$I$20</c:f>
              <c:strCache>
                <c:ptCount val="3"/>
                <c:pt idx="0">
                  <c:v>Arizona</c:v>
                </c:pt>
                <c:pt idx="1">
                  <c:v>Arizona
Weighted</c:v>
                </c:pt>
                <c:pt idx="2">
                  <c:v>Maricopa
County</c:v>
                </c:pt>
              </c:strCache>
            </c:strRef>
          </c:cat>
          <c:val>
            <c:numRef>
              <c:f>'[2]AZ-JM'!$J$18:$J$20</c:f>
              <c:numCache>
                <c:formatCode>General</c:formatCode>
                <c:ptCount val="3"/>
                <c:pt idx="0">
                  <c:v>9576.9466763633245</c:v>
                </c:pt>
                <c:pt idx="1">
                  <c:v>9576</c:v>
                </c:pt>
                <c:pt idx="2">
                  <c:v>9559.6363162758498</c:v>
                </c:pt>
              </c:numCache>
            </c:numRef>
          </c:val>
        </c:ser>
        <c:ser>
          <c:idx val="1"/>
          <c:order val="1"/>
          <c:tx>
            <c:strRef>
              <c:f>'[2]AZ-JM'!$K$17</c:f>
              <c:strCache>
                <c:ptCount val="1"/>
                <c:pt idx="0">
                  <c:v>Charter</c:v>
                </c:pt>
              </c:strCache>
            </c:strRef>
          </c:tx>
          <c:spPr>
            <a:solidFill>
              <a:srgbClr val="C0C0C0"/>
            </a:solidFill>
            <a:ln w="12700">
              <a:solidFill>
                <a:srgbClr val="000000"/>
              </a:solidFill>
              <a:prstDash val="solid"/>
            </a:ln>
          </c:spPr>
          <c:dLbls>
            <c:dLbl>
              <c:idx val="0"/>
              <c:layout>
                <c:manualLayout>
                  <c:x val="1.176470951511807E-2"/>
                  <c:y val="4.4296788482835504E-3"/>
                </c:manualLayout>
              </c:layout>
              <c:showVal val="1"/>
            </c:dLbl>
            <c:dLbl>
              <c:idx val="1"/>
              <c:layout>
                <c:manualLayout>
                  <c:x val="2.0325209757765111E-2"/>
                  <c:y val="8.8593576965670696E-3"/>
                </c:manualLayout>
              </c:layout>
              <c:showVal val="1"/>
            </c:dLbl>
            <c:dLbl>
              <c:idx val="2"/>
              <c:layout>
                <c:manualLayout>
                  <c:x val="1.9851121796792319E-2"/>
                  <c:y val="0"/>
                </c:manualLayout>
              </c:layout>
              <c:showVal val="1"/>
            </c:dLbl>
            <c:numFmt formatCode="&quot;$&quot;#,##0" sourceLinked="0"/>
            <c:txPr>
              <a:bodyPr/>
              <a:lstStyle/>
              <a:p>
                <a:pPr>
                  <a:defRPr sz="900">
                    <a:latin typeface="+mn-lt"/>
                  </a:defRPr>
                </a:pPr>
                <a:endParaRPr lang="en-US"/>
              </a:p>
            </c:txPr>
            <c:showVal val="1"/>
          </c:dLbls>
          <c:cat>
            <c:strRef>
              <c:f>'[2]AZ-JM'!$I$18:$I$20</c:f>
              <c:strCache>
                <c:ptCount val="3"/>
                <c:pt idx="0">
                  <c:v>Arizona</c:v>
                </c:pt>
                <c:pt idx="1">
                  <c:v>Arizona
Weighted</c:v>
                </c:pt>
                <c:pt idx="2">
                  <c:v>Maricopa
County</c:v>
                </c:pt>
              </c:strCache>
            </c:strRef>
          </c:cat>
          <c:val>
            <c:numRef>
              <c:f>'[2]AZ-JM'!$K$18:$K$20</c:f>
              <c:numCache>
                <c:formatCode>General</c:formatCode>
                <c:ptCount val="3"/>
                <c:pt idx="0">
                  <c:v>7596.7417670481882</c:v>
                </c:pt>
                <c:pt idx="1">
                  <c:v>7597</c:v>
                </c:pt>
                <c:pt idx="2">
                  <c:v>7376.2155878704334</c:v>
                </c:pt>
              </c:numCache>
            </c:numRef>
          </c:val>
        </c:ser>
        <c:ser>
          <c:idx val="2"/>
          <c:order val="2"/>
          <c:tx>
            <c:strRef>
              <c:f>'[2]AZ-JM'!$L$17</c:f>
              <c:strCache>
                <c:ptCount val="1"/>
                <c:pt idx="0">
                  <c:v>Difference</c:v>
                </c:pt>
              </c:strCache>
            </c:strRef>
          </c:tx>
          <c:spPr>
            <a:solidFill>
              <a:schemeClr val="bg1"/>
            </a:solidFill>
            <a:ln>
              <a:solidFill>
                <a:schemeClr val="tx1"/>
              </a:solidFill>
            </a:ln>
          </c:spPr>
          <c:dLbls>
            <c:dLbl>
              <c:idx val="0"/>
              <c:layout>
                <c:manualLayout>
                  <c:x val="1.176470951511807E-2"/>
                  <c:y val="8.8593576965669985E-3"/>
                </c:manualLayout>
              </c:layout>
              <c:showVal val="1"/>
            </c:dLbl>
            <c:dLbl>
              <c:idx val="1"/>
              <c:layout>
                <c:manualLayout>
                  <c:x val="1.176470951511807E-2"/>
                  <c:y val="1.32890365448505E-2"/>
                </c:manualLayout>
              </c:layout>
              <c:showVal val="1"/>
            </c:dLbl>
            <c:dLbl>
              <c:idx val="2"/>
              <c:layout>
                <c:manualLayout>
                  <c:x val="1.3234081197861501E-2"/>
                  <c:y val="0"/>
                </c:manualLayout>
              </c:layout>
              <c:showVal val="1"/>
            </c:dLbl>
            <c:numFmt formatCode="&quot;$&quot;#,##0" sourceLinked="0"/>
            <c:txPr>
              <a:bodyPr/>
              <a:lstStyle/>
              <a:p>
                <a:pPr>
                  <a:defRPr sz="900">
                    <a:latin typeface="+mn-lt"/>
                  </a:defRPr>
                </a:pPr>
                <a:endParaRPr lang="en-US"/>
              </a:p>
            </c:txPr>
            <c:showVal val="1"/>
          </c:dLbls>
          <c:cat>
            <c:strRef>
              <c:f>'[2]AZ-JM'!$I$18:$I$20</c:f>
              <c:strCache>
                <c:ptCount val="3"/>
                <c:pt idx="0">
                  <c:v>Arizona</c:v>
                </c:pt>
                <c:pt idx="1">
                  <c:v>Arizona
Weighted</c:v>
                </c:pt>
                <c:pt idx="2">
                  <c:v>Maricopa
County</c:v>
                </c:pt>
              </c:strCache>
            </c:strRef>
          </c:cat>
          <c:val>
            <c:numRef>
              <c:f>'[2]AZ-JM'!$L$18:$L$20</c:f>
              <c:numCache>
                <c:formatCode>General</c:formatCode>
                <c:ptCount val="3"/>
                <c:pt idx="0">
                  <c:v>1980.2049093151363</c:v>
                </c:pt>
                <c:pt idx="1">
                  <c:v>1979</c:v>
                </c:pt>
                <c:pt idx="2">
                  <c:v>2183.4207284054164</c:v>
                </c:pt>
              </c:numCache>
            </c:numRef>
          </c:val>
        </c:ser>
        <c:gapWidth val="89"/>
        <c:axId val="72923392"/>
        <c:axId val="72945664"/>
      </c:barChart>
      <c:catAx>
        <c:axId val="72923392"/>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mn-lt"/>
                <a:ea typeface="Arial"/>
                <a:cs typeface="Arial"/>
              </a:defRPr>
            </a:pPr>
            <a:endParaRPr lang="en-US"/>
          </a:p>
        </c:txPr>
        <c:crossAx val="72945664"/>
        <c:crosses val="autoZero"/>
        <c:auto val="1"/>
        <c:lblAlgn val="ctr"/>
        <c:lblOffset val="100"/>
        <c:tickLblSkip val="1"/>
        <c:tickMarkSkip val="1"/>
      </c:catAx>
      <c:valAx>
        <c:axId val="72945664"/>
        <c:scaling>
          <c:orientation val="minMax"/>
        </c:scaling>
        <c:axPos val="l"/>
        <c:numFmt formatCode="General" sourceLinked="1"/>
        <c:majorTickMark val="cross"/>
        <c:tickLblPos val="nextTo"/>
        <c:spPr>
          <a:ln w="9525">
            <a:solidFill>
              <a:schemeClr val="tx1"/>
            </a:solidFill>
          </a:ln>
        </c:spPr>
        <c:txPr>
          <a:bodyPr rot="0" vert="horz"/>
          <a:lstStyle/>
          <a:p>
            <a:pPr>
              <a:defRPr sz="1000" b="0" i="0" u="none" strike="noStrike" baseline="0">
                <a:solidFill>
                  <a:srgbClr val="000000"/>
                </a:solidFill>
                <a:latin typeface="+mn-lt"/>
                <a:ea typeface="Arial"/>
                <a:cs typeface="Arial"/>
              </a:defRPr>
            </a:pPr>
            <a:endParaRPr lang="en-US"/>
          </a:p>
        </c:txPr>
        <c:crossAx val="72923392"/>
        <c:crosses val="autoZero"/>
        <c:crossBetween val="between"/>
      </c:valAx>
      <c:spPr>
        <a:solidFill>
          <a:srgbClr val="FFFFFF"/>
        </a:solidFill>
        <a:ln w="12700">
          <a:noFill/>
          <a:prstDash val="solid"/>
        </a:ln>
      </c:spPr>
    </c:plotArea>
    <c:legend>
      <c:legendPos val="t"/>
      <c:layout>
        <c:manualLayout>
          <c:xMode val="edge"/>
          <c:yMode val="edge"/>
          <c:x val="0.11644098083711003"/>
          <c:y val="5.1452638187668404E-2"/>
          <c:w val="0.77358276164358863"/>
          <c:h val="6.8258211909557817E-2"/>
        </c:manualLayout>
      </c:layout>
      <c:spPr>
        <a:solidFill>
          <a:srgbClr val="FFFFFF"/>
        </a:solidFill>
        <a:ln w="3175">
          <a:noFill/>
          <a:prstDash val="solid"/>
        </a:ln>
      </c:spPr>
      <c:txPr>
        <a:bodyPr/>
        <a:lstStyle/>
        <a:p>
          <a:pPr>
            <a:defRPr sz="1000" b="0" i="0" u="none" strike="noStrike" baseline="0">
              <a:solidFill>
                <a:srgbClr val="000000"/>
              </a:solidFill>
              <a:latin typeface="+mn-lt"/>
              <a:ea typeface="Arial"/>
              <a:cs typeface="Arial"/>
            </a:defRPr>
          </a:pPr>
          <a:endParaRPr lang="en-US"/>
        </a:p>
      </c:txPr>
    </c:legend>
    <c:plotVisOnly val="1"/>
    <c:dispBlanksAs val="gap"/>
  </c:chart>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278" r="0.75000000000000278"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2343531606741929"/>
          <c:y val="0.1538405414090965"/>
          <c:w val="0.65923505043797515"/>
          <c:h val="0.726287592671084"/>
        </c:manualLayout>
      </c:layout>
      <c:barChart>
        <c:barDir val="bar"/>
        <c:grouping val="stacked"/>
        <c:ser>
          <c:idx val="0"/>
          <c:order val="0"/>
          <c:tx>
            <c:strRef>
              <c:f>'[2]AZ-JM'!$J$48</c:f>
              <c:strCache>
                <c:ptCount val="1"/>
                <c:pt idx="0">
                  <c:v>Federal </c:v>
                </c:pt>
              </c:strCache>
            </c:strRef>
          </c:tx>
          <c:spPr>
            <a:solidFill>
              <a:schemeClr val="tx1">
                <a:lumMod val="65000"/>
                <a:lumOff val="35000"/>
              </a:schemeClr>
            </a:solidFill>
            <a:ln w="12700">
              <a:solidFill>
                <a:srgbClr val="000000"/>
              </a:solidFill>
              <a:prstDash val="solid"/>
            </a:ln>
          </c:spPr>
          <c:dLbls>
            <c:dLbl>
              <c:idx val="0"/>
              <c:layout>
                <c:manualLayout>
                  <c:x val="3.1942573443379953E-2"/>
                  <c:y val="-7.0639107611548554E-2"/>
                </c:manualLayout>
              </c:layout>
              <c:dLblPos val="ctr"/>
              <c:showVal val="1"/>
            </c:dLbl>
            <c:dLbl>
              <c:idx val="1"/>
              <c:layout>
                <c:manualLayout>
                  <c:x val="3.1942573443379953E-2"/>
                  <c:y val="-7.0638779527559051E-2"/>
                </c:manualLayout>
              </c:layout>
              <c:dLblPos val="ctr"/>
              <c:showVal val="1"/>
            </c:dLbl>
            <c:dLbl>
              <c:idx val="2"/>
              <c:layout>
                <c:manualLayout>
                  <c:x val="2.7197609334977703E-2"/>
                  <c:y val="-7.0639107611548554E-2"/>
                </c:manualLayout>
              </c:layout>
              <c:dLblPos val="ctr"/>
              <c:showVal val="1"/>
            </c:dLbl>
            <c:dLbl>
              <c:idx val="3"/>
              <c:layout>
                <c:manualLayout>
                  <c:x val="2.4149077225180456E-2"/>
                  <c:y val="-6.3565776626975878E-2"/>
                </c:manualLayout>
              </c:layout>
              <c:dLblPos val="ctr"/>
              <c:showVal val="1"/>
            </c:dLbl>
            <c:dLbl>
              <c:idx val="4"/>
              <c:layout>
                <c:manualLayout>
                  <c:x val="2.9850754064520982E-2"/>
                  <c:y val="-6.3660459725430149E-2"/>
                </c:manualLayout>
              </c:layout>
              <c:showVal val="1"/>
            </c:dLbl>
            <c:numFmt formatCode="&quot;$&quot;#,##0" sourceLinked="0"/>
            <c:txPr>
              <a:bodyPr/>
              <a:lstStyle/>
              <a:p>
                <a:pPr>
                  <a:defRPr sz="900">
                    <a:latin typeface="+mn-lt"/>
                  </a:defRPr>
                </a:pPr>
                <a:endParaRPr lang="en-US"/>
              </a:p>
            </c:txPr>
            <c:showVal val="1"/>
          </c:dLbls>
          <c:cat>
            <c:strRef>
              <c:f>'[2]AZ-JM'!$I$49:$I$53</c:f>
              <c:strCache>
                <c:ptCount val="5"/>
                <c:pt idx="0">
                  <c:v>Statewide
    District</c:v>
                </c:pt>
                <c:pt idx="1">
                  <c:v>Statewide
Weighted</c:v>
                </c:pt>
                <c:pt idx="2">
                  <c:v>Statewide
    Charter</c:v>
                </c:pt>
                <c:pt idx="3">
                  <c:v>Maricopa
    District</c:v>
                </c:pt>
                <c:pt idx="4">
                  <c:v>Maricopa
    Charter</c:v>
                </c:pt>
              </c:strCache>
            </c:strRef>
          </c:cat>
          <c:val>
            <c:numRef>
              <c:f>'[2]AZ-JM'!$J$49:$J$53</c:f>
              <c:numCache>
                <c:formatCode>General</c:formatCode>
                <c:ptCount val="5"/>
                <c:pt idx="0">
                  <c:v>1022.1014048707387</c:v>
                </c:pt>
                <c:pt idx="1">
                  <c:v>1003</c:v>
                </c:pt>
                <c:pt idx="2">
                  <c:v>657.674054651598</c:v>
                </c:pt>
                <c:pt idx="3">
                  <c:v>770.72819587049196</c:v>
                </c:pt>
                <c:pt idx="4">
                  <c:v>393.02965020179829</c:v>
                </c:pt>
              </c:numCache>
            </c:numRef>
          </c:val>
        </c:ser>
        <c:ser>
          <c:idx val="1"/>
          <c:order val="1"/>
          <c:tx>
            <c:strRef>
              <c:f>'[2]AZ-JM'!$K$48</c:f>
              <c:strCache>
                <c:ptCount val="1"/>
                <c:pt idx="0">
                  <c:v>State</c:v>
                </c:pt>
              </c:strCache>
            </c:strRef>
          </c:tx>
          <c:spPr>
            <a:solidFill>
              <a:schemeClr val="bg1">
                <a:lumMod val="65000"/>
              </a:schemeClr>
            </a:solidFill>
            <a:ln w="12700">
              <a:solidFill>
                <a:srgbClr val="000000"/>
              </a:solidFill>
              <a:prstDash val="solid"/>
            </a:ln>
          </c:spPr>
          <c:dLbls>
            <c:dLbl>
              <c:idx val="0"/>
              <c:layout>
                <c:manualLayout>
                  <c:x val="1.1982870942628367E-2"/>
                  <c:y val="-7.0639161040912571E-2"/>
                </c:manualLayout>
              </c:layout>
              <c:dLblPos val="ctr"/>
              <c:showVal val="1"/>
            </c:dLbl>
            <c:dLbl>
              <c:idx val="1"/>
              <c:layout>
                <c:manualLayout>
                  <c:x val="8.0321285140562242E-3"/>
                  <c:y val="-7.0638779527559051E-2"/>
                </c:manualLayout>
              </c:layout>
              <c:dLblPos val="ctr"/>
              <c:showVal val="1"/>
            </c:dLbl>
            <c:dLbl>
              <c:idx val="2"/>
              <c:layout>
                <c:manualLayout>
                  <c:x val="2.6468709483603851E-2"/>
                  <c:y val="-7.0639107611548554E-2"/>
                </c:manualLayout>
              </c:layout>
              <c:dLblPos val="ctr"/>
              <c:showVal val="1"/>
            </c:dLbl>
            <c:dLbl>
              <c:idx val="3"/>
              <c:layout>
                <c:manualLayout>
                  <c:x val="2.2697803031509988E-2"/>
                  <c:y val="-6.3565776626975878E-2"/>
                </c:manualLayout>
              </c:layout>
              <c:dLblPos val="ctr"/>
              <c:showVal val="1"/>
            </c:dLbl>
            <c:dLbl>
              <c:idx val="4"/>
              <c:layout>
                <c:manualLayout>
                  <c:x val="0"/>
                  <c:y val="-6.3660459725430149E-2"/>
                </c:manualLayout>
              </c:layout>
              <c:dLblPos val="ctr"/>
              <c:showVal val="1"/>
            </c:dLbl>
            <c:numFmt formatCode="&quot;$&quot;#,##0" sourceLinked="0"/>
            <c:txPr>
              <a:bodyPr/>
              <a:lstStyle/>
              <a:p>
                <a:pPr>
                  <a:defRPr sz="900">
                    <a:latin typeface="+mn-lt"/>
                  </a:defRPr>
                </a:pPr>
                <a:endParaRPr lang="en-US"/>
              </a:p>
            </c:txPr>
            <c:dLblPos val="ctr"/>
            <c:showVal val="1"/>
          </c:dLbls>
          <c:cat>
            <c:strRef>
              <c:f>'[2]AZ-JM'!$I$49:$I$53</c:f>
              <c:strCache>
                <c:ptCount val="5"/>
                <c:pt idx="0">
                  <c:v>Statewide
    District</c:v>
                </c:pt>
                <c:pt idx="1">
                  <c:v>Statewide
Weighted</c:v>
                </c:pt>
                <c:pt idx="2">
                  <c:v>Statewide
    Charter</c:v>
                </c:pt>
                <c:pt idx="3">
                  <c:v>Maricopa
    District</c:v>
                </c:pt>
                <c:pt idx="4">
                  <c:v>Maricopa
    Charter</c:v>
                </c:pt>
              </c:strCache>
            </c:strRef>
          </c:cat>
          <c:val>
            <c:numRef>
              <c:f>'[2]AZ-JM'!$K$49:$K$53</c:f>
              <c:numCache>
                <c:formatCode>General</c:formatCode>
                <c:ptCount val="5"/>
                <c:pt idx="0">
                  <c:v>4668.6342674918515</c:v>
                </c:pt>
                <c:pt idx="1">
                  <c:v>4653</c:v>
                </c:pt>
                <c:pt idx="2">
                  <c:v>6402.4843960289472</c:v>
                </c:pt>
                <c:pt idx="3">
                  <c:v>4452.2663397341967</c:v>
                </c:pt>
                <c:pt idx="4">
                  <c:v>6409.1267734281564</c:v>
                </c:pt>
              </c:numCache>
            </c:numRef>
          </c:val>
        </c:ser>
        <c:ser>
          <c:idx val="2"/>
          <c:order val="2"/>
          <c:tx>
            <c:strRef>
              <c:f>'[2]AZ-JM'!$L$48</c:f>
              <c:strCache>
                <c:ptCount val="1"/>
                <c:pt idx="0">
                  <c:v>Local</c:v>
                </c:pt>
              </c:strCache>
            </c:strRef>
          </c:tx>
          <c:spPr>
            <a:solidFill>
              <a:schemeClr val="bg1">
                <a:lumMod val="95000"/>
              </a:schemeClr>
            </a:solidFill>
            <a:ln w="12700">
              <a:solidFill>
                <a:srgbClr val="000000"/>
              </a:solidFill>
              <a:prstDash val="solid"/>
            </a:ln>
          </c:spPr>
          <c:dLbls>
            <c:dLbl>
              <c:idx val="0"/>
              <c:layout>
                <c:manualLayout>
                  <c:x val="1.2048161305849051E-2"/>
                  <c:y val="-7.0639161040912571E-2"/>
                </c:manualLayout>
              </c:layout>
              <c:dLblPos val="ctr"/>
              <c:showVal val="1"/>
            </c:dLbl>
            <c:dLbl>
              <c:idx val="1"/>
              <c:layout>
                <c:manualLayout>
                  <c:x val="1.6437403155930821E-3"/>
                  <c:y val="-7.0638779527559051E-2"/>
                </c:manualLayout>
              </c:layout>
              <c:dLblPos val="ctr"/>
              <c:showVal val="1"/>
            </c:dLbl>
            <c:dLbl>
              <c:idx val="2"/>
              <c:layout>
                <c:manualLayout>
                  <c:x val="0"/>
                  <c:y val="-7.0625656167978987E-2"/>
                </c:manualLayout>
              </c:layout>
              <c:dLblPos val="ctr"/>
              <c:showVal val="1"/>
            </c:dLbl>
            <c:dLbl>
              <c:idx val="3"/>
              <c:layout>
                <c:manualLayout>
                  <c:x val="0"/>
                  <c:y val="-6.7102190354242933E-2"/>
                </c:manualLayout>
              </c:layout>
              <c:dLblPos val="ctr"/>
              <c:showVal val="1"/>
            </c:dLbl>
            <c:dLbl>
              <c:idx val="4"/>
              <c:layout>
                <c:manualLayout>
                  <c:x val="1.3267001806453781E-2"/>
                  <c:y val="-6.3660459725430149E-2"/>
                </c:manualLayout>
              </c:layout>
              <c:showVal val="1"/>
            </c:dLbl>
            <c:numFmt formatCode="&quot;$&quot;#,##0" sourceLinked="0"/>
            <c:txPr>
              <a:bodyPr/>
              <a:lstStyle/>
              <a:p>
                <a:pPr>
                  <a:defRPr sz="900">
                    <a:latin typeface="+mn-lt"/>
                  </a:defRPr>
                </a:pPr>
                <a:endParaRPr lang="en-US"/>
              </a:p>
            </c:txPr>
            <c:showVal val="1"/>
          </c:dLbls>
          <c:cat>
            <c:strRef>
              <c:f>'[2]AZ-JM'!$I$49:$I$53</c:f>
              <c:strCache>
                <c:ptCount val="5"/>
                <c:pt idx="0">
                  <c:v>Statewide
    District</c:v>
                </c:pt>
                <c:pt idx="1">
                  <c:v>Statewide
Weighted</c:v>
                </c:pt>
                <c:pt idx="2">
                  <c:v>Statewide
    Charter</c:v>
                </c:pt>
                <c:pt idx="3">
                  <c:v>Maricopa
    District</c:v>
                </c:pt>
                <c:pt idx="4">
                  <c:v>Maricopa
    Charter</c:v>
                </c:pt>
              </c:strCache>
            </c:strRef>
          </c:cat>
          <c:val>
            <c:numRef>
              <c:f>'[2]AZ-JM'!$L$49:$L$53</c:f>
              <c:numCache>
                <c:formatCode>General</c:formatCode>
                <c:ptCount val="5"/>
                <c:pt idx="0">
                  <c:v>3881.850988455572</c:v>
                </c:pt>
                <c:pt idx="1">
                  <c:v>3916</c:v>
                </c:pt>
                <c:pt idx="2">
                  <c:v>522.96060999194844</c:v>
                </c:pt>
                <c:pt idx="3">
                  <c:v>4334.1475567566004</c:v>
                </c:pt>
                <c:pt idx="4">
                  <c:v>565.41195267027376</c:v>
                </c:pt>
              </c:numCache>
            </c:numRef>
          </c:val>
        </c:ser>
        <c:ser>
          <c:idx val="3"/>
          <c:order val="3"/>
          <c:tx>
            <c:strRef>
              <c:f>'[2]AZ-JM'!$M$48</c:f>
              <c:strCache>
                <c:ptCount val="1"/>
                <c:pt idx="0">
                  <c:v>Other </c:v>
                </c:pt>
              </c:strCache>
            </c:strRef>
          </c:tx>
          <c:spPr>
            <a:solidFill>
              <a:schemeClr val="tx1"/>
            </a:solidFill>
            <a:ln w="12700">
              <a:solidFill>
                <a:srgbClr val="000000"/>
              </a:solidFill>
              <a:prstDash val="solid"/>
            </a:ln>
          </c:spPr>
          <c:dLbls>
            <c:dLbl>
              <c:idx val="0"/>
              <c:layout>
                <c:manualLayout>
                  <c:x val="3.9788761344590945E-2"/>
                  <c:y val="0"/>
                </c:manualLayout>
              </c:layout>
              <c:dLblPos val="ctr"/>
              <c:showVal val="1"/>
            </c:dLbl>
            <c:dLbl>
              <c:idx val="1"/>
              <c:layout>
                <c:manualLayout>
                  <c:x val="4.9279005786927205E-2"/>
                  <c:y val="-3.2808398950131489E-7"/>
                </c:manualLayout>
              </c:layout>
              <c:dLblPos val="ctr"/>
              <c:showVal val="1"/>
            </c:dLbl>
            <c:dLbl>
              <c:idx val="2"/>
              <c:layout>
                <c:manualLayout>
                  <c:x val="3.4128956771969775E-2"/>
                  <c:y val="-4.1538713910761194E-3"/>
                </c:manualLayout>
              </c:layout>
              <c:dLblPos val="ctr"/>
              <c:showVal val="1"/>
            </c:dLbl>
            <c:dLbl>
              <c:idx val="3"/>
              <c:layout>
                <c:manualLayout>
                  <c:x val="3.8145021028997882E-2"/>
                  <c:y val="-3.2808398950131489E-7"/>
                </c:manualLayout>
              </c:layout>
              <c:dLblPos val="ctr"/>
              <c:showVal val="1"/>
            </c:dLbl>
            <c:dLbl>
              <c:idx val="4"/>
              <c:layout>
                <c:manualLayout>
                  <c:x val="3.6484254967747869E-2"/>
                  <c:y val="0"/>
                </c:manualLayout>
              </c:layout>
              <c:showVal val="1"/>
            </c:dLbl>
            <c:numFmt formatCode="&quot;$&quot;#,##0" sourceLinked="0"/>
            <c:txPr>
              <a:bodyPr/>
              <a:lstStyle/>
              <a:p>
                <a:pPr>
                  <a:defRPr sz="900">
                    <a:latin typeface="+mn-lt"/>
                  </a:defRPr>
                </a:pPr>
                <a:endParaRPr lang="en-US"/>
              </a:p>
            </c:txPr>
            <c:showVal val="1"/>
          </c:dLbls>
          <c:cat>
            <c:strRef>
              <c:f>'[2]AZ-JM'!$I$49:$I$53</c:f>
              <c:strCache>
                <c:ptCount val="5"/>
                <c:pt idx="0">
                  <c:v>Statewide
    District</c:v>
                </c:pt>
                <c:pt idx="1">
                  <c:v>Statewide
Weighted</c:v>
                </c:pt>
                <c:pt idx="2">
                  <c:v>Statewide
    Charter</c:v>
                </c:pt>
                <c:pt idx="3">
                  <c:v>Maricopa
    District</c:v>
                </c:pt>
                <c:pt idx="4">
                  <c:v>Maricopa
    Charter</c:v>
                </c:pt>
              </c:strCache>
            </c:strRef>
          </c:cat>
          <c:val>
            <c:numRef>
              <c:f>'[2]AZ-JM'!$M$49:$M$53</c:f>
              <c:numCache>
                <c:formatCode>General</c:formatCode>
                <c:ptCount val="5"/>
                <c:pt idx="0">
                  <c:v>4.3600155451633071</c:v>
                </c:pt>
                <c:pt idx="1">
                  <c:v>4</c:v>
                </c:pt>
                <c:pt idx="2">
                  <c:v>13.622706375693971</c:v>
                </c:pt>
                <c:pt idx="3">
                  <c:v>2.4942239145616325</c:v>
                </c:pt>
                <c:pt idx="4">
                  <c:v>8.647211570204874</c:v>
                </c:pt>
              </c:numCache>
            </c:numRef>
          </c:val>
        </c:ser>
        <c:gapWidth val="89"/>
        <c:overlap val="100"/>
        <c:axId val="73001984"/>
        <c:axId val="73020160"/>
      </c:barChart>
      <c:catAx>
        <c:axId val="73001984"/>
        <c:scaling>
          <c:orientation val="minMax"/>
        </c:scaling>
        <c:axPos val="l"/>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mn-lt"/>
                <a:ea typeface="Arial"/>
                <a:cs typeface="Arial"/>
              </a:defRPr>
            </a:pPr>
            <a:endParaRPr lang="en-US"/>
          </a:p>
        </c:txPr>
        <c:crossAx val="73020160"/>
        <c:crosses val="autoZero"/>
        <c:auto val="1"/>
        <c:lblAlgn val="ctr"/>
        <c:lblOffset val="100"/>
        <c:tickLblSkip val="1"/>
        <c:tickMarkSkip val="1"/>
      </c:catAx>
      <c:valAx>
        <c:axId val="73020160"/>
        <c:scaling>
          <c:orientation val="minMax"/>
          <c:max val="12000"/>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mn-lt"/>
                <a:ea typeface="Arial"/>
                <a:cs typeface="Arial"/>
              </a:defRPr>
            </a:pPr>
            <a:endParaRPr lang="en-US"/>
          </a:p>
        </c:txPr>
        <c:crossAx val="73001984"/>
        <c:crosses val="autoZero"/>
        <c:crossBetween val="between"/>
        <c:majorUnit val="4000"/>
      </c:valAx>
      <c:spPr>
        <a:solidFill>
          <a:srgbClr val="FFFFFF"/>
        </a:solidFill>
        <a:ln w="12700">
          <a:noFill/>
          <a:prstDash val="solid"/>
        </a:ln>
      </c:spPr>
    </c:plotArea>
    <c:legend>
      <c:legendPos val="t"/>
      <c:layout>
        <c:manualLayout>
          <c:xMode val="edge"/>
          <c:yMode val="edge"/>
          <c:x val="0.13969642348923308"/>
          <c:y val="4.1804133858267714E-2"/>
          <c:w val="0.77000474338298075"/>
          <c:h val="8.7912073490813633E-2"/>
        </c:manualLayout>
      </c:layout>
      <c:spPr>
        <a:solidFill>
          <a:srgbClr val="FFFFFF"/>
        </a:solidFill>
        <a:ln w="3175">
          <a:noFill/>
          <a:prstDash val="solid"/>
        </a:ln>
      </c:spPr>
      <c:txPr>
        <a:bodyPr/>
        <a:lstStyle/>
        <a:p>
          <a:pPr>
            <a:defRPr sz="1000" b="0" i="0" u="none" strike="noStrike" baseline="0">
              <a:solidFill>
                <a:srgbClr val="000000"/>
              </a:solidFill>
              <a:latin typeface="+mn-lt"/>
              <a:ea typeface="Arial"/>
              <a:cs typeface="Arial"/>
            </a:defRPr>
          </a:pPr>
          <a:endParaRPr lang="en-US"/>
        </a:p>
      </c:txPr>
    </c:legend>
    <c:plotVisOnly val="1"/>
    <c:dispBlanksAs val="gap"/>
  </c:chart>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278" r="0.75000000000000278"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600075</xdr:colOff>
      <xdr:row>1</xdr:row>
      <xdr:rowOff>9525</xdr:rowOff>
    </xdr:from>
    <xdr:to>
      <xdr:col>13</xdr:col>
      <xdr:colOff>400050</xdr:colOff>
      <xdr:row>14</xdr:row>
      <xdr:rowOff>114300</xdr:rowOff>
    </xdr:to>
    <xdr:graphicFrame macro="">
      <xdr:nvGraphicFramePr>
        <xdr:cNvPr id="208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27</xdr:row>
      <xdr:rowOff>9525</xdr:rowOff>
    </xdr:from>
    <xdr:to>
      <xdr:col>13</xdr:col>
      <xdr:colOff>409575</xdr:colOff>
      <xdr:row>43</xdr:row>
      <xdr:rowOff>9525</xdr:rowOff>
    </xdr:to>
    <xdr:graphicFrame macro="">
      <xdr:nvGraphicFramePr>
        <xdr:cNvPr id="208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47626</xdr:colOff>
      <xdr:row>1</xdr:row>
      <xdr:rowOff>19050</xdr:rowOff>
    </xdr:from>
    <xdr:to>
      <xdr:col>13</xdr:col>
      <xdr:colOff>466725</xdr:colOff>
      <xdr:row>14</xdr:row>
      <xdr:rowOff>123825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27</xdr:row>
      <xdr:rowOff>19049</xdr:rowOff>
    </xdr:from>
    <xdr:to>
      <xdr:col>13</xdr:col>
      <xdr:colOff>447674</xdr:colOff>
      <xdr:row>46</xdr:row>
      <xdr:rowOff>533400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Ea%20BUSINESS/103=BSU/~~FINAL%20WORKBOOKS/BSU=AZ=0607=20090202=REVISED=with%20Additional%20Footno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ay/~Ea%20BUSINESS/103=BSU/~~~EDIT2_APR15%20SUPPORT/Figure%201%20with%20Adjusted%20Values%20-%2004_06_JMay.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EMPLATE"/>
      <sheetName val="Chapter Charts"/>
      <sheetName val="#s for Report-State"/>
      <sheetName val="#s for Report-Maricopa County"/>
      <sheetName val="Charter &amp; District Data"/>
      <sheetName val="County Revenue Sources"/>
      <sheetName val="County Valuations &amp; Other"/>
      <sheetName val="Sheet1"/>
    </sheetNames>
    <sheetDataSet>
      <sheetData sheetId="0" refreshError="1"/>
      <sheetData sheetId="1" refreshError="1"/>
      <sheetData sheetId="2" refreshError="1">
        <row r="31">
          <cell r="H31">
            <v>934595.52099999995</v>
          </cell>
          <cell r="I31">
            <v>8950571468.5849991</v>
          </cell>
        </row>
        <row r="32">
          <cell r="I32">
            <v>9576.9466763633245</v>
          </cell>
          <cell r="J32">
            <v>3881.850988455572</v>
          </cell>
          <cell r="K32">
            <v>4.3600155451633071</v>
          </cell>
          <cell r="L32">
            <v>4668.6342674918515</v>
          </cell>
          <cell r="M32">
            <v>1022.1014048707387</v>
          </cell>
        </row>
        <row r="33">
          <cell r="J33">
            <v>0.40533283933138031</v>
          </cell>
          <cell r="K33">
            <v>4.5526154551159574E-4</v>
          </cell>
          <cell r="L33">
            <v>0.4874867142170079</v>
          </cell>
          <cell r="M33">
            <v>0.10672518490610033</v>
          </cell>
        </row>
        <row r="38">
          <cell r="G38">
            <v>448</v>
          </cell>
          <cell r="H38">
            <v>89219.275999999998</v>
          </cell>
          <cell r="I38">
            <v>677775800.41499996</v>
          </cell>
        </row>
        <row r="39">
          <cell r="I39">
            <v>7596.7417670481882</v>
          </cell>
          <cell r="J39">
            <v>522.96060999194844</v>
          </cell>
          <cell r="K39">
            <v>13.622706375693971</v>
          </cell>
          <cell r="L39">
            <v>6402.4843960289472</v>
          </cell>
          <cell r="M39">
            <v>657.674054651598</v>
          </cell>
        </row>
        <row r="40">
          <cell r="J40">
            <v>6.8840119360165042E-2</v>
          </cell>
          <cell r="K40">
            <v>1.793230149639172E-3</v>
          </cell>
          <cell r="L40">
            <v>0.8427934754608245</v>
          </cell>
          <cell r="M40">
            <v>8.6573175029371272E-2</v>
          </cell>
        </row>
      </sheetData>
      <sheetData sheetId="3" refreshError="1">
        <row r="11">
          <cell r="H11">
            <v>587562.72499999998</v>
          </cell>
          <cell r="I11">
            <v>5616885964</v>
          </cell>
        </row>
        <row r="12">
          <cell r="I12">
            <v>9559.6363162758498</v>
          </cell>
          <cell r="J12">
            <v>4334.1475567566004</v>
          </cell>
          <cell r="K12">
            <v>2.4942239145616325</v>
          </cell>
          <cell r="L12">
            <v>4452.2663397341967</v>
          </cell>
          <cell r="M12">
            <v>770.72819587049196</v>
          </cell>
        </row>
        <row r="13">
          <cell r="J13">
            <v>0.45337996272697695</v>
          </cell>
          <cell r="K13">
            <v>2.6091200878793557E-4</v>
          </cell>
          <cell r="L13">
            <v>0.46573595400841222</v>
          </cell>
          <cell r="M13">
            <v>8.0623171255822912E-2</v>
          </cell>
        </row>
        <row r="17">
          <cell r="G17">
            <v>194</v>
          </cell>
          <cell r="H17">
            <v>58576.802000000003</v>
          </cell>
          <cell r="I17">
            <v>432075120</v>
          </cell>
        </row>
        <row r="18">
          <cell r="I18">
            <v>7376.2155878704334</v>
          </cell>
          <cell r="J18">
            <v>565.41195267027376</v>
          </cell>
          <cell r="K18">
            <v>8.647211570204874</v>
          </cell>
          <cell r="L18">
            <v>6409.1267734281564</v>
          </cell>
          <cell r="M18">
            <v>393.02965020179829</v>
          </cell>
        </row>
        <row r="19">
          <cell r="J19">
            <v>7.665339304887539E-2</v>
          </cell>
          <cell r="K19">
            <v>1.1723100371990871E-3</v>
          </cell>
          <cell r="L19">
            <v>0.86889092341165119</v>
          </cell>
          <cell r="M19">
            <v>5.3283373502274328E-2</v>
          </cell>
        </row>
      </sheetData>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Z-JM"/>
      <sheetName val="CA-JM"/>
      <sheetName val="CO-JM"/>
      <sheetName val="CT"/>
      <sheetName val="DE"/>
      <sheetName val="FL"/>
      <sheetName val="GA"/>
      <sheetName val="ID"/>
      <sheetName val="IL"/>
      <sheetName val="MA"/>
      <sheetName val="MI"/>
      <sheetName val="MN"/>
      <sheetName val="NJ"/>
      <sheetName val="NM-JM"/>
      <sheetName val="NY"/>
      <sheetName val="NC"/>
      <sheetName val="OH"/>
      <sheetName val="PA-JM"/>
      <sheetName val="SC-JM"/>
      <sheetName val="TX"/>
      <sheetName val="DC"/>
    </sheetNames>
    <sheetDataSet>
      <sheetData sheetId="0">
        <row r="17">
          <cell r="J17" t="str">
            <v>District</v>
          </cell>
          <cell r="K17" t="str">
            <v>Charter</v>
          </cell>
          <cell r="L17" t="str">
            <v>Difference</v>
          </cell>
        </row>
        <row r="18">
          <cell r="I18" t="str">
            <v>Arizona</v>
          </cell>
          <cell r="J18">
            <v>9576.9466763633245</v>
          </cell>
          <cell r="K18">
            <v>7596.7417670481882</v>
          </cell>
          <cell r="L18">
            <v>1980.2049093151363</v>
          </cell>
        </row>
        <row r="19">
          <cell r="I19" t="str">
            <v>Arizona
Weighted</v>
          </cell>
          <cell r="J19">
            <v>9576</v>
          </cell>
          <cell r="K19">
            <v>7597</v>
          </cell>
          <cell r="L19">
            <v>1979</v>
          </cell>
        </row>
        <row r="20">
          <cell r="I20" t="str">
            <v>Maricopa
County</v>
          </cell>
          <cell r="J20">
            <v>9559.6363162758498</v>
          </cell>
          <cell r="K20">
            <v>7376.2155878704334</v>
          </cell>
          <cell r="L20">
            <v>2183.4207284054164</v>
          </cell>
        </row>
        <row r="48">
          <cell r="J48" t="str">
            <v xml:space="preserve">Federal </v>
          </cell>
          <cell r="K48" t="str">
            <v>State</v>
          </cell>
          <cell r="L48" t="str">
            <v>Local</v>
          </cell>
          <cell r="M48" t="str">
            <v xml:space="preserve">Other </v>
          </cell>
        </row>
        <row r="49">
          <cell r="I49" t="str">
            <v>Statewide
    District</v>
          </cell>
          <cell r="J49">
            <v>1022.1014048707387</v>
          </cell>
          <cell r="K49">
            <v>4668.6342674918515</v>
          </cell>
          <cell r="L49">
            <v>3881.850988455572</v>
          </cell>
          <cell r="M49">
            <v>4.3600155451633071</v>
          </cell>
        </row>
        <row r="50">
          <cell r="I50" t="str">
            <v>Statewide
Weighted</v>
          </cell>
          <cell r="J50">
            <v>1003</v>
          </cell>
          <cell r="K50">
            <v>4653</v>
          </cell>
          <cell r="L50">
            <v>3916</v>
          </cell>
          <cell r="M50">
            <v>4</v>
          </cell>
        </row>
        <row r="51">
          <cell r="I51" t="str">
            <v>Statewide
    Charter</v>
          </cell>
          <cell r="J51">
            <v>657.674054651598</v>
          </cell>
          <cell r="K51">
            <v>6402.4843960289472</v>
          </cell>
          <cell r="L51">
            <v>522.96060999194844</v>
          </cell>
          <cell r="M51">
            <v>13.622706375693971</v>
          </cell>
        </row>
        <row r="52">
          <cell r="I52" t="str">
            <v>Maricopa
    District</v>
          </cell>
          <cell r="J52">
            <v>770.72819587049196</v>
          </cell>
          <cell r="K52">
            <v>4452.2663397341967</v>
          </cell>
          <cell r="L52">
            <v>4334.1475567566004</v>
          </cell>
          <cell r="M52">
            <v>2.4942239145616325</v>
          </cell>
        </row>
        <row r="53">
          <cell r="I53" t="str">
            <v>Maricopa
    Charter</v>
          </cell>
          <cell r="J53">
            <v>393.02965020179829</v>
          </cell>
          <cell r="K53">
            <v>6409.1267734281564</v>
          </cell>
          <cell r="L53">
            <v>565.41195267027376</v>
          </cell>
          <cell r="M53">
            <v>8.647211570204874</v>
          </cell>
        </row>
      </sheetData>
      <sheetData sheetId="1">
        <row r="19">
          <cell r="L19" t="str">
            <v>District</v>
          </cell>
        </row>
      </sheetData>
      <sheetData sheetId="2">
        <row r="19">
          <cell r="L19" t="str">
            <v>District</v>
          </cell>
        </row>
      </sheetData>
      <sheetData sheetId="3"/>
      <sheetData sheetId="4"/>
      <sheetData sheetId="5"/>
      <sheetData sheetId="6"/>
      <sheetData sheetId="7"/>
      <sheetData sheetId="8"/>
      <sheetData sheetId="9"/>
      <sheetData sheetId="10"/>
      <sheetData sheetId="11"/>
      <sheetData sheetId="12"/>
      <sheetData sheetId="13">
        <row r="17">
          <cell r="J17" t="str">
            <v>District</v>
          </cell>
        </row>
      </sheetData>
      <sheetData sheetId="14"/>
      <sheetData sheetId="15"/>
      <sheetData sheetId="16"/>
      <sheetData sheetId="17">
        <row r="17">
          <cell r="L17" t="str">
            <v>District</v>
          </cell>
        </row>
      </sheetData>
      <sheetData sheetId="18">
        <row r="17">
          <cell r="L17" t="str">
            <v>District</v>
          </cell>
        </row>
      </sheetData>
      <sheetData sheetId="19"/>
      <sheetData sheetId="20"/>
    </sheetDataSet>
  </externalBook>
</externalLink>
</file>

<file path=xl/tables/table1.xml><?xml version="1.0" encoding="utf-8"?>
<table xmlns="http://schemas.openxmlformats.org/spreadsheetml/2006/main" id="1" name="Table42" displayName="Table42" ref="A6:I611" totalsRowShown="0" headerRowDxfId="53" headerRowBorderDxfId="52" tableBorderDxfId="51" totalsRowBorderDxfId="50">
  <autoFilter ref="A6:I611"/>
  <sortState ref="A7:I611">
    <sortCondition ref="A6:A611"/>
  </sortState>
  <tableColumns count="9">
    <tableColumn id="1" name="A" dataDxfId="49"/>
    <tableColumn id="2" name="B" dataDxfId="48"/>
    <tableColumn id="3" name="C" dataDxfId="47"/>
    <tableColumn id="4" name="D" dataDxfId="46"/>
    <tableColumn id="5" name="E" dataDxfId="45"/>
    <tableColumn id="6" name="F" dataDxfId="44"/>
    <tableColumn id="7" name="G" dataDxfId="43"/>
    <tableColumn id="8" name="H" dataDxfId="42"/>
    <tableColumn id="9" name="I" dataDxfId="41"/>
  </tableColumns>
  <tableStyleInfo name="TableStyleLight15" showFirstColumn="0" showLastColumn="0" showRowStripes="1" showColumnStripes="0"/>
</table>
</file>

<file path=xl/tables/table2.xml><?xml version="1.0" encoding="utf-8"?>
<table xmlns="http://schemas.openxmlformats.org/spreadsheetml/2006/main" id="2" name="Table2" displayName="Table2" ref="A6:Q23" totalsRowShown="0" headerRowDxfId="40" dataDxfId="38" headerRowBorderDxfId="39" tableBorderDxfId="37">
  <autoFilter ref="A6:Q23"/>
  <sortState ref="A7:Q23">
    <sortCondition ref="B6:B23"/>
  </sortState>
  <tableColumns count="17">
    <tableColumn id="1" name="A" dataDxfId="36"/>
    <tableColumn id="2" name="B" dataDxfId="35"/>
    <tableColumn id="3" name="C" dataDxfId="34"/>
    <tableColumn id="4" name="D" dataDxfId="33"/>
    <tableColumn id="5" name="E" dataDxfId="32"/>
    <tableColumn id="6" name="F" dataDxfId="31"/>
    <tableColumn id="7" name="G" dataDxfId="30"/>
    <tableColumn id="8" name="H" dataDxfId="29"/>
    <tableColumn id="9" name="I" dataDxfId="28"/>
    <tableColumn id="10" name="J" dataDxfId="27"/>
    <tableColumn id="11" name="K" dataDxfId="26"/>
    <tableColumn id="12" name="L" dataDxfId="25"/>
    <tableColumn id="13" name="M" dataDxfId="24"/>
    <tableColumn id="14" name="N" dataDxfId="23"/>
    <tableColumn id="15" name="O" dataDxfId="22"/>
    <tableColumn id="16" name="P" dataDxfId="21"/>
    <tableColumn id="17" name="Q" dataDxfId="20"/>
  </tableColumns>
  <tableStyleInfo name="TableStyleLight15" showFirstColumn="0" showLastColumn="0" showRowStripes="1" showColumnStripes="0"/>
</table>
</file>

<file path=xl/tables/table3.xml><?xml version="1.0" encoding="utf-8"?>
<table xmlns="http://schemas.openxmlformats.org/spreadsheetml/2006/main" id="3" name="Table3" displayName="Table3" ref="A6:P23" totalsRowShown="0" headerRowDxfId="19" dataDxfId="17" headerRowBorderDxfId="18" tableBorderDxfId="16">
  <autoFilter ref="A6:P23"/>
  <sortState ref="A7:P23">
    <sortCondition ref="B6:B23"/>
  </sortState>
  <tableColumns count="16">
    <tableColumn id="1" name="A" dataDxfId="15"/>
    <tableColumn id="2" name="B" dataDxfId="14"/>
    <tableColumn id="3" name="C" dataDxfId="13"/>
    <tableColumn id="4" name="D" dataDxfId="12"/>
    <tableColumn id="5" name="E" dataDxfId="11">
      <calculatedColumnFormula>$C7/D7</calculatedColumnFormula>
    </tableColumn>
    <tableColumn id="6" name="F" dataDxfId="10"/>
    <tableColumn id="7" name="G" dataDxfId="9">
      <calculatedColumnFormula>F7/$C7</calculatedColumnFormula>
    </tableColumn>
    <tableColumn id="8" name="H" dataDxfId="8">
      <calculatedColumnFormula>F7/$D7</calculatedColumnFormula>
    </tableColumn>
    <tableColumn id="9" name="I" dataDxfId="7"/>
    <tableColumn id="10" name="J" dataDxfId="6"/>
    <tableColumn id="11" name="K" dataDxfId="5"/>
    <tableColumn id="12" name="L" dataDxfId="4">
      <calculatedColumnFormula>K7/D7</calculatedColumnFormula>
    </tableColumn>
    <tableColumn id="13" name="M" dataDxfId="3"/>
    <tableColumn id="14" name="N" dataDxfId="2"/>
    <tableColumn id="15" name="O" dataDxfId="1">
      <calculatedColumnFormula>N7/D7</calculatedColumnFormula>
    </tableColumn>
    <tableColumn id="16" name="P"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ade.state.az.us/schoolfinance/Reports/Default.asp"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tabColor rgb="FFFFFF00"/>
  </sheetPr>
  <dimension ref="B1:B41"/>
  <sheetViews>
    <sheetView tabSelected="1" workbookViewId="0">
      <selection activeCell="E17" sqref="E17"/>
    </sheetView>
  </sheetViews>
  <sheetFormatPr defaultRowHeight="15"/>
  <cols>
    <col min="2" max="2" width="70.5703125" customWidth="1"/>
  </cols>
  <sheetData>
    <row r="1" spans="2:2">
      <c r="B1" s="348"/>
    </row>
    <row r="2" spans="2:2" ht="18.75">
      <c r="B2" s="349" t="s">
        <v>1439</v>
      </c>
    </row>
    <row r="3" spans="2:2" ht="18.75">
      <c r="B3" s="350" t="s">
        <v>1440</v>
      </c>
    </row>
    <row r="4" spans="2:2">
      <c r="B4" s="348"/>
    </row>
    <row r="5" spans="2:2" ht="15.75">
      <c r="B5" s="351" t="s">
        <v>1441</v>
      </c>
    </row>
    <row r="6" spans="2:2" ht="15.75">
      <c r="B6" s="351" t="s">
        <v>1442</v>
      </c>
    </row>
    <row r="7" spans="2:2" ht="15.75">
      <c r="B7" s="351" t="s">
        <v>1421</v>
      </c>
    </row>
    <row r="8" spans="2:2">
      <c r="B8" s="348"/>
    </row>
    <row r="9" spans="2:2">
      <c r="B9" s="352" t="s">
        <v>1443</v>
      </c>
    </row>
    <row r="10" spans="2:2" ht="60" customHeight="1">
      <c r="B10" s="348" t="s">
        <v>1444</v>
      </c>
    </row>
    <row r="11" spans="2:2" ht="21.75" customHeight="1">
      <c r="B11" s="353" t="s">
        <v>1445</v>
      </c>
    </row>
    <row r="12" spans="2:2">
      <c r="B12" s="348"/>
    </row>
    <row r="13" spans="2:2">
      <c r="B13" s="352" t="s">
        <v>1446</v>
      </c>
    </row>
    <row r="14" spans="2:2" ht="48" customHeight="1">
      <c r="B14" s="348" t="s">
        <v>1449</v>
      </c>
    </row>
    <row r="15" spans="2:2">
      <c r="B15" s="348"/>
    </row>
    <row r="16" spans="2:2">
      <c r="B16" s="352" t="s">
        <v>1447</v>
      </c>
    </row>
    <row r="17" spans="2:2" ht="60">
      <c r="B17" s="348" t="s">
        <v>1517</v>
      </c>
    </row>
    <row r="18" spans="2:2">
      <c r="B18" s="348"/>
    </row>
    <row r="19" spans="2:2">
      <c r="B19" s="352" t="s">
        <v>1448</v>
      </c>
    </row>
    <row r="20" spans="2:2" ht="60">
      <c r="B20" s="348" t="s">
        <v>1516</v>
      </c>
    </row>
    <row r="21" spans="2:2">
      <c r="B21" s="348"/>
    </row>
    <row r="22" spans="2:2">
      <c r="B22" s="347"/>
    </row>
    <row r="23" spans="2:2">
      <c r="B23" s="347"/>
    </row>
    <row r="24" spans="2:2">
      <c r="B24" s="347"/>
    </row>
    <row r="25" spans="2:2">
      <c r="B25" s="347"/>
    </row>
    <row r="26" spans="2:2">
      <c r="B26" s="347"/>
    </row>
    <row r="27" spans="2:2">
      <c r="B27" s="347"/>
    </row>
    <row r="28" spans="2:2">
      <c r="B28" s="347"/>
    </row>
    <row r="29" spans="2:2">
      <c r="B29" s="347"/>
    </row>
    <row r="30" spans="2:2">
      <c r="B30" s="347"/>
    </row>
    <row r="31" spans="2:2">
      <c r="B31" s="347"/>
    </row>
    <row r="32" spans="2:2">
      <c r="B32" s="347"/>
    </row>
    <row r="33" spans="2:2">
      <c r="B33" s="347"/>
    </row>
    <row r="34" spans="2:2">
      <c r="B34" s="347"/>
    </row>
    <row r="35" spans="2:2">
      <c r="B35" s="347"/>
    </row>
    <row r="36" spans="2:2">
      <c r="B36" s="347"/>
    </row>
    <row r="37" spans="2:2">
      <c r="B37" s="347"/>
    </row>
    <row r="38" spans="2:2">
      <c r="B38" s="347"/>
    </row>
    <row r="39" spans="2:2">
      <c r="B39" s="347"/>
    </row>
    <row r="40" spans="2:2">
      <c r="B40" s="347"/>
    </row>
    <row r="41" spans="2:2">
      <c r="B41" s="347"/>
    </row>
  </sheetData>
  <hyperlinks>
    <hyperlink ref="B11" r:id="rId1"/>
  </hyperlinks>
  <pageMargins left="1.2"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dimension ref="A1:L56"/>
  <sheetViews>
    <sheetView workbookViewId="0"/>
  </sheetViews>
  <sheetFormatPr defaultRowHeight="15"/>
  <cols>
    <col min="1" max="1" width="18.85546875" customWidth="1"/>
    <col min="2" max="5" width="13.140625" customWidth="1"/>
    <col min="7" max="7" width="19.28515625" customWidth="1"/>
  </cols>
  <sheetData>
    <row r="1" spans="1:10">
      <c r="A1" s="316" t="s">
        <v>1395</v>
      </c>
      <c r="B1" s="316"/>
      <c r="C1" s="316"/>
      <c r="D1" s="316"/>
      <c r="E1" s="316"/>
      <c r="F1" s="316"/>
      <c r="G1" s="316" t="s">
        <v>1396</v>
      </c>
      <c r="H1" s="316"/>
      <c r="I1" s="316"/>
      <c r="J1" s="316"/>
    </row>
    <row r="2" spans="1:10" ht="26.25">
      <c r="A2" s="319" t="s">
        <v>1420</v>
      </c>
      <c r="B2" s="424" t="s">
        <v>1397</v>
      </c>
      <c r="C2" s="424"/>
      <c r="D2" s="424" t="s">
        <v>10</v>
      </c>
      <c r="E2" s="424"/>
      <c r="F2" s="316"/>
      <c r="G2" s="316"/>
      <c r="H2" s="316"/>
      <c r="I2" s="316"/>
      <c r="J2" s="316"/>
    </row>
    <row r="3" spans="1:10">
      <c r="A3" s="328" t="s">
        <v>1402</v>
      </c>
      <c r="B3" s="327"/>
      <c r="C3" s="327"/>
      <c r="D3" s="327"/>
      <c r="E3" s="327"/>
      <c r="F3" s="316"/>
      <c r="G3" s="316"/>
      <c r="H3" s="316"/>
      <c r="I3" s="316"/>
      <c r="J3" s="316"/>
    </row>
    <row r="4" spans="1:10">
      <c r="A4" s="329" t="s">
        <v>1400</v>
      </c>
      <c r="B4" s="418">
        <f>'#s for Report-State'!I32</f>
        <v>9576.9466763633245</v>
      </c>
      <c r="C4" s="419"/>
      <c r="D4" s="418">
        <f>'#s for Report-Maricopa County'!I12</f>
        <v>9559.6363162758498</v>
      </c>
      <c r="E4" s="419"/>
      <c r="F4" s="316"/>
      <c r="G4" s="316"/>
      <c r="H4" s="316"/>
      <c r="I4" s="316"/>
      <c r="J4" s="316"/>
    </row>
    <row r="5" spans="1:10">
      <c r="A5" s="329" t="s">
        <v>1334</v>
      </c>
      <c r="B5" s="418">
        <f>'#s for Report-State'!I39</f>
        <v>7596.7417670481882</v>
      </c>
      <c r="C5" s="419"/>
      <c r="D5" s="418">
        <f>'#s for Report-Maricopa County'!I18</f>
        <v>7376.2155878704334</v>
      </c>
      <c r="E5" s="419"/>
      <c r="F5" s="316"/>
      <c r="G5" s="316"/>
      <c r="H5" s="316"/>
      <c r="I5" s="316"/>
      <c r="J5" s="316"/>
    </row>
    <row r="6" spans="1:10">
      <c r="A6" s="427" t="s">
        <v>1401</v>
      </c>
      <c r="B6" s="418">
        <f>B4-B5</f>
        <v>1980.2049093151363</v>
      </c>
      <c r="C6" s="419"/>
      <c r="D6" s="418">
        <f>D4-D5</f>
        <v>2183.4207284054164</v>
      </c>
      <c r="E6" s="419"/>
      <c r="F6" s="316"/>
      <c r="G6" s="316"/>
      <c r="H6" s="316"/>
      <c r="I6" s="316"/>
      <c r="J6" s="316"/>
    </row>
    <row r="7" spans="1:10">
      <c r="A7" s="428"/>
      <c r="B7" s="420">
        <f>B6/B4</f>
        <v>0.20676787458809198</v>
      </c>
      <c r="C7" s="421"/>
      <c r="D7" s="420">
        <f>D6/D4</f>
        <v>0.22839997842679566</v>
      </c>
      <c r="E7" s="421"/>
      <c r="F7" s="316"/>
      <c r="G7" s="316"/>
      <c r="H7" s="316"/>
      <c r="I7" s="316"/>
      <c r="J7" s="316"/>
    </row>
    <row r="8" spans="1:10" ht="26.25">
      <c r="A8" s="330" t="s">
        <v>1403</v>
      </c>
      <c r="B8" s="325" t="s">
        <v>1404</v>
      </c>
      <c r="C8" s="325" t="s">
        <v>1334</v>
      </c>
      <c r="D8" s="325" t="s">
        <v>1404</v>
      </c>
      <c r="E8" s="325" t="s">
        <v>1334</v>
      </c>
      <c r="F8" s="316"/>
      <c r="G8" s="316"/>
      <c r="H8" s="316"/>
      <c r="I8" s="316"/>
      <c r="J8" s="316"/>
    </row>
    <row r="9" spans="1:10">
      <c r="A9" s="329" t="s">
        <v>1</v>
      </c>
      <c r="B9" s="326">
        <f>'#s for Report-State'!M32</f>
        <v>1022.1014048707387</v>
      </c>
      <c r="C9" s="326">
        <f>'#s for Report-State'!M39</f>
        <v>657.674054651598</v>
      </c>
      <c r="D9" s="326">
        <f>'#s for Report-Maricopa County'!M12</f>
        <v>770.72819587049196</v>
      </c>
      <c r="E9" s="326">
        <f>'#s for Report-Maricopa County'!M18</f>
        <v>393.02965020179829</v>
      </c>
      <c r="F9" s="316"/>
      <c r="G9" s="316"/>
      <c r="H9" s="316"/>
      <c r="I9" s="316"/>
      <c r="J9" s="316"/>
    </row>
    <row r="10" spans="1:10">
      <c r="A10" s="329" t="s">
        <v>2</v>
      </c>
      <c r="B10" s="326">
        <f>'#s for Report-State'!L32</f>
        <v>4668.6342674918515</v>
      </c>
      <c r="C10" s="326">
        <f>'#s for Report-State'!L39</f>
        <v>6402.4843960289472</v>
      </c>
      <c r="D10" s="326">
        <f>'#s for Report-Maricopa County'!L12</f>
        <v>4452.2663397341967</v>
      </c>
      <c r="E10" s="326">
        <f>'#s for Report-Maricopa County'!L18</f>
        <v>6409.1267734281564</v>
      </c>
      <c r="F10" s="316"/>
      <c r="G10" s="316"/>
      <c r="H10" s="316"/>
      <c r="I10" s="316"/>
      <c r="J10" s="316"/>
    </row>
    <row r="11" spans="1:10">
      <c r="A11" s="329" t="s">
        <v>4</v>
      </c>
      <c r="B11" s="326">
        <f>'#s for Report-State'!J32</f>
        <v>3881.850988455572</v>
      </c>
      <c r="C11" s="326">
        <f>'#s for Report-State'!J39</f>
        <v>522.96060999194844</v>
      </c>
      <c r="D11" s="326">
        <f>'#s for Report-Maricopa County'!J12</f>
        <v>4334.1475567566004</v>
      </c>
      <c r="E11" s="326">
        <f>'#s for Report-Maricopa County'!J18</f>
        <v>565.41195267027376</v>
      </c>
      <c r="F11" s="316"/>
      <c r="G11" s="316"/>
      <c r="H11" s="316"/>
      <c r="I11" s="316"/>
      <c r="J11" s="316"/>
    </row>
    <row r="12" spans="1:10">
      <c r="A12" s="329" t="s">
        <v>1405</v>
      </c>
      <c r="B12" s="326">
        <f>'#s for Report-State'!K32</f>
        <v>4.3600155451633071</v>
      </c>
      <c r="C12" s="326">
        <f>'#s for Report-State'!K39</f>
        <v>13.622706375693971</v>
      </c>
      <c r="D12" s="326">
        <f>'#s for Report-Maricopa County'!K12</f>
        <v>2.4942239145616325</v>
      </c>
      <c r="E12" s="326">
        <f>'#s for Report-Maricopa County'!K18</f>
        <v>8.647211570204874</v>
      </c>
      <c r="F12" s="316"/>
      <c r="G12" s="316"/>
      <c r="H12" s="316"/>
      <c r="I12" s="316"/>
      <c r="J12" s="316"/>
    </row>
    <row r="13" spans="1:10">
      <c r="A13" s="329" t="s">
        <v>1406</v>
      </c>
      <c r="B13" s="326">
        <v>0</v>
      </c>
      <c r="C13" s="326">
        <v>0</v>
      </c>
      <c r="D13" s="326">
        <v>0</v>
      </c>
      <c r="E13" s="326">
        <v>0</v>
      </c>
      <c r="F13" s="316"/>
      <c r="G13" s="316"/>
      <c r="H13" s="316"/>
      <c r="I13" s="316"/>
      <c r="J13" s="316"/>
    </row>
    <row r="14" spans="1:10">
      <c r="A14" s="329" t="s">
        <v>39</v>
      </c>
      <c r="B14" s="326">
        <f>SUM(B9:B13)</f>
        <v>9576.9466763633263</v>
      </c>
      <c r="C14" s="326">
        <f>SUM(C9:C13)</f>
        <v>7596.7417670481873</v>
      </c>
      <c r="D14" s="326">
        <f>SUM(D9:D13)</f>
        <v>9559.6363162758516</v>
      </c>
      <c r="E14" s="326">
        <f>SUM(E9:E13)</f>
        <v>7376.2155878704325</v>
      </c>
      <c r="F14" s="316"/>
      <c r="G14" s="316"/>
      <c r="H14" s="316"/>
      <c r="I14" s="316"/>
      <c r="J14" s="316"/>
    </row>
    <row r="15" spans="1:10">
      <c r="A15" s="328" t="s">
        <v>1407</v>
      </c>
      <c r="B15" s="327"/>
      <c r="C15" s="327"/>
      <c r="D15" s="327"/>
      <c r="E15" s="327"/>
      <c r="F15" s="316"/>
      <c r="G15" s="316"/>
      <c r="H15" s="316"/>
      <c r="I15" s="316"/>
      <c r="J15" s="316"/>
    </row>
    <row r="16" spans="1:10">
      <c r="A16" s="427" t="s">
        <v>1400</v>
      </c>
      <c r="B16" s="425">
        <f>'#s for Report-State'!H31</f>
        <v>934595.52099999995</v>
      </c>
      <c r="C16" s="426"/>
      <c r="D16" s="425">
        <f>'#s for Report-Maricopa County'!H11</f>
        <v>587562.72499999998</v>
      </c>
      <c r="E16" s="426"/>
      <c r="F16" s="316"/>
      <c r="G16" s="316"/>
      <c r="H16" s="316"/>
      <c r="I16" s="316"/>
      <c r="J16" s="316"/>
    </row>
    <row r="17" spans="1:12">
      <c r="A17" s="428"/>
      <c r="B17" s="420">
        <f>B16/(B16+B18)</f>
        <v>0.91285603972375484</v>
      </c>
      <c r="C17" s="421"/>
      <c r="D17" s="420">
        <f>D16/(D16+D18)</f>
        <v>0.90934341647233718</v>
      </c>
      <c r="E17" s="421"/>
      <c r="F17" s="316"/>
      <c r="G17" s="316"/>
      <c r="H17" s="316" t="s">
        <v>1400</v>
      </c>
      <c r="I17" s="316" t="s">
        <v>1334</v>
      </c>
      <c r="J17" s="316" t="s">
        <v>1401</v>
      </c>
    </row>
    <row r="18" spans="1:12">
      <c r="A18" s="427" t="s">
        <v>1334</v>
      </c>
      <c r="B18" s="425">
        <f>'#s for Report-State'!H38</f>
        <v>89219.275999999998</v>
      </c>
      <c r="C18" s="426"/>
      <c r="D18" s="425">
        <f>'#s for Report-Maricopa County'!H17</f>
        <v>58576.802000000003</v>
      </c>
      <c r="E18" s="426"/>
      <c r="F18" s="316"/>
      <c r="G18" s="323" t="s">
        <v>1421</v>
      </c>
      <c r="H18" s="321">
        <f>B4</f>
        <v>9576.9466763633245</v>
      </c>
      <c r="I18" s="321">
        <f>B5</f>
        <v>7596.7417670481882</v>
      </c>
      <c r="J18" s="321">
        <f>B6</f>
        <v>1980.2049093151363</v>
      </c>
    </row>
    <row r="19" spans="1:12">
      <c r="A19" s="428"/>
      <c r="B19" s="420">
        <f>B18/(B16+B18)</f>
        <v>8.7143960276245158E-2</v>
      </c>
      <c r="C19" s="421"/>
      <c r="D19" s="420">
        <f>D18/(D16+D18)</f>
        <v>9.065658352766276E-2</v>
      </c>
      <c r="E19" s="421"/>
      <c r="F19" s="316"/>
      <c r="G19" s="323" t="s">
        <v>10</v>
      </c>
      <c r="H19" s="321">
        <f>D4</f>
        <v>9559.6363162758498</v>
      </c>
      <c r="I19" s="321">
        <f>D5</f>
        <v>7376.2155878704334</v>
      </c>
      <c r="J19" s="321">
        <f>D6</f>
        <v>2183.4207284054164</v>
      </c>
    </row>
    <row r="20" spans="1:12">
      <c r="A20" s="329" t="s">
        <v>1408</v>
      </c>
      <c r="B20" s="422">
        <f>'#s for Report-State'!G38</f>
        <v>448</v>
      </c>
      <c r="C20" s="423"/>
      <c r="D20" s="422">
        <f>'#s for Report-Maricopa County'!G17</f>
        <v>194</v>
      </c>
      <c r="E20" s="423"/>
      <c r="F20" s="316"/>
      <c r="G20" s="323" t="s">
        <v>1398</v>
      </c>
      <c r="H20" s="321">
        <v>0</v>
      </c>
      <c r="I20" s="321">
        <v>0</v>
      </c>
      <c r="J20" s="321">
        <v>0</v>
      </c>
    </row>
    <row r="21" spans="1:12">
      <c r="A21" s="328" t="s">
        <v>6</v>
      </c>
      <c r="B21" s="327"/>
      <c r="C21" s="327"/>
      <c r="D21" s="327"/>
      <c r="E21" s="327"/>
      <c r="F21" s="316"/>
      <c r="G21" s="323" t="s">
        <v>1399</v>
      </c>
      <c r="H21" s="321">
        <v>0</v>
      </c>
      <c r="I21" s="321">
        <v>0</v>
      </c>
      <c r="J21" s="321">
        <v>0</v>
      </c>
    </row>
    <row r="22" spans="1:12">
      <c r="A22" s="427" t="s">
        <v>1400</v>
      </c>
      <c r="B22" s="418">
        <f>'#s for Report-State'!I31</f>
        <v>8950571468.5849991</v>
      </c>
      <c r="C22" s="419"/>
      <c r="D22" s="418">
        <f>'#s for Report-Maricopa County'!I11</f>
        <v>5616885964</v>
      </c>
      <c r="E22" s="419"/>
      <c r="F22" s="316"/>
      <c r="G22" s="316"/>
      <c r="H22" s="316"/>
      <c r="I22" s="316"/>
      <c r="J22" s="316"/>
    </row>
    <row r="23" spans="1:12">
      <c r="A23" s="428"/>
      <c r="B23" s="420">
        <f>B22/B26</f>
        <v>0.92960621574200919</v>
      </c>
      <c r="C23" s="421"/>
      <c r="D23" s="420">
        <f>D22/D26</f>
        <v>0.92857035877733218</v>
      </c>
      <c r="E23" s="421"/>
      <c r="F23" s="316"/>
      <c r="G23" s="316"/>
      <c r="H23" s="316"/>
      <c r="I23" s="316"/>
      <c r="J23" s="316"/>
    </row>
    <row r="24" spans="1:12">
      <c r="A24" s="427" t="s">
        <v>1334</v>
      </c>
      <c r="B24" s="418">
        <f>'#s for Report-State'!I38</f>
        <v>677775800.41499996</v>
      </c>
      <c r="C24" s="419"/>
      <c r="D24" s="418">
        <f>'#s for Report-Maricopa County'!I17</f>
        <v>432075120</v>
      </c>
      <c r="E24" s="419"/>
      <c r="F24" s="316"/>
      <c r="G24" s="316"/>
      <c r="H24" s="316"/>
      <c r="I24" s="316"/>
      <c r="J24" s="316"/>
    </row>
    <row r="25" spans="1:12">
      <c r="A25" s="428"/>
      <c r="B25" s="420">
        <f>B24/B26</f>
        <v>7.0393784257990699E-2</v>
      </c>
      <c r="C25" s="421"/>
      <c r="D25" s="420">
        <f>D24/D26</f>
        <v>7.1429641222667845E-2</v>
      </c>
      <c r="E25" s="421"/>
      <c r="F25" s="316"/>
      <c r="G25" s="316"/>
      <c r="H25" s="316"/>
      <c r="I25" s="316"/>
      <c r="J25" s="316"/>
    </row>
    <row r="26" spans="1:12">
      <c r="A26" s="329" t="s">
        <v>39</v>
      </c>
      <c r="B26" s="418">
        <f>B24+B22</f>
        <v>9628347269</v>
      </c>
      <c r="C26" s="419"/>
      <c r="D26" s="418">
        <f>D24+D22</f>
        <v>6048961084</v>
      </c>
      <c r="E26" s="419"/>
      <c r="F26" s="316"/>
      <c r="G26" s="316"/>
      <c r="H26" s="316"/>
      <c r="I26" s="316"/>
      <c r="J26" s="316"/>
    </row>
    <row r="27" spans="1:12" ht="26.25">
      <c r="A27" s="331" t="s">
        <v>1410</v>
      </c>
      <c r="B27" s="325" t="s">
        <v>1404</v>
      </c>
      <c r="C27" s="325" t="s">
        <v>1334</v>
      </c>
      <c r="D27" s="325" t="s">
        <v>1404</v>
      </c>
      <c r="E27" s="325" t="s">
        <v>1334</v>
      </c>
      <c r="F27" s="316"/>
      <c r="G27" s="316" t="s">
        <v>1409</v>
      </c>
      <c r="H27" s="316"/>
      <c r="I27" s="316"/>
      <c r="J27" s="316"/>
      <c r="K27" s="316"/>
      <c r="L27" s="316"/>
    </row>
    <row r="28" spans="1:12">
      <c r="A28" s="329" t="s">
        <v>1</v>
      </c>
      <c r="B28" s="332">
        <f>'#s for Report-State'!M33</f>
        <v>0.10672518490610033</v>
      </c>
      <c r="C28" s="332">
        <f>'#s for Report-State'!M40</f>
        <v>8.6573175029371272E-2</v>
      </c>
      <c r="D28" s="332">
        <f>'#s for Report-Maricopa County'!M13</f>
        <v>8.0623171255822912E-2</v>
      </c>
      <c r="E28" s="332">
        <f>'#s for Report-Maricopa County'!M19</f>
        <v>5.3283373502274328E-2</v>
      </c>
      <c r="F28" s="316"/>
      <c r="G28" s="316"/>
      <c r="H28" s="316"/>
      <c r="I28" s="316"/>
      <c r="J28" s="316"/>
      <c r="K28" s="316"/>
      <c r="L28" s="316"/>
    </row>
    <row r="29" spans="1:12">
      <c r="A29" s="329" t="s">
        <v>2</v>
      </c>
      <c r="B29" s="332">
        <f>'#s for Report-State'!L33</f>
        <v>0.4874867142170079</v>
      </c>
      <c r="C29" s="332">
        <f>'#s for Report-State'!L40</f>
        <v>0.8427934754608245</v>
      </c>
      <c r="D29" s="332">
        <f>'#s for Report-Maricopa County'!L13</f>
        <v>0.46573595400841222</v>
      </c>
      <c r="E29" s="332">
        <f>'#s for Report-Maricopa County'!L19</f>
        <v>0.86889092341165119</v>
      </c>
      <c r="F29" s="316"/>
      <c r="G29" s="316"/>
      <c r="H29" s="316"/>
      <c r="I29" s="316"/>
      <c r="J29" s="316"/>
      <c r="K29" s="316"/>
      <c r="L29" s="316"/>
    </row>
    <row r="30" spans="1:12">
      <c r="A30" s="329" t="s">
        <v>4</v>
      </c>
      <c r="B30" s="332">
        <f>'#s for Report-State'!J33</f>
        <v>0.40533283933138031</v>
      </c>
      <c r="C30" s="332">
        <f>'#s for Report-State'!J40</f>
        <v>6.8840119360165042E-2</v>
      </c>
      <c r="D30" s="332">
        <f>'#s for Report-Maricopa County'!J13</f>
        <v>0.45337996272697695</v>
      </c>
      <c r="E30" s="332">
        <f>'#s for Report-Maricopa County'!J19</f>
        <v>7.665339304887539E-2</v>
      </c>
      <c r="F30" s="316"/>
      <c r="G30" s="316"/>
      <c r="H30" s="316"/>
      <c r="I30" s="316"/>
      <c r="J30" s="316"/>
      <c r="K30" s="316"/>
      <c r="L30" s="316"/>
    </row>
    <row r="31" spans="1:12">
      <c r="A31" s="329" t="s">
        <v>1405</v>
      </c>
      <c r="B31" s="332">
        <f>'#s for Report-State'!K33</f>
        <v>4.5526154551159574E-4</v>
      </c>
      <c r="C31" s="332">
        <f>'#s for Report-State'!K40</f>
        <v>1.793230149639172E-3</v>
      </c>
      <c r="D31" s="332">
        <f>'#s for Report-Maricopa County'!K13</f>
        <v>2.6091200878793557E-4</v>
      </c>
      <c r="E31" s="332">
        <f>'#s for Report-Maricopa County'!K19</f>
        <v>1.1723100371990871E-3</v>
      </c>
      <c r="F31" s="316"/>
      <c r="G31" s="316"/>
      <c r="H31" s="316"/>
      <c r="I31" s="316"/>
      <c r="J31" s="316"/>
      <c r="K31" s="316"/>
      <c r="L31" s="316"/>
    </row>
    <row r="32" spans="1:12">
      <c r="A32" s="317" t="s">
        <v>1415</v>
      </c>
      <c r="B32" s="318"/>
      <c r="C32" s="318"/>
      <c r="D32" s="318"/>
      <c r="E32" s="318"/>
      <c r="F32" s="316"/>
      <c r="G32" s="316"/>
      <c r="H32" s="316"/>
      <c r="I32" s="316"/>
      <c r="J32" s="316"/>
      <c r="K32" s="316"/>
      <c r="L32" s="316"/>
    </row>
    <row r="33" spans="1:12">
      <c r="A33" s="320"/>
      <c r="B33" s="416">
        <f>'#s for Report-State'!I52</f>
        <v>-1850690638.908139</v>
      </c>
      <c r="C33" s="417"/>
      <c r="D33" s="416">
        <f>'#s for Report-Maricopa County'!I31</f>
        <v>-1282896633.0033712</v>
      </c>
      <c r="E33" s="417"/>
      <c r="F33" s="316"/>
      <c r="G33" s="316"/>
      <c r="H33" s="316"/>
      <c r="I33" s="316"/>
      <c r="J33" s="316"/>
      <c r="K33" s="316"/>
      <c r="L33" s="316"/>
    </row>
    <row r="34" spans="1:12">
      <c r="A34" s="316"/>
      <c r="B34" s="316"/>
      <c r="C34" s="316"/>
      <c r="D34" s="316"/>
      <c r="E34" s="316"/>
      <c r="F34" s="316"/>
      <c r="G34" s="316"/>
      <c r="H34" s="316"/>
      <c r="I34" s="316"/>
      <c r="J34" s="316"/>
      <c r="K34" s="316"/>
      <c r="L34" s="316"/>
    </row>
    <row r="35" spans="1:12">
      <c r="A35" s="316"/>
      <c r="B35" s="324">
        <f>SUM(B28:B31)</f>
        <v>1.0000000000000002</v>
      </c>
      <c r="C35" s="324">
        <f>SUM(C28:C31)</f>
        <v>0.99999999999999989</v>
      </c>
      <c r="D35" s="324">
        <f>SUM(D28:D31)</f>
        <v>1</v>
      </c>
      <c r="E35" s="324">
        <f>SUM(E28:E31)</f>
        <v>1</v>
      </c>
      <c r="F35" s="316"/>
      <c r="G35" s="316"/>
      <c r="H35" s="316"/>
      <c r="I35" s="316"/>
      <c r="J35" s="316"/>
      <c r="K35" s="316"/>
      <c r="L35" s="316"/>
    </row>
    <row r="36" spans="1:12">
      <c r="G36" s="316"/>
      <c r="H36" s="316"/>
      <c r="I36" s="316"/>
      <c r="J36" s="316"/>
      <c r="K36" s="316"/>
      <c r="L36" s="316"/>
    </row>
    <row r="37" spans="1:12">
      <c r="G37" s="316"/>
      <c r="H37" s="316"/>
      <c r="I37" s="316"/>
      <c r="J37" s="316"/>
      <c r="K37" s="316"/>
      <c r="L37" s="316"/>
    </row>
    <row r="38" spans="1:12">
      <c r="G38" s="316"/>
      <c r="H38" s="316"/>
      <c r="I38" s="316"/>
      <c r="J38" s="316"/>
      <c r="K38" s="316"/>
      <c r="L38" s="316"/>
    </row>
    <row r="39" spans="1:12">
      <c r="G39" s="316"/>
      <c r="H39" s="316"/>
      <c r="I39" s="316"/>
      <c r="J39" s="316"/>
      <c r="K39" s="316"/>
      <c r="L39" s="316"/>
    </row>
    <row r="40" spans="1:12">
      <c r="G40" s="316"/>
      <c r="H40" s="316"/>
      <c r="I40" s="316"/>
      <c r="J40" s="316"/>
      <c r="K40" s="316"/>
      <c r="L40" s="316"/>
    </row>
    <row r="41" spans="1:12">
      <c r="G41" s="316"/>
      <c r="H41" s="316"/>
      <c r="I41" s="316"/>
      <c r="J41" s="316"/>
      <c r="K41" s="316"/>
      <c r="L41" s="316"/>
    </row>
    <row r="42" spans="1:12">
      <c r="G42" s="316"/>
      <c r="H42" s="316"/>
      <c r="I42" s="316"/>
      <c r="J42" s="316"/>
      <c r="K42" s="316"/>
      <c r="L42" s="316"/>
    </row>
    <row r="43" spans="1:12">
      <c r="G43" s="316"/>
      <c r="H43" s="316"/>
      <c r="I43" s="316"/>
      <c r="J43" s="316"/>
      <c r="K43" s="316"/>
      <c r="L43" s="316"/>
    </row>
    <row r="44" spans="1:12">
      <c r="G44" s="316"/>
      <c r="H44" s="316"/>
      <c r="I44" s="316"/>
      <c r="J44" s="316"/>
      <c r="K44" s="316"/>
      <c r="L44" s="316"/>
    </row>
    <row r="45" spans="1:12">
      <c r="G45" s="316"/>
      <c r="H45" s="316"/>
      <c r="I45" s="316"/>
      <c r="J45" s="316"/>
      <c r="K45" s="316"/>
      <c r="L45" s="316"/>
    </row>
    <row r="46" spans="1:12">
      <c r="G46" s="316"/>
      <c r="H46" s="316"/>
      <c r="I46" s="316"/>
      <c r="J46" s="316"/>
      <c r="K46" s="316"/>
      <c r="L46" s="316"/>
    </row>
    <row r="47" spans="1:12">
      <c r="G47" s="316"/>
      <c r="H47" s="316"/>
      <c r="I47" s="316"/>
      <c r="J47" s="316"/>
      <c r="K47" s="316"/>
      <c r="L47" s="316"/>
    </row>
    <row r="48" spans="1:12">
      <c r="G48" s="316"/>
      <c r="H48" s="322" t="s">
        <v>1411</v>
      </c>
      <c r="I48" s="322" t="s">
        <v>2</v>
      </c>
      <c r="J48" s="322" t="s">
        <v>4</v>
      </c>
      <c r="K48" s="322" t="s">
        <v>1412</v>
      </c>
      <c r="L48" s="322" t="s">
        <v>1406</v>
      </c>
    </row>
    <row r="49" spans="7:12">
      <c r="G49" s="316" t="s">
        <v>1413</v>
      </c>
      <c r="H49" s="321">
        <f>B9</f>
        <v>1022.1014048707387</v>
      </c>
      <c r="I49" s="321">
        <f>B10</f>
        <v>4668.6342674918515</v>
      </c>
      <c r="J49" s="321">
        <f>B11</f>
        <v>3881.850988455572</v>
      </c>
      <c r="K49" s="321">
        <f>B12</f>
        <v>4.3600155451633071</v>
      </c>
      <c r="L49" s="321">
        <v>0</v>
      </c>
    </row>
    <row r="50" spans="7:12">
      <c r="G50" s="316" t="s">
        <v>1414</v>
      </c>
      <c r="H50" s="321">
        <f>C9</f>
        <v>657.674054651598</v>
      </c>
      <c r="I50" s="321">
        <f>C10</f>
        <v>6402.4843960289472</v>
      </c>
      <c r="J50" s="321">
        <f>C11</f>
        <v>522.96060999194844</v>
      </c>
      <c r="K50" s="321">
        <f>C12</f>
        <v>13.622706375693971</v>
      </c>
      <c r="L50" s="321">
        <v>0</v>
      </c>
    </row>
    <row r="51" spans="7:12">
      <c r="G51" s="316" t="s">
        <v>1422</v>
      </c>
      <c r="H51" s="321">
        <f>D9</f>
        <v>770.72819587049196</v>
      </c>
      <c r="I51" s="321">
        <f>D10</f>
        <v>4452.2663397341967</v>
      </c>
      <c r="J51" s="321">
        <f>D11</f>
        <v>4334.1475567566004</v>
      </c>
      <c r="K51" s="321">
        <f>D12</f>
        <v>2.4942239145616325</v>
      </c>
      <c r="L51" s="321">
        <v>0</v>
      </c>
    </row>
    <row r="52" spans="7:12">
      <c r="G52" s="316" t="s">
        <v>1423</v>
      </c>
      <c r="H52" s="321">
        <f>E9</f>
        <v>393.02965020179829</v>
      </c>
      <c r="I52" s="321">
        <f>E10</f>
        <v>6409.1267734281564</v>
      </c>
      <c r="J52" s="321">
        <f>E11</f>
        <v>565.41195267027376</v>
      </c>
      <c r="K52" s="321">
        <f>E12</f>
        <v>8.647211570204874</v>
      </c>
      <c r="L52" s="321">
        <v>0</v>
      </c>
    </row>
    <row r="53" spans="7:12">
      <c r="G53" s="316" t="s">
        <v>1416</v>
      </c>
      <c r="H53" s="321">
        <v>0</v>
      </c>
      <c r="I53" s="321">
        <v>0</v>
      </c>
      <c r="J53" s="321">
        <v>0</v>
      </c>
      <c r="K53" s="321">
        <v>0</v>
      </c>
      <c r="L53" s="321">
        <v>0</v>
      </c>
    </row>
    <row r="54" spans="7:12">
      <c r="G54" s="316" t="s">
        <v>1417</v>
      </c>
      <c r="H54" s="321">
        <v>0</v>
      </c>
      <c r="I54" s="321">
        <v>0</v>
      </c>
      <c r="J54" s="321">
        <v>0</v>
      </c>
      <c r="K54" s="321">
        <v>0</v>
      </c>
      <c r="L54" s="321">
        <v>0</v>
      </c>
    </row>
    <row r="55" spans="7:12">
      <c r="G55" s="316" t="s">
        <v>1418</v>
      </c>
      <c r="H55" s="321">
        <v>0</v>
      </c>
      <c r="I55" s="321">
        <v>0</v>
      </c>
      <c r="J55" s="321">
        <v>0</v>
      </c>
      <c r="K55" s="321">
        <v>0</v>
      </c>
      <c r="L55" s="321">
        <v>0</v>
      </c>
    </row>
    <row r="56" spans="7:12">
      <c r="G56" s="316" t="s">
        <v>1419</v>
      </c>
      <c r="H56" s="321">
        <v>0</v>
      </c>
      <c r="I56" s="321">
        <v>0</v>
      </c>
      <c r="J56" s="321">
        <v>0</v>
      </c>
      <c r="K56" s="321">
        <v>0</v>
      </c>
      <c r="L56" s="321">
        <v>0</v>
      </c>
    </row>
  </sheetData>
  <mergeCells count="37">
    <mergeCell ref="A24:A25"/>
    <mergeCell ref="B24:C24"/>
    <mergeCell ref="D24:E24"/>
    <mergeCell ref="A22:A23"/>
    <mergeCell ref="B22:C22"/>
    <mergeCell ref="D22:E22"/>
    <mergeCell ref="B23:C23"/>
    <mergeCell ref="D23:E23"/>
    <mergeCell ref="A6:A7"/>
    <mergeCell ref="A16:A17"/>
    <mergeCell ref="D16:E16"/>
    <mergeCell ref="A18:A19"/>
    <mergeCell ref="B16:C16"/>
    <mergeCell ref="B17:C17"/>
    <mergeCell ref="D18:E18"/>
    <mergeCell ref="D19:E19"/>
    <mergeCell ref="B19:C19"/>
    <mergeCell ref="B2:C2"/>
    <mergeCell ref="D2:E2"/>
    <mergeCell ref="B4:C4"/>
    <mergeCell ref="B5:C5"/>
    <mergeCell ref="B18:C18"/>
    <mergeCell ref="D17:E17"/>
    <mergeCell ref="B6:C6"/>
    <mergeCell ref="B7:C7"/>
    <mergeCell ref="B33:C33"/>
    <mergeCell ref="D33:E33"/>
    <mergeCell ref="D4:E4"/>
    <mergeCell ref="D5:E5"/>
    <mergeCell ref="D6:E6"/>
    <mergeCell ref="D7:E7"/>
    <mergeCell ref="B20:C20"/>
    <mergeCell ref="D20:E20"/>
    <mergeCell ref="D25:E25"/>
    <mergeCell ref="B25:C25"/>
    <mergeCell ref="B26:C26"/>
    <mergeCell ref="D26:E26"/>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dimension ref="A1:N56"/>
  <sheetViews>
    <sheetView workbookViewId="0"/>
  </sheetViews>
  <sheetFormatPr defaultRowHeight="15"/>
  <cols>
    <col min="1" max="1" width="18.85546875" customWidth="1"/>
    <col min="2" max="3" width="13.140625" customWidth="1"/>
    <col min="4" max="5" width="10.5703125" customWidth="1"/>
    <col min="6" max="7" width="13.140625" customWidth="1"/>
    <col min="9" max="9" width="19.28515625" customWidth="1"/>
  </cols>
  <sheetData>
    <row r="1" spans="1:12">
      <c r="A1" s="316" t="s">
        <v>1395</v>
      </c>
      <c r="B1" s="316"/>
      <c r="C1" s="316"/>
      <c r="D1" s="316"/>
      <c r="E1" s="316"/>
      <c r="F1" s="316"/>
      <c r="G1" s="316"/>
      <c r="H1" s="316"/>
      <c r="I1" s="316" t="s">
        <v>1396</v>
      </c>
      <c r="J1" s="316"/>
      <c r="K1" s="316"/>
      <c r="L1" s="316"/>
    </row>
    <row r="2" spans="1:12" ht="26.25">
      <c r="A2" s="319" t="s">
        <v>1420</v>
      </c>
      <c r="B2" s="424" t="s">
        <v>1397</v>
      </c>
      <c r="C2" s="424"/>
      <c r="D2" s="444" t="s">
        <v>1432</v>
      </c>
      <c r="E2" s="445"/>
      <c r="F2" s="424" t="s">
        <v>10</v>
      </c>
      <c r="G2" s="424"/>
      <c r="H2" s="316"/>
      <c r="I2" s="316"/>
      <c r="J2" s="316"/>
      <c r="K2" s="316"/>
      <c r="L2" s="316"/>
    </row>
    <row r="3" spans="1:12">
      <c r="A3" s="328" t="s">
        <v>1402</v>
      </c>
      <c r="B3" s="327"/>
      <c r="C3" s="327"/>
      <c r="D3" s="338"/>
      <c r="E3" s="338"/>
      <c r="F3" s="327"/>
      <c r="G3" s="339"/>
      <c r="H3" s="316"/>
      <c r="I3" s="316"/>
      <c r="J3" s="316"/>
      <c r="K3" s="316"/>
      <c r="L3" s="316"/>
    </row>
    <row r="4" spans="1:12">
      <c r="A4" s="329" t="s">
        <v>1400</v>
      </c>
      <c r="B4" s="418">
        <f>'[1]#s for Report-State'!I32</f>
        <v>9576.9466763633245</v>
      </c>
      <c r="C4" s="419"/>
      <c r="D4" s="431">
        <v>9576</v>
      </c>
      <c r="E4" s="432"/>
      <c r="F4" s="418">
        <f>'[1]#s for Report-Maricopa County'!I12</f>
        <v>9559.6363162758498</v>
      </c>
      <c r="G4" s="419"/>
      <c r="H4" s="316"/>
      <c r="I4" s="316"/>
      <c r="J4" s="316"/>
      <c r="K4" s="316"/>
      <c r="L4" s="316"/>
    </row>
    <row r="5" spans="1:12">
      <c r="A5" s="329" t="s">
        <v>1334</v>
      </c>
      <c r="B5" s="418">
        <f>'[1]#s for Report-State'!I39</f>
        <v>7596.7417670481882</v>
      </c>
      <c r="C5" s="419"/>
      <c r="D5" s="431">
        <v>7597</v>
      </c>
      <c r="E5" s="432"/>
      <c r="F5" s="418">
        <f>'[1]#s for Report-Maricopa County'!I18</f>
        <v>7376.2155878704334</v>
      </c>
      <c r="G5" s="419"/>
      <c r="H5" s="316"/>
      <c r="I5" s="316"/>
      <c r="J5" s="316"/>
      <c r="K5" s="316"/>
      <c r="L5" s="316"/>
    </row>
    <row r="6" spans="1:12">
      <c r="A6" s="427" t="s">
        <v>1401</v>
      </c>
      <c r="B6" s="418">
        <f>B4-B5</f>
        <v>1980.2049093151363</v>
      </c>
      <c r="C6" s="419"/>
      <c r="D6" s="431">
        <v>1979</v>
      </c>
      <c r="E6" s="432"/>
      <c r="F6" s="418">
        <f>F4-F5</f>
        <v>2183.4207284054164</v>
      </c>
      <c r="G6" s="419"/>
      <c r="H6" s="316"/>
      <c r="I6" s="316"/>
      <c r="J6" s="316"/>
      <c r="K6" s="316"/>
      <c r="L6" s="316"/>
    </row>
    <row r="7" spans="1:12">
      <c r="A7" s="428"/>
      <c r="B7" s="420">
        <f>B6/B4</f>
        <v>0.20676787458809198</v>
      </c>
      <c r="C7" s="421"/>
      <c r="D7" s="442">
        <v>0.20699999999999999</v>
      </c>
      <c r="E7" s="443"/>
      <c r="F7" s="420">
        <f>F6/F4</f>
        <v>0.22839997842679566</v>
      </c>
      <c r="G7" s="421"/>
      <c r="H7" s="316"/>
      <c r="I7" s="316"/>
      <c r="J7" s="316"/>
      <c r="K7" s="316"/>
      <c r="L7" s="316"/>
    </row>
    <row r="8" spans="1:12" ht="26.25">
      <c r="A8" s="330" t="s">
        <v>1403</v>
      </c>
      <c r="B8" s="325" t="s">
        <v>1404</v>
      </c>
      <c r="C8" s="325" t="s">
        <v>1334</v>
      </c>
      <c r="D8" s="340" t="s">
        <v>1404</v>
      </c>
      <c r="E8" s="340" t="s">
        <v>1334</v>
      </c>
      <c r="F8" s="325" t="s">
        <v>1404</v>
      </c>
      <c r="G8" s="325" t="s">
        <v>1334</v>
      </c>
      <c r="H8" s="316"/>
      <c r="I8" s="316"/>
      <c r="J8" s="316"/>
      <c r="K8" s="316"/>
      <c r="L8" s="316"/>
    </row>
    <row r="9" spans="1:12">
      <c r="A9" s="329" t="s">
        <v>1</v>
      </c>
      <c r="B9" s="326">
        <f>'[1]#s for Report-State'!M32</f>
        <v>1022.1014048707387</v>
      </c>
      <c r="C9" s="326">
        <f>'[1]#s for Report-State'!M39</f>
        <v>657.674054651598</v>
      </c>
      <c r="D9" s="341">
        <f>1003</f>
        <v>1003</v>
      </c>
      <c r="E9" s="341">
        <f t="shared" ref="E9:E14" si="0">C9</f>
        <v>657.674054651598</v>
      </c>
      <c r="F9" s="326">
        <f>'[1]#s for Report-Maricopa County'!M12</f>
        <v>770.72819587049196</v>
      </c>
      <c r="G9" s="326">
        <f>'[1]#s for Report-Maricopa County'!M18</f>
        <v>393.02965020179829</v>
      </c>
      <c r="H9" s="316"/>
      <c r="I9" s="316"/>
      <c r="J9" s="316"/>
      <c r="K9" s="316"/>
      <c r="L9" s="316"/>
    </row>
    <row r="10" spans="1:12">
      <c r="A10" s="329" t="s">
        <v>2</v>
      </c>
      <c r="B10" s="326">
        <f>'[1]#s for Report-State'!L32</f>
        <v>4668.6342674918515</v>
      </c>
      <c r="C10" s="326">
        <f>'[1]#s for Report-State'!L39</f>
        <v>6402.4843960289472</v>
      </c>
      <c r="D10" s="341">
        <v>4653</v>
      </c>
      <c r="E10" s="341">
        <f t="shared" si="0"/>
        <v>6402.4843960289472</v>
      </c>
      <c r="F10" s="326">
        <f>'[1]#s for Report-Maricopa County'!L12</f>
        <v>4452.2663397341967</v>
      </c>
      <c r="G10" s="326">
        <f>'[1]#s for Report-Maricopa County'!L18</f>
        <v>6409.1267734281564</v>
      </c>
      <c r="H10" s="316"/>
      <c r="I10" s="316"/>
      <c r="J10" s="316"/>
      <c r="K10" s="316"/>
      <c r="L10" s="316"/>
    </row>
    <row r="11" spans="1:12">
      <c r="A11" s="329" t="s">
        <v>4</v>
      </c>
      <c r="B11" s="326">
        <f>'[1]#s for Report-State'!J32</f>
        <v>3881.850988455572</v>
      </c>
      <c r="C11" s="326">
        <f>'[1]#s for Report-State'!J39</f>
        <v>522.96060999194844</v>
      </c>
      <c r="D11" s="341">
        <v>3916</v>
      </c>
      <c r="E11" s="341">
        <f t="shared" si="0"/>
        <v>522.96060999194844</v>
      </c>
      <c r="F11" s="326">
        <f>'[1]#s for Report-Maricopa County'!J12</f>
        <v>4334.1475567566004</v>
      </c>
      <c r="G11" s="326">
        <f>'[1]#s for Report-Maricopa County'!J18</f>
        <v>565.41195267027376</v>
      </c>
      <c r="H11" s="316"/>
      <c r="I11" s="316"/>
      <c r="J11" s="316"/>
      <c r="K11" s="316"/>
      <c r="L11" s="316"/>
    </row>
    <row r="12" spans="1:12">
      <c r="A12" s="329" t="s">
        <v>1405</v>
      </c>
      <c r="B12" s="326">
        <f>'[1]#s for Report-State'!K32</f>
        <v>4.3600155451633071</v>
      </c>
      <c r="C12" s="326">
        <f>'[1]#s for Report-State'!K39</f>
        <v>13.622706375693971</v>
      </c>
      <c r="D12" s="341">
        <v>4</v>
      </c>
      <c r="E12" s="341">
        <f t="shared" si="0"/>
        <v>13.622706375693971</v>
      </c>
      <c r="F12" s="326">
        <f>'[1]#s for Report-Maricopa County'!K12</f>
        <v>2.4942239145616325</v>
      </c>
      <c r="G12" s="326">
        <f>'[1]#s for Report-Maricopa County'!K18</f>
        <v>8.647211570204874</v>
      </c>
      <c r="H12" s="316"/>
      <c r="I12" s="316"/>
      <c r="J12" s="316"/>
      <c r="K12" s="316"/>
      <c r="L12" s="316"/>
    </row>
    <row r="13" spans="1:12">
      <c r="A13" s="329" t="s">
        <v>1406</v>
      </c>
      <c r="B13" s="326">
        <v>0</v>
      </c>
      <c r="C13" s="326">
        <v>0</v>
      </c>
      <c r="D13" s="341">
        <v>0</v>
      </c>
      <c r="E13" s="341">
        <f t="shared" si="0"/>
        <v>0</v>
      </c>
      <c r="F13" s="326">
        <v>0</v>
      </c>
      <c r="G13" s="326">
        <v>0</v>
      </c>
      <c r="H13" s="316"/>
      <c r="I13" s="316"/>
      <c r="J13" s="316"/>
      <c r="K13" s="316"/>
      <c r="L13" s="316"/>
    </row>
    <row r="14" spans="1:12">
      <c r="A14" s="329" t="s">
        <v>39</v>
      </c>
      <c r="B14" s="326">
        <f>SUM(B9:B13)</f>
        <v>9576.9466763633263</v>
      </c>
      <c r="C14" s="326">
        <f>SUM(C9:C13)</f>
        <v>7596.7417670481873</v>
      </c>
      <c r="D14" s="341">
        <f>D4</f>
        <v>9576</v>
      </c>
      <c r="E14" s="341">
        <f t="shared" si="0"/>
        <v>7596.7417670481873</v>
      </c>
      <c r="F14" s="326">
        <f>SUM(F9:F13)</f>
        <v>9559.6363162758516</v>
      </c>
      <c r="G14" s="326">
        <f>SUM(G9:G13)</f>
        <v>7376.2155878704325</v>
      </c>
      <c r="H14" s="316"/>
      <c r="I14" s="316"/>
      <c r="J14" s="316"/>
      <c r="K14" s="316"/>
      <c r="L14" s="316"/>
    </row>
    <row r="15" spans="1:12">
      <c r="A15" s="328" t="s">
        <v>1407</v>
      </c>
      <c r="B15" s="327"/>
      <c r="C15" s="327"/>
      <c r="D15" s="338"/>
      <c r="E15" s="338"/>
      <c r="F15" s="327"/>
      <c r="G15" s="339"/>
      <c r="H15" s="316"/>
      <c r="I15" s="316"/>
      <c r="J15" s="316"/>
      <c r="K15" s="316"/>
      <c r="L15" s="316"/>
    </row>
    <row r="16" spans="1:12">
      <c r="A16" s="427" t="s">
        <v>1400</v>
      </c>
      <c r="B16" s="425">
        <f>'[1]#s for Report-State'!H31</f>
        <v>934595.52099999995</v>
      </c>
      <c r="C16" s="426"/>
      <c r="D16" s="438" t="s">
        <v>1433</v>
      </c>
      <c r="E16" s="439"/>
      <c r="F16" s="425">
        <f>'[1]#s for Report-Maricopa County'!H11</f>
        <v>587562.72499999998</v>
      </c>
      <c r="G16" s="426"/>
      <c r="H16" s="316"/>
      <c r="I16" s="316"/>
      <c r="J16" s="316"/>
      <c r="K16" s="316"/>
      <c r="L16" s="316"/>
    </row>
    <row r="17" spans="1:14">
      <c r="A17" s="428"/>
      <c r="B17" s="420">
        <f>B16/(B16+B18)</f>
        <v>0.91285603972375484</v>
      </c>
      <c r="C17" s="421"/>
      <c r="D17" s="438" t="s">
        <v>1433</v>
      </c>
      <c r="E17" s="439"/>
      <c r="F17" s="420">
        <f>F16/(F16+F18)</f>
        <v>0.90934341647233718</v>
      </c>
      <c r="G17" s="421"/>
      <c r="H17" s="316"/>
      <c r="I17" s="316"/>
      <c r="J17" s="316" t="s">
        <v>1400</v>
      </c>
      <c r="K17" s="316" t="s">
        <v>1334</v>
      </c>
      <c r="L17" s="316" t="s">
        <v>1401</v>
      </c>
    </row>
    <row r="18" spans="1:14">
      <c r="A18" s="427" t="s">
        <v>1334</v>
      </c>
      <c r="B18" s="425">
        <f>'[1]#s for Report-State'!H38</f>
        <v>89219.275999999998</v>
      </c>
      <c r="C18" s="426"/>
      <c r="D18" s="438" t="s">
        <v>1433</v>
      </c>
      <c r="E18" s="439"/>
      <c r="F18" s="425">
        <f>'[1]#s for Report-Maricopa County'!H17</f>
        <v>58576.802000000003</v>
      </c>
      <c r="G18" s="426"/>
      <c r="H18" s="316"/>
      <c r="I18" s="323" t="s">
        <v>1421</v>
      </c>
      <c r="J18" s="321">
        <f>B4</f>
        <v>9576.9466763633245</v>
      </c>
      <c r="K18" s="321">
        <f>B5</f>
        <v>7596.7417670481882</v>
      </c>
      <c r="L18" s="321">
        <f>B6</f>
        <v>1980.2049093151363</v>
      </c>
    </row>
    <row r="19" spans="1:14" ht="12.75" customHeight="1">
      <c r="A19" s="428"/>
      <c r="B19" s="420">
        <f>B18/(B16+B18)</f>
        <v>8.7143960276245158E-2</v>
      </c>
      <c r="C19" s="421"/>
      <c r="D19" s="440" t="s">
        <v>1433</v>
      </c>
      <c r="E19" s="441"/>
      <c r="F19" s="420">
        <f>F18/(F16+F18)</f>
        <v>9.065658352766276E-2</v>
      </c>
      <c r="G19" s="421"/>
      <c r="H19" s="316"/>
      <c r="I19" s="342" t="s">
        <v>1434</v>
      </c>
      <c r="J19" s="343">
        <f>D4</f>
        <v>9576</v>
      </c>
      <c r="K19" s="343">
        <f>D5</f>
        <v>7597</v>
      </c>
      <c r="L19" s="343">
        <f>D6</f>
        <v>1979</v>
      </c>
    </row>
    <row r="20" spans="1:14" ht="12.75" customHeight="1">
      <c r="A20" s="329" t="s">
        <v>1408</v>
      </c>
      <c r="B20" s="422">
        <f>'[1]#s for Report-State'!G38</f>
        <v>448</v>
      </c>
      <c r="C20" s="423"/>
      <c r="D20" s="438" t="s">
        <v>1433</v>
      </c>
      <c r="E20" s="439"/>
      <c r="F20" s="422">
        <f>'[1]#s for Report-Maricopa County'!G17</f>
        <v>194</v>
      </c>
      <c r="G20" s="423"/>
      <c r="H20" s="316"/>
      <c r="I20" s="342" t="s">
        <v>1435</v>
      </c>
      <c r="J20" s="321">
        <f>F4</f>
        <v>9559.6363162758498</v>
      </c>
      <c r="K20" s="321">
        <f>F5</f>
        <v>7376.2155878704334</v>
      </c>
      <c r="L20" s="321">
        <f>F6</f>
        <v>2183.4207284054164</v>
      </c>
    </row>
    <row r="21" spans="1:14">
      <c r="A21" s="328" t="s">
        <v>6</v>
      </c>
      <c r="B21" s="327"/>
      <c r="C21" s="327"/>
      <c r="D21" s="338"/>
      <c r="E21" s="338"/>
      <c r="F21" s="327"/>
      <c r="G21" s="339"/>
      <c r="H21" s="316"/>
      <c r="I21" s="323" t="s">
        <v>1399</v>
      </c>
      <c r="J21" s="321">
        <v>0</v>
      </c>
      <c r="K21" s="321">
        <v>0</v>
      </c>
      <c r="L21" s="321">
        <v>0</v>
      </c>
    </row>
    <row r="22" spans="1:14">
      <c r="A22" s="427" t="s">
        <v>1400</v>
      </c>
      <c r="B22" s="418">
        <f>'[1]#s for Report-State'!I31</f>
        <v>8950571468.5849991</v>
      </c>
      <c r="C22" s="419"/>
      <c r="D22" s="431" t="s">
        <v>1433</v>
      </c>
      <c r="E22" s="432"/>
      <c r="F22" s="418">
        <f>'[1]#s for Report-Maricopa County'!I11</f>
        <v>5616885964</v>
      </c>
      <c r="G22" s="419"/>
      <c r="H22" s="316"/>
      <c r="I22" s="316"/>
      <c r="J22" s="316"/>
      <c r="K22" s="316"/>
      <c r="L22" s="316"/>
    </row>
    <row r="23" spans="1:14">
      <c r="A23" s="428"/>
      <c r="B23" s="420">
        <f>B22/B26</f>
        <v>0.92960621574200919</v>
      </c>
      <c r="C23" s="421"/>
      <c r="D23" s="431" t="s">
        <v>1433</v>
      </c>
      <c r="E23" s="432"/>
      <c r="F23" s="420">
        <f>F22/F26</f>
        <v>0.92857035877733218</v>
      </c>
      <c r="G23" s="421"/>
      <c r="H23" s="316"/>
      <c r="I23" s="316"/>
      <c r="J23" s="316"/>
      <c r="K23" s="316"/>
      <c r="L23" s="316"/>
    </row>
    <row r="24" spans="1:14">
      <c r="A24" s="427" t="s">
        <v>1334</v>
      </c>
      <c r="B24" s="418">
        <f>'[1]#s for Report-State'!I38</f>
        <v>677775800.41499996</v>
      </c>
      <c r="C24" s="419"/>
      <c r="D24" s="431" t="s">
        <v>1433</v>
      </c>
      <c r="E24" s="432"/>
      <c r="F24" s="418">
        <f>'[1]#s for Report-Maricopa County'!I17</f>
        <v>432075120</v>
      </c>
      <c r="G24" s="419"/>
      <c r="H24" s="316"/>
      <c r="I24" s="316"/>
      <c r="J24" s="316"/>
      <c r="K24" s="316"/>
      <c r="L24" s="316"/>
    </row>
    <row r="25" spans="1:14">
      <c r="A25" s="428"/>
      <c r="B25" s="420">
        <f>B24/B26</f>
        <v>7.0393784257990699E-2</v>
      </c>
      <c r="C25" s="421"/>
      <c r="D25" s="431" t="s">
        <v>1433</v>
      </c>
      <c r="E25" s="432"/>
      <c r="F25" s="420">
        <f>F24/F26</f>
        <v>7.1429641222667845E-2</v>
      </c>
      <c r="G25" s="421"/>
      <c r="H25" s="316"/>
      <c r="I25" s="316"/>
      <c r="J25" s="316"/>
      <c r="K25" s="316"/>
      <c r="L25" s="316"/>
    </row>
    <row r="26" spans="1:14">
      <c r="A26" s="329" t="s">
        <v>39</v>
      </c>
      <c r="B26" s="418">
        <f>B24+B22</f>
        <v>9628347269</v>
      </c>
      <c r="C26" s="419"/>
      <c r="D26" s="431" t="s">
        <v>1433</v>
      </c>
      <c r="E26" s="432"/>
      <c r="F26" s="418">
        <f>F24+F22</f>
        <v>6048961084</v>
      </c>
      <c r="G26" s="419"/>
      <c r="H26" s="316"/>
      <c r="I26" s="316"/>
      <c r="J26" s="316"/>
      <c r="K26" s="316"/>
      <c r="L26" s="316"/>
    </row>
    <row r="27" spans="1:14" ht="26.25">
      <c r="A27" s="331" t="s">
        <v>1410</v>
      </c>
      <c r="B27" s="325" t="s">
        <v>1404</v>
      </c>
      <c r="C27" s="325" t="s">
        <v>1334</v>
      </c>
      <c r="D27" s="340" t="s">
        <v>1404</v>
      </c>
      <c r="E27" s="340" t="s">
        <v>1334</v>
      </c>
      <c r="F27" s="325" t="s">
        <v>1404</v>
      </c>
      <c r="G27" s="325" t="s">
        <v>1334</v>
      </c>
      <c r="H27" s="316"/>
      <c r="I27" s="316" t="s">
        <v>1409</v>
      </c>
      <c r="J27" s="316"/>
      <c r="K27" s="316"/>
      <c r="L27" s="316"/>
      <c r="M27" s="316"/>
      <c r="N27" s="316"/>
    </row>
    <row r="28" spans="1:14">
      <c r="A28" s="329" t="s">
        <v>1</v>
      </c>
      <c r="B28" s="332">
        <f>'[1]#s for Report-State'!M33</f>
        <v>0.10672518490610033</v>
      </c>
      <c r="C28" s="332">
        <f>'[1]#s for Report-State'!M40</f>
        <v>8.6573175029371272E-2</v>
      </c>
      <c r="D28" s="344">
        <f>D9/$D$14</f>
        <v>0.10474101921470343</v>
      </c>
      <c r="E28" s="344">
        <f>C28</f>
        <v>8.6573175029371272E-2</v>
      </c>
      <c r="F28" s="332">
        <f>'[1]#s for Report-Maricopa County'!M13</f>
        <v>8.0623171255822912E-2</v>
      </c>
      <c r="G28" s="332">
        <f>'[1]#s for Report-Maricopa County'!M19</f>
        <v>5.3283373502274328E-2</v>
      </c>
      <c r="H28" s="316"/>
      <c r="I28" s="316"/>
      <c r="J28" s="316"/>
      <c r="K28" s="316"/>
      <c r="L28" s="316"/>
      <c r="M28" s="316"/>
      <c r="N28" s="316"/>
    </row>
    <row r="29" spans="1:14">
      <c r="A29" s="329" t="s">
        <v>2</v>
      </c>
      <c r="B29" s="332">
        <f>'[1]#s for Report-State'!L33</f>
        <v>0.4874867142170079</v>
      </c>
      <c r="C29" s="332">
        <f>'[1]#s for Report-State'!L40</f>
        <v>0.8427934754608245</v>
      </c>
      <c r="D29" s="344">
        <f>D10/$D$14</f>
        <v>0.48590225563909772</v>
      </c>
      <c r="E29" s="344">
        <f>C29</f>
        <v>0.8427934754608245</v>
      </c>
      <c r="F29" s="332">
        <f>'[1]#s for Report-Maricopa County'!L13</f>
        <v>0.46573595400841222</v>
      </c>
      <c r="G29" s="332">
        <f>'[1]#s for Report-Maricopa County'!L19</f>
        <v>0.86889092341165119</v>
      </c>
      <c r="H29" s="316"/>
      <c r="I29" s="316"/>
      <c r="J29" s="316"/>
      <c r="K29" s="316"/>
      <c r="L29" s="316"/>
      <c r="M29" s="316"/>
      <c r="N29" s="316"/>
    </row>
    <row r="30" spans="1:14">
      <c r="A30" s="329" t="s">
        <v>4</v>
      </c>
      <c r="B30" s="332">
        <f>'[1]#s for Report-State'!J33</f>
        <v>0.40533283933138031</v>
      </c>
      <c r="C30" s="332">
        <f>'[1]#s for Report-State'!J40</f>
        <v>6.8840119360165042E-2</v>
      </c>
      <c r="D30" s="344">
        <f>D11/$D$14</f>
        <v>0.4089390142021721</v>
      </c>
      <c r="E30" s="344">
        <f>C30</f>
        <v>6.8840119360165042E-2</v>
      </c>
      <c r="F30" s="332">
        <f>'[1]#s for Report-Maricopa County'!J13</f>
        <v>0.45337996272697695</v>
      </c>
      <c r="G30" s="332">
        <f>'[1]#s for Report-Maricopa County'!J19</f>
        <v>7.665339304887539E-2</v>
      </c>
      <c r="H30" s="316"/>
      <c r="I30" s="316"/>
      <c r="J30" s="316"/>
      <c r="K30" s="316"/>
      <c r="L30" s="316"/>
      <c r="M30" s="316"/>
      <c r="N30" s="316"/>
    </row>
    <row r="31" spans="1:14">
      <c r="A31" s="329" t="s">
        <v>1405</v>
      </c>
      <c r="B31" s="332">
        <f>'[1]#s for Report-State'!K33</f>
        <v>4.5526154551159574E-4</v>
      </c>
      <c r="C31" s="332">
        <f>'[1]#s for Report-State'!K40</f>
        <v>1.793230149639172E-3</v>
      </c>
      <c r="D31" s="344">
        <f>D12/$D$14</f>
        <v>4.1771094402673348E-4</v>
      </c>
      <c r="E31" s="344">
        <f>C31</f>
        <v>1.793230149639172E-3</v>
      </c>
      <c r="F31" s="332">
        <f>'[1]#s for Report-Maricopa County'!K13</f>
        <v>2.6091200878793557E-4</v>
      </c>
      <c r="G31" s="332">
        <f>'[1]#s for Report-Maricopa County'!K19</f>
        <v>1.1723100371990871E-3</v>
      </c>
      <c r="H31" s="316"/>
      <c r="I31" s="316"/>
      <c r="J31" s="316"/>
      <c r="K31" s="316"/>
      <c r="L31" s="316"/>
      <c r="M31" s="316"/>
      <c r="N31" s="316"/>
    </row>
    <row r="32" spans="1:14">
      <c r="A32" s="317" t="s">
        <v>1415</v>
      </c>
      <c r="B32" s="318"/>
      <c r="C32" s="318"/>
      <c r="D32" s="345"/>
      <c r="E32" s="345"/>
      <c r="F32" s="318"/>
      <c r="G32" s="346"/>
      <c r="H32" s="316"/>
      <c r="I32" s="316"/>
      <c r="J32" s="316"/>
      <c r="K32" s="316"/>
      <c r="L32" s="316"/>
      <c r="M32" s="316"/>
      <c r="N32" s="316"/>
    </row>
    <row r="33" spans="1:14">
      <c r="A33" s="320"/>
      <c r="B33" s="433" t="s">
        <v>1436</v>
      </c>
      <c r="C33" s="434"/>
      <c r="D33" s="435"/>
      <c r="E33" s="436"/>
      <c r="F33" s="433" t="s">
        <v>1437</v>
      </c>
      <c r="G33" s="437"/>
      <c r="H33" s="316"/>
      <c r="I33" s="316"/>
      <c r="J33" s="316"/>
      <c r="K33" s="316"/>
      <c r="L33" s="316"/>
      <c r="M33" s="316"/>
      <c r="N33" s="316"/>
    </row>
    <row r="34" spans="1:14">
      <c r="A34" s="316"/>
      <c r="H34" s="316"/>
      <c r="I34" s="316"/>
      <c r="J34" s="316"/>
      <c r="K34" s="316"/>
      <c r="L34" s="316"/>
      <c r="M34" s="316"/>
      <c r="N34" s="316"/>
    </row>
    <row r="35" spans="1:14">
      <c r="A35" s="316"/>
      <c r="B35" s="429">
        <f>(B$16*B$5)-B$22</f>
        <v>-1850690638.9081373</v>
      </c>
      <c r="C35" s="430"/>
      <c r="D35" s="316"/>
      <c r="E35" s="316"/>
      <c r="F35" s="429">
        <f>(F$16*F$5)-F$22</f>
        <v>-1282896633.0033712</v>
      </c>
      <c r="G35" s="430"/>
      <c r="H35" s="316"/>
      <c r="I35" s="316"/>
      <c r="J35" s="316"/>
      <c r="K35" s="316"/>
      <c r="L35" s="316"/>
      <c r="M35" s="316"/>
      <c r="N35" s="316"/>
    </row>
    <row r="36" spans="1:14">
      <c r="B36" s="324">
        <f>SUM(B28:B31)</f>
        <v>1.0000000000000002</v>
      </c>
      <c r="C36" s="324">
        <f>SUM(C28:C31)</f>
        <v>0.99999999999999989</v>
      </c>
      <c r="D36" s="324"/>
      <c r="E36" s="324"/>
      <c r="F36" s="324">
        <f>SUM(F28:F31)</f>
        <v>1</v>
      </c>
      <c r="G36" s="324">
        <f>SUM(G28:G31)</f>
        <v>1</v>
      </c>
      <c r="I36" s="316"/>
      <c r="J36" s="316"/>
      <c r="K36" s="316"/>
      <c r="L36" s="316"/>
      <c r="M36" s="316"/>
      <c r="N36" s="316"/>
    </row>
    <row r="37" spans="1:14">
      <c r="I37" s="316"/>
      <c r="J37" s="316"/>
      <c r="K37" s="316"/>
      <c r="L37" s="316"/>
      <c r="M37" s="316"/>
      <c r="N37" s="316"/>
    </row>
    <row r="38" spans="1:14">
      <c r="I38" s="316"/>
      <c r="J38" s="316"/>
      <c r="K38" s="316"/>
      <c r="L38" s="316"/>
      <c r="M38" s="316"/>
      <c r="N38" s="316"/>
    </row>
    <row r="39" spans="1:14">
      <c r="I39" s="316"/>
      <c r="J39" s="316"/>
      <c r="K39" s="316"/>
      <c r="L39" s="316"/>
      <c r="M39" s="316"/>
      <c r="N39" s="316"/>
    </row>
    <row r="40" spans="1:14">
      <c r="I40" s="316"/>
      <c r="J40" s="316"/>
      <c r="K40" s="316"/>
      <c r="L40" s="316"/>
      <c r="M40" s="316"/>
      <c r="N40" s="316"/>
    </row>
    <row r="41" spans="1:14">
      <c r="I41" s="316"/>
      <c r="J41" s="316"/>
      <c r="K41" s="316"/>
      <c r="L41" s="316"/>
      <c r="M41" s="316"/>
      <c r="N41" s="316"/>
    </row>
    <row r="42" spans="1:14">
      <c r="I42" s="316"/>
      <c r="J42" s="316"/>
      <c r="K42" s="316"/>
      <c r="L42" s="316"/>
      <c r="M42" s="316"/>
      <c r="N42" s="316"/>
    </row>
    <row r="43" spans="1:14">
      <c r="I43" s="316"/>
      <c r="J43" s="316"/>
      <c r="K43" s="316"/>
      <c r="L43" s="316"/>
      <c r="M43" s="316"/>
      <c r="N43" s="316"/>
    </row>
    <row r="44" spans="1:14">
      <c r="I44" s="316"/>
      <c r="J44" s="316"/>
      <c r="K44" s="316"/>
      <c r="L44" s="316"/>
      <c r="M44" s="316"/>
      <c r="N44" s="316"/>
    </row>
    <row r="45" spans="1:14">
      <c r="I45" s="316"/>
      <c r="J45" s="316"/>
      <c r="K45" s="316"/>
      <c r="L45" s="316"/>
      <c r="M45" s="316"/>
      <c r="N45" s="316"/>
    </row>
    <row r="46" spans="1:14">
      <c r="I46" s="316"/>
      <c r="J46" s="316"/>
      <c r="K46" s="316"/>
      <c r="L46" s="316"/>
      <c r="M46" s="316"/>
      <c r="N46" s="316"/>
    </row>
    <row r="47" spans="1:14" ht="72" customHeight="1">
      <c r="I47" s="316"/>
      <c r="J47" s="316"/>
      <c r="K47" s="316"/>
      <c r="L47" s="316"/>
      <c r="M47" s="316"/>
      <c r="N47" s="316"/>
    </row>
    <row r="48" spans="1:14">
      <c r="I48" s="316"/>
      <c r="J48" s="322" t="s">
        <v>1411</v>
      </c>
      <c r="K48" s="322" t="s">
        <v>2</v>
      </c>
      <c r="L48" s="322" t="s">
        <v>4</v>
      </c>
      <c r="M48" s="322" t="s">
        <v>1412</v>
      </c>
      <c r="N48" s="322" t="s">
        <v>1406</v>
      </c>
    </row>
    <row r="49" spans="9:14" ht="26.25">
      <c r="I49" s="336" t="s">
        <v>1428</v>
      </c>
      <c r="J49" s="321">
        <f>B9</f>
        <v>1022.1014048707387</v>
      </c>
      <c r="K49" s="321">
        <f>B10</f>
        <v>4668.6342674918515</v>
      </c>
      <c r="L49" s="321">
        <f>B11</f>
        <v>3881.850988455572</v>
      </c>
      <c r="M49" s="321">
        <f>B12</f>
        <v>4.3600155451633071</v>
      </c>
      <c r="N49" s="321">
        <v>0</v>
      </c>
    </row>
    <row r="50" spans="9:14" ht="26.25">
      <c r="I50" s="336" t="s">
        <v>1438</v>
      </c>
      <c r="J50" s="343">
        <f>D9</f>
        <v>1003</v>
      </c>
      <c r="K50" s="343">
        <f>D10</f>
        <v>4653</v>
      </c>
      <c r="L50" s="343">
        <f>D11</f>
        <v>3916</v>
      </c>
      <c r="M50" s="343">
        <f>D12</f>
        <v>4</v>
      </c>
      <c r="N50" s="343">
        <f>D13</f>
        <v>0</v>
      </c>
    </row>
    <row r="51" spans="9:14" ht="26.25">
      <c r="I51" s="336" t="s">
        <v>1429</v>
      </c>
      <c r="J51" s="321">
        <f>C9</f>
        <v>657.674054651598</v>
      </c>
      <c r="K51" s="321">
        <f>C10</f>
        <v>6402.4843960289472</v>
      </c>
      <c r="L51" s="321">
        <f>C11</f>
        <v>522.96060999194844</v>
      </c>
      <c r="M51" s="321">
        <f>C12</f>
        <v>13.622706375693971</v>
      </c>
      <c r="N51" s="321">
        <v>0</v>
      </c>
    </row>
    <row r="52" spans="9:14" ht="26.25">
      <c r="I52" s="336" t="s">
        <v>1430</v>
      </c>
      <c r="J52" s="321">
        <f>F9</f>
        <v>770.72819587049196</v>
      </c>
      <c r="K52" s="321">
        <f>F10</f>
        <v>4452.2663397341967</v>
      </c>
      <c r="L52" s="321">
        <f>F11</f>
        <v>4334.1475567566004</v>
      </c>
      <c r="M52" s="321">
        <f>F12</f>
        <v>2.4942239145616325</v>
      </c>
      <c r="N52" s="321">
        <v>0</v>
      </c>
    </row>
    <row r="53" spans="9:14" ht="26.25">
      <c r="I53" s="336" t="s">
        <v>1431</v>
      </c>
      <c r="J53" s="321">
        <f>G9</f>
        <v>393.02965020179829</v>
      </c>
      <c r="K53" s="321">
        <f>G10</f>
        <v>6409.1267734281564</v>
      </c>
      <c r="L53" s="321">
        <f>G11</f>
        <v>565.41195267027376</v>
      </c>
      <c r="M53" s="321">
        <f>G12</f>
        <v>8.647211570204874</v>
      </c>
      <c r="N53" s="321">
        <v>0</v>
      </c>
    </row>
    <row r="54" spans="9:14">
      <c r="I54" s="335" t="s">
        <v>1417</v>
      </c>
      <c r="J54" s="321">
        <v>0</v>
      </c>
      <c r="K54" s="321">
        <v>0</v>
      </c>
      <c r="L54" s="321">
        <v>0</v>
      </c>
      <c r="M54" s="321">
        <v>0</v>
      </c>
      <c r="N54" s="321">
        <v>0</v>
      </c>
    </row>
    <row r="55" spans="9:14">
      <c r="I55" s="335" t="s">
        <v>1418</v>
      </c>
      <c r="J55" s="321">
        <v>0</v>
      </c>
      <c r="K55" s="321">
        <v>0</v>
      </c>
      <c r="L55" s="321">
        <v>0</v>
      </c>
      <c r="M55" s="321">
        <v>0</v>
      </c>
      <c r="N55" s="321">
        <v>0</v>
      </c>
    </row>
    <row r="56" spans="9:14">
      <c r="I56" s="335" t="s">
        <v>1419</v>
      </c>
      <c r="J56" s="321">
        <v>0</v>
      </c>
      <c r="K56" s="321">
        <v>0</v>
      </c>
      <c r="L56" s="321">
        <v>0</v>
      </c>
      <c r="M56" s="321">
        <v>0</v>
      </c>
      <c r="N56" s="321">
        <v>0</v>
      </c>
    </row>
  </sheetData>
  <mergeCells count="55">
    <mergeCell ref="B2:C2"/>
    <mergeCell ref="D2:E2"/>
    <mergeCell ref="F2:G2"/>
    <mergeCell ref="B4:C4"/>
    <mergeCell ref="D4:E4"/>
    <mergeCell ref="F4:G4"/>
    <mergeCell ref="B5:C5"/>
    <mergeCell ref="D5:E5"/>
    <mergeCell ref="F5:G5"/>
    <mergeCell ref="A6:A7"/>
    <mergeCell ref="B6:C6"/>
    <mergeCell ref="D6:E6"/>
    <mergeCell ref="F6:G6"/>
    <mergeCell ref="B7:C7"/>
    <mergeCell ref="D7:E7"/>
    <mergeCell ref="F7:G7"/>
    <mergeCell ref="A16:A17"/>
    <mergeCell ref="B16:C16"/>
    <mergeCell ref="D16:E16"/>
    <mergeCell ref="F16:G16"/>
    <mergeCell ref="B17:C17"/>
    <mergeCell ref="D17:E17"/>
    <mergeCell ref="F17:G17"/>
    <mergeCell ref="A18:A19"/>
    <mergeCell ref="B18:C18"/>
    <mergeCell ref="D18:E18"/>
    <mergeCell ref="F18:G18"/>
    <mergeCell ref="B19:C19"/>
    <mergeCell ref="D19:E19"/>
    <mergeCell ref="F19:G19"/>
    <mergeCell ref="B20:C20"/>
    <mergeCell ref="D20:E20"/>
    <mergeCell ref="F20:G20"/>
    <mergeCell ref="A22:A23"/>
    <mergeCell ref="B22:C22"/>
    <mergeCell ref="D22:E22"/>
    <mergeCell ref="F22:G22"/>
    <mergeCell ref="B23:C23"/>
    <mergeCell ref="D23:E23"/>
    <mergeCell ref="F23:G23"/>
    <mergeCell ref="A24:A25"/>
    <mergeCell ref="B24:C24"/>
    <mergeCell ref="D24:E24"/>
    <mergeCell ref="F24:G24"/>
    <mergeCell ref="B25:C25"/>
    <mergeCell ref="D25:E25"/>
    <mergeCell ref="F25:G25"/>
    <mergeCell ref="B35:C35"/>
    <mergeCell ref="F35:G35"/>
    <mergeCell ref="B26:C26"/>
    <mergeCell ref="D26:E26"/>
    <mergeCell ref="F26:G26"/>
    <mergeCell ref="B33:C33"/>
    <mergeCell ref="D33:E33"/>
    <mergeCell ref="F33:G3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3:U86"/>
  <sheetViews>
    <sheetView workbookViewId="0">
      <selection activeCell="B1" sqref="B1"/>
    </sheetView>
  </sheetViews>
  <sheetFormatPr defaultRowHeight="15"/>
  <cols>
    <col min="1" max="1" width="4.140625" customWidth="1"/>
    <col min="2" max="2" width="21.85546875" customWidth="1"/>
    <col min="5" max="5" width="11.7109375" customWidth="1"/>
    <col min="6" max="6" width="11.42578125" customWidth="1"/>
    <col min="10" max="10" width="29.28515625" customWidth="1"/>
    <col min="11" max="11" width="5.85546875" customWidth="1"/>
    <col min="12" max="12" width="5.5703125" customWidth="1"/>
    <col min="13" max="13" width="6" customWidth="1"/>
    <col min="15" max="15" width="22" customWidth="1"/>
    <col min="16" max="16" width="11.42578125" customWidth="1"/>
    <col min="17" max="17" width="11.28515625" customWidth="1"/>
    <col min="20" max="20" width="37.7109375" customWidth="1"/>
    <col min="21" max="21" width="8.28515625" customWidth="1"/>
  </cols>
  <sheetData>
    <row r="3" spans="2:10" ht="15.75">
      <c r="B3" s="387" t="s">
        <v>1395</v>
      </c>
    </row>
    <row r="4" spans="2:10" ht="36" customHeight="1">
      <c r="B4" s="356" t="s">
        <v>1450</v>
      </c>
      <c r="C4" s="486" t="s">
        <v>1397</v>
      </c>
      <c r="D4" s="487"/>
      <c r="E4" s="488" t="s">
        <v>1432</v>
      </c>
      <c r="F4" s="489"/>
      <c r="G4" s="486" t="s">
        <v>10</v>
      </c>
      <c r="H4" s="487"/>
      <c r="J4" s="415" t="s">
        <v>1518</v>
      </c>
    </row>
    <row r="5" spans="2:10">
      <c r="B5" s="490" t="s">
        <v>1402</v>
      </c>
      <c r="C5" s="491"/>
      <c r="D5" s="491"/>
      <c r="E5" s="357"/>
      <c r="F5" s="357"/>
      <c r="G5" s="357"/>
      <c r="H5" s="358"/>
    </row>
    <row r="6" spans="2:10">
      <c r="B6" s="359" t="s">
        <v>1400</v>
      </c>
      <c r="C6" s="456">
        <v>9576.9466763633245</v>
      </c>
      <c r="D6" s="457"/>
      <c r="E6" s="498">
        <v>9576</v>
      </c>
      <c r="F6" s="499"/>
      <c r="G6" s="457">
        <v>9559.6363162758498</v>
      </c>
      <c r="H6" s="460"/>
    </row>
    <row r="7" spans="2:10">
      <c r="B7" s="359" t="s">
        <v>1334</v>
      </c>
      <c r="C7" s="456">
        <v>7596.7417670481882</v>
      </c>
      <c r="D7" s="457"/>
      <c r="E7" s="498">
        <v>7597</v>
      </c>
      <c r="F7" s="499"/>
      <c r="G7" s="457">
        <v>7376.2155878704334</v>
      </c>
      <c r="H7" s="460"/>
    </row>
    <row r="8" spans="2:10">
      <c r="B8" s="492" t="s">
        <v>1401</v>
      </c>
      <c r="C8" s="500" t="s">
        <v>1451</v>
      </c>
      <c r="D8" s="496"/>
      <c r="E8" s="494" t="s">
        <v>1452</v>
      </c>
      <c r="F8" s="495"/>
      <c r="G8" s="496" t="s">
        <v>1453</v>
      </c>
      <c r="H8" s="497"/>
    </row>
    <row r="9" spans="2:10">
      <c r="B9" s="492"/>
      <c r="C9" s="493" t="s">
        <v>1454</v>
      </c>
      <c r="D9" s="484"/>
      <c r="E9" s="482" t="s">
        <v>1454</v>
      </c>
      <c r="F9" s="483"/>
      <c r="G9" s="484" t="s">
        <v>1455</v>
      </c>
      <c r="H9" s="485"/>
    </row>
    <row r="10" spans="2:10" ht="37.5" customHeight="1">
      <c r="B10" s="360" t="s">
        <v>1403</v>
      </c>
      <c r="C10" s="361" t="s">
        <v>1404</v>
      </c>
      <c r="D10" s="361" t="s">
        <v>1334</v>
      </c>
      <c r="E10" s="361" t="s">
        <v>1404</v>
      </c>
      <c r="F10" s="361" t="s">
        <v>1334</v>
      </c>
      <c r="G10" s="361" t="s">
        <v>1404</v>
      </c>
      <c r="H10" s="361" t="s">
        <v>1334</v>
      </c>
    </row>
    <row r="11" spans="2:10">
      <c r="B11" s="362" t="s">
        <v>1</v>
      </c>
      <c r="C11" s="363">
        <v>1022.1014048707387</v>
      </c>
      <c r="D11" s="363">
        <v>657.674054651598</v>
      </c>
      <c r="E11" s="364">
        <v>1003</v>
      </c>
      <c r="F11" s="365">
        <v>657.674054651598</v>
      </c>
      <c r="G11" s="366">
        <v>770.72819587049196</v>
      </c>
      <c r="H11" s="367">
        <v>393.02965020179829</v>
      </c>
    </row>
    <row r="12" spans="2:10">
      <c r="B12" s="362" t="s">
        <v>2</v>
      </c>
      <c r="C12" s="363">
        <v>4668.6342674918515</v>
      </c>
      <c r="D12" s="363">
        <v>6402.4843960289472</v>
      </c>
      <c r="E12" s="364">
        <v>4653</v>
      </c>
      <c r="F12" s="365">
        <v>6402.4843960289472</v>
      </c>
      <c r="G12" s="366">
        <v>4452.2663397341967</v>
      </c>
      <c r="H12" s="367">
        <v>6409.1267734281564</v>
      </c>
    </row>
    <row r="13" spans="2:10">
      <c r="B13" s="362" t="s">
        <v>4</v>
      </c>
      <c r="C13" s="363">
        <v>3881.850988455572</v>
      </c>
      <c r="D13" s="363">
        <v>522.96060999194844</v>
      </c>
      <c r="E13" s="364">
        <v>3916</v>
      </c>
      <c r="F13" s="365">
        <v>522.96060999194844</v>
      </c>
      <c r="G13" s="366">
        <v>4334.1475567566004</v>
      </c>
      <c r="H13" s="367">
        <v>565.41195267027376</v>
      </c>
    </row>
    <row r="14" spans="2:10">
      <c r="B14" s="362" t="s">
        <v>1405</v>
      </c>
      <c r="C14" s="363">
        <v>4.3600155451633071</v>
      </c>
      <c r="D14" s="363">
        <v>13.622706375693971</v>
      </c>
      <c r="E14" s="364">
        <v>4</v>
      </c>
      <c r="F14" s="365">
        <v>13.622706375693971</v>
      </c>
      <c r="G14" s="366">
        <v>2.4942239145616325</v>
      </c>
      <c r="H14" s="367">
        <v>8.647211570204874</v>
      </c>
    </row>
    <row r="15" spans="2:10">
      <c r="B15" s="362" t="s">
        <v>1406</v>
      </c>
      <c r="C15" s="363">
        <v>0</v>
      </c>
      <c r="D15" s="363">
        <v>0</v>
      </c>
      <c r="E15" s="364">
        <v>0</v>
      </c>
      <c r="F15" s="365">
        <v>0</v>
      </c>
      <c r="G15" s="366">
        <v>0</v>
      </c>
      <c r="H15" s="367">
        <v>0</v>
      </c>
    </row>
    <row r="16" spans="2:10">
      <c r="B16" s="362" t="s">
        <v>39</v>
      </c>
      <c r="C16" s="363">
        <v>9576.9466763633263</v>
      </c>
      <c r="D16" s="363">
        <v>7596.7417670481873</v>
      </c>
      <c r="E16" s="364">
        <v>9576</v>
      </c>
      <c r="F16" s="365">
        <v>7596.7417670481873</v>
      </c>
      <c r="G16" s="366">
        <v>9559.6363162758516</v>
      </c>
      <c r="H16" s="367">
        <v>7376.2155878704325</v>
      </c>
    </row>
    <row r="17" spans="2:8">
      <c r="B17" s="368" t="s">
        <v>1407</v>
      </c>
      <c r="C17" s="369"/>
      <c r="D17" s="369"/>
      <c r="E17" s="369"/>
      <c r="F17" s="369"/>
      <c r="G17" s="369"/>
      <c r="H17" s="370"/>
    </row>
    <row r="18" spans="2:8">
      <c r="B18" s="454" t="s">
        <v>1400</v>
      </c>
      <c r="C18" s="479">
        <v>934595.52099999995</v>
      </c>
      <c r="D18" s="480"/>
      <c r="E18" s="474" t="s">
        <v>85</v>
      </c>
      <c r="F18" s="475"/>
      <c r="G18" s="480">
        <v>587562.72499999998</v>
      </c>
      <c r="H18" s="481"/>
    </row>
    <row r="19" spans="2:8">
      <c r="B19" s="455"/>
      <c r="C19" s="469">
        <v>0.91285603972375484</v>
      </c>
      <c r="D19" s="470"/>
      <c r="E19" s="474" t="s">
        <v>85</v>
      </c>
      <c r="F19" s="475"/>
      <c r="G19" s="470">
        <v>0.90934341647233718</v>
      </c>
      <c r="H19" s="471"/>
    </row>
    <row r="20" spans="2:8">
      <c r="B20" s="454" t="s">
        <v>1334</v>
      </c>
      <c r="C20" s="479">
        <v>89219.275999999998</v>
      </c>
      <c r="D20" s="480"/>
      <c r="E20" s="474" t="s">
        <v>85</v>
      </c>
      <c r="F20" s="475"/>
      <c r="G20" s="480">
        <v>58576.802000000003</v>
      </c>
      <c r="H20" s="481"/>
    </row>
    <row r="21" spans="2:8">
      <c r="B21" s="455"/>
      <c r="C21" s="469">
        <v>8.7143960276245158E-2</v>
      </c>
      <c r="D21" s="470"/>
      <c r="E21" s="474" t="s">
        <v>85</v>
      </c>
      <c r="F21" s="475"/>
      <c r="G21" s="470">
        <v>9.065658352766276E-2</v>
      </c>
      <c r="H21" s="471"/>
    </row>
    <row r="22" spans="2:8">
      <c r="B22" s="362" t="s">
        <v>1408</v>
      </c>
      <c r="C22" s="472">
        <v>448</v>
      </c>
      <c r="D22" s="473"/>
      <c r="E22" s="474" t="s">
        <v>85</v>
      </c>
      <c r="F22" s="475"/>
      <c r="G22" s="476">
        <v>194</v>
      </c>
      <c r="H22" s="477"/>
    </row>
    <row r="23" spans="2:8">
      <c r="B23" s="368" t="s">
        <v>6</v>
      </c>
      <c r="C23" s="371"/>
      <c r="D23" s="371"/>
      <c r="E23" s="372"/>
      <c r="F23" s="372"/>
      <c r="G23" s="371"/>
      <c r="H23" s="373"/>
    </row>
    <row r="24" spans="2:8">
      <c r="B24" s="454" t="s">
        <v>1400</v>
      </c>
      <c r="C24" s="478">
        <v>8950571468.5849991</v>
      </c>
      <c r="D24" s="467"/>
      <c r="E24" s="458" t="s">
        <v>85</v>
      </c>
      <c r="F24" s="459"/>
      <c r="G24" s="467">
        <v>5616885964</v>
      </c>
      <c r="H24" s="468"/>
    </row>
    <row r="25" spans="2:8">
      <c r="B25" s="455"/>
      <c r="C25" s="469">
        <v>0.92960621574200919</v>
      </c>
      <c r="D25" s="470"/>
      <c r="E25" s="458" t="s">
        <v>85</v>
      </c>
      <c r="F25" s="459"/>
      <c r="G25" s="470">
        <v>0.92857035877733218</v>
      </c>
      <c r="H25" s="471"/>
    </row>
    <row r="26" spans="2:8">
      <c r="B26" s="454" t="s">
        <v>1334</v>
      </c>
      <c r="C26" s="478">
        <v>677775800.41499996</v>
      </c>
      <c r="D26" s="467"/>
      <c r="E26" s="458" t="s">
        <v>85</v>
      </c>
      <c r="F26" s="459"/>
      <c r="G26" s="467">
        <v>432075120</v>
      </c>
      <c r="H26" s="468"/>
    </row>
    <row r="27" spans="2:8">
      <c r="B27" s="455"/>
      <c r="C27" s="469">
        <v>7.0393784257990699E-2</v>
      </c>
      <c r="D27" s="470"/>
      <c r="E27" s="458" t="s">
        <v>85</v>
      </c>
      <c r="F27" s="459"/>
      <c r="G27" s="470">
        <v>7.1429641222667845E-2</v>
      </c>
      <c r="H27" s="471"/>
    </row>
    <row r="28" spans="2:8">
      <c r="B28" s="362" t="s">
        <v>39</v>
      </c>
      <c r="C28" s="456">
        <v>9628347269</v>
      </c>
      <c r="D28" s="457"/>
      <c r="E28" s="458" t="s">
        <v>85</v>
      </c>
      <c r="F28" s="459"/>
      <c r="G28" s="457">
        <v>6048961084</v>
      </c>
      <c r="H28" s="460"/>
    </row>
    <row r="29" spans="2:8" ht="34.5" customHeight="1">
      <c r="B29" s="360" t="s">
        <v>1410</v>
      </c>
      <c r="C29" s="361" t="s">
        <v>1404</v>
      </c>
      <c r="D29" s="361" t="s">
        <v>1334</v>
      </c>
      <c r="E29" s="361" t="s">
        <v>1404</v>
      </c>
      <c r="F29" s="361" t="s">
        <v>1334</v>
      </c>
      <c r="G29" s="361" t="s">
        <v>1404</v>
      </c>
      <c r="H29" s="361" t="s">
        <v>1334</v>
      </c>
    </row>
    <row r="30" spans="2:8">
      <c r="B30" s="362" t="s">
        <v>1</v>
      </c>
      <c r="C30" s="374">
        <v>0.10672518490610033</v>
      </c>
      <c r="D30" s="375">
        <v>8.6573175029371272E-2</v>
      </c>
      <c r="E30" s="376">
        <v>0.10474101921470343</v>
      </c>
      <c r="F30" s="377">
        <v>8.6573175029371272E-2</v>
      </c>
      <c r="G30" s="374">
        <v>8.0623171255822912E-2</v>
      </c>
      <c r="H30" s="378">
        <v>5.3283373502274328E-2</v>
      </c>
    </row>
    <row r="31" spans="2:8">
      <c r="B31" s="362" t="s">
        <v>2</v>
      </c>
      <c r="C31" s="379">
        <v>0.4874867142170079</v>
      </c>
      <c r="D31" s="375">
        <v>0.8427934754608245</v>
      </c>
      <c r="E31" s="380">
        <v>0.48590225563909772</v>
      </c>
      <c r="F31" s="377">
        <v>0.8427934754608245</v>
      </c>
      <c r="G31" s="379">
        <v>0.46573595400841222</v>
      </c>
      <c r="H31" s="378">
        <v>0.86889092341165119</v>
      </c>
    </row>
    <row r="32" spans="2:8">
      <c r="B32" s="362" t="s">
        <v>4</v>
      </c>
      <c r="C32" s="379">
        <v>0.40533283933138031</v>
      </c>
      <c r="D32" s="375">
        <v>6.8840119360165042E-2</v>
      </c>
      <c r="E32" s="380">
        <v>0.4089390142021721</v>
      </c>
      <c r="F32" s="377">
        <v>6.8840119360165042E-2</v>
      </c>
      <c r="G32" s="379">
        <v>0.45337996272697695</v>
      </c>
      <c r="H32" s="378">
        <v>7.665339304887539E-2</v>
      </c>
    </row>
    <row r="33" spans="2:13">
      <c r="B33" s="362" t="s">
        <v>1405</v>
      </c>
      <c r="C33" s="379">
        <v>4.5526154551159574E-4</v>
      </c>
      <c r="D33" s="375">
        <v>1.793230149639172E-3</v>
      </c>
      <c r="E33" s="380">
        <v>4.1771094402673348E-4</v>
      </c>
      <c r="F33" s="377">
        <v>1.793230149639172E-3</v>
      </c>
      <c r="G33" s="379">
        <v>2.6091200878793557E-4</v>
      </c>
      <c r="H33" s="378">
        <v>1.1723100371990871E-3</v>
      </c>
    </row>
    <row r="34" spans="2:13">
      <c r="B34" s="362" t="s">
        <v>1406</v>
      </c>
      <c r="C34" s="381">
        <f>C15</f>
        <v>0</v>
      </c>
      <c r="D34" s="381">
        <f>D15</f>
        <v>0</v>
      </c>
      <c r="E34" s="382">
        <v>0</v>
      </c>
      <c r="F34" s="377">
        <v>0</v>
      </c>
      <c r="G34" s="381">
        <v>0</v>
      </c>
      <c r="H34" s="378">
        <v>0</v>
      </c>
    </row>
    <row r="35" spans="2:13">
      <c r="B35" s="368" t="s">
        <v>1415</v>
      </c>
      <c r="C35" s="371"/>
      <c r="D35" s="371"/>
      <c r="E35" s="383"/>
      <c r="F35" s="373"/>
      <c r="G35" s="371"/>
      <c r="H35" s="373"/>
    </row>
    <row r="36" spans="2:13">
      <c r="B36" s="384"/>
      <c r="C36" s="461" t="s">
        <v>1436</v>
      </c>
      <c r="D36" s="462"/>
      <c r="E36" s="463"/>
      <c r="F36" s="464"/>
      <c r="G36" s="465" t="s">
        <v>1437</v>
      </c>
      <c r="H36" s="466"/>
    </row>
    <row r="37" spans="2:13">
      <c r="I37" s="385"/>
    </row>
    <row r="38" spans="2:13" ht="15.75">
      <c r="J38" s="387" t="s">
        <v>1456</v>
      </c>
    </row>
    <row r="39" spans="2:13">
      <c r="J39" s="388" t="s">
        <v>1457</v>
      </c>
      <c r="K39" s="389" t="s">
        <v>1458</v>
      </c>
      <c r="L39" s="389" t="s">
        <v>1459</v>
      </c>
      <c r="M39" s="389" t="s">
        <v>1460</v>
      </c>
    </row>
    <row r="40" spans="2:13" ht="44.25" customHeight="1">
      <c r="J40" s="390" t="s">
        <v>1461</v>
      </c>
      <c r="K40" s="391"/>
      <c r="L40" s="392"/>
      <c r="M40" s="391" t="s">
        <v>1462</v>
      </c>
    </row>
    <row r="41" spans="2:13" ht="38.25" customHeight="1">
      <c r="J41" s="390" t="s">
        <v>1463</v>
      </c>
      <c r="K41" s="391"/>
      <c r="L41" s="392" t="s">
        <v>1464</v>
      </c>
      <c r="M41" s="391"/>
    </row>
    <row r="42" spans="2:13" ht="38.25" customHeight="1">
      <c r="J42" s="390" t="s">
        <v>1465</v>
      </c>
      <c r="K42" s="391"/>
      <c r="L42" s="392" t="s">
        <v>1464</v>
      </c>
      <c r="M42" s="391"/>
    </row>
    <row r="43" spans="2:13" ht="57" customHeight="1">
      <c r="J43" s="390" t="s">
        <v>1466</v>
      </c>
      <c r="K43" s="391" t="s">
        <v>1464</v>
      </c>
      <c r="L43" s="392"/>
      <c r="M43" s="391"/>
    </row>
    <row r="44" spans="2:13" ht="37.5" customHeight="1">
      <c r="J44" s="390" t="s">
        <v>1467</v>
      </c>
      <c r="K44" s="391" t="s">
        <v>1464</v>
      </c>
      <c r="L44" s="392"/>
      <c r="M44" s="391"/>
    </row>
    <row r="45" spans="2:13" ht="53.25" customHeight="1">
      <c r="J45" s="390" t="s">
        <v>1468</v>
      </c>
      <c r="K45" s="391" t="s">
        <v>1469</v>
      </c>
      <c r="L45" s="392"/>
      <c r="M45" s="391"/>
    </row>
    <row r="46" spans="2:13" ht="45" customHeight="1">
      <c r="J46" s="390" t="s">
        <v>1470</v>
      </c>
      <c r="K46" s="391"/>
      <c r="L46" s="392" t="s">
        <v>1464</v>
      </c>
      <c r="M46" s="391"/>
    </row>
    <row r="47" spans="2:13" ht="50.25" customHeight="1">
      <c r="J47" s="390" t="s">
        <v>1471</v>
      </c>
      <c r="K47" s="391" t="s">
        <v>1464</v>
      </c>
      <c r="L47" s="392"/>
      <c r="M47" s="391"/>
    </row>
    <row r="48" spans="2:13" ht="42" customHeight="1">
      <c r="J48" s="390" t="s">
        <v>1472</v>
      </c>
      <c r="K48" s="391"/>
      <c r="L48" s="392" t="s">
        <v>1464</v>
      </c>
      <c r="M48" s="391"/>
    </row>
    <row r="49" spans="1:17" ht="36" customHeight="1">
      <c r="J49" s="390" t="s">
        <v>1473</v>
      </c>
      <c r="K49" s="391"/>
      <c r="L49" s="392" t="s">
        <v>1464</v>
      </c>
      <c r="M49" s="391"/>
    </row>
    <row r="50" spans="1:17" ht="35.25" customHeight="1">
      <c r="J50" s="390" t="s">
        <v>1474</v>
      </c>
      <c r="K50" s="391"/>
      <c r="L50" s="392" t="s">
        <v>1464</v>
      </c>
      <c r="M50" s="391"/>
    </row>
    <row r="51" spans="1:17" ht="36.75" customHeight="1">
      <c r="J51" s="390" t="s">
        <v>1475</v>
      </c>
      <c r="K51" s="391"/>
      <c r="L51" s="392" t="s">
        <v>1464</v>
      </c>
      <c r="M51" s="391"/>
    </row>
    <row r="52" spans="1:17" ht="39.75" customHeight="1">
      <c r="J52" s="390" t="s">
        <v>1476</v>
      </c>
      <c r="K52" s="391" t="s">
        <v>1477</v>
      </c>
      <c r="L52" s="392"/>
      <c r="M52" s="391"/>
    </row>
    <row r="53" spans="1:17">
      <c r="N53" s="385"/>
    </row>
    <row r="54" spans="1:17">
      <c r="A54" s="386" t="s">
        <v>1481</v>
      </c>
      <c r="N54" s="385"/>
    </row>
    <row r="55" spans="1:17" ht="39" customHeight="1">
      <c r="A55" s="393">
        <v>3</v>
      </c>
      <c r="B55" s="453" t="s">
        <v>1478</v>
      </c>
      <c r="C55" s="453"/>
      <c r="D55" s="453"/>
      <c r="E55" s="453"/>
      <c r="F55" s="453"/>
      <c r="G55" s="453"/>
      <c r="H55" s="453"/>
      <c r="I55" s="453"/>
      <c r="J55" s="453"/>
      <c r="K55" s="453"/>
      <c r="L55" s="453"/>
      <c r="N55" s="385"/>
    </row>
    <row r="56" spans="1:17" ht="28.5" customHeight="1">
      <c r="A56" s="393">
        <v>4</v>
      </c>
      <c r="B56" s="453" t="s">
        <v>1479</v>
      </c>
      <c r="C56" s="453"/>
      <c r="D56" s="453"/>
      <c r="E56" s="453"/>
      <c r="F56" s="453"/>
      <c r="G56" s="453"/>
      <c r="H56" s="453"/>
      <c r="I56" s="453"/>
      <c r="J56" s="453"/>
      <c r="K56" s="453"/>
      <c r="L56" s="453"/>
      <c r="N56" s="385"/>
    </row>
    <row r="57" spans="1:17" ht="28.5" customHeight="1">
      <c r="A57" s="393">
        <v>5</v>
      </c>
      <c r="B57" s="453" t="s">
        <v>1480</v>
      </c>
      <c r="C57" s="453"/>
      <c r="D57" s="453"/>
      <c r="E57" s="453"/>
      <c r="F57" s="453"/>
      <c r="G57" s="453"/>
      <c r="H57" s="453"/>
      <c r="I57" s="453"/>
      <c r="J57" s="453"/>
      <c r="K57" s="453"/>
      <c r="L57" s="453"/>
      <c r="N57" s="385"/>
    </row>
    <row r="58" spans="1:17" ht="15.75">
      <c r="O58" s="387" t="s">
        <v>1482</v>
      </c>
    </row>
    <row r="59" spans="1:17" ht="37.5" customHeight="1">
      <c r="O59" s="394" t="s">
        <v>1450</v>
      </c>
      <c r="P59" s="395" t="s">
        <v>1413</v>
      </c>
      <c r="Q59" s="395" t="s">
        <v>1483</v>
      </c>
    </row>
    <row r="60" spans="1:17" ht="57" customHeight="1">
      <c r="O60" s="390" t="s">
        <v>1484</v>
      </c>
      <c r="P60" s="396">
        <v>0.41680970262592398</v>
      </c>
      <c r="Q60" s="396">
        <v>0.31556971059106742</v>
      </c>
    </row>
    <row r="61" spans="1:17" ht="36.75" customHeight="1">
      <c r="O61" s="390" t="s">
        <v>1485</v>
      </c>
      <c r="P61" s="396">
        <v>0.56261682242990652</v>
      </c>
      <c r="Q61" s="396">
        <v>0.56144067796610164</v>
      </c>
    </row>
    <row r="62" spans="1:17" ht="33.75" customHeight="1">
      <c r="O62" s="390" t="s">
        <v>1486</v>
      </c>
      <c r="P62" s="397"/>
      <c r="Q62" s="398"/>
    </row>
    <row r="63" spans="1:17" ht="24.75" customHeight="1">
      <c r="O63" s="399" t="s">
        <v>1352</v>
      </c>
      <c r="P63" s="396">
        <v>0.5512298689972519</v>
      </c>
      <c r="Q63" s="396">
        <v>0.42631629403180621</v>
      </c>
    </row>
    <row r="64" spans="1:17" ht="26.25" customHeight="1">
      <c r="O64" s="399" t="s">
        <v>1353</v>
      </c>
      <c r="P64" s="396">
        <v>0.16096153113516151</v>
      </c>
      <c r="Q64" s="396">
        <v>2.9611955560763095E-2</v>
      </c>
    </row>
    <row r="65" spans="15:21" ht="25.5" customHeight="1">
      <c r="O65" s="399" t="s">
        <v>1354</v>
      </c>
      <c r="P65" s="396">
        <v>0.26477114418127656</v>
      </c>
      <c r="Q65" s="396">
        <v>0.31612360328500977</v>
      </c>
    </row>
    <row r="66" spans="15:21" ht="23.25" customHeight="1">
      <c r="O66" s="400" t="s">
        <v>1355</v>
      </c>
      <c r="P66" s="401">
        <v>2.3037455686310042E-2</v>
      </c>
      <c r="Q66" s="401">
        <v>0.22794814712242092</v>
      </c>
    </row>
    <row r="67" spans="15:21">
      <c r="R67" s="385"/>
    </row>
    <row r="68" spans="15:21" ht="15.75">
      <c r="S68" s="402" t="s">
        <v>1487</v>
      </c>
    </row>
    <row r="69" spans="15:21">
      <c r="S69" s="403"/>
      <c r="T69" s="404" t="s">
        <v>1488</v>
      </c>
      <c r="U69" s="405" t="s">
        <v>1489</v>
      </c>
    </row>
    <row r="70" spans="15:21" ht="42.75" customHeight="1">
      <c r="S70" s="447" t="s">
        <v>1490</v>
      </c>
      <c r="T70" s="406" t="s">
        <v>1491</v>
      </c>
      <c r="U70" s="407" t="s">
        <v>1492</v>
      </c>
    </row>
    <row r="71" spans="15:21" ht="60" customHeight="1">
      <c r="S71" s="448"/>
      <c r="T71" s="408" t="s">
        <v>1493</v>
      </c>
      <c r="U71" s="409" t="s">
        <v>1494</v>
      </c>
    </row>
    <row r="72" spans="15:21" ht="43.5" customHeight="1">
      <c r="S72" s="449" t="s">
        <v>1495</v>
      </c>
      <c r="T72" s="410" t="s">
        <v>1496</v>
      </c>
      <c r="U72" s="411" t="s">
        <v>1492</v>
      </c>
    </row>
    <row r="73" spans="15:21" ht="57" customHeight="1">
      <c r="S73" s="450"/>
      <c r="T73" s="410" t="s">
        <v>1497</v>
      </c>
      <c r="U73" s="411" t="s">
        <v>1498</v>
      </c>
    </row>
    <row r="74" spans="15:21" ht="45.75" customHeight="1">
      <c r="S74" s="451" t="s">
        <v>1499</v>
      </c>
      <c r="T74" s="408" t="s">
        <v>1500</v>
      </c>
      <c r="U74" s="409" t="s">
        <v>77</v>
      </c>
    </row>
    <row r="75" spans="15:21" ht="56.25" customHeight="1">
      <c r="S75" s="448"/>
      <c r="T75" s="408" t="s">
        <v>1501</v>
      </c>
      <c r="U75" s="409" t="s">
        <v>1494</v>
      </c>
    </row>
    <row r="76" spans="15:21" ht="45.75" customHeight="1">
      <c r="S76" s="449" t="s">
        <v>1502</v>
      </c>
      <c r="T76" s="410" t="s">
        <v>1503</v>
      </c>
      <c r="U76" s="411" t="s">
        <v>1492</v>
      </c>
    </row>
    <row r="77" spans="15:21" ht="59.25" customHeight="1">
      <c r="S77" s="450"/>
      <c r="T77" s="410" t="s">
        <v>1504</v>
      </c>
      <c r="U77" s="409" t="s">
        <v>1494</v>
      </c>
    </row>
    <row r="78" spans="15:21" ht="57.75" customHeight="1">
      <c r="S78" s="451" t="s">
        <v>1505</v>
      </c>
      <c r="T78" s="408" t="s">
        <v>1506</v>
      </c>
      <c r="U78" s="411" t="s">
        <v>1492</v>
      </c>
    </row>
    <row r="79" spans="15:21" ht="58.5" customHeight="1">
      <c r="S79" s="448"/>
      <c r="T79" s="408" t="s">
        <v>1507</v>
      </c>
      <c r="U79" s="411" t="s">
        <v>1492</v>
      </c>
    </row>
    <row r="80" spans="15:21" ht="49.5" customHeight="1">
      <c r="S80" s="449" t="s">
        <v>1508</v>
      </c>
      <c r="T80" s="410" t="s">
        <v>1509</v>
      </c>
      <c r="U80" s="412" t="s">
        <v>1510</v>
      </c>
    </row>
    <row r="81" spans="15:21" ht="30.75" customHeight="1">
      <c r="S81" s="452"/>
      <c r="T81" s="410" t="s">
        <v>1511</v>
      </c>
      <c r="U81" s="411" t="s">
        <v>1512</v>
      </c>
    </row>
    <row r="82" spans="15:21" ht="31.5" customHeight="1">
      <c r="S82" s="450"/>
      <c r="T82" s="410" t="s">
        <v>1513</v>
      </c>
      <c r="U82" s="413" t="s">
        <v>77</v>
      </c>
    </row>
    <row r="85" spans="15:21" ht="15.75">
      <c r="P85" s="387" t="s">
        <v>1514</v>
      </c>
    </row>
    <row r="86" spans="15:21" ht="38.25" customHeight="1">
      <c r="O86" s="414">
        <v>8</v>
      </c>
      <c r="P86" s="446" t="s">
        <v>1515</v>
      </c>
      <c r="Q86" s="446"/>
      <c r="R86" s="446"/>
      <c r="S86" s="446"/>
      <c r="T86" s="446"/>
      <c r="U86" s="446"/>
    </row>
  </sheetData>
  <mergeCells count="64">
    <mergeCell ref="G24:H24"/>
    <mergeCell ref="C4:D4"/>
    <mergeCell ref="E4:F4"/>
    <mergeCell ref="G4:H4"/>
    <mergeCell ref="B5:D5"/>
    <mergeCell ref="B8:B9"/>
    <mergeCell ref="C9:D9"/>
    <mergeCell ref="E8:F8"/>
    <mergeCell ref="G8:H8"/>
    <mergeCell ref="C6:D6"/>
    <mergeCell ref="E6:F6"/>
    <mergeCell ref="G6:H6"/>
    <mergeCell ref="C7:D7"/>
    <mergeCell ref="E7:F7"/>
    <mergeCell ref="G7:H7"/>
    <mergeCell ref="C8:D8"/>
    <mergeCell ref="E9:F9"/>
    <mergeCell ref="G9:H9"/>
    <mergeCell ref="B18:B19"/>
    <mergeCell ref="G18:H18"/>
    <mergeCell ref="C19:D19"/>
    <mergeCell ref="E19:F19"/>
    <mergeCell ref="G19:H19"/>
    <mergeCell ref="C18:D18"/>
    <mergeCell ref="E18:F18"/>
    <mergeCell ref="B20:B21"/>
    <mergeCell ref="C22:D22"/>
    <mergeCell ref="E22:F22"/>
    <mergeCell ref="G22:H22"/>
    <mergeCell ref="B55:L55"/>
    <mergeCell ref="C25:D25"/>
    <mergeCell ref="E25:F25"/>
    <mergeCell ref="G25:H25"/>
    <mergeCell ref="C26:D26"/>
    <mergeCell ref="C21:D21"/>
    <mergeCell ref="E21:F21"/>
    <mergeCell ref="G21:H21"/>
    <mergeCell ref="C20:D20"/>
    <mergeCell ref="E20:F20"/>
    <mergeCell ref="G20:H20"/>
    <mergeCell ref="C24:D24"/>
    <mergeCell ref="B56:L56"/>
    <mergeCell ref="B57:L57"/>
    <mergeCell ref="B24:B25"/>
    <mergeCell ref="B26:B27"/>
    <mergeCell ref="C28:D28"/>
    <mergeCell ref="E28:F28"/>
    <mergeCell ref="G28:H28"/>
    <mergeCell ref="C36:D36"/>
    <mergeCell ref="E36:F36"/>
    <mergeCell ref="G36:H36"/>
    <mergeCell ref="E26:F26"/>
    <mergeCell ref="G26:H26"/>
    <mergeCell ref="C27:D27"/>
    <mergeCell ref="E27:F27"/>
    <mergeCell ref="G27:H27"/>
    <mergeCell ref="E24:F24"/>
    <mergeCell ref="P86:U86"/>
    <mergeCell ref="S70:S71"/>
    <mergeCell ref="S72:S73"/>
    <mergeCell ref="S74:S75"/>
    <mergeCell ref="S76:S77"/>
    <mergeCell ref="S78:S79"/>
    <mergeCell ref="S80:S8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B1:N67"/>
  <sheetViews>
    <sheetView zoomScaleNormal="100" workbookViewId="0"/>
  </sheetViews>
  <sheetFormatPr defaultRowHeight="15"/>
  <cols>
    <col min="2" max="4" width="2.7109375" customWidth="1"/>
    <col min="5" max="5" width="21.7109375" customWidth="1"/>
    <col min="6" max="6" width="2" customWidth="1"/>
    <col min="7" max="7" width="8.28515625" customWidth="1"/>
    <col min="8" max="8" width="12.7109375" customWidth="1"/>
    <col min="9" max="10" width="14.7109375" customWidth="1"/>
    <col min="11" max="11" width="10.7109375" customWidth="1"/>
    <col min="12" max="12" width="14.7109375" customWidth="1"/>
    <col min="13" max="13" width="13.7109375" customWidth="1"/>
    <col min="14" max="14" width="5.7109375" style="182" customWidth="1"/>
  </cols>
  <sheetData>
    <row r="1" spans="2:14" ht="14.1" customHeight="1"/>
    <row r="2" spans="2:14" ht="15.95" customHeight="1">
      <c r="B2" s="219"/>
    </row>
    <row r="3" spans="2:14" ht="15.95" customHeight="1">
      <c r="B3" s="283" t="s">
        <v>1356</v>
      </c>
      <c r="N3" s="231" t="s">
        <v>1357</v>
      </c>
    </row>
    <row r="4" spans="2:14" ht="14.1" customHeight="1">
      <c r="B4" s="534"/>
      <c r="C4" s="535"/>
      <c r="D4" s="535"/>
      <c r="E4" s="535"/>
      <c r="F4" s="536"/>
      <c r="G4" s="203" t="s">
        <v>1333</v>
      </c>
      <c r="H4" s="521" t="s">
        <v>1301</v>
      </c>
      <c r="I4" s="522"/>
      <c r="J4" s="522"/>
      <c r="K4" s="522"/>
      <c r="L4" s="522"/>
      <c r="M4" s="522"/>
      <c r="N4" s="523"/>
    </row>
    <row r="5" spans="2:14" ht="14.1" customHeight="1">
      <c r="B5" s="505"/>
      <c r="C5" s="501"/>
      <c r="D5" s="501"/>
      <c r="E5" s="501"/>
      <c r="F5" s="502"/>
      <c r="G5" s="204" t="s">
        <v>1308</v>
      </c>
      <c r="H5" s="524"/>
      <c r="I5" s="525"/>
      <c r="J5" s="525"/>
      <c r="K5" s="525"/>
      <c r="L5" s="525"/>
      <c r="M5" s="525"/>
      <c r="N5" s="526"/>
    </row>
    <row r="6" spans="2:14" ht="14.1" customHeight="1">
      <c r="B6" s="505"/>
      <c r="C6" s="501"/>
      <c r="D6" s="501"/>
      <c r="E6" s="501"/>
      <c r="F6" s="502"/>
      <c r="G6" s="205" t="s">
        <v>1334</v>
      </c>
      <c r="H6" s="203"/>
      <c r="I6" s="203"/>
      <c r="J6" s="203"/>
      <c r="K6" s="203" t="s">
        <v>1300</v>
      </c>
      <c r="L6" s="203"/>
      <c r="M6" s="203"/>
      <c r="N6" s="203"/>
    </row>
    <row r="7" spans="2:14" ht="14.1" customHeight="1">
      <c r="B7" s="527"/>
      <c r="C7" s="528"/>
      <c r="D7" s="528"/>
      <c r="E7" s="528"/>
      <c r="F7" s="529"/>
      <c r="G7" s="205" t="s">
        <v>1307</v>
      </c>
      <c r="H7" s="204" t="s">
        <v>1302</v>
      </c>
      <c r="I7" s="204" t="s">
        <v>39</v>
      </c>
      <c r="J7" s="204" t="s">
        <v>4</v>
      </c>
      <c r="K7" s="204" t="s">
        <v>1299</v>
      </c>
      <c r="L7" s="204" t="s">
        <v>2</v>
      </c>
      <c r="M7" s="204" t="s">
        <v>1</v>
      </c>
      <c r="N7" s="204" t="s">
        <v>1310</v>
      </c>
    </row>
    <row r="8" spans="2:14" ht="51" customHeight="1">
      <c r="B8" s="530" t="s">
        <v>1331</v>
      </c>
      <c r="C8" s="530"/>
      <c r="D8" s="530"/>
      <c r="E8" s="530"/>
      <c r="F8" s="530"/>
      <c r="G8" s="183">
        <v>238</v>
      </c>
      <c r="H8" s="184">
        <v>935227.91399999999</v>
      </c>
      <c r="I8" s="185">
        <f>SUM(J8:M8)</f>
        <v>8953120539</v>
      </c>
      <c r="J8" s="185">
        <v>3627960547</v>
      </c>
      <c r="K8" s="185">
        <v>4074851</v>
      </c>
      <c r="L8" s="185">
        <v>4365833746</v>
      </c>
      <c r="M8" s="185">
        <v>955251395</v>
      </c>
      <c r="N8" s="206"/>
    </row>
    <row r="9" spans="2:14" ht="18" customHeight="1">
      <c r="B9" s="197"/>
      <c r="C9" s="531" t="s">
        <v>1309</v>
      </c>
      <c r="D9" s="531"/>
      <c r="E9" s="531"/>
      <c r="F9" s="531"/>
      <c r="G9" s="187"/>
      <c r="H9" s="187"/>
      <c r="I9" s="188"/>
      <c r="J9" s="188"/>
      <c r="K9" s="188"/>
      <c r="L9" s="188"/>
      <c r="M9" s="188"/>
      <c r="N9" s="207"/>
    </row>
    <row r="10" spans="2:14" ht="75.75" customHeight="1">
      <c r="B10" s="198"/>
      <c r="C10" s="199"/>
      <c r="D10" s="518" t="s">
        <v>1311</v>
      </c>
      <c r="E10" s="518"/>
      <c r="F10" s="518"/>
      <c r="G10" s="186"/>
      <c r="H10" s="189"/>
      <c r="I10" s="189"/>
      <c r="J10" s="189"/>
      <c r="K10" s="189"/>
      <c r="L10" s="189"/>
      <c r="M10" s="189"/>
      <c r="N10" s="208"/>
    </row>
    <row r="11" spans="2:14" ht="14.1" customHeight="1">
      <c r="B11" s="198"/>
      <c r="C11" s="199"/>
      <c r="D11" s="520" t="s">
        <v>1312</v>
      </c>
      <c r="E11" s="520"/>
      <c r="F11" s="520"/>
      <c r="G11" s="190" t="s">
        <v>85</v>
      </c>
      <c r="H11" s="191">
        <v>-39.299999999999997</v>
      </c>
      <c r="I11" s="192"/>
      <c r="J11" s="192"/>
      <c r="K11" s="192"/>
      <c r="L11" s="192">
        <f>-225563.11-16767.478-1737.9</f>
        <v>-244068.48799999998</v>
      </c>
      <c r="M11" s="192"/>
      <c r="N11" s="209">
        <v>1</v>
      </c>
    </row>
    <row r="12" spans="2:14" ht="14.1" customHeight="1">
      <c r="B12" s="200"/>
      <c r="C12" s="201"/>
      <c r="D12" s="201"/>
      <c r="E12" s="515" t="s">
        <v>1314</v>
      </c>
      <c r="F12" s="515"/>
      <c r="G12" s="193"/>
      <c r="H12" s="194"/>
      <c r="I12" s="192"/>
      <c r="J12" s="192"/>
      <c r="K12" s="192"/>
      <c r="L12" s="192"/>
      <c r="M12" s="192"/>
      <c r="N12" s="209"/>
    </row>
    <row r="13" spans="2:14" ht="14.1" customHeight="1">
      <c r="B13" s="200"/>
      <c r="C13" s="201"/>
      <c r="D13" s="202"/>
      <c r="E13" s="515" t="s">
        <v>1313</v>
      </c>
      <c r="F13" s="515"/>
      <c r="G13" s="193"/>
      <c r="H13" s="194"/>
      <c r="I13" s="192"/>
      <c r="J13" s="192"/>
      <c r="K13" s="192"/>
      <c r="L13" s="192"/>
      <c r="M13" s="192"/>
      <c r="N13" s="209"/>
    </row>
    <row r="14" spans="2:14" ht="14.1" customHeight="1">
      <c r="B14" s="200"/>
      <c r="C14" s="201"/>
      <c r="D14" s="520" t="s">
        <v>1315</v>
      </c>
      <c r="E14" s="520"/>
      <c r="F14" s="520"/>
      <c r="G14" s="190" t="s">
        <v>85</v>
      </c>
      <c r="H14" s="194">
        <v>-36.902999999999999</v>
      </c>
      <c r="I14" s="192"/>
      <c r="J14" s="192"/>
      <c r="K14" s="192"/>
      <c r="L14" s="192">
        <f>-69629.33-3034.616-344.4</f>
        <v>-73008.34599999999</v>
      </c>
      <c r="M14" s="192"/>
      <c r="N14" s="209">
        <v>1</v>
      </c>
    </row>
    <row r="15" spans="2:14" ht="14.1" customHeight="1">
      <c r="B15" s="200"/>
      <c r="C15" s="201"/>
      <c r="D15" s="202"/>
      <c r="E15" s="515" t="s">
        <v>1316</v>
      </c>
      <c r="F15" s="515"/>
      <c r="G15" s="193"/>
      <c r="H15" s="194"/>
      <c r="I15" s="192"/>
      <c r="J15" s="192"/>
      <c r="K15" s="192"/>
      <c r="L15" s="192"/>
      <c r="M15" s="192"/>
      <c r="N15" s="209"/>
    </row>
    <row r="16" spans="2:14" ht="14.1" customHeight="1">
      <c r="B16" s="200"/>
      <c r="C16" s="201"/>
      <c r="D16" s="202"/>
      <c r="E16" s="515" t="s">
        <v>1317</v>
      </c>
      <c r="F16" s="515"/>
      <c r="G16" s="193"/>
      <c r="H16" s="194"/>
      <c r="I16" s="192"/>
      <c r="J16" s="192"/>
      <c r="K16" s="192"/>
      <c r="L16" s="192"/>
      <c r="M16" s="192"/>
      <c r="N16" s="209"/>
    </row>
    <row r="17" spans="2:14" ht="14.1" customHeight="1">
      <c r="B17" s="200"/>
      <c r="C17" s="201"/>
      <c r="D17" s="520" t="s">
        <v>1318</v>
      </c>
      <c r="E17" s="520"/>
      <c r="F17" s="520"/>
      <c r="G17" s="190" t="s">
        <v>85</v>
      </c>
      <c r="H17" s="194">
        <v>-142.845</v>
      </c>
      <c r="I17" s="192"/>
      <c r="J17" s="192"/>
      <c r="K17" s="192"/>
      <c r="L17" s="192">
        <f>-813348.45-64316.604-6666.23</f>
        <v>-884331.28399999999</v>
      </c>
      <c r="M17" s="192"/>
      <c r="N17" s="209">
        <v>1</v>
      </c>
    </row>
    <row r="18" spans="2:14" ht="14.1" customHeight="1">
      <c r="B18" s="200"/>
      <c r="C18" s="201"/>
      <c r="D18" s="202"/>
      <c r="E18" s="515" t="s">
        <v>1319</v>
      </c>
      <c r="F18" s="515"/>
      <c r="G18" s="193"/>
      <c r="H18" s="194"/>
      <c r="I18" s="192"/>
      <c r="J18" s="192"/>
      <c r="K18" s="192"/>
      <c r="L18" s="192"/>
      <c r="M18" s="192"/>
      <c r="N18" s="209"/>
    </row>
    <row r="19" spans="2:14" ht="14.1" customHeight="1">
      <c r="B19" s="200"/>
      <c r="C19" s="201"/>
      <c r="D19" s="202"/>
      <c r="E19" s="515" t="s">
        <v>1320</v>
      </c>
      <c r="F19" s="515"/>
      <c r="G19" s="193"/>
      <c r="H19" s="194"/>
      <c r="I19" s="192"/>
      <c r="J19" s="192"/>
      <c r="K19" s="192"/>
      <c r="L19" s="192"/>
      <c r="M19" s="192"/>
      <c r="N19" s="209"/>
    </row>
    <row r="20" spans="2:14" ht="14.1" customHeight="1">
      <c r="B20" s="200"/>
      <c r="C20" s="201"/>
      <c r="D20" s="520" t="s">
        <v>1321</v>
      </c>
      <c r="E20" s="520"/>
      <c r="F20" s="520"/>
      <c r="G20" s="190" t="s">
        <v>85</v>
      </c>
      <c r="H20" s="194">
        <v>-86.385000000000005</v>
      </c>
      <c r="I20" s="192"/>
      <c r="J20" s="192"/>
      <c r="K20" s="192"/>
      <c r="L20" s="192">
        <f>-446489.57-35298.998-4006.18</f>
        <v>-485794.74800000002</v>
      </c>
      <c r="M20" s="192"/>
      <c r="N20" s="209">
        <v>1</v>
      </c>
    </row>
    <row r="21" spans="2:14" ht="14.1" customHeight="1">
      <c r="B21" s="200"/>
      <c r="C21" s="201"/>
      <c r="D21" s="202"/>
      <c r="E21" s="515" t="s">
        <v>1322</v>
      </c>
      <c r="F21" s="515"/>
      <c r="G21" s="193"/>
      <c r="H21" s="194"/>
      <c r="I21" s="192"/>
      <c r="J21" s="192"/>
      <c r="K21" s="192"/>
      <c r="L21" s="192"/>
      <c r="M21" s="192"/>
      <c r="N21" s="209"/>
    </row>
    <row r="22" spans="2:14" ht="14.1" customHeight="1">
      <c r="B22" s="200"/>
      <c r="C22" s="201"/>
      <c r="D22" s="202"/>
      <c r="E22" s="515" t="s">
        <v>1320</v>
      </c>
      <c r="F22" s="515"/>
      <c r="G22" s="193"/>
      <c r="H22" s="194"/>
      <c r="I22" s="192"/>
      <c r="J22" s="192"/>
      <c r="K22" s="192"/>
      <c r="L22" s="192"/>
      <c r="M22" s="192"/>
      <c r="N22" s="209"/>
    </row>
    <row r="23" spans="2:14" ht="14.1" customHeight="1">
      <c r="B23" s="200"/>
      <c r="C23" s="201"/>
      <c r="D23" s="520" t="s">
        <v>1323</v>
      </c>
      <c r="E23" s="520"/>
      <c r="F23" s="520"/>
      <c r="G23" s="190" t="s">
        <v>85</v>
      </c>
      <c r="H23" s="194">
        <v>-63.12</v>
      </c>
      <c r="I23" s="192"/>
      <c r="J23" s="192"/>
      <c r="K23" s="192"/>
      <c r="L23" s="192">
        <f>-103103.17-28928.852-2998.39</f>
        <v>-135030.41200000001</v>
      </c>
      <c r="M23" s="192"/>
      <c r="N23" s="209">
        <v>1</v>
      </c>
    </row>
    <row r="24" spans="2:14" ht="14.1" customHeight="1">
      <c r="B24" s="200"/>
      <c r="C24" s="201"/>
      <c r="D24" s="202"/>
      <c r="E24" s="515" t="s">
        <v>1324</v>
      </c>
      <c r="F24" s="515"/>
      <c r="G24" s="193"/>
      <c r="H24" s="194"/>
      <c r="I24" s="192"/>
      <c r="J24" s="192"/>
      <c r="K24" s="192"/>
      <c r="L24" s="192"/>
      <c r="M24" s="192"/>
      <c r="N24" s="209"/>
    </row>
    <row r="25" spans="2:14" ht="14.1" customHeight="1">
      <c r="B25" s="200"/>
      <c r="C25" s="201"/>
      <c r="D25" s="202"/>
      <c r="E25" s="515" t="s">
        <v>1325</v>
      </c>
      <c r="F25" s="515"/>
      <c r="G25" s="193"/>
      <c r="H25" s="194"/>
      <c r="I25" s="192"/>
      <c r="J25" s="192"/>
      <c r="K25" s="192"/>
      <c r="L25" s="192"/>
      <c r="M25" s="192"/>
      <c r="N25" s="209"/>
    </row>
    <row r="26" spans="2:14" ht="14.1" customHeight="1">
      <c r="B26" s="200"/>
      <c r="C26" s="201"/>
      <c r="D26" s="520" t="s">
        <v>1326</v>
      </c>
      <c r="E26" s="520"/>
      <c r="F26" s="520"/>
      <c r="G26" s="190" t="s">
        <v>85</v>
      </c>
      <c r="H26" s="194">
        <v>-263.83999999999997</v>
      </c>
      <c r="I26" s="192"/>
      <c r="J26" s="192"/>
      <c r="K26" s="192"/>
      <c r="L26" s="192">
        <f>-595729.2-118795.147-12312.79</f>
        <v>-726837.13699999999</v>
      </c>
      <c r="M26" s="192"/>
      <c r="N26" s="209">
        <v>1</v>
      </c>
    </row>
    <row r="27" spans="2:14" ht="14.1" customHeight="1">
      <c r="B27" s="200"/>
      <c r="C27" s="201"/>
      <c r="D27" s="202"/>
      <c r="E27" s="515" t="s">
        <v>1327</v>
      </c>
      <c r="F27" s="515"/>
      <c r="G27" s="193"/>
      <c r="H27" s="194"/>
      <c r="I27" s="192"/>
      <c r="J27" s="192"/>
      <c r="K27" s="192"/>
      <c r="L27" s="192"/>
      <c r="M27" s="192"/>
      <c r="N27" s="209"/>
    </row>
    <row r="28" spans="2:14" ht="14.1" customHeight="1">
      <c r="B28" s="200"/>
      <c r="C28" s="201"/>
      <c r="D28" s="202"/>
      <c r="E28" s="515" t="s">
        <v>1328</v>
      </c>
      <c r="F28" s="515"/>
      <c r="G28" s="193"/>
      <c r="H28" s="194"/>
      <c r="I28" s="192"/>
      <c r="J28" s="192"/>
      <c r="K28" s="192"/>
      <c r="L28" s="192"/>
      <c r="M28" s="192"/>
      <c r="N28" s="209"/>
    </row>
    <row r="29" spans="2:14" ht="18" customHeight="1">
      <c r="B29" s="200"/>
      <c r="C29" s="201"/>
      <c r="D29" s="217"/>
      <c r="E29" s="217" t="s">
        <v>1329</v>
      </c>
      <c r="F29" s="218"/>
      <c r="G29" s="214" t="s">
        <v>85</v>
      </c>
      <c r="H29" s="215">
        <f>SUM(H11:H26)</f>
        <v>-632.39300000000003</v>
      </c>
      <c r="I29" s="216"/>
      <c r="J29" s="216"/>
      <c r="K29" s="216"/>
      <c r="L29" s="216">
        <f>SUM(L11:L26)</f>
        <v>-2549070.415</v>
      </c>
      <c r="M29" s="216"/>
      <c r="N29" s="209">
        <v>5</v>
      </c>
    </row>
    <row r="30" spans="2:14" ht="8.1" customHeight="1">
      <c r="B30" s="200"/>
      <c r="C30" s="201"/>
      <c r="D30" s="202"/>
      <c r="E30" s="539"/>
      <c r="F30" s="539"/>
      <c r="G30" s="193"/>
      <c r="H30" s="194"/>
      <c r="I30" s="192"/>
      <c r="J30" s="192"/>
      <c r="K30" s="192"/>
      <c r="L30" s="192"/>
      <c r="M30" s="192"/>
      <c r="N30" s="209"/>
    </row>
    <row r="31" spans="2:14" ht="20.100000000000001" customHeight="1">
      <c r="B31" s="516" t="s">
        <v>1330</v>
      </c>
      <c r="C31" s="517"/>
      <c r="D31" s="517"/>
      <c r="E31" s="517"/>
      <c r="F31" s="517"/>
      <c r="G31" s="220">
        <v>238</v>
      </c>
      <c r="H31" s="221">
        <f t="shared" ref="H31:M31" si="0">H8+H29</f>
        <v>934595.52099999995</v>
      </c>
      <c r="I31" s="222">
        <f>SUM(J31:M31)</f>
        <v>8950571468.5849991</v>
      </c>
      <c r="J31" s="222">
        <f t="shared" si="0"/>
        <v>3627960547</v>
      </c>
      <c r="K31" s="222">
        <f t="shared" si="0"/>
        <v>4074851</v>
      </c>
      <c r="L31" s="222">
        <f t="shared" si="0"/>
        <v>4363284675.585</v>
      </c>
      <c r="M31" s="222">
        <f t="shared" si="0"/>
        <v>955251395</v>
      </c>
      <c r="N31" s="212">
        <v>3</v>
      </c>
    </row>
    <row r="32" spans="2:14" ht="20.100000000000001" customHeight="1">
      <c r="B32" s="507" t="s">
        <v>1340</v>
      </c>
      <c r="C32" s="508"/>
      <c r="D32" s="508"/>
      <c r="E32" s="508"/>
      <c r="F32" s="509"/>
      <c r="G32" s="232"/>
      <c r="H32" s="233"/>
      <c r="I32" s="234">
        <f>I31/$H31</f>
        <v>9576.9466763633245</v>
      </c>
      <c r="J32" s="234">
        <f>J31/$H31</f>
        <v>3881.850988455572</v>
      </c>
      <c r="K32" s="234">
        <f>K31/$H31</f>
        <v>4.3600155451633071</v>
      </c>
      <c r="L32" s="234">
        <f>L31/$H31</f>
        <v>4668.6342674918515</v>
      </c>
      <c r="M32" s="234">
        <f>M31/$H31</f>
        <v>1022.1014048707387</v>
      </c>
      <c r="N32" s="209"/>
    </row>
    <row r="33" spans="2:14" ht="20.100000000000001" customHeight="1">
      <c r="B33" s="229" t="s">
        <v>1346</v>
      </c>
      <c r="C33" s="230"/>
      <c r="D33" s="230"/>
      <c r="E33" s="230"/>
      <c r="F33" s="230"/>
      <c r="G33" s="223"/>
      <c r="H33" s="224"/>
      <c r="I33" s="235">
        <f>SUM(J33:M33)</f>
        <v>1.0000000000000002</v>
      </c>
      <c r="J33" s="235">
        <f>J31/$I31</f>
        <v>0.40533283933138031</v>
      </c>
      <c r="K33" s="235">
        <f>K31/$I31</f>
        <v>4.5526154551159574E-4</v>
      </c>
      <c r="L33" s="235">
        <f>L31/$I31</f>
        <v>0.4874867142170079</v>
      </c>
      <c r="M33" s="235">
        <f>M31/$I31</f>
        <v>0.10672518490610033</v>
      </c>
      <c r="N33" s="213"/>
    </row>
    <row r="34" spans="2:14" ht="49.5" customHeight="1">
      <c r="B34" s="537" t="s">
        <v>1332</v>
      </c>
      <c r="C34" s="538"/>
      <c r="D34" s="538"/>
      <c r="E34" s="538"/>
      <c r="F34" s="538"/>
      <c r="G34" s="183">
        <v>442</v>
      </c>
      <c r="H34" s="184">
        <v>88586.883000000002</v>
      </c>
      <c r="I34" s="185">
        <f>SUM(J34:M34)</f>
        <v>675226730</v>
      </c>
      <c r="J34" s="185">
        <v>46658167</v>
      </c>
      <c r="K34" s="185">
        <v>1215408</v>
      </c>
      <c r="L34" s="185">
        <v>568675952</v>
      </c>
      <c r="M34" s="185">
        <v>58677203</v>
      </c>
      <c r="N34" s="210"/>
    </row>
    <row r="35" spans="2:14" ht="18" customHeight="1">
      <c r="B35" s="253"/>
      <c r="C35" s="254" t="s">
        <v>1309</v>
      </c>
      <c r="D35" s="255"/>
      <c r="E35" s="255"/>
      <c r="F35" s="256"/>
      <c r="G35" s="193"/>
      <c r="H35" s="194"/>
      <c r="I35" s="193"/>
      <c r="J35" s="193"/>
      <c r="K35" s="193"/>
      <c r="L35" s="193"/>
      <c r="M35" s="193"/>
      <c r="N35" s="209"/>
    </row>
    <row r="36" spans="2:14" ht="72" customHeight="1">
      <c r="B36" s="200"/>
      <c r="C36" s="201"/>
      <c r="D36" s="518" t="s">
        <v>1335</v>
      </c>
      <c r="E36" s="518"/>
      <c r="F36" s="519"/>
      <c r="G36" s="196">
        <v>6</v>
      </c>
      <c r="H36" s="194">
        <v>632.39300000000003</v>
      </c>
      <c r="I36" s="192"/>
      <c r="J36" s="192"/>
      <c r="K36" s="192"/>
      <c r="L36" s="192">
        <v>2549070.415</v>
      </c>
      <c r="M36" s="192"/>
      <c r="N36" s="209" t="s">
        <v>1424</v>
      </c>
    </row>
    <row r="37" spans="2:14" ht="14.1" customHeight="1">
      <c r="B37" s="257"/>
      <c r="C37" s="258"/>
      <c r="D37" s="258"/>
      <c r="E37" s="258"/>
      <c r="F37" s="259"/>
      <c r="G37" s="193"/>
      <c r="H37" s="194"/>
      <c r="I37" s="193"/>
      <c r="J37" s="193"/>
      <c r="K37" s="193"/>
      <c r="L37" s="193"/>
      <c r="M37" s="193"/>
      <c r="N37" s="209"/>
    </row>
    <row r="38" spans="2:14" ht="20.100000000000001" customHeight="1">
      <c r="B38" s="510" t="s">
        <v>1339</v>
      </c>
      <c r="C38" s="511"/>
      <c r="D38" s="511"/>
      <c r="E38" s="511"/>
      <c r="F38" s="511"/>
      <c r="G38" s="225">
        <f>G34+G36</f>
        <v>448</v>
      </c>
      <c r="H38" s="226">
        <f t="shared" ref="H38:M38" si="1">H34+H36</f>
        <v>89219.275999999998</v>
      </c>
      <c r="I38" s="211">
        <f>SUM(J38:M38)</f>
        <v>677775800.41499996</v>
      </c>
      <c r="J38" s="211">
        <f t="shared" si="1"/>
        <v>46658167</v>
      </c>
      <c r="K38" s="211">
        <f t="shared" si="1"/>
        <v>1215408</v>
      </c>
      <c r="L38" s="211">
        <f t="shared" si="1"/>
        <v>571225022.41499996</v>
      </c>
      <c r="M38" s="211">
        <f t="shared" si="1"/>
        <v>58677203</v>
      </c>
      <c r="N38" s="212">
        <v>3</v>
      </c>
    </row>
    <row r="39" spans="2:14" ht="20.100000000000001" customHeight="1">
      <c r="B39" s="532" t="s">
        <v>1341</v>
      </c>
      <c r="C39" s="533"/>
      <c r="D39" s="533"/>
      <c r="E39" s="533"/>
      <c r="F39" s="533"/>
      <c r="G39" s="236"/>
      <c r="H39" s="237"/>
      <c r="I39" s="195">
        <f>I38/$H38</f>
        <v>7596.7417670481882</v>
      </c>
      <c r="J39" s="195">
        <f>J38/$H38</f>
        <v>522.96060999194844</v>
      </c>
      <c r="K39" s="195">
        <f>K38/$H38</f>
        <v>13.622706375693971</v>
      </c>
      <c r="L39" s="195">
        <f>L38/$H38</f>
        <v>6402.4843960289472</v>
      </c>
      <c r="M39" s="195">
        <f>M38/$H38</f>
        <v>657.674054651598</v>
      </c>
      <c r="N39" s="209"/>
    </row>
    <row r="40" spans="2:14" ht="20.100000000000001" customHeight="1">
      <c r="B40" s="229" t="s">
        <v>1345</v>
      </c>
      <c r="C40" s="238"/>
      <c r="D40" s="238"/>
      <c r="E40" s="238"/>
      <c r="F40" s="238"/>
      <c r="G40" s="227"/>
      <c r="H40" s="228"/>
      <c r="I40" s="235">
        <f>SUM(J40:M40)</f>
        <v>1</v>
      </c>
      <c r="J40" s="235">
        <f>J38/$I38</f>
        <v>6.8840119360165042E-2</v>
      </c>
      <c r="K40" s="235">
        <f>K38/$I38</f>
        <v>1.793230149639172E-3</v>
      </c>
      <c r="L40" s="235">
        <f>L38/$I38</f>
        <v>0.8427934754608245</v>
      </c>
      <c r="M40" s="235">
        <f>M38/$I38</f>
        <v>8.6573175029371272E-2</v>
      </c>
      <c r="N40" s="213"/>
    </row>
    <row r="41" spans="2:14" ht="36.75" customHeight="1">
      <c r="B41" s="512" t="s">
        <v>1342</v>
      </c>
      <c r="C41" s="513"/>
      <c r="D41" s="513"/>
      <c r="E41" s="513"/>
      <c r="F41" s="513"/>
      <c r="G41" s="260"/>
      <c r="H41" s="282" t="s">
        <v>1302</v>
      </c>
      <c r="I41" s="261" t="s">
        <v>39</v>
      </c>
      <c r="J41" s="261" t="s">
        <v>4</v>
      </c>
      <c r="K41" s="262" t="s">
        <v>1348</v>
      </c>
      <c r="L41" s="261" t="s">
        <v>2</v>
      </c>
      <c r="M41" s="261" t="s">
        <v>1</v>
      </c>
      <c r="N41" s="263"/>
    </row>
    <row r="42" spans="2:14" ht="20.100000000000001" customHeight="1">
      <c r="B42" s="264"/>
      <c r="C42" s="514" t="s">
        <v>1394</v>
      </c>
      <c r="D42" s="514"/>
      <c r="E42" s="514"/>
      <c r="F42" s="514"/>
      <c r="G42" s="514"/>
      <c r="H42" s="277">
        <f>H31+H38</f>
        <v>1023814.7969999999</v>
      </c>
      <c r="I42" s="244"/>
      <c r="J42" s="250"/>
      <c r="K42" s="250"/>
      <c r="L42" s="250"/>
      <c r="M42" s="250"/>
      <c r="N42" s="265"/>
    </row>
    <row r="43" spans="2:14" ht="20.100000000000001" customHeight="1">
      <c r="B43" s="264"/>
      <c r="C43" s="240" t="s">
        <v>1393</v>
      </c>
      <c r="D43" s="240"/>
      <c r="E43" s="240"/>
      <c r="F43" s="240"/>
      <c r="G43" s="239"/>
      <c r="H43" s="278"/>
      <c r="I43" s="245">
        <f>SUM(J43:M43)</f>
        <v>9628347269</v>
      </c>
      <c r="J43" s="246">
        <f>J38+J31</f>
        <v>3674618714</v>
      </c>
      <c r="K43" s="246">
        <f>K38+K31</f>
        <v>5290259</v>
      </c>
      <c r="L43" s="246">
        <f>L38+L31</f>
        <v>4934509698</v>
      </c>
      <c r="M43" s="252">
        <f>M38+M31</f>
        <v>1013928598</v>
      </c>
      <c r="N43" s="281"/>
    </row>
    <row r="44" spans="2:14" ht="20.100000000000001" customHeight="1">
      <c r="B44" s="264"/>
      <c r="C44" s="240" t="s">
        <v>1384</v>
      </c>
      <c r="D44" s="240"/>
      <c r="E44" s="240"/>
      <c r="F44" s="240"/>
      <c r="G44" s="239"/>
      <c r="H44" s="278"/>
      <c r="I44" s="247">
        <f>SUM(J44:M44)</f>
        <v>0.99999999999999989</v>
      </c>
      <c r="J44" s="247">
        <f>J43/I43</f>
        <v>0.38164584339734203</v>
      </c>
      <c r="K44" s="247">
        <f>K43/I43</f>
        <v>5.4944621877451726E-4</v>
      </c>
      <c r="L44" s="247">
        <f>L43/I43</f>
        <v>0.51249810171341048</v>
      </c>
      <c r="M44" s="315">
        <f>M43/I43</f>
        <v>0.10530660867047295</v>
      </c>
      <c r="N44" s="281"/>
    </row>
    <row r="45" spans="2:14" ht="20.100000000000001" customHeight="1">
      <c r="B45" s="264"/>
      <c r="C45" s="240" t="s">
        <v>1343</v>
      </c>
      <c r="D45" s="240"/>
      <c r="E45" s="240"/>
      <c r="F45" s="240"/>
      <c r="G45" s="239"/>
      <c r="H45" s="279">
        <f>H31/H42</f>
        <v>0.91285603972375484</v>
      </c>
      <c r="I45" s="246"/>
      <c r="J45" s="245"/>
      <c r="K45" s="245"/>
      <c r="L45" s="245"/>
      <c r="M45" s="245"/>
      <c r="N45" s="265"/>
    </row>
    <row r="46" spans="2:14" ht="20.100000000000001" customHeight="1">
      <c r="B46" s="264"/>
      <c r="C46" s="240" t="s">
        <v>1344</v>
      </c>
      <c r="D46" s="240"/>
      <c r="E46" s="240"/>
      <c r="F46" s="240"/>
      <c r="G46" s="239"/>
      <c r="H46" s="279">
        <f>H38/H42</f>
        <v>8.7143960276245158E-2</v>
      </c>
      <c r="I46" s="246"/>
      <c r="J46" s="245"/>
      <c r="K46" s="245"/>
      <c r="L46" s="245"/>
      <c r="M46" s="245"/>
      <c r="N46" s="265"/>
    </row>
    <row r="47" spans="2:14" ht="20.100000000000001" customHeight="1">
      <c r="B47" s="264"/>
      <c r="C47" s="240" t="s">
        <v>1380</v>
      </c>
      <c r="D47" s="240"/>
      <c r="E47" s="240"/>
      <c r="F47" s="240"/>
      <c r="G47" s="239"/>
      <c r="H47" s="279"/>
      <c r="I47" s="247">
        <f>I31/I43</f>
        <v>0.92960621574200919</v>
      </c>
      <c r="J47" s="247">
        <f>J31/J43</f>
        <v>0.98730258276260441</v>
      </c>
      <c r="K47" s="247">
        <f>K31/K43</f>
        <v>0.77025548276558864</v>
      </c>
      <c r="L47" s="247">
        <f>L31/L43</f>
        <v>0.88423874764163046</v>
      </c>
      <c r="M47" s="247">
        <f>M31/M43</f>
        <v>0.94212886083325564</v>
      </c>
      <c r="N47" s="265"/>
    </row>
    <row r="48" spans="2:14" ht="20.100000000000001" customHeight="1">
      <c r="B48" s="264"/>
      <c r="C48" s="240" t="s">
        <v>1381</v>
      </c>
      <c r="D48" s="240"/>
      <c r="E48" s="240"/>
      <c r="F48" s="240"/>
      <c r="G48" s="239"/>
      <c r="H48" s="280"/>
      <c r="I48" s="247">
        <f>I38/I43</f>
        <v>7.0393784257990699E-2</v>
      </c>
      <c r="J48" s="247">
        <f>J38/J43</f>
        <v>1.2697417237395587E-2</v>
      </c>
      <c r="K48" s="247">
        <f>K38/K43</f>
        <v>0.22974451723441139</v>
      </c>
      <c r="L48" s="247">
        <f>L38/L43</f>
        <v>0.11576125235836957</v>
      </c>
      <c r="M48" s="247">
        <f>M38/M43</f>
        <v>5.7871139166744363E-2</v>
      </c>
      <c r="N48" s="265"/>
    </row>
    <row r="49" spans="2:14" ht="20.100000000000001" customHeight="1">
      <c r="B49" s="264"/>
      <c r="C49" s="266"/>
      <c r="D49" s="240"/>
      <c r="E49" s="240"/>
      <c r="F49" s="240"/>
      <c r="G49" s="239"/>
      <c r="H49" s="243"/>
      <c r="I49" s="248">
        <f>SUM(I47:I48)</f>
        <v>0.99999999999999989</v>
      </c>
      <c r="J49" s="248">
        <f>SUM(J47:J48)</f>
        <v>1</v>
      </c>
      <c r="K49" s="248">
        <f>SUM(K47:K48)</f>
        <v>1</v>
      </c>
      <c r="L49" s="248">
        <f>SUM(L47:L48)</f>
        <v>1</v>
      </c>
      <c r="M49" s="248">
        <f>SUM(M47:M48)</f>
        <v>1</v>
      </c>
      <c r="N49" s="265"/>
    </row>
    <row r="50" spans="2:14" ht="20.100000000000001" customHeight="1">
      <c r="B50" s="264"/>
      <c r="C50" s="240" t="s">
        <v>1347</v>
      </c>
      <c r="D50" s="240"/>
      <c r="E50" s="240"/>
      <c r="F50" s="240"/>
      <c r="G50" s="239"/>
      <c r="H50" s="243"/>
      <c r="I50" s="246">
        <f>I32-I39</f>
        <v>1980.2049093151363</v>
      </c>
      <c r="J50" s="246">
        <f>J32-J39</f>
        <v>3358.8903784636236</v>
      </c>
      <c r="K50" s="246">
        <f>K32-K39</f>
        <v>-9.2626908305306639</v>
      </c>
      <c r="L50" s="246">
        <f>L32-L39</f>
        <v>-1733.8501285370958</v>
      </c>
      <c r="M50" s="246">
        <f>M32-M39</f>
        <v>364.42735021914075</v>
      </c>
      <c r="N50" s="265"/>
    </row>
    <row r="51" spans="2:14" ht="30" customHeight="1">
      <c r="B51" s="264"/>
      <c r="C51" s="506" t="s">
        <v>1349</v>
      </c>
      <c r="D51" s="506"/>
      <c r="E51" s="506"/>
      <c r="F51" s="506"/>
      <c r="G51" s="506"/>
      <c r="H51" s="506"/>
      <c r="I51" s="245">
        <f>SUM(J51:M51)</f>
        <v>176672448.34074217</v>
      </c>
      <c r="J51" s="246">
        <f>(J32*$H$38)-J38</f>
        <v>299677767.72989047</v>
      </c>
      <c r="K51" s="246">
        <f>(K32*$H$38)-K38</f>
        <v>-826410.56971178437</v>
      </c>
      <c r="L51" s="246">
        <f>(L32*$H$38)-L38</f>
        <v>-154692853.16058666</v>
      </c>
      <c r="M51" s="246">
        <f>(M32*$H$38)-M38</f>
        <v>32513944.34115018</v>
      </c>
      <c r="N51" s="265"/>
    </row>
    <row r="52" spans="2:14" ht="30" customHeight="1">
      <c r="B52" s="264"/>
      <c r="C52" s="506" t="s">
        <v>1350</v>
      </c>
      <c r="D52" s="506"/>
      <c r="E52" s="506"/>
      <c r="F52" s="506"/>
      <c r="G52" s="506"/>
      <c r="H52" s="506"/>
      <c r="I52" s="249">
        <f>SUM(J52:M52)</f>
        <v>-1850690638.908139</v>
      </c>
      <c r="J52" s="251">
        <f>(J39*$H$31)-J31</f>
        <v>-3139203903.2420969</v>
      </c>
      <c r="K52" s="251">
        <f>(K39*$H$31)-K31</f>
        <v>8656869.3626217283</v>
      </c>
      <c r="L52" s="251">
        <f>(L39*$H$31)-L31</f>
        <v>1620448564.2160435</v>
      </c>
      <c r="M52" s="251">
        <f>(M39*$H$31)-M31</f>
        <v>-340592169.24470735</v>
      </c>
      <c r="N52" s="265"/>
    </row>
    <row r="53" spans="2:14" ht="20.100000000000001" customHeight="1">
      <c r="B53" s="264"/>
      <c r="C53" s="240"/>
      <c r="D53" s="240"/>
      <c r="E53" s="240"/>
      <c r="F53" s="240"/>
      <c r="G53" s="239"/>
      <c r="H53" s="243"/>
      <c r="I53" s="242"/>
      <c r="J53" s="241"/>
      <c r="K53" s="241"/>
      <c r="L53" s="241"/>
      <c r="M53" s="241"/>
      <c r="N53" s="265"/>
    </row>
    <row r="54" spans="2:14" ht="15.95" customHeight="1">
      <c r="B54" s="264"/>
      <c r="C54" s="240"/>
      <c r="D54" s="240"/>
      <c r="E54" s="240"/>
      <c r="F54" s="240"/>
      <c r="G54" s="239"/>
      <c r="H54" s="243"/>
      <c r="I54" s="242"/>
      <c r="J54" s="241"/>
      <c r="K54" s="241"/>
      <c r="L54" s="241"/>
      <c r="M54" s="241"/>
      <c r="N54" s="265"/>
    </row>
    <row r="55" spans="2:14" ht="21.95" customHeight="1">
      <c r="B55" s="267" t="s">
        <v>1336</v>
      </c>
      <c r="C55" s="268"/>
      <c r="D55" s="268"/>
      <c r="E55" s="268"/>
      <c r="F55" s="268"/>
      <c r="G55" s="268"/>
      <c r="H55" s="269"/>
      <c r="I55" s="268"/>
      <c r="J55" s="268"/>
      <c r="K55" s="268"/>
      <c r="L55" s="268"/>
      <c r="M55" s="268"/>
      <c r="N55" s="270"/>
    </row>
    <row r="56" spans="2:14" ht="14.1" customHeight="1">
      <c r="B56" s="271">
        <v>1</v>
      </c>
      <c r="C56" s="501" t="s">
        <v>1337</v>
      </c>
      <c r="D56" s="501"/>
      <c r="E56" s="501"/>
      <c r="F56" s="501"/>
      <c r="G56" s="501"/>
      <c r="H56" s="501"/>
      <c r="I56" s="501"/>
      <c r="J56" s="501"/>
      <c r="K56" s="501"/>
      <c r="L56" s="501"/>
      <c r="M56" s="501"/>
      <c r="N56" s="502"/>
    </row>
    <row r="57" spans="2:14" ht="14.1" customHeight="1">
      <c r="B57" s="271">
        <v>2</v>
      </c>
      <c r="C57" s="501" t="s">
        <v>1338</v>
      </c>
      <c r="D57" s="501"/>
      <c r="E57" s="501"/>
      <c r="F57" s="501"/>
      <c r="G57" s="501"/>
      <c r="H57" s="501"/>
      <c r="I57" s="501"/>
      <c r="J57" s="501"/>
      <c r="K57" s="501"/>
      <c r="L57" s="501"/>
      <c r="M57" s="501"/>
      <c r="N57" s="502"/>
    </row>
    <row r="58" spans="2:14" ht="14.1" customHeight="1">
      <c r="B58" s="271">
        <v>3</v>
      </c>
      <c r="C58" s="272" t="s">
        <v>1385</v>
      </c>
      <c r="D58" s="272"/>
      <c r="E58" s="272"/>
      <c r="F58" s="272"/>
      <c r="G58" s="272"/>
      <c r="H58" s="272"/>
      <c r="I58" s="272"/>
      <c r="J58" s="272"/>
      <c r="K58" s="272"/>
      <c r="L58" s="272"/>
      <c r="M58" s="272"/>
      <c r="N58" s="273"/>
    </row>
    <row r="59" spans="2:14" ht="14.1" customHeight="1">
      <c r="B59" s="271">
        <v>4</v>
      </c>
      <c r="C59" s="272" t="s">
        <v>1362</v>
      </c>
      <c r="D59" s="272"/>
      <c r="E59" s="272"/>
      <c r="F59" s="272"/>
      <c r="G59" s="272"/>
      <c r="H59" s="272"/>
      <c r="I59" s="272"/>
      <c r="J59" s="272"/>
      <c r="K59" s="272"/>
      <c r="L59" s="272"/>
      <c r="M59" s="272"/>
      <c r="N59" s="273"/>
    </row>
    <row r="60" spans="2:14" ht="14.1" customHeight="1">
      <c r="B60" s="271">
        <v>5</v>
      </c>
      <c r="C60" s="501" t="s">
        <v>1425</v>
      </c>
      <c r="D60" s="501"/>
      <c r="E60" s="501"/>
      <c r="F60" s="501"/>
      <c r="G60" s="501"/>
      <c r="H60" s="501"/>
      <c r="I60" s="501"/>
      <c r="J60" s="501"/>
      <c r="K60" s="501"/>
      <c r="L60" s="501"/>
      <c r="M60" s="501"/>
      <c r="N60" s="502"/>
    </row>
    <row r="61" spans="2:14" ht="14.1" customHeight="1">
      <c r="B61" s="271"/>
      <c r="C61" s="501" t="s">
        <v>1426</v>
      </c>
      <c r="D61" s="501"/>
      <c r="E61" s="501"/>
      <c r="F61" s="501"/>
      <c r="G61" s="501"/>
      <c r="H61" s="501"/>
      <c r="I61" s="501"/>
      <c r="J61" s="501"/>
      <c r="K61" s="501"/>
      <c r="L61" s="501"/>
      <c r="M61" s="501"/>
      <c r="N61" s="502"/>
    </row>
    <row r="62" spans="2:14">
      <c r="B62" s="274"/>
      <c r="C62" s="503" t="s">
        <v>1427</v>
      </c>
      <c r="D62" s="503"/>
      <c r="E62" s="503"/>
      <c r="F62" s="503"/>
      <c r="G62" s="503"/>
      <c r="H62" s="503"/>
      <c r="I62" s="503"/>
      <c r="J62" s="503"/>
      <c r="K62" s="503"/>
      <c r="L62" s="503"/>
      <c r="M62" s="503"/>
      <c r="N62" s="504"/>
    </row>
    <row r="63" spans="2:14">
      <c r="N63" s="14"/>
    </row>
    <row r="64" spans="2:14">
      <c r="N64" s="14"/>
    </row>
    <row r="65" spans="14:14">
      <c r="N65" s="14"/>
    </row>
    <row r="66" spans="14:14">
      <c r="N66" s="14"/>
    </row>
    <row r="67" spans="14:14">
      <c r="N67" s="14"/>
    </row>
  </sheetData>
  <mergeCells count="42">
    <mergeCell ref="E16:F16"/>
    <mergeCell ref="B39:F39"/>
    <mergeCell ref="B4:F4"/>
    <mergeCell ref="B5:F5"/>
    <mergeCell ref="D10:F10"/>
    <mergeCell ref="B34:F34"/>
    <mergeCell ref="E30:F30"/>
    <mergeCell ref="E28:F28"/>
    <mergeCell ref="E21:F21"/>
    <mergeCell ref="E22:F22"/>
    <mergeCell ref="H4:N5"/>
    <mergeCell ref="D23:F23"/>
    <mergeCell ref="E24:F24"/>
    <mergeCell ref="E25:F25"/>
    <mergeCell ref="D26:F26"/>
    <mergeCell ref="D17:F17"/>
    <mergeCell ref="B7:F7"/>
    <mergeCell ref="E12:F12"/>
    <mergeCell ref="E13:F13"/>
    <mergeCell ref="D14:F14"/>
    <mergeCell ref="E15:F15"/>
    <mergeCell ref="B8:F8"/>
    <mergeCell ref="C9:F9"/>
    <mergeCell ref="E18:F18"/>
    <mergeCell ref="E19:F19"/>
    <mergeCell ref="D20:F20"/>
    <mergeCell ref="C60:N60"/>
    <mergeCell ref="C62:N62"/>
    <mergeCell ref="C61:N61"/>
    <mergeCell ref="B6:F6"/>
    <mergeCell ref="C51:H51"/>
    <mergeCell ref="C52:H52"/>
    <mergeCell ref="C56:N56"/>
    <mergeCell ref="C57:N57"/>
    <mergeCell ref="B32:F32"/>
    <mergeCell ref="B38:F38"/>
    <mergeCell ref="B41:F41"/>
    <mergeCell ref="C42:G42"/>
    <mergeCell ref="E27:F27"/>
    <mergeCell ref="B31:F31"/>
    <mergeCell ref="D36:F36"/>
    <mergeCell ref="D11:F11"/>
  </mergeCells>
  <pageMargins left="0.5" right="0.4" top="0.5" bottom="0.5" header="0.3" footer="0.3"/>
  <pageSetup orientation="landscape" r:id="rId1"/>
</worksheet>
</file>

<file path=xl/worksheets/sheet6.xml><?xml version="1.0" encoding="utf-8"?>
<worksheet xmlns="http://schemas.openxmlformats.org/spreadsheetml/2006/main" xmlns:r="http://schemas.openxmlformats.org/officeDocument/2006/relationships">
  <dimension ref="B1:P80"/>
  <sheetViews>
    <sheetView workbookViewId="0"/>
  </sheetViews>
  <sheetFormatPr defaultRowHeight="15"/>
  <cols>
    <col min="2" max="4" width="2.7109375" customWidth="1"/>
    <col min="5" max="5" width="21.7109375" customWidth="1"/>
    <col min="6" max="6" width="2" customWidth="1"/>
    <col min="7" max="7" width="8.28515625" customWidth="1"/>
    <col min="8" max="8" width="12.7109375" customWidth="1"/>
    <col min="9" max="10" width="14.7109375" customWidth="1"/>
    <col min="11" max="11" width="10.7109375" customWidth="1"/>
    <col min="12" max="12" width="14.7109375" customWidth="1"/>
    <col min="13" max="13" width="13.7109375" customWidth="1"/>
    <col min="14" max="14" width="5.7109375" style="182" customWidth="1"/>
  </cols>
  <sheetData>
    <row r="1" spans="2:16" ht="14.1" customHeight="1"/>
    <row r="2" spans="2:16" ht="15.95" customHeight="1">
      <c r="B2" s="219"/>
    </row>
    <row r="3" spans="2:16" ht="15.95" customHeight="1">
      <c r="B3" s="283" t="s">
        <v>1361</v>
      </c>
      <c r="N3" s="231" t="s">
        <v>1357</v>
      </c>
    </row>
    <row r="4" spans="2:16" ht="14.1" customHeight="1">
      <c r="B4" s="534"/>
      <c r="C4" s="535"/>
      <c r="D4" s="535"/>
      <c r="E4" s="535"/>
      <c r="F4" s="536"/>
      <c r="G4" s="203" t="s">
        <v>1333</v>
      </c>
      <c r="H4" s="521" t="s">
        <v>1301</v>
      </c>
      <c r="I4" s="522"/>
      <c r="J4" s="522"/>
      <c r="K4" s="522"/>
      <c r="L4" s="522"/>
      <c r="M4" s="522"/>
      <c r="N4" s="523"/>
    </row>
    <row r="5" spans="2:16" ht="14.1" customHeight="1">
      <c r="B5" s="505"/>
      <c r="C5" s="501"/>
      <c r="D5" s="501"/>
      <c r="E5" s="501"/>
      <c r="F5" s="502"/>
      <c r="G5" s="204" t="s">
        <v>1308</v>
      </c>
      <c r="H5" s="524"/>
      <c r="I5" s="525"/>
      <c r="J5" s="525"/>
      <c r="K5" s="525"/>
      <c r="L5" s="525"/>
      <c r="M5" s="525"/>
      <c r="N5" s="526"/>
    </row>
    <row r="6" spans="2:16" ht="14.1" customHeight="1">
      <c r="B6" s="505"/>
      <c r="C6" s="501"/>
      <c r="D6" s="501"/>
      <c r="E6" s="501"/>
      <c r="F6" s="502"/>
      <c r="G6" s="205" t="s">
        <v>1334</v>
      </c>
      <c r="H6" s="203"/>
      <c r="I6" s="203"/>
      <c r="J6" s="203"/>
      <c r="K6" s="203" t="s">
        <v>1300</v>
      </c>
      <c r="L6" s="203"/>
      <c r="M6" s="203"/>
      <c r="N6" s="203"/>
    </row>
    <row r="7" spans="2:16" ht="14.1" customHeight="1">
      <c r="B7" s="527"/>
      <c r="C7" s="528"/>
      <c r="D7" s="528"/>
      <c r="E7" s="528"/>
      <c r="F7" s="529"/>
      <c r="G7" s="205" t="s">
        <v>1307</v>
      </c>
      <c r="H7" s="204" t="s">
        <v>1302</v>
      </c>
      <c r="I7" s="204" t="s">
        <v>39</v>
      </c>
      <c r="J7" s="204" t="s">
        <v>4</v>
      </c>
      <c r="K7" s="204" t="s">
        <v>1299</v>
      </c>
      <c r="L7" s="204" t="s">
        <v>2</v>
      </c>
      <c r="M7" s="204" t="s">
        <v>1</v>
      </c>
      <c r="N7" s="204" t="s">
        <v>1310</v>
      </c>
    </row>
    <row r="8" spans="2:16" ht="51" customHeight="1">
      <c r="B8" s="530" t="s">
        <v>1387</v>
      </c>
      <c r="C8" s="530"/>
      <c r="D8" s="530"/>
      <c r="E8" s="530"/>
      <c r="F8" s="530"/>
      <c r="G8" s="183">
        <v>58</v>
      </c>
      <c r="H8" s="184">
        <v>587562.72499999998</v>
      </c>
      <c r="I8" s="185">
        <f>SUM(J8:M8)</f>
        <v>5616885964</v>
      </c>
      <c r="J8" s="185">
        <v>2546583549</v>
      </c>
      <c r="K8" s="185">
        <v>1465513</v>
      </c>
      <c r="L8" s="185">
        <v>2615985743</v>
      </c>
      <c r="M8" s="185">
        <v>452851159</v>
      </c>
      <c r="N8" s="206"/>
    </row>
    <row r="9" spans="2:16" ht="18" customHeight="1">
      <c r="B9" s="197"/>
      <c r="C9" s="531" t="s">
        <v>1358</v>
      </c>
      <c r="D9" s="531"/>
      <c r="E9" s="531"/>
      <c r="F9" s="531"/>
      <c r="G9" s="187"/>
      <c r="H9" s="286"/>
      <c r="I9" s="285"/>
      <c r="J9" s="285"/>
      <c r="K9" s="285"/>
      <c r="L9" s="285"/>
      <c r="M9" s="285"/>
      <c r="N9" s="207"/>
    </row>
    <row r="10" spans="2:16" ht="8.1" customHeight="1">
      <c r="B10" s="200"/>
      <c r="C10" s="201"/>
      <c r="D10" s="202"/>
      <c r="E10" s="539"/>
      <c r="F10" s="539"/>
      <c r="G10" s="193"/>
      <c r="H10" s="194"/>
      <c r="I10" s="192"/>
      <c r="J10" s="192"/>
      <c r="K10" s="192"/>
      <c r="L10" s="192"/>
      <c r="M10" s="192"/>
      <c r="N10" s="209"/>
      <c r="P10" s="169"/>
    </row>
    <row r="11" spans="2:16" ht="20.100000000000001" customHeight="1">
      <c r="B11" s="516" t="s">
        <v>1388</v>
      </c>
      <c r="C11" s="517"/>
      <c r="D11" s="517"/>
      <c r="E11" s="517"/>
      <c r="F11" s="517"/>
      <c r="G11" s="288">
        <f>G8+G9</f>
        <v>58</v>
      </c>
      <c r="H11" s="287">
        <f>SUM(H8:H9)</f>
        <v>587562.72499999998</v>
      </c>
      <c r="I11" s="211">
        <f>SUM(J11:M11)</f>
        <v>5616885964</v>
      </c>
      <c r="J11" s="211">
        <f>J8</f>
        <v>2546583549</v>
      </c>
      <c r="K11" s="211">
        <f>K8</f>
        <v>1465513</v>
      </c>
      <c r="L11" s="211">
        <f>L8</f>
        <v>2615985743</v>
      </c>
      <c r="M11" s="211">
        <f>M8</f>
        <v>452851159</v>
      </c>
      <c r="N11" s="207">
        <v>1</v>
      </c>
      <c r="P11" s="169"/>
    </row>
    <row r="12" spans="2:16" ht="20.100000000000001" customHeight="1">
      <c r="B12" s="507" t="s">
        <v>1340</v>
      </c>
      <c r="C12" s="508"/>
      <c r="D12" s="508"/>
      <c r="E12" s="508"/>
      <c r="F12" s="509"/>
      <c r="G12" s="232"/>
      <c r="H12" s="233"/>
      <c r="I12" s="234">
        <f>I11/$H11</f>
        <v>9559.6363162758498</v>
      </c>
      <c r="J12" s="234">
        <f>J11/$H11</f>
        <v>4334.1475567566004</v>
      </c>
      <c r="K12" s="234">
        <f>K11/$H11</f>
        <v>2.4942239145616325</v>
      </c>
      <c r="L12" s="234">
        <f>L11/$H11</f>
        <v>4452.2663397341967</v>
      </c>
      <c r="M12" s="234">
        <f>M11/$H11</f>
        <v>770.72819587049196</v>
      </c>
      <c r="N12" s="209"/>
      <c r="P12" s="169"/>
    </row>
    <row r="13" spans="2:16" ht="20.100000000000001" customHeight="1">
      <c r="B13" s="229" t="s">
        <v>1346</v>
      </c>
      <c r="C13" s="230"/>
      <c r="D13" s="230"/>
      <c r="E13" s="230"/>
      <c r="F13" s="230"/>
      <c r="G13" s="223"/>
      <c r="H13" s="224"/>
      <c r="I13" s="235">
        <f>SUM(J13:M13)</f>
        <v>1</v>
      </c>
      <c r="J13" s="235">
        <f>J11/$I11</f>
        <v>0.45337996272697695</v>
      </c>
      <c r="K13" s="235">
        <f>K11/$I11</f>
        <v>2.6091200878793557E-4</v>
      </c>
      <c r="L13" s="235">
        <f>L11/$I11</f>
        <v>0.46573595400841222</v>
      </c>
      <c r="M13" s="235">
        <f>M11/$I11</f>
        <v>8.0623171255822912E-2</v>
      </c>
      <c r="N13" s="213"/>
      <c r="P13" s="169"/>
    </row>
    <row r="14" spans="2:16" ht="49.5" customHeight="1">
      <c r="B14" s="537" t="s">
        <v>1389</v>
      </c>
      <c r="C14" s="538"/>
      <c r="D14" s="538"/>
      <c r="E14" s="538"/>
      <c r="F14" s="538"/>
      <c r="G14" s="183">
        <v>194</v>
      </c>
      <c r="H14" s="184">
        <v>58576.802000000003</v>
      </c>
      <c r="I14" s="185">
        <f>SUM(J14:M14)</f>
        <v>432075120</v>
      </c>
      <c r="J14" s="177">
        <v>33120024</v>
      </c>
      <c r="K14" s="177">
        <v>506526</v>
      </c>
      <c r="L14" s="177">
        <v>375426150</v>
      </c>
      <c r="M14" s="177">
        <v>23022420</v>
      </c>
      <c r="N14" s="210"/>
      <c r="P14" s="169"/>
    </row>
    <row r="15" spans="2:16" ht="18" customHeight="1">
      <c r="B15" s="253"/>
      <c r="C15" s="254" t="s">
        <v>1358</v>
      </c>
      <c r="D15" s="255"/>
      <c r="E15" s="255"/>
      <c r="F15" s="256"/>
      <c r="G15" s="193"/>
      <c r="H15" s="194"/>
      <c r="I15" s="193"/>
      <c r="J15" s="193"/>
      <c r="K15" s="193"/>
      <c r="L15" s="193"/>
      <c r="M15" s="193"/>
      <c r="N15" s="209"/>
      <c r="P15" s="169"/>
    </row>
    <row r="16" spans="2:16" ht="14.1" customHeight="1">
      <c r="B16" s="257"/>
      <c r="C16" s="258"/>
      <c r="D16" s="258"/>
      <c r="E16" s="258"/>
      <c r="F16" s="259"/>
      <c r="G16" s="193"/>
      <c r="H16" s="194"/>
      <c r="I16" s="193"/>
      <c r="J16" s="193"/>
      <c r="K16" s="193"/>
      <c r="L16" s="193"/>
      <c r="M16" s="193"/>
      <c r="N16" s="209"/>
      <c r="P16" s="169"/>
    </row>
    <row r="17" spans="2:16" ht="20.100000000000001" customHeight="1">
      <c r="B17" s="510" t="s">
        <v>1390</v>
      </c>
      <c r="C17" s="511"/>
      <c r="D17" s="511"/>
      <c r="E17" s="511"/>
      <c r="F17" s="511"/>
      <c r="G17" s="225">
        <f>G14+G15</f>
        <v>194</v>
      </c>
      <c r="H17" s="226">
        <f>H14+H15</f>
        <v>58576.802000000003</v>
      </c>
      <c r="I17" s="211">
        <f>SUM(J17:M17)</f>
        <v>432075120</v>
      </c>
      <c r="J17" s="211">
        <f>J14+J15</f>
        <v>33120024</v>
      </c>
      <c r="K17" s="211">
        <f>K14+K15</f>
        <v>506526</v>
      </c>
      <c r="L17" s="211">
        <f>L14+L15</f>
        <v>375426150</v>
      </c>
      <c r="M17" s="211">
        <f>M14+M15</f>
        <v>23022420</v>
      </c>
      <c r="N17" s="212">
        <v>1</v>
      </c>
      <c r="P17" s="169"/>
    </row>
    <row r="18" spans="2:16" ht="20.100000000000001" customHeight="1">
      <c r="B18" s="532" t="s">
        <v>1383</v>
      </c>
      <c r="C18" s="533"/>
      <c r="D18" s="533"/>
      <c r="E18" s="533"/>
      <c r="F18" s="533"/>
      <c r="G18" s="236"/>
      <c r="H18" s="237"/>
      <c r="I18" s="195">
        <f>I17/$H17</f>
        <v>7376.2155878704334</v>
      </c>
      <c r="J18" s="195">
        <f>J17/$H17</f>
        <v>565.41195267027376</v>
      </c>
      <c r="K18" s="195">
        <f>K17/$H17</f>
        <v>8.647211570204874</v>
      </c>
      <c r="L18" s="195">
        <f>L17/$H17</f>
        <v>6409.1267734281564</v>
      </c>
      <c r="M18" s="195">
        <f>M17/$H17</f>
        <v>393.02965020179829</v>
      </c>
      <c r="N18" s="209"/>
      <c r="P18" s="169"/>
    </row>
    <row r="19" spans="2:16" ht="20.100000000000001" customHeight="1">
      <c r="B19" s="229" t="s">
        <v>1345</v>
      </c>
      <c r="C19" s="238"/>
      <c r="D19" s="238"/>
      <c r="E19" s="238"/>
      <c r="F19" s="238"/>
      <c r="G19" s="227"/>
      <c r="H19" s="228"/>
      <c r="I19" s="235">
        <f>SUM(J19:M19)</f>
        <v>1</v>
      </c>
      <c r="J19" s="235">
        <f>J17/$I17</f>
        <v>7.665339304887539E-2</v>
      </c>
      <c r="K19" s="235">
        <f>K17/$I17</f>
        <v>1.1723100371990871E-3</v>
      </c>
      <c r="L19" s="235">
        <f>L17/$I17</f>
        <v>0.86889092341165119</v>
      </c>
      <c r="M19" s="235">
        <f>M17/$I17</f>
        <v>5.3283373502274328E-2</v>
      </c>
      <c r="N19" s="213"/>
      <c r="P19" s="169"/>
    </row>
    <row r="20" spans="2:16" ht="36.75" customHeight="1">
      <c r="B20" s="512" t="s">
        <v>1342</v>
      </c>
      <c r="C20" s="513"/>
      <c r="D20" s="513"/>
      <c r="E20" s="513"/>
      <c r="F20" s="513"/>
      <c r="G20" s="260"/>
      <c r="H20" s="282" t="s">
        <v>1302</v>
      </c>
      <c r="I20" s="261" t="s">
        <v>39</v>
      </c>
      <c r="J20" s="261" t="s">
        <v>4</v>
      </c>
      <c r="K20" s="262" t="s">
        <v>1348</v>
      </c>
      <c r="L20" s="261" t="s">
        <v>2</v>
      </c>
      <c r="M20" s="261" t="s">
        <v>1</v>
      </c>
      <c r="N20" s="263"/>
      <c r="P20" s="169"/>
    </row>
    <row r="21" spans="2:16" ht="20.100000000000001" customHeight="1">
      <c r="B21" s="264"/>
      <c r="C21" s="514" t="s">
        <v>1391</v>
      </c>
      <c r="D21" s="514"/>
      <c r="E21" s="514"/>
      <c r="F21" s="514"/>
      <c r="G21" s="514"/>
      <c r="H21" s="289">
        <f>H11+H17</f>
        <v>646139.527</v>
      </c>
      <c r="I21" s="244"/>
      <c r="J21" s="250"/>
      <c r="K21" s="250"/>
      <c r="L21" s="250"/>
      <c r="M21" s="250"/>
      <c r="N21" s="265"/>
      <c r="P21" s="169"/>
    </row>
    <row r="22" spans="2:16" ht="20.100000000000001" customHeight="1">
      <c r="B22" s="264"/>
      <c r="C22" s="240" t="s">
        <v>1392</v>
      </c>
      <c r="D22" s="240"/>
      <c r="E22" s="240"/>
      <c r="F22" s="240"/>
      <c r="G22" s="239"/>
      <c r="H22" s="278"/>
      <c r="I22" s="245">
        <f>SUM(J22:M22)</f>
        <v>6048961084</v>
      </c>
      <c r="J22" s="246">
        <f>J17+J11</f>
        <v>2579703573</v>
      </c>
      <c r="K22" s="246">
        <f>K17+K11</f>
        <v>1972039</v>
      </c>
      <c r="L22" s="246">
        <f>L17+L11</f>
        <v>2991411893</v>
      </c>
      <c r="M22" s="252">
        <f>M17+M11</f>
        <v>475873579</v>
      </c>
      <c r="N22" s="281"/>
      <c r="P22" s="169"/>
    </row>
    <row r="23" spans="2:16" ht="20.100000000000001" customHeight="1">
      <c r="B23" s="264"/>
      <c r="C23" s="240" t="s">
        <v>1382</v>
      </c>
      <c r="D23" s="240"/>
      <c r="E23" s="240"/>
      <c r="F23" s="240"/>
      <c r="G23" s="239"/>
      <c r="H23" s="278"/>
      <c r="I23" s="247">
        <f>SUM(J23:M23)</f>
        <v>1</v>
      </c>
      <c r="J23" s="247">
        <f>J22/I22</f>
        <v>0.42647051901582378</v>
      </c>
      <c r="K23" s="247">
        <f>K22/I22</f>
        <v>3.2601284296839098E-4</v>
      </c>
      <c r="L23" s="247">
        <f>L22/I22</f>
        <v>0.49453316883002119</v>
      </c>
      <c r="M23" s="315">
        <f>M22/I22</f>
        <v>7.8670299311186645E-2</v>
      </c>
      <c r="N23" s="281"/>
      <c r="P23" s="169"/>
    </row>
    <row r="24" spans="2:16" ht="20.100000000000001" customHeight="1">
      <c r="B24" s="264"/>
      <c r="C24" s="240" t="s">
        <v>1343</v>
      </c>
      <c r="D24" s="240"/>
      <c r="E24" s="240"/>
      <c r="F24" s="240"/>
      <c r="G24" s="239"/>
      <c r="H24" s="279">
        <f>H11/H21</f>
        <v>0.90934341647233718</v>
      </c>
      <c r="I24" s="246"/>
      <c r="J24" s="245"/>
      <c r="K24" s="245"/>
      <c r="L24" s="245"/>
      <c r="M24" s="245"/>
      <c r="N24" s="265"/>
      <c r="P24" s="169"/>
    </row>
    <row r="25" spans="2:16" ht="20.100000000000001" customHeight="1">
      <c r="B25" s="264"/>
      <c r="C25" s="240" t="s">
        <v>1344</v>
      </c>
      <c r="D25" s="240"/>
      <c r="E25" s="240"/>
      <c r="F25" s="240"/>
      <c r="G25" s="239"/>
      <c r="H25" s="279">
        <f>H17/H21</f>
        <v>9.065658352766276E-2</v>
      </c>
      <c r="I25" s="246"/>
      <c r="J25" s="245"/>
      <c r="K25" s="245"/>
      <c r="L25" s="245"/>
      <c r="M25" s="245"/>
      <c r="N25" s="265"/>
      <c r="P25" s="169"/>
    </row>
    <row r="26" spans="2:16" ht="20.100000000000001" customHeight="1">
      <c r="B26" s="264"/>
      <c r="C26" s="240" t="s">
        <v>1380</v>
      </c>
      <c r="D26" s="240"/>
      <c r="E26" s="240"/>
      <c r="F26" s="240"/>
      <c r="G26" s="239"/>
      <c r="H26" s="279"/>
      <c r="I26" s="247">
        <f>I11/I22</f>
        <v>0.92857035877733218</v>
      </c>
      <c r="J26" s="247">
        <f>J11/J22</f>
        <v>0.98716130630408672</v>
      </c>
      <c r="K26" s="247">
        <f>K11/K22</f>
        <v>0.74314605339955242</v>
      </c>
      <c r="L26" s="247">
        <f>L11/L22</f>
        <v>0.87449867707001194</v>
      </c>
      <c r="M26" s="247">
        <f>M11/M22</f>
        <v>0.95162072235996109</v>
      </c>
      <c r="N26" s="265"/>
      <c r="P26" s="169"/>
    </row>
    <row r="27" spans="2:16" ht="20.100000000000001" customHeight="1">
      <c r="B27" s="264"/>
      <c r="C27" s="240" t="s">
        <v>1381</v>
      </c>
      <c r="D27" s="240"/>
      <c r="E27" s="240"/>
      <c r="F27" s="240"/>
      <c r="G27" s="239"/>
      <c r="H27" s="280"/>
      <c r="I27" s="247">
        <f>I17/I22</f>
        <v>7.1429641222667845E-2</v>
      </c>
      <c r="J27" s="247">
        <f>J17/J22</f>
        <v>1.2838693695913256E-2</v>
      </c>
      <c r="K27" s="247">
        <f>K17/K22</f>
        <v>0.25685394660044758</v>
      </c>
      <c r="L27" s="247">
        <f>L17/L22</f>
        <v>0.12550132292998809</v>
      </c>
      <c r="M27" s="247">
        <f>M17/M22</f>
        <v>4.837927764003893E-2</v>
      </c>
      <c r="N27" s="265"/>
      <c r="P27" s="169"/>
    </row>
    <row r="28" spans="2:16" ht="20.100000000000001" customHeight="1">
      <c r="B28" s="264"/>
      <c r="C28" s="266"/>
      <c r="D28" s="240"/>
      <c r="E28" s="240"/>
      <c r="F28" s="240"/>
      <c r="G28" s="239"/>
      <c r="H28" s="243"/>
      <c r="I28" s="248">
        <f>SUM(I26:I27)</f>
        <v>1</v>
      </c>
      <c r="J28" s="248">
        <f>SUM(J26:J27)</f>
        <v>1</v>
      </c>
      <c r="K28" s="248">
        <f>SUM(K26:K27)</f>
        <v>1</v>
      </c>
      <c r="L28" s="248">
        <f>SUM(L26:L27)</f>
        <v>1</v>
      </c>
      <c r="M28" s="248">
        <f>SUM(M26:M27)</f>
        <v>1</v>
      </c>
      <c r="N28" s="265"/>
      <c r="P28" s="169"/>
    </row>
    <row r="29" spans="2:16" ht="20.100000000000001" customHeight="1">
      <c r="B29" s="264"/>
      <c r="C29" s="240" t="s">
        <v>1347</v>
      </c>
      <c r="D29" s="240"/>
      <c r="E29" s="240"/>
      <c r="F29" s="240"/>
      <c r="G29" s="239"/>
      <c r="H29" s="243"/>
      <c r="I29" s="246">
        <f>I12-I18</f>
        <v>2183.4207284054164</v>
      </c>
      <c r="J29" s="246">
        <f>J12-J18</f>
        <v>3768.7356040863265</v>
      </c>
      <c r="K29" s="246">
        <f>K12-K18</f>
        <v>-6.1529876556432415</v>
      </c>
      <c r="L29" s="246">
        <f>L12-L18</f>
        <v>-1956.8604336939597</v>
      </c>
      <c r="M29" s="246">
        <f>M12-M18</f>
        <v>377.69854566869367</v>
      </c>
      <c r="N29" s="265"/>
      <c r="P29" s="169"/>
    </row>
    <row r="30" spans="2:16" ht="30" customHeight="1">
      <c r="B30" s="264"/>
      <c r="C30" s="506" t="s">
        <v>1349</v>
      </c>
      <c r="D30" s="506"/>
      <c r="E30" s="506"/>
      <c r="F30" s="506"/>
      <c r="G30" s="506"/>
      <c r="H30" s="506"/>
      <c r="I30" s="245">
        <f>(I12*$H$17)-I17</f>
        <v>127897803.6904999</v>
      </c>
      <c r="J30" s="246">
        <f>(J12*$H$17)-J17</f>
        <v>220760479.27091515</v>
      </c>
      <c r="K30" s="246">
        <f>(K12*$H$17)-K17</f>
        <v>-360422.33961305831</v>
      </c>
      <c r="L30" s="246">
        <f>(L12*$H$17)-L17</f>
        <v>-114626626.16612521</v>
      </c>
      <c r="M30" s="246">
        <f>(M12*$H$17)-M17</f>
        <v>22124372.925323024</v>
      </c>
      <c r="N30" s="265"/>
      <c r="P30" s="169"/>
    </row>
    <row r="31" spans="2:16" ht="30" customHeight="1">
      <c r="B31" s="264"/>
      <c r="C31" s="506" t="s">
        <v>1350</v>
      </c>
      <c r="D31" s="506"/>
      <c r="E31" s="506"/>
      <c r="F31" s="506"/>
      <c r="G31" s="506"/>
      <c r="H31" s="506"/>
      <c r="I31" s="249">
        <f>(I18*$H$11)-I11</f>
        <v>-1282896633.0033712</v>
      </c>
      <c r="J31" s="251">
        <f>(J18*$H$11)-J11</f>
        <v>-2214368561.3414831</v>
      </c>
      <c r="K31" s="251">
        <f>(K18*$H$11)-K11</f>
        <v>3615266.1938411044</v>
      </c>
      <c r="L31" s="251">
        <f>(L18*$H$11)-L11</f>
        <v>1149778248.8659048</v>
      </c>
      <c r="M31" s="251">
        <f>(M18*$H$11)-M11</f>
        <v>-221921586.7216346</v>
      </c>
      <c r="N31" s="265"/>
      <c r="P31" s="169"/>
    </row>
    <row r="32" spans="2:16" ht="20.100000000000001" customHeight="1">
      <c r="B32" s="264"/>
      <c r="C32" s="240"/>
      <c r="D32" s="240"/>
      <c r="E32" s="240"/>
      <c r="F32" s="240"/>
      <c r="G32" s="239"/>
      <c r="H32" s="243"/>
      <c r="I32" s="242"/>
      <c r="J32" s="241"/>
      <c r="K32" s="241"/>
      <c r="L32" s="241"/>
      <c r="M32" s="241"/>
      <c r="N32" s="265"/>
      <c r="P32" s="169"/>
    </row>
    <row r="33" spans="2:16" ht="15.95" customHeight="1">
      <c r="B33" s="264"/>
      <c r="C33" s="240"/>
      <c r="D33" s="240"/>
      <c r="E33" s="240"/>
      <c r="F33" s="240"/>
      <c r="G33" s="239"/>
      <c r="H33" s="243"/>
      <c r="I33" s="242"/>
      <c r="J33" s="241"/>
      <c r="K33" s="241"/>
      <c r="L33" s="241"/>
      <c r="M33" s="241"/>
      <c r="N33" s="265"/>
      <c r="P33" s="169"/>
    </row>
    <row r="34" spans="2:16" ht="21.95" customHeight="1">
      <c r="B34" s="267" t="s">
        <v>1336</v>
      </c>
      <c r="C34" s="268"/>
      <c r="D34" s="268"/>
      <c r="E34" s="268"/>
      <c r="F34" s="268"/>
      <c r="G34" s="268"/>
      <c r="H34" s="269"/>
      <c r="I34" s="268"/>
      <c r="J34" s="268"/>
      <c r="K34" s="268"/>
      <c r="L34" s="268"/>
      <c r="M34" s="268"/>
      <c r="N34" s="270"/>
      <c r="P34" s="169"/>
    </row>
    <row r="35" spans="2:16" ht="14.1" customHeight="1">
      <c r="B35" s="271">
        <v>1</v>
      </c>
      <c r="C35" s="501" t="s">
        <v>1385</v>
      </c>
      <c r="D35" s="501"/>
      <c r="E35" s="501"/>
      <c r="F35" s="501"/>
      <c r="G35" s="501"/>
      <c r="H35" s="501"/>
      <c r="I35" s="501"/>
      <c r="J35" s="501"/>
      <c r="K35" s="501"/>
      <c r="L35" s="501"/>
      <c r="M35" s="501"/>
      <c r="N35" s="502"/>
      <c r="P35" s="169"/>
    </row>
    <row r="36" spans="2:16" ht="14.1" customHeight="1">
      <c r="B36" s="271">
        <v>2</v>
      </c>
      <c r="C36" s="501" t="s">
        <v>1386</v>
      </c>
      <c r="D36" s="501"/>
      <c r="E36" s="501"/>
      <c r="F36" s="501"/>
      <c r="G36" s="501"/>
      <c r="H36" s="501"/>
      <c r="I36" s="501"/>
      <c r="J36" s="501"/>
      <c r="K36" s="501"/>
      <c r="L36" s="501"/>
      <c r="M36" s="501"/>
      <c r="N36" s="502"/>
      <c r="P36" s="169"/>
    </row>
    <row r="37" spans="2:16" ht="14.1" customHeight="1">
      <c r="B37" s="271"/>
      <c r="C37" s="501"/>
      <c r="D37" s="501"/>
      <c r="E37" s="501"/>
      <c r="F37" s="501"/>
      <c r="G37" s="501"/>
      <c r="H37" s="501"/>
      <c r="I37" s="501"/>
      <c r="J37" s="501"/>
      <c r="K37" s="501"/>
      <c r="L37" s="501"/>
      <c r="M37" s="501"/>
      <c r="N37" s="502"/>
      <c r="P37" s="169"/>
    </row>
    <row r="38" spans="2:16" ht="14.1" customHeight="1">
      <c r="B38" s="271"/>
      <c r="C38" s="501"/>
      <c r="D38" s="501"/>
      <c r="E38" s="501"/>
      <c r="F38" s="501"/>
      <c r="G38" s="501"/>
      <c r="H38" s="501"/>
      <c r="I38" s="501"/>
      <c r="J38" s="501"/>
      <c r="K38" s="501"/>
      <c r="L38" s="501"/>
      <c r="M38" s="501"/>
      <c r="N38" s="502"/>
      <c r="P38" s="169"/>
    </row>
    <row r="39" spans="2:16">
      <c r="B39" s="274"/>
      <c r="C39" s="275"/>
      <c r="D39" s="275"/>
      <c r="E39" s="275"/>
      <c r="F39" s="275"/>
      <c r="G39" s="275"/>
      <c r="H39" s="275"/>
      <c r="I39" s="275"/>
      <c r="J39" s="275"/>
      <c r="K39" s="275"/>
      <c r="L39" s="275"/>
      <c r="M39" s="275"/>
      <c r="N39" s="276"/>
      <c r="P39" s="169"/>
    </row>
    <row r="40" spans="2:16">
      <c r="N40" s="14"/>
      <c r="P40" s="169"/>
    </row>
    <row r="41" spans="2:16">
      <c r="N41" s="14"/>
      <c r="P41" s="169"/>
    </row>
    <row r="42" spans="2:16">
      <c r="N42" s="14"/>
      <c r="P42" s="169"/>
    </row>
    <row r="43" spans="2:16">
      <c r="N43" s="14"/>
      <c r="P43" s="169"/>
    </row>
    <row r="44" spans="2:16">
      <c r="N44" s="14"/>
      <c r="P44" s="169"/>
    </row>
    <row r="45" spans="2:16">
      <c r="P45" s="169"/>
    </row>
    <row r="46" spans="2:16">
      <c r="P46" s="169"/>
    </row>
    <row r="47" spans="2:16">
      <c r="P47" s="169"/>
    </row>
    <row r="48" spans="2:16">
      <c r="P48" s="169"/>
    </row>
    <row r="49" spans="16:16">
      <c r="P49" s="169"/>
    </row>
    <row r="50" spans="16:16">
      <c r="P50" s="169"/>
    </row>
    <row r="51" spans="16:16">
      <c r="P51" s="169"/>
    </row>
    <row r="52" spans="16:16">
      <c r="P52" s="169"/>
    </row>
    <row r="53" spans="16:16">
      <c r="P53" s="169"/>
    </row>
    <row r="54" spans="16:16">
      <c r="P54" s="169"/>
    </row>
    <row r="55" spans="16:16">
      <c r="P55" s="169"/>
    </row>
    <row r="56" spans="16:16">
      <c r="P56" s="169"/>
    </row>
    <row r="57" spans="16:16">
      <c r="P57" s="169"/>
    </row>
    <row r="58" spans="16:16">
      <c r="P58" s="169"/>
    </row>
    <row r="59" spans="16:16">
      <c r="P59" s="169"/>
    </row>
    <row r="60" spans="16:16">
      <c r="P60" s="169"/>
    </row>
    <row r="61" spans="16:16">
      <c r="P61" s="169"/>
    </row>
    <row r="62" spans="16:16">
      <c r="P62" s="169"/>
    </row>
    <row r="63" spans="16:16">
      <c r="P63" s="169"/>
    </row>
    <row r="64" spans="16:16">
      <c r="P64" s="169"/>
    </row>
    <row r="65" spans="16:16">
      <c r="P65" s="169"/>
    </row>
    <row r="66" spans="16:16">
      <c r="P66" s="169"/>
    </row>
    <row r="67" spans="16:16">
      <c r="P67" s="169"/>
    </row>
    <row r="68" spans="16:16">
      <c r="P68" s="169"/>
    </row>
    <row r="69" spans="16:16">
      <c r="P69" s="169"/>
    </row>
    <row r="70" spans="16:16">
      <c r="P70" s="169"/>
    </row>
    <row r="71" spans="16:16">
      <c r="P71" s="169"/>
    </row>
    <row r="72" spans="16:16">
      <c r="P72" s="169"/>
    </row>
    <row r="73" spans="16:16">
      <c r="P73" s="169"/>
    </row>
    <row r="74" spans="16:16">
      <c r="P74" s="169"/>
    </row>
    <row r="75" spans="16:16">
      <c r="P75" s="169"/>
    </row>
    <row r="76" spans="16:16">
      <c r="P76" s="169"/>
    </row>
    <row r="77" spans="16:16">
      <c r="P77" s="169"/>
    </row>
    <row r="78" spans="16:16">
      <c r="P78" s="169"/>
    </row>
    <row r="79" spans="16:16">
      <c r="P79" s="169"/>
    </row>
    <row r="80" spans="16:16">
      <c r="P80" s="169"/>
    </row>
  </sheetData>
  <mergeCells count="21">
    <mergeCell ref="C38:N38"/>
    <mergeCell ref="C21:G21"/>
    <mergeCell ref="C30:H30"/>
    <mergeCell ref="C31:H31"/>
    <mergeCell ref="C35:N35"/>
    <mergeCell ref="C36:N36"/>
    <mergeCell ref="B14:F14"/>
    <mergeCell ref="B17:F17"/>
    <mergeCell ref="B18:F18"/>
    <mergeCell ref="B20:F20"/>
    <mergeCell ref="C37:N37"/>
    <mergeCell ref="B11:F11"/>
    <mergeCell ref="B7:F7"/>
    <mergeCell ref="B8:F8"/>
    <mergeCell ref="C9:F9"/>
    <mergeCell ref="B12:F12"/>
    <mergeCell ref="B4:F4"/>
    <mergeCell ref="H4:N5"/>
    <mergeCell ref="B5:F5"/>
    <mergeCell ref="B6:F6"/>
    <mergeCell ref="E10:F10"/>
  </mergeCells>
  <pageMargins left="0.5" right="0.4" top="0.5" bottom="0.5" header="0.3" footer="0.3"/>
  <pageSetup orientation="landscape" r:id="rId1"/>
</worksheet>
</file>

<file path=xl/worksheets/sheet7.xml><?xml version="1.0" encoding="utf-8"?>
<worksheet xmlns="http://schemas.openxmlformats.org/spreadsheetml/2006/main" xmlns:r="http://schemas.openxmlformats.org/officeDocument/2006/relationships">
  <dimension ref="A1:AG626"/>
  <sheetViews>
    <sheetView workbookViewId="0"/>
  </sheetViews>
  <sheetFormatPr defaultRowHeight="15"/>
  <cols>
    <col min="1" max="1" width="4.140625" style="96" customWidth="1"/>
    <col min="2" max="2" width="10" style="1" customWidth="1"/>
    <col min="3" max="3" width="4.28515625" style="1" customWidth="1"/>
    <col min="4" max="4" width="13.42578125" style="98" customWidth="1"/>
    <col min="5" max="5" width="29.7109375" style="1" customWidth="1"/>
    <col min="6" max="6" width="5.28515625" style="14" customWidth="1"/>
    <col min="7" max="7" width="13" style="1" customWidth="1"/>
    <col min="8" max="8" width="7.7109375" style="1" customWidth="1"/>
    <col min="9" max="9" width="9" style="1" customWidth="1"/>
    <col min="10" max="10" width="5.28515625" style="1" customWidth="1"/>
    <col min="11" max="11" width="2.85546875" customWidth="1"/>
    <col min="12" max="12" width="2.7109375" customWidth="1"/>
    <col min="13" max="13" width="11.140625" customWidth="1"/>
    <col min="16" max="16" width="15.85546875" customWidth="1"/>
    <col min="17" max="19" width="2.140625" customWidth="1"/>
    <col min="20" max="20" width="3.7109375" customWidth="1"/>
    <col min="21" max="21" width="6.85546875" customWidth="1"/>
    <col min="22" max="22" width="4" customWidth="1"/>
    <col min="23" max="23" width="12.140625" customWidth="1"/>
    <col min="24" max="24" width="21.5703125" customWidth="1"/>
    <col min="25" max="25" width="4.140625" customWidth="1"/>
    <col min="26" max="26" width="10.7109375" style="176" customWidth="1"/>
    <col min="27" max="27" width="9" style="176" customWidth="1"/>
    <col min="28" max="28" width="12.5703125" style="176" customWidth="1"/>
    <col min="29" max="29" width="10.7109375" style="176" customWidth="1"/>
    <col min="30" max="30" width="12.85546875" style="176" customWidth="1"/>
    <col min="31" max="31" width="10" customWidth="1"/>
    <col min="32" max="32" width="8.28515625" customWidth="1"/>
    <col min="33" max="33" width="13.85546875" customWidth="1"/>
  </cols>
  <sheetData>
    <row r="1" spans="1:32" ht="18">
      <c r="A1" s="126" t="s">
        <v>1246</v>
      </c>
      <c r="I1" s="97"/>
      <c r="T1" s="219"/>
    </row>
    <row r="2" spans="1:32" ht="18.75">
      <c r="A2" s="128" t="s">
        <v>1247</v>
      </c>
      <c r="T2" s="283" t="s">
        <v>1374</v>
      </c>
    </row>
    <row r="3" spans="1:32" ht="15.75">
      <c r="A3" s="127" t="s">
        <v>88</v>
      </c>
      <c r="K3" s="16"/>
      <c r="L3" s="155" t="s">
        <v>1281</v>
      </c>
      <c r="M3" s="155"/>
      <c r="N3" s="156"/>
      <c r="O3" s="156"/>
      <c r="P3" s="156"/>
      <c r="Q3" s="12"/>
      <c r="R3" s="15"/>
      <c r="S3" s="15"/>
      <c r="T3" s="219" t="s">
        <v>1373</v>
      </c>
    </row>
    <row r="4" spans="1:32" ht="15.75">
      <c r="A4" s="104" t="s">
        <v>3</v>
      </c>
      <c r="B4" s="105"/>
      <c r="C4" s="106"/>
      <c r="D4" s="107" t="s">
        <v>98</v>
      </c>
      <c r="E4" s="108"/>
      <c r="F4" s="109"/>
      <c r="G4" s="109" t="s">
        <v>39</v>
      </c>
      <c r="H4" s="109" t="s">
        <v>58</v>
      </c>
      <c r="I4" s="109"/>
      <c r="K4" s="16"/>
      <c r="L4" s="155" t="s">
        <v>1282</v>
      </c>
      <c r="M4" s="155"/>
      <c r="N4" s="155"/>
      <c r="O4" s="155"/>
      <c r="P4" s="155"/>
      <c r="Q4" s="16"/>
      <c r="R4" s="13"/>
      <c r="S4" s="13"/>
      <c r="T4" s="219" t="s">
        <v>88</v>
      </c>
    </row>
    <row r="5" spans="1:32">
      <c r="A5" s="139" t="s">
        <v>5</v>
      </c>
      <c r="B5" s="140" t="s">
        <v>55</v>
      </c>
      <c r="C5" s="140" t="s">
        <v>111</v>
      </c>
      <c r="D5" s="141" t="s">
        <v>5</v>
      </c>
      <c r="E5" s="109" t="s">
        <v>55</v>
      </c>
      <c r="F5" s="140" t="s">
        <v>99</v>
      </c>
      <c r="G5" s="140" t="s">
        <v>56</v>
      </c>
      <c r="H5" s="140" t="s">
        <v>59</v>
      </c>
      <c r="I5" s="140" t="s">
        <v>57</v>
      </c>
      <c r="K5" s="1"/>
      <c r="L5" s="1"/>
      <c r="M5" s="1"/>
      <c r="N5" s="1"/>
      <c r="O5" s="1"/>
      <c r="P5" s="1"/>
      <c r="Q5" s="1"/>
      <c r="R5" s="1"/>
      <c r="S5" s="1"/>
      <c r="T5" s="545" t="s">
        <v>3</v>
      </c>
      <c r="U5" s="545"/>
      <c r="V5" s="101"/>
      <c r="W5" s="545" t="s">
        <v>1364</v>
      </c>
      <c r="X5" s="545"/>
      <c r="Y5" s="545"/>
      <c r="Z5" s="545" t="s">
        <v>1365</v>
      </c>
      <c r="AA5" s="545"/>
      <c r="AB5" s="545"/>
      <c r="AC5" s="545"/>
      <c r="AD5" s="545"/>
      <c r="AE5" s="101"/>
      <c r="AF5" s="101" t="s">
        <v>1372</v>
      </c>
    </row>
    <row r="6" spans="1:32" ht="27" customHeight="1">
      <c r="A6" s="129" t="s">
        <v>65</v>
      </c>
      <c r="B6" s="33" t="s">
        <v>66</v>
      </c>
      <c r="C6" s="33" t="s">
        <v>67</v>
      </c>
      <c r="D6" s="119" t="s">
        <v>68</v>
      </c>
      <c r="E6" s="30" t="s">
        <v>69</v>
      </c>
      <c r="F6" s="33" t="s">
        <v>81</v>
      </c>
      <c r="G6" s="33" t="s">
        <v>70</v>
      </c>
      <c r="H6" s="33" t="s">
        <v>71</v>
      </c>
      <c r="I6" s="32" t="s">
        <v>72</v>
      </c>
      <c r="K6" s="1"/>
      <c r="L6" s="1"/>
      <c r="M6" s="1"/>
      <c r="N6" s="1"/>
      <c r="O6" s="1"/>
      <c r="P6" s="1"/>
      <c r="Q6" s="1"/>
      <c r="R6" s="1"/>
      <c r="S6" s="1"/>
      <c r="T6" s="110" t="s">
        <v>5</v>
      </c>
      <c r="U6" s="110" t="s">
        <v>55</v>
      </c>
      <c r="V6" s="292" t="s">
        <v>1363</v>
      </c>
      <c r="W6" s="110" t="s">
        <v>5</v>
      </c>
      <c r="X6" s="110" t="s">
        <v>55</v>
      </c>
      <c r="Y6" s="110" t="s">
        <v>99</v>
      </c>
      <c r="Z6" s="110" t="s">
        <v>4</v>
      </c>
      <c r="AA6" s="110" t="s">
        <v>1303</v>
      </c>
      <c r="AB6" s="110" t="s">
        <v>2</v>
      </c>
      <c r="AC6" s="110" t="s">
        <v>1</v>
      </c>
      <c r="AD6" s="110" t="s">
        <v>39</v>
      </c>
      <c r="AE6" s="292" t="s">
        <v>1302</v>
      </c>
      <c r="AF6" s="296" t="s">
        <v>56</v>
      </c>
    </row>
    <row r="7" spans="1:32">
      <c r="A7" s="134">
        <v>0</v>
      </c>
      <c r="B7" s="120" t="s">
        <v>1256</v>
      </c>
      <c r="C7" s="121" t="s">
        <v>1257</v>
      </c>
      <c r="D7" s="121" t="s">
        <v>1261</v>
      </c>
      <c r="E7" s="120" t="s">
        <v>1264</v>
      </c>
      <c r="F7" s="121" t="s">
        <v>1259</v>
      </c>
      <c r="G7" s="122">
        <v>675226730</v>
      </c>
      <c r="H7" s="123">
        <v>88586.892999999982</v>
      </c>
      <c r="I7" s="138">
        <v>7622.1967735114058</v>
      </c>
      <c r="K7" s="147" t="s">
        <v>1379</v>
      </c>
      <c r="L7" s="148"/>
      <c r="M7" s="148"/>
      <c r="N7" s="148"/>
      <c r="O7" s="148"/>
      <c r="P7" s="148"/>
      <c r="Q7" s="148"/>
      <c r="R7" s="13"/>
      <c r="S7" s="13"/>
      <c r="T7" s="170" t="s">
        <v>47</v>
      </c>
      <c r="U7" s="295" t="s">
        <v>19</v>
      </c>
      <c r="V7" s="110" t="s">
        <v>67</v>
      </c>
      <c r="W7" s="110" t="s">
        <v>693</v>
      </c>
      <c r="X7" s="293" t="s">
        <v>357</v>
      </c>
      <c r="Y7" s="103" t="s">
        <v>660</v>
      </c>
      <c r="Z7" s="177">
        <v>1483</v>
      </c>
      <c r="AA7" s="177">
        <v>0</v>
      </c>
      <c r="AB7" s="177">
        <v>2146211</v>
      </c>
      <c r="AC7" s="177">
        <v>123011</v>
      </c>
      <c r="AD7" s="177">
        <f>SUM(Z7:AC7)</f>
        <v>2270705</v>
      </c>
      <c r="AE7" s="112">
        <v>338.68</v>
      </c>
      <c r="AF7" s="111">
        <v>6704.573638833117</v>
      </c>
    </row>
    <row r="8" spans="1:32">
      <c r="A8" s="131" t="s">
        <v>1263</v>
      </c>
      <c r="B8" s="113" t="s">
        <v>1256</v>
      </c>
      <c r="C8" s="114" t="s">
        <v>1258</v>
      </c>
      <c r="D8" s="114" t="s">
        <v>1262</v>
      </c>
      <c r="E8" s="113" t="s">
        <v>1260</v>
      </c>
      <c r="F8" s="114" t="s">
        <v>1259</v>
      </c>
      <c r="G8" s="116">
        <v>8953120539</v>
      </c>
      <c r="H8" s="117">
        <v>935228</v>
      </c>
      <c r="I8" s="136">
        <v>9573</v>
      </c>
      <c r="K8" s="148"/>
      <c r="L8" s="149" t="s">
        <v>1273</v>
      </c>
      <c r="M8" s="149"/>
      <c r="N8" s="149"/>
      <c r="O8" s="149"/>
      <c r="P8" s="149"/>
      <c r="Q8" s="148"/>
      <c r="R8" s="13"/>
      <c r="S8" s="13"/>
      <c r="T8" s="171" t="s">
        <v>47</v>
      </c>
      <c r="U8" s="294" t="s">
        <v>19</v>
      </c>
      <c r="V8" s="172" t="s">
        <v>67</v>
      </c>
      <c r="W8" s="172" t="s">
        <v>694</v>
      </c>
      <c r="X8" s="294" t="s">
        <v>358</v>
      </c>
      <c r="Y8" s="172" t="s">
        <v>678</v>
      </c>
      <c r="Z8" s="178">
        <v>23754</v>
      </c>
      <c r="AA8" s="178">
        <v>0</v>
      </c>
      <c r="AB8" s="178">
        <v>991909</v>
      </c>
      <c r="AC8" s="178">
        <v>177218</v>
      </c>
      <c r="AD8" s="178">
        <f t="shared" ref="AD8:AD71" si="0">SUM(Z8:AC8)</f>
        <v>1192881</v>
      </c>
      <c r="AE8" s="174">
        <v>115.59</v>
      </c>
      <c r="AF8" s="173">
        <v>10319.932520114196</v>
      </c>
    </row>
    <row r="9" spans="1:32">
      <c r="A9" s="132" t="s">
        <v>40</v>
      </c>
      <c r="B9" s="120" t="s">
        <v>12</v>
      </c>
      <c r="C9" s="121" t="s">
        <v>67</v>
      </c>
      <c r="D9" s="121" t="s">
        <v>1240</v>
      </c>
      <c r="E9" s="120" t="s">
        <v>1265</v>
      </c>
      <c r="F9" s="121">
        <v>99</v>
      </c>
      <c r="G9" s="122">
        <v>1095428</v>
      </c>
      <c r="H9" s="123">
        <v>96.525000000000006</v>
      </c>
      <c r="I9" s="138">
        <v>11348.645428645428</v>
      </c>
      <c r="K9" s="148"/>
      <c r="L9" s="149" t="s">
        <v>1249</v>
      </c>
      <c r="M9" s="149"/>
      <c r="N9" s="149"/>
      <c r="O9" s="149"/>
      <c r="P9" s="149"/>
      <c r="Q9" s="148"/>
      <c r="R9" s="13"/>
      <c r="S9" s="13"/>
      <c r="T9" s="170" t="s">
        <v>47</v>
      </c>
      <c r="U9" s="295" t="s">
        <v>19</v>
      </c>
      <c r="V9" s="110" t="s">
        <v>67</v>
      </c>
      <c r="W9" s="110" t="s">
        <v>695</v>
      </c>
      <c r="X9" s="293" t="s">
        <v>359</v>
      </c>
      <c r="Y9" s="103" t="s">
        <v>660</v>
      </c>
      <c r="Z9" s="177">
        <v>19740</v>
      </c>
      <c r="AA9" s="177">
        <v>0</v>
      </c>
      <c r="AB9" s="177">
        <v>1246414</v>
      </c>
      <c r="AC9" s="177">
        <v>99506</v>
      </c>
      <c r="AD9" s="177">
        <f t="shared" si="0"/>
        <v>1365660</v>
      </c>
      <c r="AE9" s="112">
        <v>175.41</v>
      </c>
      <c r="AF9" s="111">
        <v>7785.5310415597742</v>
      </c>
    </row>
    <row r="10" spans="1:32">
      <c r="A10" s="131" t="s">
        <v>40</v>
      </c>
      <c r="B10" s="113" t="s">
        <v>12</v>
      </c>
      <c r="C10" s="114" t="s">
        <v>68</v>
      </c>
      <c r="D10" s="114" t="s">
        <v>1013</v>
      </c>
      <c r="E10" s="113" t="s">
        <v>1266</v>
      </c>
      <c r="F10" s="115" t="s">
        <v>143</v>
      </c>
      <c r="G10" s="116">
        <v>180814970</v>
      </c>
      <c r="H10" s="117">
        <v>12885.847999999998</v>
      </c>
      <c r="I10" s="136">
        <v>14032.058270437461</v>
      </c>
      <c r="K10" s="148"/>
      <c r="L10" s="149" t="s">
        <v>1250</v>
      </c>
      <c r="M10" s="149"/>
      <c r="N10" s="149"/>
      <c r="O10" s="149"/>
      <c r="P10" s="149"/>
      <c r="Q10" s="148"/>
      <c r="R10" s="13"/>
      <c r="S10" s="13"/>
      <c r="T10" s="171" t="s">
        <v>47</v>
      </c>
      <c r="U10" s="294" t="s">
        <v>19</v>
      </c>
      <c r="V10" s="172" t="s">
        <v>67</v>
      </c>
      <c r="W10" s="172" t="s">
        <v>696</v>
      </c>
      <c r="X10" s="294" t="s">
        <v>360</v>
      </c>
      <c r="Y10" s="172" t="s">
        <v>688</v>
      </c>
      <c r="Z10" s="178">
        <v>64628</v>
      </c>
      <c r="AA10" s="178">
        <v>0</v>
      </c>
      <c r="AB10" s="178">
        <v>1931842</v>
      </c>
      <c r="AC10" s="178">
        <v>0</v>
      </c>
      <c r="AD10" s="178">
        <f t="shared" si="0"/>
        <v>1996470</v>
      </c>
      <c r="AE10" s="174">
        <v>282.33999999999997</v>
      </c>
      <c r="AF10" s="173">
        <v>7071.1553446199623</v>
      </c>
    </row>
    <row r="11" spans="1:32">
      <c r="A11" s="130" t="s">
        <v>40</v>
      </c>
      <c r="B11" s="6" t="s">
        <v>12</v>
      </c>
      <c r="C11" s="334" t="s">
        <v>67</v>
      </c>
      <c r="D11" s="334" t="s">
        <v>659</v>
      </c>
      <c r="E11" s="118" t="s">
        <v>330</v>
      </c>
      <c r="F11" s="103" t="s">
        <v>660</v>
      </c>
      <c r="G11" s="111">
        <v>382743</v>
      </c>
      <c r="H11" s="112">
        <v>31.875</v>
      </c>
      <c r="I11" s="137">
        <v>12007.623529411765</v>
      </c>
      <c r="K11" s="148"/>
      <c r="L11" s="153" t="s">
        <v>1275</v>
      </c>
      <c r="M11" s="154"/>
      <c r="N11" s="154"/>
      <c r="O11" s="154"/>
      <c r="P11" s="154"/>
      <c r="Q11" s="148"/>
      <c r="R11" s="13"/>
      <c r="S11" s="13"/>
      <c r="T11" s="170" t="s">
        <v>47</v>
      </c>
      <c r="U11" s="295" t="s">
        <v>19</v>
      </c>
      <c r="V11" s="110" t="s">
        <v>67</v>
      </c>
      <c r="W11" s="110" t="s">
        <v>697</v>
      </c>
      <c r="X11" s="293" t="s">
        <v>361</v>
      </c>
      <c r="Y11" s="103" t="s">
        <v>660</v>
      </c>
      <c r="Z11" s="177">
        <v>61351</v>
      </c>
      <c r="AA11" s="177">
        <v>0</v>
      </c>
      <c r="AB11" s="177">
        <v>2179720</v>
      </c>
      <c r="AC11" s="177">
        <v>381239</v>
      </c>
      <c r="AD11" s="177">
        <f t="shared" si="0"/>
        <v>2622310</v>
      </c>
      <c r="AE11" s="112">
        <v>336.59</v>
      </c>
      <c r="AF11" s="111">
        <v>7790.8137496657664</v>
      </c>
    </row>
    <row r="12" spans="1:32">
      <c r="A12" s="130" t="s">
        <v>40</v>
      </c>
      <c r="B12" s="6" t="s">
        <v>12</v>
      </c>
      <c r="C12" s="334" t="s">
        <v>68</v>
      </c>
      <c r="D12" s="103" t="s">
        <v>1002</v>
      </c>
      <c r="E12" s="6" t="s">
        <v>100</v>
      </c>
      <c r="F12" s="334" t="s">
        <v>69</v>
      </c>
      <c r="G12" s="111">
        <v>1218442</v>
      </c>
      <c r="H12" s="112">
        <v>54.09</v>
      </c>
      <c r="I12" s="135">
        <v>22526.197078942503</v>
      </c>
      <c r="K12" s="148"/>
      <c r="L12" s="152" t="s">
        <v>1251</v>
      </c>
      <c r="M12" s="149"/>
      <c r="N12" s="149"/>
      <c r="O12" s="149"/>
      <c r="P12" s="149"/>
      <c r="Q12" s="148"/>
      <c r="R12" s="13"/>
      <c r="S12" s="13"/>
      <c r="T12" s="171" t="s">
        <v>47</v>
      </c>
      <c r="U12" s="294" t="s">
        <v>19</v>
      </c>
      <c r="V12" s="172" t="s">
        <v>67</v>
      </c>
      <c r="W12" s="172" t="s">
        <v>698</v>
      </c>
      <c r="X12" s="294" t="s">
        <v>362</v>
      </c>
      <c r="Y12" s="172" t="s">
        <v>688</v>
      </c>
      <c r="Z12" s="178">
        <v>43397</v>
      </c>
      <c r="AA12" s="178">
        <v>3347</v>
      </c>
      <c r="AB12" s="178">
        <v>249416</v>
      </c>
      <c r="AC12" s="178">
        <v>6522</v>
      </c>
      <c r="AD12" s="178">
        <f t="shared" si="0"/>
        <v>302682</v>
      </c>
      <c r="AE12" s="174">
        <v>41.86</v>
      </c>
      <c r="AF12" s="173">
        <v>7230.8170090778785</v>
      </c>
    </row>
    <row r="13" spans="1:32">
      <c r="A13" s="130" t="s">
        <v>40</v>
      </c>
      <c r="B13" s="6" t="s">
        <v>12</v>
      </c>
      <c r="C13" s="334" t="s">
        <v>68</v>
      </c>
      <c r="D13" s="103" t="s">
        <v>1003</v>
      </c>
      <c r="E13" s="6" t="s">
        <v>101</v>
      </c>
      <c r="F13" s="334" t="s">
        <v>329</v>
      </c>
      <c r="G13" s="111">
        <v>54534230</v>
      </c>
      <c r="H13" s="112">
        <v>3658.7249999999999</v>
      </c>
      <c r="I13" s="135">
        <v>14905.255246021497</v>
      </c>
      <c r="K13" s="148"/>
      <c r="L13" s="149" t="s">
        <v>1274</v>
      </c>
      <c r="M13" s="149"/>
      <c r="N13" s="149"/>
      <c r="O13" s="149"/>
      <c r="P13" s="149"/>
      <c r="Q13" s="148"/>
      <c r="R13" s="13"/>
      <c r="S13" s="13"/>
      <c r="T13" s="170" t="s">
        <v>47</v>
      </c>
      <c r="U13" s="295" t="s">
        <v>19</v>
      </c>
      <c r="V13" s="110" t="s">
        <v>67</v>
      </c>
      <c r="W13" s="110" t="s">
        <v>699</v>
      </c>
      <c r="X13" s="293" t="s">
        <v>363</v>
      </c>
      <c r="Y13" s="103" t="s">
        <v>660</v>
      </c>
      <c r="Z13" s="177">
        <v>176722</v>
      </c>
      <c r="AA13" s="177">
        <v>1065</v>
      </c>
      <c r="AB13" s="177">
        <v>1140201</v>
      </c>
      <c r="AC13" s="177">
        <v>10052</v>
      </c>
      <c r="AD13" s="177">
        <f t="shared" si="0"/>
        <v>1328040</v>
      </c>
      <c r="AE13" s="112">
        <v>163.92500000000001</v>
      </c>
      <c r="AF13" s="111">
        <v>8101.5098368156159</v>
      </c>
    </row>
    <row r="14" spans="1:32">
      <c r="A14" s="130" t="s">
        <v>40</v>
      </c>
      <c r="B14" s="6" t="s">
        <v>12</v>
      </c>
      <c r="C14" s="334" t="s">
        <v>68</v>
      </c>
      <c r="D14" s="103" t="s">
        <v>1004</v>
      </c>
      <c r="E14" s="6" t="s">
        <v>102</v>
      </c>
      <c r="F14" s="334" t="s">
        <v>69</v>
      </c>
      <c r="G14" s="111">
        <v>3138263</v>
      </c>
      <c r="H14" s="112">
        <v>187.71</v>
      </c>
      <c r="I14" s="135">
        <v>16718.677747589365</v>
      </c>
      <c r="K14" s="148"/>
      <c r="L14" s="149" t="s">
        <v>1252</v>
      </c>
      <c r="M14" s="149"/>
      <c r="N14" s="149"/>
      <c r="O14" s="149"/>
      <c r="P14" s="149"/>
      <c r="Q14" s="148"/>
      <c r="R14" s="13"/>
      <c r="S14" s="13"/>
      <c r="T14" s="171" t="s">
        <v>47</v>
      </c>
      <c r="U14" s="294" t="s">
        <v>19</v>
      </c>
      <c r="V14" s="172" t="s">
        <v>67</v>
      </c>
      <c r="W14" s="172" t="s">
        <v>700</v>
      </c>
      <c r="X14" s="294" t="s">
        <v>364</v>
      </c>
      <c r="Y14" s="172" t="s">
        <v>692</v>
      </c>
      <c r="Z14" s="178">
        <v>197337</v>
      </c>
      <c r="AA14" s="178">
        <v>0</v>
      </c>
      <c r="AB14" s="178">
        <v>1592269</v>
      </c>
      <c r="AC14" s="178">
        <v>98778</v>
      </c>
      <c r="AD14" s="178">
        <f t="shared" si="0"/>
        <v>1888384</v>
      </c>
      <c r="AE14" s="174">
        <v>225.95</v>
      </c>
      <c r="AF14" s="173">
        <v>8357.5304270856395</v>
      </c>
    </row>
    <row r="15" spans="1:32">
      <c r="A15" s="130" t="s">
        <v>40</v>
      </c>
      <c r="B15" s="6" t="s">
        <v>12</v>
      </c>
      <c r="C15" s="334" t="s">
        <v>68</v>
      </c>
      <c r="D15" s="103" t="s">
        <v>1005</v>
      </c>
      <c r="E15" s="6" t="s">
        <v>103</v>
      </c>
      <c r="F15" s="334" t="s">
        <v>329</v>
      </c>
      <c r="G15" s="111">
        <v>24947680</v>
      </c>
      <c r="H15" s="112">
        <v>1759.2950000000001</v>
      </c>
      <c r="I15" s="135">
        <v>14180.498438294884</v>
      </c>
      <c r="K15" s="148"/>
      <c r="L15" s="147" t="s">
        <v>1276</v>
      </c>
      <c r="M15" s="148"/>
      <c r="N15" s="148"/>
      <c r="O15" s="148"/>
      <c r="P15" s="148"/>
      <c r="Q15" s="148"/>
      <c r="R15" s="13"/>
      <c r="S15" s="13"/>
      <c r="T15" s="170" t="s">
        <v>47</v>
      </c>
      <c r="U15" s="295" t="s">
        <v>19</v>
      </c>
      <c r="V15" s="110" t="s">
        <v>67</v>
      </c>
      <c r="W15" s="110" t="s">
        <v>701</v>
      </c>
      <c r="X15" s="293" t="s">
        <v>365</v>
      </c>
      <c r="Y15" s="103" t="s">
        <v>660</v>
      </c>
      <c r="Z15" s="177">
        <v>7578</v>
      </c>
      <c r="AA15" s="177">
        <v>0</v>
      </c>
      <c r="AB15" s="177">
        <v>1052557</v>
      </c>
      <c r="AC15" s="177">
        <v>25552</v>
      </c>
      <c r="AD15" s="177">
        <f t="shared" si="0"/>
        <v>1085687</v>
      </c>
      <c r="AE15" s="112">
        <v>151.76</v>
      </c>
      <c r="AF15" s="111">
        <v>7153.973379019505</v>
      </c>
    </row>
    <row r="16" spans="1:32">
      <c r="A16" s="130" t="s">
        <v>40</v>
      </c>
      <c r="B16" s="6" t="s">
        <v>12</v>
      </c>
      <c r="C16" s="334" t="s">
        <v>67</v>
      </c>
      <c r="D16" s="334" t="s">
        <v>661</v>
      </c>
      <c r="E16" s="118" t="s">
        <v>331</v>
      </c>
      <c r="F16" s="103" t="s">
        <v>660</v>
      </c>
      <c r="G16" s="111">
        <v>433103</v>
      </c>
      <c r="H16" s="112">
        <v>40.49</v>
      </c>
      <c r="I16" s="137">
        <v>10696.542356137317</v>
      </c>
      <c r="K16" s="146"/>
      <c r="L16" s="149" t="s">
        <v>1277</v>
      </c>
      <c r="M16" s="146"/>
      <c r="N16" s="146"/>
      <c r="O16" s="146"/>
      <c r="P16" s="146"/>
      <c r="Q16" s="146"/>
      <c r="R16" s="15"/>
      <c r="S16" s="15"/>
      <c r="T16" s="171" t="s">
        <v>47</v>
      </c>
      <c r="U16" s="294" t="s">
        <v>19</v>
      </c>
      <c r="V16" s="172" t="s">
        <v>67</v>
      </c>
      <c r="W16" s="172" t="s">
        <v>702</v>
      </c>
      <c r="X16" s="294" t="s">
        <v>366</v>
      </c>
      <c r="Y16" s="172" t="s">
        <v>688</v>
      </c>
      <c r="Z16" s="178">
        <v>171861</v>
      </c>
      <c r="AA16" s="178">
        <v>0</v>
      </c>
      <c r="AB16" s="178">
        <v>1179817</v>
      </c>
      <c r="AC16" s="178">
        <v>1344</v>
      </c>
      <c r="AD16" s="178">
        <f t="shared" si="0"/>
        <v>1353022</v>
      </c>
      <c r="AE16" s="174">
        <v>188.84800000000001</v>
      </c>
      <c r="AF16" s="173">
        <v>7164.6085740913322</v>
      </c>
    </row>
    <row r="17" spans="1:32">
      <c r="A17" s="130" t="s">
        <v>40</v>
      </c>
      <c r="B17" s="6" t="s">
        <v>12</v>
      </c>
      <c r="C17" s="334" t="s">
        <v>68</v>
      </c>
      <c r="D17" s="103" t="s">
        <v>1006</v>
      </c>
      <c r="E17" s="6" t="s">
        <v>104</v>
      </c>
      <c r="F17" s="334" t="s">
        <v>69</v>
      </c>
      <c r="G17" s="111">
        <v>2548648</v>
      </c>
      <c r="H17" s="112">
        <v>155.78</v>
      </c>
      <c r="I17" s="135">
        <v>16360.559763769419</v>
      </c>
      <c r="K17" s="148"/>
      <c r="L17" s="147" t="s">
        <v>1280</v>
      </c>
      <c r="M17" s="148"/>
      <c r="N17" s="148"/>
      <c r="O17" s="148"/>
      <c r="P17" s="148"/>
      <c r="Q17" s="148"/>
      <c r="R17" s="13"/>
      <c r="S17" s="13"/>
      <c r="T17" s="171" t="s">
        <v>47</v>
      </c>
      <c r="U17" s="294" t="s">
        <v>19</v>
      </c>
      <c r="V17" s="172" t="s">
        <v>67</v>
      </c>
      <c r="W17" s="172" t="s">
        <v>703</v>
      </c>
      <c r="X17" s="294" t="s">
        <v>367</v>
      </c>
      <c r="Y17" s="172" t="s">
        <v>688</v>
      </c>
      <c r="Z17" s="178">
        <v>3357</v>
      </c>
      <c r="AA17" s="178">
        <v>0</v>
      </c>
      <c r="AB17" s="178">
        <v>437264</v>
      </c>
      <c r="AC17" s="178">
        <v>17689</v>
      </c>
      <c r="AD17" s="178">
        <f t="shared" si="0"/>
        <v>458310</v>
      </c>
      <c r="AE17" s="174">
        <v>61.155000000000001</v>
      </c>
      <c r="AF17" s="173">
        <v>7494.2359578121168</v>
      </c>
    </row>
    <row r="18" spans="1:32">
      <c r="A18" s="130" t="s">
        <v>40</v>
      </c>
      <c r="B18" s="6" t="s">
        <v>12</v>
      </c>
      <c r="C18" s="334" t="s">
        <v>67</v>
      </c>
      <c r="D18" s="334" t="s">
        <v>662</v>
      </c>
      <c r="E18" s="118" t="s">
        <v>332</v>
      </c>
      <c r="F18" s="103" t="s">
        <v>660</v>
      </c>
      <c r="G18" s="111">
        <v>279582</v>
      </c>
      <c r="H18" s="112">
        <v>24.16</v>
      </c>
      <c r="I18" s="137">
        <v>11572.102649006623</v>
      </c>
      <c r="K18" s="148"/>
      <c r="L18" s="148"/>
      <c r="M18" s="148" t="s">
        <v>1279</v>
      </c>
      <c r="N18" s="148"/>
      <c r="O18" s="148"/>
      <c r="P18" s="148"/>
      <c r="Q18" s="148"/>
      <c r="R18" s="13"/>
      <c r="S18" s="13"/>
      <c r="T18" s="170" t="s">
        <v>47</v>
      </c>
      <c r="U18" s="295" t="s">
        <v>19</v>
      </c>
      <c r="V18" s="110" t="s">
        <v>67</v>
      </c>
      <c r="W18" s="110" t="s">
        <v>704</v>
      </c>
      <c r="X18" s="293" t="s">
        <v>368</v>
      </c>
      <c r="Y18" s="103" t="s">
        <v>660</v>
      </c>
      <c r="Z18" s="177">
        <v>66356</v>
      </c>
      <c r="AA18" s="177">
        <v>0</v>
      </c>
      <c r="AB18" s="177">
        <v>1890662</v>
      </c>
      <c r="AC18" s="177">
        <v>0</v>
      </c>
      <c r="AD18" s="177">
        <f t="shared" si="0"/>
        <v>1957018</v>
      </c>
      <c r="AE18" s="112">
        <v>290.66000000000003</v>
      </c>
      <c r="AF18" s="111">
        <v>6733.0145186816208</v>
      </c>
    </row>
    <row r="19" spans="1:32">
      <c r="A19" s="130" t="s">
        <v>40</v>
      </c>
      <c r="B19" s="6" t="s">
        <v>12</v>
      </c>
      <c r="C19" s="334" t="s">
        <v>68</v>
      </c>
      <c r="D19" s="103" t="s">
        <v>1007</v>
      </c>
      <c r="E19" s="6" t="s">
        <v>105</v>
      </c>
      <c r="F19" s="334" t="s">
        <v>329</v>
      </c>
      <c r="G19" s="111">
        <v>17339902</v>
      </c>
      <c r="H19" s="112">
        <v>975.78499999999997</v>
      </c>
      <c r="I19" s="135">
        <v>17770.207576464079</v>
      </c>
      <c r="K19" s="148"/>
      <c r="L19" s="148"/>
      <c r="M19" s="148" t="s">
        <v>1278</v>
      </c>
      <c r="N19" s="148"/>
      <c r="O19" s="148"/>
      <c r="P19" s="148"/>
      <c r="Q19" s="148"/>
      <c r="R19" s="13"/>
      <c r="S19" s="13"/>
      <c r="T19" s="171" t="s">
        <v>47</v>
      </c>
      <c r="U19" s="294" t="s">
        <v>19</v>
      </c>
      <c r="V19" s="172" t="s">
        <v>67</v>
      </c>
      <c r="W19" s="172" t="s">
        <v>705</v>
      </c>
      <c r="X19" s="294" t="s">
        <v>369</v>
      </c>
      <c r="Y19" s="172" t="s">
        <v>688</v>
      </c>
      <c r="Z19" s="178">
        <v>113998</v>
      </c>
      <c r="AA19" s="178">
        <v>0</v>
      </c>
      <c r="AB19" s="178">
        <v>3542782</v>
      </c>
      <c r="AC19" s="178">
        <v>169125</v>
      </c>
      <c r="AD19" s="178">
        <f t="shared" si="0"/>
        <v>3825905</v>
      </c>
      <c r="AE19" s="174">
        <v>582.51</v>
      </c>
      <c r="AF19" s="173">
        <v>6567.9644984635461</v>
      </c>
    </row>
    <row r="20" spans="1:32">
      <c r="A20" s="130" t="s">
        <v>40</v>
      </c>
      <c r="B20" s="6" t="s">
        <v>12</v>
      </c>
      <c r="C20" s="334" t="s">
        <v>68</v>
      </c>
      <c r="D20" s="103" t="s">
        <v>1008</v>
      </c>
      <c r="E20" s="6" t="s">
        <v>106</v>
      </c>
      <c r="F20" s="334" t="s">
        <v>329</v>
      </c>
      <c r="G20" s="111">
        <v>12377297</v>
      </c>
      <c r="H20" s="112">
        <v>1411.95</v>
      </c>
      <c r="I20" s="135">
        <v>8766.1014908459929</v>
      </c>
      <c r="K20" s="148"/>
      <c r="L20" s="148"/>
      <c r="M20" s="148"/>
      <c r="N20" s="148"/>
      <c r="O20" s="148"/>
      <c r="P20" s="148"/>
      <c r="Q20" s="148"/>
      <c r="R20" s="13"/>
      <c r="S20" s="13"/>
      <c r="T20" s="170" t="s">
        <v>47</v>
      </c>
      <c r="U20" s="295" t="s">
        <v>19</v>
      </c>
      <c r="V20" s="110" t="s">
        <v>67</v>
      </c>
      <c r="W20" s="110" t="s">
        <v>706</v>
      </c>
      <c r="X20" s="293" t="s">
        <v>370</v>
      </c>
      <c r="Y20" s="103" t="s">
        <v>660</v>
      </c>
      <c r="Z20" s="177">
        <v>106359</v>
      </c>
      <c r="AA20" s="177">
        <v>0</v>
      </c>
      <c r="AB20" s="177">
        <v>1011226</v>
      </c>
      <c r="AC20" s="177">
        <v>0</v>
      </c>
      <c r="AD20" s="177">
        <f t="shared" si="0"/>
        <v>1117585</v>
      </c>
      <c r="AE20" s="112">
        <v>153.57499999999999</v>
      </c>
      <c r="AF20" s="111">
        <v>7277.1284388735148</v>
      </c>
    </row>
    <row r="21" spans="1:32">
      <c r="A21" s="130" t="s">
        <v>40</v>
      </c>
      <c r="B21" s="6" t="s">
        <v>12</v>
      </c>
      <c r="C21" s="334" t="s">
        <v>68</v>
      </c>
      <c r="D21" s="103" t="s">
        <v>1009</v>
      </c>
      <c r="E21" s="6" t="s">
        <v>107</v>
      </c>
      <c r="F21" s="334" t="s">
        <v>329</v>
      </c>
      <c r="G21" s="111">
        <v>15088528</v>
      </c>
      <c r="H21" s="112">
        <v>1037.9000000000001</v>
      </c>
      <c r="I21" s="135">
        <v>14537.554677714616</v>
      </c>
      <c r="R21" s="15"/>
      <c r="S21" s="15"/>
      <c r="T21" s="171" t="s">
        <v>47</v>
      </c>
      <c r="U21" s="294" t="s">
        <v>19</v>
      </c>
      <c r="V21" s="172" t="s">
        <v>67</v>
      </c>
      <c r="W21" s="172" t="s">
        <v>707</v>
      </c>
      <c r="X21" s="294" t="s">
        <v>371</v>
      </c>
      <c r="Y21" s="172" t="s">
        <v>688</v>
      </c>
      <c r="Z21" s="178">
        <v>1595</v>
      </c>
      <c r="AA21" s="178">
        <v>0</v>
      </c>
      <c r="AB21" s="178">
        <v>268774</v>
      </c>
      <c r="AC21" s="178">
        <v>34343</v>
      </c>
      <c r="AD21" s="178">
        <f t="shared" si="0"/>
        <v>304712</v>
      </c>
      <c r="AE21" s="174">
        <v>44.1</v>
      </c>
      <c r="AF21" s="173">
        <v>6909.5691609977321</v>
      </c>
    </row>
    <row r="22" spans="1:32">
      <c r="A22" s="130" t="s">
        <v>40</v>
      </c>
      <c r="B22" s="6" t="s">
        <v>12</v>
      </c>
      <c r="C22" s="334" t="s">
        <v>68</v>
      </c>
      <c r="D22" s="103" t="s">
        <v>1010</v>
      </c>
      <c r="E22" s="6" t="s">
        <v>108</v>
      </c>
      <c r="F22" s="334" t="s">
        <v>329</v>
      </c>
      <c r="G22" s="111">
        <v>9633254</v>
      </c>
      <c r="H22" s="112">
        <v>999.81299999999999</v>
      </c>
      <c r="I22" s="135">
        <v>9635.055755426265</v>
      </c>
      <c r="R22" s="15"/>
      <c r="S22" s="15"/>
      <c r="T22" s="170" t="s">
        <v>47</v>
      </c>
      <c r="U22" s="295" t="s">
        <v>19</v>
      </c>
      <c r="V22" s="110" t="s">
        <v>67</v>
      </c>
      <c r="W22" s="110" t="s">
        <v>708</v>
      </c>
      <c r="X22" s="293" t="s">
        <v>372</v>
      </c>
      <c r="Y22" s="103" t="s">
        <v>678</v>
      </c>
      <c r="Z22" s="177">
        <v>5236</v>
      </c>
      <c r="AA22" s="177">
        <v>0</v>
      </c>
      <c r="AB22" s="177">
        <v>883625</v>
      </c>
      <c r="AC22" s="177">
        <v>30832</v>
      </c>
      <c r="AD22" s="177">
        <f t="shared" si="0"/>
        <v>919693</v>
      </c>
      <c r="AE22" s="112">
        <v>132.60499999999999</v>
      </c>
      <c r="AF22" s="111">
        <v>6935.5831228083407</v>
      </c>
    </row>
    <row r="23" spans="1:32">
      <c r="A23" s="130" t="s">
        <v>40</v>
      </c>
      <c r="B23" s="6" t="s">
        <v>12</v>
      </c>
      <c r="C23" s="334" t="s">
        <v>68</v>
      </c>
      <c r="D23" s="103" t="s">
        <v>1011</v>
      </c>
      <c r="E23" s="6" t="s">
        <v>109</v>
      </c>
      <c r="F23" s="334" t="s">
        <v>69</v>
      </c>
      <c r="G23" s="111">
        <v>1469331</v>
      </c>
      <c r="H23" s="112">
        <v>71.515000000000001</v>
      </c>
      <c r="I23" s="135">
        <v>20545.773613927147</v>
      </c>
      <c r="K23" s="125" t="s">
        <v>1271</v>
      </c>
      <c r="L23" s="124"/>
      <c r="M23" s="124"/>
      <c r="N23" s="124"/>
      <c r="O23" s="124"/>
      <c r="P23" s="124"/>
      <c r="Q23" s="124"/>
      <c r="R23" s="13"/>
      <c r="S23" s="13"/>
      <c r="T23" s="171" t="s">
        <v>47</v>
      </c>
      <c r="U23" s="294" t="s">
        <v>19</v>
      </c>
      <c r="V23" s="172" t="s">
        <v>67</v>
      </c>
      <c r="W23" s="172" t="s">
        <v>709</v>
      </c>
      <c r="X23" s="294" t="s">
        <v>373</v>
      </c>
      <c r="Y23" s="172" t="s">
        <v>660</v>
      </c>
      <c r="Z23" s="178">
        <v>36706</v>
      </c>
      <c r="AA23" s="178">
        <v>0</v>
      </c>
      <c r="AB23" s="178">
        <v>1596867</v>
      </c>
      <c r="AC23" s="178">
        <v>19509</v>
      </c>
      <c r="AD23" s="178">
        <f t="shared" si="0"/>
        <v>1653082</v>
      </c>
      <c r="AE23" s="174">
        <v>229.04300000000001</v>
      </c>
      <c r="AF23" s="173">
        <v>7217.3434682570523</v>
      </c>
    </row>
    <row r="24" spans="1:32">
      <c r="A24" s="130" t="s">
        <v>40</v>
      </c>
      <c r="B24" s="6" t="s">
        <v>12</v>
      </c>
      <c r="C24" s="334" t="s">
        <v>68</v>
      </c>
      <c r="D24" s="103" t="s">
        <v>1012</v>
      </c>
      <c r="E24" s="6" t="s">
        <v>110</v>
      </c>
      <c r="F24" s="334" t="s">
        <v>329</v>
      </c>
      <c r="G24" s="111">
        <v>38519395</v>
      </c>
      <c r="H24" s="112">
        <v>2573.2849999999999</v>
      </c>
      <c r="I24" s="135">
        <v>14968.957966179418</v>
      </c>
      <c r="K24" s="124"/>
      <c r="L24" s="150" t="s">
        <v>1267</v>
      </c>
      <c r="M24" s="150"/>
      <c r="N24" s="150"/>
      <c r="O24" s="150"/>
      <c r="P24" s="150"/>
      <c r="Q24" s="124"/>
      <c r="R24" s="13"/>
      <c r="S24" s="13"/>
      <c r="T24" s="170" t="s">
        <v>47</v>
      </c>
      <c r="U24" s="295" t="s">
        <v>19</v>
      </c>
      <c r="V24" s="110" t="s">
        <v>67</v>
      </c>
      <c r="W24" s="110" t="s">
        <v>710</v>
      </c>
      <c r="X24" s="293" t="s">
        <v>374</v>
      </c>
      <c r="Y24" s="103" t="s">
        <v>688</v>
      </c>
      <c r="Z24" s="177">
        <v>38521</v>
      </c>
      <c r="AA24" s="177">
        <v>0</v>
      </c>
      <c r="AB24" s="177">
        <v>1978054</v>
      </c>
      <c r="AC24" s="177">
        <v>208687</v>
      </c>
      <c r="AD24" s="177">
        <v>2225262</v>
      </c>
      <c r="AE24" s="112">
        <v>288.66000000000003</v>
      </c>
      <c r="AF24" s="111">
        <v>7708.9378507586771</v>
      </c>
    </row>
    <row r="25" spans="1:32">
      <c r="A25" s="132" t="s">
        <v>41</v>
      </c>
      <c r="B25" s="120" t="s">
        <v>13</v>
      </c>
      <c r="C25" s="121" t="s">
        <v>67</v>
      </c>
      <c r="D25" s="121" t="s">
        <v>1240</v>
      </c>
      <c r="E25" s="120" t="s">
        <v>1265</v>
      </c>
      <c r="F25" s="121">
        <v>99</v>
      </c>
      <c r="G25" s="122">
        <v>10348167</v>
      </c>
      <c r="H25" s="123">
        <v>1338.95</v>
      </c>
      <c r="I25" s="138">
        <v>7728.5686545427388</v>
      </c>
      <c r="K25" s="124"/>
      <c r="L25" s="151" t="s">
        <v>1272</v>
      </c>
      <c r="M25" s="151"/>
      <c r="N25" s="151"/>
      <c r="O25" s="151"/>
      <c r="P25" s="151"/>
      <c r="Q25" s="10"/>
      <c r="R25" s="15"/>
      <c r="S25" s="15"/>
      <c r="T25" s="171" t="s">
        <v>47</v>
      </c>
      <c r="U25" s="294" t="s">
        <v>19</v>
      </c>
      <c r="V25" s="172" t="s">
        <v>67</v>
      </c>
      <c r="W25" s="172" t="s">
        <v>711</v>
      </c>
      <c r="X25" s="294" t="s">
        <v>375</v>
      </c>
      <c r="Y25" s="172" t="s">
        <v>660</v>
      </c>
      <c r="Z25" s="178">
        <v>202706</v>
      </c>
      <c r="AA25" s="178">
        <v>0</v>
      </c>
      <c r="AB25" s="178">
        <v>572577</v>
      </c>
      <c r="AC25" s="178">
        <v>0</v>
      </c>
      <c r="AD25" s="178">
        <f t="shared" si="0"/>
        <v>775283</v>
      </c>
      <c r="AE25" s="174">
        <v>84.817999999999998</v>
      </c>
      <c r="AF25" s="173">
        <v>9140.5479968874533</v>
      </c>
    </row>
    <row r="26" spans="1:32">
      <c r="A26" s="131" t="s">
        <v>41</v>
      </c>
      <c r="B26" s="113" t="s">
        <v>13</v>
      </c>
      <c r="C26" s="114" t="s">
        <v>68</v>
      </c>
      <c r="D26" s="114" t="s">
        <v>1013</v>
      </c>
      <c r="E26" s="113" t="s">
        <v>1266</v>
      </c>
      <c r="F26" s="115" t="s">
        <v>143</v>
      </c>
      <c r="G26" s="116">
        <v>168974628</v>
      </c>
      <c r="H26" s="117">
        <v>18844.609</v>
      </c>
      <c r="I26" s="136">
        <v>8966.7356855215203</v>
      </c>
      <c r="K26" s="124"/>
      <c r="L26" s="151"/>
      <c r="M26" s="151" t="s">
        <v>1270</v>
      </c>
      <c r="N26" s="151"/>
      <c r="O26" s="151"/>
      <c r="P26" s="151"/>
      <c r="Q26" s="10"/>
      <c r="R26" s="15"/>
      <c r="S26" s="15"/>
      <c r="T26" s="170" t="s">
        <v>47</v>
      </c>
      <c r="U26" s="295" t="s">
        <v>19</v>
      </c>
      <c r="V26" s="110" t="s">
        <v>67</v>
      </c>
      <c r="W26" s="110" t="s">
        <v>712</v>
      </c>
      <c r="X26" s="293" t="s">
        <v>376</v>
      </c>
      <c r="Y26" s="103" t="s">
        <v>692</v>
      </c>
      <c r="Z26" s="177">
        <v>20910</v>
      </c>
      <c r="AA26" s="177">
        <v>0</v>
      </c>
      <c r="AB26" s="177">
        <v>3065283</v>
      </c>
      <c r="AC26" s="177">
        <v>0</v>
      </c>
      <c r="AD26" s="177">
        <f t="shared" si="0"/>
        <v>3086193</v>
      </c>
      <c r="AE26" s="112">
        <v>475.86</v>
      </c>
      <c r="AF26" s="111">
        <v>6485.5062413314836</v>
      </c>
    </row>
    <row r="27" spans="1:32">
      <c r="A27" s="130" t="s">
        <v>41</v>
      </c>
      <c r="B27" s="6" t="s">
        <v>13</v>
      </c>
      <c r="C27" s="334" t="s">
        <v>68</v>
      </c>
      <c r="D27" s="103" t="s">
        <v>1014</v>
      </c>
      <c r="E27" s="118" t="s">
        <v>12</v>
      </c>
      <c r="F27" s="334" t="s">
        <v>69</v>
      </c>
      <c r="G27" s="111">
        <v>174587</v>
      </c>
      <c r="H27" s="112">
        <v>6.54</v>
      </c>
      <c r="I27" s="135">
        <v>26695.25993883792</v>
      </c>
      <c r="K27" s="124"/>
      <c r="L27" s="100" t="s">
        <v>1268</v>
      </c>
      <c r="M27" s="100"/>
      <c r="N27" s="100"/>
      <c r="O27" s="100"/>
      <c r="P27" s="100"/>
      <c r="Q27" s="10"/>
      <c r="R27" s="15"/>
      <c r="S27" s="15"/>
      <c r="T27" s="171" t="s">
        <v>47</v>
      </c>
      <c r="U27" s="294" t="s">
        <v>19</v>
      </c>
      <c r="V27" s="172" t="s">
        <v>67</v>
      </c>
      <c r="W27" s="172" t="s">
        <v>713</v>
      </c>
      <c r="X27" s="294" t="s">
        <v>377</v>
      </c>
      <c r="Y27" s="172" t="s">
        <v>688</v>
      </c>
      <c r="Z27" s="178">
        <v>0</v>
      </c>
      <c r="AA27" s="178">
        <v>0</v>
      </c>
      <c r="AB27" s="178">
        <v>2541796</v>
      </c>
      <c r="AC27" s="178">
        <v>0</v>
      </c>
      <c r="AD27" s="178">
        <f t="shared" si="0"/>
        <v>2541796</v>
      </c>
      <c r="AE27" s="174">
        <v>413.71</v>
      </c>
      <c r="AF27" s="173">
        <v>6143.9075681032609</v>
      </c>
    </row>
    <row r="28" spans="1:32">
      <c r="A28" s="130" t="s">
        <v>41</v>
      </c>
      <c r="B28" s="6" t="s">
        <v>13</v>
      </c>
      <c r="C28" s="334" t="s">
        <v>68</v>
      </c>
      <c r="D28" s="103" t="s">
        <v>1015</v>
      </c>
      <c r="E28" s="118" t="s">
        <v>112</v>
      </c>
      <c r="F28" s="334" t="s">
        <v>69</v>
      </c>
      <c r="G28" s="111">
        <v>854056</v>
      </c>
      <c r="H28" s="112">
        <v>31.085000000000001</v>
      </c>
      <c r="I28" s="135">
        <v>27474.859256876305</v>
      </c>
      <c r="K28" s="124"/>
      <c r="L28" s="100"/>
      <c r="M28" s="100" t="s">
        <v>1269</v>
      </c>
      <c r="N28" s="100"/>
      <c r="O28" s="100"/>
      <c r="P28" s="100"/>
      <c r="Q28" s="10"/>
      <c r="R28" s="15"/>
      <c r="S28" s="15"/>
      <c r="T28" s="170" t="s">
        <v>47</v>
      </c>
      <c r="U28" s="295" t="s">
        <v>19</v>
      </c>
      <c r="V28" s="110" t="s">
        <v>67</v>
      </c>
      <c r="W28" s="110" t="s">
        <v>714</v>
      </c>
      <c r="X28" s="293" t="s">
        <v>378</v>
      </c>
      <c r="Y28" s="103" t="s">
        <v>688</v>
      </c>
      <c r="Z28" s="177">
        <v>24518</v>
      </c>
      <c r="AA28" s="177">
        <v>0</v>
      </c>
      <c r="AB28" s="177">
        <v>599486</v>
      </c>
      <c r="AC28" s="177">
        <v>217523</v>
      </c>
      <c r="AD28" s="177">
        <f t="shared" si="0"/>
        <v>841527</v>
      </c>
      <c r="AE28" s="112">
        <v>88.38</v>
      </c>
      <c r="AF28" s="111">
        <v>9521.6904276985751</v>
      </c>
    </row>
    <row r="29" spans="1:32">
      <c r="A29" s="130" t="s">
        <v>41</v>
      </c>
      <c r="B29" s="6" t="s">
        <v>13</v>
      </c>
      <c r="C29" s="334" t="s">
        <v>68</v>
      </c>
      <c r="D29" s="103" t="s">
        <v>1016</v>
      </c>
      <c r="E29" s="118" t="s">
        <v>113</v>
      </c>
      <c r="F29" s="334" t="s">
        <v>329</v>
      </c>
      <c r="G29" s="111">
        <v>9145748</v>
      </c>
      <c r="H29" s="112">
        <v>972.48500000000001</v>
      </c>
      <c r="I29" s="135">
        <v>9404.5131801518783</v>
      </c>
      <c r="K29" s="124"/>
      <c r="L29" s="124"/>
      <c r="M29" s="124"/>
      <c r="N29" s="124"/>
      <c r="O29" s="124"/>
      <c r="P29" s="124"/>
      <c r="Q29" s="10"/>
      <c r="R29" s="15"/>
      <c r="S29" s="15"/>
      <c r="T29" s="171" t="s">
        <v>47</v>
      </c>
      <c r="U29" s="294" t="s">
        <v>19</v>
      </c>
      <c r="V29" s="172" t="s">
        <v>67</v>
      </c>
      <c r="W29" s="172" t="s">
        <v>715</v>
      </c>
      <c r="X29" s="294" t="s">
        <v>379</v>
      </c>
      <c r="Y29" s="172" t="s">
        <v>660</v>
      </c>
      <c r="Z29" s="178">
        <v>364418</v>
      </c>
      <c r="AA29" s="178">
        <v>51000</v>
      </c>
      <c r="AB29" s="178">
        <v>2407732</v>
      </c>
      <c r="AC29" s="178">
        <v>30388</v>
      </c>
      <c r="AD29" s="178">
        <f t="shared" si="0"/>
        <v>2853538</v>
      </c>
      <c r="AE29" s="174">
        <v>361.71</v>
      </c>
      <c r="AF29" s="173">
        <v>7889.0215918830008</v>
      </c>
    </row>
    <row r="30" spans="1:32">
      <c r="A30" s="130" t="s">
        <v>41</v>
      </c>
      <c r="B30" s="6" t="s">
        <v>13</v>
      </c>
      <c r="C30" s="334" t="s">
        <v>68</v>
      </c>
      <c r="D30" s="103" t="s">
        <v>1017</v>
      </c>
      <c r="E30" s="118" t="s">
        <v>114</v>
      </c>
      <c r="F30" s="334" t="s">
        <v>329</v>
      </c>
      <c r="G30" s="111">
        <v>10861881</v>
      </c>
      <c r="H30" s="112">
        <v>944.19</v>
      </c>
      <c r="I30" s="135">
        <v>11503.914466367998</v>
      </c>
      <c r="K30" s="124"/>
      <c r="L30" s="124"/>
      <c r="M30" s="124"/>
      <c r="N30" s="124"/>
      <c r="O30" s="124"/>
      <c r="P30" s="124"/>
      <c r="Q30" s="10"/>
      <c r="R30" s="15"/>
      <c r="S30" s="15"/>
      <c r="T30" s="171" t="s">
        <v>47</v>
      </c>
      <c r="U30" s="294" t="s">
        <v>19</v>
      </c>
      <c r="V30" s="172" t="s">
        <v>67</v>
      </c>
      <c r="W30" s="172" t="s">
        <v>716</v>
      </c>
      <c r="X30" s="294" t="s">
        <v>380</v>
      </c>
      <c r="Y30" s="172" t="s">
        <v>688</v>
      </c>
      <c r="Z30" s="178">
        <v>19830</v>
      </c>
      <c r="AA30" s="178">
        <v>0</v>
      </c>
      <c r="AB30" s="178">
        <v>618973</v>
      </c>
      <c r="AC30" s="178">
        <v>128296</v>
      </c>
      <c r="AD30" s="178">
        <f t="shared" si="0"/>
        <v>767099</v>
      </c>
      <c r="AE30" s="174">
        <v>93.81</v>
      </c>
      <c r="AF30" s="173">
        <v>8177.1559535230781</v>
      </c>
    </row>
    <row r="31" spans="1:32">
      <c r="A31" s="130" t="s">
        <v>41</v>
      </c>
      <c r="B31" s="6" t="s">
        <v>13</v>
      </c>
      <c r="C31" s="334" t="s">
        <v>68</v>
      </c>
      <c r="D31" s="103" t="s">
        <v>1018</v>
      </c>
      <c r="E31" s="118" t="s">
        <v>115</v>
      </c>
      <c r="F31" s="334" t="s">
        <v>329</v>
      </c>
      <c r="G31" s="111">
        <v>1632181</v>
      </c>
      <c r="H31" s="112">
        <v>91.12</v>
      </c>
      <c r="I31" s="135">
        <v>17912.434152765582</v>
      </c>
      <c r="K31" s="1"/>
      <c r="L31" s="1"/>
      <c r="M31" s="1"/>
      <c r="N31" s="1"/>
      <c r="O31" s="1"/>
      <c r="P31" s="1"/>
      <c r="R31" s="15"/>
      <c r="S31" s="15"/>
      <c r="T31" s="170" t="s">
        <v>47</v>
      </c>
      <c r="U31" s="295" t="s">
        <v>19</v>
      </c>
      <c r="V31" s="110" t="s">
        <v>67</v>
      </c>
      <c r="W31" s="110" t="s">
        <v>717</v>
      </c>
      <c r="X31" s="293" t="s">
        <v>373</v>
      </c>
      <c r="Y31" s="103" t="s">
        <v>692</v>
      </c>
      <c r="Z31" s="177">
        <v>16677</v>
      </c>
      <c r="AA31" s="177">
        <v>0</v>
      </c>
      <c r="AB31" s="177">
        <v>872503</v>
      </c>
      <c r="AC31" s="177">
        <v>3141</v>
      </c>
      <c r="AD31" s="177">
        <f t="shared" si="0"/>
        <v>892321</v>
      </c>
      <c r="AE31" s="112">
        <v>124.11</v>
      </c>
      <c r="AF31" s="111">
        <v>7189.7590846829426</v>
      </c>
    </row>
    <row r="32" spans="1:32">
      <c r="A32" s="130" t="s">
        <v>41</v>
      </c>
      <c r="B32" s="6" t="s">
        <v>13</v>
      </c>
      <c r="C32" s="334" t="s">
        <v>67</v>
      </c>
      <c r="D32" s="334" t="s">
        <v>663</v>
      </c>
      <c r="E32" s="118" t="s">
        <v>333</v>
      </c>
      <c r="F32" s="103" t="s">
        <v>660</v>
      </c>
      <c r="G32" s="111">
        <v>4572594</v>
      </c>
      <c r="H32" s="112">
        <v>583.82500000000005</v>
      </c>
      <c r="I32" s="137">
        <v>7832.1312036997379</v>
      </c>
      <c r="K32" s="1"/>
      <c r="L32" s="1"/>
      <c r="M32" s="1"/>
      <c r="N32" s="1"/>
      <c r="O32" s="1"/>
      <c r="P32" s="1"/>
      <c r="R32" s="15"/>
      <c r="S32" s="15"/>
      <c r="T32" s="170" t="s">
        <v>47</v>
      </c>
      <c r="U32" s="295" t="s">
        <v>19</v>
      </c>
      <c r="V32" s="110" t="s">
        <v>67</v>
      </c>
      <c r="W32" s="110" t="s">
        <v>718</v>
      </c>
      <c r="X32" s="293" t="s">
        <v>382</v>
      </c>
      <c r="Y32" s="103" t="s">
        <v>678</v>
      </c>
      <c r="Z32" s="177">
        <v>8297</v>
      </c>
      <c r="AA32" s="177">
        <v>0</v>
      </c>
      <c r="AB32" s="177">
        <v>565100</v>
      </c>
      <c r="AC32" s="177">
        <v>20644</v>
      </c>
      <c r="AD32" s="177">
        <f t="shared" si="0"/>
        <v>594041</v>
      </c>
      <c r="AE32" s="112">
        <v>78.19</v>
      </c>
      <c r="AF32" s="111">
        <v>7597.403760071621</v>
      </c>
    </row>
    <row r="33" spans="1:32">
      <c r="A33" s="130" t="s">
        <v>41</v>
      </c>
      <c r="B33" s="6" t="s">
        <v>13</v>
      </c>
      <c r="C33" s="334" t="s">
        <v>68</v>
      </c>
      <c r="D33" s="103" t="s">
        <v>1019</v>
      </c>
      <c r="E33" s="118" t="s">
        <v>13</v>
      </c>
      <c r="F33" s="334" t="s">
        <v>69</v>
      </c>
      <c r="G33" s="111">
        <v>1230120</v>
      </c>
      <c r="H33" s="112">
        <v>59.615000000000002</v>
      </c>
      <c r="I33" s="135">
        <v>20634.404092929632</v>
      </c>
      <c r="J33" s="13"/>
      <c r="K33" s="125" t="s">
        <v>1253</v>
      </c>
      <c r="L33" s="124"/>
      <c r="M33" s="124"/>
      <c r="N33" s="124"/>
      <c r="O33" s="124"/>
      <c r="P33" s="124"/>
      <c r="Q33" s="124"/>
      <c r="R33" s="13"/>
      <c r="S33" s="13"/>
      <c r="T33" s="171" t="s">
        <v>47</v>
      </c>
      <c r="U33" s="294" t="s">
        <v>19</v>
      </c>
      <c r="V33" s="172" t="s">
        <v>67</v>
      </c>
      <c r="W33" s="172" t="s">
        <v>719</v>
      </c>
      <c r="X33" s="294" t="s">
        <v>383</v>
      </c>
      <c r="Y33" s="172" t="s">
        <v>660</v>
      </c>
      <c r="Z33" s="178">
        <v>15210</v>
      </c>
      <c r="AA33" s="178">
        <v>0</v>
      </c>
      <c r="AB33" s="178">
        <v>1115515</v>
      </c>
      <c r="AC33" s="178">
        <v>170015</v>
      </c>
      <c r="AD33" s="178">
        <f t="shared" si="0"/>
        <v>1300740</v>
      </c>
      <c r="AE33" s="174">
        <v>168.39</v>
      </c>
      <c r="AF33" s="173">
        <v>7724.5679672189563</v>
      </c>
    </row>
    <row r="34" spans="1:32">
      <c r="A34" s="130" t="s">
        <v>41</v>
      </c>
      <c r="B34" s="6" t="s">
        <v>13</v>
      </c>
      <c r="C34" s="334" t="s">
        <v>67</v>
      </c>
      <c r="D34" s="334" t="s">
        <v>664</v>
      </c>
      <c r="E34" s="118" t="s">
        <v>334</v>
      </c>
      <c r="F34" s="103" t="s">
        <v>660</v>
      </c>
      <c r="G34" s="111">
        <v>1567979</v>
      </c>
      <c r="H34" s="112">
        <v>211.10499999999999</v>
      </c>
      <c r="I34" s="137">
        <v>7427.4839534828643</v>
      </c>
      <c r="K34" s="124"/>
      <c r="L34" s="124" t="s">
        <v>1254</v>
      </c>
      <c r="M34" s="124"/>
      <c r="N34" s="124"/>
      <c r="O34" s="124"/>
      <c r="P34" s="124"/>
      <c r="Q34" s="124"/>
      <c r="R34" s="13"/>
      <c r="S34" s="13"/>
      <c r="T34" s="170" t="s">
        <v>47</v>
      </c>
      <c r="U34" s="295" t="s">
        <v>19</v>
      </c>
      <c r="V34" s="110" t="s">
        <v>67</v>
      </c>
      <c r="W34" s="110" t="s">
        <v>720</v>
      </c>
      <c r="X34" s="293" t="s">
        <v>384</v>
      </c>
      <c r="Y34" s="103" t="s">
        <v>688</v>
      </c>
      <c r="Z34" s="177">
        <v>503809</v>
      </c>
      <c r="AA34" s="177">
        <v>0</v>
      </c>
      <c r="AB34" s="177">
        <v>3492648</v>
      </c>
      <c r="AC34" s="177">
        <v>14138</v>
      </c>
      <c r="AD34" s="177">
        <f t="shared" si="0"/>
        <v>4010595</v>
      </c>
      <c r="AE34" s="112">
        <v>561.71500000000003</v>
      </c>
      <c r="AF34" s="111">
        <v>7139.9108088621451</v>
      </c>
    </row>
    <row r="35" spans="1:32">
      <c r="A35" s="130" t="s">
        <v>41</v>
      </c>
      <c r="B35" s="6" t="s">
        <v>13</v>
      </c>
      <c r="C35" s="334" t="s">
        <v>68</v>
      </c>
      <c r="D35" s="103" t="s">
        <v>1020</v>
      </c>
      <c r="E35" s="118" t="s">
        <v>141</v>
      </c>
      <c r="F35" s="334" t="s">
        <v>132</v>
      </c>
      <c r="G35" s="111">
        <v>2083967</v>
      </c>
      <c r="H35" s="112">
        <v>474.27300000000002</v>
      </c>
      <c r="I35" s="135">
        <v>4394.0241169115679</v>
      </c>
      <c r="K35" s="124"/>
      <c r="L35" s="124" t="s">
        <v>1255</v>
      </c>
      <c r="M35" s="124"/>
      <c r="N35" s="124"/>
      <c r="O35" s="124"/>
      <c r="P35" s="124"/>
      <c r="Q35" s="124"/>
      <c r="R35" s="13"/>
      <c r="S35" s="13"/>
      <c r="T35" s="171" t="s">
        <v>47</v>
      </c>
      <c r="U35" s="294" t="s">
        <v>19</v>
      </c>
      <c r="V35" s="172" t="s">
        <v>67</v>
      </c>
      <c r="W35" s="172" t="s">
        <v>721</v>
      </c>
      <c r="X35" s="294" t="s">
        <v>385</v>
      </c>
      <c r="Y35" s="172" t="s">
        <v>688</v>
      </c>
      <c r="Z35" s="178">
        <v>297748</v>
      </c>
      <c r="AA35" s="178">
        <v>0</v>
      </c>
      <c r="AB35" s="178">
        <v>3115399</v>
      </c>
      <c r="AC35" s="178">
        <v>85283</v>
      </c>
      <c r="AD35" s="178">
        <v>3498430</v>
      </c>
      <c r="AE35" s="174">
        <v>518.55499999999995</v>
      </c>
      <c r="AF35" s="173">
        <v>6746.497478570258</v>
      </c>
    </row>
    <row r="36" spans="1:32">
      <c r="A36" s="130" t="s">
        <v>41</v>
      </c>
      <c r="B36" s="6" t="s">
        <v>13</v>
      </c>
      <c r="C36" s="334" t="s">
        <v>68</v>
      </c>
      <c r="D36" s="103" t="s">
        <v>1021</v>
      </c>
      <c r="E36" s="118" t="s">
        <v>116</v>
      </c>
      <c r="F36" s="334" t="s">
        <v>69</v>
      </c>
      <c r="G36" s="111">
        <v>601016</v>
      </c>
      <c r="H36" s="112">
        <v>55.54</v>
      </c>
      <c r="I36" s="135">
        <v>10821.317969031328</v>
      </c>
      <c r="K36" s="124"/>
      <c r="L36" s="124"/>
      <c r="M36" s="124"/>
      <c r="N36" s="124"/>
      <c r="O36" s="124"/>
      <c r="P36" s="124"/>
      <c r="Q36" s="124"/>
      <c r="R36" s="13"/>
      <c r="S36" s="13"/>
      <c r="T36" s="171" t="s">
        <v>47</v>
      </c>
      <c r="U36" s="294" t="s">
        <v>19</v>
      </c>
      <c r="V36" s="172" t="s">
        <v>67</v>
      </c>
      <c r="W36" s="172" t="s">
        <v>722</v>
      </c>
      <c r="X36" s="294" t="s">
        <v>386</v>
      </c>
      <c r="Y36" s="172" t="s">
        <v>660</v>
      </c>
      <c r="Z36" s="178">
        <v>289180</v>
      </c>
      <c r="AA36" s="178">
        <v>0</v>
      </c>
      <c r="AB36" s="178">
        <v>1586098</v>
      </c>
      <c r="AC36" s="178">
        <v>55463</v>
      </c>
      <c r="AD36" s="178">
        <f t="shared" si="0"/>
        <v>1930741</v>
      </c>
      <c r="AE36" s="174">
        <v>248.63</v>
      </c>
      <c r="AF36" s="173">
        <v>7765.51904436311</v>
      </c>
    </row>
    <row r="37" spans="1:32">
      <c r="A37" s="130" t="s">
        <v>41</v>
      </c>
      <c r="B37" s="6" t="s">
        <v>13</v>
      </c>
      <c r="C37" s="334" t="s">
        <v>68</v>
      </c>
      <c r="D37" s="103" t="s">
        <v>1022</v>
      </c>
      <c r="E37" s="118" t="s">
        <v>117</v>
      </c>
      <c r="F37" s="334" t="s">
        <v>329</v>
      </c>
      <c r="G37" s="111">
        <v>31399430</v>
      </c>
      <c r="H37" s="112">
        <v>3985.5650000000001</v>
      </c>
      <c r="I37" s="135">
        <v>7878.2882728044833</v>
      </c>
      <c r="K37" s="1"/>
      <c r="L37" s="1"/>
      <c r="M37" s="1"/>
      <c r="N37" s="1"/>
      <c r="O37" s="1"/>
      <c r="P37" s="1"/>
      <c r="Q37" s="1"/>
      <c r="R37" s="13"/>
      <c r="S37" s="13"/>
      <c r="T37" s="170" t="s">
        <v>47</v>
      </c>
      <c r="U37" s="295" t="s">
        <v>19</v>
      </c>
      <c r="V37" s="110" t="s">
        <v>67</v>
      </c>
      <c r="W37" s="110" t="s">
        <v>723</v>
      </c>
      <c r="X37" s="293" t="s">
        <v>387</v>
      </c>
      <c r="Y37" s="103" t="s">
        <v>688</v>
      </c>
      <c r="Z37" s="177">
        <v>136073</v>
      </c>
      <c r="AA37" s="177">
        <v>0</v>
      </c>
      <c r="AB37" s="177">
        <v>2172997</v>
      </c>
      <c r="AC37" s="177">
        <v>130483</v>
      </c>
      <c r="AD37" s="177">
        <f t="shared" si="0"/>
        <v>2439553</v>
      </c>
      <c r="AE37" s="112">
        <v>346.1</v>
      </c>
      <c r="AF37" s="111">
        <v>7048.6940190696323</v>
      </c>
    </row>
    <row r="38" spans="1:32">
      <c r="A38" s="130" t="s">
        <v>41</v>
      </c>
      <c r="B38" s="6" t="s">
        <v>13</v>
      </c>
      <c r="C38" s="110" t="s">
        <v>68</v>
      </c>
      <c r="D38" s="103" t="s">
        <v>1023</v>
      </c>
      <c r="E38" s="118" t="s">
        <v>118</v>
      </c>
      <c r="F38" s="334" t="s">
        <v>69</v>
      </c>
      <c r="G38" s="111">
        <v>1475013</v>
      </c>
      <c r="H38" s="112">
        <v>167.45</v>
      </c>
      <c r="I38" s="135">
        <v>8808.6772170797267</v>
      </c>
      <c r="K38" s="1"/>
      <c r="L38" s="1"/>
      <c r="M38" s="1"/>
      <c r="N38" s="1"/>
      <c r="O38" s="1"/>
      <c r="P38" s="1"/>
      <c r="Q38" s="1"/>
      <c r="R38" s="13"/>
      <c r="S38" s="13"/>
      <c r="T38" s="171" t="s">
        <v>47</v>
      </c>
      <c r="U38" s="294" t="s">
        <v>19</v>
      </c>
      <c r="V38" s="172" t="s">
        <v>67</v>
      </c>
      <c r="W38" s="172" t="s">
        <v>724</v>
      </c>
      <c r="X38" s="294" t="s">
        <v>388</v>
      </c>
      <c r="Y38" s="172" t="s">
        <v>660</v>
      </c>
      <c r="Z38" s="178">
        <v>154416</v>
      </c>
      <c r="AA38" s="178">
        <v>0</v>
      </c>
      <c r="AB38" s="178">
        <v>2387546</v>
      </c>
      <c r="AC38" s="178">
        <v>32157</v>
      </c>
      <c r="AD38" s="178">
        <f t="shared" si="0"/>
        <v>2574119</v>
      </c>
      <c r="AE38" s="174">
        <v>374.98</v>
      </c>
      <c r="AF38" s="173">
        <v>6864.6834497839882</v>
      </c>
    </row>
    <row r="39" spans="1:32">
      <c r="A39" s="130" t="s">
        <v>41</v>
      </c>
      <c r="B39" s="6" t="s">
        <v>13</v>
      </c>
      <c r="C39" s="110" t="s">
        <v>68</v>
      </c>
      <c r="D39" s="103" t="s">
        <v>1024</v>
      </c>
      <c r="E39" s="118" t="s">
        <v>119</v>
      </c>
      <c r="F39" s="334" t="s">
        <v>69</v>
      </c>
      <c r="G39" s="111">
        <v>0</v>
      </c>
      <c r="H39" s="112">
        <v>0</v>
      </c>
      <c r="I39" s="135">
        <v>0</v>
      </c>
      <c r="K39" s="125" t="s">
        <v>1241</v>
      </c>
      <c r="L39" s="124"/>
      <c r="M39" s="124"/>
      <c r="N39" s="124"/>
      <c r="O39" s="124"/>
      <c r="P39" s="124"/>
      <c r="Q39" s="124"/>
      <c r="R39" s="13"/>
      <c r="S39" s="13"/>
      <c r="T39" s="170" t="s">
        <v>47</v>
      </c>
      <c r="U39" s="295" t="s">
        <v>19</v>
      </c>
      <c r="V39" s="110" t="s">
        <v>67</v>
      </c>
      <c r="W39" s="110" t="s">
        <v>690</v>
      </c>
      <c r="X39" s="293" t="s">
        <v>355</v>
      </c>
      <c r="Y39" s="103" t="s">
        <v>660</v>
      </c>
      <c r="Z39" s="177">
        <v>203513</v>
      </c>
      <c r="AA39" s="177">
        <v>0</v>
      </c>
      <c r="AB39" s="177">
        <v>9985260</v>
      </c>
      <c r="AC39" s="177">
        <v>0</v>
      </c>
      <c r="AD39" s="177">
        <f t="shared" si="0"/>
        <v>10188773</v>
      </c>
      <c r="AE39" s="112">
        <v>1716.453</v>
      </c>
      <c r="AF39" s="111">
        <v>5935.9463964349734</v>
      </c>
    </row>
    <row r="40" spans="1:32">
      <c r="A40" s="130" t="s">
        <v>41</v>
      </c>
      <c r="B40" s="6" t="s">
        <v>13</v>
      </c>
      <c r="C40" s="110" t="s">
        <v>68</v>
      </c>
      <c r="D40" s="103" t="s">
        <v>1025</v>
      </c>
      <c r="E40" s="118" t="s">
        <v>142</v>
      </c>
      <c r="F40" s="334" t="s">
        <v>65</v>
      </c>
      <c r="G40" s="111">
        <v>14746472</v>
      </c>
      <c r="H40" s="112">
        <v>971.32</v>
      </c>
      <c r="I40" s="135">
        <v>15181.888564015977</v>
      </c>
      <c r="K40" s="124"/>
      <c r="L40" s="124"/>
      <c r="M40" s="124"/>
      <c r="N40" s="124"/>
      <c r="O40" s="124"/>
      <c r="P40" s="124"/>
      <c r="Q40" s="124"/>
      <c r="R40" s="13"/>
      <c r="S40" s="13"/>
      <c r="T40" s="171" t="s">
        <v>47</v>
      </c>
      <c r="U40" s="294" t="s">
        <v>19</v>
      </c>
      <c r="V40" s="172" t="s">
        <v>67</v>
      </c>
      <c r="W40" s="172" t="s">
        <v>725</v>
      </c>
      <c r="X40" s="294" t="s">
        <v>389</v>
      </c>
      <c r="Y40" s="172" t="s">
        <v>660</v>
      </c>
      <c r="Z40" s="178">
        <v>9984</v>
      </c>
      <c r="AA40" s="178">
        <v>0</v>
      </c>
      <c r="AB40" s="178">
        <v>1222666</v>
      </c>
      <c r="AC40" s="178">
        <v>130196</v>
      </c>
      <c r="AD40" s="178">
        <f t="shared" si="0"/>
        <v>1362846</v>
      </c>
      <c r="AE40" s="174">
        <v>175.4</v>
      </c>
      <c r="AF40" s="173">
        <v>7769.9315849486884</v>
      </c>
    </row>
    <row r="41" spans="1:32">
      <c r="A41" s="130" t="s">
        <v>41</v>
      </c>
      <c r="B41" s="6" t="s">
        <v>13</v>
      </c>
      <c r="C41" s="110" t="s">
        <v>68</v>
      </c>
      <c r="D41" s="103" t="s">
        <v>1026</v>
      </c>
      <c r="E41" s="118" t="s">
        <v>120</v>
      </c>
      <c r="F41" s="334" t="s">
        <v>69</v>
      </c>
      <c r="G41" s="111">
        <v>710706</v>
      </c>
      <c r="H41" s="112">
        <v>43.54</v>
      </c>
      <c r="I41" s="135">
        <v>16323.059255856684</v>
      </c>
      <c r="K41" s="124"/>
      <c r="L41" s="124" t="s">
        <v>1242</v>
      </c>
      <c r="M41" s="124"/>
      <c r="N41" s="124"/>
      <c r="O41" s="124"/>
      <c r="P41" s="124"/>
      <c r="Q41" s="124"/>
      <c r="R41" s="13"/>
      <c r="S41" s="13"/>
      <c r="T41" s="170" t="s">
        <v>47</v>
      </c>
      <c r="U41" s="295" t="s">
        <v>19</v>
      </c>
      <c r="V41" s="110" t="s">
        <v>67</v>
      </c>
      <c r="W41" s="110" t="s">
        <v>726</v>
      </c>
      <c r="X41" s="293" t="s">
        <v>390</v>
      </c>
      <c r="Y41" s="103" t="s">
        <v>660</v>
      </c>
      <c r="Z41" s="177">
        <v>101693</v>
      </c>
      <c r="AA41" s="177">
        <v>0</v>
      </c>
      <c r="AB41" s="177">
        <v>853844</v>
      </c>
      <c r="AC41" s="177">
        <v>88788</v>
      </c>
      <c r="AD41" s="177">
        <f t="shared" si="0"/>
        <v>1044325</v>
      </c>
      <c r="AE41" s="112">
        <v>122.535</v>
      </c>
      <c r="AF41" s="111">
        <v>8522.6669931040105</v>
      </c>
    </row>
    <row r="42" spans="1:32">
      <c r="A42" s="130" t="s">
        <v>41</v>
      </c>
      <c r="B42" s="6" t="s">
        <v>13</v>
      </c>
      <c r="C42" s="110" t="s">
        <v>68</v>
      </c>
      <c r="D42" s="103" t="s">
        <v>1027</v>
      </c>
      <c r="E42" s="118" t="s">
        <v>121</v>
      </c>
      <c r="F42" s="334" t="s">
        <v>69</v>
      </c>
      <c r="G42" s="111">
        <v>3038606</v>
      </c>
      <c r="H42" s="112">
        <v>251.845</v>
      </c>
      <c r="I42" s="135">
        <v>12065.381484643332</v>
      </c>
      <c r="K42" s="124"/>
      <c r="L42" s="124"/>
      <c r="M42" s="124" t="s">
        <v>30</v>
      </c>
      <c r="N42" s="124"/>
      <c r="O42" s="124"/>
      <c r="P42" s="124"/>
      <c r="Q42" s="124"/>
      <c r="R42" s="13"/>
      <c r="S42" s="13"/>
      <c r="T42" s="171" t="s">
        <v>47</v>
      </c>
      <c r="U42" s="294" t="s">
        <v>19</v>
      </c>
      <c r="V42" s="172" t="s">
        <v>67</v>
      </c>
      <c r="W42" s="172" t="s">
        <v>727</v>
      </c>
      <c r="X42" s="294" t="s">
        <v>391</v>
      </c>
      <c r="Y42" s="172" t="s">
        <v>660</v>
      </c>
      <c r="Z42" s="178">
        <v>359788</v>
      </c>
      <c r="AA42" s="178">
        <v>0</v>
      </c>
      <c r="AB42" s="178">
        <v>2654908</v>
      </c>
      <c r="AC42" s="178">
        <v>0</v>
      </c>
      <c r="AD42" s="178">
        <f t="shared" si="0"/>
        <v>3014696</v>
      </c>
      <c r="AE42" s="174">
        <v>411.48500000000001</v>
      </c>
      <c r="AF42" s="173">
        <v>7326.3812775678334</v>
      </c>
    </row>
    <row r="43" spans="1:32">
      <c r="A43" s="130" t="s">
        <v>41</v>
      </c>
      <c r="B43" s="6" t="s">
        <v>13</v>
      </c>
      <c r="C43" s="110" t="s">
        <v>67</v>
      </c>
      <c r="D43" s="334" t="s">
        <v>665</v>
      </c>
      <c r="E43" s="118" t="s">
        <v>335</v>
      </c>
      <c r="F43" s="103" t="s">
        <v>660</v>
      </c>
      <c r="G43" s="111">
        <v>3768203</v>
      </c>
      <c r="H43" s="112">
        <v>484.58</v>
      </c>
      <c r="I43" s="137">
        <v>7776.224771967477</v>
      </c>
      <c r="K43" s="124"/>
      <c r="L43" s="124"/>
      <c r="M43" s="124" t="s">
        <v>31</v>
      </c>
      <c r="N43" s="124"/>
      <c r="O43" s="124"/>
      <c r="P43" s="124"/>
      <c r="Q43" s="124"/>
      <c r="R43" s="13"/>
      <c r="S43" s="13"/>
      <c r="T43" s="170" t="s">
        <v>47</v>
      </c>
      <c r="U43" s="295" t="s">
        <v>19</v>
      </c>
      <c r="V43" s="110" t="s">
        <v>67</v>
      </c>
      <c r="W43" s="110" t="s">
        <v>728</v>
      </c>
      <c r="X43" s="293" t="s">
        <v>392</v>
      </c>
      <c r="Y43" s="103" t="s">
        <v>660</v>
      </c>
      <c r="Z43" s="177">
        <v>68188</v>
      </c>
      <c r="AA43" s="177">
        <v>0</v>
      </c>
      <c r="AB43" s="177">
        <v>2711680</v>
      </c>
      <c r="AC43" s="177">
        <v>280689</v>
      </c>
      <c r="AD43" s="177">
        <f t="shared" si="0"/>
        <v>3060557</v>
      </c>
      <c r="AE43" s="112">
        <v>408.565</v>
      </c>
      <c r="AF43" s="111">
        <v>7490.9916414768768</v>
      </c>
    </row>
    <row r="44" spans="1:32">
      <c r="A44" s="130" t="s">
        <v>41</v>
      </c>
      <c r="B44" s="6" t="s">
        <v>13</v>
      </c>
      <c r="C44" s="110" t="s">
        <v>68</v>
      </c>
      <c r="D44" s="103" t="s">
        <v>1028</v>
      </c>
      <c r="E44" s="118" t="s">
        <v>122</v>
      </c>
      <c r="F44" s="334" t="s">
        <v>69</v>
      </c>
      <c r="G44" s="111">
        <v>11755829</v>
      </c>
      <c r="H44" s="112">
        <v>1019.6849999999999</v>
      </c>
      <c r="I44" s="135">
        <v>11528.88293933911</v>
      </c>
      <c r="K44" s="124"/>
      <c r="L44" s="124"/>
      <c r="M44" s="124" t="s">
        <v>34</v>
      </c>
      <c r="N44" s="124"/>
      <c r="O44" s="124"/>
      <c r="P44" s="124"/>
      <c r="Q44" s="124"/>
      <c r="R44" s="13"/>
      <c r="S44" s="13"/>
      <c r="T44" s="171" t="s">
        <v>47</v>
      </c>
      <c r="U44" s="294" t="s">
        <v>19</v>
      </c>
      <c r="V44" s="172" t="s">
        <v>67</v>
      </c>
      <c r="W44" s="172" t="s">
        <v>729</v>
      </c>
      <c r="X44" s="294" t="s">
        <v>393</v>
      </c>
      <c r="Y44" s="172" t="s">
        <v>660</v>
      </c>
      <c r="Z44" s="178">
        <v>64794</v>
      </c>
      <c r="AA44" s="178">
        <v>0</v>
      </c>
      <c r="AB44" s="178">
        <v>1370871</v>
      </c>
      <c r="AC44" s="178">
        <v>17939</v>
      </c>
      <c r="AD44" s="178">
        <f t="shared" si="0"/>
        <v>1453604</v>
      </c>
      <c r="AE44" s="174">
        <v>211.51</v>
      </c>
      <c r="AF44" s="173">
        <v>6872.5072100609905</v>
      </c>
    </row>
    <row r="45" spans="1:32">
      <c r="A45" s="130" t="s">
        <v>41</v>
      </c>
      <c r="B45" s="6" t="s">
        <v>13</v>
      </c>
      <c r="C45" s="110" t="s">
        <v>68</v>
      </c>
      <c r="D45" s="103" t="s">
        <v>1029</v>
      </c>
      <c r="E45" s="118" t="s">
        <v>123</v>
      </c>
      <c r="F45" s="334" t="s">
        <v>69</v>
      </c>
      <c r="G45" s="111">
        <v>1297023</v>
      </c>
      <c r="H45" s="112">
        <v>114.47499999999999</v>
      </c>
      <c r="I45" s="135">
        <v>11330.18563005023</v>
      </c>
      <c r="K45" s="124"/>
      <c r="L45" s="124"/>
      <c r="M45" s="124" t="s">
        <v>33</v>
      </c>
      <c r="N45" s="124"/>
      <c r="O45" s="124"/>
      <c r="P45" s="124"/>
      <c r="Q45" s="124"/>
      <c r="R45" s="13"/>
      <c r="S45" s="13"/>
      <c r="T45" s="170" t="s">
        <v>47</v>
      </c>
      <c r="U45" s="295" t="s">
        <v>19</v>
      </c>
      <c r="V45" s="110" t="s">
        <v>67</v>
      </c>
      <c r="W45" s="110" t="s">
        <v>730</v>
      </c>
      <c r="X45" s="293" t="s">
        <v>394</v>
      </c>
      <c r="Y45" s="103" t="s">
        <v>688</v>
      </c>
      <c r="Z45" s="177">
        <v>52857</v>
      </c>
      <c r="AA45" s="177">
        <v>0</v>
      </c>
      <c r="AB45" s="177">
        <v>2584508</v>
      </c>
      <c r="AC45" s="177">
        <v>160505</v>
      </c>
      <c r="AD45" s="177">
        <f t="shared" si="0"/>
        <v>2797870</v>
      </c>
      <c r="AE45" s="112">
        <v>404.72</v>
      </c>
      <c r="AF45" s="111">
        <v>6913.1004151017987</v>
      </c>
    </row>
    <row r="46" spans="1:32">
      <c r="A46" s="130" t="s">
        <v>41</v>
      </c>
      <c r="B46" s="6" t="s">
        <v>13</v>
      </c>
      <c r="C46" s="110" t="s">
        <v>68</v>
      </c>
      <c r="D46" s="103" t="s">
        <v>1030</v>
      </c>
      <c r="E46" s="118" t="s">
        <v>124</v>
      </c>
      <c r="F46" s="334" t="s">
        <v>69</v>
      </c>
      <c r="G46" s="111">
        <v>1273551</v>
      </c>
      <c r="H46" s="112">
        <v>122.73</v>
      </c>
      <c r="I46" s="135">
        <v>10376.851625519432</v>
      </c>
      <c r="K46" s="124"/>
      <c r="L46" s="124"/>
      <c r="M46" s="124" t="s">
        <v>32</v>
      </c>
      <c r="N46" s="124"/>
      <c r="O46" s="124"/>
      <c r="P46" s="124"/>
      <c r="Q46" s="124"/>
      <c r="R46" s="13"/>
      <c r="S46" s="13"/>
      <c r="T46" s="171" t="s">
        <v>47</v>
      </c>
      <c r="U46" s="294" t="s">
        <v>19</v>
      </c>
      <c r="V46" s="172" t="s">
        <v>67</v>
      </c>
      <c r="W46" s="172" t="s">
        <v>731</v>
      </c>
      <c r="X46" s="294" t="s">
        <v>395</v>
      </c>
      <c r="Y46" s="172" t="s">
        <v>692</v>
      </c>
      <c r="Z46" s="178">
        <v>74179</v>
      </c>
      <c r="AA46" s="178">
        <v>0</v>
      </c>
      <c r="AB46" s="178">
        <v>4437778</v>
      </c>
      <c r="AC46" s="178">
        <v>477645</v>
      </c>
      <c r="AD46" s="178">
        <f t="shared" si="0"/>
        <v>4989602</v>
      </c>
      <c r="AE46" s="174">
        <v>799.19799999999998</v>
      </c>
      <c r="AF46" s="173">
        <v>6243.2613695229466</v>
      </c>
    </row>
    <row r="47" spans="1:32">
      <c r="A47" s="130" t="s">
        <v>41</v>
      </c>
      <c r="B47" s="6" t="s">
        <v>13</v>
      </c>
      <c r="C47" s="110" t="s">
        <v>68</v>
      </c>
      <c r="D47" s="103" t="s">
        <v>1031</v>
      </c>
      <c r="E47" s="118" t="s">
        <v>125</v>
      </c>
      <c r="F47" s="334" t="s">
        <v>69</v>
      </c>
      <c r="G47" s="111">
        <v>2752</v>
      </c>
      <c r="H47" s="112">
        <v>0</v>
      </c>
      <c r="I47" s="135">
        <v>0</v>
      </c>
      <c r="K47" s="124"/>
      <c r="L47" s="124"/>
      <c r="M47" s="124" t="s">
        <v>136</v>
      </c>
      <c r="N47" s="124"/>
      <c r="O47" s="124"/>
      <c r="P47" s="124"/>
      <c r="Q47" s="124"/>
      <c r="R47" s="13"/>
      <c r="S47" s="13"/>
      <c r="T47" s="171" t="s">
        <v>47</v>
      </c>
      <c r="U47" s="294" t="s">
        <v>19</v>
      </c>
      <c r="V47" s="172" t="s">
        <v>67</v>
      </c>
      <c r="W47" s="172" t="s">
        <v>732</v>
      </c>
      <c r="X47" s="294" t="s">
        <v>396</v>
      </c>
      <c r="Y47" s="172" t="s">
        <v>688</v>
      </c>
      <c r="Z47" s="178">
        <v>273969</v>
      </c>
      <c r="AA47" s="178">
        <v>0</v>
      </c>
      <c r="AB47" s="178">
        <v>1812354</v>
      </c>
      <c r="AC47" s="178">
        <v>29811</v>
      </c>
      <c r="AD47" s="178">
        <f t="shared" si="0"/>
        <v>2116134</v>
      </c>
      <c r="AE47" s="174">
        <v>276.79500000000002</v>
      </c>
      <c r="AF47" s="173">
        <v>7645.1308730287756</v>
      </c>
    </row>
    <row r="48" spans="1:32">
      <c r="A48" s="130" t="s">
        <v>41</v>
      </c>
      <c r="B48" s="6" t="s">
        <v>13</v>
      </c>
      <c r="C48" s="110" t="s">
        <v>68</v>
      </c>
      <c r="D48" s="103" t="s">
        <v>1032</v>
      </c>
      <c r="E48" s="118" t="s">
        <v>126</v>
      </c>
      <c r="F48" s="334" t="s">
        <v>329</v>
      </c>
      <c r="G48" s="111">
        <v>1594516</v>
      </c>
      <c r="H48" s="112">
        <v>122.41500000000001</v>
      </c>
      <c r="I48" s="135">
        <v>13025.495241596209</v>
      </c>
      <c r="K48" s="124"/>
      <c r="L48" s="124"/>
      <c r="M48" s="124" t="s">
        <v>138</v>
      </c>
      <c r="N48" s="124"/>
      <c r="O48" s="124"/>
      <c r="P48" s="124"/>
      <c r="Q48" s="124"/>
      <c r="R48" s="13"/>
      <c r="S48" s="13"/>
      <c r="T48" s="171" t="s">
        <v>47</v>
      </c>
      <c r="U48" s="294" t="s">
        <v>19</v>
      </c>
      <c r="V48" s="172" t="s">
        <v>67</v>
      </c>
      <c r="W48" s="172" t="s">
        <v>733</v>
      </c>
      <c r="X48" s="294" t="s">
        <v>397</v>
      </c>
      <c r="Y48" s="172" t="s">
        <v>660</v>
      </c>
      <c r="Z48" s="178">
        <v>275273</v>
      </c>
      <c r="AA48" s="178">
        <v>0</v>
      </c>
      <c r="AB48" s="178">
        <v>3387260</v>
      </c>
      <c r="AC48" s="178">
        <v>179442</v>
      </c>
      <c r="AD48" s="178">
        <f t="shared" si="0"/>
        <v>3841975</v>
      </c>
      <c r="AE48" s="174">
        <v>566.42999999999995</v>
      </c>
      <c r="AF48" s="173">
        <v>6782.788694101655</v>
      </c>
    </row>
    <row r="49" spans="1:32">
      <c r="A49" s="130" t="s">
        <v>41</v>
      </c>
      <c r="B49" s="6" t="s">
        <v>13</v>
      </c>
      <c r="C49" s="110" t="s">
        <v>67</v>
      </c>
      <c r="D49" s="334" t="s">
        <v>666</v>
      </c>
      <c r="E49" s="118" t="s">
        <v>639</v>
      </c>
      <c r="F49" s="103" t="s">
        <v>660</v>
      </c>
      <c r="G49" s="111">
        <v>439391</v>
      </c>
      <c r="H49" s="112">
        <v>59.44</v>
      </c>
      <c r="I49" s="137">
        <v>7392.1769851951549</v>
      </c>
      <c r="K49" s="124"/>
      <c r="L49" s="124"/>
      <c r="M49" s="124" t="s">
        <v>137</v>
      </c>
      <c r="N49" s="124"/>
      <c r="O49" s="124"/>
      <c r="P49" s="124"/>
      <c r="Q49" s="124"/>
      <c r="R49" s="13"/>
      <c r="S49" s="13"/>
      <c r="T49" s="170" t="s">
        <v>47</v>
      </c>
      <c r="U49" s="295" t="s">
        <v>19</v>
      </c>
      <c r="V49" s="110" t="s">
        <v>67</v>
      </c>
      <c r="W49" s="110" t="s">
        <v>734</v>
      </c>
      <c r="X49" s="293" t="s">
        <v>398</v>
      </c>
      <c r="Y49" s="103" t="s">
        <v>688</v>
      </c>
      <c r="Z49" s="177">
        <v>41227</v>
      </c>
      <c r="AA49" s="177">
        <v>0</v>
      </c>
      <c r="AB49" s="177">
        <v>1007201</v>
      </c>
      <c r="AC49" s="177">
        <v>14715</v>
      </c>
      <c r="AD49" s="177">
        <f t="shared" si="0"/>
        <v>1063143</v>
      </c>
      <c r="AE49" s="112">
        <v>147.77000000000001</v>
      </c>
      <c r="AF49" s="111">
        <v>7194.5794139541176</v>
      </c>
    </row>
    <row r="50" spans="1:32">
      <c r="A50" s="130" t="s">
        <v>41</v>
      </c>
      <c r="B50" s="6" t="s">
        <v>13</v>
      </c>
      <c r="C50" s="110" t="s">
        <v>68</v>
      </c>
      <c r="D50" s="103" t="s">
        <v>1033</v>
      </c>
      <c r="E50" s="118" t="s">
        <v>127</v>
      </c>
      <c r="F50" s="334" t="s">
        <v>329</v>
      </c>
      <c r="G50" s="111">
        <v>48638288</v>
      </c>
      <c r="H50" s="112">
        <v>6610.3829999999998</v>
      </c>
      <c r="I50" s="135">
        <v>7357.8623205342265</v>
      </c>
      <c r="K50" s="124"/>
      <c r="L50" s="124"/>
      <c r="M50" s="124" t="s">
        <v>139</v>
      </c>
      <c r="N50" s="124"/>
      <c r="O50" s="124"/>
      <c r="P50" s="124"/>
      <c r="Q50" s="124"/>
      <c r="R50" s="13"/>
      <c r="S50" s="13"/>
      <c r="T50" s="170" t="s">
        <v>47</v>
      </c>
      <c r="U50" s="295" t="s">
        <v>19</v>
      </c>
      <c r="V50" s="110" t="s">
        <v>67</v>
      </c>
      <c r="W50" s="110" t="s">
        <v>735</v>
      </c>
      <c r="X50" s="293" t="s">
        <v>399</v>
      </c>
      <c r="Y50" s="103" t="s">
        <v>692</v>
      </c>
      <c r="Z50" s="177">
        <v>249817</v>
      </c>
      <c r="AA50" s="177">
        <v>0</v>
      </c>
      <c r="AB50" s="177">
        <v>1489026</v>
      </c>
      <c r="AC50" s="177">
        <v>41636</v>
      </c>
      <c r="AD50" s="177">
        <f t="shared" si="0"/>
        <v>1780479</v>
      </c>
      <c r="AE50" s="112">
        <v>229.86</v>
      </c>
      <c r="AF50" s="111">
        <v>7745.9279561472194</v>
      </c>
    </row>
    <row r="51" spans="1:32">
      <c r="A51" s="130" t="s">
        <v>41</v>
      </c>
      <c r="B51" s="6" t="s">
        <v>13</v>
      </c>
      <c r="C51" s="110" t="s">
        <v>68</v>
      </c>
      <c r="D51" s="103" t="s">
        <v>1034</v>
      </c>
      <c r="E51" s="118" t="s">
        <v>128</v>
      </c>
      <c r="F51" s="334" t="s">
        <v>329</v>
      </c>
      <c r="G51" s="111">
        <v>4720642</v>
      </c>
      <c r="H51" s="112">
        <v>460.51299999999998</v>
      </c>
      <c r="I51" s="135">
        <v>10250.833309808844</v>
      </c>
      <c r="K51" s="124"/>
      <c r="L51" s="124"/>
      <c r="M51" s="124" t="s">
        <v>140</v>
      </c>
      <c r="N51" s="124"/>
      <c r="O51" s="124"/>
      <c r="P51" s="124"/>
      <c r="Q51" s="124"/>
      <c r="R51" s="13"/>
      <c r="S51" s="13"/>
      <c r="T51" s="171" t="s">
        <v>47</v>
      </c>
      <c r="U51" s="294" t="s">
        <v>19</v>
      </c>
      <c r="V51" s="172" t="s">
        <v>67</v>
      </c>
      <c r="W51" s="172" t="s">
        <v>736</v>
      </c>
      <c r="X51" s="294" t="s">
        <v>641</v>
      </c>
      <c r="Y51" s="172" t="s">
        <v>688</v>
      </c>
      <c r="Z51" s="178">
        <v>48845</v>
      </c>
      <c r="AA51" s="178">
        <v>0</v>
      </c>
      <c r="AB51" s="178">
        <v>1796159</v>
      </c>
      <c r="AC51" s="178">
        <v>160250</v>
      </c>
      <c r="AD51" s="178">
        <f t="shared" si="0"/>
        <v>2005254</v>
      </c>
      <c r="AE51" s="174">
        <v>269.36500000000001</v>
      </c>
      <c r="AF51" s="173">
        <v>7444.3747331687482</v>
      </c>
    </row>
    <row r="52" spans="1:32">
      <c r="A52" s="130" t="s">
        <v>41</v>
      </c>
      <c r="B52" s="6" t="s">
        <v>13</v>
      </c>
      <c r="C52" s="110" t="s">
        <v>68</v>
      </c>
      <c r="D52" s="103" t="s">
        <v>1035</v>
      </c>
      <c r="E52" s="118" t="s">
        <v>129</v>
      </c>
      <c r="F52" s="334" t="s">
        <v>329</v>
      </c>
      <c r="G52" s="111">
        <v>7911813</v>
      </c>
      <c r="H52" s="112">
        <v>868.78</v>
      </c>
      <c r="I52" s="135">
        <v>9106.8083979833791</v>
      </c>
      <c r="K52" s="124"/>
      <c r="L52" s="124"/>
      <c r="M52" s="124" t="s">
        <v>146</v>
      </c>
      <c r="N52" s="124"/>
      <c r="O52" s="124"/>
      <c r="P52" s="124"/>
      <c r="Q52" s="124"/>
      <c r="R52" s="13"/>
      <c r="S52" s="13"/>
      <c r="T52" s="170" t="s">
        <v>47</v>
      </c>
      <c r="U52" s="295" t="s">
        <v>19</v>
      </c>
      <c r="V52" s="110" t="s">
        <v>67</v>
      </c>
      <c r="W52" s="110" t="s">
        <v>737</v>
      </c>
      <c r="X52" s="293" t="s">
        <v>642</v>
      </c>
      <c r="Y52" s="103" t="s">
        <v>660</v>
      </c>
      <c r="Z52" s="177">
        <v>45221</v>
      </c>
      <c r="AA52" s="177">
        <v>0</v>
      </c>
      <c r="AB52" s="177">
        <v>1388809</v>
      </c>
      <c r="AC52" s="177">
        <v>0</v>
      </c>
      <c r="AD52" s="177">
        <f t="shared" si="0"/>
        <v>1434030</v>
      </c>
      <c r="AE52" s="112">
        <v>64.34</v>
      </c>
      <c r="AF52" s="111">
        <v>22288.312092011191</v>
      </c>
    </row>
    <row r="53" spans="1:32">
      <c r="A53" s="130" t="s">
        <v>41</v>
      </c>
      <c r="B53" s="6" t="s">
        <v>13</v>
      </c>
      <c r="C53" s="110" t="s">
        <v>68</v>
      </c>
      <c r="D53" s="103" t="s">
        <v>1036</v>
      </c>
      <c r="E53" s="118" t="s">
        <v>130</v>
      </c>
      <c r="F53" s="334" t="s">
        <v>71</v>
      </c>
      <c r="G53" s="111">
        <v>2157147</v>
      </c>
      <c r="H53" s="112">
        <v>162.59</v>
      </c>
      <c r="I53" s="135">
        <v>13267.402669290854</v>
      </c>
      <c r="K53" s="124"/>
      <c r="L53" s="124"/>
      <c r="M53" s="124"/>
      <c r="N53" s="124"/>
      <c r="O53" s="124"/>
      <c r="P53" s="124"/>
      <c r="Q53" s="124"/>
      <c r="R53" s="13"/>
      <c r="S53" s="13"/>
      <c r="T53" s="171" t="s">
        <v>47</v>
      </c>
      <c r="U53" s="294" t="s">
        <v>19</v>
      </c>
      <c r="V53" s="172" t="s">
        <v>67</v>
      </c>
      <c r="W53" s="172" t="s">
        <v>738</v>
      </c>
      <c r="X53" s="294" t="s">
        <v>643</v>
      </c>
      <c r="Y53" s="172" t="s">
        <v>688</v>
      </c>
      <c r="Z53" s="178">
        <v>16861</v>
      </c>
      <c r="AA53" s="178">
        <v>0</v>
      </c>
      <c r="AB53" s="178">
        <v>998532</v>
      </c>
      <c r="AC53" s="178">
        <v>0</v>
      </c>
      <c r="AD53" s="178">
        <f t="shared" si="0"/>
        <v>1015393</v>
      </c>
      <c r="AE53" s="174">
        <v>143.85300000000001</v>
      </c>
      <c r="AF53" s="173">
        <v>7058.545876693569</v>
      </c>
    </row>
    <row r="54" spans="1:32">
      <c r="A54" s="130" t="s">
        <v>41</v>
      </c>
      <c r="B54" s="6" t="s">
        <v>13</v>
      </c>
      <c r="C54" s="110" t="s">
        <v>68</v>
      </c>
      <c r="D54" s="103" t="s">
        <v>1037</v>
      </c>
      <c r="E54" s="118" t="s">
        <v>131</v>
      </c>
      <c r="F54" s="334" t="s">
        <v>329</v>
      </c>
      <c r="G54" s="111">
        <v>11669284</v>
      </c>
      <c r="H54" s="112">
        <v>1308.47</v>
      </c>
      <c r="I54" s="135">
        <v>8918.266372175136</v>
      </c>
      <c r="K54" s="124"/>
      <c r="L54" s="124" t="s">
        <v>1243</v>
      </c>
      <c r="M54" s="124"/>
      <c r="N54" s="124"/>
      <c r="O54" s="124"/>
      <c r="P54" s="124"/>
      <c r="Q54" s="124"/>
      <c r="R54" s="13"/>
      <c r="S54" s="13"/>
      <c r="T54" s="170" t="s">
        <v>47</v>
      </c>
      <c r="U54" s="295" t="s">
        <v>19</v>
      </c>
      <c r="V54" s="110" t="s">
        <v>67</v>
      </c>
      <c r="W54" s="110" t="s">
        <v>739</v>
      </c>
      <c r="X54" s="293" t="s">
        <v>644</v>
      </c>
      <c r="Y54" s="103" t="s">
        <v>688</v>
      </c>
      <c r="Z54" s="177">
        <v>93834</v>
      </c>
      <c r="AA54" s="177">
        <v>0</v>
      </c>
      <c r="AB54" s="177">
        <v>4680081</v>
      </c>
      <c r="AC54" s="177">
        <v>0</v>
      </c>
      <c r="AD54" s="177">
        <f t="shared" si="0"/>
        <v>4773915</v>
      </c>
      <c r="AE54" s="112">
        <v>653.91999999999996</v>
      </c>
      <c r="AF54" s="111">
        <v>7300.4572424761445</v>
      </c>
    </row>
    <row r="55" spans="1:32">
      <c r="A55" s="132" t="s">
        <v>42</v>
      </c>
      <c r="B55" s="120" t="s">
        <v>14</v>
      </c>
      <c r="C55" s="121" t="s">
        <v>67</v>
      </c>
      <c r="D55" s="121" t="s">
        <v>1240</v>
      </c>
      <c r="E55" s="120" t="s">
        <v>1265</v>
      </c>
      <c r="F55" s="121">
        <v>99</v>
      </c>
      <c r="G55" s="122">
        <v>12989688</v>
      </c>
      <c r="H55" s="123">
        <v>1574.0029999999999</v>
      </c>
      <c r="I55" s="138">
        <v>8252.6450076651709</v>
      </c>
      <c r="K55" s="124"/>
      <c r="L55" s="124"/>
      <c r="M55" s="124" t="s">
        <v>1244</v>
      </c>
      <c r="N55" s="124"/>
      <c r="O55" s="124"/>
      <c r="P55" s="124"/>
      <c r="Q55" s="124"/>
      <c r="R55" s="13"/>
      <c r="S55" s="13"/>
      <c r="T55" s="171" t="s">
        <v>47</v>
      </c>
      <c r="U55" s="294" t="s">
        <v>19</v>
      </c>
      <c r="V55" s="172" t="s">
        <v>67</v>
      </c>
      <c r="W55" s="172" t="s">
        <v>740</v>
      </c>
      <c r="X55" s="294" t="s">
        <v>644</v>
      </c>
      <c r="Y55" s="172" t="s">
        <v>688</v>
      </c>
      <c r="Z55" s="178">
        <v>23737</v>
      </c>
      <c r="AA55" s="178">
        <v>0</v>
      </c>
      <c r="AB55" s="178">
        <v>1088414</v>
      </c>
      <c r="AC55" s="178">
        <v>0</v>
      </c>
      <c r="AD55" s="178">
        <f t="shared" si="0"/>
        <v>1112151</v>
      </c>
      <c r="AE55" s="174">
        <v>146.41999999999999</v>
      </c>
      <c r="AF55" s="173">
        <v>7595.6221827619183</v>
      </c>
    </row>
    <row r="56" spans="1:32">
      <c r="A56" s="131" t="s">
        <v>42</v>
      </c>
      <c r="B56" s="113" t="s">
        <v>14</v>
      </c>
      <c r="C56" s="114" t="s">
        <v>68</v>
      </c>
      <c r="D56" s="114" t="s">
        <v>1013</v>
      </c>
      <c r="E56" s="113" t="s">
        <v>1266</v>
      </c>
      <c r="F56" s="115" t="s">
        <v>143</v>
      </c>
      <c r="G56" s="116">
        <v>187279342</v>
      </c>
      <c r="H56" s="117">
        <v>17937.885000000002</v>
      </c>
      <c r="I56" s="136">
        <v>10440.436093775827</v>
      </c>
      <c r="K56" s="124"/>
      <c r="L56" s="124"/>
      <c r="M56" s="124" t="s">
        <v>1245</v>
      </c>
      <c r="N56" s="124"/>
      <c r="O56" s="124"/>
      <c r="P56" s="124"/>
      <c r="Q56" s="124"/>
      <c r="R56" s="13"/>
      <c r="S56" s="13"/>
      <c r="T56" s="170" t="s">
        <v>47</v>
      </c>
      <c r="U56" s="295" t="s">
        <v>19</v>
      </c>
      <c r="V56" s="110" t="s">
        <v>67</v>
      </c>
      <c r="W56" s="110" t="s">
        <v>741</v>
      </c>
      <c r="X56" s="293" t="s">
        <v>400</v>
      </c>
      <c r="Y56" s="103" t="s">
        <v>688</v>
      </c>
      <c r="Z56" s="177">
        <v>15495</v>
      </c>
      <c r="AA56" s="177">
        <v>2629</v>
      </c>
      <c r="AB56" s="177">
        <v>1716254</v>
      </c>
      <c r="AC56" s="177">
        <v>26413</v>
      </c>
      <c r="AD56" s="177">
        <f t="shared" si="0"/>
        <v>1760791</v>
      </c>
      <c r="AE56" s="112">
        <v>255.965</v>
      </c>
      <c r="AF56" s="111">
        <v>6879.0303361787746</v>
      </c>
    </row>
    <row r="57" spans="1:32">
      <c r="A57" s="130" t="s">
        <v>42</v>
      </c>
      <c r="B57" s="6" t="s">
        <v>14</v>
      </c>
      <c r="C57" s="110" t="s">
        <v>68</v>
      </c>
      <c r="D57" s="103" t="s">
        <v>1038</v>
      </c>
      <c r="E57" s="6" t="s">
        <v>144</v>
      </c>
      <c r="F57" s="334" t="s">
        <v>134</v>
      </c>
      <c r="G57" s="111">
        <v>2255166</v>
      </c>
      <c r="H57" s="112">
        <v>678.31</v>
      </c>
      <c r="I57" s="135">
        <v>3324.6834043431472</v>
      </c>
      <c r="K57" s="124"/>
      <c r="L57" s="124"/>
      <c r="M57" s="124"/>
      <c r="N57" s="124"/>
      <c r="O57" s="124"/>
      <c r="P57" s="124"/>
      <c r="Q57" s="124"/>
      <c r="R57" s="13"/>
      <c r="S57" s="13"/>
      <c r="T57" s="171" t="s">
        <v>47</v>
      </c>
      <c r="U57" s="294" t="s">
        <v>19</v>
      </c>
      <c r="V57" s="172" t="s">
        <v>67</v>
      </c>
      <c r="W57" s="172" t="s">
        <v>742</v>
      </c>
      <c r="X57" s="294" t="s">
        <v>401</v>
      </c>
      <c r="Y57" s="172" t="s">
        <v>688</v>
      </c>
      <c r="Z57" s="178">
        <v>4014</v>
      </c>
      <c r="AA57" s="178">
        <v>0</v>
      </c>
      <c r="AB57" s="178">
        <v>1379631</v>
      </c>
      <c r="AC57" s="178">
        <v>0</v>
      </c>
      <c r="AD57" s="178">
        <f t="shared" si="0"/>
        <v>1383645</v>
      </c>
      <c r="AE57" s="174">
        <v>198.27</v>
      </c>
      <c r="AF57" s="173">
        <v>6978.5898017854433</v>
      </c>
    </row>
    <row r="58" spans="1:32">
      <c r="A58" s="130" t="s">
        <v>42</v>
      </c>
      <c r="B58" s="6" t="s">
        <v>14</v>
      </c>
      <c r="C58" s="110" t="s">
        <v>68</v>
      </c>
      <c r="D58" s="103" t="s">
        <v>1039</v>
      </c>
      <c r="E58" s="6" t="s">
        <v>27</v>
      </c>
      <c r="F58" s="334"/>
      <c r="G58" s="111">
        <v>480179</v>
      </c>
      <c r="H58" s="112">
        <v>0</v>
      </c>
      <c r="I58" s="135">
        <v>0</v>
      </c>
      <c r="R58" s="15"/>
      <c r="S58" s="15"/>
      <c r="T58" s="170" t="s">
        <v>47</v>
      </c>
      <c r="U58" s="295" t="s">
        <v>19</v>
      </c>
      <c r="V58" s="110" t="s">
        <v>67</v>
      </c>
      <c r="W58" s="110" t="s">
        <v>743</v>
      </c>
      <c r="X58" s="293" t="s">
        <v>402</v>
      </c>
      <c r="Y58" s="103" t="s">
        <v>688</v>
      </c>
      <c r="Z58" s="177">
        <v>19937</v>
      </c>
      <c r="AA58" s="177">
        <v>0</v>
      </c>
      <c r="AB58" s="177">
        <v>1049866</v>
      </c>
      <c r="AC58" s="177">
        <v>212203</v>
      </c>
      <c r="AD58" s="177">
        <f t="shared" si="0"/>
        <v>1282006</v>
      </c>
      <c r="AE58" s="112">
        <v>164.54</v>
      </c>
      <c r="AF58" s="111">
        <v>7791.4549653579679</v>
      </c>
    </row>
    <row r="59" spans="1:32">
      <c r="A59" s="130" t="s">
        <v>42</v>
      </c>
      <c r="B59" s="6" t="s">
        <v>14</v>
      </c>
      <c r="C59" s="110" t="s">
        <v>68</v>
      </c>
      <c r="D59" s="103" t="s">
        <v>1040</v>
      </c>
      <c r="E59" s="6" t="s">
        <v>8</v>
      </c>
      <c r="F59" s="334" t="s">
        <v>145</v>
      </c>
      <c r="G59" s="111">
        <v>1427181</v>
      </c>
      <c r="H59" s="112">
        <v>136.245</v>
      </c>
      <c r="I59" s="135">
        <v>10475.107343388749</v>
      </c>
      <c r="K59" s="125" t="s">
        <v>1359</v>
      </c>
      <c r="L59" s="124"/>
      <c r="M59" s="124"/>
      <c r="N59" s="124"/>
      <c r="O59" s="124"/>
      <c r="P59" s="124"/>
      <c r="Q59" s="10"/>
      <c r="T59" s="171" t="s">
        <v>47</v>
      </c>
      <c r="U59" s="294" t="s">
        <v>19</v>
      </c>
      <c r="V59" s="172" t="s">
        <v>67</v>
      </c>
      <c r="W59" s="172" t="s">
        <v>744</v>
      </c>
      <c r="X59" s="294" t="s">
        <v>403</v>
      </c>
      <c r="Y59" s="172" t="s">
        <v>692</v>
      </c>
      <c r="Z59" s="178">
        <v>43213</v>
      </c>
      <c r="AA59" s="178">
        <v>0</v>
      </c>
      <c r="AB59" s="178">
        <v>2517369</v>
      </c>
      <c r="AC59" s="178">
        <v>0</v>
      </c>
      <c r="AD59" s="178">
        <f t="shared" si="0"/>
        <v>2560582</v>
      </c>
      <c r="AE59" s="174">
        <v>374.29</v>
      </c>
      <c r="AF59" s="173">
        <v>6841.1712842982706</v>
      </c>
    </row>
    <row r="60" spans="1:32">
      <c r="A60" s="130" t="s">
        <v>42</v>
      </c>
      <c r="B60" s="6" t="s">
        <v>14</v>
      </c>
      <c r="C60" s="334" t="s">
        <v>68</v>
      </c>
      <c r="D60" s="103" t="s">
        <v>1041</v>
      </c>
      <c r="E60" s="6" t="s">
        <v>147</v>
      </c>
      <c r="F60" s="334" t="s">
        <v>329</v>
      </c>
      <c r="G60" s="111">
        <v>104885235</v>
      </c>
      <c r="H60" s="112">
        <v>10666.983</v>
      </c>
      <c r="I60" s="135">
        <v>9832.6991802649354</v>
      </c>
      <c r="K60" s="124"/>
      <c r="L60" s="124"/>
      <c r="M60" s="124"/>
      <c r="N60" s="124"/>
      <c r="O60" s="124"/>
      <c r="P60" s="124"/>
      <c r="Q60" s="10"/>
      <c r="T60" s="171" t="s">
        <v>47</v>
      </c>
      <c r="U60" s="294" t="s">
        <v>19</v>
      </c>
      <c r="V60" s="172" t="s">
        <v>67</v>
      </c>
      <c r="W60" s="172" t="s">
        <v>745</v>
      </c>
      <c r="X60" s="294" t="s">
        <v>404</v>
      </c>
      <c r="Y60" s="172" t="s">
        <v>688</v>
      </c>
      <c r="Z60" s="178">
        <v>123536</v>
      </c>
      <c r="AA60" s="178">
        <v>0</v>
      </c>
      <c r="AB60" s="178">
        <v>2053081</v>
      </c>
      <c r="AC60" s="178">
        <v>114507</v>
      </c>
      <c r="AD60" s="178">
        <f t="shared" si="0"/>
        <v>2291124</v>
      </c>
      <c r="AE60" s="174">
        <v>293.75</v>
      </c>
      <c r="AF60" s="173">
        <v>7799.5710638297869</v>
      </c>
    </row>
    <row r="61" spans="1:32">
      <c r="A61" s="130" t="s">
        <v>42</v>
      </c>
      <c r="B61" s="6" t="s">
        <v>14</v>
      </c>
      <c r="C61" s="110" t="s">
        <v>67</v>
      </c>
      <c r="D61" s="334" t="s">
        <v>668</v>
      </c>
      <c r="E61" s="118" t="s">
        <v>337</v>
      </c>
      <c r="F61" s="103" t="s">
        <v>660</v>
      </c>
      <c r="G61" s="111">
        <v>1168815</v>
      </c>
      <c r="H61" s="112">
        <v>161.33500000000001</v>
      </c>
      <c r="I61" s="137">
        <v>7244.6462329934602</v>
      </c>
      <c r="K61" s="124"/>
      <c r="L61" s="543" t="s">
        <v>1360</v>
      </c>
      <c r="M61" s="543"/>
      <c r="N61" s="543"/>
      <c r="O61" s="543"/>
      <c r="P61" s="543"/>
      <c r="Q61" s="10"/>
      <c r="T61" s="170" t="s">
        <v>47</v>
      </c>
      <c r="U61" s="295" t="s">
        <v>19</v>
      </c>
      <c r="V61" s="110" t="s">
        <v>67</v>
      </c>
      <c r="W61" s="110" t="s">
        <v>746</v>
      </c>
      <c r="X61" s="293" t="s">
        <v>405</v>
      </c>
      <c r="Y61" s="103" t="s">
        <v>660</v>
      </c>
      <c r="Z61" s="177">
        <v>63459</v>
      </c>
      <c r="AA61" s="177">
        <v>0</v>
      </c>
      <c r="AB61" s="177">
        <v>879561</v>
      </c>
      <c r="AC61" s="177">
        <v>14546</v>
      </c>
      <c r="AD61" s="177">
        <f t="shared" si="0"/>
        <v>957566</v>
      </c>
      <c r="AE61" s="112">
        <v>114.515</v>
      </c>
      <c r="AF61" s="111">
        <v>8361.926385189714</v>
      </c>
    </row>
    <row r="62" spans="1:32">
      <c r="A62" s="130" t="s">
        <v>42</v>
      </c>
      <c r="B62" s="6" t="s">
        <v>14</v>
      </c>
      <c r="C62" s="334" t="s">
        <v>67</v>
      </c>
      <c r="D62" s="334" t="s">
        <v>669</v>
      </c>
      <c r="E62" s="118" t="s">
        <v>338</v>
      </c>
      <c r="F62" s="103" t="s">
        <v>660</v>
      </c>
      <c r="G62" s="111">
        <v>1544319</v>
      </c>
      <c r="H62" s="112">
        <v>197.19</v>
      </c>
      <c r="I62" s="137">
        <v>7831.6293929712465</v>
      </c>
      <c r="K62" s="124"/>
      <c r="L62" s="542" t="s">
        <v>1367</v>
      </c>
      <c r="M62" s="542"/>
      <c r="N62" s="542"/>
      <c r="O62" s="542"/>
      <c r="P62" s="542"/>
      <c r="Q62" s="10"/>
      <c r="T62" s="171" t="s">
        <v>47</v>
      </c>
      <c r="U62" s="294" t="s">
        <v>19</v>
      </c>
      <c r="V62" s="172" t="s">
        <v>67</v>
      </c>
      <c r="W62" s="172" t="s">
        <v>747</v>
      </c>
      <c r="X62" s="294" t="s">
        <v>1304</v>
      </c>
      <c r="Y62" s="172" t="s">
        <v>660</v>
      </c>
      <c r="Z62" s="178">
        <v>105980</v>
      </c>
      <c r="AA62" s="178">
        <v>0</v>
      </c>
      <c r="AB62" s="178">
        <v>1157165</v>
      </c>
      <c r="AC62" s="178">
        <v>63505</v>
      </c>
      <c r="AD62" s="178">
        <f t="shared" si="0"/>
        <v>1326650</v>
      </c>
      <c r="AE62" s="174">
        <v>164.82</v>
      </c>
      <c r="AF62" s="173">
        <v>8049.0838490474462</v>
      </c>
    </row>
    <row r="63" spans="1:32">
      <c r="A63" s="130" t="s">
        <v>42</v>
      </c>
      <c r="B63" s="6" t="s">
        <v>14</v>
      </c>
      <c r="C63" s="110" t="s">
        <v>67</v>
      </c>
      <c r="D63" s="110" t="s">
        <v>670</v>
      </c>
      <c r="E63" s="118" t="s">
        <v>339</v>
      </c>
      <c r="F63" s="103" t="s">
        <v>660</v>
      </c>
      <c r="G63" s="111">
        <v>350876</v>
      </c>
      <c r="H63" s="112">
        <v>35.840000000000003</v>
      </c>
      <c r="I63" s="137">
        <v>9790.0669642857138</v>
      </c>
      <c r="K63" s="124"/>
      <c r="L63" s="540" t="s">
        <v>1368</v>
      </c>
      <c r="M63" s="540"/>
      <c r="N63" s="540"/>
      <c r="O63" s="540"/>
      <c r="P63" s="540"/>
      <c r="Q63" s="10"/>
      <c r="T63" s="170" t="s">
        <v>47</v>
      </c>
      <c r="U63" s="295" t="s">
        <v>19</v>
      </c>
      <c r="V63" s="110" t="s">
        <v>67</v>
      </c>
      <c r="W63" s="110" t="s">
        <v>748</v>
      </c>
      <c r="X63" s="293" t="s">
        <v>192</v>
      </c>
      <c r="Y63" s="103" t="s">
        <v>688</v>
      </c>
      <c r="Z63" s="177">
        <v>5565</v>
      </c>
      <c r="AA63" s="177">
        <v>0</v>
      </c>
      <c r="AB63" s="177">
        <v>436294</v>
      </c>
      <c r="AC63" s="177">
        <v>10281</v>
      </c>
      <c r="AD63" s="177">
        <f t="shared" si="0"/>
        <v>452140</v>
      </c>
      <c r="AE63" s="112">
        <v>67.742999999999995</v>
      </c>
      <c r="AF63" s="111">
        <v>6674.3427365189027</v>
      </c>
    </row>
    <row r="64" spans="1:32">
      <c r="A64" s="130" t="s">
        <v>42</v>
      </c>
      <c r="B64" s="6" t="s">
        <v>14</v>
      </c>
      <c r="C64" s="110" t="s">
        <v>68</v>
      </c>
      <c r="D64" s="103" t="s">
        <v>1042</v>
      </c>
      <c r="E64" s="6" t="s">
        <v>148</v>
      </c>
      <c r="F64" s="334" t="s">
        <v>329</v>
      </c>
      <c r="G64" s="111">
        <v>3380358</v>
      </c>
      <c r="H64" s="112">
        <v>357.48</v>
      </c>
      <c r="I64" s="135">
        <v>9456.0758643840218</v>
      </c>
      <c r="K64" s="124"/>
      <c r="L64" s="544"/>
      <c r="M64" s="544"/>
      <c r="N64" s="544"/>
      <c r="O64" s="544"/>
      <c r="P64" s="544"/>
      <c r="Q64" s="10"/>
      <c r="T64" s="170" t="s">
        <v>47</v>
      </c>
      <c r="U64" s="295" t="s">
        <v>19</v>
      </c>
      <c r="V64" s="110" t="s">
        <v>67</v>
      </c>
      <c r="W64" s="110" t="s">
        <v>749</v>
      </c>
      <c r="X64" s="293" t="s">
        <v>407</v>
      </c>
      <c r="Y64" s="103" t="s">
        <v>688</v>
      </c>
      <c r="Z64" s="177">
        <v>93867</v>
      </c>
      <c r="AA64" s="177">
        <v>0</v>
      </c>
      <c r="AB64" s="177">
        <v>3316027</v>
      </c>
      <c r="AC64" s="177">
        <v>156036</v>
      </c>
      <c r="AD64" s="177">
        <f t="shared" si="0"/>
        <v>3565930</v>
      </c>
      <c r="AE64" s="112">
        <v>506.64</v>
      </c>
      <c r="AF64" s="111">
        <v>7038.3901784304435</v>
      </c>
    </row>
    <row r="65" spans="1:32">
      <c r="A65" s="130" t="s">
        <v>42</v>
      </c>
      <c r="B65" s="6" t="s">
        <v>14</v>
      </c>
      <c r="C65" s="110" t="s">
        <v>68</v>
      </c>
      <c r="D65" s="103" t="s">
        <v>1043</v>
      </c>
      <c r="E65" s="6" t="s">
        <v>149</v>
      </c>
      <c r="F65" s="334" t="s">
        <v>329</v>
      </c>
      <c r="G65" s="111">
        <v>4037319</v>
      </c>
      <c r="H65" s="112">
        <v>280.02999999999997</v>
      </c>
      <c r="I65" s="135">
        <v>14417.451701603401</v>
      </c>
      <c r="K65" s="124"/>
      <c r="L65" s="543" t="s">
        <v>1369</v>
      </c>
      <c r="M65" s="543"/>
      <c r="N65" s="543"/>
      <c r="O65" s="543"/>
      <c r="P65" s="543"/>
      <c r="Q65" s="10"/>
      <c r="T65" s="170" t="s">
        <v>47</v>
      </c>
      <c r="U65" s="295" t="s">
        <v>19</v>
      </c>
      <c r="V65" s="110" t="s">
        <v>67</v>
      </c>
      <c r="W65" s="110" t="s">
        <v>750</v>
      </c>
      <c r="X65" s="293" t="s">
        <v>408</v>
      </c>
      <c r="Y65" s="103" t="s">
        <v>660</v>
      </c>
      <c r="Z65" s="177">
        <v>118005</v>
      </c>
      <c r="AA65" s="177">
        <v>0</v>
      </c>
      <c r="AB65" s="177">
        <v>1532425</v>
      </c>
      <c r="AC65" s="177">
        <v>0</v>
      </c>
      <c r="AD65" s="177">
        <f t="shared" si="0"/>
        <v>1650430</v>
      </c>
      <c r="AE65" s="112">
        <v>233.22</v>
      </c>
      <c r="AF65" s="111">
        <v>7076.7086870765797</v>
      </c>
    </row>
    <row r="66" spans="1:32">
      <c r="A66" s="130" t="s">
        <v>42</v>
      </c>
      <c r="B66" s="6" t="s">
        <v>14</v>
      </c>
      <c r="C66" s="110" t="s">
        <v>68</v>
      </c>
      <c r="D66" s="103" t="s">
        <v>1044</v>
      </c>
      <c r="E66" s="6" t="s">
        <v>150</v>
      </c>
      <c r="F66" s="334" t="s">
        <v>67</v>
      </c>
      <c r="G66" s="111">
        <v>1924461</v>
      </c>
      <c r="H66" s="112">
        <v>102.828</v>
      </c>
      <c r="I66" s="135">
        <v>18715.340179717587</v>
      </c>
      <c r="K66" s="124"/>
      <c r="L66" s="542" t="s">
        <v>1367</v>
      </c>
      <c r="M66" s="542"/>
      <c r="N66" s="542"/>
      <c r="O66" s="542"/>
      <c r="P66" s="542"/>
      <c r="Q66" s="10"/>
      <c r="T66" s="171" t="s">
        <v>47</v>
      </c>
      <c r="U66" s="294" t="s">
        <v>19</v>
      </c>
      <c r="V66" s="172" t="s">
        <v>67</v>
      </c>
      <c r="W66" s="172" t="s">
        <v>751</v>
      </c>
      <c r="X66" s="294" t="s">
        <v>409</v>
      </c>
      <c r="Y66" s="172" t="s">
        <v>692</v>
      </c>
      <c r="Z66" s="178">
        <v>226944</v>
      </c>
      <c r="AA66" s="178">
        <v>0</v>
      </c>
      <c r="AB66" s="178">
        <v>2711740</v>
      </c>
      <c r="AC66" s="178">
        <v>348814</v>
      </c>
      <c r="AD66" s="178">
        <f t="shared" si="0"/>
        <v>3287498</v>
      </c>
      <c r="AE66" s="174">
        <v>408.69499999999999</v>
      </c>
      <c r="AF66" s="173">
        <v>8043.8909211025339</v>
      </c>
    </row>
    <row r="67" spans="1:32">
      <c r="A67" s="130" t="s">
        <v>42</v>
      </c>
      <c r="B67" s="6" t="s">
        <v>14</v>
      </c>
      <c r="C67" s="110" t="s">
        <v>67</v>
      </c>
      <c r="D67" s="334" t="s">
        <v>671</v>
      </c>
      <c r="E67" s="118" t="s">
        <v>340</v>
      </c>
      <c r="F67" s="103" t="s">
        <v>660</v>
      </c>
      <c r="G67" s="111">
        <v>1656628</v>
      </c>
      <c r="H67" s="112">
        <v>242.3</v>
      </c>
      <c r="I67" s="137">
        <v>6837.0945109368549</v>
      </c>
      <c r="K67" s="124"/>
      <c r="L67" s="540" t="s">
        <v>1370</v>
      </c>
      <c r="M67" s="540"/>
      <c r="N67" s="540"/>
      <c r="O67" s="540"/>
      <c r="P67" s="540"/>
      <c r="Q67" s="10"/>
      <c r="T67" s="170" t="s">
        <v>47</v>
      </c>
      <c r="U67" s="295" t="s">
        <v>19</v>
      </c>
      <c r="V67" s="110" t="s">
        <v>67</v>
      </c>
      <c r="W67" s="110" t="s">
        <v>677</v>
      </c>
      <c r="X67" s="293" t="s">
        <v>38</v>
      </c>
      <c r="Y67" s="103" t="s">
        <v>678</v>
      </c>
      <c r="Z67" s="177">
        <v>0</v>
      </c>
      <c r="AA67" s="177">
        <v>0</v>
      </c>
      <c r="AB67" s="177">
        <v>143574</v>
      </c>
      <c r="AC67" s="177">
        <v>0</v>
      </c>
      <c r="AD67" s="177">
        <f t="shared" si="0"/>
        <v>143574</v>
      </c>
      <c r="AE67" s="112">
        <v>20.71</v>
      </c>
      <c r="AF67" s="111">
        <v>6932.5929502655717</v>
      </c>
    </row>
    <row r="68" spans="1:32">
      <c r="A68" s="130" t="s">
        <v>42</v>
      </c>
      <c r="B68" s="6" t="s">
        <v>14</v>
      </c>
      <c r="C68" s="110" t="s">
        <v>67</v>
      </c>
      <c r="D68" s="334" t="s">
        <v>672</v>
      </c>
      <c r="E68" s="118" t="s">
        <v>341</v>
      </c>
      <c r="F68" s="103" t="s">
        <v>660</v>
      </c>
      <c r="G68" s="111">
        <v>1114660</v>
      </c>
      <c r="H68" s="112">
        <v>134.625</v>
      </c>
      <c r="I68" s="137">
        <v>8279.7400185701026</v>
      </c>
      <c r="K68" s="124"/>
      <c r="L68" s="124"/>
      <c r="M68" s="124"/>
      <c r="N68" s="124"/>
      <c r="O68" s="124"/>
      <c r="P68" s="124"/>
      <c r="Q68" s="10"/>
      <c r="T68" s="170" t="s">
        <v>47</v>
      </c>
      <c r="U68" s="295" t="s">
        <v>19</v>
      </c>
      <c r="V68" s="110" t="s">
        <v>67</v>
      </c>
      <c r="W68" s="110" t="s">
        <v>752</v>
      </c>
      <c r="X68" s="293" t="s">
        <v>410</v>
      </c>
      <c r="Y68" s="103" t="s">
        <v>688</v>
      </c>
      <c r="Z68" s="177">
        <v>34903</v>
      </c>
      <c r="AA68" s="177">
        <v>0</v>
      </c>
      <c r="AB68" s="177">
        <v>969019</v>
      </c>
      <c r="AC68" s="177">
        <v>204217</v>
      </c>
      <c r="AD68" s="177">
        <f t="shared" si="0"/>
        <v>1208139</v>
      </c>
      <c r="AE68" s="112">
        <v>136.88999999999999</v>
      </c>
      <c r="AF68" s="111">
        <v>8825.6191102344965</v>
      </c>
    </row>
    <row r="69" spans="1:32">
      <c r="A69" s="130" t="s">
        <v>42</v>
      </c>
      <c r="B69" s="6" t="s">
        <v>14</v>
      </c>
      <c r="C69" s="334" t="s">
        <v>67</v>
      </c>
      <c r="D69" s="334" t="s">
        <v>673</v>
      </c>
      <c r="E69" s="118" t="s">
        <v>342</v>
      </c>
      <c r="F69" s="103" t="s">
        <v>660</v>
      </c>
      <c r="G69" s="111">
        <v>2521493</v>
      </c>
      <c r="H69" s="112">
        <v>344.483</v>
      </c>
      <c r="I69" s="137">
        <v>7319.6442204695149</v>
      </c>
      <c r="K69" s="1"/>
      <c r="L69" s="1"/>
      <c r="M69" s="1"/>
      <c r="N69" s="1"/>
      <c r="O69" s="1"/>
      <c r="P69" s="1"/>
      <c r="T69" s="171" t="s">
        <v>47</v>
      </c>
      <c r="U69" s="294" t="s">
        <v>19</v>
      </c>
      <c r="V69" s="172" t="s">
        <v>67</v>
      </c>
      <c r="W69" s="172" t="s">
        <v>753</v>
      </c>
      <c r="X69" s="294" t="s">
        <v>411</v>
      </c>
      <c r="Y69" s="172" t="s">
        <v>660</v>
      </c>
      <c r="Z69" s="178">
        <v>3370</v>
      </c>
      <c r="AA69" s="178">
        <v>0</v>
      </c>
      <c r="AB69" s="178">
        <v>356071</v>
      </c>
      <c r="AC69" s="178">
        <v>0</v>
      </c>
      <c r="AD69" s="178">
        <f t="shared" si="0"/>
        <v>359441</v>
      </c>
      <c r="AE69" s="174">
        <v>52.844999999999999</v>
      </c>
      <c r="AF69" s="173">
        <v>6801.7977102847954</v>
      </c>
    </row>
    <row r="70" spans="1:32">
      <c r="A70" s="130" t="s">
        <v>42</v>
      </c>
      <c r="B70" s="6" t="s">
        <v>14</v>
      </c>
      <c r="C70" s="334" t="s">
        <v>68</v>
      </c>
      <c r="D70" s="103" t="s">
        <v>1045</v>
      </c>
      <c r="E70" s="6" t="s">
        <v>151</v>
      </c>
      <c r="F70" s="334" t="s">
        <v>329</v>
      </c>
      <c r="G70" s="111">
        <v>32002000</v>
      </c>
      <c r="H70" s="112">
        <v>2877.7179999999998</v>
      </c>
      <c r="I70" s="135">
        <v>11120.617100077214</v>
      </c>
      <c r="K70" s="1"/>
      <c r="L70" s="1"/>
      <c r="M70" s="1"/>
      <c r="N70" s="1"/>
      <c r="O70" s="1"/>
      <c r="P70" s="1"/>
      <c r="T70" s="170" t="s">
        <v>47</v>
      </c>
      <c r="U70" s="295" t="s">
        <v>19</v>
      </c>
      <c r="V70" s="110" t="s">
        <v>67</v>
      </c>
      <c r="W70" s="110" t="s">
        <v>754</v>
      </c>
      <c r="X70" s="293" t="s">
        <v>412</v>
      </c>
      <c r="Y70" s="103" t="s">
        <v>660</v>
      </c>
      <c r="Z70" s="177">
        <v>43119</v>
      </c>
      <c r="AA70" s="177">
        <v>0</v>
      </c>
      <c r="AB70" s="177">
        <v>569493</v>
      </c>
      <c r="AC70" s="177">
        <v>0</v>
      </c>
      <c r="AD70" s="177">
        <f t="shared" si="0"/>
        <v>612612</v>
      </c>
      <c r="AE70" s="112">
        <v>85.867999999999995</v>
      </c>
      <c r="AF70" s="111">
        <v>7134.3457399729823</v>
      </c>
    </row>
    <row r="71" spans="1:32">
      <c r="A71" s="130" t="s">
        <v>42</v>
      </c>
      <c r="B71" s="6" t="s">
        <v>14</v>
      </c>
      <c r="C71" s="110" t="s">
        <v>67</v>
      </c>
      <c r="D71" s="334" t="s">
        <v>674</v>
      </c>
      <c r="E71" s="118" t="s">
        <v>640</v>
      </c>
      <c r="F71" s="103" t="s">
        <v>660</v>
      </c>
      <c r="G71" s="111">
        <v>1281147</v>
      </c>
      <c r="H71" s="112">
        <v>68.81</v>
      </c>
      <c r="I71" s="137">
        <v>18618.616480162767</v>
      </c>
      <c r="K71" s="1"/>
      <c r="L71" s="1"/>
      <c r="M71" s="1"/>
      <c r="N71" s="1"/>
      <c r="O71" s="1"/>
      <c r="P71" s="1"/>
      <c r="T71" s="171" t="s">
        <v>47</v>
      </c>
      <c r="U71" s="294" t="s">
        <v>19</v>
      </c>
      <c r="V71" s="172" t="s">
        <v>67</v>
      </c>
      <c r="W71" s="172" t="s">
        <v>755</v>
      </c>
      <c r="X71" s="294" t="s">
        <v>413</v>
      </c>
      <c r="Y71" s="172" t="s">
        <v>660</v>
      </c>
      <c r="Z71" s="178">
        <v>0</v>
      </c>
      <c r="AA71" s="178">
        <v>0</v>
      </c>
      <c r="AB71" s="178">
        <v>435445</v>
      </c>
      <c r="AC71" s="178">
        <v>13591</v>
      </c>
      <c r="AD71" s="178">
        <f t="shared" si="0"/>
        <v>449036</v>
      </c>
      <c r="AE71" s="174">
        <v>65.38</v>
      </c>
      <c r="AF71" s="173">
        <v>6868.0942184154183</v>
      </c>
    </row>
    <row r="72" spans="1:32">
      <c r="A72" s="130" t="s">
        <v>42</v>
      </c>
      <c r="B72" s="6" t="s">
        <v>14</v>
      </c>
      <c r="C72" s="110" t="s">
        <v>67</v>
      </c>
      <c r="D72" s="334" t="s">
        <v>675</v>
      </c>
      <c r="E72" s="118" t="s">
        <v>343</v>
      </c>
      <c r="F72" s="103" t="s">
        <v>660</v>
      </c>
      <c r="G72" s="111">
        <v>1128816</v>
      </c>
      <c r="H72" s="112">
        <v>116.595</v>
      </c>
      <c r="I72" s="137">
        <v>9681.5129293708997</v>
      </c>
      <c r="K72" s="1"/>
      <c r="L72" s="1"/>
      <c r="M72" s="1"/>
      <c r="N72" s="1"/>
      <c r="O72" s="1"/>
      <c r="P72" s="1"/>
      <c r="T72" s="170" t="s">
        <v>47</v>
      </c>
      <c r="U72" s="295" t="s">
        <v>19</v>
      </c>
      <c r="V72" s="110" t="s">
        <v>67</v>
      </c>
      <c r="W72" s="110" t="s">
        <v>756</v>
      </c>
      <c r="X72" s="293" t="s">
        <v>414</v>
      </c>
      <c r="Y72" s="103" t="s">
        <v>660</v>
      </c>
      <c r="Z72" s="177">
        <v>5191</v>
      </c>
      <c r="AA72" s="177">
        <v>3000</v>
      </c>
      <c r="AB72" s="177">
        <v>940195</v>
      </c>
      <c r="AC72" s="177">
        <v>53550</v>
      </c>
      <c r="AD72" s="177">
        <f t="shared" ref="AD72:AD135" si="1">SUM(Z72:AC72)</f>
        <v>1001936</v>
      </c>
      <c r="AE72" s="112">
        <v>143.22999999999999</v>
      </c>
      <c r="AF72" s="111">
        <v>6995.294281924178</v>
      </c>
    </row>
    <row r="73" spans="1:32">
      <c r="A73" s="130" t="s">
        <v>42</v>
      </c>
      <c r="B73" s="6" t="s">
        <v>14</v>
      </c>
      <c r="C73" s="110" t="s">
        <v>67</v>
      </c>
      <c r="D73" s="334" t="s">
        <v>667</v>
      </c>
      <c r="E73" s="118" t="s">
        <v>336</v>
      </c>
      <c r="F73" s="103" t="s">
        <v>660</v>
      </c>
      <c r="G73" s="111">
        <v>1580038</v>
      </c>
      <c r="H73" s="112">
        <v>199.345</v>
      </c>
      <c r="I73" s="137">
        <v>7926.1481351425919</v>
      </c>
      <c r="T73" s="171" t="s">
        <v>47</v>
      </c>
      <c r="U73" s="294" t="s">
        <v>19</v>
      </c>
      <c r="V73" s="172" t="s">
        <v>67</v>
      </c>
      <c r="W73" s="172" t="s">
        <v>757</v>
      </c>
      <c r="X73" s="294" t="s">
        <v>415</v>
      </c>
      <c r="Y73" s="172" t="s">
        <v>678</v>
      </c>
      <c r="Z73" s="178">
        <v>193560</v>
      </c>
      <c r="AA73" s="178">
        <v>0</v>
      </c>
      <c r="AB73" s="178">
        <v>6085873</v>
      </c>
      <c r="AC73" s="178">
        <v>117855</v>
      </c>
      <c r="AD73" s="178">
        <f t="shared" si="1"/>
        <v>6397288</v>
      </c>
      <c r="AE73" s="174">
        <v>1048.7850000000001</v>
      </c>
      <c r="AF73" s="173">
        <v>6099.7134779768967</v>
      </c>
    </row>
    <row r="74" spans="1:32">
      <c r="A74" s="130" t="s">
        <v>42</v>
      </c>
      <c r="B74" s="6" t="s">
        <v>14</v>
      </c>
      <c r="C74" s="110" t="s">
        <v>68</v>
      </c>
      <c r="D74" s="103" t="s">
        <v>1046</v>
      </c>
      <c r="E74" s="6" t="s">
        <v>152</v>
      </c>
      <c r="F74" s="334" t="s">
        <v>329</v>
      </c>
      <c r="G74" s="111">
        <v>29200795</v>
      </c>
      <c r="H74" s="112">
        <v>2103.3780000000002</v>
      </c>
      <c r="I74" s="135">
        <v>13882.808986306787</v>
      </c>
      <c r="T74" s="170" t="s">
        <v>47</v>
      </c>
      <c r="U74" s="295" t="s">
        <v>19</v>
      </c>
      <c r="V74" s="110" t="s">
        <v>67</v>
      </c>
      <c r="W74" s="110" t="s">
        <v>758</v>
      </c>
      <c r="X74" s="293" t="s">
        <v>416</v>
      </c>
      <c r="Y74" s="103" t="s">
        <v>688</v>
      </c>
      <c r="Z74" s="177">
        <v>0</v>
      </c>
      <c r="AA74" s="177">
        <v>0</v>
      </c>
      <c r="AB74" s="177">
        <v>1467396</v>
      </c>
      <c r="AC74" s="177">
        <v>46737</v>
      </c>
      <c r="AD74" s="177">
        <f t="shared" si="1"/>
        <v>1514133</v>
      </c>
      <c r="AE74" s="112">
        <v>254.34</v>
      </c>
      <c r="AF74" s="111">
        <v>5953.1847133757965</v>
      </c>
    </row>
    <row r="75" spans="1:32">
      <c r="A75" s="130" t="s">
        <v>42</v>
      </c>
      <c r="B75" s="6" t="s">
        <v>14</v>
      </c>
      <c r="C75" s="110" t="s">
        <v>67</v>
      </c>
      <c r="D75" s="334" t="s">
        <v>676</v>
      </c>
      <c r="E75" s="118" t="s">
        <v>344</v>
      </c>
      <c r="F75" s="103" t="s">
        <v>660</v>
      </c>
      <c r="G75" s="111">
        <v>642896</v>
      </c>
      <c r="H75" s="112">
        <v>73.48</v>
      </c>
      <c r="I75" s="137">
        <v>8749.2651061513334</v>
      </c>
      <c r="T75" s="171" t="s">
        <v>47</v>
      </c>
      <c r="U75" s="294" t="s">
        <v>19</v>
      </c>
      <c r="V75" s="172" t="s">
        <v>67</v>
      </c>
      <c r="W75" s="172" t="s">
        <v>759</v>
      </c>
      <c r="X75" s="294" t="s">
        <v>417</v>
      </c>
      <c r="Y75" s="172" t="s">
        <v>660</v>
      </c>
      <c r="Z75" s="178">
        <v>17478</v>
      </c>
      <c r="AA75" s="178">
        <v>0</v>
      </c>
      <c r="AB75" s="178">
        <v>1512378</v>
      </c>
      <c r="AC75" s="178">
        <v>119411</v>
      </c>
      <c r="AD75" s="178">
        <f t="shared" si="1"/>
        <v>1649267</v>
      </c>
      <c r="AE75" s="174">
        <v>216.80500000000001</v>
      </c>
      <c r="AF75" s="173">
        <v>7607.1446691727588</v>
      </c>
    </row>
    <row r="76" spans="1:32">
      <c r="A76" s="130" t="s">
        <v>42</v>
      </c>
      <c r="B76" s="6" t="s">
        <v>14</v>
      </c>
      <c r="C76" s="110" t="s">
        <v>68</v>
      </c>
      <c r="D76" s="103" t="s">
        <v>1047</v>
      </c>
      <c r="E76" s="6" t="s">
        <v>153</v>
      </c>
      <c r="F76" s="334" t="s">
        <v>329</v>
      </c>
      <c r="G76" s="111">
        <v>7686648</v>
      </c>
      <c r="H76" s="112">
        <v>734.91300000000001</v>
      </c>
      <c r="I76" s="135">
        <v>10459.262524951933</v>
      </c>
      <c r="T76" s="170" t="s">
        <v>47</v>
      </c>
      <c r="U76" s="295" t="s">
        <v>19</v>
      </c>
      <c r="V76" s="110" t="s">
        <v>67</v>
      </c>
      <c r="W76" s="110" t="s">
        <v>760</v>
      </c>
      <c r="X76" s="293" t="s">
        <v>418</v>
      </c>
      <c r="Y76" s="103" t="s">
        <v>678</v>
      </c>
      <c r="Z76" s="177">
        <v>61077</v>
      </c>
      <c r="AA76" s="177">
        <v>0</v>
      </c>
      <c r="AB76" s="177">
        <v>1651633</v>
      </c>
      <c r="AC76" s="177">
        <v>277594</v>
      </c>
      <c r="AD76" s="177">
        <f t="shared" si="1"/>
        <v>1990304</v>
      </c>
      <c r="AE76" s="112">
        <v>244.57499999999999</v>
      </c>
      <c r="AF76" s="111">
        <v>8137.8063988551576</v>
      </c>
    </row>
    <row r="77" spans="1:32">
      <c r="A77" s="132" t="s">
        <v>43</v>
      </c>
      <c r="B77" s="120" t="s">
        <v>15</v>
      </c>
      <c r="C77" s="121" t="s">
        <v>67</v>
      </c>
      <c r="D77" s="121" t="s">
        <v>1240</v>
      </c>
      <c r="E77" s="120" t="s">
        <v>1265</v>
      </c>
      <c r="F77" s="121">
        <v>99</v>
      </c>
      <c r="G77" s="122">
        <v>3695854</v>
      </c>
      <c r="H77" s="123">
        <v>429.01499999999999</v>
      </c>
      <c r="I77" s="138">
        <v>8614.7430742514825</v>
      </c>
      <c r="T77" s="171" t="s">
        <v>47</v>
      </c>
      <c r="U77" s="294" t="s">
        <v>19</v>
      </c>
      <c r="V77" s="172" t="s">
        <v>67</v>
      </c>
      <c r="W77" s="172" t="s">
        <v>761</v>
      </c>
      <c r="X77" s="294" t="s">
        <v>419</v>
      </c>
      <c r="Y77" s="172" t="s">
        <v>678</v>
      </c>
      <c r="Z77" s="178">
        <v>8734</v>
      </c>
      <c r="AA77" s="178">
        <v>0</v>
      </c>
      <c r="AB77" s="178">
        <v>524823</v>
      </c>
      <c r="AC77" s="178">
        <v>71963</v>
      </c>
      <c r="AD77" s="178">
        <f t="shared" si="1"/>
        <v>605520</v>
      </c>
      <c r="AE77" s="174">
        <v>77.16</v>
      </c>
      <c r="AF77" s="173">
        <v>7847.5894245723175</v>
      </c>
    </row>
    <row r="78" spans="1:32">
      <c r="A78" s="131" t="s">
        <v>43</v>
      </c>
      <c r="B78" s="113" t="s">
        <v>15</v>
      </c>
      <c r="C78" s="114" t="s">
        <v>68</v>
      </c>
      <c r="D78" s="114" t="s">
        <v>1013</v>
      </c>
      <c r="E78" s="113" t="s">
        <v>1266</v>
      </c>
      <c r="F78" s="115" t="s">
        <v>143</v>
      </c>
      <c r="G78" s="116">
        <v>78430782</v>
      </c>
      <c r="H78" s="117">
        <v>7585.4920000000002</v>
      </c>
      <c r="I78" s="136">
        <v>10339.577445998229</v>
      </c>
      <c r="T78" s="170" t="s">
        <v>47</v>
      </c>
      <c r="U78" s="295" t="s">
        <v>19</v>
      </c>
      <c r="V78" s="110" t="s">
        <v>67</v>
      </c>
      <c r="W78" s="110" t="s">
        <v>762</v>
      </c>
      <c r="X78" s="293" t="s">
        <v>420</v>
      </c>
      <c r="Y78" s="103" t="s">
        <v>692</v>
      </c>
      <c r="Z78" s="177">
        <v>57652</v>
      </c>
      <c r="AA78" s="177">
        <v>0</v>
      </c>
      <c r="AB78" s="177">
        <v>564556</v>
      </c>
      <c r="AC78" s="177">
        <v>149837</v>
      </c>
      <c r="AD78" s="177">
        <f t="shared" si="1"/>
        <v>772045</v>
      </c>
      <c r="AE78" s="112">
        <v>66.930000000000007</v>
      </c>
      <c r="AF78" s="111">
        <v>11535.111310324219</v>
      </c>
    </row>
    <row r="79" spans="1:32">
      <c r="A79" s="130" t="s">
        <v>43</v>
      </c>
      <c r="B79" s="6" t="s">
        <v>15</v>
      </c>
      <c r="C79" s="110" t="s">
        <v>67</v>
      </c>
      <c r="D79" s="110" t="s">
        <v>679</v>
      </c>
      <c r="E79" s="118" t="s">
        <v>345</v>
      </c>
      <c r="F79" s="103" t="s">
        <v>660</v>
      </c>
      <c r="G79" s="111">
        <v>2167951</v>
      </c>
      <c r="H79" s="112">
        <v>224.87</v>
      </c>
      <c r="I79" s="137">
        <v>9640.9080802241297</v>
      </c>
      <c r="T79" s="171" t="s">
        <v>47</v>
      </c>
      <c r="U79" s="294" t="s">
        <v>19</v>
      </c>
      <c r="V79" s="172" t="s">
        <v>67</v>
      </c>
      <c r="W79" s="172" t="s">
        <v>763</v>
      </c>
      <c r="X79" s="294" t="s">
        <v>421</v>
      </c>
      <c r="Y79" s="172" t="s">
        <v>764</v>
      </c>
      <c r="Z79" s="178">
        <v>39610</v>
      </c>
      <c r="AA79" s="178">
        <v>227910</v>
      </c>
      <c r="AB79" s="178">
        <v>4706523</v>
      </c>
      <c r="AC79" s="178">
        <v>1003300</v>
      </c>
      <c r="AD79" s="178">
        <f t="shared" si="1"/>
        <v>5977343</v>
      </c>
      <c r="AE79" s="174">
        <v>752.86</v>
      </c>
      <c r="AF79" s="173">
        <v>7939.514650798289</v>
      </c>
    </row>
    <row r="80" spans="1:32">
      <c r="A80" s="130" t="s">
        <v>43</v>
      </c>
      <c r="B80" s="6" t="s">
        <v>15</v>
      </c>
      <c r="C80" s="334" t="s">
        <v>68</v>
      </c>
      <c r="D80" s="103" t="s">
        <v>1048</v>
      </c>
      <c r="E80" s="6" t="s">
        <v>9</v>
      </c>
      <c r="F80" s="334" t="s">
        <v>133</v>
      </c>
      <c r="G80" s="111">
        <v>661865</v>
      </c>
      <c r="H80" s="112">
        <v>91.72</v>
      </c>
      <c r="I80" s="135">
        <v>7216.1469690361973</v>
      </c>
      <c r="T80" s="170" t="s">
        <v>47</v>
      </c>
      <c r="U80" s="295" t="s">
        <v>19</v>
      </c>
      <c r="V80" s="110" t="s">
        <v>67</v>
      </c>
      <c r="W80" s="110" t="s">
        <v>765</v>
      </c>
      <c r="X80" s="293" t="s">
        <v>422</v>
      </c>
      <c r="Y80" s="103" t="s">
        <v>688</v>
      </c>
      <c r="Z80" s="177">
        <v>23798</v>
      </c>
      <c r="AA80" s="177">
        <v>0</v>
      </c>
      <c r="AB80" s="177">
        <v>3107712</v>
      </c>
      <c r="AC80" s="177">
        <v>258916</v>
      </c>
      <c r="AD80" s="177">
        <f t="shared" si="1"/>
        <v>3390426</v>
      </c>
      <c r="AE80" s="112">
        <v>475.64</v>
      </c>
      <c r="AF80" s="111">
        <v>7128.1347237406444</v>
      </c>
    </row>
    <row r="81" spans="1:32">
      <c r="A81" s="130" t="s">
        <v>43</v>
      </c>
      <c r="B81" s="6" t="s">
        <v>15</v>
      </c>
      <c r="C81" s="110" t="s">
        <v>68</v>
      </c>
      <c r="D81" s="103" t="s">
        <v>1049</v>
      </c>
      <c r="E81" s="6" t="s">
        <v>154</v>
      </c>
      <c r="F81" s="334" t="s">
        <v>329</v>
      </c>
      <c r="G81" s="111">
        <v>15778010</v>
      </c>
      <c r="H81" s="112">
        <v>1887.68</v>
      </c>
      <c r="I81" s="135">
        <v>8358.4135022885239</v>
      </c>
      <c r="T81" s="171" t="s">
        <v>47</v>
      </c>
      <c r="U81" s="294" t="s">
        <v>19</v>
      </c>
      <c r="V81" s="172" t="s">
        <v>67</v>
      </c>
      <c r="W81" s="172" t="s">
        <v>766</v>
      </c>
      <c r="X81" s="294" t="s">
        <v>1305</v>
      </c>
      <c r="Y81" s="172" t="s">
        <v>688</v>
      </c>
      <c r="Z81" s="178">
        <v>61055</v>
      </c>
      <c r="AA81" s="178">
        <v>0</v>
      </c>
      <c r="AB81" s="178">
        <v>2629172</v>
      </c>
      <c r="AC81" s="178">
        <v>524887</v>
      </c>
      <c r="AD81" s="178">
        <f t="shared" si="1"/>
        <v>3215114</v>
      </c>
      <c r="AE81" s="174">
        <v>393.46</v>
      </c>
      <c r="AF81" s="173">
        <v>8171.3871803995326</v>
      </c>
    </row>
    <row r="82" spans="1:32">
      <c r="A82" s="130" t="s">
        <v>43</v>
      </c>
      <c r="B82" s="6" t="s">
        <v>15</v>
      </c>
      <c r="C82" s="110" t="s">
        <v>68</v>
      </c>
      <c r="D82" s="103" t="s">
        <v>1050</v>
      </c>
      <c r="E82" s="6" t="s">
        <v>155</v>
      </c>
      <c r="F82" s="334" t="s">
        <v>329</v>
      </c>
      <c r="G82" s="111">
        <v>5980679</v>
      </c>
      <c r="H82" s="112">
        <v>412.95499999999998</v>
      </c>
      <c r="I82" s="135">
        <v>14482.640965722658</v>
      </c>
      <c r="T82" s="170" t="s">
        <v>47</v>
      </c>
      <c r="U82" s="295" t="s">
        <v>19</v>
      </c>
      <c r="V82" s="110" t="s">
        <v>67</v>
      </c>
      <c r="W82" s="110" t="s">
        <v>767</v>
      </c>
      <c r="X82" s="293" t="s">
        <v>424</v>
      </c>
      <c r="Y82" s="103" t="s">
        <v>678</v>
      </c>
      <c r="Z82" s="177">
        <v>153085</v>
      </c>
      <c r="AA82" s="177">
        <v>3500</v>
      </c>
      <c r="AB82" s="177">
        <v>1269945</v>
      </c>
      <c r="AC82" s="177">
        <v>144171</v>
      </c>
      <c r="AD82" s="177">
        <f t="shared" si="1"/>
        <v>1570701</v>
      </c>
      <c r="AE82" s="112">
        <v>191.93</v>
      </c>
      <c r="AF82" s="111">
        <v>8183.7180221955914</v>
      </c>
    </row>
    <row r="83" spans="1:32">
      <c r="A83" s="130" t="s">
        <v>43</v>
      </c>
      <c r="B83" s="6" t="s">
        <v>15</v>
      </c>
      <c r="C83" s="110" t="s">
        <v>67</v>
      </c>
      <c r="D83" s="334" t="s">
        <v>680</v>
      </c>
      <c r="E83" s="118" t="s">
        <v>346</v>
      </c>
      <c r="F83" s="103" t="s">
        <v>660</v>
      </c>
      <c r="G83" s="111">
        <v>477794</v>
      </c>
      <c r="H83" s="112">
        <v>65.66</v>
      </c>
      <c r="I83" s="137">
        <v>7276.7895217788609</v>
      </c>
      <c r="T83" s="171" t="s">
        <v>47</v>
      </c>
      <c r="U83" s="294" t="s">
        <v>19</v>
      </c>
      <c r="V83" s="172" t="s">
        <v>67</v>
      </c>
      <c r="W83" s="172" t="s">
        <v>768</v>
      </c>
      <c r="X83" s="294" t="s">
        <v>425</v>
      </c>
      <c r="Y83" s="172" t="s">
        <v>678</v>
      </c>
      <c r="Z83" s="178">
        <v>196085</v>
      </c>
      <c r="AA83" s="178">
        <v>0</v>
      </c>
      <c r="AB83" s="178">
        <v>1624008</v>
      </c>
      <c r="AC83" s="178">
        <v>64060</v>
      </c>
      <c r="AD83" s="178">
        <f t="shared" si="1"/>
        <v>1884153</v>
      </c>
      <c r="AE83" s="174">
        <v>238.71</v>
      </c>
      <c r="AF83" s="173">
        <v>7893.0627120774161</v>
      </c>
    </row>
    <row r="84" spans="1:32">
      <c r="A84" s="130" t="s">
        <v>43</v>
      </c>
      <c r="B84" s="6" t="s">
        <v>15</v>
      </c>
      <c r="C84" s="334" t="s">
        <v>68</v>
      </c>
      <c r="D84" s="103" t="s">
        <v>1051</v>
      </c>
      <c r="E84" s="6" t="s">
        <v>156</v>
      </c>
      <c r="F84" s="334" t="s">
        <v>329</v>
      </c>
      <c r="G84" s="111">
        <v>9226111</v>
      </c>
      <c r="H84" s="112">
        <v>1098.3779999999999</v>
      </c>
      <c r="I84" s="135">
        <v>8399.759463499815</v>
      </c>
      <c r="T84" s="170" t="s">
        <v>47</v>
      </c>
      <c r="U84" s="295" t="s">
        <v>19</v>
      </c>
      <c r="V84" s="110" t="s">
        <v>67</v>
      </c>
      <c r="W84" s="110" t="s">
        <v>769</v>
      </c>
      <c r="X84" s="293" t="s">
        <v>195</v>
      </c>
      <c r="Y84" s="103" t="s">
        <v>660</v>
      </c>
      <c r="Z84" s="177">
        <v>185701</v>
      </c>
      <c r="AA84" s="177">
        <v>0</v>
      </c>
      <c r="AB84" s="177">
        <v>1089568</v>
      </c>
      <c r="AC84" s="177">
        <v>0</v>
      </c>
      <c r="AD84" s="177">
        <f t="shared" si="1"/>
        <v>1275269</v>
      </c>
      <c r="AE84" s="112">
        <v>164.97</v>
      </c>
      <c r="AF84" s="111">
        <v>7730.3085409468385</v>
      </c>
    </row>
    <row r="85" spans="1:32">
      <c r="A85" s="130" t="s">
        <v>43</v>
      </c>
      <c r="B85" s="6" t="s">
        <v>15</v>
      </c>
      <c r="C85" s="110" t="s">
        <v>68</v>
      </c>
      <c r="D85" s="103" t="s">
        <v>1052</v>
      </c>
      <c r="E85" s="6" t="s">
        <v>157</v>
      </c>
      <c r="F85" s="334" t="s">
        <v>329</v>
      </c>
      <c r="G85" s="111">
        <v>23065434</v>
      </c>
      <c r="H85" s="112">
        <v>2699.125</v>
      </c>
      <c r="I85" s="135">
        <v>8545.5227156949004</v>
      </c>
      <c r="T85" s="171" t="s">
        <v>47</v>
      </c>
      <c r="U85" s="294" t="s">
        <v>19</v>
      </c>
      <c r="V85" s="172" t="s">
        <v>67</v>
      </c>
      <c r="W85" s="172" t="s">
        <v>687</v>
      </c>
      <c r="X85" s="294" t="s">
        <v>353</v>
      </c>
      <c r="Y85" s="172" t="s">
        <v>688</v>
      </c>
      <c r="Z85" s="178">
        <v>749578</v>
      </c>
      <c r="AA85" s="178">
        <v>0</v>
      </c>
      <c r="AB85" s="178">
        <v>3964427</v>
      </c>
      <c r="AC85" s="178">
        <v>318770</v>
      </c>
      <c r="AD85" s="178">
        <f t="shared" si="1"/>
        <v>5032775</v>
      </c>
      <c r="AE85" s="174">
        <v>650.67999999999995</v>
      </c>
      <c r="AF85" s="173">
        <v>7734.6391467387966</v>
      </c>
    </row>
    <row r="86" spans="1:32">
      <c r="A86" s="130" t="s">
        <v>43</v>
      </c>
      <c r="B86" s="6" t="s">
        <v>15</v>
      </c>
      <c r="C86" s="334" t="s">
        <v>67</v>
      </c>
      <c r="D86" s="334" t="s">
        <v>1001</v>
      </c>
      <c r="E86" s="118" t="s">
        <v>347</v>
      </c>
      <c r="F86" s="103" t="s">
        <v>41</v>
      </c>
      <c r="G86" s="111">
        <v>376272</v>
      </c>
      <c r="H86" s="112">
        <v>51.954999999999998</v>
      </c>
      <c r="I86" s="137">
        <v>7242.2673467423738</v>
      </c>
      <c r="T86" s="170" t="s">
        <v>47</v>
      </c>
      <c r="U86" s="295" t="s">
        <v>19</v>
      </c>
      <c r="V86" s="110" t="s">
        <v>67</v>
      </c>
      <c r="W86" s="110" t="s">
        <v>770</v>
      </c>
      <c r="X86" s="293" t="s">
        <v>426</v>
      </c>
      <c r="Y86" s="103" t="s">
        <v>678</v>
      </c>
      <c r="Z86" s="177">
        <v>40325</v>
      </c>
      <c r="AA86" s="177">
        <v>9689</v>
      </c>
      <c r="AB86" s="177">
        <v>1394359</v>
      </c>
      <c r="AC86" s="177">
        <v>338463</v>
      </c>
      <c r="AD86" s="177">
        <f t="shared" si="1"/>
        <v>1782836</v>
      </c>
      <c r="AE86" s="112">
        <v>219.89</v>
      </c>
      <c r="AF86" s="111">
        <v>8107.8539269634821</v>
      </c>
    </row>
    <row r="87" spans="1:32">
      <c r="A87" s="130" t="s">
        <v>43</v>
      </c>
      <c r="B87" s="6" t="s">
        <v>15</v>
      </c>
      <c r="C87" s="110" t="s">
        <v>68</v>
      </c>
      <c r="D87" s="103" t="s">
        <v>1053</v>
      </c>
      <c r="E87" s="6" t="s">
        <v>158</v>
      </c>
      <c r="F87" s="334" t="s">
        <v>69</v>
      </c>
      <c r="G87" s="111">
        <v>2685156</v>
      </c>
      <c r="H87" s="112">
        <v>106.25</v>
      </c>
      <c r="I87" s="135">
        <v>25272.056470588235</v>
      </c>
      <c r="T87" s="171" t="s">
        <v>47</v>
      </c>
      <c r="U87" s="294" t="s">
        <v>19</v>
      </c>
      <c r="V87" s="172" t="s">
        <v>67</v>
      </c>
      <c r="W87" s="172" t="s">
        <v>771</v>
      </c>
      <c r="X87" s="294" t="s">
        <v>427</v>
      </c>
      <c r="Y87" s="172" t="s">
        <v>678</v>
      </c>
      <c r="Z87" s="178">
        <v>6179</v>
      </c>
      <c r="AA87" s="178">
        <v>0</v>
      </c>
      <c r="AB87" s="178">
        <v>871836</v>
      </c>
      <c r="AC87" s="178">
        <v>0</v>
      </c>
      <c r="AD87" s="178">
        <f t="shared" si="1"/>
        <v>878015</v>
      </c>
      <c r="AE87" s="174">
        <v>124.105</v>
      </c>
      <c r="AF87" s="173">
        <v>7074.7753918053259</v>
      </c>
    </row>
    <row r="88" spans="1:32">
      <c r="A88" s="130" t="s">
        <v>43</v>
      </c>
      <c r="B88" s="6" t="s">
        <v>15</v>
      </c>
      <c r="C88" s="110" t="s">
        <v>68</v>
      </c>
      <c r="D88" s="103" t="s">
        <v>1054</v>
      </c>
      <c r="E88" s="6" t="s">
        <v>159</v>
      </c>
      <c r="F88" s="334" t="s">
        <v>329</v>
      </c>
      <c r="G88" s="111">
        <v>18642669</v>
      </c>
      <c r="H88" s="112">
        <v>1155.635</v>
      </c>
      <c r="I88" s="135">
        <v>16131.969869379172</v>
      </c>
      <c r="T88" s="170" t="s">
        <v>47</v>
      </c>
      <c r="U88" s="295" t="s">
        <v>19</v>
      </c>
      <c r="V88" s="110" t="s">
        <v>67</v>
      </c>
      <c r="W88" s="110" t="s">
        <v>772</v>
      </c>
      <c r="X88" s="293" t="s">
        <v>428</v>
      </c>
      <c r="Y88" s="103" t="s">
        <v>660</v>
      </c>
      <c r="Z88" s="177">
        <v>14417</v>
      </c>
      <c r="AA88" s="177">
        <v>0</v>
      </c>
      <c r="AB88" s="177">
        <v>440808</v>
      </c>
      <c r="AC88" s="177">
        <v>9596</v>
      </c>
      <c r="AD88" s="177">
        <f t="shared" si="1"/>
        <v>464821</v>
      </c>
      <c r="AE88" s="112">
        <v>62.704999999999998</v>
      </c>
      <c r="AF88" s="111">
        <v>7412.8219440236026</v>
      </c>
    </row>
    <row r="89" spans="1:32">
      <c r="A89" s="130" t="s">
        <v>43</v>
      </c>
      <c r="B89" s="6" t="s">
        <v>15</v>
      </c>
      <c r="C89" s="110" t="s">
        <v>67</v>
      </c>
      <c r="D89" s="334" t="s">
        <v>681</v>
      </c>
      <c r="E89" s="118" t="s">
        <v>348</v>
      </c>
      <c r="F89" s="103" t="s">
        <v>660</v>
      </c>
      <c r="G89" s="111">
        <v>673837</v>
      </c>
      <c r="H89" s="112">
        <v>86.53</v>
      </c>
      <c r="I89" s="137">
        <v>7787.3223159597828</v>
      </c>
      <c r="T89" s="171" t="s">
        <v>47</v>
      </c>
      <c r="U89" s="294" t="s">
        <v>19</v>
      </c>
      <c r="V89" s="172" t="s">
        <v>67</v>
      </c>
      <c r="W89" s="172" t="s">
        <v>773</v>
      </c>
      <c r="X89" s="294" t="s">
        <v>429</v>
      </c>
      <c r="Y89" s="172" t="s">
        <v>660</v>
      </c>
      <c r="Z89" s="178">
        <v>91471</v>
      </c>
      <c r="AA89" s="178">
        <v>0</v>
      </c>
      <c r="AB89" s="178">
        <v>853392</v>
      </c>
      <c r="AC89" s="178">
        <v>128570</v>
      </c>
      <c r="AD89" s="178">
        <f t="shared" si="1"/>
        <v>1073433</v>
      </c>
      <c r="AE89" s="174">
        <v>119.705</v>
      </c>
      <c r="AF89" s="173">
        <v>8967.3196608328817</v>
      </c>
    </row>
    <row r="90" spans="1:32">
      <c r="A90" s="130" t="s">
        <v>43</v>
      </c>
      <c r="B90" s="6" t="s">
        <v>15</v>
      </c>
      <c r="C90" s="110" t="s">
        <v>68</v>
      </c>
      <c r="D90" s="103" t="s">
        <v>1055</v>
      </c>
      <c r="E90" s="6" t="s">
        <v>160</v>
      </c>
      <c r="F90" s="334" t="s">
        <v>69</v>
      </c>
      <c r="G90" s="111">
        <v>1103570</v>
      </c>
      <c r="H90" s="112">
        <v>72.489999999999995</v>
      </c>
      <c r="I90" s="135">
        <v>15223.755000689751</v>
      </c>
      <c r="J90" s="13"/>
      <c r="K90" s="15"/>
      <c r="L90" s="15"/>
      <c r="M90" s="15"/>
      <c r="T90" s="170" t="s">
        <v>47</v>
      </c>
      <c r="U90" s="295" t="s">
        <v>19</v>
      </c>
      <c r="V90" s="110" t="s">
        <v>67</v>
      </c>
      <c r="W90" s="110" t="s">
        <v>774</v>
      </c>
      <c r="X90" s="293" t="s">
        <v>430</v>
      </c>
      <c r="Y90" s="103" t="s">
        <v>678</v>
      </c>
      <c r="Z90" s="177">
        <v>37691</v>
      </c>
      <c r="AA90" s="177">
        <v>0</v>
      </c>
      <c r="AB90" s="177">
        <v>371490</v>
      </c>
      <c r="AC90" s="177">
        <v>10163</v>
      </c>
      <c r="AD90" s="177">
        <f t="shared" si="1"/>
        <v>419344</v>
      </c>
      <c r="AE90" s="112">
        <v>57.253</v>
      </c>
      <c r="AF90" s="111">
        <v>7324.4022147311061</v>
      </c>
    </row>
    <row r="91" spans="1:32">
      <c r="A91" s="130" t="s">
        <v>43</v>
      </c>
      <c r="B91" s="6" t="s">
        <v>15</v>
      </c>
      <c r="C91" s="110" t="s">
        <v>68</v>
      </c>
      <c r="D91" s="103" t="s">
        <v>1056</v>
      </c>
      <c r="E91" s="6" t="s">
        <v>161</v>
      </c>
      <c r="F91" s="334" t="s">
        <v>69</v>
      </c>
      <c r="G91" s="111">
        <v>1287288</v>
      </c>
      <c r="H91" s="112">
        <v>61.259</v>
      </c>
      <c r="I91" s="135">
        <v>21013.859188037677</v>
      </c>
      <c r="J91" s="13"/>
      <c r="K91" s="15"/>
      <c r="L91" s="15"/>
      <c r="M91" s="15"/>
      <c r="T91" s="171" t="s">
        <v>47</v>
      </c>
      <c r="U91" s="294" t="s">
        <v>19</v>
      </c>
      <c r="V91" s="172" t="s">
        <v>67</v>
      </c>
      <c r="W91" s="172" t="s">
        <v>775</v>
      </c>
      <c r="X91" s="294" t="s">
        <v>431</v>
      </c>
      <c r="Y91" s="172" t="s">
        <v>688</v>
      </c>
      <c r="Z91" s="178">
        <v>366432</v>
      </c>
      <c r="AA91" s="178">
        <v>0</v>
      </c>
      <c r="AB91" s="178">
        <v>3859590</v>
      </c>
      <c r="AC91" s="178">
        <v>89847</v>
      </c>
      <c r="AD91" s="178">
        <f t="shared" si="1"/>
        <v>4315869</v>
      </c>
      <c r="AE91" s="174">
        <v>653.02</v>
      </c>
      <c r="AF91" s="173">
        <v>6609.0916051575759</v>
      </c>
    </row>
    <row r="92" spans="1:32">
      <c r="A92" s="132" t="s">
        <v>44</v>
      </c>
      <c r="B92" s="120" t="s">
        <v>16</v>
      </c>
      <c r="C92" s="121" t="s">
        <v>67</v>
      </c>
      <c r="D92" s="121" t="s">
        <v>1240</v>
      </c>
      <c r="E92" s="120" t="s">
        <v>1265</v>
      </c>
      <c r="F92" s="121">
        <v>99</v>
      </c>
      <c r="G92" s="122">
        <v>2072064</v>
      </c>
      <c r="H92" s="123">
        <v>278.30500000000001</v>
      </c>
      <c r="I92" s="138">
        <v>7445.2992220764991</v>
      </c>
      <c r="J92" s="13"/>
      <c r="K92" s="15"/>
      <c r="L92" s="15"/>
      <c r="M92" s="15"/>
      <c r="T92" s="170" t="s">
        <v>47</v>
      </c>
      <c r="U92" s="295" t="s">
        <v>19</v>
      </c>
      <c r="V92" s="110" t="s">
        <v>67</v>
      </c>
      <c r="W92" s="110" t="s">
        <v>776</v>
      </c>
      <c r="X92" s="293" t="s">
        <v>432</v>
      </c>
      <c r="Y92" s="103" t="s">
        <v>660</v>
      </c>
      <c r="Z92" s="177">
        <v>199169</v>
      </c>
      <c r="AA92" s="177">
        <v>0</v>
      </c>
      <c r="AB92" s="177">
        <v>2662558</v>
      </c>
      <c r="AC92" s="177">
        <v>0</v>
      </c>
      <c r="AD92" s="177">
        <f t="shared" si="1"/>
        <v>2861727</v>
      </c>
      <c r="AE92" s="112">
        <v>403.46499999999997</v>
      </c>
      <c r="AF92" s="111">
        <v>7092.8754662734073</v>
      </c>
    </row>
    <row r="93" spans="1:32">
      <c r="A93" s="131" t="s">
        <v>44</v>
      </c>
      <c r="B93" s="113" t="s">
        <v>16</v>
      </c>
      <c r="C93" s="114" t="s">
        <v>68</v>
      </c>
      <c r="D93" s="114" t="s">
        <v>1013</v>
      </c>
      <c r="E93" s="113" t="s">
        <v>1266</v>
      </c>
      <c r="F93" s="115" t="s">
        <v>143</v>
      </c>
      <c r="G93" s="116">
        <v>50375843</v>
      </c>
      <c r="H93" s="117">
        <v>5744.0630000000001</v>
      </c>
      <c r="I93" s="136">
        <v>8770.0714633526823</v>
      </c>
      <c r="J93" s="13"/>
      <c r="K93" s="15"/>
      <c r="L93" s="15"/>
      <c r="M93" s="15"/>
      <c r="T93" s="171" t="s">
        <v>47</v>
      </c>
      <c r="U93" s="294" t="s">
        <v>19</v>
      </c>
      <c r="V93" s="172" t="s">
        <v>67</v>
      </c>
      <c r="W93" s="172" t="s">
        <v>892</v>
      </c>
      <c r="X93" s="294" t="s">
        <v>537</v>
      </c>
      <c r="Y93" s="172" t="s">
        <v>688</v>
      </c>
      <c r="Z93" s="178">
        <v>176533</v>
      </c>
      <c r="AA93" s="178">
        <v>0</v>
      </c>
      <c r="AB93" s="178">
        <v>3759343</v>
      </c>
      <c r="AC93" s="178">
        <v>86874</v>
      </c>
      <c r="AD93" s="178">
        <f t="shared" si="1"/>
        <v>4022750</v>
      </c>
      <c r="AE93" s="174">
        <v>638.495</v>
      </c>
      <c r="AF93" s="173">
        <v>6300.3625713592119</v>
      </c>
    </row>
    <row r="94" spans="1:32">
      <c r="A94" s="130" t="s">
        <v>44</v>
      </c>
      <c r="B94" s="6" t="s">
        <v>16</v>
      </c>
      <c r="C94" s="334" t="s">
        <v>68</v>
      </c>
      <c r="D94" s="103" t="s">
        <v>1057</v>
      </c>
      <c r="E94" s="6" t="s">
        <v>162</v>
      </c>
      <c r="F94" s="334" t="s">
        <v>69</v>
      </c>
      <c r="G94" s="111">
        <v>1504061</v>
      </c>
      <c r="H94" s="112">
        <v>96.924999999999997</v>
      </c>
      <c r="I94" s="137">
        <v>15517.781790043849</v>
      </c>
      <c r="J94" s="13"/>
      <c r="K94" s="15"/>
      <c r="L94" s="15"/>
      <c r="M94" s="15"/>
      <c r="T94" s="171" t="s">
        <v>47</v>
      </c>
      <c r="U94" s="294" t="s">
        <v>19</v>
      </c>
      <c r="V94" s="172" t="s">
        <v>67</v>
      </c>
      <c r="W94" s="172" t="s">
        <v>777</v>
      </c>
      <c r="X94" s="294" t="s">
        <v>433</v>
      </c>
      <c r="Y94" s="172" t="s">
        <v>660</v>
      </c>
      <c r="Z94" s="178">
        <v>1853395</v>
      </c>
      <c r="AA94" s="178">
        <v>0</v>
      </c>
      <c r="AB94" s="178">
        <v>8538116</v>
      </c>
      <c r="AC94" s="178">
        <v>142695</v>
      </c>
      <c r="AD94" s="178">
        <f t="shared" si="1"/>
        <v>10534206</v>
      </c>
      <c r="AE94" s="174">
        <v>1409.18</v>
      </c>
      <c r="AF94" s="173">
        <v>7475.4154898593506</v>
      </c>
    </row>
    <row r="95" spans="1:32">
      <c r="A95" s="130" t="s">
        <v>44</v>
      </c>
      <c r="B95" s="6" t="s">
        <v>16</v>
      </c>
      <c r="C95" s="110" t="s">
        <v>67</v>
      </c>
      <c r="D95" s="110" t="s">
        <v>682</v>
      </c>
      <c r="E95" s="118" t="s">
        <v>349</v>
      </c>
      <c r="F95" s="103" t="s">
        <v>660</v>
      </c>
      <c r="G95" s="111">
        <v>777112</v>
      </c>
      <c r="H95" s="112">
        <v>85.765000000000001</v>
      </c>
      <c r="I95" s="137">
        <v>9060.945607182417</v>
      </c>
      <c r="J95" s="13"/>
      <c r="K95" s="15"/>
      <c r="L95" s="15"/>
      <c r="M95" s="15"/>
      <c r="T95" s="170" t="s">
        <v>47</v>
      </c>
      <c r="U95" s="295" t="s">
        <v>19</v>
      </c>
      <c r="V95" s="110" t="s">
        <v>67</v>
      </c>
      <c r="W95" s="110" t="s">
        <v>778</v>
      </c>
      <c r="X95" s="293" t="s">
        <v>434</v>
      </c>
      <c r="Y95" s="103" t="s">
        <v>660</v>
      </c>
      <c r="Z95" s="177">
        <v>227</v>
      </c>
      <c r="AA95" s="177">
        <v>0</v>
      </c>
      <c r="AB95" s="177">
        <v>4763455</v>
      </c>
      <c r="AC95" s="177">
        <v>0</v>
      </c>
      <c r="AD95" s="177">
        <f t="shared" si="1"/>
        <v>4763682</v>
      </c>
      <c r="AE95" s="112">
        <v>797.29</v>
      </c>
      <c r="AF95" s="111">
        <v>5974.8422782174621</v>
      </c>
    </row>
    <row r="96" spans="1:32">
      <c r="A96" s="130" t="s">
        <v>44</v>
      </c>
      <c r="B96" s="6" t="s">
        <v>16</v>
      </c>
      <c r="C96" s="110" t="s">
        <v>68</v>
      </c>
      <c r="D96" s="103" t="s">
        <v>1058</v>
      </c>
      <c r="E96" s="6" t="s">
        <v>163</v>
      </c>
      <c r="F96" s="334" t="s">
        <v>329</v>
      </c>
      <c r="G96" s="111">
        <v>9159165</v>
      </c>
      <c r="H96" s="112">
        <v>477.84500000000003</v>
      </c>
      <c r="I96" s="137">
        <v>19167.648505268444</v>
      </c>
      <c r="J96" s="13"/>
      <c r="K96" s="15"/>
      <c r="L96" s="15"/>
      <c r="M96" s="15"/>
      <c r="T96" s="171" t="s">
        <v>47</v>
      </c>
      <c r="U96" s="294" t="s">
        <v>19</v>
      </c>
      <c r="V96" s="172" t="s">
        <v>67</v>
      </c>
      <c r="W96" s="172" t="s">
        <v>779</v>
      </c>
      <c r="X96" s="294" t="s">
        <v>1306</v>
      </c>
      <c r="Y96" s="172" t="s">
        <v>692</v>
      </c>
      <c r="Z96" s="178">
        <v>236501</v>
      </c>
      <c r="AA96" s="178">
        <v>0</v>
      </c>
      <c r="AB96" s="178">
        <v>875304</v>
      </c>
      <c r="AC96" s="178">
        <v>174711</v>
      </c>
      <c r="AD96" s="178">
        <f t="shared" si="1"/>
        <v>1286516</v>
      </c>
      <c r="AE96" s="174">
        <v>128.38499999999999</v>
      </c>
      <c r="AF96" s="173">
        <v>10020.765665770925</v>
      </c>
    </row>
    <row r="97" spans="1:32">
      <c r="A97" s="130" t="s">
        <v>44</v>
      </c>
      <c r="B97" s="6" t="s">
        <v>16</v>
      </c>
      <c r="C97" s="334" t="s">
        <v>67</v>
      </c>
      <c r="D97" s="334" t="s">
        <v>684</v>
      </c>
      <c r="E97" s="118" t="s">
        <v>351</v>
      </c>
      <c r="F97" s="103" t="s">
        <v>660</v>
      </c>
      <c r="G97" s="111">
        <v>689729</v>
      </c>
      <c r="H97" s="112">
        <v>104.655</v>
      </c>
      <c r="I97" s="137">
        <v>6590.5021260331569</v>
      </c>
      <c r="J97" s="13"/>
      <c r="K97" s="15"/>
      <c r="L97" s="15"/>
      <c r="M97" s="15"/>
      <c r="T97" s="170" t="s">
        <v>47</v>
      </c>
      <c r="U97" s="295" t="s">
        <v>19</v>
      </c>
      <c r="V97" s="110" t="s">
        <v>67</v>
      </c>
      <c r="W97" s="110" t="s">
        <v>780</v>
      </c>
      <c r="X97" s="293" t="s">
        <v>436</v>
      </c>
      <c r="Y97" s="103" t="s">
        <v>692</v>
      </c>
      <c r="Z97" s="177">
        <v>341235</v>
      </c>
      <c r="AA97" s="177">
        <v>0</v>
      </c>
      <c r="AB97" s="177">
        <v>2211908</v>
      </c>
      <c r="AC97" s="177">
        <v>341284</v>
      </c>
      <c r="AD97" s="177">
        <f t="shared" si="1"/>
        <v>2894427</v>
      </c>
      <c r="AE97" s="112">
        <v>307.09500000000003</v>
      </c>
      <c r="AF97" s="111">
        <v>9425.184389195525</v>
      </c>
    </row>
    <row r="98" spans="1:32">
      <c r="A98" s="130" t="s">
        <v>44</v>
      </c>
      <c r="B98" s="6" t="s">
        <v>16</v>
      </c>
      <c r="C98" s="110" t="s">
        <v>68</v>
      </c>
      <c r="D98" s="103" t="s">
        <v>1059</v>
      </c>
      <c r="E98" s="6" t="s">
        <v>164</v>
      </c>
      <c r="F98" s="334" t="s">
        <v>132</v>
      </c>
      <c r="G98" s="111">
        <v>1860226</v>
      </c>
      <c r="H98" s="112">
        <v>391.71800000000002</v>
      </c>
      <c r="I98" s="137">
        <v>4748.8907836760118</v>
      </c>
      <c r="J98" s="13"/>
      <c r="K98" s="15"/>
      <c r="L98" s="15"/>
      <c r="M98" s="15"/>
      <c r="T98" s="171" t="s">
        <v>47</v>
      </c>
      <c r="U98" s="294" t="s">
        <v>19</v>
      </c>
      <c r="V98" s="172" t="s">
        <v>67</v>
      </c>
      <c r="W98" s="172" t="s">
        <v>691</v>
      </c>
      <c r="X98" s="294" t="s">
        <v>356</v>
      </c>
      <c r="Y98" s="172" t="s">
        <v>692</v>
      </c>
      <c r="Z98" s="178">
        <v>124509</v>
      </c>
      <c r="AA98" s="178">
        <v>0</v>
      </c>
      <c r="AB98" s="178">
        <v>843631</v>
      </c>
      <c r="AC98" s="178">
        <v>169692</v>
      </c>
      <c r="AD98" s="178">
        <f t="shared" si="1"/>
        <v>1137832</v>
      </c>
      <c r="AE98" s="174">
        <v>120.79</v>
      </c>
      <c r="AF98" s="173">
        <v>9419.9188674559155</v>
      </c>
    </row>
    <row r="99" spans="1:32">
      <c r="A99" s="130" t="s">
        <v>44</v>
      </c>
      <c r="B99" s="6" t="s">
        <v>16</v>
      </c>
      <c r="C99" s="110" t="s">
        <v>68</v>
      </c>
      <c r="D99" s="103" t="s">
        <v>1060</v>
      </c>
      <c r="E99" s="6" t="s">
        <v>165</v>
      </c>
      <c r="F99" s="334" t="s">
        <v>69</v>
      </c>
      <c r="G99" s="111">
        <v>75110</v>
      </c>
      <c r="H99" s="112">
        <v>0</v>
      </c>
      <c r="I99" s="137">
        <v>0</v>
      </c>
      <c r="J99" s="13"/>
      <c r="K99" s="15"/>
      <c r="L99" s="15"/>
      <c r="M99" s="15"/>
      <c r="T99" s="170" t="s">
        <v>47</v>
      </c>
      <c r="U99" s="295" t="s">
        <v>19</v>
      </c>
      <c r="V99" s="110" t="s">
        <v>67</v>
      </c>
      <c r="W99" s="110" t="s">
        <v>781</v>
      </c>
      <c r="X99" s="293" t="s">
        <v>437</v>
      </c>
      <c r="Y99" s="103" t="s">
        <v>692</v>
      </c>
      <c r="Z99" s="177">
        <v>2714</v>
      </c>
      <c r="AA99" s="177">
        <v>0</v>
      </c>
      <c r="AB99" s="177">
        <v>180153</v>
      </c>
      <c r="AC99" s="177">
        <v>11048</v>
      </c>
      <c r="AD99" s="177">
        <f t="shared" si="1"/>
        <v>193915</v>
      </c>
      <c r="AE99" s="112">
        <v>26.32</v>
      </c>
      <c r="AF99" s="111">
        <v>7367.5911854103342</v>
      </c>
    </row>
    <row r="100" spans="1:32">
      <c r="A100" s="130" t="s">
        <v>44</v>
      </c>
      <c r="B100" s="6" t="s">
        <v>16</v>
      </c>
      <c r="C100" s="334" t="s">
        <v>68</v>
      </c>
      <c r="D100" s="103" t="s">
        <v>1061</v>
      </c>
      <c r="E100" s="6" t="s">
        <v>22</v>
      </c>
      <c r="F100" s="334" t="s">
        <v>329</v>
      </c>
      <c r="G100" s="111">
        <v>5048741</v>
      </c>
      <c r="H100" s="112">
        <v>637.58000000000004</v>
      </c>
      <c r="I100" s="137">
        <v>7918.6000188211674</v>
      </c>
      <c r="J100" s="13"/>
      <c r="K100" s="15"/>
      <c r="L100" s="15"/>
      <c r="M100" s="15"/>
      <c r="T100" s="171" t="s">
        <v>47</v>
      </c>
      <c r="U100" s="294" t="s">
        <v>19</v>
      </c>
      <c r="V100" s="172" t="s">
        <v>67</v>
      </c>
      <c r="W100" s="172" t="s">
        <v>782</v>
      </c>
      <c r="X100" s="294" t="s">
        <v>438</v>
      </c>
      <c r="Y100" s="172" t="s">
        <v>692</v>
      </c>
      <c r="Z100" s="178">
        <v>11889</v>
      </c>
      <c r="AA100" s="178">
        <v>0</v>
      </c>
      <c r="AB100" s="178">
        <v>719990</v>
      </c>
      <c r="AC100" s="178">
        <v>115083</v>
      </c>
      <c r="AD100" s="178">
        <f t="shared" si="1"/>
        <v>846962</v>
      </c>
      <c r="AE100" s="174">
        <v>115.84</v>
      </c>
      <c r="AF100" s="173">
        <v>7311.4813535911599</v>
      </c>
    </row>
    <row r="101" spans="1:32">
      <c r="A101" s="130" t="s">
        <v>44</v>
      </c>
      <c r="B101" s="6" t="s">
        <v>16</v>
      </c>
      <c r="C101" s="334" t="s">
        <v>68</v>
      </c>
      <c r="D101" s="103" t="s">
        <v>1062</v>
      </c>
      <c r="E101" s="6" t="s">
        <v>166</v>
      </c>
      <c r="F101" s="334" t="s">
        <v>329</v>
      </c>
      <c r="G101" s="111">
        <v>21824408</v>
      </c>
      <c r="H101" s="112">
        <v>2769.4</v>
      </c>
      <c r="I101" s="137">
        <v>7880.5546327724414</v>
      </c>
      <c r="J101" s="13"/>
      <c r="K101" s="15"/>
      <c r="L101" s="15"/>
      <c r="M101" s="15"/>
      <c r="T101" s="170" t="s">
        <v>47</v>
      </c>
      <c r="U101" s="295" t="s">
        <v>19</v>
      </c>
      <c r="V101" s="110" t="s">
        <v>67</v>
      </c>
      <c r="W101" s="110" t="s">
        <v>783</v>
      </c>
      <c r="X101" s="293" t="s">
        <v>439</v>
      </c>
      <c r="Y101" s="103" t="s">
        <v>660</v>
      </c>
      <c r="Z101" s="177">
        <v>71768</v>
      </c>
      <c r="AA101" s="177">
        <v>0</v>
      </c>
      <c r="AB101" s="177">
        <v>492706</v>
      </c>
      <c r="AC101" s="177">
        <v>112122</v>
      </c>
      <c r="AD101" s="177">
        <f t="shared" si="1"/>
        <v>676596</v>
      </c>
      <c r="AE101" s="112">
        <v>70.114999999999995</v>
      </c>
      <c r="AF101" s="111">
        <v>9649.8038936033663</v>
      </c>
    </row>
    <row r="102" spans="1:32">
      <c r="A102" s="130" t="s">
        <v>44</v>
      </c>
      <c r="B102" s="6" t="s">
        <v>16</v>
      </c>
      <c r="C102" s="110" t="s">
        <v>68</v>
      </c>
      <c r="D102" s="103" t="s">
        <v>1063</v>
      </c>
      <c r="E102" s="6" t="s">
        <v>167</v>
      </c>
      <c r="F102" s="334" t="s">
        <v>69</v>
      </c>
      <c r="G102" s="111">
        <v>1961494</v>
      </c>
      <c r="H102" s="112">
        <v>156.785</v>
      </c>
      <c r="I102" s="137">
        <v>12510.724878017667</v>
      </c>
      <c r="J102" s="13"/>
      <c r="K102" s="15"/>
      <c r="L102" s="15"/>
      <c r="M102" s="15"/>
      <c r="T102" s="171" t="s">
        <v>47</v>
      </c>
      <c r="U102" s="294" t="s">
        <v>19</v>
      </c>
      <c r="V102" s="172" t="s">
        <v>67</v>
      </c>
      <c r="W102" s="172" t="s">
        <v>784</v>
      </c>
      <c r="X102" s="294" t="s">
        <v>440</v>
      </c>
      <c r="Y102" s="172" t="s">
        <v>660</v>
      </c>
      <c r="Z102" s="178">
        <v>98301</v>
      </c>
      <c r="AA102" s="178">
        <v>0</v>
      </c>
      <c r="AB102" s="178">
        <v>1078297</v>
      </c>
      <c r="AC102" s="178">
        <v>16427</v>
      </c>
      <c r="AD102" s="178">
        <f t="shared" si="1"/>
        <v>1193025</v>
      </c>
      <c r="AE102" s="174">
        <v>152.91</v>
      </c>
      <c r="AF102" s="173">
        <v>7802.1385128506963</v>
      </c>
    </row>
    <row r="103" spans="1:32">
      <c r="A103" s="130" t="s">
        <v>44</v>
      </c>
      <c r="B103" s="6" t="s">
        <v>16</v>
      </c>
      <c r="C103" s="110" t="s">
        <v>68</v>
      </c>
      <c r="D103" s="103" t="s">
        <v>1064</v>
      </c>
      <c r="E103" s="6" t="s">
        <v>168</v>
      </c>
      <c r="F103" s="334" t="s">
        <v>329</v>
      </c>
      <c r="G103" s="111">
        <v>8942638</v>
      </c>
      <c r="H103" s="112">
        <v>1213.81</v>
      </c>
      <c r="I103" s="137">
        <v>7367.4117036438984</v>
      </c>
      <c r="J103" s="13"/>
      <c r="K103" s="15"/>
      <c r="L103" s="15"/>
      <c r="M103" s="15"/>
      <c r="T103" s="170" t="s">
        <v>47</v>
      </c>
      <c r="U103" s="295" t="s">
        <v>19</v>
      </c>
      <c r="V103" s="110" t="s">
        <v>67</v>
      </c>
      <c r="W103" s="110" t="s">
        <v>785</v>
      </c>
      <c r="X103" s="293" t="s">
        <v>441</v>
      </c>
      <c r="Y103" s="103" t="s">
        <v>660</v>
      </c>
      <c r="Z103" s="177">
        <v>7923</v>
      </c>
      <c r="AA103" s="177">
        <v>0</v>
      </c>
      <c r="AB103" s="177">
        <v>2286588</v>
      </c>
      <c r="AC103" s="177">
        <v>0</v>
      </c>
      <c r="AD103" s="177">
        <f t="shared" si="1"/>
        <v>2294511</v>
      </c>
      <c r="AE103" s="112">
        <v>340.41</v>
      </c>
      <c r="AF103" s="111">
        <v>6740.4335947827612</v>
      </c>
    </row>
    <row r="104" spans="1:32">
      <c r="A104" s="130" t="s">
        <v>44</v>
      </c>
      <c r="B104" s="6" t="s">
        <v>16</v>
      </c>
      <c r="C104" s="110" t="s">
        <v>67</v>
      </c>
      <c r="D104" s="334" t="s">
        <v>683</v>
      </c>
      <c r="E104" s="118" t="s">
        <v>350</v>
      </c>
      <c r="F104" s="103" t="s">
        <v>660</v>
      </c>
      <c r="G104" s="111">
        <v>605223</v>
      </c>
      <c r="H104" s="112">
        <v>87.885000000000005</v>
      </c>
      <c r="I104" s="137">
        <v>6886.5335381464411</v>
      </c>
      <c r="J104" s="13"/>
      <c r="K104" s="15"/>
      <c r="L104" s="15"/>
      <c r="M104" s="15"/>
      <c r="T104" s="171" t="s">
        <v>47</v>
      </c>
      <c r="U104" s="294" t="s">
        <v>19</v>
      </c>
      <c r="V104" s="172" t="s">
        <v>67</v>
      </c>
      <c r="W104" s="172" t="s">
        <v>786</v>
      </c>
      <c r="X104" s="294" t="s">
        <v>442</v>
      </c>
      <c r="Y104" s="172" t="s">
        <v>688</v>
      </c>
      <c r="Z104" s="178">
        <v>27275</v>
      </c>
      <c r="AA104" s="178">
        <v>0</v>
      </c>
      <c r="AB104" s="178">
        <v>756311</v>
      </c>
      <c r="AC104" s="178">
        <v>13068</v>
      </c>
      <c r="AD104" s="178">
        <f t="shared" si="1"/>
        <v>796654</v>
      </c>
      <c r="AE104" s="174">
        <v>109.68</v>
      </c>
      <c r="AF104" s="173">
        <v>7263.4390955506924</v>
      </c>
    </row>
    <row r="105" spans="1:32">
      <c r="A105" s="131" t="s">
        <v>45</v>
      </c>
      <c r="B105" s="113" t="s">
        <v>17</v>
      </c>
      <c r="C105" s="114" t="s">
        <v>68</v>
      </c>
      <c r="D105" s="114" t="s">
        <v>1013</v>
      </c>
      <c r="E105" s="113" t="s">
        <v>1266</v>
      </c>
      <c r="F105" s="115" t="s">
        <v>143</v>
      </c>
      <c r="G105" s="116">
        <v>13872990</v>
      </c>
      <c r="H105" s="117">
        <v>1620.058</v>
      </c>
      <c r="I105" s="136">
        <v>8563.2674879541355</v>
      </c>
      <c r="J105" s="13"/>
      <c r="K105" s="15"/>
      <c r="L105" s="15"/>
      <c r="M105" s="15"/>
      <c r="T105" s="171" t="s">
        <v>47</v>
      </c>
      <c r="U105" s="294" t="s">
        <v>19</v>
      </c>
      <c r="V105" s="172" t="s">
        <v>67</v>
      </c>
      <c r="W105" s="172" t="s">
        <v>787</v>
      </c>
      <c r="X105" s="294" t="s">
        <v>443</v>
      </c>
      <c r="Y105" s="172" t="s">
        <v>660</v>
      </c>
      <c r="Z105" s="178">
        <v>114267</v>
      </c>
      <c r="AA105" s="178">
        <v>0</v>
      </c>
      <c r="AB105" s="178">
        <v>1186514</v>
      </c>
      <c r="AC105" s="178">
        <v>12400</v>
      </c>
      <c r="AD105" s="178">
        <f t="shared" si="1"/>
        <v>1313181</v>
      </c>
      <c r="AE105" s="174">
        <v>163.58000000000001</v>
      </c>
      <c r="AF105" s="173">
        <v>8027.7601173737612</v>
      </c>
    </row>
    <row r="106" spans="1:32">
      <c r="A106" s="130" t="s">
        <v>45</v>
      </c>
      <c r="B106" s="6" t="s">
        <v>17</v>
      </c>
      <c r="C106" s="110" t="s">
        <v>68</v>
      </c>
      <c r="D106" s="103" t="s">
        <v>1065</v>
      </c>
      <c r="E106" s="6" t="s">
        <v>169</v>
      </c>
      <c r="F106" s="334" t="s">
        <v>69</v>
      </c>
      <c r="G106" s="111">
        <v>96262</v>
      </c>
      <c r="H106" s="112">
        <v>2.8</v>
      </c>
      <c r="I106" s="137">
        <v>34379.285714285717</v>
      </c>
      <c r="J106" s="13"/>
      <c r="K106" s="15"/>
      <c r="L106" s="15"/>
      <c r="M106" s="15"/>
      <c r="T106" s="170" t="s">
        <v>47</v>
      </c>
      <c r="U106" s="295" t="s">
        <v>19</v>
      </c>
      <c r="V106" s="110" t="s">
        <v>67</v>
      </c>
      <c r="W106" s="110" t="s">
        <v>788</v>
      </c>
      <c r="X106" s="293" t="s">
        <v>444</v>
      </c>
      <c r="Y106" s="103" t="s">
        <v>688</v>
      </c>
      <c r="Z106" s="177">
        <v>91826</v>
      </c>
      <c r="AA106" s="177">
        <v>0</v>
      </c>
      <c r="AB106" s="177">
        <v>1019445</v>
      </c>
      <c r="AC106" s="177">
        <v>110733</v>
      </c>
      <c r="AD106" s="177">
        <f t="shared" si="1"/>
        <v>1222004</v>
      </c>
      <c r="AE106" s="112">
        <v>155.19999999999999</v>
      </c>
      <c r="AF106" s="111">
        <v>7873.7371134020623</v>
      </c>
    </row>
    <row r="107" spans="1:32">
      <c r="A107" s="130" t="s">
        <v>45</v>
      </c>
      <c r="B107" s="6" t="s">
        <v>17</v>
      </c>
      <c r="C107" s="334" t="s">
        <v>68</v>
      </c>
      <c r="D107" s="103" t="s">
        <v>1066</v>
      </c>
      <c r="E107" s="6" t="s">
        <v>170</v>
      </c>
      <c r="F107" s="334" t="s">
        <v>329</v>
      </c>
      <c r="G107" s="111">
        <v>1960281</v>
      </c>
      <c r="H107" s="112">
        <v>127.8</v>
      </c>
      <c r="I107" s="137">
        <v>15338.661971830987</v>
      </c>
      <c r="J107" s="13"/>
      <c r="K107" s="15"/>
      <c r="L107" s="15"/>
      <c r="M107" s="15"/>
      <c r="T107" s="171" t="s">
        <v>47</v>
      </c>
      <c r="U107" s="294" t="s">
        <v>19</v>
      </c>
      <c r="V107" s="172" t="s">
        <v>67</v>
      </c>
      <c r="W107" s="172" t="s">
        <v>789</v>
      </c>
      <c r="X107" s="294" t="s">
        <v>445</v>
      </c>
      <c r="Y107" s="172" t="s">
        <v>660</v>
      </c>
      <c r="Z107" s="178">
        <v>0</v>
      </c>
      <c r="AA107" s="178">
        <v>0</v>
      </c>
      <c r="AB107" s="178">
        <v>623527</v>
      </c>
      <c r="AC107" s="178">
        <v>16008</v>
      </c>
      <c r="AD107" s="178">
        <f t="shared" si="1"/>
        <v>639535</v>
      </c>
      <c r="AE107" s="174">
        <v>87.295000000000002</v>
      </c>
      <c r="AF107" s="173">
        <v>7326.1355174981381</v>
      </c>
    </row>
    <row r="108" spans="1:32">
      <c r="A108" s="130" t="s">
        <v>45</v>
      </c>
      <c r="B108" s="6" t="s">
        <v>17</v>
      </c>
      <c r="C108" s="110" t="s">
        <v>68</v>
      </c>
      <c r="D108" s="103" t="s">
        <v>1067</v>
      </c>
      <c r="E108" s="6" t="s">
        <v>171</v>
      </c>
      <c r="F108" s="334" t="s">
        <v>329</v>
      </c>
      <c r="G108" s="111">
        <v>4119038</v>
      </c>
      <c r="H108" s="112">
        <v>461.59300000000002</v>
      </c>
      <c r="I108" s="137">
        <v>8923.5278697900521</v>
      </c>
      <c r="J108" s="13"/>
      <c r="K108" s="15"/>
      <c r="L108" s="15"/>
      <c r="M108" s="15"/>
      <c r="T108" s="170" t="s">
        <v>47</v>
      </c>
      <c r="U108" s="295" t="s">
        <v>19</v>
      </c>
      <c r="V108" s="110" t="s">
        <v>67</v>
      </c>
      <c r="W108" s="110" t="s">
        <v>790</v>
      </c>
      <c r="X108" s="293" t="s">
        <v>446</v>
      </c>
      <c r="Y108" s="103" t="s">
        <v>660</v>
      </c>
      <c r="Z108" s="177">
        <v>1545537</v>
      </c>
      <c r="AA108" s="177">
        <v>0</v>
      </c>
      <c r="AB108" s="177">
        <v>1209436</v>
      </c>
      <c r="AC108" s="177">
        <v>14384</v>
      </c>
      <c r="AD108" s="177">
        <f t="shared" si="1"/>
        <v>2769357</v>
      </c>
      <c r="AE108" s="112">
        <v>190.78</v>
      </c>
      <c r="AF108" s="111">
        <v>14515.971275815074</v>
      </c>
    </row>
    <row r="109" spans="1:32">
      <c r="A109" s="130" t="s">
        <v>45</v>
      </c>
      <c r="B109" s="6" t="s">
        <v>17</v>
      </c>
      <c r="C109" s="110" t="s">
        <v>68</v>
      </c>
      <c r="D109" s="103" t="s">
        <v>1068</v>
      </c>
      <c r="E109" s="6" t="s">
        <v>172</v>
      </c>
      <c r="F109" s="334" t="s">
        <v>69</v>
      </c>
      <c r="G109" s="111">
        <v>3859</v>
      </c>
      <c r="H109" s="112">
        <v>0</v>
      </c>
      <c r="I109" s="137">
        <v>0</v>
      </c>
      <c r="J109" s="13"/>
      <c r="K109" s="15"/>
      <c r="L109" s="15"/>
      <c r="M109" s="15"/>
      <c r="T109" s="171" t="s">
        <v>47</v>
      </c>
      <c r="U109" s="294" t="s">
        <v>19</v>
      </c>
      <c r="V109" s="172" t="s">
        <v>67</v>
      </c>
      <c r="W109" s="172" t="s">
        <v>791</v>
      </c>
      <c r="X109" s="294" t="s">
        <v>447</v>
      </c>
      <c r="Y109" s="172" t="s">
        <v>660</v>
      </c>
      <c r="Z109" s="178">
        <v>158469</v>
      </c>
      <c r="AA109" s="178">
        <v>0</v>
      </c>
      <c r="AB109" s="178">
        <v>939533</v>
      </c>
      <c r="AC109" s="178">
        <v>15285</v>
      </c>
      <c r="AD109" s="178">
        <f t="shared" si="1"/>
        <v>1113287</v>
      </c>
      <c r="AE109" s="174">
        <v>136.88</v>
      </c>
      <c r="AF109" s="173">
        <v>8133.3065458796027</v>
      </c>
    </row>
    <row r="110" spans="1:32">
      <c r="A110" s="130" t="s">
        <v>45</v>
      </c>
      <c r="B110" s="6" t="s">
        <v>17</v>
      </c>
      <c r="C110" s="110" t="s">
        <v>68</v>
      </c>
      <c r="D110" s="103" t="s">
        <v>1069</v>
      </c>
      <c r="E110" s="6" t="s">
        <v>173</v>
      </c>
      <c r="F110" s="334" t="s">
        <v>329</v>
      </c>
      <c r="G110" s="111">
        <v>7693550</v>
      </c>
      <c r="H110" s="112">
        <v>1027.865</v>
      </c>
      <c r="I110" s="137">
        <v>7484.9810043147691</v>
      </c>
      <c r="J110" s="13"/>
      <c r="K110" s="15"/>
      <c r="L110" s="15"/>
      <c r="M110" s="15"/>
      <c r="T110" s="170" t="s">
        <v>47</v>
      </c>
      <c r="U110" s="295" t="s">
        <v>19</v>
      </c>
      <c r="V110" s="110" t="s">
        <v>67</v>
      </c>
      <c r="W110" s="110" t="s">
        <v>792</v>
      </c>
      <c r="X110" s="293" t="s">
        <v>448</v>
      </c>
      <c r="Y110" s="103" t="s">
        <v>688</v>
      </c>
      <c r="Z110" s="177">
        <v>101219</v>
      </c>
      <c r="AA110" s="177">
        <v>0</v>
      </c>
      <c r="AB110" s="177">
        <v>2339369</v>
      </c>
      <c r="AC110" s="177">
        <v>73887</v>
      </c>
      <c r="AD110" s="177">
        <f t="shared" si="1"/>
        <v>2514475</v>
      </c>
      <c r="AE110" s="112">
        <v>363.09500000000003</v>
      </c>
      <c r="AF110" s="111">
        <v>6925.1160164695184</v>
      </c>
    </row>
    <row r="111" spans="1:32">
      <c r="A111" s="132" t="s">
        <v>47</v>
      </c>
      <c r="B111" s="120" t="s">
        <v>19</v>
      </c>
      <c r="C111" s="121" t="s">
        <v>67</v>
      </c>
      <c r="D111" s="121" t="s">
        <v>1240</v>
      </c>
      <c r="E111" s="120" t="s">
        <v>1265</v>
      </c>
      <c r="F111" s="121">
        <v>99</v>
      </c>
      <c r="G111" s="122">
        <v>432073120</v>
      </c>
      <c r="H111" s="123">
        <v>58576.802000000011</v>
      </c>
      <c r="I111" s="138">
        <v>7376.1814446613171</v>
      </c>
      <c r="J111" s="13"/>
      <c r="K111" s="15"/>
      <c r="L111" s="15"/>
      <c r="M111" s="15"/>
      <c r="T111" s="171" t="s">
        <v>47</v>
      </c>
      <c r="U111" s="294" t="s">
        <v>19</v>
      </c>
      <c r="V111" s="172" t="s">
        <v>67</v>
      </c>
      <c r="W111" s="172" t="s">
        <v>793</v>
      </c>
      <c r="X111" s="294" t="s">
        <v>449</v>
      </c>
      <c r="Y111" s="172" t="s">
        <v>692</v>
      </c>
      <c r="Z111" s="178">
        <v>46120</v>
      </c>
      <c r="AA111" s="178">
        <v>0</v>
      </c>
      <c r="AB111" s="178">
        <v>839072</v>
      </c>
      <c r="AC111" s="178">
        <v>122458</v>
      </c>
      <c r="AD111" s="178">
        <f t="shared" si="1"/>
        <v>1007650</v>
      </c>
      <c r="AE111" s="174">
        <v>118.69</v>
      </c>
      <c r="AF111" s="173">
        <v>8489.7632487993942</v>
      </c>
    </row>
    <row r="112" spans="1:32">
      <c r="A112" s="131" t="s">
        <v>47</v>
      </c>
      <c r="B112" s="113" t="s">
        <v>19</v>
      </c>
      <c r="C112" s="114" t="s">
        <v>68</v>
      </c>
      <c r="D112" s="114" t="s">
        <v>1013</v>
      </c>
      <c r="E112" s="113" t="s">
        <v>1266</v>
      </c>
      <c r="F112" s="115" t="s">
        <v>143</v>
      </c>
      <c r="G112" s="116">
        <v>5616885965</v>
      </c>
      <c r="H112" s="117">
        <v>587562.73199999996</v>
      </c>
      <c r="I112" s="136">
        <v>9559.6362040879067</v>
      </c>
      <c r="J112" s="13"/>
      <c r="K112" s="15"/>
      <c r="L112" s="15"/>
      <c r="M112" s="15"/>
      <c r="T112" s="170" t="s">
        <v>47</v>
      </c>
      <c r="U112" s="295" t="s">
        <v>19</v>
      </c>
      <c r="V112" s="110" t="s">
        <v>67</v>
      </c>
      <c r="W112" s="110" t="s">
        <v>794</v>
      </c>
      <c r="X112" s="293" t="s">
        <v>450</v>
      </c>
      <c r="Y112" s="103" t="s">
        <v>678</v>
      </c>
      <c r="Z112" s="177">
        <v>759639</v>
      </c>
      <c r="AA112" s="177">
        <v>0</v>
      </c>
      <c r="AB112" s="177">
        <v>1998474</v>
      </c>
      <c r="AC112" s="177">
        <v>51804</v>
      </c>
      <c r="AD112" s="177">
        <f t="shared" si="1"/>
        <v>2809917</v>
      </c>
      <c r="AE112" s="112">
        <v>312.17500000000001</v>
      </c>
      <c r="AF112" s="111">
        <v>9001.0955393609347</v>
      </c>
    </row>
    <row r="113" spans="1:33">
      <c r="A113" s="130" t="s">
        <v>47</v>
      </c>
      <c r="B113" s="6" t="s">
        <v>19</v>
      </c>
      <c r="C113" s="110" t="s">
        <v>67</v>
      </c>
      <c r="D113" s="333" t="s">
        <v>693</v>
      </c>
      <c r="E113" s="118" t="s">
        <v>357</v>
      </c>
      <c r="F113" s="103" t="s">
        <v>660</v>
      </c>
      <c r="G113" s="111">
        <v>2270705</v>
      </c>
      <c r="H113" s="112">
        <v>338.68</v>
      </c>
      <c r="I113" s="137">
        <v>6704.573638833117</v>
      </c>
      <c r="J113" s="13"/>
      <c r="K113" s="15"/>
      <c r="L113" s="15"/>
      <c r="M113" s="15"/>
      <c r="T113" s="170" t="s">
        <v>47</v>
      </c>
      <c r="U113" s="295" t="s">
        <v>19</v>
      </c>
      <c r="V113" s="110" t="s">
        <v>67</v>
      </c>
      <c r="W113" s="110" t="s">
        <v>795</v>
      </c>
      <c r="X113" s="293" t="s">
        <v>451</v>
      </c>
      <c r="Y113" s="103" t="s">
        <v>660</v>
      </c>
      <c r="Z113" s="177">
        <v>23083</v>
      </c>
      <c r="AA113" s="177">
        <v>0</v>
      </c>
      <c r="AB113" s="177">
        <v>2266270</v>
      </c>
      <c r="AC113" s="177">
        <v>191305</v>
      </c>
      <c r="AD113" s="177">
        <f t="shared" si="1"/>
        <v>2480658</v>
      </c>
      <c r="AE113" s="112">
        <v>344.565</v>
      </c>
      <c r="AF113" s="111">
        <v>7199.3905358930824</v>
      </c>
    </row>
    <row r="114" spans="1:33">
      <c r="A114" s="130" t="s">
        <v>47</v>
      </c>
      <c r="B114" s="6" t="s">
        <v>19</v>
      </c>
      <c r="C114" s="110" t="s">
        <v>67</v>
      </c>
      <c r="D114" s="334" t="s">
        <v>694</v>
      </c>
      <c r="E114" s="118" t="s">
        <v>358</v>
      </c>
      <c r="F114" s="103" t="s">
        <v>678</v>
      </c>
      <c r="G114" s="111">
        <v>1192881</v>
      </c>
      <c r="H114" s="112">
        <v>115.59</v>
      </c>
      <c r="I114" s="137">
        <v>10319.932520114196</v>
      </c>
      <c r="J114" s="13"/>
      <c r="K114" s="15"/>
      <c r="L114" s="15"/>
      <c r="M114" s="15"/>
      <c r="T114" s="171" t="s">
        <v>47</v>
      </c>
      <c r="U114" s="294" t="s">
        <v>19</v>
      </c>
      <c r="V114" s="172" t="s">
        <v>67</v>
      </c>
      <c r="W114" s="172" t="s">
        <v>796</v>
      </c>
      <c r="X114" s="294" t="s">
        <v>452</v>
      </c>
      <c r="Y114" s="172" t="s">
        <v>688</v>
      </c>
      <c r="Z114" s="178">
        <v>0</v>
      </c>
      <c r="AA114" s="178">
        <v>0</v>
      </c>
      <c r="AB114" s="178">
        <v>2199031</v>
      </c>
      <c r="AC114" s="178">
        <v>0</v>
      </c>
      <c r="AD114" s="178">
        <f t="shared" si="1"/>
        <v>2199031</v>
      </c>
      <c r="AE114" s="174">
        <v>330.66</v>
      </c>
      <c r="AF114" s="173">
        <v>6650.4294441420188</v>
      </c>
    </row>
    <row r="115" spans="1:33">
      <c r="A115" s="130" t="s">
        <v>47</v>
      </c>
      <c r="B115" s="6" t="s">
        <v>19</v>
      </c>
      <c r="C115" s="110" t="s">
        <v>67</v>
      </c>
      <c r="D115" s="334" t="s">
        <v>695</v>
      </c>
      <c r="E115" s="118" t="s">
        <v>359</v>
      </c>
      <c r="F115" s="103" t="s">
        <v>660</v>
      </c>
      <c r="G115" s="111">
        <v>1365660</v>
      </c>
      <c r="H115" s="112">
        <v>175.41</v>
      </c>
      <c r="I115" s="137">
        <v>7785.5310415597742</v>
      </c>
      <c r="J115" s="13"/>
      <c r="K115" s="15"/>
      <c r="L115" s="15"/>
      <c r="M115" s="15"/>
      <c r="T115" s="171" t="s">
        <v>47</v>
      </c>
      <c r="U115" s="294" t="s">
        <v>19</v>
      </c>
      <c r="V115" s="172" t="s">
        <v>67</v>
      </c>
      <c r="W115" s="172" t="s">
        <v>797</v>
      </c>
      <c r="X115" s="294" t="s">
        <v>453</v>
      </c>
      <c r="Y115" s="172" t="s">
        <v>688</v>
      </c>
      <c r="Z115" s="178">
        <v>178868</v>
      </c>
      <c r="AA115" s="178">
        <v>0</v>
      </c>
      <c r="AB115" s="178">
        <v>835496</v>
      </c>
      <c r="AC115" s="178">
        <v>9849</v>
      </c>
      <c r="AD115" s="178">
        <f t="shared" si="1"/>
        <v>1024213</v>
      </c>
      <c r="AE115" s="174">
        <v>123.495</v>
      </c>
      <c r="AF115" s="173">
        <v>8293.5584436616864</v>
      </c>
    </row>
    <row r="116" spans="1:33">
      <c r="A116" s="130" t="s">
        <v>47</v>
      </c>
      <c r="B116" s="6" t="s">
        <v>19</v>
      </c>
      <c r="C116" s="110" t="s">
        <v>67</v>
      </c>
      <c r="D116" s="334" t="s">
        <v>696</v>
      </c>
      <c r="E116" s="118" t="s">
        <v>360</v>
      </c>
      <c r="F116" s="103" t="s">
        <v>688</v>
      </c>
      <c r="G116" s="111">
        <v>1996470</v>
      </c>
      <c r="H116" s="112">
        <v>282.33999999999997</v>
      </c>
      <c r="I116" s="137">
        <v>7071.1553446199623</v>
      </c>
      <c r="J116" s="13"/>
      <c r="K116" s="15"/>
      <c r="L116" s="15"/>
      <c r="M116" s="15"/>
      <c r="T116" s="171" t="s">
        <v>47</v>
      </c>
      <c r="U116" s="294" t="s">
        <v>19</v>
      </c>
      <c r="V116" s="172" t="s">
        <v>67</v>
      </c>
      <c r="W116" s="172" t="s">
        <v>799</v>
      </c>
      <c r="X116" s="294" t="s">
        <v>454</v>
      </c>
      <c r="Y116" s="172" t="s">
        <v>660</v>
      </c>
      <c r="Z116" s="178">
        <v>4345</v>
      </c>
      <c r="AA116" s="178">
        <v>0</v>
      </c>
      <c r="AB116" s="178">
        <v>437844</v>
      </c>
      <c r="AC116" s="178">
        <v>0</v>
      </c>
      <c r="AD116" s="178">
        <f t="shared" si="1"/>
        <v>442189</v>
      </c>
      <c r="AE116" s="174">
        <v>61.94</v>
      </c>
      <c r="AF116" s="173">
        <v>7138.9893445269618</v>
      </c>
    </row>
    <row r="117" spans="1:33">
      <c r="A117" s="130" t="s">
        <v>47</v>
      </c>
      <c r="B117" s="6" t="s">
        <v>19</v>
      </c>
      <c r="C117" s="110" t="s">
        <v>67</v>
      </c>
      <c r="D117" s="333" t="s">
        <v>697</v>
      </c>
      <c r="E117" s="118" t="s">
        <v>361</v>
      </c>
      <c r="F117" s="103" t="s">
        <v>660</v>
      </c>
      <c r="G117" s="111">
        <v>2622310</v>
      </c>
      <c r="H117" s="112">
        <v>336.59</v>
      </c>
      <c r="I117" s="137">
        <v>7790.8137496657664</v>
      </c>
      <c r="J117" s="13"/>
      <c r="K117" s="15"/>
      <c r="L117" s="15"/>
      <c r="M117" s="15"/>
      <c r="T117" s="170" t="s">
        <v>47</v>
      </c>
      <c r="U117" s="295" t="s">
        <v>19</v>
      </c>
      <c r="V117" s="110" t="s">
        <v>67</v>
      </c>
      <c r="W117" s="110" t="s">
        <v>798</v>
      </c>
      <c r="X117" s="293" t="s">
        <v>454</v>
      </c>
      <c r="Y117" s="103" t="s">
        <v>678</v>
      </c>
      <c r="Z117" s="177">
        <v>1661</v>
      </c>
      <c r="AA117" s="177">
        <v>0</v>
      </c>
      <c r="AB117" s="177">
        <v>1384558</v>
      </c>
      <c r="AC117" s="177">
        <v>71607</v>
      </c>
      <c r="AD117" s="177">
        <f t="shared" si="1"/>
        <v>1457826</v>
      </c>
      <c r="AE117" s="112">
        <v>198.11</v>
      </c>
      <c r="AF117" s="111">
        <v>7358.6694260764216</v>
      </c>
    </row>
    <row r="118" spans="1:33">
      <c r="A118" s="130" t="s">
        <v>47</v>
      </c>
      <c r="B118" s="6" t="s">
        <v>19</v>
      </c>
      <c r="C118" s="110" t="s">
        <v>67</v>
      </c>
      <c r="D118" s="333" t="s">
        <v>698</v>
      </c>
      <c r="E118" s="118" t="s">
        <v>362</v>
      </c>
      <c r="F118" s="103" t="s">
        <v>688</v>
      </c>
      <c r="G118" s="111">
        <v>302682</v>
      </c>
      <c r="H118" s="112">
        <v>41.86</v>
      </c>
      <c r="I118" s="137">
        <v>7230.8170090778785</v>
      </c>
      <c r="J118" s="13"/>
      <c r="K118" s="15"/>
      <c r="L118" s="15"/>
      <c r="M118" s="15"/>
      <c r="T118" s="171" t="s">
        <v>47</v>
      </c>
      <c r="U118" s="294" t="s">
        <v>19</v>
      </c>
      <c r="V118" s="172" t="s">
        <v>67</v>
      </c>
      <c r="W118" s="172" t="s">
        <v>800</v>
      </c>
      <c r="X118" s="294" t="s">
        <v>455</v>
      </c>
      <c r="Y118" s="172" t="s">
        <v>688</v>
      </c>
      <c r="Z118" s="178">
        <v>19774</v>
      </c>
      <c r="AA118" s="178">
        <v>0</v>
      </c>
      <c r="AB118" s="178">
        <v>3358236</v>
      </c>
      <c r="AC118" s="178">
        <v>378600</v>
      </c>
      <c r="AD118" s="178">
        <f t="shared" si="1"/>
        <v>3756610</v>
      </c>
      <c r="AE118" s="174">
        <v>548.36</v>
      </c>
      <c r="AF118" s="173">
        <v>6850.6273251148878</v>
      </c>
    </row>
    <row r="119" spans="1:33">
      <c r="A119" s="130" t="s">
        <v>47</v>
      </c>
      <c r="B119" s="6" t="s">
        <v>19</v>
      </c>
      <c r="C119" s="110" t="s">
        <v>67</v>
      </c>
      <c r="D119" s="334" t="s">
        <v>699</v>
      </c>
      <c r="E119" s="118" t="s">
        <v>363</v>
      </c>
      <c r="F119" s="103" t="s">
        <v>660</v>
      </c>
      <c r="G119" s="111">
        <v>1328040</v>
      </c>
      <c r="H119" s="112">
        <v>163.92500000000001</v>
      </c>
      <c r="I119" s="137">
        <v>8101.5098368156159</v>
      </c>
      <c r="J119" s="13"/>
      <c r="K119" s="15"/>
      <c r="L119" s="15"/>
      <c r="M119" s="15"/>
      <c r="T119" s="171" t="s">
        <v>47</v>
      </c>
      <c r="U119" s="294" t="s">
        <v>19</v>
      </c>
      <c r="V119" s="172" t="s">
        <v>67</v>
      </c>
      <c r="W119" s="172" t="s">
        <v>801</v>
      </c>
      <c r="X119" s="294" t="s">
        <v>456</v>
      </c>
      <c r="Y119" s="172" t="s">
        <v>678</v>
      </c>
      <c r="Z119" s="178">
        <v>23527</v>
      </c>
      <c r="AA119" s="178">
        <v>0</v>
      </c>
      <c r="AB119" s="178">
        <v>1315058</v>
      </c>
      <c r="AC119" s="178">
        <v>201391</v>
      </c>
      <c r="AD119" s="178">
        <f t="shared" si="1"/>
        <v>1539976</v>
      </c>
      <c r="AE119" s="174">
        <v>202.76</v>
      </c>
      <c r="AF119" s="173">
        <v>7595.0680607614913</v>
      </c>
    </row>
    <row r="120" spans="1:33">
      <c r="A120" s="130" t="s">
        <v>47</v>
      </c>
      <c r="B120" s="6" t="s">
        <v>19</v>
      </c>
      <c r="C120" s="333" t="s">
        <v>68</v>
      </c>
      <c r="D120" s="103" t="s">
        <v>1076</v>
      </c>
      <c r="E120" s="6" t="s">
        <v>181</v>
      </c>
      <c r="F120" s="334" t="s">
        <v>71</v>
      </c>
      <c r="G120" s="111">
        <v>55374329</v>
      </c>
      <c r="H120" s="112">
        <v>5360.1480000000001</v>
      </c>
      <c r="I120" s="137">
        <v>10330.746277901282</v>
      </c>
      <c r="J120" s="13"/>
      <c r="K120" s="15"/>
      <c r="L120" s="15"/>
      <c r="M120" s="15"/>
      <c r="T120" s="170" t="s">
        <v>47</v>
      </c>
      <c r="U120" s="295" t="s">
        <v>19</v>
      </c>
      <c r="V120" s="110" t="s">
        <v>67</v>
      </c>
      <c r="W120" s="110" t="s">
        <v>802</v>
      </c>
      <c r="X120" s="293" t="s">
        <v>457</v>
      </c>
      <c r="Y120" s="103" t="s">
        <v>688</v>
      </c>
      <c r="Z120" s="177">
        <v>21698</v>
      </c>
      <c r="AA120" s="177">
        <v>0</v>
      </c>
      <c r="AB120" s="177">
        <v>1519197</v>
      </c>
      <c r="AC120" s="177">
        <v>16037</v>
      </c>
      <c r="AD120" s="177">
        <f t="shared" si="1"/>
        <v>1556932</v>
      </c>
      <c r="AE120" s="112">
        <v>209.64</v>
      </c>
      <c r="AF120" s="111">
        <v>7426.6933791261217</v>
      </c>
    </row>
    <row r="121" spans="1:33">
      <c r="A121" s="130" t="s">
        <v>47</v>
      </c>
      <c r="B121" s="6" t="s">
        <v>19</v>
      </c>
      <c r="C121" s="333" t="s">
        <v>68</v>
      </c>
      <c r="D121" s="103" t="s">
        <v>1077</v>
      </c>
      <c r="E121" s="6" t="s">
        <v>182</v>
      </c>
      <c r="F121" s="334" t="s">
        <v>69</v>
      </c>
      <c r="G121" s="111">
        <v>2346076</v>
      </c>
      <c r="H121" s="112">
        <v>185.565</v>
      </c>
      <c r="I121" s="137">
        <v>12642.879853420634</v>
      </c>
      <c r="J121" s="13"/>
      <c r="K121" s="15"/>
      <c r="L121" s="15"/>
      <c r="M121" s="15"/>
      <c r="T121" s="171" t="s">
        <v>47</v>
      </c>
      <c r="U121" s="294" t="s">
        <v>19</v>
      </c>
      <c r="V121" s="172" t="s">
        <v>67</v>
      </c>
      <c r="W121" s="172" t="s">
        <v>803</v>
      </c>
      <c r="X121" s="294" t="s">
        <v>458</v>
      </c>
      <c r="Y121" s="172" t="s">
        <v>688</v>
      </c>
      <c r="Z121" s="178">
        <v>15579</v>
      </c>
      <c r="AA121" s="178">
        <v>0</v>
      </c>
      <c r="AB121" s="178">
        <v>596888</v>
      </c>
      <c r="AC121" s="178">
        <v>64505</v>
      </c>
      <c r="AD121" s="178">
        <f t="shared" si="1"/>
        <v>676972</v>
      </c>
      <c r="AE121" s="174">
        <v>86.745000000000005</v>
      </c>
      <c r="AF121" s="173">
        <v>7804.1616231483076</v>
      </c>
    </row>
    <row r="122" spans="1:33">
      <c r="A122" s="130" t="s">
        <v>47</v>
      </c>
      <c r="B122" s="6" t="s">
        <v>19</v>
      </c>
      <c r="C122" s="110" t="s">
        <v>67</v>
      </c>
      <c r="D122" s="110" t="s">
        <v>700</v>
      </c>
      <c r="E122" s="118" t="s">
        <v>364</v>
      </c>
      <c r="F122" s="103" t="s">
        <v>692</v>
      </c>
      <c r="G122" s="111">
        <v>1888384</v>
      </c>
      <c r="H122" s="112">
        <v>225.95</v>
      </c>
      <c r="I122" s="137">
        <v>8357.5304270856395</v>
      </c>
      <c r="J122" s="13"/>
      <c r="K122" s="15"/>
      <c r="L122" s="15"/>
      <c r="M122" s="15"/>
      <c r="T122" s="170" t="s">
        <v>47</v>
      </c>
      <c r="U122" s="295" t="s">
        <v>19</v>
      </c>
      <c r="V122" s="110" t="s">
        <v>67</v>
      </c>
      <c r="W122" s="110" t="s">
        <v>804</v>
      </c>
      <c r="X122" s="293" t="s">
        <v>459</v>
      </c>
      <c r="Y122" s="103" t="s">
        <v>660</v>
      </c>
      <c r="Z122" s="177">
        <v>623298</v>
      </c>
      <c r="AA122" s="177">
        <v>0</v>
      </c>
      <c r="AB122" s="177">
        <v>1921972</v>
      </c>
      <c r="AC122" s="177">
        <v>18517</v>
      </c>
      <c r="AD122" s="177">
        <f t="shared" si="1"/>
        <v>2563787</v>
      </c>
      <c r="AE122" s="112">
        <v>290.245</v>
      </c>
      <c r="AF122" s="111">
        <v>8833.1823114954605</v>
      </c>
      <c r="AG122" s="168"/>
    </row>
    <row r="123" spans="1:33">
      <c r="A123" s="130" t="s">
        <v>47</v>
      </c>
      <c r="B123" s="6" t="s">
        <v>19</v>
      </c>
      <c r="C123" s="110" t="s">
        <v>67</v>
      </c>
      <c r="D123" s="110" t="s">
        <v>701</v>
      </c>
      <c r="E123" s="118" t="s">
        <v>365</v>
      </c>
      <c r="F123" s="103" t="s">
        <v>660</v>
      </c>
      <c r="G123" s="111">
        <v>1085687</v>
      </c>
      <c r="H123" s="112">
        <v>151.76</v>
      </c>
      <c r="I123" s="137">
        <v>7153.973379019505</v>
      </c>
      <c r="J123" s="13"/>
      <c r="K123" s="15"/>
      <c r="L123" s="15"/>
      <c r="M123" s="15"/>
      <c r="T123" s="171" t="s">
        <v>47</v>
      </c>
      <c r="U123" s="294" t="s">
        <v>19</v>
      </c>
      <c r="V123" s="172" t="s">
        <v>67</v>
      </c>
      <c r="W123" s="172" t="s">
        <v>805</v>
      </c>
      <c r="X123" s="294" t="s">
        <v>460</v>
      </c>
      <c r="Y123" s="172" t="s">
        <v>688</v>
      </c>
      <c r="Z123" s="178">
        <v>96956</v>
      </c>
      <c r="AA123" s="178">
        <v>1000</v>
      </c>
      <c r="AB123" s="178">
        <v>1058395</v>
      </c>
      <c r="AC123" s="178">
        <v>50237</v>
      </c>
      <c r="AD123" s="178">
        <f t="shared" si="1"/>
        <v>1206588</v>
      </c>
      <c r="AE123" s="174">
        <v>157.94999999999999</v>
      </c>
      <c r="AF123" s="173">
        <v>7639.0503323836665</v>
      </c>
      <c r="AG123" s="168"/>
    </row>
    <row r="124" spans="1:33">
      <c r="A124" s="130" t="s">
        <v>47</v>
      </c>
      <c r="B124" s="6" t="s">
        <v>19</v>
      </c>
      <c r="C124" s="110" t="s">
        <v>67</v>
      </c>
      <c r="D124" s="110" t="s">
        <v>702</v>
      </c>
      <c r="E124" s="118" t="s">
        <v>366</v>
      </c>
      <c r="F124" s="103" t="s">
        <v>688</v>
      </c>
      <c r="G124" s="111">
        <v>1353022</v>
      </c>
      <c r="H124" s="112">
        <v>188.84800000000001</v>
      </c>
      <c r="I124" s="137">
        <v>7164.6085740913322</v>
      </c>
      <c r="J124" s="13"/>
      <c r="K124" s="15"/>
      <c r="L124" s="15"/>
      <c r="M124" s="15"/>
      <c r="T124" s="171" t="s">
        <v>47</v>
      </c>
      <c r="U124" s="294" t="s">
        <v>19</v>
      </c>
      <c r="V124" s="172" t="s">
        <v>67</v>
      </c>
      <c r="W124" s="172" t="s">
        <v>806</v>
      </c>
      <c r="X124" s="294" t="s">
        <v>461</v>
      </c>
      <c r="Y124" s="172" t="s">
        <v>688</v>
      </c>
      <c r="Z124" s="178">
        <v>62753</v>
      </c>
      <c r="AA124" s="178">
        <v>0</v>
      </c>
      <c r="AB124" s="178">
        <v>535086</v>
      </c>
      <c r="AC124" s="178">
        <v>18889</v>
      </c>
      <c r="AD124" s="178">
        <f t="shared" si="1"/>
        <v>616728</v>
      </c>
      <c r="AE124" s="174">
        <v>77.52</v>
      </c>
      <c r="AF124" s="173">
        <v>7955.7275541795671</v>
      </c>
      <c r="AG124" s="168"/>
    </row>
    <row r="125" spans="1:33">
      <c r="A125" s="130" t="s">
        <v>47</v>
      </c>
      <c r="B125" s="6" t="s">
        <v>19</v>
      </c>
      <c r="C125" s="110" t="s">
        <v>68</v>
      </c>
      <c r="D125" s="103" t="s">
        <v>1078</v>
      </c>
      <c r="E125" s="6" t="s">
        <v>183</v>
      </c>
      <c r="F125" s="334" t="s">
        <v>69</v>
      </c>
      <c r="G125" s="111">
        <v>123645493</v>
      </c>
      <c r="H125" s="112">
        <v>14624.575000000001</v>
      </c>
      <c r="I125" s="137">
        <v>8454.6383741065983</v>
      </c>
      <c r="J125" s="13"/>
      <c r="K125" s="15"/>
      <c r="L125" s="15"/>
      <c r="M125" s="15"/>
      <c r="T125" s="170" t="s">
        <v>47</v>
      </c>
      <c r="U125" s="295" t="s">
        <v>19</v>
      </c>
      <c r="V125" s="110" t="s">
        <v>67</v>
      </c>
      <c r="W125" s="110" t="s">
        <v>891</v>
      </c>
      <c r="X125" s="293" t="s">
        <v>536</v>
      </c>
      <c r="Y125" s="103" t="s">
        <v>660</v>
      </c>
      <c r="Z125" s="177">
        <v>38696</v>
      </c>
      <c r="AA125" s="177">
        <v>0</v>
      </c>
      <c r="AB125" s="177">
        <v>1654422</v>
      </c>
      <c r="AC125" s="177">
        <v>132563</v>
      </c>
      <c r="AD125" s="177">
        <f t="shared" si="1"/>
        <v>1825681</v>
      </c>
      <c r="AE125" s="112">
        <v>240.72</v>
      </c>
      <c r="AF125" s="111">
        <v>7584.2514124293784</v>
      </c>
      <c r="AG125" s="168"/>
    </row>
    <row r="126" spans="1:33">
      <c r="A126" s="130" t="s">
        <v>47</v>
      </c>
      <c r="B126" s="6" t="s">
        <v>19</v>
      </c>
      <c r="C126" s="110" t="s">
        <v>67</v>
      </c>
      <c r="D126" s="334" t="s">
        <v>703</v>
      </c>
      <c r="E126" s="118" t="s">
        <v>367</v>
      </c>
      <c r="F126" s="103" t="s">
        <v>688</v>
      </c>
      <c r="G126" s="111">
        <v>458310</v>
      </c>
      <c r="H126" s="112">
        <v>61.155000000000001</v>
      </c>
      <c r="I126" s="137">
        <v>7494.2359578121168</v>
      </c>
      <c r="J126" s="13"/>
      <c r="K126" s="15"/>
      <c r="L126" s="15"/>
      <c r="M126" s="15"/>
      <c r="T126" s="171" t="s">
        <v>47</v>
      </c>
      <c r="U126" s="294" t="s">
        <v>19</v>
      </c>
      <c r="V126" s="172" t="s">
        <v>67</v>
      </c>
      <c r="W126" s="172" t="s">
        <v>807</v>
      </c>
      <c r="X126" s="294" t="s">
        <v>462</v>
      </c>
      <c r="Y126" s="172" t="s">
        <v>660</v>
      </c>
      <c r="Z126" s="178">
        <v>43526</v>
      </c>
      <c r="AA126" s="178">
        <v>566</v>
      </c>
      <c r="AB126" s="178">
        <v>2463613</v>
      </c>
      <c r="AC126" s="178">
        <v>38636</v>
      </c>
      <c r="AD126" s="178">
        <f t="shared" si="1"/>
        <v>2546341</v>
      </c>
      <c r="AE126" s="174">
        <v>388.80500000000001</v>
      </c>
      <c r="AF126" s="173">
        <v>6549.1467445120306</v>
      </c>
      <c r="AG126" s="168"/>
    </row>
    <row r="127" spans="1:33">
      <c r="A127" s="130" t="s">
        <v>47</v>
      </c>
      <c r="B127" s="6" t="s">
        <v>19</v>
      </c>
      <c r="C127" s="110" t="s">
        <v>67</v>
      </c>
      <c r="D127" s="110" t="s">
        <v>704</v>
      </c>
      <c r="E127" s="118" t="s">
        <v>368</v>
      </c>
      <c r="F127" s="103" t="s">
        <v>660</v>
      </c>
      <c r="G127" s="111">
        <v>1957018</v>
      </c>
      <c r="H127" s="112">
        <v>290.66000000000003</v>
      </c>
      <c r="I127" s="137">
        <v>6733.0145186816208</v>
      </c>
      <c r="J127" s="13"/>
      <c r="K127" s="15"/>
      <c r="L127" s="15"/>
      <c r="M127" s="15"/>
      <c r="T127" s="170" t="s">
        <v>47</v>
      </c>
      <c r="U127" s="295" t="s">
        <v>19</v>
      </c>
      <c r="V127" s="110" t="s">
        <v>67</v>
      </c>
      <c r="W127" s="110" t="s">
        <v>808</v>
      </c>
      <c r="X127" s="293" t="s">
        <v>463</v>
      </c>
      <c r="Y127" s="103" t="s">
        <v>688</v>
      </c>
      <c r="Z127" s="177">
        <v>22135</v>
      </c>
      <c r="AA127" s="177">
        <v>0</v>
      </c>
      <c r="AB127" s="177">
        <v>284755</v>
      </c>
      <c r="AC127" s="177">
        <v>0</v>
      </c>
      <c r="AD127" s="177">
        <f t="shared" si="1"/>
        <v>306890</v>
      </c>
      <c r="AE127" s="112">
        <v>40.5</v>
      </c>
      <c r="AF127" s="111">
        <v>7577.5308641975307</v>
      </c>
      <c r="AG127" s="168"/>
    </row>
    <row r="128" spans="1:33">
      <c r="A128" s="130" t="s">
        <v>47</v>
      </c>
      <c r="B128" s="6" t="s">
        <v>19</v>
      </c>
      <c r="C128" s="110" t="s">
        <v>67</v>
      </c>
      <c r="D128" s="334" t="s">
        <v>705</v>
      </c>
      <c r="E128" s="118" t="s">
        <v>369</v>
      </c>
      <c r="F128" s="103" t="s">
        <v>688</v>
      </c>
      <c r="G128" s="111">
        <v>3825905</v>
      </c>
      <c r="H128" s="112">
        <v>582.51</v>
      </c>
      <c r="I128" s="137">
        <v>6567.9644984635461</v>
      </c>
      <c r="J128" s="13"/>
      <c r="K128" s="15"/>
      <c r="L128" s="15"/>
      <c r="M128" s="15"/>
      <c r="T128" s="171" t="s">
        <v>47</v>
      </c>
      <c r="U128" s="294" t="s">
        <v>19</v>
      </c>
      <c r="V128" s="172" t="s">
        <v>67</v>
      </c>
      <c r="W128" s="172" t="s">
        <v>809</v>
      </c>
      <c r="X128" s="294" t="s">
        <v>464</v>
      </c>
      <c r="Y128" s="172" t="s">
        <v>688</v>
      </c>
      <c r="Z128" s="178">
        <v>5000</v>
      </c>
      <c r="AA128" s="178">
        <v>0</v>
      </c>
      <c r="AB128" s="178">
        <v>124541</v>
      </c>
      <c r="AC128" s="178">
        <v>3784</v>
      </c>
      <c r="AD128" s="178">
        <f t="shared" si="1"/>
        <v>133325</v>
      </c>
      <c r="AE128" s="174">
        <v>22.885000000000002</v>
      </c>
      <c r="AF128" s="173">
        <v>5825.8684727987757</v>
      </c>
      <c r="AG128" s="168"/>
    </row>
    <row r="129" spans="1:33">
      <c r="A129" s="130" t="s">
        <v>47</v>
      </c>
      <c r="B129" s="6" t="s">
        <v>19</v>
      </c>
      <c r="C129" s="110" t="s">
        <v>67</v>
      </c>
      <c r="D129" s="333" t="s">
        <v>706</v>
      </c>
      <c r="E129" s="118" t="s">
        <v>370</v>
      </c>
      <c r="F129" s="103" t="s">
        <v>660</v>
      </c>
      <c r="G129" s="111">
        <v>1117585</v>
      </c>
      <c r="H129" s="112">
        <v>153.57499999999999</v>
      </c>
      <c r="I129" s="137">
        <v>7277.1284388735148</v>
      </c>
      <c r="J129" s="13"/>
      <c r="K129" s="15"/>
      <c r="L129" s="15"/>
      <c r="M129" s="15"/>
      <c r="T129" s="171" t="s">
        <v>47</v>
      </c>
      <c r="U129" s="294" t="s">
        <v>19</v>
      </c>
      <c r="V129" s="172" t="s">
        <v>67</v>
      </c>
      <c r="W129" s="172" t="s">
        <v>811</v>
      </c>
      <c r="X129" s="294" t="s">
        <v>465</v>
      </c>
      <c r="Y129" s="172" t="s">
        <v>692</v>
      </c>
      <c r="Z129" s="178">
        <v>0</v>
      </c>
      <c r="AA129" s="178">
        <v>0</v>
      </c>
      <c r="AB129" s="178">
        <v>179016</v>
      </c>
      <c r="AC129" s="178">
        <v>0</v>
      </c>
      <c r="AD129" s="178">
        <f t="shared" si="1"/>
        <v>179016</v>
      </c>
      <c r="AE129" s="174">
        <v>25.84</v>
      </c>
      <c r="AF129" s="173">
        <v>6927.8637770897831</v>
      </c>
      <c r="AG129" s="168"/>
    </row>
    <row r="130" spans="1:33">
      <c r="A130" s="130" t="s">
        <v>47</v>
      </c>
      <c r="B130" s="6" t="s">
        <v>19</v>
      </c>
      <c r="C130" s="334" t="s">
        <v>67</v>
      </c>
      <c r="D130" s="334" t="s">
        <v>707</v>
      </c>
      <c r="E130" s="118" t="s">
        <v>371</v>
      </c>
      <c r="F130" s="103" t="s">
        <v>688</v>
      </c>
      <c r="G130" s="111">
        <v>304712</v>
      </c>
      <c r="H130" s="112">
        <v>44.1</v>
      </c>
      <c r="I130" s="137">
        <v>6909.5691609977321</v>
      </c>
      <c r="J130" s="13"/>
      <c r="K130" s="15"/>
      <c r="L130" s="15"/>
      <c r="M130" s="15"/>
      <c r="T130" s="170" t="s">
        <v>47</v>
      </c>
      <c r="U130" s="295" t="s">
        <v>19</v>
      </c>
      <c r="V130" s="110" t="s">
        <v>67</v>
      </c>
      <c r="W130" s="110" t="s">
        <v>810</v>
      </c>
      <c r="X130" s="293" t="s">
        <v>645</v>
      </c>
      <c r="Y130" s="103" t="s">
        <v>660</v>
      </c>
      <c r="Z130" s="177">
        <v>107314</v>
      </c>
      <c r="AA130" s="177">
        <v>2400</v>
      </c>
      <c r="AB130" s="177">
        <v>944746</v>
      </c>
      <c r="AC130" s="177">
        <v>91066</v>
      </c>
      <c r="AD130" s="177">
        <f t="shared" si="1"/>
        <v>1145526</v>
      </c>
      <c r="AE130" s="112">
        <v>140.26499999999999</v>
      </c>
      <c r="AF130" s="111">
        <v>8166.8698534916057</v>
      </c>
      <c r="AG130" s="168"/>
    </row>
    <row r="131" spans="1:33">
      <c r="A131" s="130" t="s">
        <v>47</v>
      </c>
      <c r="B131" s="6" t="s">
        <v>19</v>
      </c>
      <c r="C131" s="110" t="s">
        <v>67</v>
      </c>
      <c r="D131" s="110" t="s">
        <v>708</v>
      </c>
      <c r="E131" s="118" t="s">
        <v>372</v>
      </c>
      <c r="F131" s="103" t="s">
        <v>678</v>
      </c>
      <c r="G131" s="111">
        <v>919693</v>
      </c>
      <c r="H131" s="112">
        <v>132.60499999999999</v>
      </c>
      <c r="I131" s="137">
        <v>6935.5831228083407</v>
      </c>
      <c r="J131" s="13"/>
      <c r="K131" s="15"/>
      <c r="L131" s="15"/>
      <c r="M131" s="15"/>
      <c r="T131" s="171" t="s">
        <v>47</v>
      </c>
      <c r="U131" s="294" t="s">
        <v>19</v>
      </c>
      <c r="V131" s="172" t="s">
        <v>67</v>
      </c>
      <c r="W131" s="172" t="s">
        <v>812</v>
      </c>
      <c r="X131" s="294" t="s">
        <v>466</v>
      </c>
      <c r="Y131" s="172" t="s">
        <v>660</v>
      </c>
      <c r="Z131" s="178">
        <v>5754</v>
      </c>
      <c r="AA131" s="178">
        <v>0</v>
      </c>
      <c r="AB131" s="178">
        <v>598273</v>
      </c>
      <c r="AC131" s="178">
        <v>20712</v>
      </c>
      <c r="AD131" s="178">
        <f t="shared" si="1"/>
        <v>624739</v>
      </c>
      <c r="AE131" s="174">
        <v>84.5</v>
      </c>
      <c r="AF131" s="173">
        <v>7393.3609467455617</v>
      </c>
      <c r="AG131" s="168"/>
    </row>
    <row r="132" spans="1:33">
      <c r="A132" s="130" t="s">
        <v>47</v>
      </c>
      <c r="B132" s="6" t="s">
        <v>19</v>
      </c>
      <c r="C132" s="110" t="s">
        <v>67</v>
      </c>
      <c r="D132" s="110" t="s">
        <v>709</v>
      </c>
      <c r="E132" s="118" t="s">
        <v>373</v>
      </c>
      <c r="F132" s="103" t="s">
        <v>660</v>
      </c>
      <c r="G132" s="111">
        <v>1653082</v>
      </c>
      <c r="H132" s="112">
        <v>229.04300000000001</v>
      </c>
      <c r="I132" s="137">
        <v>7217.3434682570523</v>
      </c>
      <c r="J132" s="13"/>
      <c r="K132" s="15"/>
      <c r="L132" s="15"/>
      <c r="M132" s="15"/>
      <c r="T132" s="170" t="s">
        <v>47</v>
      </c>
      <c r="U132" s="295" t="s">
        <v>19</v>
      </c>
      <c r="V132" s="110" t="s">
        <v>67</v>
      </c>
      <c r="W132" s="110" t="s">
        <v>689</v>
      </c>
      <c r="X132" s="293" t="s">
        <v>354</v>
      </c>
      <c r="Y132" s="103" t="s">
        <v>688</v>
      </c>
      <c r="Z132" s="177">
        <v>168686</v>
      </c>
      <c r="AA132" s="177">
        <v>0</v>
      </c>
      <c r="AB132" s="177">
        <v>1865861</v>
      </c>
      <c r="AC132" s="177">
        <v>72952</v>
      </c>
      <c r="AD132" s="177">
        <f t="shared" si="1"/>
        <v>2107499</v>
      </c>
      <c r="AE132" s="112">
        <v>265.3</v>
      </c>
      <c r="AF132" s="111">
        <v>7943.8333961552953</v>
      </c>
      <c r="AG132" s="168"/>
    </row>
    <row r="133" spans="1:33">
      <c r="A133" s="130" t="s">
        <v>47</v>
      </c>
      <c r="B133" s="6" t="s">
        <v>19</v>
      </c>
      <c r="C133" s="110" t="s">
        <v>67</v>
      </c>
      <c r="D133" s="110" t="s">
        <v>710</v>
      </c>
      <c r="E133" s="118" t="s">
        <v>374</v>
      </c>
      <c r="F133" s="103" t="s">
        <v>688</v>
      </c>
      <c r="G133" s="111">
        <v>2225262</v>
      </c>
      <c r="H133" s="112">
        <v>288.66000000000003</v>
      </c>
      <c r="I133" s="137">
        <v>7708.9378507586771</v>
      </c>
      <c r="J133" s="13"/>
      <c r="K133" s="15"/>
      <c r="L133" s="15"/>
      <c r="M133" s="15"/>
      <c r="T133" s="171" t="s">
        <v>47</v>
      </c>
      <c r="U133" s="294" t="s">
        <v>19</v>
      </c>
      <c r="V133" s="172" t="s">
        <v>67</v>
      </c>
      <c r="W133" s="172" t="s">
        <v>813</v>
      </c>
      <c r="X133" s="294" t="s">
        <v>467</v>
      </c>
      <c r="Y133" s="172" t="s">
        <v>688</v>
      </c>
      <c r="Z133" s="178">
        <v>11263</v>
      </c>
      <c r="AA133" s="178">
        <v>0</v>
      </c>
      <c r="AB133" s="178">
        <v>277384</v>
      </c>
      <c r="AC133" s="178">
        <v>37957</v>
      </c>
      <c r="AD133" s="178">
        <f t="shared" si="1"/>
        <v>326604</v>
      </c>
      <c r="AE133" s="174">
        <v>43.61</v>
      </c>
      <c r="AF133" s="173">
        <v>7489.1997248337539</v>
      </c>
      <c r="AG133" s="168"/>
    </row>
    <row r="134" spans="1:33">
      <c r="A134" s="130" t="s">
        <v>47</v>
      </c>
      <c r="B134" s="6" t="s">
        <v>19</v>
      </c>
      <c r="C134" s="110" t="s">
        <v>67</v>
      </c>
      <c r="D134" s="334" t="s">
        <v>711</v>
      </c>
      <c r="E134" s="118" t="s">
        <v>375</v>
      </c>
      <c r="F134" s="103" t="s">
        <v>660</v>
      </c>
      <c r="G134" s="111">
        <v>775283</v>
      </c>
      <c r="H134" s="112">
        <v>84.817999999999998</v>
      </c>
      <c r="I134" s="137">
        <v>9140.5479968874533</v>
      </c>
      <c r="J134" s="13"/>
      <c r="K134" s="15"/>
      <c r="L134" s="15"/>
      <c r="M134" s="15"/>
      <c r="T134" s="170" t="s">
        <v>47</v>
      </c>
      <c r="U134" s="295" t="s">
        <v>19</v>
      </c>
      <c r="V134" s="110" t="s">
        <v>67</v>
      </c>
      <c r="W134" s="110" t="s">
        <v>814</v>
      </c>
      <c r="X134" s="293" t="s">
        <v>468</v>
      </c>
      <c r="Y134" s="103" t="s">
        <v>660</v>
      </c>
      <c r="Z134" s="177">
        <v>15828</v>
      </c>
      <c r="AA134" s="177">
        <v>0</v>
      </c>
      <c r="AB134" s="177">
        <v>1919297</v>
      </c>
      <c r="AC134" s="177">
        <v>75518</v>
      </c>
      <c r="AD134" s="177">
        <f t="shared" si="1"/>
        <v>2010643</v>
      </c>
      <c r="AE134" s="112">
        <v>282.77499999999998</v>
      </c>
      <c r="AF134" s="111">
        <v>7110.3987269030149</v>
      </c>
      <c r="AG134" s="168"/>
    </row>
    <row r="135" spans="1:33">
      <c r="A135" s="130" t="s">
        <v>47</v>
      </c>
      <c r="B135" s="6" t="s">
        <v>19</v>
      </c>
      <c r="C135" s="110" t="s">
        <v>67</v>
      </c>
      <c r="D135" s="110" t="s">
        <v>712</v>
      </c>
      <c r="E135" s="118" t="s">
        <v>376</v>
      </c>
      <c r="F135" s="103" t="s">
        <v>692</v>
      </c>
      <c r="G135" s="111">
        <v>3086193</v>
      </c>
      <c r="H135" s="112">
        <v>475.86</v>
      </c>
      <c r="I135" s="137">
        <v>6485.5062413314836</v>
      </c>
      <c r="J135" s="13"/>
      <c r="K135" s="15"/>
      <c r="L135" s="15"/>
      <c r="M135" s="15"/>
      <c r="T135" s="171" t="s">
        <v>47</v>
      </c>
      <c r="U135" s="294" t="s">
        <v>19</v>
      </c>
      <c r="V135" s="172" t="s">
        <v>67</v>
      </c>
      <c r="W135" s="172" t="s">
        <v>815</v>
      </c>
      <c r="X135" s="294" t="s">
        <v>469</v>
      </c>
      <c r="Y135" s="172" t="s">
        <v>688</v>
      </c>
      <c r="Z135" s="178">
        <v>247869</v>
      </c>
      <c r="AA135" s="178">
        <v>0</v>
      </c>
      <c r="AB135" s="178">
        <v>6276883</v>
      </c>
      <c r="AC135" s="178">
        <v>250782</v>
      </c>
      <c r="AD135" s="178">
        <f t="shared" si="1"/>
        <v>6775534</v>
      </c>
      <c r="AE135" s="174">
        <v>1057.1099999999999</v>
      </c>
      <c r="AF135" s="173">
        <v>6409.4881327392613</v>
      </c>
      <c r="AG135" s="168"/>
    </row>
    <row r="136" spans="1:33">
      <c r="A136" s="130" t="s">
        <v>47</v>
      </c>
      <c r="B136" s="6" t="s">
        <v>19</v>
      </c>
      <c r="C136" s="110" t="s">
        <v>67</v>
      </c>
      <c r="D136" s="334" t="s">
        <v>713</v>
      </c>
      <c r="E136" s="118" t="s">
        <v>377</v>
      </c>
      <c r="F136" s="103" t="s">
        <v>688</v>
      </c>
      <c r="G136" s="111">
        <v>2541796</v>
      </c>
      <c r="H136" s="112">
        <v>413.71</v>
      </c>
      <c r="I136" s="137">
        <v>6143.9075681032609</v>
      </c>
      <c r="J136" s="13"/>
      <c r="K136" s="15"/>
      <c r="L136" s="15"/>
      <c r="M136" s="15"/>
      <c r="T136" s="170" t="s">
        <v>47</v>
      </c>
      <c r="U136" s="295" t="s">
        <v>19</v>
      </c>
      <c r="V136" s="110" t="s">
        <v>67</v>
      </c>
      <c r="W136" s="110" t="s">
        <v>816</v>
      </c>
      <c r="X136" s="293" t="s">
        <v>470</v>
      </c>
      <c r="Y136" s="103" t="s">
        <v>688</v>
      </c>
      <c r="Z136" s="177">
        <v>1346</v>
      </c>
      <c r="AA136" s="177">
        <v>0</v>
      </c>
      <c r="AB136" s="177">
        <v>524675</v>
      </c>
      <c r="AC136" s="177">
        <v>59030</v>
      </c>
      <c r="AD136" s="177">
        <f t="shared" ref="AD136:AD199" si="2">SUM(Z136:AC136)</f>
        <v>585051</v>
      </c>
      <c r="AE136" s="112">
        <v>74.760000000000005</v>
      </c>
      <c r="AF136" s="111">
        <v>7825.7223113964683</v>
      </c>
      <c r="AG136" s="168"/>
    </row>
    <row r="137" spans="1:33">
      <c r="A137" s="130" t="s">
        <v>47</v>
      </c>
      <c r="B137" s="6" t="s">
        <v>19</v>
      </c>
      <c r="C137" s="110" t="s">
        <v>67</v>
      </c>
      <c r="D137" s="334" t="s">
        <v>714</v>
      </c>
      <c r="E137" s="118" t="s">
        <v>378</v>
      </c>
      <c r="F137" s="103" t="s">
        <v>688</v>
      </c>
      <c r="G137" s="111">
        <v>841527</v>
      </c>
      <c r="H137" s="112">
        <v>88.38</v>
      </c>
      <c r="I137" s="137">
        <v>9521.6904276985751</v>
      </c>
      <c r="J137" s="13"/>
      <c r="K137" s="15"/>
      <c r="L137" s="15"/>
      <c r="M137" s="15"/>
      <c r="T137" s="171" t="s">
        <v>47</v>
      </c>
      <c r="U137" s="294" t="s">
        <v>19</v>
      </c>
      <c r="V137" s="172" t="s">
        <v>67</v>
      </c>
      <c r="W137" s="172" t="s">
        <v>817</v>
      </c>
      <c r="X137" s="294" t="s">
        <v>471</v>
      </c>
      <c r="Y137" s="172" t="s">
        <v>688</v>
      </c>
      <c r="Z137" s="178">
        <v>30706</v>
      </c>
      <c r="AA137" s="178">
        <v>0</v>
      </c>
      <c r="AB137" s="178">
        <v>1856818</v>
      </c>
      <c r="AC137" s="178">
        <v>267203</v>
      </c>
      <c r="AD137" s="178">
        <f t="shared" si="2"/>
        <v>2154727</v>
      </c>
      <c r="AE137" s="174">
        <v>268.76499999999999</v>
      </c>
      <c r="AF137" s="173">
        <v>8017.1413688538314</v>
      </c>
      <c r="AG137" s="168"/>
    </row>
    <row r="138" spans="1:33">
      <c r="A138" s="130" t="s">
        <v>47</v>
      </c>
      <c r="B138" s="6" t="s">
        <v>19</v>
      </c>
      <c r="C138" s="110" t="s">
        <v>67</v>
      </c>
      <c r="D138" s="110" t="s">
        <v>715</v>
      </c>
      <c r="E138" s="118" t="s">
        <v>379</v>
      </c>
      <c r="F138" s="103" t="s">
        <v>660</v>
      </c>
      <c r="G138" s="111">
        <v>2853538</v>
      </c>
      <c r="H138" s="112">
        <v>361.71</v>
      </c>
      <c r="I138" s="137">
        <v>7889.0215918830008</v>
      </c>
      <c r="J138" s="13"/>
      <c r="K138" s="15"/>
      <c r="L138" s="15"/>
      <c r="M138" s="15"/>
      <c r="T138" s="170" t="s">
        <v>47</v>
      </c>
      <c r="U138" s="295" t="s">
        <v>19</v>
      </c>
      <c r="V138" s="110" t="s">
        <v>67</v>
      </c>
      <c r="W138" s="110" t="s">
        <v>818</v>
      </c>
      <c r="X138" s="293" t="s">
        <v>472</v>
      </c>
      <c r="Y138" s="103" t="s">
        <v>660</v>
      </c>
      <c r="Z138" s="177">
        <v>9124</v>
      </c>
      <c r="AA138" s="177">
        <v>0</v>
      </c>
      <c r="AB138" s="177">
        <v>2959178</v>
      </c>
      <c r="AC138" s="177">
        <v>0</v>
      </c>
      <c r="AD138" s="177">
        <f t="shared" si="2"/>
        <v>2968302</v>
      </c>
      <c r="AE138" s="112">
        <v>476.51299999999998</v>
      </c>
      <c r="AF138" s="111">
        <v>6229.2151525771596</v>
      </c>
      <c r="AG138" s="168"/>
    </row>
    <row r="139" spans="1:33">
      <c r="A139" s="130" t="s">
        <v>47</v>
      </c>
      <c r="B139" s="6" t="s">
        <v>19</v>
      </c>
      <c r="C139" s="110" t="s">
        <v>68</v>
      </c>
      <c r="D139" s="103" t="s">
        <v>1079</v>
      </c>
      <c r="E139" s="6" t="s">
        <v>184</v>
      </c>
      <c r="F139" s="334" t="s">
        <v>69</v>
      </c>
      <c r="G139" s="111">
        <v>2568196</v>
      </c>
      <c r="H139" s="112">
        <v>236.02500000000001</v>
      </c>
      <c r="I139" s="137">
        <v>10881.03378879356</v>
      </c>
      <c r="J139" s="13"/>
      <c r="K139" s="15"/>
      <c r="L139" s="15"/>
      <c r="M139" s="15"/>
      <c r="T139" s="171" t="s">
        <v>47</v>
      </c>
      <c r="U139" s="294" t="s">
        <v>19</v>
      </c>
      <c r="V139" s="172" t="s">
        <v>67</v>
      </c>
      <c r="W139" s="172" t="s">
        <v>686</v>
      </c>
      <c r="X139" s="294" t="s">
        <v>352</v>
      </c>
      <c r="Y139" s="172" t="s">
        <v>678</v>
      </c>
      <c r="Z139" s="178">
        <v>190502</v>
      </c>
      <c r="AA139" s="178">
        <v>0</v>
      </c>
      <c r="AB139" s="178">
        <v>3452609</v>
      </c>
      <c r="AC139" s="178">
        <v>767277</v>
      </c>
      <c r="AD139" s="178">
        <f t="shared" si="2"/>
        <v>4410388</v>
      </c>
      <c r="AE139" s="174">
        <v>495.04500000000002</v>
      </c>
      <c r="AF139" s="173">
        <v>8909.0648324899757</v>
      </c>
      <c r="AG139" s="168"/>
    </row>
    <row r="140" spans="1:33">
      <c r="A140" s="130" t="s">
        <v>47</v>
      </c>
      <c r="B140" s="6" t="s">
        <v>19</v>
      </c>
      <c r="C140" s="110" t="s">
        <v>67</v>
      </c>
      <c r="D140" s="334" t="s">
        <v>716</v>
      </c>
      <c r="E140" s="118" t="s">
        <v>380</v>
      </c>
      <c r="F140" s="103" t="s">
        <v>688</v>
      </c>
      <c r="G140" s="111">
        <v>767099</v>
      </c>
      <c r="H140" s="112">
        <v>93.81</v>
      </c>
      <c r="I140" s="137">
        <v>8177.1559535230781</v>
      </c>
      <c r="J140" s="13"/>
      <c r="K140" s="15"/>
      <c r="L140" s="15"/>
      <c r="M140" s="15"/>
      <c r="T140" s="171" t="s">
        <v>47</v>
      </c>
      <c r="U140" s="294" t="s">
        <v>19</v>
      </c>
      <c r="V140" s="172" t="s">
        <v>67</v>
      </c>
      <c r="W140" s="172" t="s">
        <v>820</v>
      </c>
      <c r="X140" s="294" t="s">
        <v>473</v>
      </c>
      <c r="Y140" s="172" t="s">
        <v>688</v>
      </c>
      <c r="Z140" s="178">
        <v>59692</v>
      </c>
      <c r="AA140" s="178">
        <v>0</v>
      </c>
      <c r="AB140" s="178">
        <v>1661532</v>
      </c>
      <c r="AC140" s="178">
        <v>115141</v>
      </c>
      <c r="AD140" s="178">
        <f t="shared" si="2"/>
        <v>1836365</v>
      </c>
      <c r="AE140" s="174">
        <v>255.33</v>
      </c>
      <c r="AF140" s="173">
        <v>7192.1239180668153</v>
      </c>
      <c r="AG140" s="168"/>
    </row>
    <row r="141" spans="1:33">
      <c r="A141" s="130" t="s">
        <v>47</v>
      </c>
      <c r="B141" s="6" t="s">
        <v>19</v>
      </c>
      <c r="C141" s="110" t="s">
        <v>67</v>
      </c>
      <c r="D141" s="334" t="s">
        <v>717</v>
      </c>
      <c r="E141" s="118" t="s">
        <v>381</v>
      </c>
      <c r="F141" s="103" t="s">
        <v>692</v>
      </c>
      <c r="G141" s="111">
        <v>892321</v>
      </c>
      <c r="H141" s="112">
        <v>124.11</v>
      </c>
      <c r="I141" s="137">
        <v>7189.7590846829426</v>
      </c>
      <c r="J141" s="13"/>
      <c r="K141" s="15"/>
      <c r="L141" s="15"/>
      <c r="M141" s="15"/>
      <c r="T141" s="171" t="s">
        <v>47</v>
      </c>
      <c r="U141" s="294" t="s">
        <v>19</v>
      </c>
      <c r="V141" s="172" t="s">
        <v>67</v>
      </c>
      <c r="W141" s="172" t="s">
        <v>821</v>
      </c>
      <c r="X141" s="294" t="s">
        <v>474</v>
      </c>
      <c r="Y141" s="172" t="s">
        <v>688</v>
      </c>
      <c r="Z141" s="178">
        <v>771748</v>
      </c>
      <c r="AA141" s="178">
        <v>0</v>
      </c>
      <c r="AB141" s="178">
        <v>6953406</v>
      </c>
      <c r="AC141" s="178">
        <v>286737</v>
      </c>
      <c r="AD141" s="178">
        <f t="shared" si="2"/>
        <v>8011891</v>
      </c>
      <c r="AE141" s="174">
        <v>1181.04</v>
      </c>
      <c r="AF141" s="173">
        <v>6783.7592291539659</v>
      </c>
      <c r="AG141" s="168"/>
    </row>
    <row r="142" spans="1:33">
      <c r="A142" s="130" t="s">
        <v>47</v>
      </c>
      <c r="B142" s="6" t="s">
        <v>19</v>
      </c>
      <c r="C142" s="110" t="s">
        <v>68</v>
      </c>
      <c r="D142" s="103" t="s">
        <v>1080</v>
      </c>
      <c r="E142" s="6" t="s">
        <v>185</v>
      </c>
      <c r="F142" s="334" t="s">
        <v>69</v>
      </c>
      <c r="G142" s="111">
        <v>43473597</v>
      </c>
      <c r="H142" s="112">
        <v>5761.415</v>
      </c>
      <c r="I142" s="137">
        <v>7545.6458179110514</v>
      </c>
      <c r="J142" s="13"/>
      <c r="K142" s="15"/>
      <c r="L142" s="15"/>
      <c r="M142" s="15"/>
      <c r="T142" s="170" t="s">
        <v>47</v>
      </c>
      <c r="U142" s="295" t="s">
        <v>19</v>
      </c>
      <c r="V142" s="110" t="s">
        <v>67</v>
      </c>
      <c r="W142" s="110" t="s">
        <v>822</v>
      </c>
      <c r="X142" s="293" t="s">
        <v>475</v>
      </c>
      <c r="Y142" s="103" t="s">
        <v>688</v>
      </c>
      <c r="Z142" s="177">
        <v>221160</v>
      </c>
      <c r="AA142" s="177">
        <v>0</v>
      </c>
      <c r="AB142" s="177">
        <v>2214926</v>
      </c>
      <c r="AC142" s="177">
        <v>0</v>
      </c>
      <c r="AD142" s="177">
        <f t="shared" si="2"/>
        <v>2436086</v>
      </c>
      <c r="AE142" s="112">
        <v>355.83499999999998</v>
      </c>
      <c r="AF142" s="111">
        <v>6846.1112594320402</v>
      </c>
      <c r="AG142" s="168"/>
    </row>
    <row r="143" spans="1:33">
      <c r="A143" s="130" t="s">
        <v>47</v>
      </c>
      <c r="B143" s="6" t="s">
        <v>19</v>
      </c>
      <c r="C143" s="110" t="s">
        <v>67</v>
      </c>
      <c r="D143" s="110" t="s">
        <v>718</v>
      </c>
      <c r="E143" s="118" t="s">
        <v>382</v>
      </c>
      <c r="F143" s="103" t="s">
        <v>678</v>
      </c>
      <c r="G143" s="111">
        <v>594041</v>
      </c>
      <c r="H143" s="112">
        <v>78.19</v>
      </c>
      <c r="I143" s="137">
        <v>7597.403760071621</v>
      </c>
      <c r="J143" s="13"/>
      <c r="K143" s="15"/>
      <c r="L143" s="15"/>
      <c r="M143" s="15"/>
      <c r="T143" s="171" t="s">
        <v>47</v>
      </c>
      <c r="U143" s="294" t="s">
        <v>19</v>
      </c>
      <c r="V143" s="172" t="s">
        <v>67</v>
      </c>
      <c r="W143" s="172" t="s">
        <v>825</v>
      </c>
      <c r="X143" s="294" t="s">
        <v>647</v>
      </c>
      <c r="Y143" s="172" t="s">
        <v>678</v>
      </c>
      <c r="Z143" s="178">
        <v>434743</v>
      </c>
      <c r="AA143" s="178">
        <v>0</v>
      </c>
      <c r="AB143" s="178">
        <v>2502086</v>
      </c>
      <c r="AC143" s="178">
        <v>137992</v>
      </c>
      <c r="AD143" s="178">
        <f t="shared" si="2"/>
        <v>3074821</v>
      </c>
      <c r="AE143" s="174">
        <v>387.96</v>
      </c>
      <c r="AF143" s="173">
        <v>7925.6134653057024</v>
      </c>
      <c r="AG143" s="168"/>
    </row>
    <row r="144" spans="1:33">
      <c r="A144" s="130" t="s">
        <v>47</v>
      </c>
      <c r="B144" s="6" t="s">
        <v>19</v>
      </c>
      <c r="C144" s="110" t="s">
        <v>67</v>
      </c>
      <c r="D144" s="110" t="s">
        <v>719</v>
      </c>
      <c r="E144" s="118" t="s">
        <v>383</v>
      </c>
      <c r="F144" s="103" t="s">
        <v>660</v>
      </c>
      <c r="G144" s="111">
        <v>1300740</v>
      </c>
      <c r="H144" s="112">
        <v>168.39</v>
      </c>
      <c r="I144" s="137">
        <v>7724.5679672189563</v>
      </c>
      <c r="J144" s="13"/>
      <c r="K144" s="15"/>
      <c r="L144" s="15"/>
      <c r="M144" s="15"/>
      <c r="T144" s="170" t="s">
        <v>47</v>
      </c>
      <c r="U144" s="295" t="s">
        <v>19</v>
      </c>
      <c r="V144" s="110" t="s">
        <v>67</v>
      </c>
      <c r="W144" s="110" t="s">
        <v>823</v>
      </c>
      <c r="X144" s="293" t="s">
        <v>476</v>
      </c>
      <c r="Y144" s="103" t="s">
        <v>688</v>
      </c>
      <c r="Z144" s="177">
        <v>31787</v>
      </c>
      <c r="AA144" s="177">
        <v>0</v>
      </c>
      <c r="AB144" s="177">
        <v>1309567</v>
      </c>
      <c r="AC144" s="177">
        <v>18061</v>
      </c>
      <c r="AD144" s="177">
        <f t="shared" si="2"/>
        <v>1359415</v>
      </c>
      <c r="AE144" s="112">
        <v>187.78800000000001</v>
      </c>
      <c r="AF144" s="111">
        <v>7239.0940848190512</v>
      </c>
      <c r="AG144" s="168"/>
    </row>
    <row r="145" spans="1:33">
      <c r="A145" s="130" t="s">
        <v>47</v>
      </c>
      <c r="B145" s="6" t="s">
        <v>19</v>
      </c>
      <c r="C145" s="110" t="s">
        <v>67</v>
      </c>
      <c r="D145" s="334" t="s">
        <v>720</v>
      </c>
      <c r="E145" s="118" t="s">
        <v>384</v>
      </c>
      <c r="F145" s="103" t="s">
        <v>688</v>
      </c>
      <c r="G145" s="111">
        <v>4010595</v>
      </c>
      <c r="H145" s="112">
        <v>561.71500000000003</v>
      </c>
      <c r="I145" s="137">
        <v>7139.9108088621451</v>
      </c>
      <c r="J145" s="13"/>
      <c r="K145" s="15"/>
      <c r="L145" s="15"/>
      <c r="M145" s="15"/>
      <c r="T145" s="171" t="s">
        <v>47</v>
      </c>
      <c r="U145" s="294" t="s">
        <v>19</v>
      </c>
      <c r="V145" s="172" t="s">
        <v>67</v>
      </c>
      <c r="W145" s="172" t="s">
        <v>824</v>
      </c>
      <c r="X145" s="294" t="s">
        <v>477</v>
      </c>
      <c r="Y145" s="172" t="s">
        <v>660</v>
      </c>
      <c r="Z145" s="178">
        <v>147603</v>
      </c>
      <c r="AA145" s="178">
        <v>0</v>
      </c>
      <c r="AB145" s="178">
        <v>3280897</v>
      </c>
      <c r="AC145" s="178">
        <v>444853</v>
      </c>
      <c r="AD145" s="178">
        <f t="shared" si="2"/>
        <v>3873353</v>
      </c>
      <c r="AE145" s="174">
        <v>509.92</v>
      </c>
      <c r="AF145" s="173">
        <v>7596.0013335425165</v>
      </c>
      <c r="AG145" s="168"/>
    </row>
    <row r="146" spans="1:33">
      <c r="A146" s="130" t="s">
        <v>47</v>
      </c>
      <c r="B146" s="6" t="s">
        <v>19</v>
      </c>
      <c r="C146" s="110" t="s">
        <v>67</v>
      </c>
      <c r="D146" s="110" t="s">
        <v>721</v>
      </c>
      <c r="E146" s="118" t="s">
        <v>385</v>
      </c>
      <c r="F146" s="103" t="s">
        <v>688</v>
      </c>
      <c r="G146" s="111">
        <v>3498430</v>
      </c>
      <c r="H146" s="112">
        <v>518.55499999999995</v>
      </c>
      <c r="I146" s="137">
        <v>6746.497478570258</v>
      </c>
      <c r="J146" s="13"/>
      <c r="K146" s="15"/>
      <c r="L146" s="15"/>
      <c r="M146" s="15"/>
      <c r="T146" s="170" t="s">
        <v>47</v>
      </c>
      <c r="U146" s="295" t="s">
        <v>19</v>
      </c>
      <c r="V146" s="110" t="s">
        <v>67</v>
      </c>
      <c r="W146" s="110" t="s">
        <v>826</v>
      </c>
      <c r="X146" s="293" t="s">
        <v>478</v>
      </c>
      <c r="Y146" s="103" t="s">
        <v>660</v>
      </c>
      <c r="Z146" s="177">
        <v>4829</v>
      </c>
      <c r="AA146" s="177">
        <v>0</v>
      </c>
      <c r="AB146" s="177">
        <v>508591</v>
      </c>
      <c r="AC146" s="177">
        <v>57010</v>
      </c>
      <c r="AD146" s="177">
        <f t="shared" si="2"/>
        <v>570430</v>
      </c>
      <c r="AE146" s="112">
        <v>69.33</v>
      </c>
      <c r="AF146" s="111">
        <v>8227.7513341987597</v>
      </c>
      <c r="AG146" s="168"/>
    </row>
    <row r="147" spans="1:33">
      <c r="A147" s="130" t="s">
        <v>47</v>
      </c>
      <c r="B147" s="6" t="s">
        <v>19</v>
      </c>
      <c r="C147" s="110" t="s">
        <v>68</v>
      </c>
      <c r="D147" s="103" t="s">
        <v>1081</v>
      </c>
      <c r="E147" s="6" t="s">
        <v>186</v>
      </c>
      <c r="F147" s="334" t="s">
        <v>69</v>
      </c>
      <c r="G147" s="111">
        <v>30979046</v>
      </c>
      <c r="H147" s="112">
        <v>3318.2849999999999</v>
      </c>
      <c r="I147" s="137">
        <v>9335.8605424187499</v>
      </c>
      <c r="J147" s="13"/>
      <c r="K147" s="15"/>
      <c r="L147" s="15"/>
      <c r="M147" s="15"/>
      <c r="T147" s="171" t="s">
        <v>47</v>
      </c>
      <c r="U147" s="294" t="s">
        <v>19</v>
      </c>
      <c r="V147" s="172" t="s">
        <v>67</v>
      </c>
      <c r="W147" s="172" t="s">
        <v>827</v>
      </c>
      <c r="X147" s="294" t="s">
        <v>479</v>
      </c>
      <c r="Y147" s="172" t="s">
        <v>688</v>
      </c>
      <c r="Z147" s="178">
        <v>18814</v>
      </c>
      <c r="AA147" s="178">
        <v>0</v>
      </c>
      <c r="AB147" s="178">
        <v>3374309</v>
      </c>
      <c r="AC147" s="178">
        <v>177274</v>
      </c>
      <c r="AD147" s="178">
        <f t="shared" si="2"/>
        <v>3570397</v>
      </c>
      <c r="AE147" s="174">
        <v>516.62</v>
      </c>
      <c r="AF147" s="173">
        <v>6911.0700321319346</v>
      </c>
      <c r="AG147" s="168"/>
    </row>
    <row r="148" spans="1:33">
      <c r="A148" s="130" t="s">
        <v>47</v>
      </c>
      <c r="B148" s="6" t="s">
        <v>19</v>
      </c>
      <c r="C148" s="110" t="s">
        <v>67</v>
      </c>
      <c r="D148" s="334" t="s">
        <v>722</v>
      </c>
      <c r="E148" s="118" t="s">
        <v>386</v>
      </c>
      <c r="F148" s="103" t="s">
        <v>660</v>
      </c>
      <c r="G148" s="111">
        <v>1930741</v>
      </c>
      <c r="H148" s="112">
        <v>248.63</v>
      </c>
      <c r="I148" s="137">
        <v>7765.51904436311</v>
      </c>
      <c r="J148" s="13"/>
      <c r="K148" s="15"/>
      <c r="L148" s="15"/>
      <c r="M148" s="15"/>
      <c r="T148" s="170" t="s">
        <v>47</v>
      </c>
      <c r="U148" s="295" t="s">
        <v>19</v>
      </c>
      <c r="V148" s="110" t="s">
        <v>67</v>
      </c>
      <c r="W148" s="110" t="s">
        <v>828</v>
      </c>
      <c r="X148" s="293" t="s">
        <v>480</v>
      </c>
      <c r="Y148" s="103" t="s">
        <v>660</v>
      </c>
      <c r="Z148" s="177">
        <v>135450</v>
      </c>
      <c r="AA148" s="177">
        <v>0</v>
      </c>
      <c r="AB148" s="177">
        <v>4192209</v>
      </c>
      <c r="AC148" s="177">
        <v>1336097</v>
      </c>
      <c r="AD148" s="177">
        <f t="shared" si="2"/>
        <v>5663756</v>
      </c>
      <c r="AE148" s="112">
        <v>703.31500000000005</v>
      </c>
      <c r="AF148" s="111">
        <v>8052.9435601401929</v>
      </c>
      <c r="AG148" s="168"/>
    </row>
    <row r="149" spans="1:33">
      <c r="A149" s="130" t="s">
        <v>47</v>
      </c>
      <c r="B149" s="6" t="s">
        <v>19</v>
      </c>
      <c r="C149" s="110" t="s">
        <v>67</v>
      </c>
      <c r="D149" s="334" t="s">
        <v>723</v>
      </c>
      <c r="E149" s="118" t="s">
        <v>387</v>
      </c>
      <c r="F149" s="103" t="s">
        <v>688</v>
      </c>
      <c r="G149" s="111">
        <v>2439553</v>
      </c>
      <c r="H149" s="112">
        <v>346.1</v>
      </c>
      <c r="I149" s="137">
        <v>7048.6940190696323</v>
      </c>
      <c r="J149" s="13"/>
      <c r="K149" s="15"/>
      <c r="L149" s="15"/>
      <c r="M149" s="15"/>
      <c r="T149" s="171" t="s">
        <v>47</v>
      </c>
      <c r="U149" s="294" t="s">
        <v>19</v>
      </c>
      <c r="V149" s="172" t="s">
        <v>67</v>
      </c>
      <c r="W149" s="172" t="s">
        <v>880</v>
      </c>
      <c r="X149" s="294" t="s">
        <v>526</v>
      </c>
      <c r="Y149" s="172" t="s">
        <v>660</v>
      </c>
      <c r="Z149" s="178">
        <v>204829</v>
      </c>
      <c r="AA149" s="178">
        <v>0</v>
      </c>
      <c r="AB149" s="178">
        <v>3681448</v>
      </c>
      <c r="AC149" s="178">
        <v>0</v>
      </c>
      <c r="AD149" s="178">
        <f t="shared" si="2"/>
        <v>3886277</v>
      </c>
      <c r="AE149" s="174">
        <v>615.06500000000005</v>
      </c>
      <c r="AF149" s="173">
        <v>6318.4817864778515</v>
      </c>
      <c r="AG149" s="168"/>
    </row>
    <row r="150" spans="1:33">
      <c r="A150" s="130" t="s">
        <v>47</v>
      </c>
      <c r="B150" s="6" t="s">
        <v>19</v>
      </c>
      <c r="C150" s="110" t="s">
        <v>67</v>
      </c>
      <c r="D150" s="334" t="s">
        <v>724</v>
      </c>
      <c r="E150" s="118" t="s">
        <v>388</v>
      </c>
      <c r="F150" s="103" t="s">
        <v>660</v>
      </c>
      <c r="G150" s="111">
        <v>2574119</v>
      </c>
      <c r="H150" s="112">
        <v>374.98</v>
      </c>
      <c r="I150" s="137">
        <v>6864.6834497839882</v>
      </c>
      <c r="J150" s="13"/>
      <c r="K150" s="15"/>
      <c r="L150" s="15"/>
      <c r="M150" s="15"/>
      <c r="T150" s="170" t="s">
        <v>47</v>
      </c>
      <c r="U150" s="295" t="s">
        <v>19</v>
      </c>
      <c r="V150" s="110" t="s">
        <v>67</v>
      </c>
      <c r="W150" s="110" t="s">
        <v>829</v>
      </c>
      <c r="X150" s="293" t="s">
        <v>481</v>
      </c>
      <c r="Y150" s="103" t="s">
        <v>660</v>
      </c>
      <c r="Z150" s="177">
        <v>12539</v>
      </c>
      <c r="AA150" s="177">
        <v>0</v>
      </c>
      <c r="AB150" s="177">
        <v>827966</v>
      </c>
      <c r="AC150" s="177">
        <v>94132</v>
      </c>
      <c r="AD150" s="177">
        <f t="shared" si="2"/>
        <v>934637</v>
      </c>
      <c r="AE150" s="112">
        <v>116.46</v>
      </c>
      <c r="AF150" s="111">
        <v>8025.3906920831187</v>
      </c>
      <c r="AG150" s="168"/>
    </row>
    <row r="151" spans="1:33">
      <c r="A151" s="130" t="s">
        <v>47</v>
      </c>
      <c r="B151" s="6" t="s">
        <v>19</v>
      </c>
      <c r="C151" s="110" t="s">
        <v>67</v>
      </c>
      <c r="D151" s="333" t="s">
        <v>690</v>
      </c>
      <c r="E151" s="118" t="s">
        <v>355</v>
      </c>
      <c r="F151" s="103" t="s">
        <v>660</v>
      </c>
      <c r="G151" s="111">
        <v>10188773</v>
      </c>
      <c r="H151" s="112">
        <v>1716.453</v>
      </c>
      <c r="I151" s="137">
        <v>5935.9463964349734</v>
      </c>
      <c r="J151" s="13"/>
      <c r="K151" s="15"/>
      <c r="L151" s="15"/>
      <c r="M151" s="15"/>
      <c r="T151" s="171" t="s">
        <v>47</v>
      </c>
      <c r="U151" s="294" t="s">
        <v>19</v>
      </c>
      <c r="V151" s="172" t="s">
        <v>67</v>
      </c>
      <c r="W151" s="172" t="s">
        <v>830</v>
      </c>
      <c r="X151" s="294" t="s">
        <v>482</v>
      </c>
      <c r="Y151" s="172" t="s">
        <v>660</v>
      </c>
      <c r="Z151" s="178">
        <v>11251</v>
      </c>
      <c r="AA151" s="178">
        <v>683</v>
      </c>
      <c r="AB151" s="178">
        <v>881842</v>
      </c>
      <c r="AC151" s="178">
        <v>0</v>
      </c>
      <c r="AD151" s="178">
        <f t="shared" si="2"/>
        <v>893776</v>
      </c>
      <c r="AE151" s="174">
        <v>135.75</v>
      </c>
      <c r="AF151" s="173">
        <v>6583.985267034991</v>
      </c>
      <c r="AG151" s="168"/>
    </row>
    <row r="152" spans="1:33">
      <c r="A152" s="130" t="s">
        <v>47</v>
      </c>
      <c r="B152" s="6" t="s">
        <v>19</v>
      </c>
      <c r="C152" s="110" t="s">
        <v>67</v>
      </c>
      <c r="D152" s="110" t="s">
        <v>725</v>
      </c>
      <c r="E152" s="118" t="s">
        <v>389</v>
      </c>
      <c r="F152" s="103" t="s">
        <v>660</v>
      </c>
      <c r="G152" s="111">
        <v>1362846</v>
      </c>
      <c r="H152" s="112">
        <v>175.4</v>
      </c>
      <c r="I152" s="137">
        <v>7769.9315849486884</v>
      </c>
      <c r="J152" s="13"/>
      <c r="K152" s="15"/>
      <c r="L152" s="15"/>
      <c r="M152" s="15"/>
      <c r="T152" s="170" t="s">
        <v>47</v>
      </c>
      <c r="U152" s="295" t="s">
        <v>19</v>
      </c>
      <c r="V152" s="110" t="s">
        <v>67</v>
      </c>
      <c r="W152" s="110" t="s">
        <v>831</v>
      </c>
      <c r="X152" s="293" t="s">
        <v>483</v>
      </c>
      <c r="Y152" s="103" t="s">
        <v>660</v>
      </c>
      <c r="Z152" s="177">
        <v>10166</v>
      </c>
      <c r="AA152" s="177">
        <v>0</v>
      </c>
      <c r="AB152" s="177">
        <v>1200316</v>
      </c>
      <c r="AC152" s="177">
        <v>374</v>
      </c>
      <c r="AD152" s="177">
        <f t="shared" si="2"/>
        <v>1210856</v>
      </c>
      <c r="AE152" s="112">
        <v>186.22499999999999</v>
      </c>
      <c r="AF152" s="111">
        <v>6502.1130353067529</v>
      </c>
      <c r="AG152" s="168"/>
    </row>
    <row r="153" spans="1:33">
      <c r="A153" s="130" t="s">
        <v>47</v>
      </c>
      <c r="B153" s="6" t="s">
        <v>19</v>
      </c>
      <c r="C153" s="110" t="s">
        <v>67</v>
      </c>
      <c r="D153" s="334" t="s">
        <v>726</v>
      </c>
      <c r="E153" s="118" t="s">
        <v>390</v>
      </c>
      <c r="F153" s="103" t="s">
        <v>660</v>
      </c>
      <c r="G153" s="111">
        <v>1044325</v>
      </c>
      <c r="H153" s="112">
        <v>122.535</v>
      </c>
      <c r="I153" s="137">
        <v>8522.6669931040105</v>
      </c>
      <c r="J153" s="13"/>
      <c r="K153" s="15"/>
      <c r="L153" s="15"/>
      <c r="M153" s="15"/>
      <c r="T153" s="171" t="s">
        <v>47</v>
      </c>
      <c r="U153" s="294" t="s">
        <v>19</v>
      </c>
      <c r="V153" s="172" t="s">
        <v>67</v>
      </c>
      <c r="W153" s="172" t="s">
        <v>832</v>
      </c>
      <c r="X153" s="294" t="s">
        <v>484</v>
      </c>
      <c r="Y153" s="172" t="s">
        <v>660</v>
      </c>
      <c r="Z153" s="178">
        <v>38530</v>
      </c>
      <c r="AA153" s="178">
        <v>643</v>
      </c>
      <c r="AB153" s="178">
        <v>957744</v>
      </c>
      <c r="AC153" s="178">
        <v>0</v>
      </c>
      <c r="AD153" s="178">
        <f t="shared" si="2"/>
        <v>996917</v>
      </c>
      <c r="AE153" s="174">
        <v>131.99</v>
      </c>
      <c r="AF153" s="173">
        <v>7552.973710129555</v>
      </c>
      <c r="AG153" s="168"/>
    </row>
    <row r="154" spans="1:33">
      <c r="A154" s="130" t="s">
        <v>47</v>
      </c>
      <c r="B154" s="6" t="s">
        <v>19</v>
      </c>
      <c r="C154" s="110" t="s">
        <v>67</v>
      </c>
      <c r="D154" s="110" t="s">
        <v>727</v>
      </c>
      <c r="E154" s="118" t="s">
        <v>391</v>
      </c>
      <c r="F154" s="103" t="s">
        <v>660</v>
      </c>
      <c r="G154" s="111">
        <v>3014696</v>
      </c>
      <c r="H154" s="112">
        <v>411.48500000000001</v>
      </c>
      <c r="I154" s="137">
        <v>7326.3812775678334</v>
      </c>
      <c r="J154" s="13"/>
      <c r="K154" s="15"/>
      <c r="L154" s="15"/>
      <c r="M154" s="15"/>
      <c r="T154" s="170" t="s">
        <v>47</v>
      </c>
      <c r="U154" s="295" t="s">
        <v>19</v>
      </c>
      <c r="V154" s="110" t="s">
        <v>67</v>
      </c>
      <c r="W154" s="110" t="s">
        <v>833</v>
      </c>
      <c r="X154" s="293" t="s">
        <v>485</v>
      </c>
      <c r="Y154" s="103" t="s">
        <v>660</v>
      </c>
      <c r="Z154" s="177">
        <v>4856798</v>
      </c>
      <c r="AA154" s="177">
        <v>4192</v>
      </c>
      <c r="AB154" s="177">
        <v>4188954</v>
      </c>
      <c r="AC154" s="177">
        <v>0</v>
      </c>
      <c r="AD154" s="177">
        <f t="shared" si="2"/>
        <v>9049944</v>
      </c>
      <c r="AE154" s="112">
        <v>825.02</v>
      </c>
      <c r="AF154" s="111">
        <v>10969.363166953528</v>
      </c>
      <c r="AG154" s="168"/>
    </row>
    <row r="155" spans="1:33">
      <c r="A155" s="130" t="s">
        <v>47</v>
      </c>
      <c r="B155" s="6" t="s">
        <v>19</v>
      </c>
      <c r="C155" s="110" t="s">
        <v>68</v>
      </c>
      <c r="D155" s="103" t="s">
        <v>1082</v>
      </c>
      <c r="E155" s="6" t="s">
        <v>187</v>
      </c>
      <c r="F155" s="334" t="s">
        <v>69</v>
      </c>
      <c r="G155" s="111">
        <v>42637100</v>
      </c>
      <c r="H155" s="112">
        <v>3510.51</v>
      </c>
      <c r="I155" s="137">
        <v>12145.55719824185</v>
      </c>
      <c r="J155" s="13"/>
      <c r="K155" s="15"/>
      <c r="L155" s="15"/>
      <c r="M155" s="15"/>
      <c r="T155" s="171" t="s">
        <v>47</v>
      </c>
      <c r="U155" s="294" t="s">
        <v>19</v>
      </c>
      <c r="V155" s="172" t="s">
        <v>67</v>
      </c>
      <c r="W155" s="172" t="s">
        <v>834</v>
      </c>
      <c r="X155" s="294" t="s">
        <v>486</v>
      </c>
      <c r="Y155" s="172" t="s">
        <v>660</v>
      </c>
      <c r="Z155" s="178">
        <v>25998</v>
      </c>
      <c r="AA155" s="178">
        <v>91</v>
      </c>
      <c r="AB155" s="178">
        <v>471209</v>
      </c>
      <c r="AC155" s="178">
        <v>0</v>
      </c>
      <c r="AD155" s="178">
        <f t="shared" si="2"/>
        <v>497298</v>
      </c>
      <c r="AE155" s="174">
        <v>69.430000000000007</v>
      </c>
      <c r="AF155" s="173">
        <v>7162.5810168515045</v>
      </c>
      <c r="AG155" s="168"/>
    </row>
    <row r="156" spans="1:33">
      <c r="A156" s="130" t="s">
        <v>47</v>
      </c>
      <c r="B156" s="6" t="s">
        <v>19</v>
      </c>
      <c r="C156" s="110" t="s">
        <v>68</v>
      </c>
      <c r="D156" s="103" t="s">
        <v>1083</v>
      </c>
      <c r="E156" s="6" t="s">
        <v>187</v>
      </c>
      <c r="F156" s="334" t="s">
        <v>71</v>
      </c>
      <c r="G156" s="111">
        <v>42404842</v>
      </c>
      <c r="H156" s="112">
        <v>2596.6930000000002</v>
      </c>
      <c r="I156" s="137">
        <v>16330.325533284064</v>
      </c>
      <c r="J156" s="13"/>
      <c r="K156" s="15"/>
      <c r="L156" s="15"/>
      <c r="M156" s="15"/>
      <c r="T156" s="170" t="s">
        <v>47</v>
      </c>
      <c r="U156" s="295" t="s">
        <v>19</v>
      </c>
      <c r="V156" s="110" t="s">
        <v>67</v>
      </c>
      <c r="W156" s="110" t="s">
        <v>835</v>
      </c>
      <c r="X156" s="293" t="s">
        <v>487</v>
      </c>
      <c r="Y156" s="103" t="s">
        <v>688</v>
      </c>
      <c r="Z156" s="177">
        <v>36122</v>
      </c>
      <c r="AA156" s="177">
        <v>85</v>
      </c>
      <c r="AB156" s="177">
        <v>574294</v>
      </c>
      <c r="AC156" s="177">
        <v>0</v>
      </c>
      <c r="AD156" s="177">
        <f t="shared" si="2"/>
        <v>610501</v>
      </c>
      <c r="AE156" s="112">
        <v>82.67</v>
      </c>
      <c r="AF156" s="111">
        <v>7384.7949679448411</v>
      </c>
      <c r="AG156" s="168"/>
    </row>
    <row r="157" spans="1:33">
      <c r="A157" s="130" t="s">
        <v>47</v>
      </c>
      <c r="B157" s="6" t="s">
        <v>19</v>
      </c>
      <c r="C157" s="110" t="s">
        <v>67</v>
      </c>
      <c r="D157" s="110" t="s">
        <v>728</v>
      </c>
      <c r="E157" s="118" t="s">
        <v>392</v>
      </c>
      <c r="F157" s="103" t="s">
        <v>660</v>
      </c>
      <c r="G157" s="111">
        <v>3060557</v>
      </c>
      <c r="H157" s="112">
        <v>408.565</v>
      </c>
      <c r="I157" s="137">
        <v>7490.9916414768768</v>
      </c>
      <c r="J157" s="13"/>
      <c r="K157" s="15"/>
      <c r="L157" s="15"/>
      <c r="M157" s="15"/>
      <c r="T157" s="171" t="s">
        <v>47</v>
      </c>
      <c r="U157" s="294" t="s">
        <v>19</v>
      </c>
      <c r="V157" s="172" t="s">
        <v>67</v>
      </c>
      <c r="W157" s="172" t="s">
        <v>836</v>
      </c>
      <c r="X157" s="294" t="s">
        <v>488</v>
      </c>
      <c r="Y157" s="172" t="s">
        <v>688</v>
      </c>
      <c r="Z157" s="178">
        <v>43953</v>
      </c>
      <c r="AA157" s="178">
        <v>0</v>
      </c>
      <c r="AB157" s="178">
        <v>4897711</v>
      </c>
      <c r="AC157" s="178">
        <v>400062</v>
      </c>
      <c r="AD157" s="178">
        <f t="shared" si="2"/>
        <v>5341726</v>
      </c>
      <c r="AE157" s="174">
        <v>837.02499999999998</v>
      </c>
      <c r="AF157" s="173">
        <v>6381.7998267674202</v>
      </c>
      <c r="AG157" s="168"/>
    </row>
    <row r="158" spans="1:33">
      <c r="A158" s="130" t="s">
        <v>47</v>
      </c>
      <c r="B158" s="6" t="s">
        <v>19</v>
      </c>
      <c r="C158" s="110" t="s">
        <v>67</v>
      </c>
      <c r="D158" s="110" t="s">
        <v>729</v>
      </c>
      <c r="E158" s="118" t="s">
        <v>393</v>
      </c>
      <c r="F158" s="103" t="s">
        <v>660</v>
      </c>
      <c r="G158" s="111">
        <v>1453604</v>
      </c>
      <c r="H158" s="112">
        <v>211.51</v>
      </c>
      <c r="I158" s="137">
        <v>6872.5072100609905</v>
      </c>
      <c r="J158" s="13"/>
      <c r="K158" s="15"/>
      <c r="L158" s="15"/>
      <c r="M158" s="15"/>
      <c r="T158" s="170" t="s">
        <v>47</v>
      </c>
      <c r="U158" s="295" t="s">
        <v>19</v>
      </c>
      <c r="V158" s="110" t="s">
        <v>67</v>
      </c>
      <c r="W158" s="110" t="s">
        <v>819</v>
      </c>
      <c r="X158" s="293" t="s">
        <v>646</v>
      </c>
      <c r="Y158" s="103" t="s">
        <v>688</v>
      </c>
      <c r="Z158" s="177">
        <v>291829</v>
      </c>
      <c r="AA158" s="177">
        <v>0</v>
      </c>
      <c r="AB158" s="177">
        <v>6821096</v>
      </c>
      <c r="AC158" s="177">
        <v>0</v>
      </c>
      <c r="AD158" s="177">
        <f t="shared" si="2"/>
        <v>7112925</v>
      </c>
      <c r="AE158" s="112">
        <v>1106.665</v>
      </c>
      <c r="AF158" s="111">
        <v>6427.3515472161862</v>
      </c>
      <c r="AG158" s="168"/>
    </row>
    <row r="159" spans="1:33">
      <c r="A159" s="130" t="s">
        <v>47</v>
      </c>
      <c r="B159" s="6" t="s">
        <v>19</v>
      </c>
      <c r="C159" s="110" t="s">
        <v>67</v>
      </c>
      <c r="D159" s="110" t="s">
        <v>730</v>
      </c>
      <c r="E159" s="118" t="s">
        <v>394</v>
      </c>
      <c r="F159" s="103" t="s">
        <v>688</v>
      </c>
      <c r="G159" s="111">
        <v>2797870</v>
      </c>
      <c r="H159" s="112">
        <v>404.72</v>
      </c>
      <c r="I159" s="137">
        <v>6913.1004151017987</v>
      </c>
      <c r="J159" s="13"/>
      <c r="K159" s="15"/>
      <c r="L159" s="15"/>
      <c r="M159" s="15"/>
      <c r="T159" s="171" t="s">
        <v>47</v>
      </c>
      <c r="U159" s="294" t="s">
        <v>19</v>
      </c>
      <c r="V159" s="172" t="s">
        <v>67</v>
      </c>
      <c r="W159" s="172" t="s">
        <v>837</v>
      </c>
      <c r="X159" s="294" t="s">
        <v>648</v>
      </c>
      <c r="Y159" s="172" t="s">
        <v>678</v>
      </c>
      <c r="Z159" s="178">
        <v>6314</v>
      </c>
      <c r="AA159" s="178">
        <v>52826</v>
      </c>
      <c r="AB159" s="178">
        <v>3879971</v>
      </c>
      <c r="AC159" s="178">
        <v>525990</v>
      </c>
      <c r="AD159" s="178">
        <f t="shared" si="2"/>
        <v>4465101</v>
      </c>
      <c r="AE159" s="174">
        <v>617.16499999999996</v>
      </c>
      <c r="AF159" s="173">
        <v>7234.8577770936463</v>
      </c>
      <c r="AG159" s="168"/>
    </row>
    <row r="160" spans="1:33">
      <c r="A160" s="130" t="s">
        <v>47</v>
      </c>
      <c r="B160" s="6" t="s">
        <v>19</v>
      </c>
      <c r="C160" s="110" t="s">
        <v>67</v>
      </c>
      <c r="D160" s="110" t="s">
        <v>731</v>
      </c>
      <c r="E160" s="118" t="s">
        <v>395</v>
      </c>
      <c r="F160" s="103" t="s">
        <v>692</v>
      </c>
      <c r="G160" s="111">
        <v>4989602</v>
      </c>
      <c r="H160" s="112">
        <v>799.19799999999998</v>
      </c>
      <c r="I160" s="137">
        <v>6243.2613695229466</v>
      </c>
      <c r="J160" s="13"/>
      <c r="K160" s="15"/>
      <c r="L160" s="15"/>
      <c r="M160" s="15"/>
      <c r="T160" s="170" t="s">
        <v>47</v>
      </c>
      <c r="U160" s="295" t="s">
        <v>19</v>
      </c>
      <c r="V160" s="110" t="s">
        <v>67</v>
      </c>
      <c r="W160" s="110" t="s">
        <v>838</v>
      </c>
      <c r="X160" s="293" t="s">
        <v>489</v>
      </c>
      <c r="Y160" s="103" t="s">
        <v>688</v>
      </c>
      <c r="Z160" s="177">
        <v>256888</v>
      </c>
      <c r="AA160" s="177">
        <v>0</v>
      </c>
      <c r="AB160" s="177">
        <v>1862015</v>
      </c>
      <c r="AC160" s="177">
        <v>159827</v>
      </c>
      <c r="AD160" s="177">
        <f t="shared" si="2"/>
        <v>2278730</v>
      </c>
      <c r="AE160" s="112">
        <v>299.13499999999999</v>
      </c>
      <c r="AF160" s="111">
        <v>7617.7311247430089</v>
      </c>
      <c r="AG160" s="168"/>
    </row>
    <row r="161" spans="1:33">
      <c r="A161" s="130" t="s">
        <v>47</v>
      </c>
      <c r="B161" s="6" t="s">
        <v>19</v>
      </c>
      <c r="C161" s="110" t="s">
        <v>68</v>
      </c>
      <c r="D161" s="103" t="s">
        <v>1084</v>
      </c>
      <c r="E161" s="6" t="s">
        <v>188</v>
      </c>
      <c r="F161" s="334" t="s">
        <v>69</v>
      </c>
      <c r="G161" s="111">
        <v>144994702</v>
      </c>
      <c r="H161" s="112">
        <v>19187.849999999999</v>
      </c>
      <c r="I161" s="137">
        <v>7556.5892999997404</v>
      </c>
      <c r="J161" s="13"/>
      <c r="K161" s="15"/>
      <c r="L161" s="15"/>
      <c r="M161" s="15"/>
      <c r="T161" s="171" t="s">
        <v>47</v>
      </c>
      <c r="U161" s="294" t="s">
        <v>19</v>
      </c>
      <c r="V161" s="172" t="s">
        <v>67</v>
      </c>
      <c r="W161" s="172" t="s">
        <v>839</v>
      </c>
      <c r="X161" s="294" t="s">
        <v>490</v>
      </c>
      <c r="Y161" s="172" t="s">
        <v>692</v>
      </c>
      <c r="Z161" s="178">
        <v>13721</v>
      </c>
      <c r="AA161" s="178">
        <v>0</v>
      </c>
      <c r="AB161" s="178">
        <v>1353187</v>
      </c>
      <c r="AC161" s="178">
        <v>28025</v>
      </c>
      <c r="AD161" s="178">
        <f t="shared" si="2"/>
        <v>1394933</v>
      </c>
      <c r="AE161" s="174">
        <v>187.63499999999999</v>
      </c>
      <c r="AF161" s="173">
        <v>7434.2899778825913</v>
      </c>
      <c r="AG161" s="168"/>
    </row>
    <row r="162" spans="1:33">
      <c r="A162" s="130" t="s">
        <v>47</v>
      </c>
      <c r="B162" s="6" t="s">
        <v>19</v>
      </c>
      <c r="C162" s="110" t="s">
        <v>67</v>
      </c>
      <c r="D162" s="110" t="s">
        <v>732</v>
      </c>
      <c r="E162" s="118" t="s">
        <v>396</v>
      </c>
      <c r="F162" s="103" t="s">
        <v>688</v>
      </c>
      <c r="G162" s="111">
        <v>2116134</v>
      </c>
      <c r="H162" s="112">
        <v>276.79500000000002</v>
      </c>
      <c r="I162" s="137">
        <v>7645.1308730287756</v>
      </c>
      <c r="J162" s="13"/>
      <c r="K162" s="15"/>
      <c r="L162" s="15"/>
      <c r="M162" s="15"/>
      <c r="T162" s="170" t="s">
        <v>47</v>
      </c>
      <c r="U162" s="295" t="s">
        <v>19</v>
      </c>
      <c r="V162" s="110" t="s">
        <v>67</v>
      </c>
      <c r="W162" s="110" t="s">
        <v>840</v>
      </c>
      <c r="X162" s="293" t="s">
        <v>491</v>
      </c>
      <c r="Y162" s="103" t="s">
        <v>688</v>
      </c>
      <c r="Z162" s="177">
        <v>61012</v>
      </c>
      <c r="AA162" s="177">
        <v>0</v>
      </c>
      <c r="AB162" s="177">
        <v>10632898</v>
      </c>
      <c r="AC162" s="177">
        <v>22981</v>
      </c>
      <c r="AD162" s="177">
        <f t="shared" si="2"/>
        <v>10716891</v>
      </c>
      <c r="AE162" s="112">
        <v>1743.57</v>
      </c>
      <c r="AF162" s="111">
        <v>6146.521791496757</v>
      </c>
      <c r="AG162" s="168"/>
    </row>
    <row r="163" spans="1:33">
      <c r="A163" s="130" t="s">
        <v>47</v>
      </c>
      <c r="B163" s="6" t="s">
        <v>19</v>
      </c>
      <c r="C163" s="110" t="s">
        <v>68</v>
      </c>
      <c r="D163" s="103" t="s">
        <v>1085</v>
      </c>
      <c r="E163" s="118" t="s">
        <v>189</v>
      </c>
      <c r="F163" s="334" t="s">
        <v>329</v>
      </c>
      <c r="G163" s="111">
        <v>61334007</v>
      </c>
      <c r="H163" s="112">
        <v>5642.22</v>
      </c>
      <c r="I163" s="137">
        <v>10870.545104586492</v>
      </c>
      <c r="J163" s="13"/>
      <c r="K163" s="15"/>
      <c r="L163" s="15"/>
      <c r="M163" s="15"/>
      <c r="T163" s="170" t="s">
        <v>47</v>
      </c>
      <c r="U163" s="295" t="s">
        <v>19</v>
      </c>
      <c r="V163" s="110" t="s">
        <v>67</v>
      </c>
      <c r="W163" s="110" t="s">
        <v>841</v>
      </c>
      <c r="X163" s="293" t="s">
        <v>492</v>
      </c>
      <c r="Y163" s="103" t="s">
        <v>692</v>
      </c>
      <c r="Z163" s="177">
        <v>134988</v>
      </c>
      <c r="AA163" s="177">
        <v>0</v>
      </c>
      <c r="AB163" s="177">
        <v>3528322</v>
      </c>
      <c r="AC163" s="177">
        <v>82217</v>
      </c>
      <c r="AD163" s="177">
        <f t="shared" si="2"/>
        <v>3745527</v>
      </c>
      <c r="AE163" s="112">
        <v>574.88</v>
      </c>
      <c r="AF163" s="111">
        <v>6515.3197188978565</v>
      </c>
      <c r="AG163" s="168"/>
    </row>
    <row r="164" spans="1:33">
      <c r="A164" s="130" t="s">
        <v>47</v>
      </c>
      <c r="B164" s="6" t="s">
        <v>19</v>
      </c>
      <c r="C164" s="110" t="s">
        <v>67</v>
      </c>
      <c r="D164" s="334" t="s">
        <v>733</v>
      </c>
      <c r="E164" s="118" t="s">
        <v>397</v>
      </c>
      <c r="F164" s="103" t="s">
        <v>660</v>
      </c>
      <c r="G164" s="111">
        <v>3841975</v>
      </c>
      <c r="H164" s="112">
        <v>566.42999999999995</v>
      </c>
      <c r="I164" s="137">
        <v>6782.788694101655</v>
      </c>
      <c r="J164" s="13"/>
      <c r="K164" s="15"/>
      <c r="L164" s="15"/>
      <c r="M164" s="15"/>
      <c r="T164" s="171" t="s">
        <v>47</v>
      </c>
      <c r="U164" s="294" t="s">
        <v>19</v>
      </c>
      <c r="V164" s="172" t="s">
        <v>67</v>
      </c>
      <c r="W164" s="172" t="s">
        <v>842</v>
      </c>
      <c r="X164" s="294" t="s">
        <v>493</v>
      </c>
      <c r="Y164" s="172" t="s">
        <v>660</v>
      </c>
      <c r="Z164" s="178">
        <v>15754</v>
      </c>
      <c r="AA164" s="178">
        <v>0</v>
      </c>
      <c r="AB164" s="178">
        <v>1180016</v>
      </c>
      <c r="AC164" s="178">
        <v>23217</v>
      </c>
      <c r="AD164" s="178">
        <f t="shared" si="2"/>
        <v>1218987</v>
      </c>
      <c r="AE164" s="174">
        <v>172.87</v>
      </c>
      <c r="AF164" s="173">
        <v>7051.4664198530681</v>
      </c>
      <c r="AG164" s="168"/>
    </row>
    <row r="165" spans="1:33">
      <c r="A165" s="130" t="s">
        <v>47</v>
      </c>
      <c r="B165" s="6" t="s">
        <v>19</v>
      </c>
      <c r="C165" s="110" t="s">
        <v>67</v>
      </c>
      <c r="D165" s="334" t="s">
        <v>734</v>
      </c>
      <c r="E165" s="118" t="s">
        <v>398</v>
      </c>
      <c r="F165" s="103" t="s">
        <v>688</v>
      </c>
      <c r="G165" s="111">
        <v>1063143</v>
      </c>
      <c r="H165" s="112">
        <v>147.77000000000001</v>
      </c>
      <c r="I165" s="137">
        <v>7194.5794139541176</v>
      </c>
      <c r="J165" s="13"/>
      <c r="K165" s="15"/>
      <c r="L165" s="15"/>
      <c r="M165" s="15"/>
      <c r="T165" s="171" t="s">
        <v>47</v>
      </c>
      <c r="U165" s="294" t="s">
        <v>19</v>
      </c>
      <c r="V165" s="172" t="s">
        <v>67</v>
      </c>
      <c r="W165" s="172" t="s">
        <v>843</v>
      </c>
      <c r="X165" s="294" t="s">
        <v>494</v>
      </c>
      <c r="Y165" s="172" t="s">
        <v>678</v>
      </c>
      <c r="Z165" s="178">
        <v>2962075</v>
      </c>
      <c r="AA165" s="178">
        <v>0</v>
      </c>
      <c r="AB165" s="178">
        <v>1646082</v>
      </c>
      <c r="AC165" s="178">
        <v>1629626</v>
      </c>
      <c r="AD165" s="178">
        <f t="shared" si="2"/>
        <v>6237783</v>
      </c>
      <c r="AE165" s="174">
        <v>247.58500000000001</v>
      </c>
      <c r="AF165" s="173">
        <v>25194.510976028432</v>
      </c>
      <c r="AG165" s="168"/>
    </row>
    <row r="166" spans="1:33">
      <c r="A166" s="130" t="s">
        <v>47</v>
      </c>
      <c r="B166" s="6" t="s">
        <v>19</v>
      </c>
      <c r="C166" s="110" t="s">
        <v>68</v>
      </c>
      <c r="D166" s="103" t="s">
        <v>1086</v>
      </c>
      <c r="E166" s="6" t="s">
        <v>190</v>
      </c>
      <c r="F166" s="334" t="s">
        <v>329</v>
      </c>
      <c r="G166" s="111">
        <v>305830768</v>
      </c>
      <c r="H166" s="112">
        <v>31997.014999999999</v>
      </c>
      <c r="I166" s="137">
        <v>9558.1030918040324</v>
      </c>
      <c r="J166" s="13"/>
      <c r="K166" s="15"/>
      <c r="L166" s="15"/>
      <c r="M166" s="15"/>
      <c r="T166" s="170" t="s">
        <v>47</v>
      </c>
      <c r="U166" s="295" t="s">
        <v>19</v>
      </c>
      <c r="V166" s="110" t="s">
        <v>67</v>
      </c>
      <c r="W166" s="110" t="s">
        <v>844</v>
      </c>
      <c r="X166" s="293" t="s">
        <v>495</v>
      </c>
      <c r="Y166" s="103" t="s">
        <v>688</v>
      </c>
      <c r="Z166" s="177">
        <v>116096</v>
      </c>
      <c r="AA166" s="177">
        <v>0</v>
      </c>
      <c r="AB166" s="177">
        <v>1438114</v>
      </c>
      <c r="AC166" s="177">
        <v>63735</v>
      </c>
      <c r="AD166" s="177">
        <f t="shared" si="2"/>
        <v>1617945</v>
      </c>
      <c r="AE166" s="112">
        <v>207.33500000000001</v>
      </c>
      <c r="AF166" s="111">
        <v>7803.5305182434222</v>
      </c>
      <c r="AG166" s="168"/>
    </row>
    <row r="167" spans="1:33">
      <c r="A167" s="130" t="s">
        <v>47</v>
      </c>
      <c r="B167" s="6" t="s">
        <v>19</v>
      </c>
      <c r="C167" s="110" t="s">
        <v>67</v>
      </c>
      <c r="D167" s="334" t="s">
        <v>735</v>
      </c>
      <c r="E167" s="118" t="s">
        <v>399</v>
      </c>
      <c r="F167" s="103" t="s">
        <v>692</v>
      </c>
      <c r="G167" s="111">
        <v>1780479</v>
      </c>
      <c r="H167" s="112">
        <v>229.86</v>
      </c>
      <c r="I167" s="137">
        <v>7745.9279561472194</v>
      </c>
      <c r="J167" s="13"/>
      <c r="K167" s="15"/>
      <c r="L167" s="15"/>
      <c r="M167" s="15"/>
      <c r="T167" s="170" t="s">
        <v>47</v>
      </c>
      <c r="U167" s="295" t="s">
        <v>19</v>
      </c>
      <c r="V167" s="110" t="s">
        <v>67</v>
      </c>
      <c r="W167" s="110" t="s">
        <v>845</v>
      </c>
      <c r="X167" s="293" t="s">
        <v>496</v>
      </c>
      <c r="Y167" s="103" t="s">
        <v>688</v>
      </c>
      <c r="Z167" s="177">
        <v>178536</v>
      </c>
      <c r="AA167" s="177">
        <v>0</v>
      </c>
      <c r="AB167" s="177">
        <v>460053</v>
      </c>
      <c r="AC167" s="177">
        <v>33311</v>
      </c>
      <c r="AD167" s="177">
        <f t="shared" si="2"/>
        <v>671900</v>
      </c>
      <c r="AE167" s="112">
        <v>68.447999999999993</v>
      </c>
      <c r="AF167" s="111">
        <v>9816.2108461898097</v>
      </c>
      <c r="AG167" s="168"/>
    </row>
    <row r="168" spans="1:33">
      <c r="A168" s="130" t="s">
        <v>47</v>
      </c>
      <c r="B168" s="6" t="s">
        <v>19</v>
      </c>
      <c r="C168" s="110" t="s">
        <v>67</v>
      </c>
      <c r="D168" s="110" t="s">
        <v>736</v>
      </c>
      <c r="E168" s="118" t="s">
        <v>641</v>
      </c>
      <c r="F168" s="103" t="s">
        <v>688</v>
      </c>
      <c r="G168" s="111">
        <v>2005254</v>
      </c>
      <c r="H168" s="112">
        <v>269.36500000000001</v>
      </c>
      <c r="I168" s="137">
        <v>7444.3747331687482</v>
      </c>
      <c r="J168" s="13"/>
      <c r="K168" s="15"/>
      <c r="L168" s="15"/>
      <c r="M168" s="15"/>
      <c r="T168" s="171" t="s">
        <v>47</v>
      </c>
      <c r="U168" s="294" t="s">
        <v>19</v>
      </c>
      <c r="V168" s="172" t="s">
        <v>67</v>
      </c>
      <c r="W168" s="172" t="s">
        <v>846</v>
      </c>
      <c r="X168" s="294" t="s">
        <v>497</v>
      </c>
      <c r="Y168" s="172" t="s">
        <v>660</v>
      </c>
      <c r="Z168" s="178">
        <v>109643</v>
      </c>
      <c r="AA168" s="178">
        <v>0</v>
      </c>
      <c r="AB168" s="178">
        <v>441396</v>
      </c>
      <c r="AC168" s="178">
        <v>137295</v>
      </c>
      <c r="AD168" s="178">
        <f t="shared" si="2"/>
        <v>688334</v>
      </c>
      <c r="AE168" s="174">
        <v>60.015000000000001</v>
      </c>
      <c r="AF168" s="173">
        <v>11469.365991835375</v>
      </c>
      <c r="AG168" s="168"/>
    </row>
    <row r="169" spans="1:33">
      <c r="A169" s="130" t="s">
        <v>47</v>
      </c>
      <c r="B169" s="6" t="s">
        <v>19</v>
      </c>
      <c r="C169" s="110" t="s">
        <v>67</v>
      </c>
      <c r="D169" s="334" t="s">
        <v>737</v>
      </c>
      <c r="E169" s="118" t="s">
        <v>642</v>
      </c>
      <c r="F169" s="103" t="s">
        <v>660</v>
      </c>
      <c r="G169" s="111">
        <v>1434030</v>
      </c>
      <c r="H169" s="112">
        <v>64.34</v>
      </c>
      <c r="I169" s="137">
        <v>22288.312092011191</v>
      </c>
      <c r="J169" s="13"/>
      <c r="K169" s="15"/>
      <c r="L169" s="15"/>
      <c r="M169" s="15"/>
      <c r="T169" s="170" t="s">
        <v>47</v>
      </c>
      <c r="U169" s="295" t="s">
        <v>19</v>
      </c>
      <c r="V169" s="110" t="s">
        <v>67</v>
      </c>
      <c r="W169" s="110" t="s">
        <v>847</v>
      </c>
      <c r="X169" s="293" t="s">
        <v>498</v>
      </c>
      <c r="Y169" s="103" t="s">
        <v>660</v>
      </c>
      <c r="Z169" s="177">
        <v>100366</v>
      </c>
      <c r="AA169" s="177">
        <v>0</v>
      </c>
      <c r="AB169" s="177">
        <v>1623619</v>
      </c>
      <c r="AC169" s="177">
        <v>0</v>
      </c>
      <c r="AD169" s="177">
        <f t="shared" si="2"/>
        <v>1723985</v>
      </c>
      <c r="AE169" s="112">
        <v>246.64500000000001</v>
      </c>
      <c r="AF169" s="111">
        <v>6989.7423422327638</v>
      </c>
      <c r="AG169" s="168"/>
    </row>
    <row r="170" spans="1:33">
      <c r="A170" s="130" t="s">
        <v>47</v>
      </c>
      <c r="B170" s="6" t="s">
        <v>19</v>
      </c>
      <c r="C170" s="110" t="s">
        <v>67</v>
      </c>
      <c r="D170" s="334" t="s">
        <v>738</v>
      </c>
      <c r="E170" s="118" t="s">
        <v>643</v>
      </c>
      <c r="F170" s="103" t="s">
        <v>688</v>
      </c>
      <c r="G170" s="111">
        <v>1015393</v>
      </c>
      <c r="H170" s="112">
        <v>143.85300000000001</v>
      </c>
      <c r="I170" s="137">
        <v>7058.545876693569</v>
      </c>
      <c r="J170" s="13"/>
      <c r="K170" s="15"/>
      <c r="L170" s="15"/>
      <c r="M170" s="15"/>
      <c r="T170" s="170" t="s">
        <v>47</v>
      </c>
      <c r="U170" s="295" t="s">
        <v>19</v>
      </c>
      <c r="V170" s="110" t="s">
        <v>67</v>
      </c>
      <c r="W170" s="110" t="s">
        <v>848</v>
      </c>
      <c r="X170" s="293" t="s">
        <v>499</v>
      </c>
      <c r="Y170" s="103" t="s">
        <v>660</v>
      </c>
      <c r="Z170" s="177">
        <v>3795</v>
      </c>
      <c r="AA170" s="177">
        <v>0</v>
      </c>
      <c r="AB170" s="177">
        <v>5120330</v>
      </c>
      <c r="AC170" s="177">
        <v>0</v>
      </c>
      <c r="AD170" s="177">
        <f t="shared" si="2"/>
        <v>5124125</v>
      </c>
      <c r="AE170" s="112">
        <v>810.54</v>
      </c>
      <c r="AF170" s="111">
        <v>6321.8656698003806</v>
      </c>
      <c r="AG170" s="168"/>
    </row>
    <row r="171" spans="1:33">
      <c r="A171" s="130" t="s">
        <v>47</v>
      </c>
      <c r="B171" s="6" t="s">
        <v>19</v>
      </c>
      <c r="C171" s="110" t="s">
        <v>67</v>
      </c>
      <c r="D171" s="334" t="s">
        <v>739</v>
      </c>
      <c r="E171" s="118" t="s">
        <v>644</v>
      </c>
      <c r="F171" s="103" t="s">
        <v>688</v>
      </c>
      <c r="G171" s="111">
        <v>4773915</v>
      </c>
      <c r="H171" s="112">
        <v>653.91999999999996</v>
      </c>
      <c r="I171" s="137">
        <v>7300.4572424761445</v>
      </c>
      <c r="J171" s="13"/>
      <c r="K171" s="15"/>
      <c r="L171" s="15"/>
      <c r="M171" s="15"/>
      <c r="T171" s="171" t="s">
        <v>47</v>
      </c>
      <c r="U171" s="294" t="s">
        <v>19</v>
      </c>
      <c r="V171" s="172" t="s">
        <v>67</v>
      </c>
      <c r="W171" s="172" t="s">
        <v>849</v>
      </c>
      <c r="X171" s="294" t="s">
        <v>500</v>
      </c>
      <c r="Y171" s="172" t="s">
        <v>688</v>
      </c>
      <c r="Z171" s="178">
        <v>139513</v>
      </c>
      <c r="AA171" s="178">
        <v>0</v>
      </c>
      <c r="AB171" s="178">
        <v>2565674</v>
      </c>
      <c r="AC171" s="178">
        <v>83217</v>
      </c>
      <c r="AD171" s="178">
        <f t="shared" si="2"/>
        <v>2788404</v>
      </c>
      <c r="AE171" s="174">
        <v>412.815</v>
      </c>
      <c r="AF171" s="173">
        <v>6754.6092075142615</v>
      </c>
      <c r="AG171" s="168"/>
    </row>
    <row r="172" spans="1:33">
      <c r="A172" s="130" t="s">
        <v>47</v>
      </c>
      <c r="B172" s="6" t="s">
        <v>19</v>
      </c>
      <c r="C172" s="110" t="s">
        <v>67</v>
      </c>
      <c r="D172" s="334" t="s">
        <v>740</v>
      </c>
      <c r="E172" s="118" t="s">
        <v>644</v>
      </c>
      <c r="F172" s="103" t="s">
        <v>688</v>
      </c>
      <c r="G172" s="111">
        <v>1112151</v>
      </c>
      <c r="H172" s="112">
        <v>146.41999999999999</v>
      </c>
      <c r="I172" s="137">
        <v>7595.6221827619183</v>
      </c>
      <c r="J172" s="13"/>
      <c r="K172" s="15"/>
      <c r="L172" s="15"/>
      <c r="M172" s="15"/>
      <c r="T172" s="170" t="s">
        <v>47</v>
      </c>
      <c r="U172" s="295" t="s">
        <v>19</v>
      </c>
      <c r="V172" s="110" t="s">
        <v>67</v>
      </c>
      <c r="W172" s="110" t="s">
        <v>850</v>
      </c>
      <c r="X172" s="293" t="s">
        <v>501</v>
      </c>
      <c r="Y172" s="103" t="s">
        <v>688</v>
      </c>
      <c r="Z172" s="177">
        <v>144063</v>
      </c>
      <c r="AA172" s="177">
        <v>0</v>
      </c>
      <c r="AB172" s="177">
        <v>3338059</v>
      </c>
      <c r="AC172" s="177">
        <v>498154</v>
      </c>
      <c r="AD172" s="177">
        <f t="shared" si="2"/>
        <v>3980276</v>
      </c>
      <c r="AE172" s="112">
        <v>500.68</v>
      </c>
      <c r="AF172" s="111">
        <v>7949.7403531197569</v>
      </c>
      <c r="AG172" s="168"/>
    </row>
    <row r="173" spans="1:33">
      <c r="A173" s="130" t="s">
        <v>47</v>
      </c>
      <c r="B173" s="6" t="s">
        <v>19</v>
      </c>
      <c r="C173" s="110" t="s">
        <v>67</v>
      </c>
      <c r="D173" s="334" t="s">
        <v>741</v>
      </c>
      <c r="E173" s="118" t="s">
        <v>400</v>
      </c>
      <c r="F173" s="103" t="s">
        <v>688</v>
      </c>
      <c r="G173" s="111">
        <v>1760791</v>
      </c>
      <c r="H173" s="112">
        <v>255.965</v>
      </c>
      <c r="I173" s="137">
        <v>6879.0303361787746</v>
      </c>
      <c r="J173" s="13"/>
      <c r="K173" s="15"/>
      <c r="L173" s="15"/>
      <c r="M173" s="15"/>
      <c r="T173" s="171" t="s">
        <v>47</v>
      </c>
      <c r="U173" s="294" t="s">
        <v>19</v>
      </c>
      <c r="V173" s="172" t="s">
        <v>67</v>
      </c>
      <c r="W173" s="172" t="s">
        <v>851</v>
      </c>
      <c r="X173" s="294" t="s">
        <v>502</v>
      </c>
      <c r="Y173" s="172" t="s">
        <v>660</v>
      </c>
      <c r="Z173" s="178">
        <v>14586</v>
      </c>
      <c r="AA173" s="178">
        <v>0</v>
      </c>
      <c r="AB173" s="178">
        <v>539947</v>
      </c>
      <c r="AC173" s="178">
        <v>0</v>
      </c>
      <c r="AD173" s="178">
        <f t="shared" si="2"/>
        <v>554533</v>
      </c>
      <c r="AE173" s="174">
        <v>79.488</v>
      </c>
      <c r="AF173" s="173">
        <v>6976.3108896940421</v>
      </c>
      <c r="AG173" s="168"/>
    </row>
    <row r="174" spans="1:33">
      <c r="A174" s="130" t="s">
        <v>47</v>
      </c>
      <c r="B174" s="6" t="s">
        <v>19</v>
      </c>
      <c r="C174" s="110" t="s">
        <v>67</v>
      </c>
      <c r="D174" s="334" t="s">
        <v>742</v>
      </c>
      <c r="E174" s="118" t="s">
        <v>401</v>
      </c>
      <c r="F174" s="103" t="s">
        <v>688</v>
      </c>
      <c r="G174" s="111">
        <v>1383645</v>
      </c>
      <c r="H174" s="112">
        <v>198.27</v>
      </c>
      <c r="I174" s="137">
        <v>6978.5898017854433</v>
      </c>
      <c r="J174" s="13"/>
      <c r="K174" s="15"/>
      <c r="L174" s="15"/>
      <c r="M174" s="15"/>
      <c r="T174" s="170" t="s">
        <v>47</v>
      </c>
      <c r="U174" s="295" t="s">
        <v>19</v>
      </c>
      <c r="V174" s="110" t="s">
        <v>67</v>
      </c>
      <c r="W174" s="110" t="s">
        <v>852</v>
      </c>
      <c r="X174" s="293" t="s">
        <v>503</v>
      </c>
      <c r="Y174" s="103" t="s">
        <v>688</v>
      </c>
      <c r="Z174" s="177">
        <v>34667</v>
      </c>
      <c r="AA174" s="177">
        <v>0</v>
      </c>
      <c r="AB174" s="177">
        <v>3881166</v>
      </c>
      <c r="AC174" s="177">
        <v>350728</v>
      </c>
      <c r="AD174" s="177">
        <f t="shared" si="2"/>
        <v>4266561</v>
      </c>
      <c r="AE174" s="112">
        <v>633.16300000000001</v>
      </c>
      <c r="AF174" s="111">
        <v>6738.4875616547397</v>
      </c>
      <c r="AG174" s="168"/>
    </row>
    <row r="175" spans="1:33">
      <c r="A175" s="130" t="s">
        <v>47</v>
      </c>
      <c r="B175" s="6" t="s">
        <v>19</v>
      </c>
      <c r="C175" s="110" t="s">
        <v>67</v>
      </c>
      <c r="D175" s="334" t="s">
        <v>743</v>
      </c>
      <c r="E175" s="118" t="s">
        <v>402</v>
      </c>
      <c r="F175" s="103" t="s">
        <v>688</v>
      </c>
      <c r="G175" s="111">
        <v>1282006</v>
      </c>
      <c r="H175" s="112">
        <v>164.54</v>
      </c>
      <c r="I175" s="137">
        <v>7791.4549653579679</v>
      </c>
      <c r="J175" s="13"/>
      <c r="K175" s="15"/>
      <c r="L175" s="15"/>
      <c r="M175" s="15"/>
      <c r="T175" s="171" t="s">
        <v>47</v>
      </c>
      <c r="U175" s="294" t="s">
        <v>19</v>
      </c>
      <c r="V175" s="172" t="s">
        <v>67</v>
      </c>
      <c r="W175" s="172" t="s">
        <v>853</v>
      </c>
      <c r="X175" s="294" t="s">
        <v>504</v>
      </c>
      <c r="Y175" s="172" t="s">
        <v>692</v>
      </c>
      <c r="Z175" s="178">
        <v>254918</v>
      </c>
      <c r="AA175" s="178">
        <v>0</v>
      </c>
      <c r="AB175" s="178">
        <v>2175721</v>
      </c>
      <c r="AC175" s="178">
        <v>49277</v>
      </c>
      <c r="AD175" s="178">
        <f t="shared" si="2"/>
        <v>2479916</v>
      </c>
      <c r="AE175" s="174">
        <v>317.47000000000003</v>
      </c>
      <c r="AF175" s="173">
        <v>7811.4971493369449</v>
      </c>
      <c r="AG175" s="168"/>
    </row>
    <row r="176" spans="1:33">
      <c r="A176" s="130" t="s">
        <v>47</v>
      </c>
      <c r="B176" s="6" t="s">
        <v>19</v>
      </c>
      <c r="C176" s="110" t="s">
        <v>67</v>
      </c>
      <c r="D176" s="334" t="s">
        <v>744</v>
      </c>
      <c r="E176" s="118" t="s">
        <v>403</v>
      </c>
      <c r="F176" s="103" t="s">
        <v>692</v>
      </c>
      <c r="G176" s="111">
        <v>2560582</v>
      </c>
      <c r="H176" s="112">
        <v>374.29</v>
      </c>
      <c r="I176" s="137">
        <v>6841.1712842982706</v>
      </c>
      <c r="J176" s="13"/>
      <c r="K176" s="15"/>
      <c r="L176" s="15"/>
      <c r="M176" s="15"/>
      <c r="T176" s="170" t="s">
        <v>47</v>
      </c>
      <c r="U176" s="295" t="s">
        <v>19</v>
      </c>
      <c r="V176" s="110" t="s">
        <v>67</v>
      </c>
      <c r="W176" s="110" t="s">
        <v>854</v>
      </c>
      <c r="X176" s="293" t="s">
        <v>505</v>
      </c>
      <c r="Y176" s="103" t="s">
        <v>688</v>
      </c>
      <c r="Z176" s="177">
        <v>56257</v>
      </c>
      <c r="AA176" s="177">
        <v>0</v>
      </c>
      <c r="AB176" s="177">
        <v>804009</v>
      </c>
      <c r="AC176" s="177">
        <v>138703</v>
      </c>
      <c r="AD176" s="177">
        <f t="shared" si="2"/>
        <v>998969</v>
      </c>
      <c r="AE176" s="112">
        <v>114.24</v>
      </c>
      <c r="AF176" s="111">
        <v>8726.9695378151264</v>
      </c>
      <c r="AG176" s="168"/>
    </row>
    <row r="177" spans="1:33">
      <c r="A177" s="130" t="s">
        <v>47</v>
      </c>
      <c r="B177" s="6" t="s">
        <v>19</v>
      </c>
      <c r="C177" s="110" t="s">
        <v>68</v>
      </c>
      <c r="D177" s="103" t="s">
        <v>1087</v>
      </c>
      <c r="E177" s="6" t="s">
        <v>191</v>
      </c>
      <c r="F177" s="334" t="s">
        <v>69</v>
      </c>
      <c r="G177" s="111">
        <v>65884743</v>
      </c>
      <c r="H177" s="112">
        <v>7322.6750000000002</v>
      </c>
      <c r="I177" s="137">
        <v>8997.3599811544282</v>
      </c>
      <c r="J177" s="13"/>
      <c r="K177" s="15"/>
      <c r="L177" s="15"/>
      <c r="M177" s="15"/>
      <c r="T177" s="171" t="s">
        <v>47</v>
      </c>
      <c r="U177" s="294" t="s">
        <v>19</v>
      </c>
      <c r="V177" s="172" t="s">
        <v>67</v>
      </c>
      <c r="W177" s="172" t="s">
        <v>855</v>
      </c>
      <c r="X177" s="294" t="s">
        <v>506</v>
      </c>
      <c r="Y177" s="172" t="s">
        <v>660</v>
      </c>
      <c r="Z177" s="178">
        <v>117129</v>
      </c>
      <c r="AA177" s="178">
        <v>0</v>
      </c>
      <c r="AB177" s="178">
        <v>1004703</v>
      </c>
      <c r="AC177" s="178">
        <v>31131</v>
      </c>
      <c r="AD177" s="178">
        <f t="shared" si="2"/>
        <v>1152963</v>
      </c>
      <c r="AE177" s="174">
        <v>147.22999999999999</v>
      </c>
      <c r="AF177" s="173">
        <v>7831.0330774977929</v>
      </c>
      <c r="AG177" s="168"/>
    </row>
    <row r="178" spans="1:33">
      <c r="A178" s="130" t="s">
        <v>47</v>
      </c>
      <c r="B178" s="6" t="s">
        <v>19</v>
      </c>
      <c r="C178" s="110" t="s">
        <v>67</v>
      </c>
      <c r="D178" s="110" t="s">
        <v>745</v>
      </c>
      <c r="E178" s="118" t="s">
        <v>404</v>
      </c>
      <c r="F178" s="103" t="s">
        <v>688</v>
      </c>
      <c r="G178" s="111">
        <v>2291124</v>
      </c>
      <c r="H178" s="112">
        <v>293.75</v>
      </c>
      <c r="I178" s="137">
        <v>7799.5710638297869</v>
      </c>
      <c r="J178" s="13"/>
      <c r="K178" s="15"/>
      <c r="L178" s="15"/>
      <c r="M178" s="15"/>
      <c r="T178" s="170" t="s">
        <v>47</v>
      </c>
      <c r="U178" s="295" t="s">
        <v>19</v>
      </c>
      <c r="V178" s="110" t="s">
        <v>67</v>
      </c>
      <c r="W178" s="110" t="s">
        <v>856</v>
      </c>
      <c r="X178" s="293" t="s">
        <v>507</v>
      </c>
      <c r="Y178" s="103" t="s">
        <v>688</v>
      </c>
      <c r="Z178" s="177">
        <v>200725</v>
      </c>
      <c r="AA178" s="177">
        <v>0</v>
      </c>
      <c r="AB178" s="177">
        <v>2043051</v>
      </c>
      <c r="AC178" s="177">
        <v>235130</v>
      </c>
      <c r="AD178" s="177">
        <f t="shared" si="2"/>
        <v>2478906</v>
      </c>
      <c r="AE178" s="112">
        <v>284.80500000000001</v>
      </c>
      <c r="AF178" s="111">
        <v>8703.8710696792532</v>
      </c>
      <c r="AG178" s="168"/>
    </row>
    <row r="179" spans="1:33">
      <c r="A179" s="130" t="s">
        <v>47</v>
      </c>
      <c r="B179" s="6" t="s">
        <v>19</v>
      </c>
      <c r="C179" s="110" t="s">
        <v>67</v>
      </c>
      <c r="D179" s="334" t="s">
        <v>746</v>
      </c>
      <c r="E179" s="118" t="s">
        <v>405</v>
      </c>
      <c r="F179" s="103" t="s">
        <v>660</v>
      </c>
      <c r="G179" s="111">
        <v>957566</v>
      </c>
      <c r="H179" s="112">
        <v>114.515</v>
      </c>
      <c r="I179" s="137">
        <v>8361.926385189714</v>
      </c>
      <c r="J179" s="13"/>
      <c r="K179" s="15"/>
      <c r="L179" s="15"/>
      <c r="M179" s="15"/>
      <c r="T179" s="171" t="s">
        <v>47</v>
      </c>
      <c r="U179" s="294" t="s">
        <v>19</v>
      </c>
      <c r="V179" s="172" t="s">
        <v>67</v>
      </c>
      <c r="W179" s="172" t="s">
        <v>857</v>
      </c>
      <c r="X179" s="294" t="s">
        <v>508</v>
      </c>
      <c r="Y179" s="172" t="s">
        <v>688</v>
      </c>
      <c r="Z179" s="178">
        <v>29471</v>
      </c>
      <c r="AA179" s="178">
        <v>0</v>
      </c>
      <c r="AB179" s="178">
        <v>2641840</v>
      </c>
      <c r="AC179" s="178">
        <v>187146</v>
      </c>
      <c r="AD179" s="178">
        <f t="shared" si="2"/>
        <v>2858457</v>
      </c>
      <c r="AE179" s="174">
        <v>423.48500000000001</v>
      </c>
      <c r="AF179" s="173">
        <v>6749.8423793050515</v>
      </c>
      <c r="AG179" s="168"/>
    </row>
    <row r="180" spans="1:33">
      <c r="A180" s="130" t="s">
        <v>47</v>
      </c>
      <c r="B180" s="6" t="s">
        <v>19</v>
      </c>
      <c r="C180" s="110" t="s">
        <v>67</v>
      </c>
      <c r="D180" s="334" t="s">
        <v>747</v>
      </c>
      <c r="E180" s="118" t="s">
        <v>406</v>
      </c>
      <c r="F180" s="103" t="s">
        <v>660</v>
      </c>
      <c r="G180" s="111">
        <v>1326650</v>
      </c>
      <c r="H180" s="112">
        <v>164.82</v>
      </c>
      <c r="I180" s="137">
        <v>8049.0838490474462</v>
      </c>
      <c r="J180" s="13"/>
      <c r="K180" s="15"/>
      <c r="L180" s="15"/>
      <c r="M180" s="15"/>
      <c r="T180" s="170" t="s">
        <v>47</v>
      </c>
      <c r="U180" s="295" t="s">
        <v>19</v>
      </c>
      <c r="V180" s="110" t="s">
        <v>67</v>
      </c>
      <c r="W180" s="110" t="s">
        <v>858</v>
      </c>
      <c r="X180" s="293" t="s">
        <v>509</v>
      </c>
      <c r="Y180" s="103" t="s">
        <v>688</v>
      </c>
      <c r="Z180" s="177">
        <v>13994</v>
      </c>
      <c r="AA180" s="177">
        <v>0</v>
      </c>
      <c r="AB180" s="177">
        <v>3991722</v>
      </c>
      <c r="AC180" s="177">
        <v>390367</v>
      </c>
      <c r="AD180" s="177">
        <f t="shared" si="2"/>
        <v>4396083</v>
      </c>
      <c r="AE180" s="112">
        <v>689.34500000000003</v>
      </c>
      <c r="AF180" s="111">
        <v>6377.1884905236129</v>
      </c>
      <c r="AG180" s="168"/>
    </row>
    <row r="181" spans="1:33">
      <c r="A181" s="130" t="s">
        <v>47</v>
      </c>
      <c r="B181" s="6" t="s">
        <v>19</v>
      </c>
      <c r="C181" s="334" t="s">
        <v>67</v>
      </c>
      <c r="D181" s="334" t="s">
        <v>748</v>
      </c>
      <c r="E181" s="118" t="s">
        <v>192</v>
      </c>
      <c r="F181" s="103" t="s">
        <v>688</v>
      </c>
      <c r="G181" s="111">
        <v>452140</v>
      </c>
      <c r="H181" s="112">
        <v>67.742999999999995</v>
      </c>
      <c r="I181" s="137">
        <v>6674.3427365189027</v>
      </c>
      <c r="J181" s="13"/>
      <c r="K181" s="15"/>
      <c r="L181" s="15"/>
      <c r="M181" s="15"/>
      <c r="T181" s="171" t="s">
        <v>47</v>
      </c>
      <c r="U181" s="294" t="s">
        <v>19</v>
      </c>
      <c r="V181" s="172" t="s">
        <v>67</v>
      </c>
      <c r="W181" s="172" t="s">
        <v>859</v>
      </c>
      <c r="X181" s="294" t="s">
        <v>292</v>
      </c>
      <c r="Y181" s="172" t="s">
        <v>688</v>
      </c>
      <c r="Z181" s="178">
        <v>49237</v>
      </c>
      <c r="AA181" s="178">
        <v>0</v>
      </c>
      <c r="AB181" s="178">
        <v>827493</v>
      </c>
      <c r="AC181" s="178">
        <v>159260</v>
      </c>
      <c r="AD181" s="178">
        <f t="shared" si="2"/>
        <v>1035990</v>
      </c>
      <c r="AE181" s="174">
        <v>98.67</v>
      </c>
      <c r="AF181" s="173">
        <v>10499.543934326543</v>
      </c>
      <c r="AG181" s="168"/>
    </row>
    <row r="182" spans="1:33">
      <c r="A182" s="130" t="s">
        <v>47</v>
      </c>
      <c r="B182" s="6" t="s">
        <v>19</v>
      </c>
      <c r="C182" s="110" t="s">
        <v>68</v>
      </c>
      <c r="D182" s="103" t="s">
        <v>1088</v>
      </c>
      <c r="E182" s="6" t="s">
        <v>192</v>
      </c>
      <c r="F182" s="334" t="s">
        <v>329</v>
      </c>
      <c r="G182" s="111">
        <v>275713573</v>
      </c>
      <c r="H182" s="112">
        <v>34322.67</v>
      </c>
      <c r="I182" s="137">
        <v>8032.9873229559362</v>
      </c>
      <c r="J182" s="13"/>
      <c r="K182" s="15"/>
      <c r="L182" s="15"/>
      <c r="M182" s="15"/>
      <c r="T182" s="171" t="s">
        <v>47</v>
      </c>
      <c r="U182" s="294" t="s">
        <v>19</v>
      </c>
      <c r="V182" s="172" t="s">
        <v>67</v>
      </c>
      <c r="W182" s="172" t="s">
        <v>860</v>
      </c>
      <c r="X182" s="294" t="s">
        <v>510</v>
      </c>
      <c r="Y182" s="172" t="s">
        <v>688</v>
      </c>
      <c r="Z182" s="178">
        <v>21084</v>
      </c>
      <c r="AA182" s="178">
        <v>0</v>
      </c>
      <c r="AB182" s="178">
        <v>2102520</v>
      </c>
      <c r="AC182" s="178">
        <v>195486</v>
      </c>
      <c r="AD182" s="178">
        <f t="shared" si="2"/>
        <v>2319090</v>
      </c>
      <c r="AE182" s="174">
        <v>323.07</v>
      </c>
      <c r="AF182" s="173">
        <v>7178.2895347757458</v>
      </c>
      <c r="AG182" s="168"/>
    </row>
    <row r="183" spans="1:33">
      <c r="A183" s="130" t="s">
        <v>47</v>
      </c>
      <c r="B183" s="6" t="s">
        <v>19</v>
      </c>
      <c r="C183" s="110" t="s">
        <v>67</v>
      </c>
      <c r="D183" s="334" t="s">
        <v>749</v>
      </c>
      <c r="E183" s="118" t="s">
        <v>407</v>
      </c>
      <c r="F183" s="103" t="s">
        <v>688</v>
      </c>
      <c r="G183" s="111">
        <v>3565930</v>
      </c>
      <c r="H183" s="112">
        <v>506.64</v>
      </c>
      <c r="I183" s="137">
        <v>7038.3901784304435</v>
      </c>
      <c r="J183" s="13"/>
      <c r="K183" s="15"/>
      <c r="L183" s="15"/>
      <c r="M183" s="15"/>
      <c r="T183" s="171" t="s">
        <v>47</v>
      </c>
      <c r="U183" s="294" t="s">
        <v>19</v>
      </c>
      <c r="V183" s="172" t="s">
        <v>67</v>
      </c>
      <c r="W183" s="172" t="s">
        <v>861</v>
      </c>
      <c r="X183" s="294" t="s">
        <v>649</v>
      </c>
      <c r="Y183" s="172" t="s">
        <v>660</v>
      </c>
      <c r="Z183" s="178">
        <v>968034</v>
      </c>
      <c r="AA183" s="178">
        <v>141900</v>
      </c>
      <c r="AB183" s="178">
        <v>2198851</v>
      </c>
      <c r="AC183" s="178">
        <v>0</v>
      </c>
      <c r="AD183" s="178">
        <f t="shared" si="2"/>
        <v>3308785</v>
      </c>
      <c r="AE183" s="174">
        <v>328.35</v>
      </c>
      <c r="AF183" s="173">
        <v>10077.006243337901</v>
      </c>
      <c r="AG183" s="168"/>
    </row>
    <row r="184" spans="1:33">
      <c r="A184" s="130" t="s">
        <v>47</v>
      </c>
      <c r="B184" s="6" t="s">
        <v>19</v>
      </c>
      <c r="C184" s="110" t="s">
        <v>68</v>
      </c>
      <c r="D184" s="103" t="s">
        <v>1089</v>
      </c>
      <c r="E184" s="6" t="s">
        <v>193</v>
      </c>
      <c r="F184" s="334" t="s">
        <v>329</v>
      </c>
      <c r="G184" s="111">
        <v>201540103</v>
      </c>
      <c r="H184" s="112">
        <v>19626.942999999999</v>
      </c>
      <c r="I184" s="137">
        <v>10268.542737399299</v>
      </c>
      <c r="J184" s="13"/>
      <c r="K184" s="15"/>
      <c r="L184" s="15"/>
      <c r="M184" s="15"/>
      <c r="T184" s="170" t="s">
        <v>47</v>
      </c>
      <c r="U184" s="295" t="s">
        <v>19</v>
      </c>
      <c r="V184" s="110" t="s">
        <v>67</v>
      </c>
      <c r="W184" s="110" t="s">
        <v>862</v>
      </c>
      <c r="X184" s="293" t="s">
        <v>511</v>
      </c>
      <c r="Y184" s="103" t="s">
        <v>660</v>
      </c>
      <c r="Z184" s="177">
        <v>25871</v>
      </c>
      <c r="AA184" s="177">
        <v>0</v>
      </c>
      <c r="AB184" s="177">
        <v>1828440</v>
      </c>
      <c r="AC184" s="177">
        <v>143154</v>
      </c>
      <c r="AD184" s="177">
        <f t="shared" si="2"/>
        <v>1997465</v>
      </c>
      <c r="AE184" s="112">
        <v>255.505</v>
      </c>
      <c r="AF184" s="111">
        <v>7817.7139390618577</v>
      </c>
      <c r="AG184" s="168"/>
    </row>
    <row r="185" spans="1:33">
      <c r="A185" s="130" t="s">
        <v>47</v>
      </c>
      <c r="B185" s="6" t="s">
        <v>19</v>
      </c>
      <c r="C185" s="110" t="s">
        <v>67</v>
      </c>
      <c r="D185" s="334" t="s">
        <v>750</v>
      </c>
      <c r="E185" s="118" t="s">
        <v>408</v>
      </c>
      <c r="F185" s="103" t="s">
        <v>660</v>
      </c>
      <c r="G185" s="111">
        <v>1650430</v>
      </c>
      <c r="H185" s="112">
        <v>233.22</v>
      </c>
      <c r="I185" s="137">
        <v>7076.7086870765797</v>
      </c>
      <c r="J185" s="13"/>
      <c r="K185" s="15"/>
      <c r="L185" s="15"/>
      <c r="M185" s="15"/>
      <c r="T185" s="171" t="s">
        <v>47</v>
      </c>
      <c r="U185" s="294" t="s">
        <v>19</v>
      </c>
      <c r="V185" s="172" t="s">
        <v>67</v>
      </c>
      <c r="W185" s="172" t="s">
        <v>863</v>
      </c>
      <c r="X185" s="294" t="s">
        <v>650</v>
      </c>
      <c r="Y185" s="172" t="s">
        <v>678</v>
      </c>
      <c r="Z185" s="178">
        <v>14353</v>
      </c>
      <c r="AA185" s="178">
        <v>0</v>
      </c>
      <c r="AB185" s="178">
        <v>429338</v>
      </c>
      <c r="AC185" s="178">
        <v>26186</v>
      </c>
      <c r="AD185" s="178">
        <f t="shared" si="2"/>
        <v>469877</v>
      </c>
      <c r="AE185" s="174">
        <v>68.015000000000001</v>
      </c>
      <c r="AF185" s="173">
        <v>6908.431963537455</v>
      </c>
      <c r="AG185" s="168"/>
    </row>
    <row r="186" spans="1:33">
      <c r="A186" s="130" t="s">
        <v>47</v>
      </c>
      <c r="B186" s="6" t="s">
        <v>19</v>
      </c>
      <c r="C186" s="334" t="s">
        <v>67</v>
      </c>
      <c r="D186" s="334" t="s">
        <v>751</v>
      </c>
      <c r="E186" s="118" t="s">
        <v>409</v>
      </c>
      <c r="F186" s="103" t="s">
        <v>692</v>
      </c>
      <c r="G186" s="111">
        <v>3287498</v>
      </c>
      <c r="H186" s="112">
        <v>408.69499999999999</v>
      </c>
      <c r="I186" s="137">
        <v>8043.8909211025339</v>
      </c>
      <c r="J186" s="13"/>
      <c r="K186" s="15"/>
      <c r="L186" s="15"/>
      <c r="M186" s="15"/>
      <c r="T186" s="170" t="s">
        <v>47</v>
      </c>
      <c r="U186" s="295" t="s">
        <v>19</v>
      </c>
      <c r="V186" s="110" t="s">
        <v>67</v>
      </c>
      <c r="W186" s="110" t="s">
        <v>864</v>
      </c>
      <c r="X186" s="293" t="s">
        <v>651</v>
      </c>
      <c r="Y186" s="103" t="s">
        <v>865</v>
      </c>
      <c r="Z186" s="177">
        <v>8107</v>
      </c>
      <c r="AA186" s="177">
        <v>0</v>
      </c>
      <c r="AB186" s="177">
        <v>455696</v>
      </c>
      <c r="AC186" s="177">
        <v>127765</v>
      </c>
      <c r="AD186" s="177">
        <f t="shared" si="2"/>
        <v>591568</v>
      </c>
      <c r="AE186" s="112">
        <v>65.765000000000001</v>
      </c>
      <c r="AF186" s="111">
        <v>8995.1798068881617</v>
      </c>
      <c r="AG186" s="168"/>
    </row>
    <row r="187" spans="1:33">
      <c r="A187" s="130" t="s">
        <v>47</v>
      </c>
      <c r="B187" s="6" t="s">
        <v>19</v>
      </c>
      <c r="C187" s="110" t="s">
        <v>67</v>
      </c>
      <c r="D187" s="110" t="s">
        <v>677</v>
      </c>
      <c r="E187" s="118" t="s">
        <v>38</v>
      </c>
      <c r="F187" s="103" t="s">
        <v>678</v>
      </c>
      <c r="G187" s="111">
        <v>143574</v>
      </c>
      <c r="H187" s="112">
        <v>20.71</v>
      </c>
      <c r="I187" s="137">
        <v>6932.5929502655717</v>
      </c>
      <c r="J187" s="13"/>
      <c r="K187" s="15"/>
      <c r="L187" s="15"/>
      <c r="M187" s="15"/>
      <c r="T187" s="170" t="s">
        <v>47</v>
      </c>
      <c r="U187" s="295" t="s">
        <v>19</v>
      </c>
      <c r="V187" s="110" t="s">
        <v>67</v>
      </c>
      <c r="W187" s="110" t="s">
        <v>879</v>
      </c>
      <c r="X187" s="293" t="s">
        <v>525</v>
      </c>
      <c r="Y187" s="103" t="s">
        <v>660</v>
      </c>
      <c r="Z187" s="177">
        <v>438923</v>
      </c>
      <c r="AA187" s="177">
        <v>0</v>
      </c>
      <c r="AB187" s="177">
        <v>3861806</v>
      </c>
      <c r="AC187" s="177">
        <v>81794</v>
      </c>
      <c r="AD187" s="177">
        <f t="shared" si="2"/>
        <v>4382523</v>
      </c>
      <c r="AE187" s="112">
        <v>657.17</v>
      </c>
      <c r="AF187" s="111">
        <v>6668.7812894684785</v>
      </c>
      <c r="AG187" s="168"/>
    </row>
    <row r="188" spans="1:33">
      <c r="A188" s="130" t="s">
        <v>47</v>
      </c>
      <c r="B188" s="6" t="s">
        <v>19</v>
      </c>
      <c r="C188" s="110" t="s">
        <v>68</v>
      </c>
      <c r="D188" s="103" t="s">
        <v>1090</v>
      </c>
      <c r="E188" s="6" t="s">
        <v>194</v>
      </c>
      <c r="F188" s="334" t="s">
        <v>132</v>
      </c>
      <c r="G188" s="111">
        <v>42519089</v>
      </c>
      <c r="H188" s="112">
        <v>7567.1180000000004</v>
      </c>
      <c r="I188" s="137">
        <v>5618.9277080124821</v>
      </c>
      <c r="J188" s="13"/>
      <c r="K188" s="15"/>
      <c r="L188" s="15"/>
      <c r="M188" s="15"/>
      <c r="T188" s="171" t="s">
        <v>47</v>
      </c>
      <c r="U188" s="294" t="s">
        <v>19</v>
      </c>
      <c r="V188" s="172" t="s">
        <v>67</v>
      </c>
      <c r="W188" s="172" t="s">
        <v>866</v>
      </c>
      <c r="X188" s="294" t="s">
        <v>512</v>
      </c>
      <c r="Y188" s="172" t="s">
        <v>688</v>
      </c>
      <c r="Z188" s="178">
        <v>313135</v>
      </c>
      <c r="AA188" s="178">
        <v>0</v>
      </c>
      <c r="AB188" s="178">
        <v>1184557</v>
      </c>
      <c r="AC188" s="178">
        <v>31801</v>
      </c>
      <c r="AD188" s="178">
        <f t="shared" si="2"/>
        <v>1529493</v>
      </c>
      <c r="AE188" s="174">
        <v>174.43</v>
      </c>
      <c r="AF188" s="173">
        <v>8768.5203233388747</v>
      </c>
      <c r="AG188" s="168"/>
    </row>
    <row r="189" spans="1:33">
      <c r="A189" s="130" t="s">
        <v>47</v>
      </c>
      <c r="B189" s="6" t="s">
        <v>19</v>
      </c>
      <c r="C189" s="110" t="s">
        <v>67</v>
      </c>
      <c r="D189" s="110" t="s">
        <v>752</v>
      </c>
      <c r="E189" s="118" t="s">
        <v>410</v>
      </c>
      <c r="F189" s="103" t="s">
        <v>688</v>
      </c>
      <c r="G189" s="111">
        <v>1208139</v>
      </c>
      <c r="H189" s="112">
        <v>136.88999999999999</v>
      </c>
      <c r="I189" s="137">
        <v>8825.6191102344965</v>
      </c>
      <c r="J189" s="13"/>
      <c r="K189" s="15"/>
      <c r="L189" s="15"/>
      <c r="M189" s="15"/>
      <c r="T189" s="170" t="s">
        <v>47</v>
      </c>
      <c r="U189" s="295" t="s">
        <v>19</v>
      </c>
      <c r="V189" s="110" t="s">
        <v>67</v>
      </c>
      <c r="W189" s="110" t="s">
        <v>867</v>
      </c>
      <c r="X189" s="293" t="s">
        <v>513</v>
      </c>
      <c r="Y189" s="103" t="s">
        <v>678</v>
      </c>
      <c r="Z189" s="177">
        <v>39760</v>
      </c>
      <c r="AA189" s="177">
        <v>0</v>
      </c>
      <c r="AB189" s="177">
        <v>451635</v>
      </c>
      <c r="AC189" s="177">
        <v>13901</v>
      </c>
      <c r="AD189" s="177">
        <f t="shared" si="2"/>
        <v>505296</v>
      </c>
      <c r="AE189" s="112">
        <v>64.97</v>
      </c>
      <c r="AF189" s="111">
        <v>7777.3741726950902</v>
      </c>
      <c r="AG189" s="168"/>
    </row>
    <row r="190" spans="1:33">
      <c r="A190" s="130" t="s">
        <v>47</v>
      </c>
      <c r="B190" s="6" t="s">
        <v>19</v>
      </c>
      <c r="C190" s="110" t="s">
        <v>67</v>
      </c>
      <c r="D190" s="110" t="s">
        <v>753</v>
      </c>
      <c r="E190" s="118" t="s">
        <v>411</v>
      </c>
      <c r="F190" s="103" t="s">
        <v>660</v>
      </c>
      <c r="G190" s="111">
        <v>359441</v>
      </c>
      <c r="H190" s="112">
        <v>52.844999999999999</v>
      </c>
      <c r="I190" s="137">
        <v>6801.7977102847954</v>
      </c>
      <c r="J190" s="13"/>
      <c r="K190" s="15"/>
      <c r="L190" s="15"/>
      <c r="M190" s="15"/>
      <c r="T190" s="171" t="s">
        <v>47</v>
      </c>
      <c r="U190" s="294" t="s">
        <v>19</v>
      </c>
      <c r="V190" s="172" t="s">
        <v>67</v>
      </c>
      <c r="W190" s="172" t="s">
        <v>868</v>
      </c>
      <c r="X190" s="294" t="s">
        <v>514</v>
      </c>
      <c r="Y190" s="172" t="s">
        <v>688</v>
      </c>
      <c r="Z190" s="178">
        <v>605747</v>
      </c>
      <c r="AA190" s="178">
        <v>0</v>
      </c>
      <c r="AB190" s="178">
        <v>1695426</v>
      </c>
      <c r="AC190" s="178">
        <v>0</v>
      </c>
      <c r="AD190" s="178">
        <f t="shared" si="2"/>
        <v>2301173</v>
      </c>
      <c r="AE190" s="174">
        <v>251.23</v>
      </c>
      <c r="AF190" s="173">
        <v>9159.6266369462246</v>
      </c>
      <c r="AG190" s="168"/>
    </row>
    <row r="191" spans="1:33">
      <c r="A191" s="130" t="s">
        <v>47</v>
      </c>
      <c r="B191" s="6" t="s">
        <v>19</v>
      </c>
      <c r="C191" s="110" t="s">
        <v>67</v>
      </c>
      <c r="D191" s="334" t="s">
        <v>754</v>
      </c>
      <c r="E191" s="118" t="s">
        <v>412</v>
      </c>
      <c r="F191" s="103" t="s">
        <v>660</v>
      </c>
      <c r="G191" s="111">
        <v>612612</v>
      </c>
      <c r="H191" s="112">
        <v>85.867999999999995</v>
      </c>
      <c r="I191" s="137">
        <v>7134.3457399729823</v>
      </c>
      <c r="J191" s="13"/>
      <c r="K191" s="15"/>
      <c r="L191" s="15"/>
      <c r="M191" s="15"/>
      <c r="T191" s="170" t="s">
        <v>47</v>
      </c>
      <c r="U191" s="295" t="s">
        <v>19</v>
      </c>
      <c r="V191" s="110" t="s">
        <v>67</v>
      </c>
      <c r="W191" s="110" t="s">
        <v>869</v>
      </c>
      <c r="X191" s="293" t="s">
        <v>515</v>
      </c>
      <c r="Y191" s="103" t="s">
        <v>660</v>
      </c>
      <c r="Z191" s="177">
        <v>171492</v>
      </c>
      <c r="AA191" s="177">
        <v>0</v>
      </c>
      <c r="AB191" s="177">
        <v>2631305</v>
      </c>
      <c r="AC191" s="177">
        <v>307499</v>
      </c>
      <c r="AD191" s="177">
        <f t="shared" si="2"/>
        <v>3110296</v>
      </c>
      <c r="AE191" s="112">
        <v>370.39</v>
      </c>
      <c r="AF191" s="111">
        <v>8397.3541402305673</v>
      </c>
      <c r="AG191" s="168"/>
    </row>
    <row r="192" spans="1:33">
      <c r="A192" s="130" t="s">
        <v>47</v>
      </c>
      <c r="B192" s="6" t="s">
        <v>19</v>
      </c>
      <c r="C192" s="110" t="s">
        <v>67</v>
      </c>
      <c r="D192" s="334" t="s">
        <v>755</v>
      </c>
      <c r="E192" s="118" t="s">
        <v>413</v>
      </c>
      <c r="F192" s="103" t="s">
        <v>660</v>
      </c>
      <c r="G192" s="111">
        <v>449036</v>
      </c>
      <c r="H192" s="112">
        <v>65.38</v>
      </c>
      <c r="I192" s="137">
        <v>6868.0942184154183</v>
      </c>
      <c r="J192" s="13"/>
      <c r="K192" s="15"/>
      <c r="L192" s="15"/>
      <c r="M192" s="15"/>
      <c r="T192" s="171" t="s">
        <v>47</v>
      </c>
      <c r="U192" s="294" t="s">
        <v>19</v>
      </c>
      <c r="V192" s="172" t="s">
        <v>67</v>
      </c>
      <c r="W192" s="172" t="s">
        <v>870</v>
      </c>
      <c r="X192" s="294" t="s">
        <v>516</v>
      </c>
      <c r="Y192" s="172" t="s">
        <v>660</v>
      </c>
      <c r="Z192" s="178">
        <v>6916</v>
      </c>
      <c r="AA192" s="178">
        <v>0</v>
      </c>
      <c r="AB192" s="178">
        <v>246972</v>
      </c>
      <c r="AC192" s="178">
        <v>10876</v>
      </c>
      <c r="AD192" s="178">
        <f t="shared" si="2"/>
        <v>264764</v>
      </c>
      <c r="AE192" s="174">
        <v>34.659999999999997</v>
      </c>
      <c r="AF192" s="173">
        <v>7638.8920946335838</v>
      </c>
      <c r="AG192" s="168"/>
    </row>
    <row r="193" spans="1:33">
      <c r="A193" s="130" t="s">
        <v>47</v>
      </c>
      <c r="B193" s="6" t="s">
        <v>19</v>
      </c>
      <c r="C193" s="110" t="s">
        <v>67</v>
      </c>
      <c r="D193" s="334" t="s">
        <v>756</v>
      </c>
      <c r="E193" s="118" t="s">
        <v>414</v>
      </c>
      <c r="F193" s="103" t="s">
        <v>660</v>
      </c>
      <c r="G193" s="111">
        <v>1001936</v>
      </c>
      <c r="H193" s="112">
        <v>143.22999999999999</v>
      </c>
      <c r="I193" s="137">
        <v>6995.294281924178</v>
      </c>
      <c r="J193" s="13"/>
      <c r="K193" s="15"/>
      <c r="L193" s="15"/>
      <c r="M193" s="15"/>
      <c r="T193" s="170" t="s">
        <v>47</v>
      </c>
      <c r="U193" s="295" t="s">
        <v>19</v>
      </c>
      <c r="V193" s="110" t="s">
        <v>67</v>
      </c>
      <c r="W193" s="110" t="s">
        <v>871</v>
      </c>
      <c r="X193" s="293" t="s">
        <v>517</v>
      </c>
      <c r="Y193" s="103" t="s">
        <v>660</v>
      </c>
      <c r="Z193" s="177">
        <v>1006738</v>
      </c>
      <c r="AA193" s="177">
        <v>0</v>
      </c>
      <c r="AB193" s="177">
        <v>2908042</v>
      </c>
      <c r="AC193" s="177">
        <v>57672</v>
      </c>
      <c r="AD193" s="177">
        <f t="shared" si="2"/>
        <v>3972452</v>
      </c>
      <c r="AE193" s="112">
        <v>454.03</v>
      </c>
      <c r="AF193" s="111">
        <v>8749.3161244851672</v>
      </c>
      <c r="AG193" s="168"/>
    </row>
    <row r="194" spans="1:33">
      <c r="A194" s="130" t="s">
        <v>47</v>
      </c>
      <c r="B194" s="6" t="s">
        <v>19</v>
      </c>
      <c r="C194" s="110" t="s">
        <v>67</v>
      </c>
      <c r="D194" s="110" t="s">
        <v>757</v>
      </c>
      <c r="E194" s="118" t="s">
        <v>415</v>
      </c>
      <c r="F194" s="103" t="s">
        <v>678</v>
      </c>
      <c r="G194" s="111">
        <v>6397288</v>
      </c>
      <c r="H194" s="112">
        <v>1048.7850000000001</v>
      </c>
      <c r="I194" s="137">
        <v>6099.7134779768967</v>
      </c>
      <c r="J194" s="13"/>
      <c r="K194" s="15"/>
      <c r="L194" s="15"/>
      <c r="M194" s="15"/>
      <c r="T194" s="171" t="s">
        <v>47</v>
      </c>
      <c r="U194" s="294" t="s">
        <v>19</v>
      </c>
      <c r="V194" s="172" t="s">
        <v>67</v>
      </c>
      <c r="W194" s="172" t="s">
        <v>872</v>
      </c>
      <c r="X194" s="294" t="s">
        <v>518</v>
      </c>
      <c r="Y194" s="172" t="s">
        <v>688</v>
      </c>
      <c r="Z194" s="178">
        <v>24889</v>
      </c>
      <c r="AA194" s="178">
        <v>0</v>
      </c>
      <c r="AB194" s="178">
        <v>558259</v>
      </c>
      <c r="AC194" s="178">
        <v>48594</v>
      </c>
      <c r="AD194" s="178">
        <f t="shared" si="2"/>
        <v>631742</v>
      </c>
      <c r="AE194" s="174">
        <v>78.11</v>
      </c>
      <c r="AF194" s="173">
        <v>8087.8504672897197</v>
      </c>
      <c r="AG194" s="168"/>
    </row>
    <row r="195" spans="1:33">
      <c r="A195" s="130" t="s">
        <v>47</v>
      </c>
      <c r="B195" s="6" t="s">
        <v>19</v>
      </c>
      <c r="C195" s="334" t="s">
        <v>67</v>
      </c>
      <c r="D195" s="334" t="s">
        <v>758</v>
      </c>
      <c r="E195" s="118" t="s">
        <v>416</v>
      </c>
      <c r="F195" s="103" t="s">
        <v>688</v>
      </c>
      <c r="G195" s="111">
        <v>1514133</v>
      </c>
      <c r="H195" s="112">
        <v>254.34</v>
      </c>
      <c r="I195" s="137">
        <v>5953.1847133757965</v>
      </c>
      <c r="J195" s="13"/>
      <c r="K195" s="15"/>
      <c r="L195" s="15"/>
      <c r="M195" s="15"/>
      <c r="T195" s="171" t="s">
        <v>47</v>
      </c>
      <c r="U195" s="294" t="s">
        <v>19</v>
      </c>
      <c r="V195" s="172" t="s">
        <v>67</v>
      </c>
      <c r="W195" s="172" t="s">
        <v>873</v>
      </c>
      <c r="X195" s="294" t="s">
        <v>519</v>
      </c>
      <c r="Y195" s="172" t="s">
        <v>688</v>
      </c>
      <c r="Z195" s="178">
        <v>462055</v>
      </c>
      <c r="AA195" s="178">
        <v>0</v>
      </c>
      <c r="AB195" s="178">
        <v>2795047</v>
      </c>
      <c r="AC195" s="178">
        <v>92686</v>
      </c>
      <c r="AD195" s="178">
        <f t="shared" si="2"/>
        <v>3349788</v>
      </c>
      <c r="AE195" s="174">
        <v>420.14499999999998</v>
      </c>
      <c r="AF195" s="173">
        <v>7972.9331540301564</v>
      </c>
      <c r="AG195" s="168"/>
    </row>
    <row r="196" spans="1:33">
      <c r="A196" s="130" t="s">
        <v>47</v>
      </c>
      <c r="B196" s="6" t="s">
        <v>19</v>
      </c>
      <c r="C196" s="110" t="s">
        <v>67</v>
      </c>
      <c r="D196" s="110" t="s">
        <v>759</v>
      </c>
      <c r="E196" s="118" t="s">
        <v>417</v>
      </c>
      <c r="F196" s="103" t="s">
        <v>660</v>
      </c>
      <c r="G196" s="111">
        <v>1649267</v>
      </c>
      <c r="H196" s="112">
        <v>216.80500000000001</v>
      </c>
      <c r="I196" s="137">
        <v>7607.1446691727588</v>
      </c>
      <c r="J196" s="13"/>
      <c r="K196" s="15"/>
      <c r="L196" s="15"/>
      <c r="M196" s="15"/>
      <c r="T196" s="170" t="s">
        <v>47</v>
      </c>
      <c r="U196" s="295" t="s">
        <v>19</v>
      </c>
      <c r="V196" s="110" t="s">
        <v>67</v>
      </c>
      <c r="W196" s="110" t="s">
        <v>874</v>
      </c>
      <c r="X196" s="293" t="s">
        <v>520</v>
      </c>
      <c r="Y196" s="103" t="s">
        <v>688</v>
      </c>
      <c r="Z196" s="177">
        <v>14505</v>
      </c>
      <c r="AA196" s="177">
        <v>0</v>
      </c>
      <c r="AB196" s="177">
        <v>718513</v>
      </c>
      <c r="AC196" s="177">
        <v>10968</v>
      </c>
      <c r="AD196" s="177">
        <f t="shared" si="2"/>
        <v>743986</v>
      </c>
      <c r="AE196" s="112">
        <v>110.8</v>
      </c>
      <c r="AF196" s="111">
        <v>6714.6750902527074</v>
      </c>
      <c r="AG196" s="168"/>
    </row>
    <row r="197" spans="1:33">
      <c r="A197" s="130" t="s">
        <v>47</v>
      </c>
      <c r="B197" s="6" t="s">
        <v>19</v>
      </c>
      <c r="C197" s="334" t="s">
        <v>67</v>
      </c>
      <c r="D197" s="334" t="s">
        <v>760</v>
      </c>
      <c r="E197" s="118" t="s">
        <v>418</v>
      </c>
      <c r="F197" s="103" t="s">
        <v>678</v>
      </c>
      <c r="G197" s="111">
        <v>1990304</v>
      </c>
      <c r="H197" s="112">
        <v>244.57499999999999</v>
      </c>
      <c r="I197" s="137">
        <v>8137.8063988551576</v>
      </c>
      <c r="J197" s="13"/>
      <c r="K197" s="15"/>
      <c r="L197" s="15"/>
      <c r="M197" s="15"/>
      <c r="T197" s="171" t="s">
        <v>47</v>
      </c>
      <c r="U197" s="294" t="s">
        <v>19</v>
      </c>
      <c r="V197" s="172" t="s">
        <v>67</v>
      </c>
      <c r="W197" s="172" t="s">
        <v>875</v>
      </c>
      <c r="X197" s="294" t="s">
        <v>521</v>
      </c>
      <c r="Y197" s="172" t="s">
        <v>688</v>
      </c>
      <c r="Z197" s="178">
        <v>18051</v>
      </c>
      <c r="AA197" s="178">
        <v>0</v>
      </c>
      <c r="AB197" s="178">
        <v>4057201</v>
      </c>
      <c r="AC197" s="178">
        <v>498722</v>
      </c>
      <c r="AD197" s="178">
        <f t="shared" si="2"/>
        <v>4573974</v>
      </c>
      <c r="AE197" s="174">
        <v>689.41</v>
      </c>
      <c r="AF197" s="173">
        <v>6634.6209077326994</v>
      </c>
      <c r="AG197" s="168"/>
    </row>
    <row r="198" spans="1:33">
      <c r="A198" s="130" t="s">
        <v>47</v>
      </c>
      <c r="B198" s="6" t="s">
        <v>19</v>
      </c>
      <c r="C198" s="110" t="s">
        <v>67</v>
      </c>
      <c r="D198" s="334" t="s">
        <v>761</v>
      </c>
      <c r="E198" s="118" t="s">
        <v>419</v>
      </c>
      <c r="F198" s="103" t="s">
        <v>678</v>
      </c>
      <c r="G198" s="111">
        <v>605520</v>
      </c>
      <c r="H198" s="112">
        <v>77.16</v>
      </c>
      <c r="I198" s="137">
        <v>7847.5894245723175</v>
      </c>
      <c r="J198" s="13"/>
      <c r="K198" s="15"/>
      <c r="L198" s="15"/>
      <c r="M198" s="15"/>
      <c r="T198" s="171" t="s">
        <v>47</v>
      </c>
      <c r="U198" s="294" t="s">
        <v>19</v>
      </c>
      <c r="V198" s="172" t="s">
        <v>67</v>
      </c>
      <c r="W198" s="172" t="s">
        <v>876</v>
      </c>
      <c r="X198" s="294" t="s">
        <v>522</v>
      </c>
      <c r="Y198" s="172" t="s">
        <v>688</v>
      </c>
      <c r="Z198" s="178">
        <v>1000</v>
      </c>
      <c r="AA198" s="178">
        <v>0</v>
      </c>
      <c r="AB198" s="178">
        <v>410718</v>
      </c>
      <c r="AC198" s="178">
        <v>27857</v>
      </c>
      <c r="AD198" s="178">
        <f t="shared" si="2"/>
        <v>439575</v>
      </c>
      <c r="AE198" s="174">
        <v>64.900000000000006</v>
      </c>
      <c r="AF198" s="173">
        <v>6773.1124807395991</v>
      </c>
      <c r="AG198" s="168"/>
    </row>
    <row r="199" spans="1:33">
      <c r="A199" s="130" t="s">
        <v>47</v>
      </c>
      <c r="B199" s="6" t="s">
        <v>19</v>
      </c>
      <c r="C199" s="110" t="s">
        <v>67</v>
      </c>
      <c r="D199" s="334" t="s">
        <v>762</v>
      </c>
      <c r="E199" s="118" t="s">
        <v>420</v>
      </c>
      <c r="F199" s="103" t="s">
        <v>692</v>
      </c>
      <c r="G199" s="111">
        <v>772045</v>
      </c>
      <c r="H199" s="112">
        <v>66.930000000000007</v>
      </c>
      <c r="I199" s="137">
        <v>11535.111310324219</v>
      </c>
      <c r="J199" s="13"/>
      <c r="K199" s="15"/>
      <c r="L199" s="15"/>
      <c r="M199" s="15"/>
      <c r="T199" s="170" t="s">
        <v>47</v>
      </c>
      <c r="U199" s="295" t="s">
        <v>19</v>
      </c>
      <c r="V199" s="110" t="s">
        <v>67</v>
      </c>
      <c r="W199" s="110" t="s">
        <v>877</v>
      </c>
      <c r="X199" s="293" t="s">
        <v>523</v>
      </c>
      <c r="Y199" s="103" t="s">
        <v>660</v>
      </c>
      <c r="Z199" s="177">
        <v>253438</v>
      </c>
      <c r="AA199" s="177">
        <v>0</v>
      </c>
      <c r="AB199" s="177">
        <v>1791278</v>
      </c>
      <c r="AC199" s="177">
        <v>96466</v>
      </c>
      <c r="AD199" s="177">
        <f t="shared" si="2"/>
        <v>2141182</v>
      </c>
      <c r="AE199" s="112">
        <v>262.77499999999998</v>
      </c>
      <c r="AF199" s="111">
        <v>8148.3474455332516</v>
      </c>
      <c r="AG199" s="168"/>
    </row>
    <row r="200" spans="1:33">
      <c r="A200" s="130" t="s">
        <v>47</v>
      </c>
      <c r="B200" s="6" t="s">
        <v>19</v>
      </c>
      <c r="C200" s="110" t="s">
        <v>67</v>
      </c>
      <c r="D200" s="334" t="s">
        <v>763</v>
      </c>
      <c r="E200" s="118" t="s">
        <v>421</v>
      </c>
      <c r="F200" s="103" t="s">
        <v>764</v>
      </c>
      <c r="G200" s="111">
        <v>5977343</v>
      </c>
      <c r="H200" s="112">
        <v>752.86</v>
      </c>
      <c r="I200" s="137">
        <v>7939.514650798289</v>
      </c>
      <c r="J200" s="13"/>
      <c r="K200" s="15"/>
      <c r="L200" s="15"/>
      <c r="M200" s="15"/>
      <c r="T200" s="171" t="s">
        <v>47</v>
      </c>
      <c r="U200" s="294" t="s">
        <v>19</v>
      </c>
      <c r="V200" s="172" t="s">
        <v>67</v>
      </c>
      <c r="W200" s="172" t="s">
        <v>878</v>
      </c>
      <c r="X200" s="294" t="s">
        <v>524</v>
      </c>
      <c r="Y200" s="172" t="s">
        <v>688</v>
      </c>
      <c r="Z200" s="178">
        <v>8453</v>
      </c>
      <c r="AA200" s="178">
        <v>0</v>
      </c>
      <c r="AB200" s="178">
        <v>1431910</v>
      </c>
      <c r="AC200" s="178">
        <v>151186</v>
      </c>
      <c r="AD200" s="178">
        <f t="shared" ref="AD200:AD266" si="3">SUM(Z200:AC200)</f>
        <v>1591549</v>
      </c>
      <c r="AE200" s="174">
        <v>213.64</v>
      </c>
      <c r="AF200" s="173">
        <v>7449.677026774013</v>
      </c>
      <c r="AG200" s="168"/>
    </row>
    <row r="201" spans="1:33">
      <c r="A201" s="130" t="s">
        <v>47</v>
      </c>
      <c r="B201" s="6" t="s">
        <v>19</v>
      </c>
      <c r="C201" s="110" t="s">
        <v>67</v>
      </c>
      <c r="D201" s="334" t="s">
        <v>765</v>
      </c>
      <c r="E201" s="118" t="s">
        <v>422</v>
      </c>
      <c r="F201" s="103" t="s">
        <v>688</v>
      </c>
      <c r="G201" s="111">
        <v>3390426</v>
      </c>
      <c r="H201" s="112">
        <v>475.64</v>
      </c>
      <c r="I201" s="137">
        <v>7128.1347237406444</v>
      </c>
      <c r="J201" s="13"/>
      <c r="K201" s="15"/>
      <c r="L201" s="15"/>
      <c r="M201" s="15"/>
      <c r="T201" s="291">
        <f>COUNTIF(T7:T200,"07")</f>
        <v>194</v>
      </c>
      <c r="U201" s="284" t="s">
        <v>1371</v>
      </c>
      <c r="V201" s="541" t="s">
        <v>1366</v>
      </c>
      <c r="W201" s="541"/>
      <c r="X201" s="541"/>
      <c r="Y201" s="541"/>
      <c r="Z201" s="180">
        <f t="shared" ref="Z201:AE201" si="4">SUM(Z7:Z200)</f>
        <v>33120024</v>
      </c>
      <c r="AA201" s="180">
        <f t="shared" si="4"/>
        <v>506526</v>
      </c>
      <c r="AB201" s="180">
        <f t="shared" si="4"/>
        <v>375426150</v>
      </c>
      <c r="AC201" s="180">
        <f t="shared" si="4"/>
        <v>23022420</v>
      </c>
      <c r="AD201" s="180">
        <f t="shared" si="4"/>
        <v>432075120</v>
      </c>
      <c r="AE201" s="181">
        <f t="shared" si="4"/>
        <v>58576.802000000011</v>
      </c>
      <c r="AF201" s="290">
        <f>AD201/AE201</f>
        <v>7376.2155878704325</v>
      </c>
      <c r="AG201" s="168"/>
    </row>
    <row r="202" spans="1:33">
      <c r="A202" s="130" t="s">
        <v>47</v>
      </c>
      <c r="B202" s="6" t="s">
        <v>19</v>
      </c>
      <c r="C202" s="110" t="s">
        <v>67</v>
      </c>
      <c r="D202" s="110" t="s">
        <v>766</v>
      </c>
      <c r="E202" s="118" t="s">
        <v>423</v>
      </c>
      <c r="F202" s="103" t="s">
        <v>688</v>
      </c>
      <c r="G202" s="111">
        <v>3215114</v>
      </c>
      <c r="H202" s="112">
        <v>393.46</v>
      </c>
      <c r="I202" s="137">
        <v>8171.3871803995326</v>
      </c>
      <c r="J202" s="13"/>
      <c r="K202" s="15"/>
      <c r="L202" s="15"/>
      <c r="M202" s="15"/>
      <c r="T202" s="306"/>
      <c r="U202" s="307"/>
      <c r="V202" s="302"/>
      <c r="W202" s="302"/>
      <c r="X202" s="302"/>
      <c r="Y202" s="302"/>
      <c r="Z202" s="303"/>
      <c r="AA202" s="303"/>
      <c r="AB202" s="303"/>
      <c r="AC202" s="303"/>
      <c r="AD202" s="303"/>
      <c r="AE202" s="304"/>
      <c r="AF202" s="305"/>
      <c r="AG202" s="308"/>
    </row>
    <row r="203" spans="1:33">
      <c r="A203" s="130" t="s">
        <v>47</v>
      </c>
      <c r="B203" s="6" t="s">
        <v>19</v>
      </c>
      <c r="C203" s="334" t="s">
        <v>67</v>
      </c>
      <c r="D203" s="334" t="s">
        <v>767</v>
      </c>
      <c r="E203" s="118" t="s">
        <v>424</v>
      </c>
      <c r="F203" s="103" t="s">
        <v>678</v>
      </c>
      <c r="G203" s="111">
        <v>1570701</v>
      </c>
      <c r="H203" s="112">
        <v>191.93</v>
      </c>
      <c r="I203" s="137">
        <v>8183.7180221955914</v>
      </c>
      <c r="J203" s="13"/>
      <c r="K203" s="15"/>
      <c r="L203" s="15"/>
      <c r="M203" s="15"/>
      <c r="T203" s="306"/>
      <c r="U203" s="307"/>
      <c r="V203" s="302"/>
      <c r="W203" s="302"/>
      <c r="X203" s="302"/>
      <c r="Y203" s="302"/>
      <c r="Z203" s="303"/>
      <c r="AA203" s="303"/>
      <c r="AB203" s="303"/>
      <c r="AC203" s="303"/>
      <c r="AD203" s="303"/>
      <c r="AE203" s="304"/>
      <c r="AF203" s="305"/>
      <c r="AG203" s="308"/>
    </row>
    <row r="204" spans="1:33" ht="18">
      <c r="A204" s="130" t="s">
        <v>47</v>
      </c>
      <c r="B204" s="6" t="s">
        <v>19</v>
      </c>
      <c r="C204" s="110" t="s">
        <v>67</v>
      </c>
      <c r="D204" s="110" t="s">
        <v>768</v>
      </c>
      <c r="E204" s="118" t="s">
        <v>425</v>
      </c>
      <c r="F204" s="103" t="s">
        <v>678</v>
      </c>
      <c r="G204" s="111">
        <v>1884153</v>
      </c>
      <c r="H204" s="112">
        <v>238.71</v>
      </c>
      <c r="I204" s="137">
        <v>7893.0627120774161</v>
      </c>
      <c r="J204" s="13"/>
      <c r="K204" s="15"/>
      <c r="L204" s="15"/>
      <c r="M204" s="15"/>
      <c r="T204" s="283" t="s">
        <v>1374</v>
      </c>
      <c r="U204" s="307"/>
      <c r="V204" s="302"/>
      <c r="W204" s="302"/>
      <c r="X204" s="302"/>
      <c r="Y204" s="302"/>
      <c r="Z204" s="303"/>
      <c r="AA204" s="303"/>
      <c r="AB204" s="303"/>
      <c r="AC204" s="303"/>
      <c r="AD204" s="303"/>
      <c r="AE204" s="304"/>
      <c r="AF204" s="305"/>
      <c r="AG204" s="308"/>
    </row>
    <row r="205" spans="1:33" ht="15.75">
      <c r="A205" s="130" t="s">
        <v>47</v>
      </c>
      <c r="B205" s="6" t="s">
        <v>19</v>
      </c>
      <c r="C205" s="334" t="s">
        <v>67</v>
      </c>
      <c r="D205" s="334" t="s">
        <v>769</v>
      </c>
      <c r="E205" s="118" t="s">
        <v>195</v>
      </c>
      <c r="F205" s="103" t="s">
        <v>660</v>
      </c>
      <c r="G205" s="111">
        <v>1275269</v>
      </c>
      <c r="H205" s="112">
        <v>164.97</v>
      </c>
      <c r="I205" s="137">
        <v>7730.3085409468385</v>
      </c>
      <c r="J205" s="13"/>
      <c r="K205" s="15"/>
      <c r="L205" s="15"/>
      <c r="M205" s="15"/>
      <c r="T205" s="219" t="s">
        <v>1376</v>
      </c>
      <c r="U205" s="307"/>
      <c r="V205" s="302"/>
      <c r="W205" s="302"/>
      <c r="X205" s="302"/>
      <c r="Y205" s="302"/>
      <c r="Z205" s="303"/>
      <c r="AA205" s="303"/>
      <c r="AB205" s="303"/>
      <c r="AC205" s="303"/>
      <c r="AD205" s="303"/>
      <c r="AE205" s="304"/>
      <c r="AF205" s="305"/>
      <c r="AG205" s="308"/>
    </row>
    <row r="206" spans="1:33" ht="15.75">
      <c r="A206" s="130" t="s">
        <v>47</v>
      </c>
      <c r="B206" s="6" t="s">
        <v>19</v>
      </c>
      <c r="C206" s="110" t="s">
        <v>68</v>
      </c>
      <c r="D206" s="103" t="s">
        <v>1091</v>
      </c>
      <c r="E206" s="6" t="s">
        <v>195</v>
      </c>
      <c r="F206" s="334" t="s">
        <v>329</v>
      </c>
      <c r="G206" s="111">
        <v>23216907</v>
      </c>
      <c r="H206" s="112">
        <v>2306.643</v>
      </c>
      <c r="I206" s="137">
        <v>10065.236362974245</v>
      </c>
      <c r="J206" s="13"/>
      <c r="K206" s="15"/>
      <c r="L206" s="15"/>
      <c r="M206" s="15"/>
      <c r="T206" s="219" t="s">
        <v>88</v>
      </c>
      <c r="U206" s="307"/>
      <c r="V206" s="302"/>
      <c r="W206" s="302"/>
      <c r="X206" s="302"/>
      <c r="Y206" s="302"/>
      <c r="Z206" s="546" t="s">
        <v>1377</v>
      </c>
      <c r="AA206" s="546"/>
      <c r="AB206" s="546"/>
      <c r="AC206" s="546"/>
      <c r="AD206" s="546"/>
      <c r="AE206" s="304"/>
      <c r="AF206" s="305"/>
      <c r="AG206" s="308"/>
    </row>
    <row r="207" spans="1:33">
      <c r="A207" s="130" t="s">
        <v>47</v>
      </c>
      <c r="B207" s="6" t="s">
        <v>19</v>
      </c>
      <c r="C207" s="110" t="s">
        <v>68</v>
      </c>
      <c r="D207" s="103" t="s">
        <v>1092</v>
      </c>
      <c r="E207" s="6" t="s">
        <v>196</v>
      </c>
      <c r="F207" s="334" t="s">
        <v>69</v>
      </c>
      <c r="G207" s="111">
        <v>38205157</v>
      </c>
      <c r="H207" s="112">
        <v>4193.0600000000004</v>
      </c>
      <c r="I207" s="137">
        <v>9111.52165721454</v>
      </c>
      <c r="J207" s="13"/>
      <c r="K207" s="15"/>
      <c r="L207" s="15"/>
      <c r="M207" s="15"/>
      <c r="T207" s="545" t="s">
        <v>3</v>
      </c>
      <c r="U207" s="545"/>
      <c r="V207" s="101"/>
      <c r="W207" s="545" t="s">
        <v>1351</v>
      </c>
      <c r="X207" s="545"/>
      <c r="Y207" s="545"/>
      <c r="Z207" s="545" t="s">
        <v>1365</v>
      </c>
      <c r="AA207" s="545"/>
      <c r="AB207" s="545"/>
      <c r="AC207" s="545"/>
      <c r="AD207" s="545"/>
      <c r="AE207" s="101"/>
      <c r="AF207" s="101" t="s">
        <v>1372</v>
      </c>
      <c r="AG207" s="310" t="s">
        <v>1375</v>
      </c>
    </row>
    <row r="208" spans="1:33">
      <c r="A208" s="130" t="s">
        <v>47</v>
      </c>
      <c r="B208" s="6" t="s">
        <v>19</v>
      </c>
      <c r="C208" s="110" t="s">
        <v>67</v>
      </c>
      <c r="D208" s="334" t="s">
        <v>687</v>
      </c>
      <c r="E208" s="118" t="s">
        <v>353</v>
      </c>
      <c r="F208" s="103" t="s">
        <v>688</v>
      </c>
      <c r="G208" s="111">
        <v>5032775</v>
      </c>
      <c r="H208" s="112">
        <v>650.67999999999995</v>
      </c>
      <c r="I208" s="137">
        <v>7734.6391467387966</v>
      </c>
      <c r="J208" s="13"/>
      <c r="K208" s="15"/>
      <c r="L208" s="15"/>
      <c r="M208" s="15"/>
      <c r="T208" s="110" t="s">
        <v>5</v>
      </c>
      <c r="U208" s="110" t="s">
        <v>55</v>
      </c>
      <c r="V208" s="292" t="s">
        <v>1363</v>
      </c>
      <c r="W208" s="110" t="s">
        <v>5</v>
      </c>
      <c r="X208" s="110" t="s">
        <v>55</v>
      </c>
      <c r="Y208" s="110" t="s">
        <v>99</v>
      </c>
      <c r="Z208" s="110" t="s">
        <v>4</v>
      </c>
      <c r="AA208" s="110" t="s">
        <v>1303</v>
      </c>
      <c r="AB208" s="110" t="s">
        <v>2</v>
      </c>
      <c r="AC208" s="110" t="s">
        <v>1</v>
      </c>
      <c r="AD208" s="110" t="s">
        <v>39</v>
      </c>
      <c r="AE208" s="292" t="s">
        <v>1302</v>
      </c>
      <c r="AF208" s="296" t="s">
        <v>56</v>
      </c>
      <c r="AG208" s="311" t="s">
        <v>39</v>
      </c>
    </row>
    <row r="209" spans="1:33">
      <c r="A209" s="130" t="s">
        <v>47</v>
      </c>
      <c r="B209" s="6" t="s">
        <v>19</v>
      </c>
      <c r="C209" s="110" t="s">
        <v>67</v>
      </c>
      <c r="D209" s="334" t="s">
        <v>770</v>
      </c>
      <c r="E209" s="118" t="s">
        <v>426</v>
      </c>
      <c r="F209" s="103" t="s">
        <v>678</v>
      </c>
      <c r="G209" s="111">
        <v>1782836</v>
      </c>
      <c r="H209" s="112">
        <v>219.89</v>
      </c>
      <c r="I209" s="137">
        <v>8107.8539269634821</v>
      </c>
      <c r="J209" s="13"/>
      <c r="K209" s="15"/>
      <c r="L209" s="15"/>
      <c r="M209" s="15"/>
      <c r="T209" s="297" t="s">
        <v>47</v>
      </c>
      <c r="U209" s="309" t="s">
        <v>19</v>
      </c>
      <c r="V209" s="298" t="s">
        <v>68</v>
      </c>
      <c r="W209" s="298" t="s">
        <v>1076</v>
      </c>
      <c r="X209" s="309" t="s">
        <v>181</v>
      </c>
      <c r="Y209" s="298" t="s">
        <v>71</v>
      </c>
      <c r="Z209" s="299"/>
      <c r="AA209" s="299"/>
      <c r="AB209" s="299"/>
      <c r="AC209" s="299"/>
      <c r="AD209" s="299">
        <f t="shared" si="3"/>
        <v>0</v>
      </c>
      <c r="AE209" s="300">
        <v>5360.1480000000001</v>
      </c>
      <c r="AF209" s="301">
        <v>10330.746277901282</v>
      </c>
      <c r="AG209" s="301">
        <v>55374329</v>
      </c>
    </row>
    <row r="210" spans="1:33">
      <c r="A210" s="130" t="s">
        <v>47</v>
      </c>
      <c r="B210" s="6" t="s">
        <v>19</v>
      </c>
      <c r="C210" s="110" t="s">
        <v>67</v>
      </c>
      <c r="D210" s="110" t="s">
        <v>771</v>
      </c>
      <c r="E210" s="118" t="s">
        <v>427</v>
      </c>
      <c r="F210" s="103" t="s">
        <v>678</v>
      </c>
      <c r="G210" s="111">
        <v>878015</v>
      </c>
      <c r="H210" s="112">
        <v>124.105</v>
      </c>
      <c r="I210" s="137">
        <v>7074.7753918053259</v>
      </c>
      <c r="J210" s="13"/>
      <c r="K210" s="15"/>
      <c r="L210" s="15"/>
      <c r="M210" s="15"/>
      <c r="T210" s="170" t="s">
        <v>47</v>
      </c>
      <c r="U210" s="295" t="s">
        <v>19</v>
      </c>
      <c r="V210" s="110" t="s">
        <v>68</v>
      </c>
      <c r="W210" s="103" t="s">
        <v>1077</v>
      </c>
      <c r="X210" s="295" t="s">
        <v>182</v>
      </c>
      <c r="Y210" s="110" t="s">
        <v>69</v>
      </c>
      <c r="Z210" s="179"/>
      <c r="AA210" s="179"/>
      <c r="AB210" s="179"/>
      <c r="AC210" s="179"/>
      <c r="AD210" s="179">
        <f t="shared" si="3"/>
        <v>0</v>
      </c>
      <c r="AE210" s="112">
        <v>185.565</v>
      </c>
      <c r="AF210" s="111">
        <v>12642.879853420634</v>
      </c>
      <c r="AG210" s="111">
        <v>2346076</v>
      </c>
    </row>
    <row r="211" spans="1:33">
      <c r="A211" s="130" t="s">
        <v>47</v>
      </c>
      <c r="B211" s="6" t="s">
        <v>19</v>
      </c>
      <c r="C211" s="110" t="s">
        <v>67</v>
      </c>
      <c r="D211" s="334" t="s">
        <v>772</v>
      </c>
      <c r="E211" s="118" t="s">
        <v>428</v>
      </c>
      <c r="F211" s="103" t="s">
        <v>660</v>
      </c>
      <c r="G211" s="111">
        <v>464821</v>
      </c>
      <c r="H211" s="112">
        <v>62.704999999999998</v>
      </c>
      <c r="I211" s="137">
        <v>7412.8219440236026</v>
      </c>
      <c r="J211" s="13"/>
      <c r="K211" s="15"/>
      <c r="L211" s="15"/>
      <c r="M211" s="15"/>
      <c r="T211" s="170" t="s">
        <v>47</v>
      </c>
      <c r="U211" s="295" t="s">
        <v>19</v>
      </c>
      <c r="V211" s="110" t="s">
        <v>68</v>
      </c>
      <c r="W211" s="103" t="s">
        <v>1078</v>
      </c>
      <c r="X211" s="295" t="s">
        <v>183</v>
      </c>
      <c r="Y211" s="110" t="s">
        <v>69</v>
      </c>
      <c r="Z211" s="179"/>
      <c r="AA211" s="179"/>
      <c r="AB211" s="179"/>
      <c r="AC211" s="179"/>
      <c r="AD211" s="179">
        <f t="shared" si="3"/>
        <v>0</v>
      </c>
      <c r="AE211" s="112">
        <v>14624.575000000001</v>
      </c>
      <c r="AF211" s="111">
        <v>8454.6383741065983</v>
      </c>
      <c r="AG211" s="111">
        <v>123645493</v>
      </c>
    </row>
    <row r="212" spans="1:33">
      <c r="A212" s="130" t="s">
        <v>47</v>
      </c>
      <c r="B212" s="6" t="s">
        <v>19</v>
      </c>
      <c r="C212" s="110" t="s">
        <v>67</v>
      </c>
      <c r="D212" s="334" t="s">
        <v>773</v>
      </c>
      <c r="E212" s="118" t="s">
        <v>429</v>
      </c>
      <c r="F212" s="103" t="s">
        <v>660</v>
      </c>
      <c r="G212" s="111">
        <v>1073433</v>
      </c>
      <c r="H212" s="112">
        <v>119.705</v>
      </c>
      <c r="I212" s="137">
        <v>8967.3196608328817</v>
      </c>
      <c r="J212" s="13"/>
      <c r="K212" s="15"/>
      <c r="L212" s="15"/>
      <c r="M212" s="15"/>
      <c r="T212" s="170" t="s">
        <v>47</v>
      </c>
      <c r="U212" s="295" t="s">
        <v>19</v>
      </c>
      <c r="V212" s="110" t="s">
        <v>68</v>
      </c>
      <c r="W212" s="103" t="s">
        <v>1079</v>
      </c>
      <c r="X212" s="295" t="s">
        <v>184</v>
      </c>
      <c r="Y212" s="110" t="s">
        <v>69</v>
      </c>
      <c r="Z212" s="179"/>
      <c r="AA212" s="179"/>
      <c r="AB212" s="179"/>
      <c r="AC212" s="179"/>
      <c r="AD212" s="179">
        <f t="shared" si="3"/>
        <v>0</v>
      </c>
      <c r="AE212" s="112">
        <v>236.02500000000001</v>
      </c>
      <c r="AF212" s="111">
        <v>10881.03378879356</v>
      </c>
      <c r="AG212" s="111">
        <v>2568196</v>
      </c>
    </row>
    <row r="213" spans="1:33">
      <c r="A213" s="130" t="s">
        <v>47</v>
      </c>
      <c r="B213" s="6" t="s">
        <v>19</v>
      </c>
      <c r="C213" s="110" t="s">
        <v>68</v>
      </c>
      <c r="D213" s="103" t="s">
        <v>1093</v>
      </c>
      <c r="E213" s="6" t="s">
        <v>197</v>
      </c>
      <c r="F213" s="334" t="s">
        <v>329</v>
      </c>
      <c r="G213" s="111">
        <v>4910385</v>
      </c>
      <c r="H213" s="112">
        <v>443.48</v>
      </c>
      <c r="I213" s="137">
        <v>11072.393343555515</v>
      </c>
      <c r="J213" s="13"/>
      <c r="K213" s="15"/>
      <c r="L213" s="15"/>
      <c r="M213" s="15"/>
      <c r="T213" s="171" t="s">
        <v>47</v>
      </c>
      <c r="U213" s="294" t="s">
        <v>19</v>
      </c>
      <c r="V213" s="172" t="s">
        <v>68</v>
      </c>
      <c r="W213" s="172" t="s">
        <v>1080</v>
      </c>
      <c r="X213" s="294" t="s">
        <v>185</v>
      </c>
      <c r="Y213" s="172" t="s">
        <v>69</v>
      </c>
      <c r="Z213" s="178"/>
      <c r="AA213" s="178"/>
      <c r="AB213" s="178"/>
      <c r="AC213" s="178"/>
      <c r="AD213" s="178">
        <f t="shared" si="3"/>
        <v>0</v>
      </c>
      <c r="AE213" s="174">
        <v>5761.415</v>
      </c>
      <c r="AF213" s="173">
        <v>7545.6458179110514</v>
      </c>
      <c r="AG213" s="173">
        <v>43473597</v>
      </c>
    </row>
    <row r="214" spans="1:33">
      <c r="A214" s="130" t="s">
        <v>47</v>
      </c>
      <c r="B214" s="6" t="s">
        <v>19</v>
      </c>
      <c r="C214" s="110" t="s">
        <v>68</v>
      </c>
      <c r="D214" s="103" t="s">
        <v>1094</v>
      </c>
      <c r="E214" s="6" t="s">
        <v>198</v>
      </c>
      <c r="F214" s="334" t="s">
        <v>329</v>
      </c>
      <c r="G214" s="111">
        <v>284913614</v>
      </c>
      <c r="H214" s="112">
        <v>35799.072999999997</v>
      </c>
      <c r="I214" s="137">
        <v>7958.6869190718999</v>
      </c>
      <c r="J214" s="13"/>
      <c r="K214" s="15"/>
      <c r="L214" s="15"/>
      <c r="M214" s="15"/>
      <c r="T214" s="170" t="s">
        <v>47</v>
      </c>
      <c r="U214" s="295" t="s">
        <v>19</v>
      </c>
      <c r="V214" s="110" t="s">
        <v>68</v>
      </c>
      <c r="W214" s="103" t="s">
        <v>1081</v>
      </c>
      <c r="X214" s="295" t="s">
        <v>186</v>
      </c>
      <c r="Y214" s="110" t="s">
        <v>69</v>
      </c>
      <c r="Z214" s="179"/>
      <c r="AA214" s="179"/>
      <c r="AB214" s="179"/>
      <c r="AC214" s="179"/>
      <c r="AD214" s="179">
        <f t="shared" si="3"/>
        <v>0</v>
      </c>
      <c r="AE214" s="112">
        <v>3318.2849999999999</v>
      </c>
      <c r="AF214" s="111">
        <v>9335.8605424187499</v>
      </c>
      <c r="AG214" s="111">
        <v>30979046</v>
      </c>
    </row>
    <row r="215" spans="1:33">
      <c r="A215" s="130" t="s">
        <v>47</v>
      </c>
      <c r="B215" s="6" t="s">
        <v>19</v>
      </c>
      <c r="C215" s="110" t="s">
        <v>68</v>
      </c>
      <c r="D215" s="103" t="s">
        <v>1095</v>
      </c>
      <c r="E215" s="6" t="s">
        <v>199</v>
      </c>
      <c r="F215" s="334" t="s">
        <v>69</v>
      </c>
      <c r="G215" s="111">
        <v>114758351</v>
      </c>
      <c r="H215" s="112">
        <v>13031.545</v>
      </c>
      <c r="I215" s="137">
        <v>8806.1968860944726</v>
      </c>
      <c r="J215" s="13"/>
      <c r="K215" s="15"/>
      <c r="L215" s="15"/>
      <c r="M215" s="15"/>
      <c r="T215" s="170" t="s">
        <v>47</v>
      </c>
      <c r="U215" s="295" t="s">
        <v>19</v>
      </c>
      <c r="V215" s="110" t="s">
        <v>68</v>
      </c>
      <c r="W215" s="103" t="s">
        <v>1082</v>
      </c>
      <c r="X215" s="295" t="s">
        <v>187</v>
      </c>
      <c r="Y215" s="110" t="s">
        <v>69</v>
      </c>
      <c r="Z215" s="179"/>
      <c r="AA215" s="179"/>
      <c r="AB215" s="179"/>
      <c r="AC215" s="179"/>
      <c r="AD215" s="179">
        <f t="shared" si="3"/>
        <v>0</v>
      </c>
      <c r="AE215" s="112">
        <v>3510.51</v>
      </c>
      <c r="AF215" s="111">
        <v>12145.55719824185</v>
      </c>
      <c r="AG215" s="111">
        <v>42637100</v>
      </c>
    </row>
    <row r="216" spans="1:33">
      <c r="A216" s="130" t="s">
        <v>47</v>
      </c>
      <c r="B216" s="6" t="s">
        <v>19</v>
      </c>
      <c r="C216" s="110" t="s">
        <v>68</v>
      </c>
      <c r="D216" s="103" t="s">
        <v>1096</v>
      </c>
      <c r="E216" s="6" t="s">
        <v>199</v>
      </c>
      <c r="F216" s="334" t="s">
        <v>71</v>
      </c>
      <c r="G216" s="111">
        <v>139680342</v>
      </c>
      <c r="H216" s="112">
        <v>14800.67</v>
      </c>
      <c r="I216" s="137">
        <v>9437.4337107712017</v>
      </c>
      <c r="J216" s="13"/>
      <c r="K216" s="15"/>
      <c r="L216" s="15"/>
      <c r="M216" s="15"/>
      <c r="T216" s="171" t="s">
        <v>47</v>
      </c>
      <c r="U216" s="294" t="s">
        <v>19</v>
      </c>
      <c r="V216" s="172" t="s">
        <v>68</v>
      </c>
      <c r="W216" s="172" t="s">
        <v>1083</v>
      </c>
      <c r="X216" s="294" t="s">
        <v>187</v>
      </c>
      <c r="Y216" s="172" t="s">
        <v>71</v>
      </c>
      <c r="Z216" s="178"/>
      <c r="AA216" s="178"/>
      <c r="AB216" s="178"/>
      <c r="AC216" s="178"/>
      <c r="AD216" s="178">
        <f t="shared" si="3"/>
        <v>0</v>
      </c>
      <c r="AE216" s="174">
        <v>2596.6930000000002</v>
      </c>
      <c r="AF216" s="173">
        <v>16330.325533284064</v>
      </c>
      <c r="AG216" s="173">
        <v>42404842</v>
      </c>
    </row>
    <row r="217" spans="1:33">
      <c r="A217" s="130" t="s">
        <v>47</v>
      </c>
      <c r="B217" s="6" t="s">
        <v>19</v>
      </c>
      <c r="C217" s="110" t="s">
        <v>67</v>
      </c>
      <c r="D217" s="110" t="s">
        <v>774</v>
      </c>
      <c r="E217" s="118" t="s">
        <v>430</v>
      </c>
      <c r="F217" s="103" t="s">
        <v>678</v>
      </c>
      <c r="G217" s="111">
        <v>419344</v>
      </c>
      <c r="H217" s="112">
        <v>57.253</v>
      </c>
      <c r="I217" s="137">
        <v>7324.4022147311061</v>
      </c>
      <c r="J217" s="13"/>
      <c r="K217" s="15"/>
      <c r="L217" s="15"/>
      <c r="M217" s="15"/>
      <c r="T217" s="170" t="s">
        <v>47</v>
      </c>
      <c r="U217" s="295" t="s">
        <v>19</v>
      </c>
      <c r="V217" s="110" t="s">
        <v>68</v>
      </c>
      <c r="W217" s="103" t="s">
        <v>1084</v>
      </c>
      <c r="X217" s="295" t="s">
        <v>188</v>
      </c>
      <c r="Y217" s="110" t="s">
        <v>69</v>
      </c>
      <c r="Z217" s="179"/>
      <c r="AA217" s="179"/>
      <c r="AB217" s="179"/>
      <c r="AC217" s="179"/>
      <c r="AD217" s="179">
        <f t="shared" si="3"/>
        <v>0</v>
      </c>
      <c r="AE217" s="112">
        <v>19187.849999999999</v>
      </c>
      <c r="AF217" s="111">
        <v>7556.5892999997404</v>
      </c>
      <c r="AG217" s="111">
        <v>144994702</v>
      </c>
    </row>
    <row r="218" spans="1:33">
      <c r="A218" s="130" t="s">
        <v>47</v>
      </c>
      <c r="B218" s="6" t="s">
        <v>19</v>
      </c>
      <c r="C218" s="110" t="s">
        <v>67</v>
      </c>
      <c r="D218" s="334" t="s">
        <v>775</v>
      </c>
      <c r="E218" s="118" t="s">
        <v>431</v>
      </c>
      <c r="F218" s="103" t="s">
        <v>688</v>
      </c>
      <c r="G218" s="111">
        <v>4315869</v>
      </c>
      <c r="H218" s="112">
        <v>653.02</v>
      </c>
      <c r="I218" s="137">
        <v>6609.0916051575759</v>
      </c>
      <c r="J218" s="13"/>
      <c r="K218" s="15"/>
      <c r="L218" s="15"/>
      <c r="M218" s="15"/>
      <c r="T218" s="170" t="s">
        <v>47</v>
      </c>
      <c r="U218" s="295" t="s">
        <v>19</v>
      </c>
      <c r="V218" s="110" t="s">
        <v>68</v>
      </c>
      <c r="W218" s="103" t="s">
        <v>1085</v>
      </c>
      <c r="X218" s="293" t="s">
        <v>189</v>
      </c>
      <c r="Y218" s="110" t="s">
        <v>329</v>
      </c>
      <c r="Z218" s="179"/>
      <c r="AA218" s="179"/>
      <c r="AB218" s="179"/>
      <c r="AC218" s="179"/>
      <c r="AD218" s="179">
        <f t="shared" si="3"/>
        <v>0</v>
      </c>
      <c r="AE218" s="112">
        <v>5642.22</v>
      </c>
      <c r="AF218" s="111">
        <v>10870.545104586492</v>
      </c>
      <c r="AG218" s="111">
        <v>61334007</v>
      </c>
    </row>
    <row r="219" spans="1:33">
      <c r="A219" s="130" t="s">
        <v>47</v>
      </c>
      <c r="B219" s="6" t="s">
        <v>19</v>
      </c>
      <c r="C219" s="110" t="s">
        <v>67</v>
      </c>
      <c r="D219" s="110" t="s">
        <v>776</v>
      </c>
      <c r="E219" s="118" t="s">
        <v>432</v>
      </c>
      <c r="F219" s="103" t="s">
        <v>660</v>
      </c>
      <c r="G219" s="111">
        <v>2861727</v>
      </c>
      <c r="H219" s="112">
        <v>403.46499999999997</v>
      </c>
      <c r="I219" s="137">
        <v>7092.8754662734073</v>
      </c>
      <c r="J219" s="13"/>
      <c r="K219" s="15"/>
      <c r="L219" s="15"/>
      <c r="M219" s="15"/>
      <c r="T219" s="171" t="s">
        <v>47</v>
      </c>
      <c r="U219" s="294" t="s">
        <v>19</v>
      </c>
      <c r="V219" s="172" t="s">
        <v>68</v>
      </c>
      <c r="W219" s="172" t="s">
        <v>1086</v>
      </c>
      <c r="X219" s="294" t="s">
        <v>190</v>
      </c>
      <c r="Y219" s="172" t="s">
        <v>329</v>
      </c>
      <c r="Z219" s="178"/>
      <c r="AA219" s="178"/>
      <c r="AB219" s="178"/>
      <c r="AC219" s="178"/>
      <c r="AD219" s="178">
        <f t="shared" si="3"/>
        <v>0</v>
      </c>
      <c r="AE219" s="174">
        <v>31997.014999999999</v>
      </c>
      <c r="AF219" s="173">
        <v>9558.1030918040324</v>
      </c>
      <c r="AG219" s="173">
        <v>305830768</v>
      </c>
    </row>
    <row r="220" spans="1:33">
      <c r="A220" s="130" t="s">
        <v>47</v>
      </c>
      <c r="B220" s="6" t="s">
        <v>19</v>
      </c>
      <c r="C220" s="110" t="s">
        <v>67</v>
      </c>
      <c r="D220" s="334" t="s">
        <v>892</v>
      </c>
      <c r="E220" s="118" t="s">
        <v>537</v>
      </c>
      <c r="F220" s="103" t="s">
        <v>688</v>
      </c>
      <c r="G220" s="111">
        <v>4022750</v>
      </c>
      <c r="H220" s="112">
        <v>638.495</v>
      </c>
      <c r="I220" s="137">
        <v>6300.3625713592119</v>
      </c>
      <c r="J220" s="13"/>
      <c r="K220" s="15"/>
      <c r="L220" s="15"/>
      <c r="M220" s="15"/>
      <c r="T220" s="170" t="s">
        <v>47</v>
      </c>
      <c r="U220" s="295" t="s">
        <v>19</v>
      </c>
      <c r="V220" s="110" t="s">
        <v>68</v>
      </c>
      <c r="W220" s="103" t="s">
        <v>1087</v>
      </c>
      <c r="X220" s="295" t="s">
        <v>191</v>
      </c>
      <c r="Y220" s="110" t="s">
        <v>69</v>
      </c>
      <c r="Z220" s="179"/>
      <c r="AA220" s="179"/>
      <c r="AB220" s="179"/>
      <c r="AC220" s="179"/>
      <c r="AD220" s="179">
        <f t="shared" si="3"/>
        <v>0</v>
      </c>
      <c r="AE220" s="112">
        <v>7322.6750000000002</v>
      </c>
      <c r="AF220" s="111">
        <v>8997.3599811544282</v>
      </c>
      <c r="AG220" s="111">
        <v>65884743</v>
      </c>
    </row>
    <row r="221" spans="1:33">
      <c r="A221" s="130" t="s">
        <v>47</v>
      </c>
      <c r="B221" s="6" t="s">
        <v>19</v>
      </c>
      <c r="C221" s="110" t="s">
        <v>68</v>
      </c>
      <c r="D221" s="103" t="s">
        <v>1097</v>
      </c>
      <c r="E221" s="6" t="s">
        <v>200</v>
      </c>
      <c r="F221" s="334" t="s">
        <v>329</v>
      </c>
      <c r="G221" s="111">
        <v>80848546</v>
      </c>
      <c r="H221" s="112">
        <v>7697.2650000000003</v>
      </c>
      <c r="I221" s="137">
        <v>10503.541972375902</v>
      </c>
      <c r="J221" s="13"/>
      <c r="K221" s="15"/>
      <c r="L221" s="15"/>
      <c r="M221" s="15"/>
      <c r="T221" s="171" t="s">
        <v>47</v>
      </c>
      <c r="U221" s="294" t="s">
        <v>19</v>
      </c>
      <c r="V221" s="172" t="s">
        <v>68</v>
      </c>
      <c r="W221" s="172" t="s">
        <v>1088</v>
      </c>
      <c r="X221" s="294" t="s">
        <v>192</v>
      </c>
      <c r="Y221" s="172" t="s">
        <v>329</v>
      </c>
      <c r="Z221" s="178"/>
      <c r="AA221" s="178"/>
      <c r="AB221" s="178"/>
      <c r="AC221" s="178"/>
      <c r="AD221" s="178">
        <f t="shared" si="3"/>
        <v>0</v>
      </c>
      <c r="AE221" s="174">
        <v>34322.67</v>
      </c>
      <c r="AF221" s="173">
        <v>8032.9873229559362</v>
      </c>
      <c r="AG221" s="173">
        <v>275713573</v>
      </c>
    </row>
    <row r="222" spans="1:33">
      <c r="A222" s="130" t="s">
        <v>47</v>
      </c>
      <c r="B222" s="6" t="s">
        <v>19</v>
      </c>
      <c r="C222" s="110" t="s">
        <v>67</v>
      </c>
      <c r="D222" s="333" t="s">
        <v>777</v>
      </c>
      <c r="E222" s="118" t="s">
        <v>433</v>
      </c>
      <c r="F222" s="103" t="s">
        <v>660</v>
      </c>
      <c r="G222" s="111">
        <v>10534206</v>
      </c>
      <c r="H222" s="112">
        <v>1409.18</v>
      </c>
      <c r="I222" s="137">
        <v>7475.4154898593506</v>
      </c>
      <c r="J222" s="13"/>
      <c r="K222" s="15"/>
      <c r="L222" s="15"/>
      <c r="M222" s="15"/>
      <c r="T222" s="171" t="s">
        <v>47</v>
      </c>
      <c r="U222" s="294" t="s">
        <v>19</v>
      </c>
      <c r="V222" s="172" t="s">
        <v>68</v>
      </c>
      <c r="W222" s="172" t="s">
        <v>1089</v>
      </c>
      <c r="X222" s="294" t="s">
        <v>193</v>
      </c>
      <c r="Y222" s="172" t="s">
        <v>329</v>
      </c>
      <c r="Z222" s="178"/>
      <c r="AA222" s="178"/>
      <c r="AB222" s="178"/>
      <c r="AC222" s="178"/>
      <c r="AD222" s="178">
        <f t="shared" si="3"/>
        <v>0</v>
      </c>
      <c r="AE222" s="174">
        <v>19626.942999999999</v>
      </c>
      <c r="AF222" s="173">
        <v>10268.542737399299</v>
      </c>
      <c r="AG222" s="173">
        <v>201540103</v>
      </c>
    </row>
    <row r="223" spans="1:33">
      <c r="A223" s="130" t="s">
        <v>47</v>
      </c>
      <c r="B223" s="6" t="s">
        <v>19</v>
      </c>
      <c r="C223" s="110" t="s">
        <v>67</v>
      </c>
      <c r="D223" s="334" t="s">
        <v>778</v>
      </c>
      <c r="E223" s="118" t="s">
        <v>434</v>
      </c>
      <c r="F223" s="103" t="s">
        <v>660</v>
      </c>
      <c r="G223" s="111">
        <v>4763682</v>
      </c>
      <c r="H223" s="112">
        <v>797.29</v>
      </c>
      <c r="I223" s="137">
        <v>5974.8422782174621</v>
      </c>
      <c r="J223" s="13"/>
      <c r="K223" s="15"/>
      <c r="L223" s="15"/>
      <c r="M223" s="15"/>
      <c r="T223" s="171" t="s">
        <v>47</v>
      </c>
      <c r="U223" s="294" t="s">
        <v>19</v>
      </c>
      <c r="V223" s="172" t="s">
        <v>68</v>
      </c>
      <c r="W223" s="172" t="s">
        <v>1090</v>
      </c>
      <c r="X223" s="294" t="s">
        <v>194</v>
      </c>
      <c r="Y223" s="172" t="s">
        <v>132</v>
      </c>
      <c r="Z223" s="178"/>
      <c r="AA223" s="178"/>
      <c r="AB223" s="178"/>
      <c r="AC223" s="178"/>
      <c r="AD223" s="178">
        <f t="shared" si="3"/>
        <v>0</v>
      </c>
      <c r="AE223" s="174">
        <v>7567.1180000000004</v>
      </c>
      <c r="AF223" s="173">
        <v>5618.9277080124821</v>
      </c>
      <c r="AG223" s="173">
        <v>42519089</v>
      </c>
    </row>
    <row r="224" spans="1:33">
      <c r="A224" s="130" t="s">
        <v>47</v>
      </c>
      <c r="B224" s="6" t="s">
        <v>19</v>
      </c>
      <c r="C224" s="110" t="s">
        <v>67</v>
      </c>
      <c r="D224" s="334" t="s">
        <v>779</v>
      </c>
      <c r="E224" s="118" t="s">
        <v>435</v>
      </c>
      <c r="F224" s="103" t="s">
        <v>692</v>
      </c>
      <c r="G224" s="111">
        <v>1286516</v>
      </c>
      <c r="H224" s="112">
        <v>128.38499999999999</v>
      </c>
      <c r="I224" s="137">
        <v>10020.765665770925</v>
      </c>
      <c r="J224" s="13"/>
      <c r="K224" s="15"/>
      <c r="L224" s="15"/>
      <c r="M224" s="15"/>
      <c r="T224" s="171" t="s">
        <v>47</v>
      </c>
      <c r="U224" s="294" t="s">
        <v>19</v>
      </c>
      <c r="V224" s="172" t="s">
        <v>68</v>
      </c>
      <c r="W224" s="172" t="s">
        <v>1091</v>
      </c>
      <c r="X224" s="294" t="s">
        <v>195</v>
      </c>
      <c r="Y224" s="172" t="s">
        <v>329</v>
      </c>
      <c r="Z224" s="178"/>
      <c r="AA224" s="178"/>
      <c r="AB224" s="178"/>
      <c r="AC224" s="178"/>
      <c r="AD224" s="178">
        <f t="shared" si="3"/>
        <v>0</v>
      </c>
      <c r="AE224" s="174">
        <v>2306.643</v>
      </c>
      <c r="AF224" s="173">
        <v>10065.236362974245</v>
      </c>
      <c r="AG224" s="173">
        <v>23216907</v>
      </c>
    </row>
    <row r="225" spans="1:33">
      <c r="A225" s="130" t="s">
        <v>47</v>
      </c>
      <c r="B225" s="6" t="s">
        <v>19</v>
      </c>
      <c r="C225" s="110" t="s">
        <v>67</v>
      </c>
      <c r="D225" s="334" t="s">
        <v>780</v>
      </c>
      <c r="E225" s="118" t="s">
        <v>436</v>
      </c>
      <c r="F225" s="103" t="s">
        <v>692</v>
      </c>
      <c r="G225" s="111">
        <v>2894427</v>
      </c>
      <c r="H225" s="112">
        <v>307.09500000000003</v>
      </c>
      <c r="I225" s="137">
        <v>9425.184389195525</v>
      </c>
      <c r="J225" s="13"/>
      <c r="K225" s="15"/>
      <c r="L225" s="15"/>
      <c r="M225" s="15"/>
      <c r="T225" s="170" t="s">
        <v>47</v>
      </c>
      <c r="U225" s="295" t="s">
        <v>19</v>
      </c>
      <c r="V225" s="110" t="s">
        <v>68</v>
      </c>
      <c r="W225" s="103" t="s">
        <v>1092</v>
      </c>
      <c r="X225" s="295" t="s">
        <v>196</v>
      </c>
      <c r="Y225" s="110" t="s">
        <v>69</v>
      </c>
      <c r="Z225" s="179"/>
      <c r="AA225" s="179"/>
      <c r="AB225" s="179"/>
      <c r="AC225" s="179"/>
      <c r="AD225" s="179">
        <f t="shared" si="3"/>
        <v>0</v>
      </c>
      <c r="AE225" s="112">
        <v>4193.0600000000004</v>
      </c>
      <c r="AF225" s="111">
        <v>9111.52165721454</v>
      </c>
      <c r="AG225" s="111">
        <v>38205157</v>
      </c>
    </row>
    <row r="226" spans="1:33">
      <c r="A226" s="130" t="s">
        <v>47</v>
      </c>
      <c r="B226" s="6" t="s">
        <v>19</v>
      </c>
      <c r="C226" s="334" t="s">
        <v>67</v>
      </c>
      <c r="D226" s="334" t="s">
        <v>691</v>
      </c>
      <c r="E226" s="118" t="s">
        <v>356</v>
      </c>
      <c r="F226" s="103" t="s">
        <v>692</v>
      </c>
      <c r="G226" s="111">
        <v>1137832</v>
      </c>
      <c r="H226" s="112">
        <v>120.79</v>
      </c>
      <c r="I226" s="137">
        <v>9419.9188674559155</v>
      </c>
      <c r="J226" s="13"/>
      <c r="K226" s="15"/>
      <c r="L226" s="15"/>
      <c r="M226" s="15"/>
      <c r="T226" s="170" t="s">
        <v>47</v>
      </c>
      <c r="U226" s="295" t="s">
        <v>19</v>
      </c>
      <c r="V226" s="110" t="s">
        <v>68</v>
      </c>
      <c r="W226" s="103" t="s">
        <v>1093</v>
      </c>
      <c r="X226" s="295" t="s">
        <v>197</v>
      </c>
      <c r="Y226" s="110" t="s">
        <v>329</v>
      </c>
      <c r="Z226" s="179"/>
      <c r="AA226" s="179"/>
      <c r="AB226" s="179"/>
      <c r="AC226" s="179"/>
      <c r="AD226" s="179">
        <f t="shared" si="3"/>
        <v>0</v>
      </c>
      <c r="AE226" s="112">
        <v>443.48</v>
      </c>
      <c r="AF226" s="111">
        <v>11072.393343555515</v>
      </c>
      <c r="AG226" s="111">
        <v>4910385</v>
      </c>
    </row>
    <row r="227" spans="1:33">
      <c r="A227" s="130" t="s">
        <v>47</v>
      </c>
      <c r="B227" s="6" t="s">
        <v>19</v>
      </c>
      <c r="C227" s="110" t="s">
        <v>67</v>
      </c>
      <c r="D227" s="110" t="s">
        <v>781</v>
      </c>
      <c r="E227" s="118" t="s">
        <v>437</v>
      </c>
      <c r="F227" s="103" t="s">
        <v>692</v>
      </c>
      <c r="G227" s="111">
        <v>193915</v>
      </c>
      <c r="H227" s="112">
        <v>26.32</v>
      </c>
      <c r="I227" s="137">
        <v>7367.5911854103342</v>
      </c>
      <c r="J227" s="13"/>
      <c r="K227" s="15"/>
      <c r="L227" s="15"/>
      <c r="M227" s="15"/>
      <c r="T227" s="171" t="s">
        <v>47</v>
      </c>
      <c r="U227" s="294" t="s">
        <v>19</v>
      </c>
      <c r="V227" s="172" t="s">
        <v>68</v>
      </c>
      <c r="W227" s="172" t="s">
        <v>1094</v>
      </c>
      <c r="X227" s="294" t="s">
        <v>198</v>
      </c>
      <c r="Y227" s="172" t="s">
        <v>329</v>
      </c>
      <c r="Z227" s="178"/>
      <c r="AA227" s="178"/>
      <c r="AB227" s="178"/>
      <c r="AC227" s="178"/>
      <c r="AD227" s="178">
        <f t="shared" si="3"/>
        <v>0</v>
      </c>
      <c r="AE227" s="174">
        <v>35799.072999999997</v>
      </c>
      <c r="AF227" s="173">
        <v>7958.6869190718999</v>
      </c>
      <c r="AG227" s="173">
        <v>284913614</v>
      </c>
    </row>
    <row r="228" spans="1:33">
      <c r="A228" s="130" t="s">
        <v>47</v>
      </c>
      <c r="B228" s="6" t="s">
        <v>19</v>
      </c>
      <c r="C228" s="110" t="s">
        <v>67</v>
      </c>
      <c r="D228" s="110" t="s">
        <v>782</v>
      </c>
      <c r="E228" s="118" t="s">
        <v>438</v>
      </c>
      <c r="F228" s="103" t="s">
        <v>692</v>
      </c>
      <c r="G228" s="111">
        <v>846962</v>
      </c>
      <c r="H228" s="112">
        <v>115.84</v>
      </c>
      <c r="I228" s="137">
        <v>7311.4813535911599</v>
      </c>
      <c r="J228" s="13"/>
      <c r="K228" s="15"/>
      <c r="L228" s="15"/>
      <c r="M228" s="15"/>
      <c r="T228" s="170" t="s">
        <v>47</v>
      </c>
      <c r="U228" s="295" t="s">
        <v>19</v>
      </c>
      <c r="V228" s="110" t="s">
        <v>68</v>
      </c>
      <c r="W228" s="103" t="s">
        <v>1095</v>
      </c>
      <c r="X228" s="295" t="s">
        <v>199</v>
      </c>
      <c r="Y228" s="110" t="s">
        <v>69</v>
      </c>
      <c r="Z228" s="179"/>
      <c r="AA228" s="179"/>
      <c r="AB228" s="179"/>
      <c r="AC228" s="179"/>
      <c r="AD228" s="179">
        <f t="shared" si="3"/>
        <v>0</v>
      </c>
      <c r="AE228" s="112">
        <v>13031.545</v>
      </c>
      <c r="AF228" s="111">
        <v>8806.1968860944726</v>
      </c>
      <c r="AG228" s="111">
        <v>114758351</v>
      </c>
    </row>
    <row r="229" spans="1:33">
      <c r="A229" s="130" t="s">
        <v>47</v>
      </c>
      <c r="B229" s="6" t="s">
        <v>19</v>
      </c>
      <c r="C229" s="110" t="s">
        <v>67</v>
      </c>
      <c r="D229" s="110" t="s">
        <v>783</v>
      </c>
      <c r="E229" s="118" t="s">
        <v>439</v>
      </c>
      <c r="F229" s="103" t="s">
        <v>660</v>
      </c>
      <c r="G229" s="111">
        <v>676596</v>
      </c>
      <c r="H229" s="112">
        <v>70.114999999999995</v>
      </c>
      <c r="I229" s="137">
        <v>9649.8038936033663</v>
      </c>
      <c r="J229" s="13"/>
      <c r="K229" s="15"/>
      <c r="L229" s="15"/>
      <c r="M229" s="15"/>
      <c r="T229" s="171" t="s">
        <v>47</v>
      </c>
      <c r="U229" s="294" t="s">
        <v>19</v>
      </c>
      <c r="V229" s="172" t="s">
        <v>68</v>
      </c>
      <c r="W229" s="172" t="s">
        <v>1096</v>
      </c>
      <c r="X229" s="294" t="s">
        <v>199</v>
      </c>
      <c r="Y229" s="172" t="s">
        <v>71</v>
      </c>
      <c r="Z229" s="178"/>
      <c r="AA229" s="178"/>
      <c r="AB229" s="178"/>
      <c r="AC229" s="178"/>
      <c r="AD229" s="178">
        <f t="shared" si="3"/>
        <v>0</v>
      </c>
      <c r="AE229" s="174">
        <v>14800.67</v>
      </c>
      <c r="AF229" s="173">
        <v>9437.4337107712017</v>
      </c>
      <c r="AG229" s="173">
        <v>139680342</v>
      </c>
    </row>
    <row r="230" spans="1:33">
      <c r="A230" s="130" t="s">
        <v>47</v>
      </c>
      <c r="B230" s="6" t="s">
        <v>19</v>
      </c>
      <c r="C230" s="110" t="s">
        <v>67</v>
      </c>
      <c r="D230" s="333" t="s">
        <v>784</v>
      </c>
      <c r="E230" s="118" t="s">
        <v>440</v>
      </c>
      <c r="F230" s="103" t="s">
        <v>660</v>
      </c>
      <c r="G230" s="111">
        <v>1193025</v>
      </c>
      <c r="H230" s="112">
        <v>152.91</v>
      </c>
      <c r="I230" s="137">
        <v>7802.1385128506963</v>
      </c>
      <c r="J230" s="13"/>
      <c r="K230" s="15"/>
      <c r="L230" s="15"/>
      <c r="M230" s="15"/>
      <c r="T230" s="170" t="s">
        <v>47</v>
      </c>
      <c r="U230" s="295" t="s">
        <v>19</v>
      </c>
      <c r="V230" s="110" t="s">
        <v>68</v>
      </c>
      <c r="W230" s="103" t="s">
        <v>1097</v>
      </c>
      <c r="X230" s="295" t="s">
        <v>200</v>
      </c>
      <c r="Y230" s="110" t="s">
        <v>329</v>
      </c>
      <c r="Z230" s="179"/>
      <c r="AA230" s="179"/>
      <c r="AB230" s="179"/>
      <c r="AC230" s="179"/>
      <c r="AD230" s="179">
        <f t="shared" si="3"/>
        <v>0</v>
      </c>
      <c r="AE230" s="112">
        <v>7697.2650000000003</v>
      </c>
      <c r="AF230" s="111">
        <v>10503.541972375902</v>
      </c>
      <c r="AG230" s="111">
        <v>80848546</v>
      </c>
    </row>
    <row r="231" spans="1:33">
      <c r="A231" s="130" t="s">
        <v>47</v>
      </c>
      <c r="B231" s="6" t="s">
        <v>19</v>
      </c>
      <c r="C231" s="110" t="s">
        <v>67</v>
      </c>
      <c r="D231" s="110" t="s">
        <v>785</v>
      </c>
      <c r="E231" s="118" t="s">
        <v>441</v>
      </c>
      <c r="F231" s="103" t="s">
        <v>660</v>
      </c>
      <c r="G231" s="111">
        <v>2294511</v>
      </c>
      <c r="H231" s="112">
        <v>340.41</v>
      </c>
      <c r="I231" s="137">
        <v>6740.4335947827612</v>
      </c>
      <c r="J231" s="13"/>
      <c r="K231" s="15"/>
      <c r="L231" s="15"/>
      <c r="M231" s="15"/>
      <c r="T231" s="170" t="s">
        <v>47</v>
      </c>
      <c r="U231" s="295" t="s">
        <v>19</v>
      </c>
      <c r="V231" s="110" t="s">
        <v>68</v>
      </c>
      <c r="W231" s="103" t="s">
        <v>1098</v>
      </c>
      <c r="X231" s="295" t="s">
        <v>201</v>
      </c>
      <c r="Y231" s="110" t="s">
        <v>69</v>
      </c>
      <c r="Z231" s="179"/>
      <c r="AA231" s="179"/>
      <c r="AB231" s="179"/>
      <c r="AC231" s="179"/>
      <c r="AD231" s="179">
        <f t="shared" si="3"/>
        <v>0</v>
      </c>
      <c r="AE231" s="112">
        <v>7812.6949999999997</v>
      </c>
      <c r="AF231" s="111">
        <v>9390.2466434437792</v>
      </c>
      <c r="AG231" s="111">
        <v>73363133</v>
      </c>
    </row>
    <row r="232" spans="1:33">
      <c r="A232" s="130" t="s">
        <v>47</v>
      </c>
      <c r="B232" s="6" t="s">
        <v>19</v>
      </c>
      <c r="C232" s="334" t="s">
        <v>67</v>
      </c>
      <c r="D232" s="334" t="s">
        <v>786</v>
      </c>
      <c r="E232" s="118" t="s">
        <v>442</v>
      </c>
      <c r="F232" s="103" t="s">
        <v>688</v>
      </c>
      <c r="G232" s="111">
        <v>796654</v>
      </c>
      <c r="H232" s="112">
        <v>109.68</v>
      </c>
      <c r="I232" s="137">
        <v>7263.4390955506924</v>
      </c>
      <c r="J232" s="13"/>
      <c r="K232" s="15"/>
      <c r="L232" s="15"/>
      <c r="M232" s="15"/>
      <c r="T232" s="170" t="s">
        <v>47</v>
      </c>
      <c r="U232" s="295" t="s">
        <v>19</v>
      </c>
      <c r="V232" s="110" t="s">
        <v>68</v>
      </c>
      <c r="W232" s="103" t="s">
        <v>1099</v>
      </c>
      <c r="X232" s="295" t="s">
        <v>202</v>
      </c>
      <c r="Y232" s="110" t="s">
        <v>69</v>
      </c>
      <c r="Z232" s="179"/>
      <c r="AA232" s="179"/>
      <c r="AB232" s="179"/>
      <c r="AC232" s="179"/>
      <c r="AD232" s="179">
        <f t="shared" si="3"/>
        <v>0</v>
      </c>
      <c r="AE232" s="112">
        <v>17096.498</v>
      </c>
      <c r="AF232" s="111">
        <v>10306.586588668628</v>
      </c>
      <c r="AG232" s="111">
        <v>176206537</v>
      </c>
    </row>
    <row r="233" spans="1:33">
      <c r="A233" s="130" t="s">
        <v>47</v>
      </c>
      <c r="B233" s="6" t="s">
        <v>19</v>
      </c>
      <c r="C233" s="110" t="s">
        <v>68</v>
      </c>
      <c r="D233" s="103" t="s">
        <v>1098</v>
      </c>
      <c r="E233" s="6" t="s">
        <v>201</v>
      </c>
      <c r="F233" s="334" t="s">
        <v>69</v>
      </c>
      <c r="G233" s="111">
        <v>73363133</v>
      </c>
      <c r="H233" s="112">
        <v>7812.6949999999997</v>
      </c>
      <c r="I233" s="137">
        <v>9390.2466434437792</v>
      </c>
      <c r="J233" s="13"/>
      <c r="K233" s="15"/>
      <c r="L233" s="15"/>
      <c r="M233" s="15"/>
      <c r="T233" s="171" t="s">
        <v>47</v>
      </c>
      <c r="U233" s="294" t="s">
        <v>19</v>
      </c>
      <c r="V233" s="172" t="s">
        <v>68</v>
      </c>
      <c r="W233" s="172" t="s">
        <v>1100</v>
      </c>
      <c r="X233" s="294" t="s">
        <v>203</v>
      </c>
      <c r="Y233" s="172" t="s">
        <v>69</v>
      </c>
      <c r="Z233" s="178"/>
      <c r="AA233" s="178"/>
      <c r="AB233" s="178"/>
      <c r="AC233" s="178"/>
      <c r="AD233" s="178">
        <f t="shared" si="3"/>
        <v>0</v>
      </c>
      <c r="AE233" s="174">
        <v>3322.625</v>
      </c>
      <c r="AF233" s="173">
        <v>13140.205710846092</v>
      </c>
      <c r="AG233" s="173">
        <v>43659976</v>
      </c>
    </row>
    <row r="234" spans="1:33">
      <c r="A234" s="130" t="s">
        <v>47</v>
      </c>
      <c r="B234" s="6" t="s">
        <v>19</v>
      </c>
      <c r="C234" s="110" t="s">
        <v>67</v>
      </c>
      <c r="D234" s="110" t="s">
        <v>787</v>
      </c>
      <c r="E234" s="118" t="s">
        <v>443</v>
      </c>
      <c r="F234" s="103" t="s">
        <v>660</v>
      </c>
      <c r="G234" s="111">
        <v>1313181</v>
      </c>
      <c r="H234" s="112">
        <v>163.58000000000001</v>
      </c>
      <c r="I234" s="137">
        <v>8027.7601173737612</v>
      </c>
      <c r="J234" s="13"/>
      <c r="K234" s="15"/>
      <c r="L234" s="15"/>
      <c r="M234" s="15"/>
      <c r="T234" s="171" t="s">
        <v>47</v>
      </c>
      <c r="U234" s="294" t="s">
        <v>19</v>
      </c>
      <c r="V234" s="172" t="s">
        <v>68</v>
      </c>
      <c r="W234" s="172" t="s">
        <v>1101</v>
      </c>
      <c r="X234" s="294" t="s">
        <v>204</v>
      </c>
      <c r="Y234" s="172" t="s">
        <v>69</v>
      </c>
      <c r="Z234" s="178"/>
      <c r="AA234" s="178"/>
      <c r="AB234" s="178"/>
      <c r="AC234" s="178"/>
      <c r="AD234" s="178">
        <f t="shared" si="3"/>
        <v>0</v>
      </c>
      <c r="AE234" s="174">
        <v>3095.35</v>
      </c>
      <c r="AF234" s="173">
        <v>8361.6437559565165</v>
      </c>
      <c r="AG234" s="173">
        <v>25882214</v>
      </c>
    </row>
    <row r="235" spans="1:33">
      <c r="A235" s="130" t="s">
        <v>47</v>
      </c>
      <c r="B235" s="6" t="s">
        <v>19</v>
      </c>
      <c r="C235" s="110" t="s">
        <v>67</v>
      </c>
      <c r="D235" s="110" t="s">
        <v>788</v>
      </c>
      <c r="E235" s="118" t="s">
        <v>444</v>
      </c>
      <c r="F235" s="103" t="s">
        <v>688</v>
      </c>
      <c r="G235" s="111">
        <v>1222004</v>
      </c>
      <c r="H235" s="112">
        <v>155.19999999999999</v>
      </c>
      <c r="I235" s="137">
        <v>7873.7371134020623</v>
      </c>
      <c r="J235" s="13"/>
      <c r="K235" s="15"/>
      <c r="L235" s="15"/>
      <c r="M235" s="15"/>
      <c r="T235" s="170" t="s">
        <v>47</v>
      </c>
      <c r="U235" s="295" t="s">
        <v>19</v>
      </c>
      <c r="V235" s="110" t="s">
        <v>68</v>
      </c>
      <c r="W235" s="103" t="s">
        <v>1102</v>
      </c>
      <c r="X235" s="295" t="s">
        <v>205</v>
      </c>
      <c r="Y235" s="110" t="s">
        <v>69</v>
      </c>
      <c r="Z235" s="179"/>
      <c r="AA235" s="179"/>
      <c r="AB235" s="179"/>
      <c r="AC235" s="179"/>
      <c r="AD235" s="179">
        <f t="shared" si="3"/>
        <v>0</v>
      </c>
      <c r="AE235" s="112">
        <v>8271.2150000000001</v>
      </c>
      <c r="AF235" s="111">
        <v>7441.9973365460819</v>
      </c>
      <c r="AG235" s="111">
        <v>61554360</v>
      </c>
    </row>
    <row r="236" spans="1:33">
      <c r="A236" s="130" t="s">
        <v>47</v>
      </c>
      <c r="B236" s="6" t="s">
        <v>19</v>
      </c>
      <c r="C236" s="110" t="s">
        <v>67</v>
      </c>
      <c r="D236" s="334" t="s">
        <v>789</v>
      </c>
      <c r="E236" s="118" t="s">
        <v>445</v>
      </c>
      <c r="F236" s="103" t="s">
        <v>660</v>
      </c>
      <c r="G236" s="111">
        <v>639535</v>
      </c>
      <c r="H236" s="112">
        <v>87.295000000000002</v>
      </c>
      <c r="I236" s="137">
        <v>7326.1355174981381</v>
      </c>
      <c r="J236" s="13"/>
      <c r="K236" s="15"/>
      <c r="L236" s="15"/>
      <c r="M236" s="15"/>
      <c r="T236" s="170" t="s">
        <v>47</v>
      </c>
      <c r="U236" s="295" t="s">
        <v>19</v>
      </c>
      <c r="V236" s="110" t="s">
        <v>68</v>
      </c>
      <c r="W236" s="103" t="s">
        <v>1103</v>
      </c>
      <c r="X236" s="295" t="s">
        <v>206</v>
      </c>
      <c r="Y236" s="110" t="s">
        <v>69</v>
      </c>
      <c r="Z236" s="179"/>
      <c r="AA236" s="179"/>
      <c r="AB236" s="179"/>
      <c r="AC236" s="179"/>
      <c r="AD236" s="179">
        <f t="shared" si="3"/>
        <v>0</v>
      </c>
      <c r="AE236" s="112">
        <v>4098.7299999999996</v>
      </c>
      <c r="AF236" s="111">
        <v>8070.3808252800263</v>
      </c>
      <c r="AG236" s="111">
        <v>33078312</v>
      </c>
    </row>
    <row r="237" spans="1:33">
      <c r="A237" s="130" t="s">
        <v>47</v>
      </c>
      <c r="B237" s="6" t="s">
        <v>19</v>
      </c>
      <c r="C237" s="334" t="s">
        <v>67</v>
      </c>
      <c r="D237" s="334" t="s">
        <v>790</v>
      </c>
      <c r="E237" s="118" t="s">
        <v>446</v>
      </c>
      <c r="F237" s="103" t="s">
        <v>660</v>
      </c>
      <c r="G237" s="111">
        <v>2769357</v>
      </c>
      <c r="H237" s="112">
        <v>190.78</v>
      </c>
      <c r="I237" s="137">
        <v>14515.971275815074</v>
      </c>
      <c r="J237" s="13"/>
      <c r="K237" s="15"/>
      <c r="L237" s="15"/>
      <c r="M237" s="15"/>
      <c r="T237" s="171" t="s">
        <v>47</v>
      </c>
      <c r="U237" s="294" t="s">
        <v>19</v>
      </c>
      <c r="V237" s="172" t="s">
        <v>68</v>
      </c>
      <c r="W237" s="172" t="s">
        <v>1104</v>
      </c>
      <c r="X237" s="294" t="s">
        <v>207</v>
      </c>
      <c r="Y237" s="172" t="s">
        <v>69</v>
      </c>
      <c r="Z237" s="178"/>
      <c r="AA237" s="178"/>
      <c r="AB237" s="178"/>
      <c r="AC237" s="178"/>
      <c r="AD237" s="178">
        <f t="shared" si="3"/>
        <v>0</v>
      </c>
      <c r="AE237" s="174">
        <v>4811.165</v>
      </c>
      <c r="AF237" s="173">
        <v>10706.546543300843</v>
      </c>
      <c r="AG237" s="173">
        <v>51510962</v>
      </c>
    </row>
    <row r="238" spans="1:33">
      <c r="A238" s="130" t="s">
        <v>47</v>
      </c>
      <c r="B238" s="6" t="s">
        <v>19</v>
      </c>
      <c r="C238" s="110" t="s">
        <v>67</v>
      </c>
      <c r="D238" s="334" t="s">
        <v>791</v>
      </c>
      <c r="E238" s="118" t="s">
        <v>447</v>
      </c>
      <c r="F238" s="103" t="s">
        <v>660</v>
      </c>
      <c r="G238" s="111">
        <v>1113287</v>
      </c>
      <c r="H238" s="112">
        <v>136.88</v>
      </c>
      <c r="I238" s="137">
        <v>8133.3065458796027</v>
      </c>
      <c r="J238" s="13"/>
      <c r="K238" s="15"/>
      <c r="L238" s="15"/>
      <c r="M238" s="15"/>
      <c r="T238" s="170" t="s">
        <v>47</v>
      </c>
      <c r="U238" s="295" t="s">
        <v>19</v>
      </c>
      <c r="V238" s="110" t="s">
        <v>68</v>
      </c>
      <c r="W238" s="103" t="s">
        <v>1105</v>
      </c>
      <c r="X238" s="295" t="s">
        <v>10</v>
      </c>
      <c r="Y238" s="110" t="s">
        <v>133</v>
      </c>
      <c r="Z238" s="179"/>
      <c r="AA238" s="179"/>
      <c r="AB238" s="179"/>
      <c r="AC238" s="179"/>
      <c r="AD238" s="179">
        <f t="shared" si="3"/>
        <v>0</v>
      </c>
      <c r="AE238" s="112">
        <v>1261.635</v>
      </c>
      <c r="AF238" s="111">
        <v>10131.005401720782</v>
      </c>
      <c r="AG238" s="111">
        <v>12781631</v>
      </c>
    </row>
    <row r="239" spans="1:33">
      <c r="A239" s="130" t="s">
        <v>47</v>
      </c>
      <c r="B239" s="6" t="s">
        <v>19</v>
      </c>
      <c r="C239" s="110" t="s">
        <v>68</v>
      </c>
      <c r="D239" s="103" t="s">
        <v>1099</v>
      </c>
      <c r="E239" s="6" t="s">
        <v>202</v>
      </c>
      <c r="F239" s="334" t="s">
        <v>69</v>
      </c>
      <c r="G239" s="111">
        <v>176206537</v>
      </c>
      <c r="H239" s="112">
        <v>17096.498</v>
      </c>
      <c r="I239" s="137">
        <v>10306.586588668628</v>
      </c>
      <c r="J239" s="13"/>
      <c r="K239" s="15"/>
      <c r="L239" s="15"/>
      <c r="M239" s="15"/>
      <c r="T239" s="170" t="s">
        <v>47</v>
      </c>
      <c r="U239" s="295" t="s">
        <v>19</v>
      </c>
      <c r="V239" s="110" t="s">
        <v>68</v>
      </c>
      <c r="W239" s="103" t="s">
        <v>1106</v>
      </c>
      <c r="X239" s="295" t="s">
        <v>208</v>
      </c>
      <c r="Y239" s="110" t="s">
        <v>329</v>
      </c>
      <c r="Z239" s="179"/>
      <c r="AA239" s="179"/>
      <c r="AB239" s="179"/>
      <c r="AC239" s="179"/>
      <c r="AD239" s="179">
        <f t="shared" si="3"/>
        <v>0</v>
      </c>
      <c r="AE239" s="112">
        <v>68838.442999999999</v>
      </c>
      <c r="AF239" s="111">
        <v>9061.8143266256029</v>
      </c>
      <c r="AG239" s="111">
        <v>623801189</v>
      </c>
    </row>
    <row r="240" spans="1:33">
      <c r="A240" s="130" t="s">
        <v>47</v>
      </c>
      <c r="B240" s="6" t="s">
        <v>19</v>
      </c>
      <c r="C240" s="334" t="s">
        <v>68</v>
      </c>
      <c r="D240" s="103" t="s">
        <v>1100</v>
      </c>
      <c r="E240" s="6" t="s">
        <v>203</v>
      </c>
      <c r="F240" s="334" t="s">
        <v>69</v>
      </c>
      <c r="G240" s="111">
        <v>43659976</v>
      </c>
      <c r="H240" s="112">
        <v>3322.625</v>
      </c>
      <c r="I240" s="137">
        <v>13140.205710846092</v>
      </c>
      <c r="J240" s="13"/>
      <c r="K240" s="15"/>
      <c r="L240" s="15"/>
      <c r="M240" s="15"/>
      <c r="T240" s="170" t="s">
        <v>47</v>
      </c>
      <c r="U240" s="295" t="s">
        <v>19</v>
      </c>
      <c r="V240" s="110" t="s">
        <v>68</v>
      </c>
      <c r="W240" s="103" t="s">
        <v>1107</v>
      </c>
      <c r="X240" s="295" t="s">
        <v>209</v>
      </c>
      <c r="Y240" s="110" t="s">
        <v>69</v>
      </c>
      <c r="Z240" s="179"/>
      <c r="AA240" s="179"/>
      <c r="AB240" s="179"/>
      <c r="AC240" s="179"/>
      <c r="AD240" s="179">
        <f t="shared" si="3"/>
        <v>0</v>
      </c>
      <c r="AE240" s="112">
        <v>18.945</v>
      </c>
      <c r="AF240" s="111">
        <v>35419.741356558457</v>
      </c>
      <c r="AG240" s="111">
        <v>671027</v>
      </c>
    </row>
    <row r="241" spans="1:33">
      <c r="A241" s="130" t="s">
        <v>47</v>
      </c>
      <c r="B241" s="6" t="s">
        <v>19</v>
      </c>
      <c r="C241" s="110" t="s">
        <v>67</v>
      </c>
      <c r="D241" s="334" t="s">
        <v>792</v>
      </c>
      <c r="E241" s="118" t="s">
        <v>448</v>
      </c>
      <c r="F241" s="103" t="s">
        <v>688</v>
      </c>
      <c r="G241" s="111">
        <v>2514475</v>
      </c>
      <c r="H241" s="112">
        <v>363.09500000000003</v>
      </c>
      <c r="I241" s="137">
        <v>6925.1160164695184</v>
      </c>
      <c r="J241" s="13"/>
      <c r="K241" s="15"/>
      <c r="L241" s="15"/>
      <c r="M241" s="15"/>
      <c r="T241" s="170" t="s">
        <v>47</v>
      </c>
      <c r="U241" s="295" t="s">
        <v>19</v>
      </c>
      <c r="V241" s="110" t="s">
        <v>68</v>
      </c>
      <c r="W241" s="103" t="s">
        <v>1108</v>
      </c>
      <c r="X241" s="295" t="s">
        <v>210</v>
      </c>
      <c r="Y241" s="110" t="s">
        <v>69</v>
      </c>
      <c r="Z241" s="179"/>
      <c r="AA241" s="179"/>
      <c r="AB241" s="179"/>
      <c r="AC241" s="179"/>
      <c r="AD241" s="179">
        <f t="shared" si="3"/>
        <v>0</v>
      </c>
      <c r="AE241" s="112">
        <v>127.37</v>
      </c>
      <c r="AF241" s="111">
        <v>13786.307607756928</v>
      </c>
      <c r="AG241" s="111">
        <v>1755962</v>
      </c>
    </row>
    <row r="242" spans="1:33">
      <c r="A242" s="130" t="s">
        <v>47</v>
      </c>
      <c r="B242" s="6" t="s">
        <v>19</v>
      </c>
      <c r="C242" s="110" t="s">
        <v>67</v>
      </c>
      <c r="D242" s="333" t="s">
        <v>793</v>
      </c>
      <c r="E242" s="118" t="s">
        <v>449</v>
      </c>
      <c r="F242" s="103" t="s">
        <v>692</v>
      </c>
      <c r="G242" s="111">
        <v>1007650</v>
      </c>
      <c r="H242" s="112">
        <v>118.69</v>
      </c>
      <c r="I242" s="137">
        <v>8489.7632487993942</v>
      </c>
      <c r="J242" s="13"/>
      <c r="K242" s="15"/>
      <c r="L242" s="15"/>
      <c r="M242" s="15"/>
      <c r="T242" s="171" t="s">
        <v>47</v>
      </c>
      <c r="U242" s="294" t="s">
        <v>19</v>
      </c>
      <c r="V242" s="172" t="s">
        <v>68</v>
      </c>
      <c r="W242" s="172" t="s">
        <v>1109</v>
      </c>
      <c r="X242" s="294" t="s">
        <v>211</v>
      </c>
      <c r="Y242" s="172" t="s">
        <v>69</v>
      </c>
      <c r="Z242" s="178"/>
      <c r="AA242" s="178"/>
      <c r="AB242" s="178"/>
      <c r="AC242" s="178"/>
      <c r="AD242" s="178">
        <f t="shared" si="3"/>
        <v>0</v>
      </c>
      <c r="AE242" s="174">
        <v>2432.5949999999998</v>
      </c>
      <c r="AF242" s="173">
        <v>11484.526195277062</v>
      </c>
      <c r="AG242" s="173">
        <v>27937201</v>
      </c>
    </row>
    <row r="243" spans="1:33">
      <c r="A243" s="130" t="s">
        <v>47</v>
      </c>
      <c r="B243" s="6" t="s">
        <v>19</v>
      </c>
      <c r="C243" s="110" t="s">
        <v>67</v>
      </c>
      <c r="D243" s="110" t="s">
        <v>794</v>
      </c>
      <c r="E243" s="118" t="s">
        <v>450</v>
      </c>
      <c r="F243" s="103" t="s">
        <v>678</v>
      </c>
      <c r="G243" s="111">
        <v>2809917</v>
      </c>
      <c r="H243" s="112">
        <v>312.17500000000001</v>
      </c>
      <c r="I243" s="137">
        <v>9001.0955393609347</v>
      </c>
      <c r="J243" s="13"/>
      <c r="K243" s="15"/>
      <c r="L243" s="15"/>
      <c r="M243" s="15"/>
      <c r="T243" s="170" t="s">
        <v>47</v>
      </c>
      <c r="U243" s="295" t="s">
        <v>19</v>
      </c>
      <c r="V243" s="110" t="s">
        <v>68</v>
      </c>
      <c r="W243" s="103" t="s">
        <v>1110</v>
      </c>
      <c r="X243" s="295" t="s">
        <v>212</v>
      </c>
      <c r="Y243" s="110" t="s">
        <v>69</v>
      </c>
      <c r="Z243" s="179"/>
      <c r="AA243" s="179"/>
      <c r="AB243" s="179"/>
      <c r="AC243" s="179"/>
      <c r="AD243" s="179">
        <f t="shared" si="3"/>
        <v>0</v>
      </c>
      <c r="AE243" s="112">
        <v>717.245</v>
      </c>
      <c r="AF243" s="111">
        <v>11866.002551429428</v>
      </c>
      <c r="AG243" s="111">
        <v>8510831</v>
      </c>
    </row>
    <row r="244" spans="1:33">
      <c r="A244" s="130" t="s">
        <v>47</v>
      </c>
      <c r="B244" s="6" t="s">
        <v>19</v>
      </c>
      <c r="C244" s="334" t="s">
        <v>68</v>
      </c>
      <c r="D244" s="103" t="s">
        <v>1101</v>
      </c>
      <c r="E244" s="6" t="s">
        <v>204</v>
      </c>
      <c r="F244" s="334" t="s">
        <v>69</v>
      </c>
      <c r="G244" s="111">
        <v>25882214</v>
      </c>
      <c r="H244" s="112">
        <v>3095.35</v>
      </c>
      <c r="I244" s="137">
        <v>8361.6437559565165</v>
      </c>
      <c r="J244" s="13"/>
      <c r="K244" s="15"/>
      <c r="L244" s="15"/>
      <c r="M244" s="15"/>
      <c r="T244" s="170" t="s">
        <v>47</v>
      </c>
      <c r="U244" s="295" t="s">
        <v>19</v>
      </c>
      <c r="V244" s="110" t="s">
        <v>68</v>
      </c>
      <c r="W244" s="103" t="s">
        <v>1111</v>
      </c>
      <c r="X244" s="295" t="s">
        <v>213</v>
      </c>
      <c r="Y244" s="110" t="s">
        <v>69</v>
      </c>
      <c r="Z244" s="179"/>
      <c r="AA244" s="179"/>
      <c r="AB244" s="179"/>
      <c r="AC244" s="179"/>
      <c r="AD244" s="179">
        <f t="shared" si="3"/>
        <v>0</v>
      </c>
      <c r="AE244" s="112">
        <v>3558.14</v>
      </c>
      <c r="AF244" s="111">
        <v>9895.0845104464697</v>
      </c>
      <c r="AG244" s="111">
        <v>35208096</v>
      </c>
    </row>
    <row r="245" spans="1:33">
      <c r="A245" s="130" t="s">
        <v>47</v>
      </c>
      <c r="B245" s="6" t="s">
        <v>19</v>
      </c>
      <c r="C245" s="110" t="s">
        <v>67</v>
      </c>
      <c r="D245" s="334" t="s">
        <v>795</v>
      </c>
      <c r="E245" s="118" t="s">
        <v>451</v>
      </c>
      <c r="F245" s="103" t="s">
        <v>660</v>
      </c>
      <c r="G245" s="111">
        <v>2480658</v>
      </c>
      <c r="H245" s="112">
        <v>344.565</v>
      </c>
      <c r="I245" s="137">
        <v>7199.3905358930824</v>
      </c>
      <c r="J245" s="13"/>
      <c r="K245" s="15"/>
      <c r="L245" s="15"/>
      <c r="M245" s="15"/>
      <c r="T245" s="171" t="s">
        <v>47</v>
      </c>
      <c r="U245" s="294" t="s">
        <v>19</v>
      </c>
      <c r="V245" s="172" t="s">
        <v>68</v>
      </c>
      <c r="W245" s="172" t="s">
        <v>1112</v>
      </c>
      <c r="X245" s="294" t="s">
        <v>214</v>
      </c>
      <c r="Y245" s="172" t="s">
        <v>69</v>
      </c>
      <c r="Z245" s="178"/>
      <c r="AA245" s="178"/>
      <c r="AB245" s="178"/>
      <c r="AC245" s="178"/>
      <c r="AD245" s="178">
        <f t="shared" si="3"/>
        <v>0</v>
      </c>
      <c r="AE245" s="174">
        <v>388.48</v>
      </c>
      <c r="AF245" s="173">
        <v>9064.3894151565073</v>
      </c>
      <c r="AG245" s="173">
        <v>3521334</v>
      </c>
    </row>
    <row r="246" spans="1:33">
      <c r="A246" s="130" t="s">
        <v>47</v>
      </c>
      <c r="B246" s="6" t="s">
        <v>19</v>
      </c>
      <c r="C246" s="110" t="s">
        <v>67</v>
      </c>
      <c r="D246" s="110" t="s">
        <v>796</v>
      </c>
      <c r="E246" s="118" t="s">
        <v>452</v>
      </c>
      <c r="F246" s="103" t="s">
        <v>688</v>
      </c>
      <c r="G246" s="111">
        <v>2199031</v>
      </c>
      <c r="H246" s="112">
        <v>330.66</v>
      </c>
      <c r="I246" s="137">
        <v>6650.4294441420188</v>
      </c>
      <c r="J246" s="13"/>
      <c r="K246" s="15"/>
      <c r="L246" s="15"/>
      <c r="M246" s="15"/>
      <c r="T246" s="170" t="s">
        <v>47</v>
      </c>
      <c r="U246" s="295" t="s">
        <v>19</v>
      </c>
      <c r="V246" s="110" t="s">
        <v>68</v>
      </c>
      <c r="W246" s="103" t="s">
        <v>1113</v>
      </c>
      <c r="X246" s="295" t="s">
        <v>215</v>
      </c>
      <c r="Y246" s="110" t="s">
        <v>69</v>
      </c>
      <c r="Z246" s="179"/>
      <c r="AA246" s="179"/>
      <c r="AB246" s="179"/>
      <c r="AC246" s="179"/>
      <c r="AD246" s="179">
        <f t="shared" si="3"/>
        <v>0</v>
      </c>
      <c r="AE246" s="112">
        <v>62.15</v>
      </c>
      <c r="AF246" s="111">
        <v>14838.439259855189</v>
      </c>
      <c r="AG246" s="111">
        <v>922209</v>
      </c>
    </row>
    <row r="247" spans="1:33">
      <c r="A247" s="130" t="s">
        <v>47</v>
      </c>
      <c r="B247" s="6" t="s">
        <v>19</v>
      </c>
      <c r="C247" s="110" t="s">
        <v>68</v>
      </c>
      <c r="D247" s="103" t="s">
        <v>1102</v>
      </c>
      <c r="E247" s="6" t="s">
        <v>205</v>
      </c>
      <c r="F247" s="334" t="s">
        <v>69</v>
      </c>
      <c r="G247" s="111">
        <v>61554360</v>
      </c>
      <c r="H247" s="112">
        <v>8271.2150000000001</v>
      </c>
      <c r="I247" s="137">
        <v>7441.9973365460819</v>
      </c>
      <c r="J247" s="13"/>
      <c r="K247" s="15"/>
      <c r="L247" s="15"/>
      <c r="M247" s="15"/>
      <c r="T247" s="170" t="s">
        <v>47</v>
      </c>
      <c r="U247" s="295" t="s">
        <v>19</v>
      </c>
      <c r="V247" s="110" t="s">
        <v>68</v>
      </c>
      <c r="W247" s="103" t="s">
        <v>1114</v>
      </c>
      <c r="X247" s="295" t="s">
        <v>216</v>
      </c>
      <c r="Y247" s="110" t="s">
        <v>329</v>
      </c>
      <c r="Z247" s="179"/>
      <c r="AA247" s="179"/>
      <c r="AB247" s="179"/>
      <c r="AC247" s="179"/>
      <c r="AD247" s="179">
        <f t="shared" si="3"/>
        <v>0</v>
      </c>
      <c r="AE247" s="112">
        <v>32786.023000000001</v>
      </c>
      <c r="AF247" s="111">
        <v>9576.9290468685394</v>
      </c>
      <c r="AG247" s="111">
        <v>313989416</v>
      </c>
    </row>
    <row r="248" spans="1:33">
      <c r="A248" s="130" t="s">
        <v>47</v>
      </c>
      <c r="B248" s="6" t="s">
        <v>19</v>
      </c>
      <c r="C248" s="334" t="s">
        <v>67</v>
      </c>
      <c r="D248" s="334" t="s">
        <v>797</v>
      </c>
      <c r="E248" s="118" t="s">
        <v>453</v>
      </c>
      <c r="F248" s="103" t="s">
        <v>688</v>
      </c>
      <c r="G248" s="111">
        <v>1024213</v>
      </c>
      <c r="H248" s="112">
        <v>123.495</v>
      </c>
      <c r="I248" s="137">
        <v>8293.5584436616864</v>
      </c>
      <c r="J248" s="13"/>
      <c r="K248" s="15"/>
      <c r="L248" s="15"/>
      <c r="M248" s="15"/>
      <c r="T248" s="171" t="s">
        <v>47</v>
      </c>
      <c r="U248" s="294" t="s">
        <v>19</v>
      </c>
      <c r="V248" s="172" t="s">
        <v>68</v>
      </c>
      <c r="W248" s="172" t="s">
        <v>1115</v>
      </c>
      <c r="X248" s="294" t="s">
        <v>217</v>
      </c>
      <c r="Y248" s="172" t="s">
        <v>69</v>
      </c>
      <c r="Z248" s="178"/>
      <c r="AA248" s="178"/>
      <c r="AB248" s="178"/>
      <c r="AC248" s="178"/>
      <c r="AD248" s="178">
        <f t="shared" si="3"/>
        <v>0</v>
      </c>
      <c r="AE248" s="174">
        <v>9999.7900000000009</v>
      </c>
      <c r="AF248" s="173">
        <v>8486.4212148455117</v>
      </c>
      <c r="AG248" s="173">
        <v>84862430</v>
      </c>
    </row>
    <row r="249" spans="1:33">
      <c r="A249" s="130" t="s">
        <v>47</v>
      </c>
      <c r="B249" s="6" t="s">
        <v>19</v>
      </c>
      <c r="C249" s="110" t="s">
        <v>68</v>
      </c>
      <c r="D249" s="103" t="s">
        <v>1103</v>
      </c>
      <c r="E249" s="6" t="s">
        <v>206</v>
      </c>
      <c r="F249" s="334" t="s">
        <v>69</v>
      </c>
      <c r="G249" s="111">
        <v>33078312</v>
      </c>
      <c r="H249" s="112">
        <v>4098.7299999999996</v>
      </c>
      <c r="I249" s="137">
        <v>8070.3808252800263</v>
      </c>
      <c r="J249" s="13"/>
      <c r="K249" s="15"/>
      <c r="L249" s="15"/>
      <c r="M249" s="15"/>
      <c r="T249" s="170" t="s">
        <v>47</v>
      </c>
      <c r="U249" s="295" t="s">
        <v>19</v>
      </c>
      <c r="V249" s="110" t="s">
        <v>68</v>
      </c>
      <c r="W249" s="103" t="s">
        <v>1116</v>
      </c>
      <c r="X249" s="295" t="s">
        <v>218</v>
      </c>
      <c r="Y249" s="110" t="s">
        <v>329</v>
      </c>
      <c r="Z249" s="179"/>
      <c r="AA249" s="179"/>
      <c r="AB249" s="179"/>
      <c r="AC249" s="179"/>
      <c r="AD249" s="179">
        <f t="shared" si="3"/>
        <v>0</v>
      </c>
      <c r="AE249" s="112">
        <v>36500.239999999998</v>
      </c>
      <c r="AF249" s="111">
        <v>8221.8161031269938</v>
      </c>
      <c r="AG249" s="111">
        <v>300098261</v>
      </c>
    </row>
    <row r="250" spans="1:33">
      <c r="A250" s="130" t="s">
        <v>47</v>
      </c>
      <c r="B250" s="6" t="s">
        <v>19</v>
      </c>
      <c r="C250" s="110" t="s">
        <v>68</v>
      </c>
      <c r="D250" s="103" t="s">
        <v>1104</v>
      </c>
      <c r="E250" s="6" t="s">
        <v>207</v>
      </c>
      <c r="F250" s="334" t="s">
        <v>69</v>
      </c>
      <c r="G250" s="111">
        <v>51510962</v>
      </c>
      <c r="H250" s="112">
        <v>4811.165</v>
      </c>
      <c r="I250" s="137">
        <v>10706.546543300843</v>
      </c>
      <c r="J250" s="13"/>
      <c r="K250" s="15"/>
      <c r="L250" s="15"/>
      <c r="M250" s="15"/>
      <c r="T250" s="170" t="s">
        <v>47</v>
      </c>
      <c r="U250" s="295" t="s">
        <v>19</v>
      </c>
      <c r="V250" s="110" t="s">
        <v>68</v>
      </c>
      <c r="W250" s="103" t="s">
        <v>1118</v>
      </c>
      <c r="X250" s="295" t="s">
        <v>219</v>
      </c>
      <c r="Y250" s="110" t="s">
        <v>71</v>
      </c>
      <c r="Z250" s="179"/>
      <c r="AA250" s="179"/>
      <c r="AB250" s="179"/>
      <c r="AC250" s="179"/>
      <c r="AD250" s="179">
        <f t="shared" si="3"/>
        <v>0</v>
      </c>
      <c r="AE250" s="112">
        <v>24031.775000000001</v>
      </c>
      <c r="AF250" s="111">
        <v>12317.458905969284</v>
      </c>
      <c r="AG250" s="111">
        <v>296010401</v>
      </c>
    </row>
    <row r="251" spans="1:33">
      <c r="A251" s="130" t="s">
        <v>47</v>
      </c>
      <c r="B251" s="6" t="s">
        <v>19</v>
      </c>
      <c r="C251" s="110" t="s">
        <v>68</v>
      </c>
      <c r="D251" s="103" t="s">
        <v>1105</v>
      </c>
      <c r="E251" s="6" t="s">
        <v>10</v>
      </c>
      <c r="F251" s="334" t="s">
        <v>133</v>
      </c>
      <c r="G251" s="111">
        <v>12781631</v>
      </c>
      <c r="H251" s="112">
        <v>1261.635</v>
      </c>
      <c r="I251" s="137">
        <v>10131.005401720782</v>
      </c>
      <c r="J251" s="13"/>
      <c r="K251" s="15"/>
      <c r="L251" s="15"/>
      <c r="M251" s="15"/>
      <c r="T251" s="171" t="s">
        <v>47</v>
      </c>
      <c r="U251" s="294" t="s">
        <v>19</v>
      </c>
      <c r="V251" s="172" t="s">
        <v>68</v>
      </c>
      <c r="W251" s="172" t="s">
        <v>1117</v>
      </c>
      <c r="X251" s="294" t="s">
        <v>219</v>
      </c>
      <c r="Y251" s="172" t="s">
        <v>69</v>
      </c>
      <c r="Z251" s="178"/>
      <c r="AA251" s="178"/>
      <c r="AB251" s="178"/>
      <c r="AC251" s="178"/>
      <c r="AD251" s="178">
        <f t="shared" si="3"/>
        <v>0</v>
      </c>
      <c r="AE251" s="174">
        <v>7484.4279999999999</v>
      </c>
      <c r="AF251" s="173">
        <v>13583.242567100653</v>
      </c>
      <c r="AG251" s="173">
        <v>101662801</v>
      </c>
    </row>
    <row r="252" spans="1:33">
      <c r="A252" s="130" t="s">
        <v>47</v>
      </c>
      <c r="B252" s="6" t="s">
        <v>19</v>
      </c>
      <c r="C252" s="110" t="s">
        <v>67</v>
      </c>
      <c r="D252" s="334" t="s">
        <v>799</v>
      </c>
      <c r="E252" s="118" t="s">
        <v>454</v>
      </c>
      <c r="F252" s="103" t="s">
        <v>660</v>
      </c>
      <c r="G252" s="111">
        <v>442189</v>
      </c>
      <c r="H252" s="112">
        <v>61.94</v>
      </c>
      <c r="I252" s="137">
        <v>7138.9893445269618</v>
      </c>
      <c r="J252" s="13"/>
      <c r="K252" s="15"/>
      <c r="L252" s="15"/>
      <c r="M252" s="15"/>
      <c r="T252" s="171" t="s">
        <v>47</v>
      </c>
      <c r="U252" s="294" t="s">
        <v>19</v>
      </c>
      <c r="V252" s="172" t="s">
        <v>68</v>
      </c>
      <c r="W252" s="172" t="s">
        <v>1119</v>
      </c>
      <c r="X252" s="294" t="s">
        <v>220</v>
      </c>
      <c r="Y252" s="172" t="s">
        <v>329</v>
      </c>
      <c r="Z252" s="178"/>
      <c r="AA252" s="178"/>
      <c r="AB252" s="178"/>
      <c r="AC252" s="178"/>
      <c r="AD252" s="178">
        <f t="shared" si="3"/>
        <v>0</v>
      </c>
      <c r="AE252" s="174">
        <v>4151.7280000000001</v>
      </c>
      <c r="AF252" s="173">
        <v>10152.781444256463</v>
      </c>
      <c r="AG252" s="173">
        <v>42151587</v>
      </c>
    </row>
    <row r="253" spans="1:33">
      <c r="A253" s="130" t="s">
        <v>47</v>
      </c>
      <c r="B253" s="6" t="s">
        <v>19</v>
      </c>
      <c r="C253" s="110" t="s">
        <v>67</v>
      </c>
      <c r="D253" s="333" t="s">
        <v>798</v>
      </c>
      <c r="E253" s="118" t="s">
        <v>454</v>
      </c>
      <c r="F253" s="103" t="s">
        <v>678</v>
      </c>
      <c r="G253" s="111">
        <v>1457826</v>
      </c>
      <c r="H253" s="112">
        <v>198.11</v>
      </c>
      <c r="I253" s="137">
        <v>7358.6694260764216</v>
      </c>
      <c r="J253" s="13"/>
      <c r="K253" s="15"/>
      <c r="L253" s="15"/>
      <c r="M253" s="15"/>
      <c r="T253" s="170" t="s">
        <v>47</v>
      </c>
      <c r="U253" s="295" t="s">
        <v>19</v>
      </c>
      <c r="V253" s="110" t="s">
        <v>68</v>
      </c>
      <c r="W253" s="103" t="s">
        <v>1120</v>
      </c>
      <c r="X253" s="295" t="s">
        <v>221</v>
      </c>
      <c r="Y253" s="110" t="s">
        <v>69</v>
      </c>
      <c r="Z253" s="179"/>
      <c r="AA253" s="179"/>
      <c r="AB253" s="179"/>
      <c r="AC253" s="179"/>
      <c r="AD253" s="179">
        <f t="shared" si="3"/>
        <v>0</v>
      </c>
      <c r="AE253" s="112">
        <v>783.18799999999999</v>
      </c>
      <c r="AF253" s="111">
        <v>14018.483429266025</v>
      </c>
      <c r="AG253" s="111">
        <v>10979108</v>
      </c>
    </row>
    <row r="254" spans="1:33">
      <c r="A254" s="130" t="s">
        <v>47</v>
      </c>
      <c r="B254" s="6" t="s">
        <v>19</v>
      </c>
      <c r="C254" s="110" t="s">
        <v>67</v>
      </c>
      <c r="D254" s="110" t="s">
        <v>800</v>
      </c>
      <c r="E254" s="118" t="s">
        <v>455</v>
      </c>
      <c r="F254" s="103" t="s">
        <v>688</v>
      </c>
      <c r="G254" s="111">
        <v>3756610</v>
      </c>
      <c r="H254" s="112">
        <v>548.36</v>
      </c>
      <c r="I254" s="137">
        <v>6850.6273251148878</v>
      </c>
      <c r="J254" s="13"/>
      <c r="K254" s="15"/>
      <c r="L254" s="15"/>
      <c r="M254" s="15"/>
      <c r="T254" s="171" t="s">
        <v>47</v>
      </c>
      <c r="U254" s="294" t="s">
        <v>19</v>
      </c>
      <c r="V254" s="172" t="s">
        <v>68</v>
      </c>
      <c r="W254" s="172" t="s">
        <v>1121</v>
      </c>
      <c r="X254" s="294" t="s">
        <v>222</v>
      </c>
      <c r="Y254" s="172" t="s">
        <v>69</v>
      </c>
      <c r="Z254" s="178"/>
      <c r="AA254" s="178"/>
      <c r="AB254" s="178"/>
      <c r="AC254" s="178"/>
      <c r="AD254" s="178">
        <f t="shared" si="3"/>
        <v>0</v>
      </c>
      <c r="AE254" s="174">
        <v>11867.014999999999</v>
      </c>
      <c r="AF254" s="173">
        <v>9685.6711649896806</v>
      </c>
      <c r="AG254" s="173">
        <v>114940005</v>
      </c>
    </row>
    <row r="255" spans="1:33">
      <c r="A255" s="130" t="s">
        <v>47</v>
      </c>
      <c r="B255" s="6" t="s">
        <v>19</v>
      </c>
      <c r="C255" s="110" t="s">
        <v>68</v>
      </c>
      <c r="D255" s="103" t="s">
        <v>1106</v>
      </c>
      <c r="E255" s="6" t="s">
        <v>208</v>
      </c>
      <c r="F255" s="334" t="s">
        <v>329</v>
      </c>
      <c r="G255" s="111">
        <v>623801189</v>
      </c>
      <c r="H255" s="112">
        <v>68838.442999999999</v>
      </c>
      <c r="I255" s="137">
        <v>9061.8143266256029</v>
      </c>
      <c r="J255" s="13"/>
      <c r="K255" s="15"/>
      <c r="L255" s="15"/>
      <c r="M255" s="15"/>
      <c r="T255" s="170" t="s">
        <v>47</v>
      </c>
      <c r="U255" s="295" t="s">
        <v>19</v>
      </c>
      <c r="V255" s="110" t="s">
        <v>68</v>
      </c>
      <c r="W255" s="103" t="s">
        <v>1122</v>
      </c>
      <c r="X255" s="295" t="s">
        <v>223</v>
      </c>
      <c r="Y255" s="110" t="s">
        <v>329</v>
      </c>
      <c r="Z255" s="179"/>
      <c r="AA255" s="179"/>
      <c r="AB255" s="179"/>
      <c r="AC255" s="179"/>
      <c r="AD255" s="179">
        <f t="shared" si="3"/>
        <v>0</v>
      </c>
      <c r="AE255" s="112">
        <v>1147.155</v>
      </c>
      <c r="AF255" s="111">
        <v>25766.905954295627</v>
      </c>
      <c r="AG255" s="111">
        <v>29558635</v>
      </c>
    </row>
    <row r="256" spans="1:33">
      <c r="A256" s="130" t="s">
        <v>47</v>
      </c>
      <c r="B256" s="6" t="s">
        <v>19</v>
      </c>
      <c r="C256" s="110" t="s">
        <v>67</v>
      </c>
      <c r="D256" s="334" t="s">
        <v>801</v>
      </c>
      <c r="E256" s="118" t="s">
        <v>456</v>
      </c>
      <c r="F256" s="103" t="s">
        <v>678</v>
      </c>
      <c r="G256" s="111">
        <v>1539976</v>
      </c>
      <c r="H256" s="112">
        <v>202.76</v>
      </c>
      <c r="I256" s="137">
        <v>7595.0680607614913</v>
      </c>
      <c r="J256" s="13"/>
      <c r="K256" s="15"/>
      <c r="L256" s="15"/>
      <c r="M256" s="15"/>
      <c r="T256" s="171" t="s">
        <v>47</v>
      </c>
      <c r="U256" s="294" t="s">
        <v>19</v>
      </c>
      <c r="V256" s="172" t="s">
        <v>68</v>
      </c>
      <c r="W256" s="172" t="s">
        <v>1123</v>
      </c>
      <c r="X256" s="294" t="s">
        <v>224</v>
      </c>
      <c r="Y256" s="172" t="s">
        <v>329</v>
      </c>
      <c r="Z256" s="178"/>
      <c r="AA256" s="178"/>
      <c r="AB256" s="178"/>
      <c r="AC256" s="178"/>
      <c r="AD256" s="178">
        <f t="shared" si="3"/>
        <v>0</v>
      </c>
      <c r="AE256" s="174">
        <v>25380.788</v>
      </c>
      <c r="AF256" s="173">
        <v>14491.978460243236</v>
      </c>
      <c r="AG256" s="173">
        <v>367817833</v>
      </c>
    </row>
    <row r="257" spans="1:33">
      <c r="A257" s="130" t="s">
        <v>47</v>
      </c>
      <c r="B257" s="6" t="s">
        <v>19</v>
      </c>
      <c r="C257" s="110" t="s">
        <v>67</v>
      </c>
      <c r="D257" s="334" t="s">
        <v>802</v>
      </c>
      <c r="E257" s="118" t="s">
        <v>457</v>
      </c>
      <c r="F257" s="103" t="s">
        <v>688</v>
      </c>
      <c r="G257" s="111">
        <v>1556932</v>
      </c>
      <c r="H257" s="112">
        <v>209.64</v>
      </c>
      <c r="I257" s="137">
        <v>7426.6933791261217</v>
      </c>
      <c r="J257" s="13"/>
      <c r="K257" s="15"/>
      <c r="L257" s="15"/>
      <c r="M257" s="15"/>
      <c r="T257" s="171" t="s">
        <v>47</v>
      </c>
      <c r="U257" s="294" t="s">
        <v>19</v>
      </c>
      <c r="V257" s="172" t="s">
        <v>68</v>
      </c>
      <c r="W257" s="172" t="s">
        <v>1124</v>
      </c>
      <c r="X257" s="294" t="s">
        <v>225</v>
      </c>
      <c r="Y257" s="172" t="s">
        <v>69</v>
      </c>
      <c r="Z257" s="178"/>
      <c r="AA257" s="178"/>
      <c r="AB257" s="178"/>
      <c r="AC257" s="178"/>
      <c r="AD257" s="178">
        <f t="shared" si="3"/>
        <v>0</v>
      </c>
      <c r="AE257" s="174">
        <v>34.36</v>
      </c>
      <c r="AF257" s="173">
        <v>46551.105937136206</v>
      </c>
      <c r="AG257" s="173">
        <v>1599496</v>
      </c>
    </row>
    <row r="258" spans="1:33">
      <c r="A258" s="130" t="s">
        <v>47</v>
      </c>
      <c r="B258" s="6" t="s">
        <v>19</v>
      </c>
      <c r="C258" s="110" t="s">
        <v>67</v>
      </c>
      <c r="D258" s="333" t="s">
        <v>803</v>
      </c>
      <c r="E258" s="118" t="s">
        <v>458</v>
      </c>
      <c r="F258" s="103" t="s">
        <v>688</v>
      </c>
      <c r="G258" s="111">
        <v>676972</v>
      </c>
      <c r="H258" s="112">
        <v>86.745000000000005</v>
      </c>
      <c r="I258" s="137">
        <v>7804.1616231483076</v>
      </c>
      <c r="J258" s="13"/>
      <c r="K258" s="15"/>
      <c r="L258" s="15"/>
      <c r="M258" s="15"/>
      <c r="T258" s="170" t="s">
        <v>47</v>
      </c>
      <c r="U258" s="295" t="s">
        <v>19</v>
      </c>
      <c r="V258" s="110" t="s">
        <v>68</v>
      </c>
      <c r="W258" s="103" t="s">
        <v>1125</v>
      </c>
      <c r="X258" s="295" t="s">
        <v>35</v>
      </c>
      <c r="Y258" s="110"/>
      <c r="Z258" s="179"/>
      <c r="AA258" s="179"/>
      <c r="AB258" s="179"/>
      <c r="AC258" s="179"/>
      <c r="AD258" s="179">
        <f t="shared" si="3"/>
        <v>0</v>
      </c>
      <c r="AE258" s="112">
        <v>12453.08</v>
      </c>
      <c r="AF258" s="111">
        <v>9886.3121412534092</v>
      </c>
      <c r="AG258" s="111">
        <v>123115036</v>
      </c>
    </row>
    <row r="259" spans="1:33">
      <c r="A259" s="130" t="s">
        <v>47</v>
      </c>
      <c r="B259" s="6" t="s">
        <v>19</v>
      </c>
      <c r="C259" s="110" t="s">
        <v>67</v>
      </c>
      <c r="D259" s="334" t="s">
        <v>804</v>
      </c>
      <c r="E259" s="118" t="s">
        <v>459</v>
      </c>
      <c r="F259" s="103" t="s">
        <v>660</v>
      </c>
      <c r="G259" s="111">
        <v>2563787</v>
      </c>
      <c r="H259" s="112">
        <v>290.245</v>
      </c>
      <c r="I259" s="137">
        <v>8833.1823114954605</v>
      </c>
      <c r="J259" s="13"/>
      <c r="K259" s="15"/>
      <c r="L259" s="15"/>
      <c r="M259" s="15"/>
      <c r="T259" s="170" t="s">
        <v>47</v>
      </c>
      <c r="U259" s="295" t="s">
        <v>19</v>
      </c>
      <c r="V259" s="110" t="s">
        <v>68</v>
      </c>
      <c r="W259" s="103" t="s">
        <v>1126</v>
      </c>
      <c r="X259" s="295" t="s">
        <v>226</v>
      </c>
      <c r="Y259" s="110" t="s">
        <v>71</v>
      </c>
      <c r="Z259" s="179"/>
      <c r="AA259" s="179"/>
      <c r="AB259" s="179"/>
      <c r="AC259" s="179"/>
      <c r="AD259" s="179">
        <f t="shared" si="3"/>
        <v>0</v>
      </c>
      <c r="AE259" s="112">
        <v>13203.858</v>
      </c>
      <c r="AF259" s="111">
        <v>9831.3247537197076</v>
      </c>
      <c r="AG259" s="111">
        <v>129811416</v>
      </c>
    </row>
    <row r="260" spans="1:33">
      <c r="A260" s="130" t="s">
        <v>47</v>
      </c>
      <c r="B260" s="6" t="s">
        <v>19</v>
      </c>
      <c r="C260" s="110" t="s">
        <v>67</v>
      </c>
      <c r="D260" s="334" t="s">
        <v>805</v>
      </c>
      <c r="E260" s="118" t="s">
        <v>460</v>
      </c>
      <c r="F260" s="103" t="s">
        <v>688</v>
      </c>
      <c r="G260" s="111">
        <v>1206588</v>
      </c>
      <c r="H260" s="112">
        <v>157.94999999999999</v>
      </c>
      <c r="I260" s="137">
        <v>7639.0503323836665</v>
      </c>
      <c r="J260" s="13"/>
      <c r="K260" s="15"/>
      <c r="L260" s="15"/>
      <c r="M260" s="15"/>
      <c r="T260" s="171" t="s">
        <v>47</v>
      </c>
      <c r="U260" s="294" t="s">
        <v>19</v>
      </c>
      <c r="V260" s="172" t="s">
        <v>68</v>
      </c>
      <c r="W260" s="172" t="s">
        <v>1127</v>
      </c>
      <c r="X260" s="294" t="s">
        <v>227</v>
      </c>
      <c r="Y260" s="172" t="s">
        <v>69</v>
      </c>
      <c r="Z260" s="178"/>
      <c r="AA260" s="178"/>
      <c r="AB260" s="178"/>
      <c r="AC260" s="178"/>
      <c r="AD260" s="178">
        <f t="shared" si="3"/>
        <v>0</v>
      </c>
      <c r="AE260" s="174">
        <v>2709.75</v>
      </c>
      <c r="AF260" s="173">
        <v>8657.4348187102132</v>
      </c>
      <c r="AG260" s="173">
        <v>23459484</v>
      </c>
    </row>
    <row r="261" spans="1:33">
      <c r="A261" s="130" t="s">
        <v>47</v>
      </c>
      <c r="B261" s="6" t="s">
        <v>19</v>
      </c>
      <c r="C261" s="110" t="s">
        <v>68</v>
      </c>
      <c r="D261" s="103" t="s">
        <v>1107</v>
      </c>
      <c r="E261" s="6" t="s">
        <v>209</v>
      </c>
      <c r="F261" s="334" t="s">
        <v>69</v>
      </c>
      <c r="G261" s="111">
        <v>671027</v>
      </c>
      <c r="H261" s="112">
        <v>18.945</v>
      </c>
      <c r="I261" s="137">
        <v>35419.741356558457</v>
      </c>
      <c r="J261" s="13"/>
      <c r="K261" s="15"/>
      <c r="L261" s="15"/>
      <c r="M261" s="15"/>
      <c r="T261" s="170" t="s">
        <v>47</v>
      </c>
      <c r="U261" s="295" t="s">
        <v>19</v>
      </c>
      <c r="V261" s="110" t="s">
        <v>68</v>
      </c>
      <c r="W261" s="103" t="s">
        <v>1128</v>
      </c>
      <c r="X261" s="295" t="s">
        <v>228</v>
      </c>
      <c r="Y261" s="110" t="s">
        <v>71</v>
      </c>
      <c r="Z261" s="179"/>
      <c r="AA261" s="179"/>
      <c r="AB261" s="179"/>
      <c r="AC261" s="179"/>
      <c r="AD261" s="179">
        <f t="shared" si="3"/>
        <v>0</v>
      </c>
      <c r="AE261" s="112">
        <v>7916.79</v>
      </c>
      <c r="AF261" s="111">
        <v>10109.674122971557</v>
      </c>
      <c r="AG261" s="111">
        <v>80036167</v>
      </c>
    </row>
    <row r="262" spans="1:33">
      <c r="A262" s="130" t="s">
        <v>47</v>
      </c>
      <c r="B262" s="6" t="s">
        <v>19</v>
      </c>
      <c r="C262" s="110" t="s">
        <v>67</v>
      </c>
      <c r="D262" s="334" t="s">
        <v>806</v>
      </c>
      <c r="E262" s="118" t="s">
        <v>461</v>
      </c>
      <c r="F262" s="103" t="s">
        <v>688</v>
      </c>
      <c r="G262" s="111">
        <v>616728</v>
      </c>
      <c r="H262" s="112">
        <v>77.52</v>
      </c>
      <c r="I262" s="137">
        <v>7955.7275541795671</v>
      </c>
      <c r="J262" s="13"/>
      <c r="K262" s="15"/>
      <c r="L262" s="15"/>
      <c r="M262" s="15"/>
      <c r="T262" s="171" t="s">
        <v>47</v>
      </c>
      <c r="U262" s="294" t="s">
        <v>19</v>
      </c>
      <c r="V262" s="172" t="s">
        <v>68</v>
      </c>
      <c r="W262" s="172" t="s">
        <v>1129</v>
      </c>
      <c r="X262" s="294" t="s">
        <v>229</v>
      </c>
      <c r="Y262" s="172" t="s">
        <v>69</v>
      </c>
      <c r="Z262" s="178"/>
      <c r="AA262" s="178"/>
      <c r="AB262" s="178"/>
      <c r="AC262" s="178"/>
      <c r="AD262" s="178">
        <f t="shared" si="3"/>
        <v>0</v>
      </c>
      <c r="AE262" s="174">
        <v>1325.9349999999999</v>
      </c>
      <c r="AF262" s="173">
        <v>13368.237507871805</v>
      </c>
      <c r="AG262" s="173">
        <v>17725414</v>
      </c>
    </row>
    <row r="263" spans="1:33">
      <c r="A263" s="130" t="s">
        <v>47</v>
      </c>
      <c r="B263" s="6" t="s">
        <v>19</v>
      </c>
      <c r="C263" s="110" t="s">
        <v>67</v>
      </c>
      <c r="D263" s="110" t="s">
        <v>891</v>
      </c>
      <c r="E263" s="118" t="s">
        <v>536</v>
      </c>
      <c r="F263" s="103" t="s">
        <v>660</v>
      </c>
      <c r="G263" s="111">
        <v>1825681</v>
      </c>
      <c r="H263" s="112">
        <v>240.72</v>
      </c>
      <c r="I263" s="137">
        <v>7584.2514124293784</v>
      </c>
      <c r="J263" s="13"/>
      <c r="K263" s="15"/>
      <c r="L263" s="15"/>
      <c r="M263" s="15"/>
      <c r="T263" s="170" t="s">
        <v>47</v>
      </c>
      <c r="U263" s="295" t="s">
        <v>19</v>
      </c>
      <c r="V263" s="110" t="s">
        <v>68</v>
      </c>
      <c r="W263" s="103" t="s">
        <v>1130</v>
      </c>
      <c r="X263" s="295" t="s">
        <v>230</v>
      </c>
      <c r="Y263" s="110" t="s">
        <v>69</v>
      </c>
      <c r="Z263" s="179"/>
      <c r="AA263" s="179"/>
      <c r="AB263" s="179"/>
      <c r="AC263" s="179"/>
      <c r="AD263" s="179">
        <f t="shared" si="3"/>
        <v>0</v>
      </c>
      <c r="AE263" s="112">
        <v>23035.32</v>
      </c>
      <c r="AF263" s="111">
        <v>9672.3838435932303</v>
      </c>
      <c r="AG263" s="111">
        <v>222806457</v>
      </c>
    </row>
    <row r="264" spans="1:33">
      <c r="A264" s="130" t="s">
        <v>47</v>
      </c>
      <c r="B264" s="6" t="s">
        <v>19</v>
      </c>
      <c r="C264" s="110" t="s">
        <v>67</v>
      </c>
      <c r="D264" s="333" t="s">
        <v>807</v>
      </c>
      <c r="E264" s="118" t="s">
        <v>462</v>
      </c>
      <c r="F264" s="103" t="s">
        <v>660</v>
      </c>
      <c r="G264" s="111">
        <v>2546341</v>
      </c>
      <c r="H264" s="112">
        <v>388.80500000000001</v>
      </c>
      <c r="I264" s="137">
        <v>6549.1467445120306</v>
      </c>
      <c r="J264" s="13"/>
      <c r="K264" s="15"/>
      <c r="L264" s="15"/>
      <c r="M264" s="15"/>
      <c r="T264" s="170" t="s">
        <v>47</v>
      </c>
      <c r="U264" s="295" t="s">
        <v>19</v>
      </c>
      <c r="V264" s="110" t="s">
        <v>68</v>
      </c>
      <c r="W264" s="103" t="s">
        <v>1131</v>
      </c>
      <c r="X264" s="295" t="s">
        <v>231</v>
      </c>
      <c r="Y264" s="110" t="s">
        <v>135</v>
      </c>
      <c r="Z264" s="179"/>
      <c r="AA264" s="179"/>
      <c r="AB264" s="179"/>
      <c r="AC264" s="179"/>
      <c r="AD264" s="179">
        <f t="shared" si="3"/>
        <v>0</v>
      </c>
      <c r="AE264" s="112">
        <v>4669.3249999999998</v>
      </c>
      <c r="AF264" s="111">
        <v>3035.6411258586627</v>
      </c>
      <c r="AG264" s="111">
        <v>14174395</v>
      </c>
    </row>
    <row r="265" spans="1:33">
      <c r="A265" s="130" t="s">
        <v>47</v>
      </c>
      <c r="B265" s="6" t="s">
        <v>19</v>
      </c>
      <c r="C265" s="110" t="s">
        <v>67</v>
      </c>
      <c r="D265" s="334" t="s">
        <v>808</v>
      </c>
      <c r="E265" s="118" t="s">
        <v>463</v>
      </c>
      <c r="F265" s="103" t="s">
        <v>688</v>
      </c>
      <c r="G265" s="111">
        <v>306890</v>
      </c>
      <c r="H265" s="112">
        <v>40.5</v>
      </c>
      <c r="I265" s="137">
        <v>7577.5308641975307</v>
      </c>
      <c r="J265" s="13"/>
      <c r="K265" s="15"/>
      <c r="L265" s="15"/>
      <c r="M265" s="15"/>
      <c r="T265" s="171" t="s">
        <v>47</v>
      </c>
      <c r="U265" s="294" t="s">
        <v>19</v>
      </c>
      <c r="V265" s="172" t="s">
        <v>68</v>
      </c>
      <c r="W265" s="172" t="s">
        <v>1132</v>
      </c>
      <c r="X265" s="294" t="s">
        <v>232</v>
      </c>
      <c r="Y265" s="172" t="s">
        <v>329</v>
      </c>
      <c r="Z265" s="178"/>
      <c r="AA265" s="178"/>
      <c r="AB265" s="178"/>
      <c r="AC265" s="178"/>
      <c r="AD265" s="178">
        <f t="shared" si="3"/>
        <v>0</v>
      </c>
      <c r="AE265" s="174">
        <v>1421.34</v>
      </c>
      <c r="AF265" s="173">
        <v>12168.927209534666</v>
      </c>
      <c r="AG265" s="173">
        <v>17296183</v>
      </c>
    </row>
    <row r="266" spans="1:33">
      <c r="A266" s="130" t="s">
        <v>47</v>
      </c>
      <c r="B266" s="6" t="s">
        <v>19</v>
      </c>
      <c r="C266" s="110" t="s">
        <v>67</v>
      </c>
      <c r="D266" s="334" t="s">
        <v>809</v>
      </c>
      <c r="E266" s="118" t="s">
        <v>464</v>
      </c>
      <c r="F266" s="103" t="s">
        <v>688</v>
      </c>
      <c r="G266" s="111">
        <v>133325</v>
      </c>
      <c r="H266" s="112">
        <v>22.885000000000002</v>
      </c>
      <c r="I266" s="137">
        <v>5825.8684727987757</v>
      </c>
      <c r="J266" s="13"/>
      <c r="K266" s="15"/>
      <c r="L266" s="15"/>
      <c r="M266" s="15"/>
      <c r="T266" s="170" t="s">
        <v>47</v>
      </c>
      <c r="U266" s="295" t="s">
        <v>19</v>
      </c>
      <c r="V266" s="110" t="s">
        <v>68</v>
      </c>
      <c r="W266" s="103" t="s">
        <v>1133</v>
      </c>
      <c r="X266" s="295" t="s">
        <v>233</v>
      </c>
      <c r="Y266" s="110" t="s">
        <v>69</v>
      </c>
      <c r="Z266" s="179"/>
      <c r="AA266" s="179"/>
      <c r="AB266" s="179"/>
      <c r="AC266" s="179"/>
      <c r="AD266" s="179">
        <f t="shared" si="3"/>
        <v>0</v>
      </c>
      <c r="AE266" s="112">
        <v>1216.1199999999999</v>
      </c>
      <c r="AF266" s="111">
        <v>13689.027398611981</v>
      </c>
      <c r="AG266" s="111">
        <v>16647500</v>
      </c>
    </row>
    <row r="267" spans="1:33">
      <c r="A267" s="130" t="s">
        <v>47</v>
      </c>
      <c r="B267" s="6" t="s">
        <v>19</v>
      </c>
      <c r="C267" s="110" t="s">
        <v>68</v>
      </c>
      <c r="D267" s="103" t="s">
        <v>1108</v>
      </c>
      <c r="E267" s="6" t="s">
        <v>210</v>
      </c>
      <c r="F267" s="334" t="s">
        <v>69</v>
      </c>
      <c r="G267" s="111">
        <v>1755962</v>
      </c>
      <c r="H267" s="112">
        <v>127.37</v>
      </c>
      <c r="I267" s="137">
        <v>13786.307607756928</v>
      </c>
      <c r="J267" s="13"/>
      <c r="K267" s="15"/>
      <c r="L267" s="15"/>
      <c r="M267" s="15"/>
      <c r="T267" s="312">
        <f>COUNTIF(T209:T266,7)</f>
        <v>58</v>
      </c>
      <c r="U267" s="284" t="s">
        <v>1371</v>
      </c>
      <c r="V267" s="547" t="s">
        <v>1378</v>
      </c>
      <c r="W267" s="548"/>
      <c r="X267" s="548"/>
      <c r="Y267" s="549"/>
      <c r="Z267" s="313">
        <f t="shared" ref="Z267:AE267" si="5">SUM(Z209:Z266)</f>
        <v>0</v>
      </c>
      <c r="AA267" s="313">
        <f t="shared" si="5"/>
        <v>0</v>
      </c>
      <c r="AB267" s="313">
        <f t="shared" si="5"/>
        <v>0</v>
      </c>
      <c r="AC267" s="313">
        <f t="shared" si="5"/>
        <v>0</v>
      </c>
      <c r="AD267" s="313">
        <f t="shared" si="5"/>
        <v>0</v>
      </c>
      <c r="AE267" s="314">
        <f t="shared" si="5"/>
        <v>587562.73199999996</v>
      </c>
      <c r="AF267" s="313">
        <f>AG267/AE267</f>
        <v>9559.6362040879067</v>
      </c>
      <c r="AG267" s="313">
        <f>SUM(AG209:AG266)</f>
        <v>5616885965</v>
      </c>
    </row>
    <row r="268" spans="1:33">
      <c r="A268" s="130" t="s">
        <v>47</v>
      </c>
      <c r="B268" s="6" t="s">
        <v>19</v>
      </c>
      <c r="C268" s="110" t="s">
        <v>68</v>
      </c>
      <c r="D268" s="103" t="s">
        <v>1109</v>
      </c>
      <c r="E268" s="6" t="s">
        <v>211</v>
      </c>
      <c r="F268" s="334" t="s">
        <v>69</v>
      </c>
      <c r="G268" s="111">
        <v>27937201</v>
      </c>
      <c r="H268" s="112">
        <v>2432.5949999999998</v>
      </c>
      <c r="I268" s="137">
        <v>11484.526195277062</v>
      </c>
      <c r="J268" s="13"/>
      <c r="K268" s="15"/>
      <c r="L268" s="15"/>
      <c r="M268" s="15"/>
      <c r="AG268" s="168"/>
    </row>
    <row r="269" spans="1:33">
      <c r="A269" s="130" t="s">
        <v>47</v>
      </c>
      <c r="B269" s="6" t="s">
        <v>19</v>
      </c>
      <c r="C269" s="110" t="s">
        <v>68</v>
      </c>
      <c r="D269" s="103" t="s">
        <v>1110</v>
      </c>
      <c r="E269" s="6" t="s">
        <v>212</v>
      </c>
      <c r="F269" s="334" t="s">
        <v>69</v>
      </c>
      <c r="G269" s="111">
        <v>8510831</v>
      </c>
      <c r="H269" s="112">
        <v>717.245</v>
      </c>
      <c r="I269" s="137">
        <v>11866.002551429428</v>
      </c>
      <c r="J269" s="13"/>
      <c r="K269" s="15"/>
      <c r="L269" s="15"/>
      <c r="M269" s="15"/>
      <c r="AG269" s="168"/>
    </row>
    <row r="270" spans="1:33">
      <c r="A270" s="130" t="s">
        <v>47</v>
      </c>
      <c r="B270" s="6" t="s">
        <v>19</v>
      </c>
      <c r="C270" s="110" t="s">
        <v>67</v>
      </c>
      <c r="D270" s="333" t="s">
        <v>811</v>
      </c>
      <c r="E270" s="118" t="s">
        <v>465</v>
      </c>
      <c r="F270" s="103" t="s">
        <v>692</v>
      </c>
      <c r="G270" s="111">
        <v>179016</v>
      </c>
      <c r="H270" s="112">
        <v>25.84</v>
      </c>
      <c r="I270" s="137">
        <v>6927.8637770897831</v>
      </c>
      <c r="J270" s="13"/>
      <c r="K270" s="15"/>
      <c r="L270" s="15"/>
      <c r="M270" s="15"/>
      <c r="AG270" s="168"/>
    </row>
    <row r="271" spans="1:33">
      <c r="A271" s="130" t="s">
        <v>47</v>
      </c>
      <c r="B271" s="6" t="s">
        <v>19</v>
      </c>
      <c r="C271" s="110" t="s">
        <v>67</v>
      </c>
      <c r="D271" s="334" t="s">
        <v>810</v>
      </c>
      <c r="E271" s="118" t="s">
        <v>645</v>
      </c>
      <c r="F271" s="103" t="s">
        <v>660</v>
      </c>
      <c r="G271" s="111">
        <v>1145526</v>
      </c>
      <c r="H271" s="112">
        <v>140.26499999999999</v>
      </c>
      <c r="I271" s="137">
        <v>8166.8698534916057</v>
      </c>
      <c r="J271" s="13"/>
      <c r="K271" s="15"/>
      <c r="L271" s="15"/>
      <c r="M271" s="15"/>
      <c r="AG271" s="168"/>
    </row>
    <row r="272" spans="1:33">
      <c r="A272" s="130" t="s">
        <v>47</v>
      </c>
      <c r="B272" s="6" t="s">
        <v>19</v>
      </c>
      <c r="C272" s="110" t="s">
        <v>67</v>
      </c>
      <c r="D272" s="110" t="s">
        <v>812</v>
      </c>
      <c r="E272" s="118" t="s">
        <v>466</v>
      </c>
      <c r="F272" s="103" t="s">
        <v>660</v>
      </c>
      <c r="G272" s="111">
        <v>624739</v>
      </c>
      <c r="H272" s="112">
        <v>84.5</v>
      </c>
      <c r="I272" s="137">
        <v>7393.3609467455617</v>
      </c>
      <c r="J272" s="13"/>
      <c r="K272" s="15"/>
      <c r="L272" s="15"/>
      <c r="M272" s="15"/>
      <c r="AG272" s="168"/>
    </row>
    <row r="273" spans="1:33">
      <c r="A273" s="130" t="s">
        <v>47</v>
      </c>
      <c r="B273" s="6" t="s">
        <v>19</v>
      </c>
      <c r="C273" s="110" t="s">
        <v>67</v>
      </c>
      <c r="D273" s="334" t="s">
        <v>689</v>
      </c>
      <c r="E273" s="118" t="s">
        <v>354</v>
      </c>
      <c r="F273" s="103" t="s">
        <v>688</v>
      </c>
      <c r="G273" s="111">
        <v>2107499</v>
      </c>
      <c r="H273" s="112">
        <v>265.3</v>
      </c>
      <c r="I273" s="137">
        <v>7943.8333961552953</v>
      </c>
      <c r="J273" s="13"/>
      <c r="K273" s="15"/>
      <c r="L273" s="15"/>
      <c r="M273" s="15"/>
      <c r="AG273" s="168"/>
    </row>
    <row r="274" spans="1:33">
      <c r="A274" s="130" t="s">
        <v>47</v>
      </c>
      <c r="B274" s="6" t="s">
        <v>19</v>
      </c>
      <c r="C274" s="110" t="s">
        <v>67</v>
      </c>
      <c r="D274" s="334" t="s">
        <v>813</v>
      </c>
      <c r="E274" s="118" t="s">
        <v>467</v>
      </c>
      <c r="F274" s="103" t="s">
        <v>688</v>
      </c>
      <c r="G274" s="111">
        <v>326604</v>
      </c>
      <c r="H274" s="112">
        <v>43.61</v>
      </c>
      <c r="I274" s="137">
        <v>7489.1997248337539</v>
      </c>
      <c r="J274" s="13"/>
      <c r="K274" s="15"/>
      <c r="L274" s="15"/>
      <c r="M274" s="15"/>
      <c r="AG274" s="168"/>
    </row>
    <row r="275" spans="1:33">
      <c r="A275" s="130" t="s">
        <v>47</v>
      </c>
      <c r="B275" s="6" t="s">
        <v>19</v>
      </c>
      <c r="C275" s="110" t="s">
        <v>67</v>
      </c>
      <c r="D275" s="334" t="s">
        <v>814</v>
      </c>
      <c r="E275" s="118" t="s">
        <v>468</v>
      </c>
      <c r="F275" s="103" t="s">
        <v>660</v>
      </c>
      <c r="G275" s="111">
        <v>2010643</v>
      </c>
      <c r="H275" s="112">
        <v>282.77499999999998</v>
      </c>
      <c r="I275" s="137">
        <v>7110.3987269030149</v>
      </c>
      <c r="J275" s="13"/>
      <c r="K275" s="15"/>
      <c r="L275" s="15"/>
      <c r="M275" s="15"/>
      <c r="AG275" s="168"/>
    </row>
    <row r="276" spans="1:33">
      <c r="A276" s="130" t="s">
        <v>47</v>
      </c>
      <c r="B276" s="6" t="s">
        <v>19</v>
      </c>
      <c r="C276" s="110" t="s">
        <v>67</v>
      </c>
      <c r="D276" s="333" t="s">
        <v>815</v>
      </c>
      <c r="E276" s="118" t="s">
        <v>469</v>
      </c>
      <c r="F276" s="103" t="s">
        <v>688</v>
      </c>
      <c r="G276" s="111">
        <v>6775534</v>
      </c>
      <c r="H276" s="112">
        <v>1057.1099999999999</v>
      </c>
      <c r="I276" s="137">
        <v>6409.4881327392613</v>
      </c>
      <c r="J276" s="13"/>
      <c r="K276" s="15"/>
      <c r="L276" s="15"/>
      <c r="M276" s="15"/>
      <c r="AG276" s="168"/>
    </row>
    <row r="277" spans="1:33">
      <c r="A277" s="130" t="s">
        <v>47</v>
      </c>
      <c r="B277" s="6" t="s">
        <v>19</v>
      </c>
      <c r="C277" s="110" t="s">
        <v>67</v>
      </c>
      <c r="D277" s="333" t="s">
        <v>816</v>
      </c>
      <c r="E277" s="118" t="s">
        <v>470</v>
      </c>
      <c r="F277" s="103" t="s">
        <v>688</v>
      </c>
      <c r="G277" s="111">
        <v>585051</v>
      </c>
      <c r="H277" s="112">
        <v>74.760000000000005</v>
      </c>
      <c r="I277" s="137">
        <v>7825.7223113964683</v>
      </c>
      <c r="J277" s="13"/>
      <c r="K277" s="15"/>
      <c r="L277" s="15"/>
      <c r="M277" s="15"/>
      <c r="AG277" s="168"/>
    </row>
    <row r="278" spans="1:33">
      <c r="A278" s="130" t="s">
        <v>47</v>
      </c>
      <c r="B278" s="6" t="s">
        <v>19</v>
      </c>
      <c r="C278" s="110" t="s">
        <v>67</v>
      </c>
      <c r="D278" s="334" t="s">
        <v>817</v>
      </c>
      <c r="E278" s="118" t="s">
        <v>471</v>
      </c>
      <c r="F278" s="103" t="s">
        <v>688</v>
      </c>
      <c r="G278" s="111">
        <v>2154727</v>
      </c>
      <c r="H278" s="112">
        <v>268.76499999999999</v>
      </c>
      <c r="I278" s="137">
        <v>8017.1413688538314</v>
      </c>
      <c r="J278" s="13"/>
      <c r="K278" s="15"/>
      <c r="L278" s="15"/>
      <c r="M278" s="15"/>
      <c r="AG278" s="168"/>
    </row>
    <row r="279" spans="1:33">
      <c r="A279" s="130" t="s">
        <v>47</v>
      </c>
      <c r="B279" s="6" t="s">
        <v>19</v>
      </c>
      <c r="C279" s="110" t="s">
        <v>67</v>
      </c>
      <c r="D279" s="110" t="s">
        <v>818</v>
      </c>
      <c r="E279" s="118" t="s">
        <v>472</v>
      </c>
      <c r="F279" s="103" t="s">
        <v>660</v>
      </c>
      <c r="G279" s="111">
        <v>2968302</v>
      </c>
      <c r="H279" s="112">
        <v>476.51299999999998</v>
      </c>
      <c r="I279" s="137">
        <v>6229.2151525771596</v>
      </c>
      <c r="J279" s="13"/>
      <c r="K279" s="15"/>
      <c r="L279" s="15"/>
      <c r="M279" s="15"/>
      <c r="AG279" s="168"/>
    </row>
    <row r="280" spans="1:33">
      <c r="A280" s="130" t="s">
        <v>47</v>
      </c>
      <c r="B280" s="6" t="s">
        <v>19</v>
      </c>
      <c r="C280" s="110" t="s">
        <v>67</v>
      </c>
      <c r="D280" s="334" t="s">
        <v>686</v>
      </c>
      <c r="E280" s="118" t="s">
        <v>352</v>
      </c>
      <c r="F280" s="103" t="s">
        <v>678</v>
      </c>
      <c r="G280" s="111">
        <v>4410388</v>
      </c>
      <c r="H280" s="112">
        <v>495.04500000000002</v>
      </c>
      <c r="I280" s="137">
        <v>8909.0648324899757</v>
      </c>
      <c r="J280" s="13"/>
      <c r="K280" s="15"/>
      <c r="L280" s="15"/>
      <c r="M280" s="15"/>
      <c r="AG280" s="168"/>
    </row>
    <row r="281" spans="1:33">
      <c r="A281" s="130" t="s">
        <v>47</v>
      </c>
      <c r="B281" s="6" t="s">
        <v>19</v>
      </c>
      <c r="C281" s="110" t="s">
        <v>68</v>
      </c>
      <c r="D281" s="103" t="s">
        <v>1111</v>
      </c>
      <c r="E281" s="6" t="s">
        <v>213</v>
      </c>
      <c r="F281" s="334" t="s">
        <v>69</v>
      </c>
      <c r="G281" s="111">
        <v>35208096</v>
      </c>
      <c r="H281" s="112">
        <v>3558.14</v>
      </c>
      <c r="I281" s="137">
        <v>9895.0845104464697</v>
      </c>
      <c r="J281" s="13"/>
      <c r="K281" s="15"/>
      <c r="L281" s="15"/>
      <c r="M281" s="15"/>
      <c r="AG281" s="168"/>
    </row>
    <row r="282" spans="1:33">
      <c r="A282" s="130" t="s">
        <v>47</v>
      </c>
      <c r="B282" s="6" t="s">
        <v>19</v>
      </c>
      <c r="C282" s="110" t="s">
        <v>68</v>
      </c>
      <c r="D282" s="103" t="s">
        <v>1112</v>
      </c>
      <c r="E282" s="6" t="s">
        <v>214</v>
      </c>
      <c r="F282" s="334" t="s">
        <v>69</v>
      </c>
      <c r="G282" s="111">
        <v>3521334</v>
      </c>
      <c r="H282" s="112">
        <v>388.48</v>
      </c>
      <c r="I282" s="137">
        <v>9064.3894151565073</v>
      </c>
      <c r="J282" s="13"/>
      <c r="K282" s="15"/>
      <c r="L282" s="15"/>
      <c r="M282" s="15"/>
      <c r="AG282" s="168"/>
    </row>
    <row r="283" spans="1:33">
      <c r="A283" s="130" t="s">
        <v>47</v>
      </c>
      <c r="B283" s="6" t="s">
        <v>19</v>
      </c>
      <c r="C283" s="110" t="s">
        <v>68</v>
      </c>
      <c r="D283" s="103" t="s">
        <v>1113</v>
      </c>
      <c r="E283" s="6" t="s">
        <v>215</v>
      </c>
      <c r="F283" s="334" t="s">
        <v>69</v>
      </c>
      <c r="G283" s="111">
        <v>922209</v>
      </c>
      <c r="H283" s="112">
        <v>62.15</v>
      </c>
      <c r="I283" s="137">
        <v>14838.439259855189</v>
      </c>
      <c r="J283" s="13"/>
      <c r="K283" s="15"/>
      <c r="L283" s="15"/>
      <c r="M283" s="15"/>
      <c r="AG283" s="168"/>
    </row>
    <row r="284" spans="1:33">
      <c r="A284" s="130" t="s">
        <v>47</v>
      </c>
      <c r="B284" s="6" t="s">
        <v>19</v>
      </c>
      <c r="C284" s="334" t="s">
        <v>67</v>
      </c>
      <c r="D284" s="334" t="s">
        <v>820</v>
      </c>
      <c r="E284" s="118" t="s">
        <v>473</v>
      </c>
      <c r="F284" s="103" t="s">
        <v>688</v>
      </c>
      <c r="G284" s="111">
        <v>1836365</v>
      </c>
      <c r="H284" s="112">
        <v>255.33</v>
      </c>
      <c r="I284" s="137">
        <v>7192.1239180668153</v>
      </c>
      <c r="J284" s="13"/>
      <c r="K284" s="15"/>
      <c r="L284" s="15"/>
      <c r="M284" s="15"/>
      <c r="AG284" s="168"/>
    </row>
    <row r="285" spans="1:33">
      <c r="A285" s="130" t="s">
        <v>47</v>
      </c>
      <c r="B285" s="6" t="s">
        <v>19</v>
      </c>
      <c r="C285" s="110" t="s">
        <v>68</v>
      </c>
      <c r="D285" s="103" t="s">
        <v>1114</v>
      </c>
      <c r="E285" s="6" t="s">
        <v>216</v>
      </c>
      <c r="F285" s="334" t="s">
        <v>329</v>
      </c>
      <c r="G285" s="111">
        <v>313989416</v>
      </c>
      <c r="H285" s="112">
        <v>32786.023000000001</v>
      </c>
      <c r="I285" s="137">
        <v>9576.9290468685394</v>
      </c>
      <c r="J285" s="13"/>
      <c r="K285" s="15"/>
      <c r="L285" s="15"/>
      <c r="M285" s="15"/>
      <c r="AG285" s="168"/>
    </row>
    <row r="286" spans="1:33">
      <c r="A286" s="130" t="s">
        <v>47</v>
      </c>
      <c r="B286" s="6" t="s">
        <v>19</v>
      </c>
      <c r="C286" s="110" t="s">
        <v>67</v>
      </c>
      <c r="D286" s="334" t="s">
        <v>821</v>
      </c>
      <c r="E286" s="118" t="s">
        <v>474</v>
      </c>
      <c r="F286" s="103" t="s">
        <v>688</v>
      </c>
      <c r="G286" s="111">
        <v>8011891</v>
      </c>
      <c r="H286" s="112">
        <v>1181.04</v>
      </c>
      <c r="I286" s="137">
        <v>6783.7592291539659</v>
      </c>
      <c r="J286" s="13"/>
      <c r="K286" s="15"/>
      <c r="L286" s="15"/>
      <c r="M286" s="15"/>
      <c r="AG286" s="168"/>
    </row>
    <row r="287" spans="1:33">
      <c r="A287" s="130" t="s">
        <v>47</v>
      </c>
      <c r="B287" s="6" t="s">
        <v>19</v>
      </c>
      <c r="C287" s="110" t="s">
        <v>67</v>
      </c>
      <c r="D287" s="334" t="s">
        <v>822</v>
      </c>
      <c r="E287" s="118" t="s">
        <v>475</v>
      </c>
      <c r="F287" s="103" t="s">
        <v>688</v>
      </c>
      <c r="G287" s="111">
        <v>2436086</v>
      </c>
      <c r="H287" s="112">
        <v>355.83499999999998</v>
      </c>
      <c r="I287" s="137">
        <v>6846.1112594320402</v>
      </c>
      <c r="J287" s="13"/>
      <c r="K287" s="15"/>
      <c r="L287" s="15"/>
      <c r="M287" s="15"/>
      <c r="AG287" s="168"/>
    </row>
    <row r="288" spans="1:33">
      <c r="A288" s="130" t="s">
        <v>47</v>
      </c>
      <c r="B288" s="6" t="s">
        <v>19</v>
      </c>
      <c r="C288" s="110" t="s">
        <v>67</v>
      </c>
      <c r="D288" s="334" t="s">
        <v>825</v>
      </c>
      <c r="E288" s="118" t="s">
        <v>647</v>
      </c>
      <c r="F288" s="103" t="s">
        <v>678</v>
      </c>
      <c r="G288" s="111">
        <v>3074821</v>
      </c>
      <c r="H288" s="112">
        <v>387.96</v>
      </c>
      <c r="I288" s="137">
        <v>7925.6134653057024</v>
      </c>
      <c r="J288" s="13"/>
      <c r="K288" s="15"/>
      <c r="L288" s="15"/>
      <c r="M288" s="15"/>
      <c r="AG288" s="168"/>
    </row>
    <row r="289" spans="1:33">
      <c r="A289" s="130" t="s">
        <v>47</v>
      </c>
      <c r="B289" s="6" t="s">
        <v>19</v>
      </c>
      <c r="C289" s="110" t="s">
        <v>67</v>
      </c>
      <c r="D289" s="110" t="s">
        <v>823</v>
      </c>
      <c r="E289" s="118" t="s">
        <v>476</v>
      </c>
      <c r="F289" s="103" t="s">
        <v>688</v>
      </c>
      <c r="G289" s="111">
        <v>1359415</v>
      </c>
      <c r="H289" s="112">
        <v>187.78800000000001</v>
      </c>
      <c r="I289" s="137">
        <v>7239.0940848190512</v>
      </c>
      <c r="J289" s="13"/>
      <c r="K289" s="15"/>
      <c r="L289" s="15"/>
      <c r="M289" s="15"/>
      <c r="AG289" s="168"/>
    </row>
    <row r="290" spans="1:33">
      <c r="A290" s="130" t="s">
        <v>47</v>
      </c>
      <c r="B290" s="6" t="s">
        <v>19</v>
      </c>
      <c r="C290" s="110" t="s">
        <v>67</v>
      </c>
      <c r="D290" s="333" t="s">
        <v>824</v>
      </c>
      <c r="E290" s="118" t="s">
        <v>477</v>
      </c>
      <c r="F290" s="103" t="s">
        <v>660</v>
      </c>
      <c r="G290" s="111">
        <v>3873353</v>
      </c>
      <c r="H290" s="112">
        <v>509.92</v>
      </c>
      <c r="I290" s="137">
        <v>7596.0013335425165</v>
      </c>
      <c r="J290" s="13"/>
      <c r="K290" s="15"/>
      <c r="L290" s="15"/>
      <c r="M290" s="15"/>
      <c r="AG290" s="168"/>
    </row>
    <row r="291" spans="1:33">
      <c r="A291" s="130" t="s">
        <v>47</v>
      </c>
      <c r="B291" s="6" t="s">
        <v>19</v>
      </c>
      <c r="C291" s="110" t="s">
        <v>67</v>
      </c>
      <c r="D291" s="334" t="s">
        <v>826</v>
      </c>
      <c r="E291" s="118" t="s">
        <v>478</v>
      </c>
      <c r="F291" s="103" t="s">
        <v>660</v>
      </c>
      <c r="G291" s="111">
        <v>570430</v>
      </c>
      <c r="H291" s="112">
        <v>69.33</v>
      </c>
      <c r="I291" s="137">
        <v>8227.7513341987597</v>
      </c>
      <c r="J291" s="13"/>
      <c r="K291" s="15"/>
      <c r="L291" s="15"/>
      <c r="M291" s="15"/>
      <c r="AG291" s="168"/>
    </row>
    <row r="292" spans="1:33">
      <c r="A292" s="130" t="s">
        <v>47</v>
      </c>
      <c r="B292" s="6" t="s">
        <v>19</v>
      </c>
      <c r="C292" s="110" t="s">
        <v>68</v>
      </c>
      <c r="D292" s="103" t="s">
        <v>1115</v>
      </c>
      <c r="E292" s="6" t="s">
        <v>217</v>
      </c>
      <c r="F292" s="334" t="s">
        <v>69</v>
      </c>
      <c r="G292" s="111">
        <v>84862430</v>
      </c>
      <c r="H292" s="112">
        <v>9999.7900000000009</v>
      </c>
      <c r="I292" s="137">
        <v>8486.4212148455117</v>
      </c>
      <c r="J292" s="13"/>
      <c r="K292" s="15"/>
      <c r="L292" s="15"/>
      <c r="M292" s="15"/>
      <c r="AG292" s="168"/>
    </row>
    <row r="293" spans="1:33">
      <c r="A293" s="130" t="s">
        <v>47</v>
      </c>
      <c r="B293" s="6" t="s">
        <v>19</v>
      </c>
      <c r="C293" s="110" t="s">
        <v>68</v>
      </c>
      <c r="D293" s="103" t="s">
        <v>1116</v>
      </c>
      <c r="E293" s="6" t="s">
        <v>218</v>
      </c>
      <c r="F293" s="334" t="s">
        <v>329</v>
      </c>
      <c r="G293" s="111">
        <v>300098261</v>
      </c>
      <c r="H293" s="112">
        <v>36500.239999999998</v>
      </c>
      <c r="I293" s="137">
        <v>8221.8161031269938</v>
      </c>
      <c r="J293" s="13"/>
      <c r="K293" s="15"/>
      <c r="L293" s="15"/>
      <c r="M293" s="15"/>
      <c r="AG293" s="168"/>
    </row>
    <row r="294" spans="1:33">
      <c r="A294" s="130" t="s">
        <v>47</v>
      </c>
      <c r="B294" s="6" t="s">
        <v>19</v>
      </c>
      <c r="C294" s="110" t="s">
        <v>67</v>
      </c>
      <c r="D294" s="333" t="s">
        <v>827</v>
      </c>
      <c r="E294" s="118" t="s">
        <v>479</v>
      </c>
      <c r="F294" s="103" t="s">
        <v>688</v>
      </c>
      <c r="G294" s="111">
        <v>3570397</v>
      </c>
      <c r="H294" s="112">
        <v>516.62</v>
      </c>
      <c r="I294" s="137">
        <v>6911.0700321319346</v>
      </c>
      <c r="J294" s="13"/>
      <c r="K294" s="15"/>
      <c r="L294" s="15"/>
      <c r="M294" s="15"/>
      <c r="AG294" s="168"/>
    </row>
    <row r="295" spans="1:33">
      <c r="A295" s="130" t="s">
        <v>47</v>
      </c>
      <c r="B295" s="6" t="s">
        <v>19</v>
      </c>
      <c r="C295" s="110" t="s">
        <v>68</v>
      </c>
      <c r="D295" s="103" t="s">
        <v>1118</v>
      </c>
      <c r="E295" s="6" t="s">
        <v>219</v>
      </c>
      <c r="F295" s="334" t="s">
        <v>71</v>
      </c>
      <c r="G295" s="111">
        <v>296010401</v>
      </c>
      <c r="H295" s="112">
        <v>24031.775000000001</v>
      </c>
      <c r="I295" s="137">
        <v>12317.458905969284</v>
      </c>
      <c r="J295" s="13"/>
      <c r="K295" s="15"/>
      <c r="L295" s="15"/>
      <c r="M295" s="15"/>
      <c r="AG295" s="168"/>
    </row>
    <row r="296" spans="1:33">
      <c r="A296" s="130" t="s">
        <v>47</v>
      </c>
      <c r="B296" s="6" t="s">
        <v>19</v>
      </c>
      <c r="C296" s="110" t="s">
        <v>68</v>
      </c>
      <c r="D296" s="103" t="s">
        <v>1117</v>
      </c>
      <c r="E296" s="6" t="s">
        <v>219</v>
      </c>
      <c r="F296" s="334" t="s">
        <v>69</v>
      </c>
      <c r="G296" s="111">
        <v>101662801</v>
      </c>
      <c r="H296" s="112">
        <v>7484.4279999999999</v>
      </c>
      <c r="I296" s="137">
        <v>13583.242567100653</v>
      </c>
      <c r="J296" s="13"/>
      <c r="K296" s="15"/>
      <c r="L296" s="15"/>
      <c r="M296" s="15"/>
      <c r="AG296" s="168"/>
    </row>
    <row r="297" spans="1:33">
      <c r="A297" s="130" t="s">
        <v>47</v>
      </c>
      <c r="B297" s="6" t="s">
        <v>19</v>
      </c>
      <c r="C297" s="110" t="s">
        <v>67</v>
      </c>
      <c r="D297" s="334" t="s">
        <v>828</v>
      </c>
      <c r="E297" s="118" t="s">
        <v>480</v>
      </c>
      <c r="F297" s="103" t="s">
        <v>660</v>
      </c>
      <c r="G297" s="111">
        <v>5663756</v>
      </c>
      <c r="H297" s="112">
        <v>703.31500000000005</v>
      </c>
      <c r="I297" s="137">
        <v>8052.9435601401929</v>
      </c>
      <c r="J297" s="13"/>
      <c r="K297" s="15"/>
      <c r="L297" s="15"/>
      <c r="M297" s="15"/>
      <c r="AG297" s="168"/>
    </row>
    <row r="298" spans="1:33">
      <c r="A298" s="130" t="s">
        <v>47</v>
      </c>
      <c r="B298" s="6" t="s">
        <v>19</v>
      </c>
      <c r="C298" s="334" t="s">
        <v>67</v>
      </c>
      <c r="D298" s="334" t="s">
        <v>880</v>
      </c>
      <c r="E298" s="118" t="s">
        <v>526</v>
      </c>
      <c r="F298" s="103" t="s">
        <v>660</v>
      </c>
      <c r="G298" s="111">
        <v>3886277</v>
      </c>
      <c r="H298" s="112">
        <v>615.06500000000005</v>
      </c>
      <c r="I298" s="137">
        <v>6318.4817864778515</v>
      </c>
      <c r="J298" s="13"/>
      <c r="K298" s="15"/>
      <c r="L298" s="15"/>
      <c r="M298" s="15"/>
      <c r="AG298" s="168"/>
    </row>
    <row r="299" spans="1:33">
      <c r="A299" s="130" t="s">
        <v>47</v>
      </c>
      <c r="B299" s="6" t="s">
        <v>19</v>
      </c>
      <c r="C299" s="110" t="s">
        <v>67</v>
      </c>
      <c r="D299" s="334" t="s">
        <v>829</v>
      </c>
      <c r="E299" s="118" t="s">
        <v>481</v>
      </c>
      <c r="F299" s="103" t="s">
        <v>660</v>
      </c>
      <c r="G299" s="111">
        <v>934637</v>
      </c>
      <c r="H299" s="112">
        <v>116.46</v>
      </c>
      <c r="I299" s="137">
        <v>8025.3906920831187</v>
      </c>
      <c r="J299" s="13"/>
      <c r="K299" s="15"/>
      <c r="L299" s="15"/>
      <c r="M299" s="15"/>
      <c r="AG299" s="168"/>
    </row>
    <row r="300" spans="1:33">
      <c r="A300" s="130" t="s">
        <v>47</v>
      </c>
      <c r="B300" s="6" t="s">
        <v>19</v>
      </c>
      <c r="C300" s="334" t="s">
        <v>67</v>
      </c>
      <c r="D300" s="334" t="s">
        <v>830</v>
      </c>
      <c r="E300" s="118" t="s">
        <v>482</v>
      </c>
      <c r="F300" s="103" t="s">
        <v>660</v>
      </c>
      <c r="G300" s="111">
        <v>893776</v>
      </c>
      <c r="H300" s="112">
        <v>135.75</v>
      </c>
      <c r="I300" s="137">
        <v>6583.985267034991</v>
      </c>
      <c r="J300" s="13"/>
      <c r="K300" s="15"/>
      <c r="L300" s="15"/>
      <c r="M300" s="15"/>
      <c r="AG300" s="168"/>
    </row>
    <row r="301" spans="1:33">
      <c r="A301" s="130" t="s">
        <v>47</v>
      </c>
      <c r="B301" s="6" t="s">
        <v>19</v>
      </c>
      <c r="C301" s="110" t="s">
        <v>67</v>
      </c>
      <c r="D301" s="333" t="s">
        <v>831</v>
      </c>
      <c r="E301" s="118" t="s">
        <v>483</v>
      </c>
      <c r="F301" s="103" t="s">
        <v>660</v>
      </c>
      <c r="G301" s="111">
        <v>1210856</v>
      </c>
      <c r="H301" s="112">
        <v>186.22499999999999</v>
      </c>
      <c r="I301" s="137">
        <v>6502.1130353067529</v>
      </c>
      <c r="J301" s="13"/>
      <c r="K301" s="15"/>
      <c r="L301" s="15"/>
      <c r="M301" s="15"/>
      <c r="AG301" s="168"/>
    </row>
    <row r="302" spans="1:33">
      <c r="A302" s="130" t="s">
        <v>47</v>
      </c>
      <c r="B302" s="6" t="s">
        <v>19</v>
      </c>
      <c r="C302" s="110" t="s">
        <v>67</v>
      </c>
      <c r="D302" s="334" t="s">
        <v>832</v>
      </c>
      <c r="E302" s="118" t="s">
        <v>484</v>
      </c>
      <c r="F302" s="103" t="s">
        <v>660</v>
      </c>
      <c r="G302" s="111">
        <v>996917</v>
      </c>
      <c r="H302" s="112">
        <v>131.99</v>
      </c>
      <c r="I302" s="137">
        <v>7552.973710129555</v>
      </c>
      <c r="J302" s="13"/>
      <c r="K302" s="15"/>
      <c r="L302" s="15"/>
      <c r="M302" s="15"/>
      <c r="AG302" s="168"/>
    </row>
    <row r="303" spans="1:33">
      <c r="A303" s="130" t="s">
        <v>47</v>
      </c>
      <c r="B303" s="6" t="s">
        <v>19</v>
      </c>
      <c r="C303" s="110" t="s">
        <v>67</v>
      </c>
      <c r="D303" s="110" t="s">
        <v>833</v>
      </c>
      <c r="E303" s="118" t="s">
        <v>485</v>
      </c>
      <c r="F303" s="103" t="s">
        <v>660</v>
      </c>
      <c r="G303" s="111">
        <v>9049944</v>
      </c>
      <c r="H303" s="112">
        <v>825.02</v>
      </c>
      <c r="I303" s="137">
        <v>10969.363166953528</v>
      </c>
      <c r="J303" s="13"/>
      <c r="K303" s="15"/>
      <c r="L303" s="15"/>
      <c r="M303" s="15"/>
      <c r="AG303" s="168"/>
    </row>
    <row r="304" spans="1:33">
      <c r="A304" s="130" t="s">
        <v>47</v>
      </c>
      <c r="B304" s="6" t="s">
        <v>19</v>
      </c>
      <c r="C304" s="110" t="s">
        <v>67</v>
      </c>
      <c r="D304" s="334" t="s">
        <v>834</v>
      </c>
      <c r="E304" s="118" t="s">
        <v>486</v>
      </c>
      <c r="F304" s="103" t="s">
        <v>660</v>
      </c>
      <c r="G304" s="111">
        <v>497298</v>
      </c>
      <c r="H304" s="112">
        <v>69.430000000000007</v>
      </c>
      <c r="I304" s="137">
        <v>7162.5810168515045</v>
      </c>
      <c r="J304" s="13"/>
      <c r="K304" s="15"/>
      <c r="L304" s="15"/>
      <c r="M304" s="15"/>
      <c r="AG304" s="168"/>
    </row>
    <row r="305" spans="1:33">
      <c r="A305" s="130" t="s">
        <v>47</v>
      </c>
      <c r="B305" s="6" t="s">
        <v>19</v>
      </c>
      <c r="C305" s="110" t="s">
        <v>67</v>
      </c>
      <c r="D305" s="334" t="s">
        <v>835</v>
      </c>
      <c r="E305" s="118" t="s">
        <v>487</v>
      </c>
      <c r="F305" s="103" t="s">
        <v>688</v>
      </c>
      <c r="G305" s="111">
        <v>610501</v>
      </c>
      <c r="H305" s="112">
        <v>82.67</v>
      </c>
      <c r="I305" s="137">
        <v>7384.7949679448411</v>
      </c>
      <c r="J305" s="13"/>
      <c r="K305" s="15"/>
      <c r="L305" s="15"/>
      <c r="M305" s="15"/>
      <c r="AG305" s="168"/>
    </row>
    <row r="306" spans="1:33">
      <c r="A306" s="130" t="s">
        <v>47</v>
      </c>
      <c r="B306" s="6" t="s">
        <v>19</v>
      </c>
      <c r="C306" s="110" t="s">
        <v>67</v>
      </c>
      <c r="D306" s="334" t="s">
        <v>836</v>
      </c>
      <c r="E306" s="118" t="s">
        <v>488</v>
      </c>
      <c r="F306" s="103" t="s">
        <v>688</v>
      </c>
      <c r="G306" s="111">
        <v>5341726</v>
      </c>
      <c r="H306" s="112">
        <v>837.02499999999998</v>
      </c>
      <c r="I306" s="137">
        <v>6381.7998267674202</v>
      </c>
      <c r="J306" s="13"/>
      <c r="K306" s="15"/>
      <c r="L306" s="15"/>
      <c r="M306" s="15"/>
      <c r="AG306" s="168"/>
    </row>
    <row r="307" spans="1:33">
      <c r="A307" s="130" t="s">
        <v>47</v>
      </c>
      <c r="B307" s="6" t="s">
        <v>19</v>
      </c>
      <c r="C307" s="334" t="s">
        <v>67</v>
      </c>
      <c r="D307" s="334" t="s">
        <v>819</v>
      </c>
      <c r="E307" s="118" t="s">
        <v>646</v>
      </c>
      <c r="F307" s="103" t="s">
        <v>688</v>
      </c>
      <c r="G307" s="111">
        <v>7112925</v>
      </c>
      <c r="H307" s="112">
        <v>1106.665</v>
      </c>
      <c r="I307" s="137">
        <v>6427.3515472161862</v>
      </c>
      <c r="J307" s="13"/>
      <c r="K307" s="15"/>
      <c r="L307" s="15"/>
      <c r="M307" s="15"/>
      <c r="AG307" s="168"/>
    </row>
    <row r="308" spans="1:33">
      <c r="A308" s="130" t="s">
        <v>47</v>
      </c>
      <c r="B308" s="6" t="s">
        <v>19</v>
      </c>
      <c r="C308" s="110" t="s">
        <v>67</v>
      </c>
      <c r="D308" s="334" t="s">
        <v>837</v>
      </c>
      <c r="E308" s="118" t="s">
        <v>648</v>
      </c>
      <c r="F308" s="103" t="s">
        <v>678</v>
      </c>
      <c r="G308" s="111">
        <v>4465101</v>
      </c>
      <c r="H308" s="112">
        <v>617.16499999999996</v>
      </c>
      <c r="I308" s="137">
        <v>7234.8577770936463</v>
      </c>
      <c r="J308" s="13"/>
      <c r="K308" s="15"/>
      <c r="L308" s="15"/>
      <c r="M308" s="15"/>
      <c r="AG308" s="168"/>
    </row>
    <row r="309" spans="1:33">
      <c r="A309" s="130" t="s">
        <v>47</v>
      </c>
      <c r="B309" s="6" t="s">
        <v>19</v>
      </c>
      <c r="C309" s="110" t="s">
        <v>67</v>
      </c>
      <c r="D309" s="334" t="s">
        <v>838</v>
      </c>
      <c r="E309" s="118" t="s">
        <v>489</v>
      </c>
      <c r="F309" s="103" t="s">
        <v>688</v>
      </c>
      <c r="G309" s="111">
        <v>2278730</v>
      </c>
      <c r="H309" s="112">
        <v>299.13499999999999</v>
      </c>
      <c r="I309" s="137">
        <v>7617.7311247430089</v>
      </c>
      <c r="J309" s="13"/>
      <c r="K309" s="15"/>
      <c r="L309" s="15"/>
      <c r="M309" s="15"/>
      <c r="AG309" s="168"/>
    </row>
    <row r="310" spans="1:33">
      <c r="A310" s="130" t="s">
        <v>47</v>
      </c>
      <c r="B310" s="6" t="s">
        <v>19</v>
      </c>
      <c r="C310" s="110" t="s">
        <v>67</v>
      </c>
      <c r="D310" s="334" t="s">
        <v>839</v>
      </c>
      <c r="E310" s="118" t="s">
        <v>490</v>
      </c>
      <c r="F310" s="103" t="s">
        <v>692</v>
      </c>
      <c r="G310" s="111">
        <v>1394933</v>
      </c>
      <c r="H310" s="112">
        <v>187.63499999999999</v>
      </c>
      <c r="I310" s="137">
        <v>7434.2899778825913</v>
      </c>
      <c r="J310" s="13"/>
      <c r="K310" s="15"/>
      <c r="L310" s="15"/>
      <c r="M310" s="15"/>
      <c r="AG310" s="168"/>
    </row>
    <row r="311" spans="1:33">
      <c r="A311" s="130" t="s">
        <v>47</v>
      </c>
      <c r="B311" s="6" t="s">
        <v>19</v>
      </c>
      <c r="C311" s="110" t="s">
        <v>67</v>
      </c>
      <c r="D311" s="334" t="s">
        <v>840</v>
      </c>
      <c r="E311" s="118" t="s">
        <v>491</v>
      </c>
      <c r="F311" s="103" t="s">
        <v>688</v>
      </c>
      <c r="G311" s="111">
        <v>10716891</v>
      </c>
      <c r="H311" s="112">
        <v>1743.57</v>
      </c>
      <c r="I311" s="137">
        <v>6146.521791496757</v>
      </c>
      <c r="J311" s="13"/>
      <c r="K311" s="15"/>
      <c r="L311" s="15"/>
      <c r="M311" s="15"/>
      <c r="AG311" s="168"/>
    </row>
    <row r="312" spans="1:33">
      <c r="A312" s="130" t="s">
        <v>47</v>
      </c>
      <c r="B312" s="6" t="s">
        <v>19</v>
      </c>
      <c r="C312" s="110" t="s">
        <v>68</v>
      </c>
      <c r="D312" s="103" t="s">
        <v>1119</v>
      </c>
      <c r="E312" s="6" t="s">
        <v>220</v>
      </c>
      <c r="F312" s="334" t="s">
        <v>329</v>
      </c>
      <c r="G312" s="111">
        <v>42151587</v>
      </c>
      <c r="H312" s="112">
        <v>4151.7280000000001</v>
      </c>
      <c r="I312" s="137">
        <v>10152.781444256463</v>
      </c>
      <c r="J312" s="13"/>
      <c r="K312" s="15"/>
      <c r="L312" s="15"/>
      <c r="M312" s="15"/>
      <c r="AG312" s="168"/>
    </row>
    <row r="313" spans="1:33">
      <c r="A313" s="130" t="s">
        <v>47</v>
      </c>
      <c r="B313" s="6" t="s">
        <v>19</v>
      </c>
      <c r="C313" s="110" t="s">
        <v>68</v>
      </c>
      <c r="D313" s="103" t="s">
        <v>1120</v>
      </c>
      <c r="E313" s="6" t="s">
        <v>221</v>
      </c>
      <c r="F313" s="334" t="s">
        <v>69</v>
      </c>
      <c r="G313" s="111">
        <v>10979108</v>
      </c>
      <c r="H313" s="112">
        <v>783.18799999999999</v>
      </c>
      <c r="I313" s="137">
        <v>14018.483429266025</v>
      </c>
      <c r="J313" s="13"/>
      <c r="K313" s="15"/>
      <c r="L313" s="15"/>
      <c r="M313" s="15"/>
      <c r="AG313" s="168"/>
    </row>
    <row r="314" spans="1:33">
      <c r="A314" s="130" t="s">
        <v>47</v>
      </c>
      <c r="B314" s="6" t="s">
        <v>19</v>
      </c>
      <c r="C314" s="110" t="s">
        <v>68</v>
      </c>
      <c r="D314" s="103" t="s">
        <v>1121</v>
      </c>
      <c r="E314" s="6" t="s">
        <v>222</v>
      </c>
      <c r="F314" s="334" t="s">
        <v>69</v>
      </c>
      <c r="G314" s="111">
        <v>114940005</v>
      </c>
      <c r="H314" s="112">
        <v>11867.014999999999</v>
      </c>
      <c r="I314" s="137">
        <v>9685.6711649896806</v>
      </c>
      <c r="J314" s="13"/>
      <c r="K314" s="15"/>
      <c r="L314" s="15"/>
      <c r="M314" s="15"/>
      <c r="AG314" s="168"/>
    </row>
    <row r="315" spans="1:33">
      <c r="A315" s="130" t="s">
        <v>47</v>
      </c>
      <c r="B315" s="6" t="s">
        <v>19</v>
      </c>
      <c r="C315" s="110" t="s">
        <v>67</v>
      </c>
      <c r="D315" s="334" t="s">
        <v>841</v>
      </c>
      <c r="E315" s="118" t="s">
        <v>492</v>
      </c>
      <c r="F315" s="103" t="s">
        <v>692</v>
      </c>
      <c r="G315" s="111">
        <v>3745527</v>
      </c>
      <c r="H315" s="112">
        <v>574.88</v>
      </c>
      <c r="I315" s="137">
        <v>6515.3197188978565</v>
      </c>
      <c r="J315" s="13"/>
      <c r="K315" s="15"/>
      <c r="L315" s="15"/>
      <c r="M315" s="15"/>
      <c r="P315" s="168"/>
      <c r="AG315" s="168"/>
    </row>
    <row r="316" spans="1:33">
      <c r="A316" s="130" t="s">
        <v>47</v>
      </c>
      <c r="B316" s="6" t="s">
        <v>19</v>
      </c>
      <c r="C316" s="334" t="s">
        <v>67</v>
      </c>
      <c r="D316" s="334" t="s">
        <v>842</v>
      </c>
      <c r="E316" s="118" t="s">
        <v>493</v>
      </c>
      <c r="F316" s="103" t="s">
        <v>660</v>
      </c>
      <c r="G316" s="111">
        <v>1218987</v>
      </c>
      <c r="H316" s="112">
        <v>172.87</v>
      </c>
      <c r="I316" s="137">
        <v>7051.4664198530681</v>
      </c>
      <c r="J316" s="13"/>
      <c r="K316" s="15"/>
      <c r="L316" s="15"/>
      <c r="M316" s="15"/>
      <c r="P316" s="8"/>
      <c r="AG316" s="168"/>
    </row>
    <row r="317" spans="1:33">
      <c r="A317" s="130" t="s">
        <v>47</v>
      </c>
      <c r="B317" s="6" t="s">
        <v>19</v>
      </c>
      <c r="C317" s="110" t="s">
        <v>68</v>
      </c>
      <c r="D317" s="103" t="s">
        <v>1122</v>
      </c>
      <c r="E317" s="6" t="s">
        <v>223</v>
      </c>
      <c r="F317" s="334" t="s">
        <v>329</v>
      </c>
      <c r="G317" s="111">
        <v>29558635</v>
      </c>
      <c r="H317" s="112">
        <v>1147.155</v>
      </c>
      <c r="I317" s="137">
        <v>25766.905954295627</v>
      </c>
      <c r="J317" s="13"/>
      <c r="K317" s="15"/>
      <c r="L317" s="15"/>
      <c r="M317" s="15"/>
      <c r="P317" s="175"/>
      <c r="AG317" s="168"/>
    </row>
    <row r="318" spans="1:33">
      <c r="A318" s="130" t="s">
        <v>47</v>
      </c>
      <c r="B318" s="6" t="s">
        <v>19</v>
      </c>
      <c r="C318" s="334" t="s">
        <v>67</v>
      </c>
      <c r="D318" s="334" t="s">
        <v>843</v>
      </c>
      <c r="E318" s="118" t="s">
        <v>494</v>
      </c>
      <c r="F318" s="103" t="s">
        <v>678</v>
      </c>
      <c r="G318" s="111">
        <v>6237783</v>
      </c>
      <c r="H318" s="112">
        <v>247.58500000000001</v>
      </c>
      <c r="I318" s="137">
        <v>25194.510976028432</v>
      </c>
      <c r="J318" s="13"/>
      <c r="K318" s="15"/>
      <c r="L318" s="15"/>
      <c r="M318" s="15"/>
      <c r="AG318" s="168"/>
    </row>
    <row r="319" spans="1:33">
      <c r="A319" s="130" t="s">
        <v>47</v>
      </c>
      <c r="B319" s="6" t="s">
        <v>19</v>
      </c>
      <c r="C319" s="110" t="s">
        <v>67</v>
      </c>
      <c r="D319" s="334" t="s">
        <v>844</v>
      </c>
      <c r="E319" s="118" t="s">
        <v>495</v>
      </c>
      <c r="F319" s="103" t="s">
        <v>688</v>
      </c>
      <c r="G319" s="111">
        <v>1617945</v>
      </c>
      <c r="H319" s="112">
        <v>207.33500000000001</v>
      </c>
      <c r="I319" s="137">
        <v>7803.5305182434222</v>
      </c>
      <c r="J319" s="13"/>
      <c r="K319" s="15"/>
      <c r="L319" s="15"/>
      <c r="M319" s="15"/>
      <c r="AG319" s="168"/>
    </row>
    <row r="320" spans="1:33">
      <c r="A320" s="130" t="s">
        <v>47</v>
      </c>
      <c r="B320" s="6" t="s">
        <v>19</v>
      </c>
      <c r="C320" s="110" t="s">
        <v>68</v>
      </c>
      <c r="D320" s="103" t="s">
        <v>1123</v>
      </c>
      <c r="E320" s="6" t="s">
        <v>224</v>
      </c>
      <c r="F320" s="334" t="s">
        <v>329</v>
      </c>
      <c r="G320" s="111">
        <v>367817833</v>
      </c>
      <c r="H320" s="112">
        <v>25380.788</v>
      </c>
      <c r="I320" s="137">
        <v>14491.978460243236</v>
      </c>
      <c r="J320" s="13"/>
      <c r="K320" s="15"/>
      <c r="L320" s="15"/>
      <c r="M320" s="15"/>
      <c r="AG320" s="168"/>
    </row>
    <row r="321" spans="1:33">
      <c r="A321" s="130" t="s">
        <v>47</v>
      </c>
      <c r="B321" s="6" t="s">
        <v>19</v>
      </c>
      <c r="C321" s="334" t="s">
        <v>67</v>
      </c>
      <c r="D321" s="334" t="s">
        <v>845</v>
      </c>
      <c r="E321" s="118" t="s">
        <v>496</v>
      </c>
      <c r="F321" s="103" t="s">
        <v>688</v>
      </c>
      <c r="G321" s="111">
        <v>671900</v>
      </c>
      <c r="H321" s="112">
        <v>68.447999999999993</v>
      </c>
      <c r="I321" s="137">
        <v>9816.2108461898097</v>
      </c>
      <c r="J321" s="13"/>
      <c r="K321" s="15"/>
      <c r="L321" s="15"/>
      <c r="M321" s="15"/>
      <c r="AG321" s="168"/>
    </row>
    <row r="322" spans="1:33">
      <c r="A322" s="130" t="s">
        <v>47</v>
      </c>
      <c r="B322" s="6" t="s">
        <v>19</v>
      </c>
      <c r="C322" s="110" t="s">
        <v>67</v>
      </c>
      <c r="D322" s="334" t="s">
        <v>846</v>
      </c>
      <c r="E322" s="118" t="s">
        <v>497</v>
      </c>
      <c r="F322" s="103" t="s">
        <v>660</v>
      </c>
      <c r="G322" s="111">
        <v>688334</v>
      </c>
      <c r="H322" s="112">
        <v>60.015000000000001</v>
      </c>
      <c r="I322" s="137">
        <v>11469.365991835375</v>
      </c>
      <c r="J322" s="13"/>
      <c r="K322" s="15"/>
      <c r="L322" s="15"/>
      <c r="M322" s="15"/>
    </row>
    <row r="323" spans="1:33">
      <c r="A323" s="130" t="s">
        <v>47</v>
      </c>
      <c r="B323" s="6" t="s">
        <v>19</v>
      </c>
      <c r="C323" s="110" t="s">
        <v>67</v>
      </c>
      <c r="D323" s="334" t="s">
        <v>847</v>
      </c>
      <c r="E323" s="118" t="s">
        <v>498</v>
      </c>
      <c r="F323" s="103" t="s">
        <v>660</v>
      </c>
      <c r="G323" s="111">
        <v>1723985</v>
      </c>
      <c r="H323" s="112">
        <v>246.64500000000001</v>
      </c>
      <c r="I323" s="137">
        <v>6989.7423422327638</v>
      </c>
      <c r="J323" s="13"/>
      <c r="K323" s="15"/>
      <c r="L323" s="15"/>
      <c r="M323" s="15"/>
    </row>
    <row r="324" spans="1:33">
      <c r="A324" s="130" t="s">
        <v>47</v>
      </c>
      <c r="B324" s="6" t="s">
        <v>19</v>
      </c>
      <c r="C324" s="334" t="s">
        <v>68</v>
      </c>
      <c r="D324" s="103" t="s">
        <v>1124</v>
      </c>
      <c r="E324" s="6" t="s">
        <v>225</v>
      </c>
      <c r="F324" s="334" t="s">
        <v>69</v>
      </c>
      <c r="G324" s="111">
        <v>1599496</v>
      </c>
      <c r="H324" s="112">
        <v>34.36</v>
      </c>
      <c r="I324" s="137">
        <v>46551.105937136206</v>
      </c>
      <c r="J324" s="13"/>
      <c r="K324" s="15"/>
      <c r="L324" s="15"/>
      <c r="M324" s="15"/>
    </row>
    <row r="325" spans="1:33">
      <c r="A325" s="130" t="s">
        <v>47</v>
      </c>
      <c r="B325" s="6" t="s">
        <v>19</v>
      </c>
      <c r="C325" s="110" t="s">
        <v>67</v>
      </c>
      <c r="D325" s="334" t="s">
        <v>848</v>
      </c>
      <c r="E325" s="118" t="s">
        <v>499</v>
      </c>
      <c r="F325" s="103" t="s">
        <v>660</v>
      </c>
      <c r="G325" s="111">
        <v>5124125</v>
      </c>
      <c r="H325" s="112">
        <v>810.54</v>
      </c>
      <c r="I325" s="137">
        <v>6321.8656698003806</v>
      </c>
      <c r="J325" s="13"/>
      <c r="K325" s="15"/>
      <c r="L325" s="15"/>
      <c r="M325" s="15"/>
    </row>
    <row r="326" spans="1:33">
      <c r="A326" s="130" t="s">
        <v>47</v>
      </c>
      <c r="B326" s="6" t="s">
        <v>19</v>
      </c>
      <c r="C326" s="110" t="s">
        <v>67</v>
      </c>
      <c r="D326" s="334" t="s">
        <v>849</v>
      </c>
      <c r="E326" s="118" t="s">
        <v>500</v>
      </c>
      <c r="F326" s="103" t="s">
        <v>688</v>
      </c>
      <c r="G326" s="111">
        <v>2788404</v>
      </c>
      <c r="H326" s="112">
        <v>412.815</v>
      </c>
      <c r="I326" s="137">
        <v>6754.6092075142615</v>
      </c>
      <c r="J326" s="13"/>
      <c r="K326" s="15"/>
      <c r="L326" s="15"/>
      <c r="M326" s="15"/>
    </row>
    <row r="327" spans="1:33">
      <c r="A327" s="130" t="s">
        <v>47</v>
      </c>
      <c r="B327" s="6" t="s">
        <v>19</v>
      </c>
      <c r="C327" s="110" t="s">
        <v>67</v>
      </c>
      <c r="D327" s="334" t="s">
        <v>850</v>
      </c>
      <c r="E327" s="118" t="s">
        <v>501</v>
      </c>
      <c r="F327" s="103" t="s">
        <v>688</v>
      </c>
      <c r="G327" s="111">
        <v>3980276</v>
      </c>
      <c r="H327" s="112">
        <v>500.68</v>
      </c>
      <c r="I327" s="137">
        <v>7949.7403531197569</v>
      </c>
      <c r="J327" s="13"/>
      <c r="K327" s="15"/>
      <c r="L327" s="15"/>
      <c r="M327" s="15"/>
    </row>
    <row r="328" spans="1:33">
      <c r="A328" s="130" t="s">
        <v>47</v>
      </c>
      <c r="B328" s="6" t="s">
        <v>19</v>
      </c>
      <c r="C328" s="334" t="s">
        <v>67</v>
      </c>
      <c r="D328" s="334" t="s">
        <v>851</v>
      </c>
      <c r="E328" s="118" t="s">
        <v>502</v>
      </c>
      <c r="F328" s="103" t="s">
        <v>660</v>
      </c>
      <c r="G328" s="111">
        <v>554533</v>
      </c>
      <c r="H328" s="112">
        <v>79.488</v>
      </c>
      <c r="I328" s="137">
        <v>6976.3108896940421</v>
      </c>
      <c r="J328" s="13"/>
      <c r="K328" s="15"/>
      <c r="L328" s="15"/>
      <c r="M328" s="15"/>
    </row>
    <row r="329" spans="1:33">
      <c r="A329" s="130" t="s">
        <v>47</v>
      </c>
      <c r="B329" s="6" t="s">
        <v>19</v>
      </c>
      <c r="C329" s="110" t="s">
        <v>67</v>
      </c>
      <c r="D329" s="334" t="s">
        <v>852</v>
      </c>
      <c r="E329" s="118" t="s">
        <v>503</v>
      </c>
      <c r="F329" s="103" t="s">
        <v>688</v>
      </c>
      <c r="G329" s="111">
        <v>4266561</v>
      </c>
      <c r="H329" s="112">
        <v>633.16300000000001</v>
      </c>
      <c r="I329" s="137">
        <v>6738.4875616547397</v>
      </c>
      <c r="J329" s="13"/>
      <c r="K329" s="15"/>
      <c r="L329" s="15"/>
      <c r="M329" s="15"/>
    </row>
    <row r="330" spans="1:33">
      <c r="A330" s="130" t="s">
        <v>47</v>
      </c>
      <c r="B330" s="6" t="s">
        <v>19</v>
      </c>
      <c r="C330" s="110" t="s">
        <v>67</v>
      </c>
      <c r="D330" s="334" t="s">
        <v>853</v>
      </c>
      <c r="E330" s="118" t="s">
        <v>504</v>
      </c>
      <c r="F330" s="103" t="s">
        <v>692</v>
      </c>
      <c r="G330" s="111">
        <v>2479916</v>
      </c>
      <c r="H330" s="112">
        <v>317.47000000000003</v>
      </c>
      <c r="I330" s="137">
        <v>7811.4971493369449</v>
      </c>
      <c r="J330" s="13"/>
      <c r="K330" s="15"/>
      <c r="L330" s="15"/>
      <c r="M330" s="15"/>
    </row>
    <row r="331" spans="1:33">
      <c r="A331" s="130" t="s">
        <v>47</v>
      </c>
      <c r="B331" s="6" t="s">
        <v>19</v>
      </c>
      <c r="C331" s="110" t="s">
        <v>67</v>
      </c>
      <c r="D331" s="334" t="s">
        <v>854</v>
      </c>
      <c r="E331" s="118" t="s">
        <v>505</v>
      </c>
      <c r="F331" s="103" t="s">
        <v>688</v>
      </c>
      <c r="G331" s="111">
        <v>996969</v>
      </c>
      <c r="H331" s="112">
        <v>114.24</v>
      </c>
      <c r="I331" s="137">
        <v>8726.9695378151264</v>
      </c>
      <c r="J331" s="13"/>
      <c r="K331" s="15"/>
      <c r="L331" s="15"/>
      <c r="M331" s="15"/>
    </row>
    <row r="332" spans="1:33">
      <c r="A332" s="130" t="s">
        <v>47</v>
      </c>
      <c r="B332" s="6" t="s">
        <v>19</v>
      </c>
      <c r="C332" s="110" t="s">
        <v>67</v>
      </c>
      <c r="D332" s="334" t="s">
        <v>855</v>
      </c>
      <c r="E332" s="118" t="s">
        <v>506</v>
      </c>
      <c r="F332" s="103" t="s">
        <v>660</v>
      </c>
      <c r="G332" s="111">
        <v>1152963</v>
      </c>
      <c r="H332" s="112">
        <v>147.22999999999999</v>
      </c>
      <c r="I332" s="137">
        <v>7831.0330774977929</v>
      </c>
      <c r="J332" s="13"/>
      <c r="K332" s="15"/>
      <c r="L332" s="15"/>
      <c r="M332" s="15"/>
    </row>
    <row r="333" spans="1:33">
      <c r="A333" s="130" t="s">
        <v>47</v>
      </c>
      <c r="B333" s="6" t="s">
        <v>19</v>
      </c>
      <c r="C333" s="110" t="s">
        <v>67</v>
      </c>
      <c r="D333" s="334" t="s">
        <v>856</v>
      </c>
      <c r="E333" s="118" t="s">
        <v>507</v>
      </c>
      <c r="F333" s="103" t="s">
        <v>688</v>
      </c>
      <c r="G333" s="111">
        <v>2478906</v>
      </c>
      <c r="H333" s="112">
        <v>284.80500000000001</v>
      </c>
      <c r="I333" s="137">
        <v>8703.8710696792532</v>
      </c>
      <c r="J333" s="13"/>
      <c r="K333" s="15"/>
      <c r="L333" s="15"/>
      <c r="M333" s="15"/>
    </row>
    <row r="334" spans="1:33">
      <c r="A334" s="130" t="s">
        <v>47</v>
      </c>
      <c r="B334" s="6" t="s">
        <v>19</v>
      </c>
      <c r="C334" s="110" t="s">
        <v>67</v>
      </c>
      <c r="D334" s="334" t="s">
        <v>857</v>
      </c>
      <c r="E334" s="118" t="s">
        <v>508</v>
      </c>
      <c r="F334" s="103" t="s">
        <v>688</v>
      </c>
      <c r="G334" s="111">
        <v>2858457</v>
      </c>
      <c r="H334" s="112">
        <v>423.48500000000001</v>
      </c>
      <c r="I334" s="137">
        <v>6749.8423793050515</v>
      </c>
      <c r="J334" s="13"/>
      <c r="K334" s="15"/>
      <c r="L334" s="15"/>
      <c r="M334" s="15"/>
    </row>
    <row r="335" spans="1:33">
      <c r="A335" s="130" t="s">
        <v>47</v>
      </c>
      <c r="B335" s="6" t="s">
        <v>19</v>
      </c>
      <c r="C335" s="110" t="s">
        <v>67</v>
      </c>
      <c r="D335" s="334" t="s">
        <v>858</v>
      </c>
      <c r="E335" s="118" t="s">
        <v>509</v>
      </c>
      <c r="F335" s="103" t="s">
        <v>688</v>
      </c>
      <c r="G335" s="111">
        <v>4396083</v>
      </c>
      <c r="H335" s="112">
        <v>689.34500000000003</v>
      </c>
      <c r="I335" s="137">
        <v>6377.1884905236129</v>
      </c>
      <c r="J335" s="13"/>
      <c r="K335" s="15"/>
      <c r="L335" s="15"/>
      <c r="M335" s="15"/>
    </row>
    <row r="336" spans="1:33">
      <c r="A336" s="130" t="s">
        <v>47</v>
      </c>
      <c r="B336" s="6" t="s">
        <v>19</v>
      </c>
      <c r="C336" s="110" t="s">
        <v>67</v>
      </c>
      <c r="D336" s="334" t="s">
        <v>859</v>
      </c>
      <c r="E336" s="118" t="s">
        <v>292</v>
      </c>
      <c r="F336" s="103" t="s">
        <v>688</v>
      </c>
      <c r="G336" s="111">
        <v>1035990</v>
      </c>
      <c r="H336" s="112">
        <v>98.67</v>
      </c>
      <c r="I336" s="137">
        <v>10499.543934326543</v>
      </c>
      <c r="J336" s="13"/>
      <c r="K336" s="15"/>
      <c r="L336" s="15"/>
      <c r="M336" s="15"/>
    </row>
    <row r="337" spans="1:13">
      <c r="A337" s="130" t="s">
        <v>47</v>
      </c>
      <c r="B337" s="6" t="s">
        <v>19</v>
      </c>
      <c r="C337" s="110" t="s">
        <v>68</v>
      </c>
      <c r="D337" s="103" t="s">
        <v>1125</v>
      </c>
      <c r="E337" s="6" t="s">
        <v>35</v>
      </c>
      <c r="F337" s="334"/>
      <c r="G337" s="111">
        <v>123115036</v>
      </c>
      <c r="H337" s="112">
        <v>12453.08</v>
      </c>
      <c r="I337" s="137">
        <v>9886.3121412534092</v>
      </c>
      <c r="J337" s="13"/>
      <c r="K337" s="15"/>
      <c r="L337" s="15"/>
      <c r="M337" s="15"/>
    </row>
    <row r="338" spans="1:13">
      <c r="A338" s="130" t="s">
        <v>47</v>
      </c>
      <c r="B338" s="6" t="s">
        <v>19</v>
      </c>
      <c r="C338" s="110" t="s">
        <v>67</v>
      </c>
      <c r="D338" s="334" t="s">
        <v>860</v>
      </c>
      <c r="E338" s="118" t="s">
        <v>510</v>
      </c>
      <c r="F338" s="103" t="s">
        <v>688</v>
      </c>
      <c r="G338" s="111">
        <v>2319090</v>
      </c>
      <c r="H338" s="112">
        <v>323.07</v>
      </c>
      <c r="I338" s="137">
        <v>7178.2895347757458</v>
      </c>
      <c r="J338" s="13"/>
      <c r="K338" s="15"/>
      <c r="L338" s="15"/>
      <c r="M338" s="15"/>
    </row>
    <row r="339" spans="1:13">
      <c r="A339" s="130" t="s">
        <v>47</v>
      </c>
      <c r="B339" s="6" t="s">
        <v>19</v>
      </c>
      <c r="C339" s="110" t="s">
        <v>68</v>
      </c>
      <c r="D339" s="103" t="s">
        <v>1126</v>
      </c>
      <c r="E339" s="6" t="s">
        <v>226</v>
      </c>
      <c r="F339" s="334" t="s">
        <v>71</v>
      </c>
      <c r="G339" s="111">
        <v>129811416</v>
      </c>
      <c r="H339" s="112">
        <v>13203.858</v>
      </c>
      <c r="I339" s="137">
        <v>9831.3247537197076</v>
      </c>
      <c r="J339" s="13"/>
      <c r="K339" s="15"/>
      <c r="L339" s="15"/>
      <c r="M339" s="15"/>
    </row>
    <row r="340" spans="1:13">
      <c r="A340" s="130" t="s">
        <v>47</v>
      </c>
      <c r="B340" s="6" t="s">
        <v>19</v>
      </c>
      <c r="C340" s="110" t="s">
        <v>67</v>
      </c>
      <c r="D340" s="334" t="s">
        <v>861</v>
      </c>
      <c r="E340" s="118" t="s">
        <v>649</v>
      </c>
      <c r="F340" s="103" t="s">
        <v>660</v>
      </c>
      <c r="G340" s="111">
        <v>3308785</v>
      </c>
      <c r="H340" s="112">
        <v>328.35</v>
      </c>
      <c r="I340" s="137">
        <v>10077.006243337901</v>
      </c>
      <c r="J340" s="13"/>
      <c r="K340" s="15"/>
      <c r="L340" s="15"/>
      <c r="M340" s="15"/>
    </row>
    <row r="341" spans="1:13">
      <c r="A341" s="130" t="s">
        <v>47</v>
      </c>
      <c r="B341" s="6" t="s">
        <v>19</v>
      </c>
      <c r="C341" s="334" t="s">
        <v>67</v>
      </c>
      <c r="D341" s="334" t="s">
        <v>862</v>
      </c>
      <c r="E341" s="118" t="s">
        <v>511</v>
      </c>
      <c r="F341" s="103" t="s">
        <v>660</v>
      </c>
      <c r="G341" s="111">
        <v>1997465</v>
      </c>
      <c r="H341" s="112">
        <v>255.505</v>
      </c>
      <c r="I341" s="137">
        <v>7817.7139390618577</v>
      </c>
      <c r="J341" s="13"/>
      <c r="K341" s="15"/>
      <c r="L341" s="15"/>
      <c r="M341" s="15"/>
    </row>
    <row r="342" spans="1:13">
      <c r="A342" s="130" t="s">
        <v>47</v>
      </c>
      <c r="B342" s="6" t="s">
        <v>19</v>
      </c>
      <c r="C342" s="110" t="s">
        <v>68</v>
      </c>
      <c r="D342" s="103" t="s">
        <v>1127</v>
      </c>
      <c r="E342" s="6" t="s">
        <v>227</v>
      </c>
      <c r="F342" s="334" t="s">
        <v>69</v>
      </c>
      <c r="G342" s="111">
        <v>23459484</v>
      </c>
      <c r="H342" s="112">
        <v>2709.75</v>
      </c>
      <c r="I342" s="137">
        <v>8657.4348187102132</v>
      </c>
      <c r="J342" s="13"/>
      <c r="K342" s="15"/>
      <c r="L342" s="15"/>
      <c r="M342" s="15"/>
    </row>
    <row r="343" spans="1:13">
      <c r="A343" s="130" t="s">
        <v>47</v>
      </c>
      <c r="B343" s="6" t="s">
        <v>19</v>
      </c>
      <c r="C343" s="110" t="s">
        <v>68</v>
      </c>
      <c r="D343" s="103" t="s">
        <v>1128</v>
      </c>
      <c r="E343" s="6" t="s">
        <v>228</v>
      </c>
      <c r="F343" s="334" t="s">
        <v>71</v>
      </c>
      <c r="G343" s="111">
        <v>80036167</v>
      </c>
      <c r="H343" s="112">
        <v>7916.79</v>
      </c>
      <c r="I343" s="137">
        <v>10109.674122971557</v>
      </c>
      <c r="J343" s="13"/>
      <c r="K343" s="15"/>
      <c r="L343" s="15"/>
      <c r="M343" s="15"/>
    </row>
    <row r="344" spans="1:13">
      <c r="A344" s="130" t="s">
        <v>47</v>
      </c>
      <c r="B344" s="6" t="s">
        <v>19</v>
      </c>
      <c r="C344" s="110" t="s">
        <v>67</v>
      </c>
      <c r="D344" s="334" t="s">
        <v>863</v>
      </c>
      <c r="E344" s="118" t="s">
        <v>650</v>
      </c>
      <c r="F344" s="103" t="s">
        <v>678</v>
      </c>
      <c r="G344" s="111">
        <v>469877</v>
      </c>
      <c r="H344" s="112">
        <v>68.015000000000001</v>
      </c>
      <c r="I344" s="137">
        <v>6908.431963537455</v>
      </c>
      <c r="J344" s="13"/>
      <c r="K344" s="15"/>
      <c r="L344" s="15"/>
      <c r="M344" s="15"/>
    </row>
    <row r="345" spans="1:13">
      <c r="A345" s="130" t="s">
        <v>47</v>
      </c>
      <c r="B345" s="6" t="s">
        <v>19</v>
      </c>
      <c r="C345" s="110" t="s">
        <v>67</v>
      </c>
      <c r="D345" s="334" t="s">
        <v>864</v>
      </c>
      <c r="E345" s="118" t="s">
        <v>651</v>
      </c>
      <c r="F345" s="103" t="s">
        <v>865</v>
      </c>
      <c r="G345" s="111">
        <v>591568</v>
      </c>
      <c r="H345" s="112">
        <v>65.765000000000001</v>
      </c>
      <c r="I345" s="137">
        <v>8995.1798068881617</v>
      </c>
      <c r="J345" s="13"/>
      <c r="K345" s="15"/>
      <c r="L345" s="15"/>
      <c r="M345" s="15"/>
    </row>
    <row r="346" spans="1:13">
      <c r="A346" s="130" t="s">
        <v>47</v>
      </c>
      <c r="B346" s="6" t="s">
        <v>19</v>
      </c>
      <c r="C346" s="110" t="s">
        <v>68</v>
      </c>
      <c r="D346" s="103" t="s">
        <v>1129</v>
      </c>
      <c r="E346" s="6" t="s">
        <v>229</v>
      </c>
      <c r="F346" s="334" t="s">
        <v>69</v>
      </c>
      <c r="G346" s="111">
        <v>17725414</v>
      </c>
      <c r="H346" s="112">
        <v>1325.9349999999999</v>
      </c>
      <c r="I346" s="137">
        <v>13368.237507871805</v>
      </c>
      <c r="J346" s="13"/>
      <c r="K346" s="15"/>
      <c r="L346" s="15"/>
      <c r="M346" s="15"/>
    </row>
    <row r="347" spans="1:13">
      <c r="A347" s="130" t="s">
        <v>47</v>
      </c>
      <c r="B347" s="6" t="s">
        <v>19</v>
      </c>
      <c r="C347" s="334" t="s">
        <v>67</v>
      </c>
      <c r="D347" s="334" t="s">
        <v>879</v>
      </c>
      <c r="E347" s="118" t="s">
        <v>525</v>
      </c>
      <c r="F347" s="103" t="s">
        <v>660</v>
      </c>
      <c r="G347" s="111">
        <v>4382523</v>
      </c>
      <c r="H347" s="112">
        <v>657.17</v>
      </c>
      <c r="I347" s="137">
        <v>6668.7812894684785</v>
      </c>
      <c r="J347" s="13"/>
      <c r="K347" s="15"/>
      <c r="L347" s="15"/>
      <c r="M347" s="15"/>
    </row>
    <row r="348" spans="1:13">
      <c r="A348" s="130" t="s">
        <v>47</v>
      </c>
      <c r="B348" s="6" t="s">
        <v>19</v>
      </c>
      <c r="C348" s="110" t="s">
        <v>67</v>
      </c>
      <c r="D348" s="334" t="s">
        <v>866</v>
      </c>
      <c r="E348" s="118" t="s">
        <v>512</v>
      </c>
      <c r="F348" s="103" t="s">
        <v>688</v>
      </c>
      <c r="G348" s="111">
        <v>1529493</v>
      </c>
      <c r="H348" s="112">
        <v>174.43</v>
      </c>
      <c r="I348" s="137">
        <v>8768.5203233388747</v>
      </c>
      <c r="J348" s="13"/>
      <c r="K348" s="15"/>
      <c r="L348" s="15"/>
      <c r="M348" s="15"/>
    </row>
    <row r="349" spans="1:13">
      <c r="A349" s="130" t="s">
        <v>47</v>
      </c>
      <c r="B349" s="6" t="s">
        <v>19</v>
      </c>
      <c r="C349" s="110" t="s">
        <v>67</v>
      </c>
      <c r="D349" s="334" t="s">
        <v>867</v>
      </c>
      <c r="E349" s="118" t="s">
        <v>513</v>
      </c>
      <c r="F349" s="103" t="s">
        <v>678</v>
      </c>
      <c r="G349" s="111">
        <v>505296</v>
      </c>
      <c r="H349" s="112">
        <v>64.97</v>
      </c>
      <c r="I349" s="137">
        <v>7777.3741726950902</v>
      </c>
      <c r="J349" s="13"/>
      <c r="K349" s="15"/>
      <c r="L349" s="15"/>
      <c r="M349" s="15"/>
    </row>
    <row r="350" spans="1:13">
      <c r="A350" s="130" t="s">
        <v>47</v>
      </c>
      <c r="B350" s="6" t="s">
        <v>19</v>
      </c>
      <c r="C350" s="110" t="s">
        <v>67</v>
      </c>
      <c r="D350" s="334" t="s">
        <v>868</v>
      </c>
      <c r="E350" s="118" t="s">
        <v>514</v>
      </c>
      <c r="F350" s="103" t="s">
        <v>688</v>
      </c>
      <c r="G350" s="111">
        <v>2301173</v>
      </c>
      <c r="H350" s="112">
        <v>251.23</v>
      </c>
      <c r="I350" s="137">
        <v>9159.6266369462246</v>
      </c>
      <c r="J350" s="13"/>
      <c r="K350" s="15"/>
      <c r="L350" s="15"/>
      <c r="M350" s="15"/>
    </row>
    <row r="351" spans="1:13">
      <c r="A351" s="130" t="s">
        <v>47</v>
      </c>
      <c r="B351" s="6" t="s">
        <v>19</v>
      </c>
      <c r="C351" s="334" t="s">
        <v>67</v>
      </c>
      <c r="D351" s="334" t="s">
        <v>869</v>
      </c>
      <c r="E351" s="118" t="s">
        <v>515</v>
      </c>
      <c r="F351" s="103" t="s">
        <v>660</v>
      </c>
      <c r="G351" s="111">
        <v>3110296</v>
      </c>
      <c r="H351" s="112">
        <v>370.39</v>
      </c>
      <c r="I351" s="137">
        <v>8397.3541402305673</v>
      </c>
      <c r="J351" s="13"/>
      <c r="K351" s="15"/>
      <c r="L351" s="15"/>
      <c r="M351" s="15"/>
    </row>
    <row r="352" spans="1:13">
      <c r="A352" s="130" t="s">
        <v>47</v>
      </c>
      <c r="B352" s="6" t="s">
        <v>19</v>
      </c>
      <c r="C352" s="110" t="s">
        <v>67</v>
      </c>
      <c r="D352" s="334" t="s">
        <v>870</v>
      </c>
      <c r="E352" s="118" t="s">
        <v>516</v>
      </c>
      <c r="F352" s="103" t="s">
        <v>660</v>
      </c>
      <c r="G352" s="111">
        <v>264764</v>
      </c>
      <c r="H352" s="112">
        <v>34.659999999999997</v>
      </c>
      <c r="I352" s="137">
        <v>7638.8920946335838</v>
      </c>
      <c r="J352" s="13"/>
      <c r="K352" s="15"/>
      <c r="L352" s="15"/>
      <c r="M352" s="15"/>
    </row>
    <row r="353" spans="1:13">
      <c r="A353" s="130" t="s">
        <v>47</v>
      </c>
      <c r="B353" s="6" t="s">
        <v>19</v>
      </c>
      <c r="C353" s="110" t="s">
        <v>67</v>
      </c>
      <c r="D353" s="334" t="s">
        <v>871</v>
      </c>
      <c r="E353" s="118" t="s">
        <v>517</v>
      </c>
      <c r="F353" s="103" t="s">
        <v>660</v>
      </c>
      <c r="G353" s="111">
        <v>3972452</v>
      </c>
      <c r="H353" s="112">
        <v>454.03</v>
      </c>
      <c r="I353" s="137">
        <v>8749.3161244851672</v>
      </c>
      <c r="J353" s="13"/>
      <c r="K353" s="15"/>
      <c r="L353" s="15"/>
      <c r="M353" s="15"/>
    </row>
    <row r="354" spans="1:13">
      <c r="A354" s="130" t="s">
        <v>47</v>
      </c>
      <c r="B354" s="6" t="s">
        <v>19</v>
      </c>
      <c r="C354" s="110" t="s">
        <v>67</v>
      </c>
      <c r="D354" s="334" t="s">
        <v>872</v>
      </c>
      <c r="E354" s="118" t="s">
        <v>518</v>
      </c>
      <c r="F354" s="103" t="s">
        <v>688</v>
      </c>
      <c r="G354" s="111">
        <v>631742</v>
      </c>
      <c r="H354" s="112">
        <v>78.11</v>
      </c>
      <c r="I354" s="137">
        <v>8087.8504672897197</v>
      </c>
      <c r="J354" s="13"/>
      <c r="K354" s="15"/>
      <c r="L354" s="15"/>
      <c r="M354" s="15"/>
    </row>
    <row r="355" spans="1:13">
      <c r="A355" s="130" t="s">
        <v>47</v>
      </c>
      <c r="B355" s="6" t="s">
        <v>19</v>
      </c>
      <c r="C355" s="334" t="s">
        <v>68</v>
      </c>
      <c r="D355" s="103" t="s">
        <v>1130</v>
      </c>
      <c r="E355" s="6" t="s">
        <v>230</v>
      </c>
      <c r="F355" s="334" t="s">
        <v>69</v>
      </c>
      <c r="G355" s="111">
        <v>222806457</v>
      </c>
      <c r="H355" s="112">
        <v>23035.32</v>
      </c>
      <c r="I355" s="137">
        <v>9672.3838435932303</v>
      </c>
      <c r="J355" s="13"/>
      <c r="K355" s="15"/>
      <c r="L355" s="15"/>
      <c r="M355" s="15"/>
    </row>
    <row r="356" spans="1:13">
      <c r="A356" s="130" t="s">
        <v>47</v>
      </c>
      <c r="B356" s="6" t="s">
        <v>19</v>
      </c>
      <c r="C356" s="110" t="s">
        <v>67</v>
      </c>
      <c r="D356" s="334" t="s">
        <v>873</v>
      </c>
      <c r="E356" s="118" t="s">
        <v>519</v>
      </c>
      <c r="F356" s="103" t="s">
        <v>688</v>
      </c>
      <c r="G356" s="111">
        <v>3349788</v>
      </c>
      <c r="H356" s="112">
        <v>420.14499999999998</v>
      </c>
      <c r="I356" s="137">
        <v>7972.9331540301564</v>
      </c>
      <c r="J356" s="13"/>
      <c r="K356" s="15"/>
      <c r="L356" s="15"/>
      <c r="M356" s="15"/>
    </row>
    <row r="357" spans="1:13">
      <c r="A357" s="130" t="s">
        <v>47</v>
      </c>
      <c r="B357" s="6" t="s">
        <v>19</v>
      </c>
      <c r="C357" s="110" t="s">
        <v>67</v>
      </c>
      <c r="D357" s="334" t="s">
        <v>874</v>
      </c>
      <c r="E357" s="118" t="s">
        <v>520</v>
      </c>
      <c r="F357" s="103" t="s">
        <v>688</v>
      </c>
      <c r="G357" s="111">
        <v>743986</v>
      </c>
      <c r="H357" s="112">
        <v>110.8</v>
      </c>
      <c r="I357" s="137">
        <v>6714.6750902527074</v>
      </c>
      <c r="J357" s="13"/>
      <c r="K357" s="15"/>
      <c r="L357" s="15"/>
      <c r="M357" s="15"/>
    </row>
    <row r="358" spans="1:13">
      <c r="A358" s="130" t="s">
        <v>47</v>
      </c>
      <c r="B358" s="6" t="s">
        <v>19</v>
      </c>
      <c r="C358" s="334" t="s">
        <v>67</v>
      </c>
      <c r="D358" s="334" t="s">
        <v>875</v>
      </c>
      <c r="E358" s="118" t="s">
        <v>521</v>
      </c>
      <c r="F358" s="103" t="s">
        <v>688</v>
      </c>
      <c r="G358" s="111">
        <v>4573974</v>
      </c>
      <c r="H358" s="112">
        <v>689.41</v>
      </c>
      <c r="I358" s="137">
        <v>6634.6209077326994</v>
      </c>
      <c r="J358" s="13"/>
      <c r="K358" s="15"/>
      <c r="L358" s="15"/>
      <c r="M358" s="15"/>
    </row>
    <row r="359" spans="1:13">
      <c r="A359" s="130" t="s">
        <v>47</v>
      </c>
      <c r="B359" s="6" t="s">
        <v>19</v>
      </c>
      <c r="C359" s="110" t="s">
        <v>68</v>
      </c>
      <c r="D359" s="103" t="s">
        <v>1131</v>
      </c>
      <c r="E359" s="6" t="s">
        <v>231</v>
      </c>
      <c r="F359" s="334" t="s">
        <v>135</v>
      </c>
      <c r="G359" s="111">
        <v>14174395</v>
      </c>
      <c r="H359" s="112">
        <v>4669.3249999999998</v>
      </c>
      <c r="I359" s="137">
        <v>3035.6411258586627</v>
      </c>
      <c r="J359" s="13"/>
      <c r="K359" s="15"/>
      <c r="L359" s="15"/>
      <c r="M359" s="15"/>
    </row>
    <row r="360" spans="1:13">
      <c r="A360" s="130" t="s">
        <v>47</v>
      </c>
      <c r="B360" s="6" t="s">
        <v>19</v>
      </c>
      <c r="C360" s="110" t="s">
        <v>67</v>
      </c>
      <c r="D360" s="334" t="s">
        <v>876</v>
      </c>
      <c r="E360" s="118" t="s">
        <v>522</v>
      </c>
      <c r="F360" s="103" t="s">
        <v>688</v>
      </c>
      <c r="G360" s="111">
        <v>439575</v>
      </c>
      <c r="H360" s="112">
        <v>64.900000000000006</v>
      </c>
      <c r="I360" s="137">
        <v>6773.1124807395991</v>
      </c>
      <c r="J360" s="13"/>
      <c r="K360" s="15"/>
      <c r="L360" s="15"/>
      <c r="M360" s="15"/>
    </row>
    <row r="361" spans="1:13">
      <c r="A361" s="130" t="s">
        <v>47</v>
      </c>
      <c r="B361" s="6" t="s">
        <v>19</v>
      </c>
      <c r="C361" s="110" t="s">
        <v>67</v>
      </c>
      <c r="D361" s="334" t="s">
        <v>877</v>
      </c>
      <c r="E361" s="118" t="s">
        <v>523</v>
      </c>
      <c r="F361" s="103" t="s">
        <v>660</v>
      </c>
      <c r="G361" s="111">
        <v>2141182</v>
      </c>
      <c r="H361" s="112">
        <v>262.77499999999998</v>
      </c>
      <c r="I361" s="137">
        <v>8148.3474455332516</v>
      </c>
      <c r="J361" s="13"/>
      <c r="K361" s="15"/>
      <c r="L361" s="15"/>
      <c r="M361" s="15"/>
    </row>
    <row r="362" spans="1:13">
      <c r="A362" s="130" t="s">
        <v>47</v>
      </c>
      <c r="B362" s="6" t="s">
        <v>19</v>
      </c>
      <c r="C362" s="334" t="s">
        <v>68</v>
      </c>
      <c r="D362" s="103" t="s">
        <v>1132</v>
      </c>
      <c r="E362" s="6" t="s">
        <v>232</v>
      </c>
      <c r="F362" s="334" t="s">
        <v>329</v>
      </c>
      <c r="G362" s="111">
        <v>17296183</v>
      </c>
      <c r="H362" s="112">
        <v>1421.34</v>
      </c>
      <c r="I362" s="137">
        <v>12168.927209534666</v>
      </c>
      <c r="J362" s="13"/>
      <c r="K362" s="15"/>
      <c r="L362" s="15"/>
      <c r="M362" s="15"/>
    </row>
    <row r="363" spans="1:13">
      <c r="A363" s="130" t="s">
        <v>47</v>
      </c>
      <c r="B363" s="6" t="s">
        <v>19</v>
      </c>
      <c r="C363" s="110" t="s">
        <v>68</v>
      </c>
      <c r="D363" s="103" t="s">
        <v>1133</v>
      </c>
      <c r="E363" s="6" t="s">
        <v>233</v>
      </c>
      <c r="F363" s="334" t="s">
        <v>69</v>
      </c>
      <c r="G363" s="111">
        <v>16647500</v>
      </c>
      <c r="H363" s="112">
        <v>1216.1199999999999</v>
      </c>
      <c r="I363" s="137">
        <v>13689.027398611981</v>
      </c>
      <c r="J363" s="13"/>
      <c r="K363" s="15"/>
      <c r="L363" s="15"/>
      <c r="M363" s="15"/>
    </row>
    <row r="364" spans="1:13">
      <c r="A364" s="130" t="s">
        <v>47</v>
      </c>
      <c r="B364" s="6" t="s">
        <v>19</v>
      </c>
      <c r="C364" s="110" t="s">
        <v>67</v>
      </c>
      <c r="D364" s="334" t="s">
        <v>878</v>
      </c>
      <c r="E364" s="118" t="s">
        <v>524</v>
      </c>
      <c r="F364" s="103" t="s">
        <v>688</v>
      </c>
      <c r="G364" s="111">
        <v>1591549</v>
      </c>
      <c r="H364" s="112">
        <v>213.64</v>
      </c>
      <c r="I364" s="137">
        <v>7449.677026774013</v>
      </c>
      <c r="J364" s="13"/>
      <c r="K364" s="15"/>
      <c r="L364" s="15"/>
      <c r="M364" s="15"/>
    </row>
    <row r="365" spans="1:13">
      <c r="A365" s="132" t="s">
        <v>48</v>
      </c>
      <c r="B365" s="120" t="s">
        <v>20</v>
      </c>
      <c r="C365" s="121" t="s">
        <v>67</v>
      </c>
      <c r="D365" s="121" t="s">
        <v>1240</v>
      </c>
      <c r="E365" s="120" t="s">
        <v>1265</v>
      </c>
      <c r="F365" s="121">
        <v>99</v>
      </c>
      <c r="G365" s="122">
        <v>25080290</v>
      </c>
      <c r="H365" s="123">
        <v>3363.39</v>
      </c>
      <c r="I365" s="138">
        <v>7456.8485962079931</v>
      </c>
      <c r="J365" s="13"/>
      <c r="K365" s="15"/>
      <c r="L365" s="15"/>
      <c r="M365" s="15"/>
    </row>
    <row r="366" spans="1:13">
      <c r="A366" s="131" t="s">
        <v>48</v>
      </c>
      <c r="B366" s="113" t="s">
        <v>20</v>
      </c>
      <c r="C366" s="114" t="s">
        <v>68</v>
      </c>
      <c r="D366" s="114" t="s">
        <v>1013</v>
      </c>
      <c r="E366" s="113" t="s">
        <v>1266</v>
      </c>
      <c r="F366" s="115" t="s">
        <v>143</v>
      </c>
      <c r="G366" s="116">
        <v>179327654</v>
      </c>
      <c r="H366" s="117">
        <v>23158.768</v>
      </c>
      <c r="I366" s="136">
        <v>7743.4021533442537</v>
      </c>
      <c r="J366" s="13"/>
      <c r="K366" s="15"/>
      <c r="L366" s="15"/>
      <c r="M366" s="15"/>
    </row>
    <row r="367" spans="1:13">
      <c r="A367" s="130" t="s">
        <v>48</v>
      </c>
      <c r="B367" s="6" t="s">
        <v>20</v>
      </c>
      <c r="C367" s="110" t="s">
        <v>67</v>
      </c>
      <c r="D367" s="334" t="s">
        <v>881</v>
      </c>
      <c r="E367" s="118" t="s">
        <v>527</v>
      </c>
      <c r="F367" s="103" t="s">
        <v>660</v>
      </c>
      <c r="G367" s="111">
        <v>788800</v>
      </c>
      <c r="H367" s="112">
        <v>89.65</v>
      </c>
      <c r="I367" s="137">
        <v>8798.6614612381472</v>
      </c>
      <c r="J367" s="13"/>
      <c r="K367" s="15"/>
      <c r="L367" s="15"/>
      <c r="M367" s="15"/>
    </row>
    <row r="368" spans="1:13">
      <c r="A368" s="130" t="s">
        <v>48</v>
      </c>
      <c r="B368" s="6" t="s">
        <v>20</v>
      </c>
      <c r="C368" s="110" t="s">
        <v>68</v>
      </c>
      <c r="D368" s="103" t="s">
        <v>1134</v>
      </c>
      <c r="E368" s="6" t="s">
        <v>36</v>
      </c>
      <c r="F368" s="334"/>
      <c r="G368" s="111">
        <v>27427694</v>
      </c>
      <c r="H368" s="112">
        <v>3687.125</v>
      </c>
      <c r="I368" s="137">
        <v>7438.7751974777093</v>
      </c>
      <c r="J368" s="13"/>
      <c r="K368" s="15"/>
      <c r="L368" s="15"/>
      <c r="M368" s="15"/>
    </row>
    <row r="369" spans="1:13">
      <c r="A369" s="130" t="s">
        <v>48</v>
      </c>
      <c r="B369" s="6" t="s">
        <v>20</v>
      </c>
      <c r="C369" s="334" t="s">
        <v>68</v>
      </c>
      <c r="D369" s="103" t="s">
        <v>1135</v>
      </c>
      <c r="E369" s="6" t="s">
        <v>234</v>
      </c>
      <c r="F369" s="334" t="s">
        <v>329</v>
      </c>
      <c r="G369" s="111">
        <v>4456147</v>
      </c>
      <c r="H369" s="112">
        <v>391.27499999999998</v>
      </c>
      <c r="I369" s="137">
        <v>11388.785381125806</v>
      </c>
      <c r="J369" s="13"/>
      <c r="K369" s="15"/>
      <c r="L369" s="15"/>
      <c r="M369" s="15"/>
    </row>
    <row r="370" spans="1:13">
      <c r="A370" s="130" t="s">
        <v>48</v>
      </c>
      <c r="B370" s="6" t="s">
        <v>20</v>
      </c>
      <c r="C370" s="110" t="s">
        <v>68</v>
      </c>
      <c r="D370" s="103" t="s">
        <v>1136</v>
      </c>
      <c r="E370" s="6" t="s">
        <v>235</v>
      </c>
      <c r="F370" s="334" t="s">
        <v>71</v>
      </c>
      <c r="G370" s="111">
        <v>20584524</v>
      </c>
      <c r="H370" s="112">
        <v>2442.7800000000002</v>
      </c>
      <c r="I370" s="137">
        <v>8426.6794389998267</v>
      </c>
      <c r="J370" s="13"/>
      <c r="K370" s="15"/>
      <c r="L370" s="15"/>
      <c r="M370" s="15"/>
    </row>
    <row r="371" spans="1:13">
      <c r="A371" s="130" t="s">
        <v>48</v>
      </c>
      <c r="B371" s="6" t="s">
        <v>20</v>
      </c>
      <c r="C371" s="334" t="s">
        <v>67</v>
      </c>
      <c r="D371" s="334" t="s">
        <v>882</v>
      </c>
      <c r="E371" s="118" t="s">
        <v>528</v>
      </c>
      <c r="F371" s="103" t="s">
        <v>660</v>
      </c>
      <c r="G371" s="111">
        <v>1376462</v>
      </c>
      <c r="H371" s="112">
        <v>179.21</v>
      </c>
      <c r="I371" s="137">
        <v>7680.7209419117235</v>
      </c>
      <c r="J371" s="13"/>
      <c r="K371" s="15"/>
      <c r="L371" s="15"/>
      <c r="M371" s="15"/>
    </row>
    <row r="372" spans="1:13">
      <c r="A372" s="130" t="s">
        <v>48</v>
      </c>
      <c r="B372" s="6" t="s">
        <v>20</v>
      </c>
      <c r="C372" s="110" t="s">
        <v>67</v>
      </c>
      <c r="D372" s="334" t="s">
        <v>883</v>
      </c>
      <c r="E372" s="118" t="s">
        <v>529</v>
      </c>
      <c r="F372" s="103" t="s">
        <v>660</v>
      </c>
      <c r="G372" s="111">
        <v>1615365</v>
      </c>
      <c r="H372" s="112">
        <v>196.5</v>
      </c>
      <c r="I372" s="137">
        <v>8220.6870229007636</v>
      </c>
      <c r="J372" s="13"/>
      <c r="K372" s="15"/>
      <c r="L372" s="15"/>
      <c r="M372" s="15"/>
    </row>
    <row r="373" spans="1:13">
      <c r="A373" s="130" t="s">
        <v>48</v>
      </c>
      <c r="B373" s="6" t="s">
        <v>20</v>
      </c>
      <c r="C373" s="110" t="s">
        <v>68</v>
      </c>
      <c r="D373" s="103" t="s">
        <v>1137</v>
      </c>
      <c r="E373" s="6" t="s">
        <v>37</v>
      </c>
      <c r="F373" s="334"/>
      <c r="G373" s="111">
        <v>926473</v>
      </c>
      <c r="H373" s="112">
        <v>63.11</v>
      </c>
      <c r="I373" s="137">
        <v>14680.288385358897</v>
      </c>
      <c r="J373" s="13"/>
      <c r="K373" s="15"/>
      <c r="L373" s="15"/>
      <c r="M373" s="15"/>
    </row>
    <row r="374" spans="1:13">
      <c r="A374" s="130" t="s">
        <v>48</v>
      </c>
      <c r="B374" s="6" t="s">
        <v>20</v>
      </c>
      <c r="C374" s="333" t="s">
        <v>68</v>
      </c>
      <c r="D374" s="103" t="s">
        <v>1138</v>
      </c>
      <c r="E374" s="6" t="s">
        <v>236</v>
      </c>
      <c r="F374" s="334" t="s">
        <v>329</v>
      </c>
      <c r="G374" s="111">
        <v>51110478</v>
      </c>
      <c r="H374" s="112">
        <v>7441.0330000000004</v>
      </c>
      <c r="I374" s="137">
        <v>6868.7342201008914</v>
      </c>
      <c r="J374" s="13"/>
      <c r="K374" s="15"/>
      <c r="L374" s="15"/>
      <c r="M374" s="15"/>
    </row>
    <row r="375" spans="1:13">
      <c r="A375" s="130" t="s">
        <v>48</v>
      </c>
      <c r="B375" s="6" t="s">
        <v>20</v>
      </c>
      <c r="C375" s="334" t="s">
        <v>67</v>
      </c>
      <c r="D375" s="334" t="s">
        <v>890</v>
      </c>
      <c r="E375" s="118" t="s">
        <v>535</v>
      </c>
      <c r="F375" s="103" t="s">
        <v>678</v>
      </c>
      <c r="G375" s="111">
        <v>9930275</v>
      </c>
      <c r="H375" s="112">
        <v>1324.395</v>
      </c>
      <c r="I375" s="137">
        <v>7497.9707715598443</v>
      </c>
      <c r="J375" s="13"/>
      <c r="K375" s="15"/>
      <c r="L375" s="15"/>
      <c r="M375" s="15"/>
    </row>
    <row r="376" spans="1:13">
      <c r="A376" s="130" t="s">
        <v>48</v>
      </c>
      <c r="B376" s="6" t="s">
        <v>20</v>
      </c>
      <c r="C376" s="110" t="s">
        <v>67</v>
      </c>
      <c r="D376" s="334" t="s">
        <v>884</v>
      </c>
      <c r="E376" s="118" t="s">
        <v>237</v>
      </c>
      <c r="F376" s="103" t="s">
        <v>660</v>
      </c>
      <c r="G376" s="111">
        <v>718751</v>
      </c>
      <c r="H376" s="112">
        <v>99.765000000000001</v>
      </c>
      <c r="I376" s="137">
        <v>7204.4404350223022</v>
      </c>
      <c r="J376" s="13"/>
      <c r="K376" s="15"/>
      <c r="L376" s="15"/>
      <c r="M376" s="15"/>
    </row>
    <row r="377" spans="1:13">
      <c r="A377" s="130" t="s">
        <v>48</v>
      </c>
      <c r="B377" s="6" t="s">
        <v>20</v>
      </c>
      <c r="C377" s="334" t="s">
        <v>68</v>
      </c>
      <c r="D377" s="103" t="s">
        <v>1139</v>
      </c>
      <c r="E377" s="6" t="s">
        <v>237</v>
      </c>
      <c r="F377" s="334" t="s">
        <v>329</v>
      </c>
      <c r="G377" s="111">
        <v>49403970</v>
      </c>
      <c r="H377" s="112">
        <v>6317.2150000000001</v>
      </c>
      <c r="I377" s="137">
        <v>7820.5300911873346</v>
      </c>
      <c r="J377" s="13"/>
      <c r="K377" s="15"/>
      <c r="L377" s="15"/>
      <c r="M377" s="15"/>
    </row>
    <row r="378" spans="1:13">
      <c r="A378" s="130" t="s">
        <v>48</v>
      </c>
      <c r="B378" s="6" t="s">
        <v>20</v>
      </c>
      <c r="C378" s="334" t="s">
        <v>68</v>
      </c>
      <c r="D378" s="103" t="s">
        <v>1140</v>
      </c>
      <c r="E378" s="6" t="s">
        <v>238</v>
      </c>
      <c r="F378" s="334" t="s">
        <v>329</v>
      </c>
      <c r="G378" s="111">
        <v>4180843</v>
      </c>
      <c r="H378" s="112">
        <v>505.45</v>
      </c>
      <c r="I378" s="137">
        <v>8271.526362647146</v>
      </c>
      <c r="J378" s="13"/>
      <c r="K378" s="15"/>
      <c r="L378" s="15"/>
      <c r="M378" s="15"/>
    </row>
    <row r="379" spans="1:13">
      <c r="A379" s="130" t="s">
        <v>48</v>
      </c>
      <c r="B379" s="6" t="s">
        <v>20</v>
      </c>
      <c r="C379" s="334" t="s">
        <v>67</v>
      </c>
      <c r="D379" s="334" t="s">
        <v>885</v>
      </c>
      <c r="E379" s="118" t="s">
        <v>530</v>
      </c>
      <c r="F379" s="103" t="s">
        <v>660</v>
      </c>
      <c r="G379" s="111">
        <v>2398775</v>
      </c>
      <c r="H379" s="112">
        <v>340.245</v>
      </c>
      <c r="I379" s="137">
        <v>7050.1403400490826</v>
      </c>
      <c r="J379" s="13"/>
      <c r="K379" s="15"/>
      <c r="L379" s="15"/>
      <c r="M379" s="15"/>
    </row>
    <row r="380" spans="1:13">
      <c r="A380" s="130" t="s">
        <v>48</v>
      </c>
      <c r="B380" s="6" t="s">
        <v>20</v>
      </c>
      <c r="C380" s="110" t="s">
        <v>67</v>
      </c>
      <c r="D380" s="334" t="s">
        <v>886</v>
      </c>
      <c r="E380" s="118" t="s">
        <v>531</v>
      </c>
      <c r="F380" s="103" t="s">
        <v>660</v>
      </c>
      <c r="G380" s="111">
        <v>917691</v>
      </c>
      <c r="H380" s="112">
        <v>128.66</v>
      </c>
      <c r="I380" s="137">
        <v>7132.6830405720502</v>
      </c>
      <c r="J380" s="13"/>
      <c r="K380" s="15"/>
      <c r="L380" s="15"/>
      <c r="M380" s="15"/>
    </row>
    <row r="381" spans="1:13">
      <c r="A381" s="130" t="s">
        <v>48</v>
      </c>
      <c r="B381" s="6" t="s">
        <v>20</v>
      </c>
      <c r="C381" s="110" t="s">
        <v>67</v>
      </c>
      <c r="D381" s="334" t="s">
        <v>887</v>
      </c>
      <c r="E381" s="118" t="s">
        <v>532</v>
      </c>
      <c r="F381" s="103" t="s">
        <v>660</v>
      </c>
      <c r="G381" s="111">
        <v>2294331</v>
      </c>
      <c r="H381" s="112">
        <v>291.57</v>
      </c>
      <c r="I381" s="137">
        <v>7868.8856878279657</v>
      </c>
      <c r="J381" s="13"/>
      <c r="K381" s="15"/>
      <c r="L381" s="15"/>
      <c r="M381" s="15"/>
    </row>
    <row r="382" spans="1:13">
      <c r="A382" s="130" t="s">
        <v>48</v>
      </c>
      <c r="B382" s="6" t="s">
        <v>20</v>
      </c>
      <c r="C382" s="334" t="s">
        <v>68</v>
      </c>
      <c r="D382" s="103" t="s">
        <v>1141</v>
      </c>
      <c r="E382" s="6" t="s">
        <v>239</v>
      </c>
      <c r="F382" s="334" t="s">
        <v>69</v>
      </c>
      <c r="G382" s="111">
        <v>14510470</v>
      </c>
      <c r="H382" s="112">
        <v>1842.655</v>
      </c>
      <c r="I382" s="137">
        <v>7874.7622316711486</v>
      </c>
      <c r="J382" s="13"/>
      <c r="K382" s="15"/>
      <c r="L382" s="15"/>
      <c r="M382" s="15"/>
    </row>
    <row r="383" spans="1:13">
      <c r="A383" s="130" t="s">
        <v>48</v>
      </c>
      <c r="B383" s="6" t="s">
        <v>20</v>
      </c>
      <c r="C383" s="110" t="s">
        <v>68</v>
      </c>
      <c r="D383" s="103" t="s">
        <v>1142</v>
      </c>
      <c r="E383" s="6" t="s">
        <v>240</v>
      </c>
      <c r="F383" s="334" t="s">
        <v>69</v>
      </c>
      <c r="G383" s="111">
        <v>675723</v>
      </c>
      <c r="H383" s="112">
        <v>33.914999999999999</v>
      </c>
      <c r="I383" s="137">
        <v>19924.015922158338</v>
      </c>
      <c r="J383" s="13"/>
      <c r="K383" s="15"/>
      <c r="L383" s="15"/>
      <c r="M383" s="15"/>
    </row>
    <row r="384" spans="1:13">
      <c r="A384" s="130" t="s">
        <v>48</v>
      </c>
      <c r="B384" s="6" t="s">
        <v>20</v>
      </c>
      <c r="C384" s="110" t="s">
        <v>68</v>
      </c>
      <c r="D384" s="103" t="s">
        <v>1143</v>
      </c>
      <c r="E384" s="6" t="s">
        <v>241</v>
      </c>
      <c r="F384" s="334" t="s">
        <v>329</v>
      </c>
      <c r="G384" s="111">
        <v>3728348</v>
      </c>
      <c r="H384" s="112">
        <v>214.99</v>
      </c>
      <c r="I384" s="137">
        <v>17341.960091167031</v>
      </c>
      <c r="J384" s="13"/>
      <c r="K384" s="15"/>
      <c r="L384" s="15"/>
      <c r="M384" s="15"/>
    </row>
    <row r="385" spans="1:13">
      <c r="A385" s="130" t="s">
        <v>48</v>
      </c>
      <c r="B385" s="6" t="s">
        <v>20</v>
      </c>
      <c r="C385" s="110" t="s">
        <v>67</v>
      </c>
      <c r="D385" s="334" t="s">
        <v>888</v>
      </c>
      <c r="E385" s="118" t="s">
        <v>533</v>
      </c>
      <c r="F385" s="103" t="s">
        <v>660</v>
      </c>
      <c r="G385" s="111">
        <v>2454094</v>
      </c>
      <c r="H385" s="112">
        <v>325.7</v>
      </c>
      <c r="I385" s="137">
        <v>7534.8295977893767</v>
      </c>
      <c r="J385" s="13"/>
      <c r="K385" s="15"/>
      <c r="L385" s="15"/>
      <c r="M385" s="15"/>
    </row>
    <row r="386" spans="1:13">
      <c r="A386" s="130" t="s">
        <v>48</v>
      </c>
      <c r="B386" s="6" t="s">
        <v>20</v>
      </c>
      <c r="C386" s="110" t="s">
        <v>68</v>
      </c>
      <c r="D386" s="103" t="s">
        <v>1144</v>
      </c>
      <c r="E386" s="6" t="s">
        <v>242</v>
      </c>
      <c r="F386" s="334" t="s">
        <v>69</v>
      </c>
      <c r="G386" s="111">
        <v>1202117</v>
      </c>
      <c r="H386" s="112">
        <v>127.47499999999999</v>
      </c>
      <c r="I386" s="137">
        <v>9430.2176897430872</v>
      </c>
      <c r="J386" s="13"/>
      <c r="K386" s="15"/>
      <c r="L386" s="15"/>
      <c r="M386" s="15"/>
    </row>
    <row r="387" spans="1:13">
      <c r="A387" s="130" t="s">
        <v>48</v>
      </c>
      <c r="B387" s="6" t="s">
        <v>20</v>
      </c>
      <c r="C387" s="110" t="s">
        <v>68</v>
      </c>
      <c r="D387" s="103" t="s">
        <v>1145</v>
      </c>
      <c r="E387" s="6" t="s">
        <v>243</v>
      </c>
      <c r="F387" s="334" t="s">
        <v>69</v>
      </c>
      <c r="G387" s="111">
        <v>730626</v>
      </c>
      <c r="H387" s="112">
        <v>54.854999999999997</v>
      </c>
      <c r="I387" s="137">
        <v>13319.223407164343</v>
      </c>
      <c r="J387" s="13"/>
      <c r="K387" s="15"/>
      <c r="L387" s="15"/>
      <c r="M387" s="15"/>
    </row>
    <row r="388" spans="1:13">
      <c r="A388" s="130" t="s">
        <v>48</v>
      </c>
      <c r="B388" s="6" t="s">
        <v>20</v>
      </c>
      <c r="C388" s="334" t="s">
        <v>67</v>
      </c>
      <c r="D388" s="334" t="s">
        <v>889</v>
      </c>
      <c r="E388" s="118" t="s">
        <v>534</v>
      </c>
      <c r="F388" s="103" t="s">
        <v>660</v>
      </c>
      <c r="G388" s="111">
        <v>2585746</v>
      </c>
      <c r="H388" s="112">
        <v>387.69499999999999</v>
      </c>
      <c r="I388" s="137">
        <v>6669.5366202814066</v>
      </c>
      <c r="J388" s="13"/>
      <c r="K388" s="15"/>
      <c r="L388" s="15"/>
      <c r="M388" s="15"/>
    </row>
    <row r="389" spans="1:13">
      <c r="A389" s="130" t="s">
        <v>48</v>
      </c>
      <c r="B389" s="6" t="s">
        <v>20</v>
      </c>
      <c r="C389" s="110" t="s">
        <v>68</v>
      </c>
      <c r="D389" s="103" t="s">
        <v>1146</v>
      </c>
      <c r="E389" s="6" t="s">
        <v>244</v>
      </c>
      <c r="F389" s="334" t="s">
        <v>69</v>
      </c>
      <c r="G389" s="111">
        <v>390241</v>
      </c>
      <c r="H389" s="112">
        <v>36.89</v>
      </c>
      <c r="I389" s="137">
        <v>10578.503659528327</v>
      </c>
      <c r="J389" s="13"/>
      <c r="K389" s="15"/>
      <c r="L389" s="15"/>
      <c r="M389" s="15"/>
    </row>
    <row r="390" spans="1:13">
      <c r="A390" s="132" t="s">
        <v>49</v>
      </c>
      <c r="B390" s="120" t="s">
        <v>21</v>
      </c>
      <c r="C390" s="121" t="s">
        <v>67</v>
      </c>
      <c r="D390" s="121" t="s">
        <v>1240</v>
      </c>
      <c r="E390" s="120" t="s">
        <v>1265</v>
      </c>
      <c r="F390" s="121">
        <v>99</v>
      </c>
      <c r="G390" s="122">
        <v>17908293</v>
      </c>
      <c r="H390" s="123">
        <v>816.721</v>
      </c>
      <c r="I390" s="138">
        <v>21927.063219875574</v>
      </c>
      <c r="J390" s="13"/>
      <c r="K390" s="15"/>
      <c r="L390" s="15"/>
      <c r="M390" s="15"/>
    </row>
    <row r="391" spans="1:13">
      <c r="A391" s="131" t="s">
        <v>49</v>
      </c>
      <c r="B391" s="113" t="s">
        <v>21</v>
      </c>
      <c r="C391" s="114" t="s">
        <v>68</v>
      </c>
      <c r="D391" s="114" t="s">
        <v>1013</v>
      </c>
      <c r="E391" s="113" t="s">
        <v>1266</v>
      </c>
      <c r="F391" s="115" t="s">
        <v>143</v>
      </c>
      <c r="G391" s="116">
        <v>214837537</v>
      </c>
      <c r="H391" s="117">
        <v>20947.967000000004</v>
      </c>
      <c r="I391" s="136">
        <v>10255.770261620135</v>
      </c>
      <c r="J391" s="13"/>
      <c r="K391" s="15"/>
      <c r="L391" s="15"/>
      <c r="M391" s="15"/>
    </row>
    <row r="392" spans="1:13">
      <c r="A392" s="130" t="s">
        <v>49</v>
      </c>
      <c r="B392" s="6" t="s">
        <v>21</v>
      </c>
      <c r="C392" s="110" t="s">
        <v>68</v>
      </c>
      <c r="D392" s="103" t="s">
        <v>1147</v>
      </c>
      <c r="E392" s="6" t="s">
        <v>245</v>
      </c>
      <c r="F392" s="334" t="s">
        <v>329</v>
      </c>
      <c r="G392" s="111">
        <v>22116003</v>
      </c>
      <c r="H392" s="112">
        <v>2702.13</v>
      </c>
      <c r="I392" s="137">
        <v>8184.6554384874153</v>
      </c>
      <c r="J392" s="13"/>
      <c r="K392" s="15"/>
      <c r="L392" s="15"/>
      <c r="M392" s="15"/>
    </row>
    <row r="393" spans="1:13">
      <c r="A393" s="130" t="s">
        <v>49</v>
      </c>
      <c r="B393" s="6" t="s">
        <v>21</v>
      </c>
      <c r="C393" s="110" t="s">
        <v>68</v>
      </c>
      <c r="D393" s="103" t="s">
        <v>1148</v>
      </c>
      <c r="E393" s="6" t="s">
        <v>246</v>
      </c>
      <c r="F393" s="334" t="s">
        <v>329</v>
      </c>
      <c r="G393" s="111">
        <v>7674785</v>
      </c>
      <c r="H393" s="112">
        <v>419.67500000000001</v>
      </c>
      <c r="I393" s="137">
        <v>18287.448620956693</v>
      </c>
      <c r="J393" s="13"/>
      <c r="K393" s="15"/>
      <c r="L393" s="15"/>
      <c r="M393" s="15"/>
    </row>
    <row r="394" spans="1:13">
      <c r="A394" s="130" t="s">
        <v>49</v>
      </c>
      <c r="B394" s="6" t="s">
        <v>21</v>
      </c>
      <c r="C394" s="334" t="s">
        <v>67</v>
      </c>
      <c r="D394" s="334" t="s">
        <v>893</v>
      </c>
      <c r="E394" s="118" t="s">
        <v>538</v>
      </c>
      <c r="F394" s="103" t="s">
        <v>678</v>
      </c>
      <c r="G394" s="111">
        <v>348084</v>
      </c>
      <c r="H394" s="112">
        <v>24.6</v>
      </c>
      <c r="I394" s="137">
        <v>14149.756097560974</v>
      </c>
      <c r="J394" s="13"/>
      <c r="K394" s="15"/>
      <c r="L394" s="15"/>
      <c r="M394" s="15"/>
    </row>
    <row r="395" spans="1:13">
      <c r="A395" s="130" t="s">
        <v>49</v>
      </c>
      <c r="B395" s="6" t="s">
        <v>21</v>
      </c>
      <c r="C395" s="110" t="s">
        <v>67</v>
      </c>
      <c r="D395" s="334" t="s">
        <v>894</v>
      </c>
      <c r="E395" s="118" t="s">
        <v>539</v>
      </c>
      <c r="F395" s="103" t="s">
        <v>660</v>
      </c>
      <c r="G395" s="111">
        <v>830500</v>
      </c>
      <c r="H395" s="112">
        <v>96.954999999999998</v>
      </c>
      <c r="I395" s="137">
        <v>8565.8295085348873</v>
      </c>
      <c r="J395" s="13"/>
      <c r="K395" s="15"/>
      <c r="L395" s="15"/>
      <c r="M395" s="15"/>
    </row>
    <row r="396" spans="1:13">
      <c r="A396" s="130" t="s">
        <v>49</v>
      </c>
      <c r="B396" s="6" t="s">
        <v>21</v>
      </c>
      <c r="C396" s="110" t="s">
        <v>68</v>
      </c>
      <c r="D396" s="103" t="s">
        <v>1149</v>
      </c>
      <c r="E396" s="6" t="s">
        <v>247</v>
      </c>
      <c r="F396" s="334" t="s">
        <v>329</v>
      </c>
      <c r="G396" s="111">
        <v>5916201</v>
      </c>
      <c r="H396" s="112">
        <v>589.98800000000006</v>
      </c>
      <c r="I396" s="137">
        <v>10027.663274507277</v>
      </c>
      <c r="J396" s="13"/>
      <c r="K396" s="15"/>
      <c r="L396" s="15"/>
      <c r="M396" s="15"/>
    </row>
    <row r="397" spans="1:13">
      <c r="A397" s="130" t="s">
        <v>49</v>
      </c>
      <c r="B397" s="6" t="s">
        <v>21</v>
      </c>
      <c r="C397" s="110" t="s">
        <v>68</v>
      </c>
      <c r="D397" s="103" t="s">
        <v>1150</v>
      </c>
      <c r="E397" s="6" t="s">
        <v>248</v>
      </c>
      <c r="F397" s="334" t="s">
        <v>329</v>
      </c>
      <c r="G397" s="111">
        <v>20765911</v>
      </c>
      <c r="H397" s="112">
        <v>1934.44</v>
      </c>
      <c r="I397" s="137">
        <v>10734.843675689088</v>
      </c>
      <c r="J397" s="13"/>
      <c r="K397" s="15"/>
      <c r="L397" s="15"/>
      <c r="M397" s="15"/>
    </row>
    <row r="398" spans="1:13">
      <c r="A398" s="130" t="s">
        <v>49</v>
      </c>
      <c r="B398" s="6" t="s">
        <v>21</v>
      </c>
      <c r="C398" s="110" t="s">
        <v>68</v>
      </c>
      <c r="D398" s="103" t="s">
        <v>1151</v>
      </c>
      <c r="E398" s="6" t="s">
        <v>249</v>
      </c>
      <c r="F398" s="334" t="s">
        <v>329</v>
      </c>
      <c r="G398" s="111">
        <v>5892258</v>
      </c>
      <c r="H398" s="112">
        <v>476.21499999999997</v>
      </c>
      <c r="I398" s="137">
        <v>12373.104585113868</v>
      </c>
      <c r="J398" s="13"/>
      <c r="K398" s="15"/>
      <c r="L398" s="15"/>
      <c r="M398" s="15"/>
    </row>
    <row r="399" spans="1:13">
      <c r="A399" s="130" t="s">
        <v>49</v>
      </c>
      <c r="B399" s="6" t="s">
        <v>21</v>
      </c>
      <c r="C399" s="333" t="s">
        <v>68</v>
      </c>
      <c r="D399" s="103" t="s">
        <v>1152</v>
      </c>
      <c r="E399" s="6" t="s">
        <v>250</v>
      </c>
      <c r="F399" s="334" t="s">
        <v>329</v>
      </c>
      <c r="G399" s="111">
        <v>33547464</v>
      </c>
      <c r="H399" s="112">
        <v>2182.9299999999998</v>
      </c>
      <c r="I399" s="137">
        <v>15368.089677635106</v>
      </c>
      <c r="J399" s="13"/>
      <c r="K399" s="15"/>
      <c r="L399" s="15"/>
      <c r="M399" s="15"/>
    </row>
    <row r="400" spans="1:13">
      <c r="A400" s="130" t="s">
        <v>49</v>
      </c>
      <c r="B400" s="6" t="s">
        <v>21</v>
      </c>
      <c r="C400" s="334" t="s">
        <v>67</v>
      </c>
      <c r="D400" s="334" t="s">
        <v>895</v>
      </c>
      <c r="E400" s="118" t="s">
        <v>540</v>
      </c>
      <c r="F400" s="103" t="s">
        <v>660</v>
      </c>
      <c r="G400" s="111">
        <v>235685</v>
      </c>
      <c r="H400" s="112">
        <v>23.12</v>
      </c>
      <c r="I400" s="137">
        <v>10193.987889273356</v>
      </c>
      <c r="J400" s="13"/>
      <c r="K400" s="15"/>
      <c r="L400" s="15"/>
      <c r="M400" s="15"/>
    </row>
    <row r="401" spans="1:13">
      <c r="A401" s="130" t="s">
        <v>49</v>
      </c>
      <c r="B401" s="6" t="s">
        <v>21</v>
      </c>
      <c r="C401" s="334" t="s">
        <v>68</v>
      </c>
      <c r="D401" s="103" t="s">
        <v>1153</v>
      </c>
      <c r="E401" s="6" t="s">
        <v>28</v>
      </c>
      <c r="F401" s="334" t="s">
        <v>132</v>
      </c>
      <c r="G401" s="111">
        <v>6782733</v>
      </c>
      <c r="H401" s="112">
        <v>1374.365</v>
      </c>
      <c r="I401" s="137">
        <v>4935.1758812251474</v>
      </c>
      <c r="J401" s="13"/>
      <c r="K401" s="15"/>
      <c r="L401" s="15"/>
      <c r="M401" s="15"/>
    </row>
    <row r="402" spans="1:13">
      <c r="A402" s="130" t="s">
        <v>49</v>
      </c>
      <c r="B402" s="6" t="s">
        <v>21</v>
      </c>
      <c r="C402" s="110" t="s">
        <v>68</v>
      </c>
      <c r="D402" s="103" t="s">
        <v>1154</v>
      </c>
      <c r="E402" s="6" t="s">
        <v>251</v>
      </c>
      <c r="F402" s="334" t="s">
        <v>252</v>
      </c>
      <c r="G402" s="111">
        <v>2177000</v>
      </c>
      <c r="H402" s="112">
        <v>851.19799999999998</v>
      </c>
      <c r="I402" s="137">
        <v>2557.5717988059182</v>
      </c>
      <c r="J402" s="13"/>
      <c r="K402" s="15"/>
      <c r="L402" s="15"/>
      <c r="M402" s="15"/>
    </row>
    <row r="403" spans="1:13">
      <c r="A403" s="130" t="s">
        <v>49</v>
      </c>
      <c r="B403" s="6" t="s">
        <v>21</v>
      </c>
      <c r="C403" s="110" t="s">
        <v>67</v>
      </c>
      <c r="D403" s="334" t="s">
        <v>896</v>
      </c>
      <c r="E403" s="118" t="s">
        <v>541</v>
      </c>
      <c r="F403" s="103" t="s">
        <v>660</v>
      </c>
      <c r="G403" s="111">
        <v>1099051</v>
      </c>
      <c r="H403" s="112">
        <v>124.613</v>
      </c>
      <c r="I403" s="137">
        <v>8819.7138340301572</v>
      </c>
      <c r="J403" s="13"/>
      <c r="K403" s="15"/>
      <c r="L403" s="15"/>
      <c r="M403" s="15"/>
    </row>
    <row r="404" spans="1:13">
      <c r="A404" s="130" t="s">
        <v>49</v>
      </c>
      <c r="B404" s="6" t="s">
        <v>21</v>
      </c>
      <c r="C404" s="334" t="s">
        <v>68</v>
      </c>
      <c r="D404" s="103" t="s">
        <v>1155</v>
      </c>
      <c r="E404" s="6" t="s">
        <v>253</v>
      </c>
      <c r="F404" s="334" t="s">
        <v>329</v>
      </c>
      <c r="G404" s="111">
        <v>20455714</v>
      </c>
      <c r="H404" s="112">
        <v>1281.93</v>
      </c>
      <c r="I404" s="137">
        <v>15956.966449026077</v>
      </c>
      <c r="J404" s="13"/>
      <c r="K404" s="15"/>
      <c r="L404" s="15"/>
      <c r="M404" s="15"/>
    </row>
    <row r="405" spans="1:13">
      <c r="A405" s="130" t="s">
        <v>49</v>
      </c>
      <c r="B405" s="6" t="s">
        <v>21</v>
      </c>
      <c r="C405" s="110" t="s">
        <v>68</v>
      </c>
      <c r="D405" s="103" t="s">
        <v>1156</v>
      </c>
      <c r="E405" s="6" t="s">
        <v>254</v>
      </c>
      <c r="F405" s="334" t="s">
        <v>65</v>
      </c>
      <c r="G405" s="111">
        <v>2480534</v>
      </c>
      <c r="H405" s="112">
        <v>23.25</v>
      </c>
      <c r="I405" s="137">
        <v>106689.63440860216</v>
      </c>
      <c r="J405" s="13"/>
      <c r="K405" s="15"/>
      <c r="L405" s="15"/>
      <c r="M405" s="15"/>
    </row>
    <row r="406" spans="1:13">
      <c r="A406" s="130" t="s">
        <v>49</v>
      </c>
      <c r="B406" s="6" t="s">
        <v>21</v>
      </c>
      <c r="C406" s="110" t="s">
        <v>67</v>
      </c>
      <c r="D406" s="334" t="s">
        <v>897</v>
      </c>
      <c r="E406" s="118" t="s">
        <v>542</v>
      </c>
      <c r="F406" s="103" t="s">
        <v>660</v>
      </c>
      <c r="G406" s="111">
        <v>9514074</v>
      </c>
      <c r="H406" s="112">
        <v>416.33</v>
      </c>
      <c r="I406" s="137">
        <v>22852.24221170706</v>
      </c>
      <c r="J406" s="13"/>
      <c r="K406" s="15"/>
      <c r="L406" s="15"/>
      <c r="M406" s="15"/>
    </row>
    <row r="407" spans="1:13">
      <c r="A407" s="130" t="s">
        <v>49</v>
      </c>
      <c r="B407" s="6" t="s">
        <v>21</v>
      </c>
      <c r="C407" s="110" t="s">
        <v>67</v>
      </c>
      <c r="D407" s="334" t="s">
        <v>898</v>
      </c>
      <c r="E407" s="118" t="s">
        <v>543</v>
      </c>
      <c r="F407" s="103" t="s">
        <v>660</v>
      </c>
      <c r="G407" s="111">
        <v>5880899</v>
      </c>
      <c r="H407" s="112">
        <v>131.10300000000001</v>
      </c>
      <c r="I407" s="137">
        <v>44857.089464009208</v>
      </c>
      <c r="J407" s="13"/>
      <c r="K407" s="15"/>
      <c r="L407" s="15"/>
      <c r="M407" s="15"/>
    </row>
    <row r="408" spans="1:13">
      <c r="A408" s="130" t="s">
        <v>49</v>
      </c>
      <c r="B408" s="6" t="s">
        <v>21</v>
      </c>
      <c r="C408" s="334" t="s">
        <v>68</v>
      </c>
      <c r="D408" s="103" t="s">
        <v>1157</v>
      </c>
      <c r="E408" s="6" t="s">
        <v>255</v>
      </c>
      <c r="F408" s="334" t="s">
        <v>329</v>
      </c>
      <c r="G408" s="111">
        <v>19323965</v>
      </c>
      <c r="H408" s="112">
        <v>2427.7080000000001</v>
      </c>
      <c r="I408" s="137">
        <v>7959.7566923204931</v>
      </c>
      <c r="J408" s="13"/>
      <c r="K408" s="15"/>
      <c r="L408" s="15"/>
      <c r="M408" s="15"/>
    </row>
    <row r="409" spans="1:13">
      <c r="A409" s="130" t="s">
        <v>49</v>
      </c>
      <c r="B409" s="6" t="s">
        <v>21</v>
      </c>
      <c r="C409" s="110" t="s">
        <v>68</v>
      </c>
      <c r="D409" s="103" t="s">
        <v>1158</v>
      </c>
      <c r="E409" s="6" t="s">
        <v>256</v>
      </c>
      <c r="F409" s="334" t="s">
        <v>329</v>
      </c>
      <c r="G409" s="111">
        <v>17561971</v>
      </c>
      <c r="H409" s="112">
        <v>2412.5450000000001</v>
      </c>
      <c r="I409" s="137">
        <v>7279.4376892451746</v>
      </c>
      <c r="J409" s="13"/>
      <c r="K409" s="15"/>
      <c r="L409" s="15"/>
      <c r="M409" s="15"/>
    </row>
    <row r="410" spans="1:13">
      <c r="A410" s="130" t="s">
        <v>49</v>
      </c>
      <c r="B410" s="6" t="s">
        <v>21</v>
      </c>
      <c r="C410" s="110" t="s">
        <v>68</v>
      </c>
      <c r="D410" s="103" t="s">
        <v>1159</v>
      </c>
      <c r="E410" s="6" t="s">
        <v>257</v>
      </c>
      <c r="F410" s="334" t="s">
        <v>329</v>
      </c>
      <c r="G410" s="111">
        <v>30046140</v>
      </c>
      <c r="H410" s="112">
        <v>1954.7049999999999</v>
      </c>
      <c r="I410" s="137">
        <v>15371.189002944178</v>
      </c>
      <c r="J410" s="13"/>
      <c r="K410" s="15"/>
      <c r="L410" s="15"/>
      <c r="M410" s="15"/>
    </row>
    <row r="411" spans="1:13">
      <c r="A411" s="130" t="s">
        <v>49</v>
      </c>
      <c r="B411" s="6" t="s">
        <v>21</v>
      </c>
      <c r="C411" s="334" t="s">
        <v>68</v>
      </c>
      <c r="D411" s="103" t="s">
        <v>1160</v>
      </c>
      <c r="E411" s="6" t="s">
        <v>258</v>
      </c>
      <c r="F411" s="334" t="s">
        <v>329</v>
      </c>
      <c r="G411" s="111">
        <v>20096858</v>
      </c>
      <c r="H411" s="112">
        <v>2316.8879999999999</v>
      </c>
      <c r="I411" s="137">
        <v>8674.0740165256157</v>
      </c>
      <c r="J411" s="13"/>
      <c r="K411" s="15"/>
      <c r="L411" s="15"/>
      <c r="M411" s="15"/>
    </row>
    <row r="412" spans="1:13">
      <c r="A412" s="134" t="s">
        <v>50</v>
      </c>
      <c r="B412" s="120" t="s">
        <v>22</v>
      </c>
      <c r="C412" s="121" t="s">
        <v>67</v>
      </c>
      <c r="D412" s="121" t="s">
        <v>1240</v>
      </c>
      <c r="E412" s="120" t="s">
        <v>1265</v>
      </c>
      <c r="F412" s="121">
        <v>99</v>
      </c>
      <c r="G412" s="122">
        <v>122178031</v>
      </c>
      <c r="H412" s="123">
        <v>16483.699000000001</v>
      </c>
      <c r="I412" s="138">
        <v>7412.0518094876643</v>
      </c>
      <c r="J412" s="13"/>
      <c r="K412" s="15"/>
      <c r="L412" s="15"/>
      <c r="M412" s="15"/>
    </row>
    <row r="413" spans="1:13">
      <c r="A413" s="131" t="s">
        <v>50</v>
      </c>
      <c r="B413" s="113" t="s">
        <v>22</v>
      </c>
      <c r="C413" s="114" t="s">
        <v>68</v>
      </c>
      <c r="D413" s="114" t="s">
        <v>1013</v>
      </c>
      <c r="E413" s="113" t="s">
        <v>1266</v>
      </c>
      <c r="F413" s="115" t="s">
        <v>143</v>
      </c>
      <c r="G413" s="116">
        <v>1205478547</v>
      </c>
      <c r="H413" s="117">
        <v>127935.629</v>
      </c>
      <c r="I413" s="136">
        <v>9422.5397289444682</v>
      </c>
      <c r="J413" s="13"/>
      <c r="K413" s="15"/>
      <c r="L413" s="15"/>
      <c r="M413" s="15"/>
    </row>
    <row r="414" spans="1:13">
      <c r="A414" s="133" t="s">
        <v>50</v>
      </c>
      <c r="B414" s="6" t="s">
        <v>22</v>
      </c>
      <c r="C414" s="110" t="s">
        <v>67</v>
      </c>
      <c r="D414" s="334" t="s">
        <v>899</v>
      </c>
      <c r="E414" s="118" t="s">
        <v>544</v>
      </c>
      <c r="F414" s="103" t="s">
        <v>660</v>
      </c>
      <c r="G414" s="111">
        <v>362001</v>
      </c>
      <c r="H414" s="112">
        <v>53.97</v>
      </c>
      <c r="I414" s="137">
        <v>6707.4485825458587</v>
      </c>
      <c r="J414" s="13"/>
      <c r="K414" s="15"/>
      <c r="L414" s="15"/>
      <c r="M414" s="15"/>
    </row>
    <row r="415" spans="1:13">
      <c r="A415" s="133" t="s">
        <v>50</v>
      </c>
      <c r="B415" s="6" t="s">
        <v>22</v>
      </c>
      <c r="C415" s="110" t="s">
        <v>67</v>
      </c>
      <c r="D415" s="334" t="s">
        <v>900</v>
      </c>
      <c r="E415" s="118" t="s">
        <v>545</v>
      </c>
      <c r="F415" s="103" t="s">
        <v>660</v>
      </c>
      <c r="G415" s="111">
        <v>1863921</v>
      </c>
      <c r="H415" s="112">
        <v>256.7</v>
      </c>
      <c r="I415" s="137">
        <v>7261.0868718348265</v>
      </c>
      <c r="J415" s="13"/>
      <c r="K415" s="15"/>
      <c r="L415" s="15"/>
      <c r="M415" s="15"/>
    </row>
    <row r="416" spans="1:13">
      <c r="A416" s="133" t="s">
        <v>50</v>
      </c>
      <c r="B416" s="6" t="s">
        <v>22</v>
      </c>
      <c r="C416" s="110" t="s">
        <v>67</v>
      </c>
      <c r="D416" s="334" t="s">
        <v>901</v>
      </c>
      <c r="E416" s="118" t="s">
        <v>546</v>
      </c>
      <c r="F416" s="103" t="s">
        <v>678</v>
      </c>
      <c r="G416" s="111">
        <v>4082571</v>
      </c>
      <c r="H416" s="112">
        <v>592.21500000000003</v>
      </c>
      <c r="I416" s="137">
        <v>6893.7311618246749</v>
      </c>
      <c r="J416" s="13"/>
      <c r="K416" s="15"/>
      <c r="L416" s="15"/>
      <c r="M416" s="15"/>
    </row>
    <row r="417" spans="1:13">
      <c r="A417" s="133" t="s">
        <v>50</v>
      </c>
      <c r="B417" s="6" t="s">
        <v>22</v>
      </c>
      <c r="C417" s="110" t="s">
        <v>67</v>
      </c>
      <c r="D417" s="334" t="s">
        <v>902</v>
      </c>
      <c r="E417" s="118" t="s">
        <v>547</v>
      </c>
      <c r="F417" s="103" t="s">
        <v>660</v>
      </c>
      <c r="G417" s="111">
        <v>1286298</v>
      </c>
      <c r="H417" s="112">
        <v>212.92500000000001</v>
      </c>
      <c r="I417" s="137">
        <v>6041.0848890454381</v>
      </c>
      <c r="J417" s="13"/>
      <c r="K417" s="15"/>
      <c r="L417" s="15"/>
      <c r="M417" s="15"/>
    </row>
    <row r="418" spans="1:13">
      <c r="A418" s="130" t="s">
        <v>50</v>
      </c>
      <c r="B418" s="6" t="s">
        <v>22</v>
      </c>
      <c r="C418" s="110" t="s">
        <v>68</v>
      </c>
      <c r="D418" s="103" t="s">
        <v>1161</v>
      </c>
      <c r="E418" s="118" t="s">
        <v>259</v>
      </c>
      <c r="F418" s="334" t="s">
        <v>329</v>
      </c>
      <c r="G418" s="111">
        <v>4162243</v>
      </c>
      <c r="H418" s="112">
        <v>474.66500000000002</v>
      </c>
      <c r="I418" s="137">
        <v>8768.8011544984347</v>
      </c>
      <c r="J418" s="13"/>
      <c r="K418" s="15"/>
      <c r="L418" s="15"/>
      <c r="M418" s="15"/>
    </row>
    <row r="419" spans="1:13">
      <c r="A419" s="133" t="s">
        <v>50</v>
      </c>
      <c r="B419" s="6" t="s">
        <v>22</v>
      </c>
      <c r="C419" s="110" t="s">
        <v>67</v>
      </c>
      <c r="D419" s="334" t="s">
        <v>903</v>
      </c>
      <c r="E419" s="118" t="s">
        <v>548</v>
      </c>
      <c r="F419" s="103" t="s">
        <v>660</v>
      </c>
      <c r="G419" s="111">
        <v>668624</v>
      </c>
      <c r="H419" s="112">
        <v>100.06</v>
      </c>
      <c r="I419" s="137">
        <v>6682.2306616030382</v>
      </c>
      <c r="J419" s="13"/>
      <c r="K419" s="15"/>
      <c r="L419" s="15"/>
      <c r="M419" s="15"/>
    </row>
    <row r="420" spans="1:13">
      <c r="A420" s="133" t="s">
        <v>50</v>
      </c>
      <c r="B420" s="6" t="s">
        <v>22</v>
      </c>
      <c r="C420" s="110" t="s">
        <v>67</v>
      </c>
      <c r="D420" s="334" t="s">
        <v>904</v>
      </c>
      <c r="E420" s="118" t="s">
        <v>549</v>
      </c>
      <c r="F420" s="103" t="s">
        <v>660</v>
      </c>
      <c r="G420" s="111">
        <v>3431622</v>
      </c>
      <c r="H420" s="112">
        <v>468.49799999999999</v>
      </c>
      <c r="I420" s="137">
        <v>7324.7313755875157</v>
      </c>
      <c r="J420" s="13"/>
      <c r="K420" s="15"/>
      <c r="L420" s="15"/>
      <c r="M420" s="15"/>
    </row>
    <row r="421" spans="1:13">
      <c r="A421" s="130" t="s">
        <v>50</v>
      </c>
      <c r="B421" s="6" t="s">
        <v>22</v>
      </c>
      <c r="C421" s="333" t="s">
        <v>68</v>
      </c>
      <c r="D421" s="103" t="s">
        <v>1162</v>
      </c>
      <c r="E421" s="118" t="s">
        <v>260</v>
      </c>
      <c r="F421" s="334" t="s">
        <v>69</v>
      </c>
      <c r="G421" s="111">
        <v>8815653</v>
      </c>
      <c r="H421" s="112">
        <v>650.95000000000005</v>
      </c>
      <c r="I421" s="137">
        <v>13542.749827175665</v>
      </c>
      <c r="J421" s="13"/>
      <c r="K421" s="15"/>
      <c r="L421" s="15"/>
      <c r="M421" s="15"/>
    </row>
    <row r="422" spans="1:13">
      <c r="A422" s="130" t="s">
        <v>50</v>
      </c>
      <c r="B422" s="6" t="s">
        <v>22</v>
      </c>
      <c r="C422" s="334" t="s">
        <v>68</v>
      </c>
      <c r="D422" s="103" t="s">
        <v>1163</v>
      </c>
      <c r="E422" s="118" t="s">
        <v>261</v>
      </c>
      <c r="F422" s="334" t="s">
        <v>329</v>
      </c>
      <c r="G422" s="111">
        <v>148952372</v>
      </c>
      <c r="H422" s="112">
        <v>15803.225</v>
      </c>
      <c r="I422" s="137">
        <v>9425.4414526148939</v>
      </c>
      <c r="J422" s="13"/>
      <c r="K422" s="15"/>
      <c r="L422" s="15"/>
      <c r="M422" s="15"/>
    </row>
    <row r="423" spans="1:13">
      <c r="A423" s="133" t="s">
        <v>50</v>
      </c>
      <c r="B423" s="6" t="s">
        <v>22</v>
      </c>
      <c r="C423" s="334" t="s">
        <v>67</v>
      </c>
      <c r="D423" s="334" t="s">
        <v>905</v>
      </c>
      <c r="E423" s="118" t="s">
        <v>550</v>
      </c>
      <c r="F423" s="103" t="s">
        <v>660</v>
      </c>
      <c r="G423" s="111">
        <v>2261654</v>
      </c>
      <c r="H423" s="112">
        <v>253.35499999999999</v>
      </c>
      <c r="I423" s="137">
        <v>8926.8181010834596</v>
      </c>
      <c r="J423" s="13"/>
      <c r="K423" s="15"/>
      <c r="L423" s="15"/>
      <c r="M423" s="15"/>
    </row>
    <row r="424" spans="1:13">
      <c r="A424" s="133" t="s">
        <v>50</v>
      </c>
      <c r="B424" s="6" t="s">
        <v>22</v>
      </c>
      <c r="C424" s="110" t="s">
        <v>67</v>
      </c>
      <c r="D424" s="334" t="s">
        <v>906</v>
      </c>
      <c r="E424" s="118" t="s">
        <v>551</v>
      </c>
      <c r="F424" s="103" t="s">
        <v>660</v>
      </c>
      <c r="G424" s="111">
        <v>7560369</v>
      </c>
      <c r="H424" s="112">
        <v>1101.5450000000001</v>
      </c>
      <c r="I424" s="137">
        <v>6863.4227380633556</v>
      </c>
      <c r="J424" s="13"/>
      <c r="K424" s="15"/>
      <c r="L424" s="15"/>
      <c r="M424" s="15"/>
    </row>
    <row r="425" spans="1:13">
      <c r="A425" s="133" t="s">
        <v>50</v>
      </c>
      <c r="B425" s="6" t="s">
        <v>22</v>
      </c>
      <c r="C425" s="110" t="s">
        <v>67</v>
      </c>
      <c r="D425" s="334" t="s">
        <v>907</v>
      </c>
      <c r="E425" s="118" t="s">
        <v>552</v>
      </c>
      <c r="F425" s="103" t="s">
        <v>660</v>
      </c>
      <c r="G425" s="111">
        <v>3161146</v>
      </c>
      <c r="H425" s="112">
        <v>458.8</v>
      </c>
      <c r="I425" s="137">
        <v>6890.0305143853529</v>
      </c>
      <c r="J425" s="13"/>
      <c r="K425" s="15"/>
      <c r="L425" s="15"/>
      <c r="M425" s="15"/>
    </row>
    <row r="426" spans="1:13">
      <c r="A426" s="133" t="s">
        <v>50</v>
      </c>
      <c r="B426" s="6" t="s">
        <v>22</v>
      </c>
      <c r="C426" s="110" t="s">
        <v>67</v>
      </c>
      <c r="D426" s="334" t="s">
        <v>908</v>
      </c>
      <c r="E426" s="118" t="s">
        <v>553</v>
      </c>
      <c r="F426" s="103" t="s">
        <v>660</v>
      </c>
      <c r="G426" s="111">
        <v>412072</v>
      </c>
      <c r="H426" s="112">
        <v>44.395000000000003</v>
      </c>
      <c r="I426" s="137">
        <v>9281.9461651086822</v>
      </c>
      <c r="J426" s="13"/>
      <c r="K426" s="15"/>
      <c r="L426" s="15"/>
      <c r="M426" s="15"/>
    </row>
    <row r="427" spans="1:13">
      <c r="A427" s="133" t="s">
        <v>50</v>
      </c>
      <c r="B427" s="6" t="s">
        <v>22</v>
      </c>
      <c r="C427" s="110" t="s">
        <v>67</v>
      </c>
      <c r="D427" s="334" t="s">
        <v>909</v>
      </c>
      <c r="E427" s="118" t="s">
        <v>554</v>
      </c>
      <c r="F427" s="103" t="s">
        <v>660</v>
      </c>
      <c r="G427" s="111">
        <v>1188134</v>
      </c>
      <c r="H427" s="112">
        <v>150.88999999999999</v>
      </c>
      <c r="I427" s="137">
        <v>7874.1732387832199</v>
      </c>
      <c r="J427" s="13"/>
      <c r="K427" s="15"/>
      <c r="L427" s="15"/>
      <c r="M427" s="15"/>
    </row>
    <row r="428" spans="1:13">
      <c r="A428" s="133" t="s">
        <v>50</v>
      </c>
      <c r="B428" s="6" t="s">
        <v>22</v>
      </c>
      <c r="C428" s="110" t="s">
        <v>67</v>
      </c>
      <c r="D428" s="334" t="s">
        <v>910</v>
      </c>
      <c r="E428" s="118" t="s">
        <v>555</v>
      </c>
      <c r="F428" s="103" t="s">
        <v>660</v>
      </c>
      <c r="G428" s="111">
        <v>1024092</v>
      </c>
      <c r="H428" s="112">
        <v>141.11799999999999</v>
      </c>
      <c r="I428" s="137">
        <v>7256.9906036083285</v>
      </c>
      <c r="J428" s="13"/>
      <c r="K428" s="15"/>
      <c r="L428" s="15"/>
      <c r="M428" s="15"/>
    </row>
    <row r="429" spans="1:13">
      <c r="A429" s="133" t="s">
        <v>50</v>
      </c>
      <c r="B429" s="6" t="s">
        <v>22</v>
      </c>
      <c r="C429" s="334" t="s">
        <v>67</v>
      </c>
      <c r="D429" s="334" t="s">
        <v>911</v>
      </c>
      <c r="E429" s="118" t="s">
        <v>556</v>
      </c>
      <c r="F429" s="103" t="s">
        <v>660</v>
      </c>
      <c r="G429" s="111">
        <v>2123872</v>
      </c>
      <c r="H429" s="112">
        <v>313.86500000000001</v>
      </c>
      <c r="I429" s="137">
        <v>6766.8328740063398</v>
      </c>
      <c r="J429" s="13"/>
      <c r="K429" s="15"/>
      <c r="L429" s="15"/>
      <c r="M429" s="15"/>
    </row>
    <row r="430" spans="1:13">
      <c r="A430" s="133" t="s">
        <v>50</v>
      </c>
      <c r="B430" s="6" t="s">
        <v>22</v>
      </c>
      <c r="C430" s="110" t="s">
        <v>67</v>
      </c>
      <c r="D430" s="334" t="s">
        <v>912</v>
      </c>
      <c r="E430" s="118" t="s">
        <v>557</v>
      </c>
      <c r="F430" s="103" t="s">
        <v>660</v>
      </c>
      <c r="G430" s="111">
        <v>2343346</v>
      </c>
      <c r="H430" s="112">
        <v>346.38</v>
      </c>
      <c r="I430" s="137">
        <v>6765.2462613314856</v>
      </c>
      <c r="J430" s="13"/>
      <c r="K430" s="15"/>
      <c r="L430" s="15"/>
      <c r="M430" s="15"/>
    </row>
    <row r="431" spans="1:13">
      <c r="A431" s="133" t="s">
        <v>50</v>
      </c>
      <c r="B431" s="6" t="s">
        <v>22</v>
      </c>
      <c r="C431" s="110" t="s">
        <v>67</v>
      </c>
      <c r="D431" s="334" t="s">
        <v>913</v>
      </c>
      <c r="E431" s="118" t="s">
        <v>558</v>
      </c>
      <c r="F431" s="103" t="s">
        <v>660</v>
      </c>
      <c r="G431" s="111">
        <v>858748</v>
      </c>
      <c r="H431" s="112">
        <v>123.405</v>
      </c>
      <c r="I431" s="137">
        <v>6958.7780073740932</v>
      </c>
      <c r="J431" s="13"/>
      <c r="K431" s="15"/>
      <c r="L431" s="15"/>
      <c r="M431" s="15"/>
    </row>
    <row r="432" spans="1:13">
      <c r="A432" s="130" t="s">
        <v>50</v>
      </c>
      <c r="B432" s="6" t="s">
        <v>22</v>
      </c>
      <c r="C432" s="110" t="s">
        <v>68</v>
      </c>
      <c r="D432" s="103" t="s">
        <v>1164</v>
      </c>
      <c r="E432" s="118" t="s">
        <v>262</v>
      </c>
      <c r="F432" s="334" t="s">
        <v>329</v>
      </c>
      <c r="G432" s="111">
        <v>50633405</v>
      </c>
      <c r="H432" s="112">
        <v>4686.335</v>
      </c>
      <c r="I432" s="137">
        <v>10804.478339683355</v>
      </c>
      <c r="J432" s="13"/>
      <c r="K432" s="15"/>
      <c r="L432" s="15"/>
      <c r="M432" s="15"/>
    </row>
    <row r="433" spans="1:13">
      <c r="A433" s="133" t="s">
        <v>50</v>
      </c>
      <c r="B433" s="6" t="s">
        <v>22</v>
      </c>
      <c r="C433" s="110" t="s">
        <v>67</v>
      </c>
      <c r="D433" s="334" t="s">
        <v>914</v>
      </c>
      <c r="E433" s="118" t="s">
        <v>559</v>
      </c>
      <c r="F433" s="103" t="s">
        <v>660</v>
      </c>
      <c r="G433" s="111">
        <v>1410536</v>
      </c>
      <c r="H433" s="112">
        <v>153.32</v>
      </c>
      <c r="I433" s="137">
        <v>9199.9478215497002</v>
      </c>
      <c r="J433" s="13"/>
      <c r="K433" s="15"/>
      <c r="L433" s="15"/>
      <c r="M433" s="15"/>
    </row>
    <row r="434" spans="1:13">
      <c r="A434" s="133" t="s">
        <v>50</v>
      </c>
      <c r="B434" s="6" t="s">
        <v>22</v>
      </c>
      <c r="C434" s="110" t="s">
        <v>67</v>
      </c>
      <c r="D434" s="334" t="s">
        <v>915</v>
      </c>
      <c r="E434" s="118" t="s">
        <v>560</v>
      </c>
      <c r="F434" s="103" t="s">
        <v>660</v>
      </c>
      <c r="G434" s="111">
        <v>557851</v>
      </c>
      <c r="H434" s="112">
        <v>73.635000000000005</v>
      </c>
      <c r="I434" s="137">
        <v>7575.8946153323823</v>
      </c>
      <c r="J434" s="13"/>
      <c r="K434" s="15"/>
      <c r="L434" s="15"/>
      <c r="M434" s="15"/>
    </row>
    <row r="435" spans="1:13">
      <c r="A435" s="130" t="s">
        <v>50</v>
      </c>
      <c r="B435" s="6" t="s">
        <v>22</v>
      </c>
      <c r="C435" s="110" t="s">
        <v>68</v>
      </c>
      <c r="D435" s="103" t="s">
        <v>1165</v>
      </c>
      <c r="E435" s="118" t="s">
        <v>263</v>
      </c>
      <c r="F435" s="334" t="s">
        <v>69</v>
      </c>
      <c r="G435" s="111">
        <v>4090008</v>
      </c>
      <c r="H435" s="112">
        <v>323.76</v>
      </c>
      <c r="I435" s="137">
        <v>12632.839140103781</v>
      </c>
      <c r="J435" s="13"/>
      <c r="K435" s="15"/>
      <c r="L435" s="15"/>
      <c r="M435" s="15"/>
    </row>
    <row r="436" spans="1:13">
      <c r="A436" s="133" t="s">
        <v>50</v>
      </c>
      <c r="B436" s="6" t="s">
        <v>22</v>
      </c>
      <c r="C436" s="110" t="s">
        <v>67</v>
      </c>
      <c r="D436" s="334" t="s">
        <v>916</v>
      </c>
      <c r="E436" s="118" t="s">
        <v>561</v>
      </c>
      <c r="F436" s="103" t="s">
        <v>678</v>
      </c>
      <c r="G436" s="111">
        <v>4119025</v>
      </c>
      <c r="H436" s="112">
        <v>573.72</v>
      </c>
      <c r="I436" s="137">
        <v>7179.5039392037925</v>
      </c>
      <c r="J436" s="13"/>
      <c r="K436" s="15"/>
      <c r="L436" s="15"/>
      <c r="M436" s="15"/>
    </row>
    <row r="437" spans="1:13">
      <c r="A437" s="133" t="s">
        <v>50</v>
      </c>
      <c r="B437" s="6" t="s">
        <v>22</v>
      </c>
      <c r="C437" s="110" t="s">
        <v>67</v>
      </c>
      <c r="D437" s="334" t="s">
        <v>917</v>
      </c>
      <c r="E437" s="118" t="s">
        <v>562</v>
      </c>
      <c r="F437" s="103" t="s">
        <v>660</v>
      </c>
      <c r="G437" s="111">
        <v>1157863</v>
      </c>
      <c r="H437" s="112">
        <v>164.815</v>
      </c>
      <c r="I437" s="137">
        <v>7025.2282862603524</v>
      </c>
      <c r="J437" s="13"/>
      <c r="K437" s="15"/>
      <c r="L437" s="15"/>
      <c r="M437" s="15"/>
    </row>
    <row r="438" spans="1:13">
      <c r="A438" s="133" t="s">
        <v>50</v>
      </c>
      <c r="B438" s="6" t="s">
        <v>22</v>
      </c>
      <c r="C438" s="110" t="s">
        <v>67</v>
      </c>
      <c r="D438" s="334" t="s">
        <v>918</v>
      </c>
      <c r="E438" s="118" t="s">
        <v>563</v>
      </c>
      <c r="F438" s="103" t="s">
        <v>660</v>
      </c>
      <c r="G438" s="111">
        <v>414894</v>
      </c>
      <c r="H438" s="112">
        <v>36.869999999999997</v>
      </c>
      <c r="I438" s="137">
        <v>11252.888527257934</v>
      </c>
      <c r="J438" s="13"/>
      <c r="K438" s="15"/>
      <c r="L438" s="15"/>
      <c r="M438" s="15"/>
    </row>
    <row r="439" spans="1:13">
      <c r="A439" s="133" t="s">
        <v>50</v>
      </c>
      <c r="B439" s="6" t="s">
        <v>22</v>
      </c>
      <c r="C439" s="110" t="s">
        <v>67</v>
      </c>
      <c r="D439" s="334" t="s">
        <v>919</v>
      </c>
      <c r="E439" s="118" t="s">
        <v>564</v>
      </c>
      <c r="F439" s="103" t="s">
        <v>660</v>
      </c>
      <c r="G439" s="111">
        <v>862084</v>
      </c>
      <c r="H439" s="112">
        <v>127.595</v>
      </c>
      <c r="I439" s="137">
        <v>6756.4089501939734</v>
      </c>
      <c r="J439" s="13"/>
      <c r="K439" s="15"/>
      <c r="L439" s="15"/>
      <c r="M439" s="15"/>
    </row>
    <row r="440" spans="1:13">
      <c r="A440" s="133" t="s">
        <v>50</v>
      </c>
      <c r="B440" s="6" t="s">
        <v>22</v>
      </c>
      <c r="C440" s="110" t="s">
        <v>67</v>
      </c>
      <c r="D440" s="334" t="s">
        <v>920</v>
      </c>
      <c r="E440" s="118" t="s">
        <v>565</v>
      </c>
      <c r="F440" s="103" t="s">
        <v>660</v>
      </c>
      <c r="G440" s="111">
        <v>1432350</v>
      </c>
      <c r="H440" s="112">
        <v>209.09</v>
      </c>
      <c r="I440" s="137">
        <v>6850.399349562389</v>
      </c>
      <c r="J440" s="13"/>
      <c r="K440" s="15"/>
      <c r="L440" s="15"/>
      <c r="M440" s="15"/>
    </row>
    <row r="441" spans="1:13">
      <c r="A441" s="133" t="s">
        <v>50</v>
      </c>
      <c r="B441" s="6" t="s">
        <v>22</v>
      </c>
      <c r="C441" s="110" t="s">
        <v>67</v>
      </c>
      <c r="D441" s="334" t="s">
        <v>921</v>
      </c>
      <c r="E441" s="118" t="s">
        <v>566</v>
      </c>
      <c r="F441" s="103" t="s">
        <v>678</v>
      </c>
      <c r="G441" s="111">
        <v>1710824</v>
      </c>
      <c r="H441" s="112">
        <v>201.405</v>
      </c>
      <c r="I441" s="137">
        <v>8494.4465132444584</v>
      </c>
      <c r="J441" s="13"/>
      <c r="K441" s="15"/>
      <c r="L441" s="15"/>
      <c r="M441" s="15"/>
    </row>
    <row r="442" spans="1:13">
      <c r="A442" s="133" t="s">
        <v>50</v>
      </c>
      <c r="B442" s="6" t="s">
        <v>22</v>
      </c>
      <c r="C442" s="110" t="s">
        <v>67</v>
      </c>
      <c r="D442" s="334" t="s">
        <v>922</v>
      </c>
      <c r="E442" s="118" t="s">
        <v>567</v>
      </c>
      <c r="F442" s="103" t="s">
        <v>660</v>
      </c>
      <c r="G442" s="111">
        <v>524559</v>
      </c>
      <c r="H442" s="112">
        <v>74.34</v>
      </c>
      <c r="I442" s="137">
        <v>7056.2146892655364</v>
      </c>
      <c r="J442" s="13"/>
      <c r="K442" s="15"/>
      <c r="L442" s="15"/>
      <c r="M442" s="15"/>
    </row>
    <row r="443" spans="1:13">
      <c r="A443" s="133" t="s">
        <v>50</v>
      </c>
      <c r="B443" s="6" t="s">
        <v>22</v>
      </c>
      <c r="C443" s="110" t="s">
        <v>67</v>
      </c>
      <c r="D443" s="334" t="s">
        <v>923</v>
      </c>
      <c r="E443" s="118" t="s">
        <v>568</v>
      </c>
      <c r="F443" s="103" t="s">
        <v>660</v>
      </c>
      <c r="G443" s="111">
        <v>1091842</v>
      </c>
      <c r="H443" s="112">
        <v>132.33000000000001</v>
      </c>
      <c r="I443" s="137">
        <v>8250.9030454167605</v>
      </c>
      <c r="J443" s="13"/>
      <c r="K443" s="15"/>
      <c r="L443" s="15"/>
      <c r="M443" s="15"/>
    </row>
    <row r="444" spans="1:13">
      <c r="A444" s="133" t="s">
        <v>50</v>
      </c>
      <c r="B444" s="6" t="s">
        <v>22</v>
      </c>
      <c r="C444" s="110" t="s">
        <v>67</v>
      </c>
      <c r="D444" s="334" t="s">
        <v>924</v>
      </c>
      <c r="E444" s="118" t="s">
        <v>569</v>
      </c>
      <c r="F444" s="103" t="s">
        <v>660</v>
      </c>
      <c r="G444" s="111">
        <v>638391</v>
      </c>
      <c r="H444" s="112">
        <v>70.010000000000005</v>
      </c>
      <c r="I444" s="137">
        <v>9118.5687758891581</v>
      </c>
      <c r="J444" s="13"/>
      <c r="K444" s="15"/>
      <c r="L444" s="15"/>
      <c r="M444" s="15"/>
    </row>
    <row r="445" spans="1:13">
      <c r="A445" s="130" t="s">
        <v>50</v>
      </c>
      <c r="B445" s="6" t="s">
        <v>22</v>
      </c>
      <c r="C445" s="334" t="s">
        <v>68</v>
      </c>
      <c r="D445" s="103" t="s">
        <v>1166</v>
      </c>
      <c r="E445" s="118" t="s">
        <v>264</v>
      </c>
      <c r="F445" s="334" t="s">
        <v>69</v>
      </c>
      <c r="G445" s="111">
        <v>500251</v>
      </c>
      <c r="H445" s="112">
        <v>0</v>
      </c>
      <c r="I445" s="137">
        <v>0</v>
      </c>
      <c r="J445" s="13"/>
      <c r="K445" s="15"/>
      <c r="L445" s="15"/>
      <c r="M445" s="15"/>
    </row>
    <row r="446" spans="1:13">
      <c r="A446" s="130" t="s">
        <v>50</v>
      </c>
      <c r="B446" s="6" t="s">
        <v>22</v>
      </c>
      <c r="C446" s="110" t="s">
        <v>68</v>
      </c>
      <c r="D446" s="103" t="s">
        <v>1167</v>
      </c>
      <c r="E446" s="118" t="s">
        <v>265</v>
      </c>
      <c r="F446" s="334" t="s">
        <v>329</v>
      </c>
      <c r="G446" s="111">
        <v>48358817</v>
      </c>
      <c r="H446" s="112">
        <v>5712.47</v>
      </c>
      <c r="I446" s="137">
        <v>8465.4828821858137</v>
      </c>
      <c r="J446" s="13"/>
      <c r="K446" s="15"/>
      <c r="L446" s="15"/>
      <c r="M446" s="15"/>
    </row>
    <row r="447" spans="1:13">
      <c r="A447" s="133" t="s">
        <v>50</v>
      </c>
      <c r="B447" s="6" t="s">
        <v>22</v>
      </c>
      <c r="C447" s="334" t="s">
        <v>67</v>
      </c>
      <c r="D447" s="334" t="s">
        <v>925</v>
      </c>
      <c r="E447" s="118" t="s">
        <v>570</v>
      </c>
      <c r="F447" s="103" t="s">
        <v>660</v>
      </c>
      <c r="G447" s="111">
        <v>738046</v>
      </c>
      <c r="H447" s="112">
        <v>100.88500000000001</v>
      </c>
      <c r="I447" s="137">
        <v>7315.7159141596867</v>
      </c>
      <c r="J447" s="13"/>
      <c r="K447" s="15"/>
      <c r="L447" s="15"/>
      <c r="M447" s="15"/>
    </row>
    <row r="448" spans="1:13">
      <c r="A448" s="133" t="s">
        <v>50</v>
      </c>
      <c r="B448" s="6" t="s">
        <v>22</v>
      </c>
      <c r="C448" s="110" t="s">
        <v>67</v>
      </c>
      <c r="D448" s="334" t="s">
        <v>926</v>
      </c>
      <c r="E448" s="118" t="s">
        <v>571</v>
      </c>
      <c r="F448" s="103" t="s">
        <v>660</v>
      </c>
      <c r="G448" s="111">
        <v>1198376</v>
      </c>
      <c r="H448" s="112">
        <v>173.45500000000001</v>
      </c>
      <c r="I448" s="137">
        <v>6908.8582052982038</v>
      </c>
      <c r="J448" s="13"/>
      <c r="K448" s="15"/>
      <c r="L448" s="15"/>
      <c r="M448" s="15"/>
    </row>
    <row r="449" spans="1:13">
      <c r="A449" s="133" t="s">
        <v>50</v>
      </c>
      <c r="B449" s="6" t="s">
        <v>22</v>
      </c>
      <c r="C449" s="110" t="s">
        <v>67</v>
      </c>
      <c r="D449" s="334" t="s">
        <v>927</v>
      </c>
      <c r="E449" s="118" t="s">
        <v>572</v>
      </c>
      <c r="F449" s="103" t="s">
        <v>660</v>
      </c>
      <c r="G449" s="111">
        <v>1915289</v>
      </c>
      <c r="H449" s="112">
        <v>236.27500000000001</v>
      </c>
      <c r="I449" s="137">
        <v>8106.1855888265791</v>
      </c>
      <c r="J449" s="13"/>
      <c r="K449" s="15"/>
      <c r="L449" s="15"/>
      <c r="M449" s="15"/>
    </row>
    <row r="450" spans="1:13">
      <c r="A450" s="133" t="s">
        <v>50</v>
      </c>
      <c r="B450" s="6" t="s">
        <v>22</v>
      </c>
      <c r="C450" s="110" t="s">
        <v>67</v>
      </c>
      <c r="D450" s="334" t="s">
        <v>929</v>
      </c>
      <c r="E450" s="118" t="s">
        <v>573</v>
      </c>
      <c r="F450" s="103" t="s">
        <v>660</v>
      </c>
      <c r="G450" s="111">
        <v>552349</v>
      </c>
      <c r="H450" s="112">
        <v>56.63</v>
      </c>
      <c r="I450" s="137">
        <v>9753.6464771322608</v>
      </c>
      <c r="J450" s="13"/>
      <c r="K450" s="15"/>
      <c r="L450" s="15"/>
      <c r="M450" s="15"/>
    </row>
    <row r="451" spans="1:13">
      <c r="A451" s="133" t="s">
        <v>50</v>
      </c>
      <c r="B451" s="6" t="s">
        <v>22</v>
      </c>
      <c r="C451" s="110" t="s">
        <v>67</v>
      </c>
      <c r="D451" s="334" t="s">
        <v>928</v>
      </c>
      <c r="E451" s="118" t="s">
        <v>573</v>
      </c>
      <c r="F451" s="103" t="s">
        <v>660</v>
      </c>
      <c r="G451" s="111">
        <v>2127830</v>
      </c>
      <c r="H451" s="112">
        <v>147.94999999999999</v>
      </c>
      <c r="I451" s="137">
        <v>14382.088543426835</v>
      </c>
      <c r="J451" s="13"/>
      <c r="K451" s="15"/>
      <c r="L451" s="15"/>
      <c r="M451" s="15"/>
    </row>
    <row r="452" spans="1:13">
      <c r="A452" s="133" t="s">
        <v>50</v>
      </c>
      <c r="B452" s="6" t="s">
        <v>22</v>
      </c>
      <c r="C452" s="110" t="s">
        <v>67</v>
      </c>
      <c r="D452" s="334" t="s">
        <v>930</v>
      </c>
      <c r="E452" s="118" t="s">
        <v>574</v>
      </c>
      <c r="F452" s="103" t="s">
        <v>660</v>
      </c>
      <c r="G452" s="111">
        <v>1643409</v>
      </c>
      <c r="H452" s="112">
        <v>219.20500000000001</v>
      </c>
      <c r="I452" s="137">
        <v>7497.1328208754358</v>
      </c>
      <c r="J452" s="13"/>
      <c r="K452" s="15"/>
      <c r="L452" s="15"/>
      <c r="M452" s="15"/>
    </row>
    <row r="453" spans="1:13">
      <c r="A453" s="133" t="s">
        <v>50</v>
      </c>
      <c r="B453" s="6" t="s">
        <v>22</v>
      </c>
      <c r="C453" s="110" t="s">
        <v>67</v>
      </c>
      <c r="D453" s="334" t="s">
        <v>931</v>
      </c>
      <c r="E453" s="118" t="s">
        <v>575</v>
      </c>
      <c r="F453" s="103" t="s">
        <v>660</v>
      </c>
      <c r="G453" s="111">
        <v>437342</v>
      </c>
      <c r="H453" s="112">
        <v>56.814999999999998</v>
      </c>
      <c r="I453" s="137">
        <v>7697.6502684150319</v>
      </c>
      <c r="J453" s="13"/>
      <c r="K453" s="15"/>
      <c r="L453" s="15"/>
      <c r="M453" s="15"/>
    </row>
    <row r="454" spans="1:13">
      <c r="A454" s="130" t="s">
        <v>50</v>
      </c>
      <c r="B454" s="6" t="s">
        <v>22</v>
      </c>
      <c r="C454" s="110" t="s">
        <v>68</v>
      </c>
      <c r="D454" s="103" t="s">
        <v>1168</v>
      </c>
      <c r="E454" s="118" t="s">
        <v>266</v>
      </c>
      <c r="F454" s="334" t="s">
        <v>329</v>
      </c>
      <c r="G454" s="111">
        <v>13795969</v>
      </c>
      <c r="H454" s="112">
        <v>1028.54</v>
      </c>
      <c r="I454" s="137">
        <v>13413.157485367608</v>
      </c>
      <c r="J454" s="13"/>
      <c r="K454" s="15"/>
      <c r="L454" s="15"/>
      <c r="M454" s="15"/>
    </row>
    <row r="455" spans="1:13">
      <c r="A455" s="133" t="s">
        <v>50</v>
      </c>
      <c r="B455" s="6" t="s">
        <v>22</v>
      </c>
      <c r="C455" s="334" t="s">
        <v>67</v>
      </c>
      <c r="D455" s="334" t="s">
        <v>932</v>
      </c>
      <c r="E455" s="118" t="s">
        <v>576</v>
      </c>
      <c r="F455" s="103" t="s">
        <v>660</v>
      </c>
      <c r="G455" s="111">
        <v>1852070</v>
      </c>
      <c r="H455" s="112">
        <v>221.64</v>
      </c>
      <c r="I455" s="137">
        <v>8356.2082656560196</v>
      </c>
      <c r="J455" s="13"/>
      <c r="K455" s="15"/>
      <c r="L455" s="15"/>
      <c r="M455" s="15"/>
    </row>
    <row r="456" spans="1:13">
      <c r="A456" s="133" t="s">
        <v>50</v>
      </c>
      <c r="B456" s="6" t="s">
        <v>22</v>
      </c>
      <c r="C456" s="334" t="s">
        <v>67</v>
      </c>
      <c r="D456" s="334" t="s">
        <v>933</v>
      </c>
      <c r="E456" s="118" t="s">
        <v>577</v>
      </c>
      <c r="F456" s="103" t="s">
        <v>660</v>
      </c>
      <c r="G456" s="111">
        <v>933316</v>
      </c>
      <c r="H456" s="112">
        <v>128.21</v>
      </c>
      <c r="I456" s="137">
        <v>7279.5881756493245</v>
      </c>
      <c r="J456" s="13"/>
      <c r="K456" s="15"/>
      <c r="L456" s="15"/>
      <c r="M456" s="15"/>
    </row>
    <row r="457" spans="1:13">
      <c r="A457" s="133" t="s">
        <v>50</v>
      </c>
      <c r="B457" s="6" t="s">
        <v>22</v>
      </c>
      <c r="C457" s="110" t="s">
        <v>67</v>
      </c>
      <c r="D457" s="334" t="s">
        <v>934</v>
      </c>
      <c r="E457" s="118" t="s">
        <v>578</v>
      </c>
      <c r="F457" s="103" t="s">
        <v>660</v>
      </c>
      <c r="G457" s="111">
        <v>1920151</v>
      </c>
      <c r="H457" s="112">
        <v>188.29</v>
      </c>
      <c r="I457" s="137">
        <v>10197.838440703172</v>
      </c>
      <c r="J457" s="13"/>
      <c r="K457" s="15"/>
      <c r="L457" s="15"/>
      <c r="M457" s="15"/>
    </row>
    <row r="458" spans="1:13">
      <c r="A458" s="130" t="s">
        <v>50</v>
      </c>
      <c r="B458" s="6" t="s">
        <v>22</v>
      </c>
      <c r="C458" s="110" t="s">
        <v>68</v>
      </c>
      <c r="D458" s="103" t="s">
        <v>1169</v>
      </c>
      <c r="E458" s="118" t="s">
        <v>267</v>
      </c>
      <c r="F458" s="334" t="s">
        <v>329</v>
      </c>
      <c r="G458" s="111">
        <v>110760377</v>
      </c>
      <c r="H458" s="112">
        <v>12685.703</v>
      </c>
      <c r="I458" s="137">
        <v>8731.1185670987252</v>
      </c>
      <c r="J458" s="13"/>
      <c r="K458" s="15"/>
      <c r="L458" s="15"/>
      <c r="M458" s="15"/>
    </row>
    <row r="459" spans="1:13">
      <c r="A459" s="133" t="s">
        <v>50</v>
      </c>
      <c r="B459" s="6" t="s">
        <v>22</v>
      </c>
      <c r="C459" s="110" t="s">
        <v>67</v>
      </c>
      <c r="D459" s="334" t="s">
        <v>935</v>
      </c>
      <c r="E459" s="118" t="s">
        <v>579</v>
      </c>
      <c r="F459" s="103" t="s">
        <v>660</v>
      </c>
      <c r="G459" s="111">
        <v>1163600</v>
      </c>
      <c r="H459" s="112">
        <v>148.12</v>
      </c>
      <c r="I459" s="137">
        <v>7855.7926005941126</v>
      </c>
      <c r="J459" s="13"/>
      <c r="K459" s="15"/>
      <c r="L459" s="15"/>
      <c r="M459" s="15"/>
    </row>
    <row r="460" spans="1:13">
      <c r="A460" s="133" t="s">
        <v>50</v>
      </c>
      <c r="B460" s="6" t="s">
        <v>22</v>
      </c>
      <c r="C460" s="110" t="s">
        <v>67</v>
      </c>
      <c r="D460" s="334" t="s">
        <v>936</v>
      </c>
      <c r="E460" s="118" t="s">
        <v>580</v>
      </c>
      <c r="F460" s="103" t="s">
        <v>660</v>
      </c>
      <c r="G460" s="111">
        <v>543360</v>
      </c>
      <c r="H460" s="112">
        <v>80.114999999999995</v>
      </c>
      <c r="I460" s="137">
        <v>6782.2505148848531</v>
      </c>
      <c r="J460" s="13"/>
      <c r="K460" s="15"/>
      <c r="L460" s="15"/>
      <c r="M460" s="15"/>
    </row>
    <row r="461" spans="1:13">
      <c r="A461" s="133" t="s">
        <v>50</v>
      </c>
      <c r="B461" s="6" t="s">
        <v>22</v>
      </c>
      <c r="C461" s="110" t="s">
        <v>67</v>
      </c>
      <c r="D461" s="334" t="s">
        <v>937</v>
      </c>
      <c r="E461" s="118" t="s">
        <v>581</v>
      </c>
      <c r="F461" s="103" t="s">
        <v>660</v>
      </c>
      <c r="G461" s="111">
        <v>2376098</v>
      </c>
      <c r="H461" s="112">
        <v>349.315</v>
      </c>
      <c r="I461" s="137">
        <v>6802.1642357184774</v>
      </c>
      <c r="J461" s="13"/>
      <c r="K461" s="15"/>
      <c r="L461" s="15"/>
      <c r="M461" s="15"/>
    </row>
    <row r="462" spans="1:13">
      <c r="A462" s="133" t="s">
        <v>50</v>
      </c>
      <c r="B462" s="6" t="s">
        <v>22</v>
      </c>
      <c r="C462" s="110" t="s">
        <v>67</v>
      </c>
      <c r="D462" s="334" t="s">
        <v>938</v>
      </c>
      <c r="E462" s="118" t="s">
        <v>582</v>
      </c>
      <c r="F462" s="103" t="s">
        <v>660</v>
      </c>
      <c r="G462" s="111">
        <v>689446</v>
      </c>
      <c r="H462" s="112">
        <v>90.644999999999996</v>
      </c>
      <c r="I462" s="137">
        <v>7606.0014341662536</v>
      </c>
      <c r="J462" s="13"/>
      <c r="K462" s="15"/>
      <c r="L462" s="15"/>
      <c r="M462" s="15"/>
    </row>
    <row r="463" spans="1:13">
      <c r="A463" s="133" t="s">
        <v>50</v>
      </c>
      <c r="B463" s="6" t="s">
        <v>22</v>
      </c>
      <c r="C463" s="110" t="s">
        <v>67</v>
      </c>
      <c r="D463" s="334" t="s">
        <v>939</v>
      </c>
      <c r="E463" s="118" t="s">
        <v>583</v>
      </c>
      <c r="F463" s="103" t="s">
        <v>660</v>
      </c>
      <c r="G463" s="111">
        <v>1570475</v>
      </c>
      <c r="H463" s="112">
        <v>200.39</v>
      </c>
      <c r="I463" s="137">
        <v>7837.0926692948751</v>
      </c>
      <c r="J463" s="13"/>
      <c r="K463" s="15"/>
      <c r="L463" s="15"/>
      <c r="M463" s="15"/>
    </row>
    <row r="464" spans="1:13">
      <c r="A464" s="133" t="s">
        <v>50</v>
      </c>
      <c r="B464" s="6" t="s">
        <v>22</v>
      </c>
      <c r="C464" s="334" t="s">
        <v>67</v>
      </c>
      <c r="D464" s="334" t="s">
        <v>940</v>
      </c>
      <c r="E464" s="118" t="s">
        <v>584</v>
      </c>
      <c r="F464" s="103" t="s">
        <v>660</v>
      </c>
      <c r="G464" s="111">
        <v>606820</v>
      </c>
      <c r="H464" s="112">
        <v>84.155000000000001</v>
      </c>
      <c r="I464" s="137">
        <v>7210.7420830610181</v>
      </c>
      <c r="J464" s="13"/>
      <c r="K464" s="15"/>
      <c r="L464" s="15"/>
      <c r="M464" s="15"/>
    </row>
    <row r="465" spans="1:13">
      <c r="A465" s="130" t="s">
        <v>50</v>
      </c>
      <c r="B465" s="6" t="s">
        <v>22</v>
      </c>
      <c r="C465" s="110" t="s">
        <v>68</v>
      </c>
      <c r="D465" s="103" t="s">
        <v>1170</v>
      </c>
      <c r="E465" s="118" t="s">
        <v>29</v>
      </c>
      <c r="F465" s="334" t="s">
        <v>65</v>
      </c>
      <c r="G465" s="111">
        <v>1681280</v>
      </c>
      <c r="H465" s="112">
        <v>141.87</v>
      </c>
      <c r="I465" s="137">
        <v>11850.849369140762</v>
      </c>
      <c r="J465" s="13"/>
      <c r="K465" s="15"/>
      <c r="L465" s="15"/>
      <c r="M465" s="15"/>
    </row>
    <row r="466" spans="1:13">
      <c r="A466" s="133" t="s">
        <v>50</v>
      </c>
      <c r="B466" s="6" t="s">
        <v>22</v>
      </c>
      <c r="C466" s="334" t="s">
        <v>67</v>
      </c>
      <c r="D466" s="334" t="s">
        <v>941</v>
      </c>
      <c r="E466" s="118" t="s">
        <v>585</v>
      </c>
      <c r="F466" s="103" t="s">
        <v>678</v>
      </c>
      <c r="G466" s="111">
        <v>1423850</v>
      </c>
      <c r="H466" s="112">
        <v>107.705</v>
      </c>
      <c r="I466" s="137">
        <v>13219.906225337729</v>
      </c>
      <c r="J466" s="13"/>
      <c r="K466" s="15"/>
      <c r="L466" s="15"/>
      <c r="M466" s="15"/>
    </row>
    <row r="467" spans="1:13">
      <c r="A467" s="133" t="s">
        <v>50</v>
      </c>
      <c r="B467" s="6" t="s">
        <v>22</v>
      </c>
      <c r="C467" s="110" t="s">
        <v>67</v>
      </c>
      <c r="D467" s="334" t="s">
        <v>942</v>
      </c>
      <c r="E467" s="118" t="s">
        <v>586</v>
      </c>
      <c r="F467" s="103" t="s">
        <v>660</v>
      </c>
      <c r="G467" s="111">
        <v>1388866</v>
      </c>
      <c r="H467" s="112">
        <v>114.515</v>
      </c>
      <c r="I467" s="137">
        <v>12128.245208051347</v>
      </c>
      <c r="J467" s="13"/>
      <c r="K467" s="15"/>
      <c r="L467" s="15"/>
      <c r="M467" s="15"/>
    </row>
    <row r="468" spans="1:13">
      <c r="A468" s="133" t="s">
        <v>50</v>
      </c>
      <c r="B468" s="6" t="s">
        <v>22</v>
      </c>
      <c r="C468" s="110" t="s">
        <v>67</v>
      </c>
      <c r="D468" s="334" t="s">
        <v>943</v>
      </c>
      <c r="E468" s="118" t="s">
        <v>587</v>
      </c>
      <c r="F468" s="103" t="s">
        <v>660</v>
      </c>
      <c r="G468" s="111">
        <v>7043389</v>
      </c>
      <c r="H468" s="112">
        <v>935.76</v>
      </c>
      <c r="I468" s="137">
        <v>7526.9182268957857</v>
      </c>
      <c r="J468" s="13"/>
      <c r="K468" s="15"/>
      <c r="L468" s="15"/>
      <c r="M468" s="15"/>
    </row>
    <row r="469" spans="1:13">
      <c r="A469" s="133" t="s">
        <v>50</v>
      </c>
      <c r="B469" s="6" t="s">
        <v>22</v>
      </c>
      <c r="C469" s="110" t="s">
        <v>67</v>
      </c>
      <c r="D469" s="334" t="s">
        <v>944</v>
      </c>
      <c r="E469" s="118" t="s">
        <v>588</v>
      </c>
      <c r="F469" s="103" t="s">
        <v>660</v>
      </c>
      <c r="G469" s="111">
        <v>15284779</v>
      </c>
      <c r="H469" s="112">
        <v>2442.19</v>
      </c>
      <c r="I469" s="137">
        <v>6258.6363059385221</v>
      </c>
      <c r="J469" s="13"/>
      <c r="K469" s="15"/>
      <c r="L469" s="15"/>
      <c r="M469" s="15"/>
    </row>
    <row r="470" spans="1:13">
      <c r="A470" s="133" t="s">
        <v>50</v>
      </c>
      <c r="B470" s="6" t="s">
        <v>22</v>
      </c>
      <c r="C470" s="110" t="s">
        <v>67</v>
      </c>
      <c r="D470" s="334" t="s">
        <v>945</v>
      </c>
      <c r="E470" s="118" t="s">
        <v>589</v>
      </c>
      <c r="F470" s="103" t="s">
        <v>660</v>
      </c>
      <c r="G470" s="111">
        <v>2543839</v>
      </c>
      <c r="H470" s="112">
        <v>314.70499999999998</v>
      </c>
      <c r="I470" s="137">
        <v>8083.2493922880158</v>
      </c>
      <c r="J470" s="13"/>
      <c r="K470" s="15"/>
      <c r="L470" s="15"/>
      <c r="M470" s="15"/>
    </row>
    <row r="471" spans="1:13">
      <c r="A471" s="130" t="s">
        <v>50</v>
      </c>
      <c r="B471" s="6" t="s">
        <v>22</v>
      </c>
      <c r="C471" s="110" t="s">
        <v>68</v>
      </c>
      <c r="D471" s="103" t="s">
        <v>1171</v>
      </c>
      <c r="E471" s="118" t="s">
        <v>268</v>
      </c>
      <c r="F471" s="334" t="s">
        <v>69</v>
      </c>
      <c r="G471" s="111">
        <v>106497</v>
      </c>
      <c r="H471" s="112">
        <v>0</v>
      </c>
      <c r="I471" s="137">
        <v>0</v>
      </c>
      <c r="J471" s="13"/>
      <c r="K471" s="15"/>
      <c r="L471" s="15"/>
      <c r="M471" s="15"/>
    </row>
    <row r="472" spans="1:13">
      <c r="A472" s="130" t="s">
        <v>50</v>
      </c>
      <c r="B472" s="6" t="s">
        <v>22</v>
      </c>
      <c r="C472" s="110" t="s">
        <v>68</v>
      </c>
      <c r="D472" s="103" t="s">
        <v>1172</v>
      </c>
      <c r="E472" s="118" t="s">
        <v>269</v>
      </c>
      <c r="F472" s="334" t="s">
        <v>329</v>
      </c>
      <c r="G472" s="111">
        <v>42591219</v>
      </c>
      <c r="H472" s="112">
        <v>3885.2</v>
      </c>
      <c r="I472" s="137">
        <v>10962.426387315969</v>
      </c>
      <c r="J472" s="13"/>
      <c r="K472" s="15"/>
      <c r="L472" s="15"/>
      <c r="M472" s="15"/>
    </row>
    <row r="473" spans="1:13">
      <c r="A473" s="130" t="s">
        <v>50</v>
      </c>
      <c r="B473" s="6" t="s">
        <v>22</v>
      </c>
      <c r="C473" s="110" t="s">
        <v>68</v>
      </c>
      <c r="D473" s="103" t="s">
        <v>1173</v>
      </c>
      <c r="E473" s="118" t="s">
        <v>270</v>
      </c>
      <c r="F473" s="334" t="s">
        <v>69</v>
      </c>
      <c r="G473" s="111">
        <v>1564467</v>
      </c>
      <c r="H473" s="112">
        <v>17.46</v>
      </c>
      <c r="I473" s="137">
        <v>89602.920962199307</v>
      </c>
      <c r="J473" s="13"/>
      <c r="K473" s="15"/>
      <c r="L473" s="15"/>
      <c r="M473" s="15"/>
    </row>
    <row r="474" spans="1:13">
      <c r="A474" s="133" t="s">
        <v>50</v>
      </c>
      <c r="B474" s="6" t="s">
        <v>22</v>
      </c>
      <c r="C474" s="110" t="s">
        <v>67</v>
      </c>
      <c r="D474" s="334" t="s">
        <v>946</v>
      </c>
      <c r="E474" s="118" t="s">
        <v>590</v>
      </c>
      <c r="F474" s="103" t="s">
        <v>660</v>
      </c>
      <c r="G474" s="111">
        <v>968196</v>
      </c>
      <c r="H474" s="112">
        <v>138.62</v>
      </c>
      <c r="I474" s="137">
        <v>6984.5332563843594</v>
      </c>
      <c r="J474" s="13"/>
      <c r="K474" s="15"/>
      <c r="L474" s="15"/>
      <c r="M474" s="15"/>
    </row>
    <row r="475" spans="1:13">
      <c r="A475" s="133" t="s">
        <v>50</v>
      </c>
      <c r="B475" s="6" t="s">
        <v>22</v>
      </c>
      <c r="C475" s="334" t="s">
        <v>67</v>
      </c>
      <c r="D475" s="334" t="s">
        <v>947</v>
      </c>
      <c r="E475" s="118" t="s">
        <v>591</v>
      </c>
      <c r="F475" s="103" t="s">
        <v>660</v>
      </c>
      <c r="G475" s="111">
        <v>496348</v>
      </c>
      <c r="H475" s="112">
        <v>67.790000000000006</v>
      </c>
      <c r="I475" s="137">
        <v>7321.846880070806</v>
      </c>
      <c r="J475" s="13"/>
      <c r="K475" s="15"/>
      <c r="L475" s="15"/>
      <c r="M475" s="15"/>
    </row>
    <row r="476" spans="1:13">
      <c r="A476" s="133" t="s">
        <v>50</v>
      </c>
      <c r="B476" s="6" t="s">
        <v>22</v>
      </c>
      <c r="C476" s="110" t="s">
        <v>67</v>
      </c>
      <c r="D476" s="334" t="s">
        <v>948</v>
      </c>
      <c r="E476" s="118" t="s">
        <v>592</v>
      </c>
      <c r="F476" s="103" t="s">
        <v>660</v>
      </c>
      <c r="G476" s="111">
        <v>1683698</v>
      </c>
      <c r="H476" s="112">
        <v>239.41</v>
      </c>
      <c r="I476" s="137">
        <v>7032.6970469069802</v>
      </c>
      <c r="J476" s="13"/>
      <c r="K476" s="15"/>
      <c r="L476" s="15"/>
      <c r="M476" s="15"/>
    </row>
    <row r="477" spans="1:13">
      <c r="A477" s="133" t="s">
        <v>50</v>
      </c>
      <c r="B477" s="6" t="s">
        <v>22</v>
      </c>
      <c r="C477" s="334" t="s">
        <v>67</v>
      </c>
      <c r="D477" s="334" t="s">
        <v>949</v>
      </c>
      <c r="E477" s="118" t="s">
        <v>593</v>
      </c>
      <c r="F477" s="103" t="s">
        <v>660</v>
      </c>
      <c r="G477" s="111">
        <v>4564383</v>
      </c>
      <c r="H477" s="112">
        <v>623.17499999999995</v>
      </c>
      <c r="I477" s="137">
        <v>7324.400048140571</v>
      </c>
      <c r="J477" s="13"/>
      <c r="K477" s="15"/>
      <c r="L477" s="15"/>
      <c r="M477" s="15"/>
    </row>
    <row r="478" spans="1:13">
      <c r="A478" s="130" t="s">
        <v>50</v>
      </c>
      <c r="B478" s="6" t="s">
        <v>22</v>
      </c>
      <c r="C478" s="110" t="s">
        <v>68</v>
      </c>
      <c r="D478" s="103" t="s">
        <v>1174</v>
      </c>
      <c r="E478" s="118" t="s">
        <v>271</v>
      </c>
      <c r="F478" s="334" t="s">
        <v>329</v>
      </c>
      <c r="G478" s="111">
        <v>148141510</v>
      </c>
      <c r="H478" s="112">
        <v>16393.474999999999</v>
      </c>
      <c r="I478" s="137">
        <v>9036.6142626868314</v>
      </c>
      <c r="J478" s="13"/>
      <c r="K478" s="15"/>
      <c r="L478" s="15"/>
      <c r="M478" s="15"/>
    </row>
    <row r="479" spans="1:13">
      <c r="A479" s="133" t="s">
        <v>50</v>
      </c>
      <c r="B479" s="6" t="s">
        <v>22</v>
      </c>
      <c r="C479" s="110" t="s">
        <v>67</v>
      </c>
      <c r="D479" s="334" t="s">
        <v>950</v>
      </c>
      <c r="E479" s="118" t="s">
        <v>594</v>
      </c>
      <c r="F479" s="103" t="s">
        <v>660</v>
      </c>
      <c r="G479" s="111">
        <v>1963066</v>
      </c>
      <c r="H479" s="112">
        <v>279.60500000000002</v>
      </c>
      <c r="I479" s="137">
        <v>7020.8544196276889</v>
      </c>
      <c r="J479" s="13"/>
      <c r="K479" s="15"/>
      <c r="L479" s="15"/>
      <c r="M479" s="15"/>
    </row>
    <row r="480" spans="1:13">
      <c r="A480" s="130" t="s">
        <v>50</v>
      </c>
      <c r="B480" s="6" t="s">
        <v>22</v>
      </c>
      <c r="C480" s="110" t="s">
        <v>68</v>
      </c>
      <c r="D480" s="103" t="s">
        <v>1175</v>
      </c>
      <c r="E480" s="118" t="s">
        <v>272</v>
      </c>
      <c r="F480" s="334" t="s">
        <v>329</v>
      </c>
      <c r="G480" s="111">
        <v>14297598</v>
      </c>
      <c r="H480" s="112">
        <v>1278.335</v>
      </c>
      <c r="I480" s="137">
        <v>11184.547086640043</v>
      </c>
      <c r="J480" s="13"/>
      <c r="K480" s="15"/>
      <c r="L480" s="15"/>
      <c r="M480" s="15"/>
    </row>
    <row r="481" spans="1:13">
      <c r="A481" s="133" t="s">
        <v>50</v>
      </c>
      <c r="B481" s="6" t="s">
        <v>22</v>
      </c>
      <c r="C481" s="334" t="s">
        <v>67</v>
      </c>
      <c r="D481" s="334" t="s">
        <v>951</v>
      </c>
      <c r="E481" s="118" t="s">
        <v>595</v>
      </c>
      <c r="F481" s="103" t="s">
        <v>660</v>
      </c>
      <c r="G481" s="111">
        <v>4453377</v>
      </c>
      <c r="H481" s="112">
        <v>641.32500000000005</v>
      </c>
      <c r="I481" s="137">
        <v>6944.0252602034843</v>
      </c>
      <c r="J481" s="13"/>
      <c r="K481" s="15"/>
      <c r="L481" s="15"/>
      <c r="M481" s="15"/>
    </row>
    <row r="482" spans="1:13">
      <c r="A482" s="133" t="s">
        <v>50</v>
      </c>
      <c r="B482" s="6" t="s">
        <v>22</v>
      </c>
      <c r="C482" s="110" t="s">
        <v>67</v>
      </c>
      <c r="D482" s="334" t="s">
        <v>952</v>
      </c>
      <c r="E482" s="118" t="s">
        <v>596</v>
      </c>
      <c r="F482" s="103" t="s">
        <v>660</v>
      </c>
      <c r="G482" s="111">
        <v>679668</v>
      </c>
      <c r="H482" s="112">
        <v>76.77</v>
      </c>
      <c r="I482" s="137">
        <v>8853.3020711215322</v>
      </c>
      <c r="J482" s="13"/>
      <c r="K482" s="15"/>
      <c r="L482" s="15"/>
      <c r="M482" s="15"/>
    </row>
    <row r="483" spans="1:13">
      <c r="A483" s="130" t="s">
        <v>50</v>
      </c>
      <c r="B483" s="6" t="s">
        <v>22</v>
      </c>
      <c r="C483" s="110" t="s">
        <v>68</v>
      </c>
      <c r="D483" s="103" t="s">
        <v>1176</v>
      </c>
      <c r="E483" s="118" t="s">
        <v>273</v>
      </c>
      <c r="F483" s="333" t="s">
        <v>329</v>
      </c>
      <c r="G483" s="111">
        <v>536884613</v>
      </c>
      <c r="H483" s="112">
        <v>57051.112999999998</v>
      </c>
      <c r="I483" s="137">
        <v>9410.5896409067427</v>
      </c>
      <c r="J483" s="13"/>
      <c r="K483" s="15"/>
      <c r="L483" s="15"/>
      <c r="M483" s="15"/>
    </row>
    <row r="484" spans="1:13">
      <c r="A484" s="133" t="s">
        <v>50</v>
      </c>
      <c r="B484" s="6" t="s">
        <v>22</v>
      </c>
      <c r="C484" s="334" t="s">
        <v>67</v>
      </c>
      <c r="D484" s="334" t="s">
        <v>953</v>
      </c>
      <c r="E484" s="118" t="s">
        <v>597</v>
      </c>
      <c r="F484" s="103" t="s">
        <v>660</v>
      </c>
      <c r="G484" s="111">
        <v>1767959</v>
      </c>
      <c r="H484" s="112">
        <v>234.19</v>
      </c>
      <c r="I484" s="137">
        <v>7549.2506084802935</v>
      </c>
      <c r="J484" s="13"/>
      <c r="K484" s="15"/>
      <c r="L484" s="15"/>
      <c r="M484" s="15"/>
    </row>
    <row r="485" spans="1:13">
      <c r="A485" s="133" t="s">
        <v>50</v>
      </c>
      <c r="B485" s="6" t="s">
        <v>22</v>
      </c>
      <c r="C485" s="110" t="s">
        <v>67</v>
      </c>
      <c r="D485" s="334" t="s">
        <v>954</v>
      </c>
      <c r="E485" s="118" t="s">
        <v>598</v>
      </c>
      <c r="F485" s="103" t="s">
        <v>660</v>
      </c>
      <c r="G485" s="111">
        <v>3560273</v>
      </c>
      <c r="H485" s="112">
        <v>542.96</v>
      </c>
      <c r="I485" s="137">
        <v>6557.1552232208633</v>
      </c>
      <c r="J485" s="13"/>
      <c r="K485" s="15"/>
      <c r="L485" s="15"/>
      <c r="M485" s="15"/>
    </row>
    <row r="486" spans="1:13">
      <c r="A486" s="133" t="s">
        <v>50</v>
      </c>
      <c r="B486" s="6" t="s">
        <v>22</v>
      </c>
      <c r="C486" s="110" t="s">
        <v>67</v>
      </c>
      <c r="D486" s="334" t="s">
        <v>955</v>
      </c>
      <c r="E486" s="118" t="s">
        <v>599</v>
      </c>
      <c r="F486" s="103" t="s">
        <v>660</v>
      </c>
      <c r="G486" s="111">
        <v>1248785</v>
      </c>
      <c r="H486" s="112">
        <v>159.20500000000001</v>
      </c>
      <c r="I486" s="137">
        <v>7843.8805313903449</v>
      </c>
      <c r="J486" s="13"/>
      <c r="K486" s="15"/>
      <c r="L486" s="15"/>
      <c r="M486" s="15"/>
    </row>
    <row r="487" spans="1:13">
      <c r="A487" s="133" t="s">
        <v>50</v>
      </c>
      <c r="B487" s="6" t="s">
        <v>22</v>
      </c>
      <c r="C487" s="110" t="s">
        <v>67</v>
      </c>
      <c r="D487" s="334" t="s">
        <v>956</v>
      </c>
      <c r="E487" s="118" t="s">
        <v>600</v>
      </c>
      <c r="F487" s="103" t="s">
        <v>660</v>
      </c>
      <c r="G487" s="111">
        <v>964687</v>
      </c>
      <c r="H487" s="112">
        <v>137.61500000000001</v>
      </c>
      <c r="I487" s="137">
        <v>7010.0425099008098</v>
      </c>
      <c r="J487" s="13"/>
      <c r="K487" s="15"/>
      <c r="L487" s="15"/>
      <c r="M487" s="15"/>
    </row>
    <row r="488" spans="1:13">
      <c r="A488" s="133" t="s">
        <v>50</v>
      </c>
      <c r="B488" s="6" t="s">
        <v>22</v>
      </c>
      <c r="C488" s="110" t="s">
        <v>67</v>
      </c>
      <c r="D488" s="334" t="s">
        <v>957</v>
      </c>
      <c r="E488" s="118" t="s">
        <v>601</v>
      </c>
      <c r="F488" s="103" t="s">
        <v>660</v>
      </c>
      <c r="G488" s="111">
        <v>1322012</v>
      </c>
      <c r="H488" s="112">
        <v>138.29499999999999</v>
      </c>
      <c r="I488" s="137">
        <v>9559.3622329079153</v>
      </c>
      <c r="J488" s="13"/>
      <c r="K488" s="15"/>
      <c r="L488" s="15"/>
      <c r="M488" s="15"/>
    </row>
    <row r="489" spans="1:13">
      <c r="A489" s="133" t="s">
        <v>50</v>
      </c>
      <c r="B489" s="6" t="s">
        <v>22</v>
      </c>
      <c r="C489" s="110" t="s">
        <v>67</v>
      </c>
      <c r="D489" s="334" t="s">
        <v>958</v>
      </c>
      <c r="E489" s="118" t="s">
        <v>602</v>
      </c>
      <c r="F489" s="103" t="s">
        <v>660</v>
      </c>
      <c r="G489" s="111">
        <v>1251296</v>
      </c>
      <c r="H489" s="112">
        <v>121.68</v>
      </c>
      <c r="I489" s="137">
        <v>10283.497698882315</v>
      </c>
      <c r="J489" s="13"/>
      <c r="K489" s="15"/>
      <c r="L489" s="15"/>
      <c r="M489" s="15"/>
    </row>
    <row r="490" spans="1:13">
      <c r="A490" s="133" t="s">
        <v>50</v>
      </c>
      <c r="B490" s="6" t="s">
        <v>22</v>
      </c>
      <c r="C490" s="110" t="s">
        <v>67</v>
      </c>
      <c r="D490" s="334" t="s">
        <v>959</v>
      </c>
      <c r="E490" s="118" t="s">
        <v>603</v>
      </c>
      <c r="F490" s="103" t="s">
        <v>678</v>
      </c>
      <c r="G490" s="111">
        <v>1288243</v>
      </c>
      <c r="H490" s="112">
        <v>143.02799999999999</v>
      </c>
      <c r="I490" s="137">
        <v>9006.9287132589434</v>
      </c>
      <c r="J490" s="13"/>
      <c r="K490" s="15"/>
      <c r="L490" s="15"/>
      <c r="M490" s="15"/>
    </row>
    <row r="491" spans="1:13">
      <c r="A491" s="130" t="s">
        <v>50</v>
      </c>
      <c r="B491" s="6" t="s">
        <v>22</v>
      </c>
      <c r="C491" s="110" t="s">
        <v>68</v>
      </c>
      <c r="D491" s="103" t="s">
        <v>1177</v>
      </c>
      <c r="E491" s="118" t="s">
        <v>274</v>
      </c>
      <c r="F491" s="334" t="s">
        <v>329</v>
      </c>
      <c r="G491" s="111">
        <v>70142268</v>
      </c>
      <c r="H491" s="112">
        <v>7802.5280000000002</v>
      </c>
      <c r="I491" s="137">
        <v>8989.6848816178554</v>
      </c>
      <c r="J491" s="13"/>
      <c r="K491" s="15"/>
      <c r="L491" s="15"/>
      <c r="M491" s="15"/>
    </row>
    <row r="492" spans="1:13">
      <c r="A492" s="133" t="s">
        <v>50</v>
      </c>
      <c r="B492" s="6" t="s">
        <v>22</v>
      </c>
      <c r="C492" s="110" t="s">
        <v>67</v>
      </c>
      <c r="D492" s="334" t="s">
        <v>960</v>
      </c>
      <c r="E492" s="118" t="s">
        <v>604</v>
      </c>
      <c r="F492" s="103" t="s">
        <v>660</v>
      </c>
      <c r="G492" s="111">
        <v>319450</v>
      </c>
      <c r="H492" s="112">
        <v>44.1</v>
      </c>
      <c r="I492" s="137">
        <v>7243.764172335601</v>
      </c>
      <c r="J492" s="13"/>
      <c r="K492" s="15"/>
      <c r="L492" s="15"/>
      <c r="M492" s="15"/>
    </row>
    <row r="493" spans="1:13">
      <c r="A493" s="133" t="s">
        <v>50</v>
      </c>
      <c r="B493" s="6" t="s">
        <v>22</v>
      </c>
      <c r="C493" s="110" t="s">
        <v>67</v>
      </c>
      <c r="D493" s="334" t="s">
        <v>961</v>
      </c>
      <c r="E493" s="118" t="s">
        <v>605</v>
      </c>
      <c r="F493" s="103" t="s">
        <v>660</v>
      </c>
      <c r="G493" s="111">
        <v>1145201</v>
      </c>
      <c r="H493" s="112">
        <v>63.71</v>
      </c>
      <c r="I493" s="137">
        <v>17975.215821692043</v>
      </c>
      <c r="J493" s="13"/>
      <c r="K493" s="15"/>
      <c r="L493" s="15"/>
      <c r="M493" s="15"/>
    </row>
    <row r="494" spans="1:13">
      <c r="A494" s="134" t="s">
        <v>51</v>
      </c>
      <c r="B494" s="120" t="s">
        <v>23</v>
      </c>
      <c r="C494" s="121" t="s">
        <v>67</v>
      </c>
      <c r="D494" s="121" t="s">
        <v>1240</v>
      </c>
      <c r="E494" s="120" t="s">
        <v>1265</v>
      </c>
      <c r="F494" s="121">
        <v>99</v>
      </c>
      <c r="G494" s="122">
        <v>8877891</v>
      </c>
      <c r="H494" s="123">
        <v>764.91499999999996</v>
      </c>
      <c r="I494" s="138">
        <v>11606.375871828897</v>
      </c>
      <c r="J494" s="13"/>
      <c r="K494" s="15"/>
      <c r="L494" s="15"/>
      <c r="M494" s="15"/>
    </row>
    <row r="495" spans="1:13">
      <c r="A495" s="131" t="s">
        <v>51</v>
      </c>
      <c r="B495" s="113" t="s">
        <v>23</v>
      </c>
      <c r="C495" s="114" t="s">
        <v>68</v>
      </c>
      <c r="D495" s="114" t="s">
        <v>1013</v>
      </c>
      <c r="E495" s="113" t="s">
        <v>1266</v>
      </c>
      <c r="F495" s="115" t="s">
        <v>143</v>
      </c>
      <c r="G495" s="116">
        <v>437783092</v>
      </c>
      <c r="H495" s="117">
        <v>40439.254000000001</v>
      </c>
      <c r="I495" s="136">
        <v>10825.696537329794</v>
      </c>
      <c r="J495" s="13"/>
      <c r="K495" s="15"/>
      <c r="L495" s="15"/>
      <c r="M495" s="15"/>
    </row>
    <row r="496" spans="1:13">
      <c r="A496" s="133" t="s">
        <v>51</v>
      </c>
      <c r="B496" s="6" t="s">
        <v>23</v>
      </c>
      <c r="C496" s="110" t="s">
        <v>67</v>
      </c>
      <c r="D496" s="334" t="s">
        <v>962</v>
      </c>
      <c r="E496" s="118" t="s">
        <v>606</v>
      </c>
      <c r="F496" s="103" t="s">
        <v>660</v>
      </c>
      <c r="G496" s="111">
        <v>472402</v>
      </c>
      <c r="H496" s="112">
        <v>96.674999999999997</v>
      </c>
      <c r="I496" s="137">
        <v>4886.4959917248516</v>
      </c>
      <c r="J496" s="13"/>
      <c r="K496" s="15"/>
      <c r="L496" s="15"/>
      <c r="M496" s="15"/>
    </row>
    <row r="497" spans="1:13">
      <c r="A497" s="133" t="s">
        <v>51</v>
      </c>
      <c r="B497" s="6" t="s">
        <v>23</v>
      </c>
      <c r="C497" s="334" t="s">
        <v>67</v>
      </c>
      <c r="D497" s="334" t="s">
        <v>963</v>
      </c>
      <c r="E497" s="118" t="s">
        <v>607</v>
      </c>
      <c r="F497" s="103" t="s">
        <v>660</v>
      </c>
      <c r="G497" s="111">
        <v>708464</v>
      </c>
      <c r="H497" s="112">
        <v>58.12</v>
      </c>
      <c r="I497" s="137">
        <v>12189.676531314522</v>
      </c>
      <c r="J497" s="13"/>
      <c r="K497" s="15"/>
      <c r="L497" s="15"/>
      <c r="M497" s="15"/>
    </row>
    <row r="498" spans="1:13">
      <c r="A498" s="130" t="s">
        <v>51</v>
      </c>
      <c r="B498" s="6" t="s">
        <v>23</v>
      </c>
      <c r="C498" s="110" t="s">
        <v>68</v>
      </c>
      <c r="D498" s="103" t="s">
        <v>1178</v>
      </c>
      <c r="E498" s="6" t="s">
        <v>275</v>
      </c>
      <c r="F498" s="334" t="s">
        <v>329</v>
      </c>
      <c r="G498" s="111">
        <v>52319952</v>
      </c>
      <c r="H498" s="112">
        <v>5777.1379999999999</v>
      </c>
      <c r="I498" s="137">
        <v>9056.3791275195435</v>
      </c>
      <c r="J498" s="13"/>
      <c r="K498" s="15"/>
      <c r="L498" s="15"/>
      <c r="M498" s="15"/>
    </row>
    <row r="499" spans="1:13">
      <c r="A499" s="133" t="s">
        <v>51</v>
      </c>
      <c r="B499" s="6" t="s">
        <v>23</v>
      </c>
      <c r="C499" s="110" t="s">
        <v>67</v>
      </c>
      <c r="D499" s="334" t="s">
        <v>964</v>
      </c>
      <c r="E499" s="118" t="s">
        <v>608</v>
      </c>
      <c r="F499" s="103" t="s">
        <v>660</v>
      </c>
      <c r="G499" s="111">
        <v>1287881</v>
      </c>
      <c r="H499" s="112">
        <v>169.26</v>
      </c>
      <c r="I499" s="137">
        <v>7608.8916459884204</v>
      </c>
      <c r="J499" s="13"/>
      <c r="K499" s="15"/>
      <c r="L499" s="15"/>
      <c r="M499" s="15"/>
    </row>
    <row r="500" spans="1:13">
      <c r="A500" s="133" t="s">
        <v>51</v>
      </c>
      <c r="B500" s="6" t="s">
        <v>23</v>
      </c>
      <c r="C500" s="110" t="s">
        <v>67</v>
      </c>
      <c r="D500" s="334" t="s">
        <v>965</v>
      </c>
      <c r="E500" s="118" t="s">
        <v>609</v>
      </c>
      <c r="F500" s="103" t="s">
        <v>660</v>
      </c>
      <c r="G500" s="111">
        <v>2710620</v>
      </c>
      <c r="H500" s="112">
        <v>151.65</v>
      </c>
      <c r="I500" s="137">
        <v>17874.183976261127</v>
      </c>
      <c r="J500" s="13"/>
      <c r="K500" s="15"/>
      <c r="L500" s="15"/>
      <c r="M500" s="15"/>
    </row>
    <row r="501" spans="1:13">
      <c r="A501" s="130" t="s">
        <v>51</v>
      </c>
      <c r="B501" s="6" t="s">
        <v>23</v>
      </c>
      <c r="C501" s="110" t="s">
        <v>68</v>
      </c>
      <c r="D501" s="103" t="s">
        <v>1179</v>
      </c>
      <c r="E501" s="6" t="s">
        <v>276</v>
      </c>
      <c r="F501" s="334" t="s">
        <v>69</v>
      </c>
      <c r="G501" s="111">
        <v>76038416</v>
      </c>
      <c r="H501" s="112">
        <v>6624.9449999999997</v>
      </c>
      <c r="I501" s="137">
        <v>11477.592040386751</v>
      </c>
      <c r="J501" s="13"/>
      <c r="K501" s="15"/>
      <c r="L501" s="15"/>
      <c r="M501" s="15"/>
    </row>
    <row r="502" spans="1:13">
      <c r="A502" s="130" t="s">
        <v>51</v>
      </c>
      <c r="B502" s="6" t="s">
        <v>23</v>
      </c>
      <c r="C502" s="110" t="s">
        <v>68</v>
      </c>
      <c r="D502" s="103" t="s">
        <v>1180</v>
      </c>
      <c r="E502" s="6" t="s">
        <v>276</v>
      </c>
      <c r="F502" s="334" t="s">
        <v>71</v>
      </c>
      <c r="G502" s="111">
        <v>51512599</v>
      </c>
      <c r="H502" s="112">
        <v>3335.2849999999999</v>
      </c>
      <c r="I502" s="137">
        <v>15444.736806599736</v>
      </c>
      <c r="J502" s="13"/>
      <c r="K502" s="15"/>
      <c r="L502" s="15"/>
      <c r="M502" s="15"/>
    </row>
    <row r="503" spans="1:13">
      <c r="A503" s="130" t="s">
        <v>51</v>
      </c>
      <c r="B503" s="6" t="s">
        <v>23</v>
      </c>
      <c r="C503" s="334" t="s">
        <v>68</v>
      </c>
      <c r="D503" s="103" t="s">
        <v>1181</v>
      </c>
      <c r="E503" s="6" t="s">
        <v>277</v>
      </c>
      <c r="F503" s="334" t="s">
        <v>132</v>
      </c>
      <c r="G503" s="111">
        <v>4280858</v>
      </c>
      <c r="H503" s="112">
        <v>674.77</v>
      </c>
      <c r="I503" s="137">
        <v>6344.173570253568</v>
      </c>
      <c r="J503" s="13"/>
      <c r="K503" s="15"/>
      <c r="L503" s="15"/>
      <c r="M503" s="15"/>
    </row>
    <row r="504" spans="1:13">
      <c r="A504" s="130" t="s">
        <v>51</v>
      </c>
      <c r="B504" s="6" t="s">
        <v>23</v>
      </c>
      <c r="C504" s="333" t="s">
        <v>68</v>
      </c>
      <c r="D504" s="103" t="s">
        <v>1182</v>
      </c>
      <c r="E504" s="6" t="s">
        <v>278</v>
      </c>
      <c r="F504" s="334" t="s">
        <v>132</v>
      </c>
      <c r="G504" s="111">
        <v>618277</v>
      </c>
      <c r="H504" s="112">
        <v>108.15300000000001</v>
      </c>
      <c r="I504" s="137">
        <v>5716.6883951439158</v>
      </c>
      <c r="J504" s="13"/>
      <c r="K504" s="15"/>
      <c r="L504" s="15"/>
      <c r="M504" s="15"/>
    </row>
    <row r="505" spans="1:13">
      <c r="A505" s="130" t="s">
        <v>51</v>
      </c>
      <c r="B505" s="6" t="s">
        <v>23</v>
      </c>
      <c r="C505" s="110" t="s">
        <v>68</v>
      </c>
      <c r="D505" s="103" t="s">
        <v>1183</v>
      </c>
      <c r="E505" s="6" t="s">
        <v>280</v>
      </c>
      <c r="F505" s="334" t="s">
        <v>329</v>
      </c>
      <c r="G505" s="111">
        <v>44693623</v>
      </c>
      <c r="H505" s="112">
        <v>4389.1099999999997</v>
      </c>
      <c r="I505" s="137">
        <v>10182.844130131167</v>
      </c>
      <c r="J505" s="13"/>
      <c r="K505" s="15"/>
      <c r="L505" s="15"/>
      <c r="M505" s="15"/>
    </row>
    <row r="506" spans="1:13">
      <c r="A506" s="130" t="s">
        <v>51</v>
      </c>
      <c r="B506" s="6" t="s">
        <v>23</v>
      </c>
      <c r="C506" s="110" t="s">
        <v>68</v>
      </c>
      <c r="D506" s="103" t="s">
        <v>1184</v>
      </c>
      <c r="E506" s="6" t="s">
        <v>281</v>
      </c>
      <c r="F506" s="334" t="s">
        <v>69</v>
      </c>
      <c r="G506" s="111">
        <v>9473917</v>
      </c>
      <c r="H506" s="112">
        <v>1141.9749999999999</v>
      </c>
      <c r="I506" s="137">
        <v>8296.0809124543011</v>
      </c>
      <c r="J506" s="13"/>
      <c r="K506" s="15"/>
      <c r="L506" s="15"/>
      <c r="M506" s="15"/>
    </row>
    <row r="507" spans="1:13">
      <c r="A507" s="130" t="s">
        <v>51</v>
      </c>
      <c r="B507" s="6" t="s">
        <v>23</v>
      </c>
      <c r="C507" s="110" t="s">
        <v>68</v>
      </c>
      <c r="D507" s="103" t="s">
        <v>1185</v>
      </c>
      <c r="E507" s="6" t="s">
        <v>282</v>
      </c>
      <c r="F507" s="334" t="s">
        <v>329</v>
      </c>
      <c r="G507" s="111">
        <v>50872966</v>
      </c>
      <c r="H507" s="112">
        <v>5918.2749999999996</v>
      </c>
      <c r="I507" s="137">
        <v>8595.9111396479548</v>
      </c>
      <c r="J507" s="13"/>
      <c r="K507" s="15"/>
      <c r="L507" s="15"/>
      <c r="M507" s="15"/>
    </row>
    <row r="508" spans="1:13">
      <c r="A508" s="133" t="s">
        <v>51</v>
      </c>
      <c r="B508" s="6" t="s">
        <v>23</v>
      </c>
      <c r="C508" s="110" t="s">
        <v>67</v>
      </c>
      <c r="D508" s="334" t="s">
        <v>967</v>
      </c>
      <c r="E508" s="118" t="s">
        <v>653</v>
      </c>
      <c r="F508" s="103" t="s">
        <v>660</v>
      </c>
      <c r="G508" s="111">
        <v>1394137</v>
      </c>
      <c r="H508" s="112">
        <v>89.54</v>
      </c>
      <c r="I508" s="137">
        <v>15569.991065445609</v>
      </c>
      <c r="J508" s="13"/>
      <c r="K508" s="15"/>
      <c r="L508" s="15"/>
      <c r="M508" s="15"/>
    </row>
    <row r="509" spans="1:13">
      <c r="A509" s="130" t="s">
        <v>51</v>
      </c>
      <c r="B509" s="6" t="s">
        <v>23</v>
      </c>
      <c r="C509" s="110" t="s">
        <v>68</v>
      </c>
      <c r="D509" s="103" t="s">
        <v>1186</v>
      </c>
      <c r="E509" s="6" t="s">
        <v>283</v>
      </c>
      <c r="F509" s="334" t="s">
        <v>69</v>
      </c>
      <c r="G509" s="111">
        <v>39410784</v>
      </c>
      <c r="H509" s="112">
        <v>2314.7449999999999</v>
      </c>
      <c r="I509" s="137">
        <v>17025.972191321292</v>
      </c>
      <c r="J509" s="13"/>
      <c r="K509" s="15"/>
      <c r="L509" s="15"/>
      <c r="M509" s="15"/>
    </row>
    <row r="510" spans="1:13">
      <c r="A510" s="130" t="s">
        <v>51</v>
      </c>
      <c r="B510" s="6" t="s">
        <v>23</v>
      </c>
      <c r="C510" s="110" t="s">
        <v>68</v>
      </c>
      <c r="D510" s="103" t="s">
        <v>1187</v>
      </c>
      <c r="E510" s="6" t="s">
        <v>284</v>
      </c>
      <c r="F510" s="334" t="s">
        <v>329</v>
      </c>
      <c r="G510" s="111">
        <v>11079149</v>
      </c>
      <c r="H510" s="112">
        <v>1180.2049999999999</v>
      </c>
      <c r="I510" s="137">
        <v>9387.4784465410685</v>
      </c>
      <c r="J510" s="13"/>
      <c r="K510" s="15"/>
      <c r="L510" s="15"/>
      <c r="M510" s="15"/>
    </row>
    <row r="511" spans="1:13">
      <c r="A511" s="130" t="s">
        <v>51</v>
      </c>
      <c r="B511" s="6" t="s">
        <v>23</v>
      </c>
      <c r="C511" s="334" t="s">
        <v>68</v>
      </c>
      <c r="D511" s="103" t="s">
        <v>1188</v>
      </c>
      <c r="E511" s="6" t="s">
        <v>19</v>
      </c>
      <c r="F511" s="334" t="s">
        <v>329</v>
      </c>
      <c r="G511" s="111">
        <v>41340367</v>
      </c>
      <c r="H511" s="112">
        <v>4125.2129999999997</v>
      </c>
      <c r="I511" s="137">
        <v>10021.38968339332</v>
      </c>
      <c r="J511" s="13"/>
      <c r="K511" s="15"/>
      <c r="L511" s="15"/>
      <c r="M511" s="15"/>
    </row>
    <row r="512" spans="1:13">
      <c r="A512" s="130" t="s">
        <v>51</v>
      </c>
      <c r="B512" s="6" t="s">
        <v>23</v>
      </c>
      <c r="C512" s="110" t="s">
        <v>68</v>
      </c>
      <c r="D512" s="103" t="s">
        <v>1189</v>
      </c>
      <c r="E512" s="6" t="s">
        <v>279</v>
      </c>
      <c r="F512" s="334" t="s">
        <v>65</v>
      </c>
      <c r="G512" s="111">
        <v>5127750</v>
      </c>
      <c r="H512" s="112">
        <v>206.185</v>
      </c>
      <c r="I512" s="137">
        <v>24869.655891553703</v>
      </c>
      <c r="J512" s="13"/>
      <c r="K512" s="15"/>
      <c r="L512" s="15"/>
      <c r="M512" s="15"/>
    </row>
    <row r="513" spans="1:13">
      <c r="A513" s="130" t="s">
        <v>51</v>
      </c>
      <c r="B513" s="6" t="s">
        <v>23</v>
      </c>
      <c r="C513" s="334" t="s">
        <v>68</v>
      </c>
      <c r="D513" s="103" t="s">
        <v>1190</v>
      </c>
      <c r="E513" s="6" t="s">
        <v>285</v>
      </c>
      <c r="F513" s="334" t="s">
        <v>69</v>
      </c>
      <c r="G513" s="111">
        <v>5605343</v>
      </c>
      <c r="H513" s="112">
        <v>385.01499999999999</v>
      </c>
      <c r="I513" s="137">
        <v>14558.765242912614</v>
      </c>
      <c r="J513" s="13"/>
      <c r="K513" s="15"/>
      <c r="L513" s="15"/>
      <c r="M513" s="15"/>
    </row>
    <row r="514" spans="1:13">
      <c r="A514" s="130" t="s">
        <v>51</v>
      </c>
      <c r="B514" s="6" t="s">
        <v>23</v>
      </c>
      <c r="C514" s="110" t="s">
        <v>68</v>
      </c>
      <c r="D514" s="103" t="s">
        <v>1191</v>
      </c>
      <c r="E514" s="6" t="s">
        <v>286</v>
      </c>
      <c r="F514" s="334" t="s">
        <v>69</v>
      </c>
      <c r="G514" s="111">
        <v>2101421</v>
      </c>
      <c r="H514" s="112">
        <v>214.49</v>
      </c>
      <c r="I514" s="137">
        <v>9797.2912490092767</v>
      </c>
      <c r="J514" s="13"/>
      <c r="K514" s="15"/>
      <c r="L514" s="15"/>
      <c r="M514" s="15"/>
    </row>
    <row r="515" spans="1:13">
      <c r="A515" s="133" t="s">
        <v>51</v>
      </c>
      <c r="B515" s="6" t="s">
        <v>23</v>
      </c>
      <c r="C515" s="110" t="s">
        <v>67</v>
      </c>
      <c r="D515" s="334" t="s">
        <v>966</v>
      </c>
      <c r="E515" s="118" t="s">
        <v>652</v>
      </c>
      <c r="F515" s="103" t="s">
        <v>660</v>
      </c>
      <c r="G515" s="111">
        <v>917015</v>
      </c>
      <c r="H515" s="112">
        <v>133.94999999999999</v>
      </c>
      <c r="I515" s="137">
        <v>6845.94998133632</v>
      </c>
      <c r="J515" s="13"/>
      <c r="K515" s="15"/>
      <c r="L515" s="15"/>
      <c r="M515" s="15"/>
    </row>
    <row r="516" spans="1:13">
      <c r="A516" s="130" t="s">
        <v>51</v>
      </c>
      <c r="B516" s="6" t="s">
        <v>23</v>
      </c>
      <c r="C516" s="334" t="s">
        <v>68</v>
      </c>
      <c r="D516" s="103" t="s">
        <v>1192</v>
      </c>
      <c r="E516" s="6" t="s">
        <v>287</v>
      </c>
      <c r="F516" s="334" t="s">
        <v>329</v>
      </c>
      <c r="G516" s="111">
        <v>5874367</v>
      </c>
      <c r="H516" s="112">
        <v>593.25</v>
      </c>
      <c r="I516" s="137">
        <v>9902.0092709650235</v>
      </c>
      <c r="J516" s="13"/>
      <c r="K516" s="15"/>
      <c r="L516" s="15"/>
      <c r="M516" s="15"/>
    </row>
    <row r="517" spans="1:13">
      <c r="A517" s="130" t="s">
        <v>51</v>
      </c>
      <c r="B517" s="6" t="s">
        <v>23</v>
      </c>
      <c r="C517" s="110" t="s">
        <v>68</v>
      </c>
      <c r="D517" s="103" t="s">
        <v>1193</v>
      </c>
      <c r="E517" s="6" t="s">
        <v>288</v>
      </c>
      <c r="F517" s="334" t="s">
        <v>69</v>
      </c>
      <c r="G517" s="111">
        <v>2741951</v>
      </c>
      <c r="H517" s="112">
        <v>96.15</v>
      </c>
      <c r="I517" s="137">
        <v>28517.431097243887</v>
      </c>
      <c r="J517" s="13"/>
      <c r="K517" s="15"/>
      <c r="L517" s="15"/>
      <c r="M517" s="15"/>
    </row>
    <row r="518" spans="1:13">
      <c r="A518" s="130" t="s">
        <v>51</v>
      </c>
      <c r="B518" s="6" t="s">
        <v>23</v>
      </c>
      <c r="C518" s="110" t="s">
        <v>68</v>
      </c>
      <c r="D518" s="103" t="s">
        <v>1194</v>
      </c>
      <c r="E518" s="6" t="s">
        <v>289</v>
      </c>
      <c r="F518" s="110" t="s">
        <v>69</v>
      </c>
      <c r="G518" s="111">
        <v>8770706</v>
      </c>
      <c r="H518" s="112">
        <v>415.52499999999998</v>
      </c>
      <c r="I518" s="137">
        <v>21107.529029540943</v>
      </c>
      <c r="J518" s="13"/>
      <c r="K518" s="15"/>
      <c r="L518" s="15"/>
      <c r="M518" s="15"/>
    </row>
    <row r="519" spans="1:13">
      <c r="A519" s="130" t="s">
        <v>51</v>
      </c>
      <c r="B519" s="6" t="s">
        <v>23</v>
      </c>
      <c r="C519" s="110" t="s">
        <v>68</v>
      </c>
      <c r="D519" s="103" t="s">
        <v>1195</v>
      </c>
      <c r="E519" s="6" t="s">
        <v>290</v>
      </c>
      <c r="F519" s="334" t="s">
        <v>71</v>
      </c>
      <c r="G519" s="111">
        <v>5040901</v>
      </c>
      <c r="H519" s="112">
        <v>496.69</v>
      </c>
      <c r="I519" s="137">
        <v>10148.988302562966</v>
      </c>
      <c r="J519" s="13"/>
      <c r="K519" s="15"/>
      <c r="L519" s="15"/>
      <c r="M519" s="15"/>
    </row>
    <row r="520" spans="1:13">
      <c r="A520" s="130" t="s">
        <v>51</v>
      </c>
      <c r="B520" s="6" t="s">
        <v>23</v>
      </c>
      <c r="C520" s="110" t="s">
        <v>68</v>
      </c>
      <c r="D520" s="103" t="s">
        <v>1196</v>
      </c>
      <c r="E520" s="6" t="s">
        <v>291</v>
      </c>
      <c r="F520" s="334" t="s">
        <v>69</v>
      </c>
      <c r="G520" s="111">
        <v>6360835</v>
      </c>
      <c r="H520" s="112">
        <v>687.22500000000002</v>
      </c>
      <c r="I520" s="137">
        <v>9255.8259667503353</v>
      </c>
      <c r="J520" s="13"/>
      <c r="K520" s="15"/>
      <c r="L520" s="15"/>
      <c r="M520" s="15"/>
    </row>
    <row r="521" spans="1:13">
      <c r="A521" s="130" t="s">
        <v>51</v>
      </c>
      <c r="B521" s="6" t="s">
        <v>23</v>
      </c>
      <c r="C521" s="110" t="s">
        <v>68</v>
      </c>
      <c r="D521" s="103" t="s">
        <v>1197</v>
      </c>
      <c r="E521" s="6" t="s">
        <v>292</v>
      </c>
      <c r="F521" s="334" t="s">
        <v>329</v>
      </c>
      <c r="G521" s="111">
        <v>5210855</v>
      </c>
      <c r="H521" s="112">
        <v>483.315</v>
      </c>
      <c r="I521" s="137">
        <v>10781.488263347921</v>
      </c>
      <c r="J521" s="13"/>
      <c r="K521" s="15"/>
      <c r="L521" s="15"/>
      <c r="M521" s="15"/>
    </row>
    <row r="522" spans="1:13">
      <c r="A522" s="130" t="s">
        <v>51</v>
      </c>
      <c r="B522" s="6" t="s">
        <v>23</v>
      </c>
      <c r="C522" s="110" t="s">
        <v>68</v>
      </c>
      <c r="D522" s="103" t="s">
        <v>1198</v>
      </c>
      <c r="E522" s="6" t="s">
        <v>293</v>
      </c>
      <c r="F522" s="334" t="s">
        <v>69</v>
      </c>
      <c r="G522" s="111">
        <v>9308055</v>
      </c>
      <c r="H522" s="112">
        <v>1271.595</v>
      </c>
      <c r="I522" s="137">
        <v>7319.9839571561697</v>
      </c>
      <c r="J522" s="13"/>
      <c r="K522" s="15"/>
      <c r="L522" s="15"/>
      <c r="M522" s="15"/>
    </row>
    <row r="523" spans="1:13">
      <c r="A523" s="133" t="s">
        <v>51</v>
      </c>
      <c r="B523" s="6" t="s">
        <v>23</v>
      </c>
      <c r="C523" s="110" t="s">
        <v>67</v>
      </c>
      <c r="D523" s="334" t="s">
        <v>968</v>
      </c>
      <c r="E523" s="118" t="s">
        <v>610</v>
      </c>
      <c r="F523" s="103" t="s">
        <v>660</v>
      </c>
      <c r="G523" s="111">
        <v>1387372</v>
      </c>
      <c r="H523" s="112">
        <v>65.72</v>
      </c>
      <c r="I523" s="137">
        <v>21110.346926354232</v>
      </c>
      <c r="J523" s="13"/>
      <c r="K523" s="15"/>
      <c r="L523" s="15"/>
      <c r="M523" s="15"/>
    </row>
    <row r="524" spans="1:13">
      <c r="A524" s="134" t="s">
        <v>52</v>
      </c>
      <c r="B524" s="120" t="s">
        <v>24</v>
      </c>
      <c r="C524" s="121" t="s">
        <v>67</v>
      </c>
      <c r="D524" s="121" t="s">
        <v>1240</v>
      </c>
      <c r="E524" s="120" t="s">
        <v>1265</v>
      </c>
      <c r="F524" s="121">
        <v>99</v>
      </c>
      <c r="G524" s="122">
        <v>2440469</v>
      </c>
      <c r="H524" s="123">
        <v>271.62</v>
      </c>
      <c r="I524" s="138">
        <v>8984.8648847654804</v>
      </c>
      <c r="J524" s="13"/>
      <c r="K524" s="15"/>
      <c r="L524" s="15"/>
      <c r="M524" s="15"/>
    </row>
    <row r="525" spans="1:13">
      <c r="A525" s="131" t="s">
        <v>52</v>
      </c>
      <c r="B525" s="113" t="s">
        <v>24</v>
      </c>
      <c r="C525" s="114" t="s">
        <v>68</v>
      </c>
      <c r="D525" s="114" t="s">
        <v>1013</v>
      </c>
      <c r="E525" s="113" t="s">
        <v>1266</v>
      </c>
      <c r="F525" s="115" t="s">
        <v>143</v>
      </c>
      <c r="G525" s="116">
        <v>89180580</v>
      </c>
      <c r="H525" s="117">
        <v>9976.525999999998</v>
      </c>
      <c r="I525" s="136">
        <v>8939.0415060312589</v>
      </c>
      <c r="J525" s="13"/>
      <c r="K525" s="15"/>
      <c r="L525" s="15"/>
      <c r="M525" s="15"/>
    </row>
    <row r="526" spans="1:13">
      <c r="A526" s="133" t="s">
        <v>52</v>
      </c>
      <c r="B526" s="6" t="s">
        <v>24</v>
      </c>
      <c r="C526" s="110" t="s">
        <v>67</v>
      </c>
      <c r="D526" s="334" t="s">
        <v>969</v>
      </c>
      <c r="E526" s="118" t="s">
        <v>654</v>
      </c>
      <c r="F526" s="103" t="s">
        <v>660</v>
      </c>
      <c r="G526" s="111">
        <v>1052240</v>
      </c>
      <c r="H526" s="112">
        <v>110.41500000000001</v>
      </c>
      <c r="I526" s="137">
        <v>9529.8646017298361</v>
      </c>
      <c r="J526" s="13"/>
      <c r="K526" s="15"/>
      <c r="L526" s="15"/>
      <c r="M526" s="15"/>
    </row>
    <row r="527" spans="1:13">
      <c r="A527" s="130" t="s">
        <v>52</v>
      </c>
      <c r="B527" s="6" t="s">
        <v>24</v>
      </c>
      <c r="C527" s="334" t="s">
        <v>68</v>
      </c>
      <c r="D527" s="103" t="s">
        <v>1199</v>
      </c>
      <c r="E527" s="6" t="s">
        <v>294</v>
      </c>
      <c r="F527" s="334" t="s">
        <v>329</v>
      </c>
      <c r="G527" s="111">
        <v>53438681</v>
      </c>
      <c r="H527" s="112">
        <v>6009.415</v>
      </c>
      <c r="I527" s="137">
        <v>8892.4930296875827</v>
      </c>
      <c r="J527" s="13"/>
      <c r="K527" s="15"/>
      <c r="L527" s="15"/>
      <c r="M527" s="15"/>
    </row>
    <row r="528" spans="1:13">
      <c r="A528" s="130" t="s">
        <v>52</v>
      </c>
      <c r="B528" s="6" t="s">
        <v>24</v>
      </c>
      <c r="C528" s="334" t="s">
        <v>68</v>
      </c>
      <c r="D528" s="103" t="s">
        <v>1200</v>
      </c>
      <c r="E528" s="6" t="s">
        <v>295</v>
      </c>
      <c r="F528" s="334" t="s">
        <v>69</v>
      </c>
      <c r="G528" s="111">
        <v>1227116</v>
      </c>
      <c r="H528" s="112">
        <v>82.597999999999999</v>
      </c>
      <c r="I528" s="137">
        <v>14856.48562919199</v>
      </c>
      <c r="J528" s="13"/>
      <c r="K528" s="15"/>
      <c r="L528" s="15"/>
      <c r="M528" s="15"/>
    </row>
    <row r="529" spans="1:13">
      <c r="A529" s="130" t="s">
        <v>52</v>
      </c>
      <c r="B529" s="6" t="s">
        <v>24</v>
      </c>
      <c r="C529" s="334" t="s">
        <v>68</v>
      </c>
      <c r="D529" s="103" t="s">
        <v>1201</v>
      </c>
      <c r="E529" s="6" t="s">
        <v>295</v>
      </c>
      <c r="F529" s="334" t="s">
        <v>71</v>
      </c>
      <c r="G529" s="111">
        <v>1712898</v>
      </c>
      <c r="H529" s="112">
        <v>84.4</v>
      </c>
      <c r="I529" s="137">
        <v>20295</v>
      </c>
      <c r="J529" s="13"/>
      <c r="K529" s="15"/>
      <c r="L529" s="15"/>
      <c r="M529" s="15"/>
    </row>
    <row r="530" spans="1:13">
      <c r="A530" s="133" t="s">
        <v>52</v>
      </c>
      <c r="B530" s="6" t="s">
        <v>24</v>
      </c>
      <c r="C530" s="110" t="s">
        <v>67</v>
      </c>
      <c r="D530" s="334" t="s">
        <v>970</v>
      </c>
      <c r="E530" s="118" t="s">
        <v>655</v>
      </c>
      <c r="F530" s="103" t="s">
        <v>660</v>
      </c>
      <c r="G530" s="111">
        <v>198104</v>
      </c>
      <c r="H530" s="112">
        <v>21.045000000000002</v>
      </c>
      <c r="I530" s="137">
        <v>9413.3523402233295</v>
      </c>
      <c r="J530" s="13"/>
      <c r="K530" s="15"/>
      <c r="L530" s="15"/>
      <c r="M530" s="15"/>
    </row>
    <row r="531" spans="1:13">
      <c r="A531" s="133" t="s">
        <v>52</v>
      </c>
      <c r="B531" s="6" t="s">
        <v>24</v>
      </c>
      <c r="C531" s="334" t="s">
        <v>67</v>
      </c>
      <c r="D531" s="334" t="s">
        <v>971</v>
      </c>
      <c r="E531" s="118" t="s">
        <v>656</v>
      </c>
      <c r="F531" s="103" t="s">
        <v>660</v>
      </c>
      <c r="G531" s="111">
        <v>639586</v>
      </c>
      <c r="H531" s="112">
        <v>89.33</v>
      </c>
      <c r="I531" s="137">
        <v>7159.8119332810929</v>
      </c>
      <c r="J531" s="13"/>
      <c r="K531" s="15"/>
      <c r="L531" s="15"/>
      <c r="M531" s="15"/>
    </row>
    <row r="532" spans="1:13">
      <c r="A532" s="130" t="s">
        <v>52</v>
      </c>
      <c r="B532" s="6" t="s">
        <v>24</v>
      </c>
      <c r="C532" s="110" t="s">
        <v>68</v>
      </c>
      <c r="D532" s="103" t="s">
        <v>1203</v>
      </c>
      <c r="E532" s="6" t="s">
        <v>24</v>
      </c>
      <c r="F532" s="334" t="s">
        <v>69</v>
      </c>
      <c r="G532" s="111">
        <v>2024778</v>
      </c>
      <c r="H532" s="112">
        <v>164.73500000000001</v>
      </c>
      <c r="I532" s="137">
        <v>12291.122105199258</v>
      </c>
      <c r="J532" s="13"/>
      <c r="K532" s="15"/>
      <c r="L532" s="15"/>
      <c r="M532" s="15"/>
    </row>
    <row r="533" spans="1:13">
      <c r="A533" s="130" t="s">
        <v>52</v>
      </c>
      <c r="B533" s="6" t="s">
        <v>24</v>
      </c>
      <c r="C533" s="333" t="s">
        <v>68</v>
      </c>
      <c r="D533" s="103" t="s">
        <v>1202</v>
      </c>
      <c r="E533" s="6" t="s">
        <v>11</v>
      </c>
      <c r="F533" s="334" t="s">
        <v>133</v>
      </c>
      <c r="G533" s="111">
        <v>2178214</v>
      </c>
      <c r="H533" s="112">
        <v>32.380000000000003</v>
      </c>
      <c r="I533" s="137">
        <v>67270.352069178494</v>
      </c>
      <c r="J533" s="13"/>
      <c r="K533" s="15"/>
      <c r="L533" s="15"/>
      <c r="M533" s="15"/>
    </row>
    <row r="534" spans="1:13">
      <c r="A534" s="130" t="s">
        <v>52</v>
      </c>
      <c r="B534" s="6" t="s">
        <v>24</v>
      </c>
      <c r="C534" s="333" t="s">
        <v>68</v>
      </c>
      <c r="D534" s="103" t="s">
        <v>1204</v>
      </c>
      <c r="E534" s="6" t="s">
        <v>290</v>
      </c>
      <c r="F534" s="333" t="s">
        <v>329</v>
      </c>
      <c r="G534" s="111">
        <v>26114309</v>
      </c>
      <c r="H534" s="112">
        <v>3472.3029999999999</v>
      </c>
      <c r="I534" s="137">
        <v>7520.7460293643735</v>
      </c>
      <c r="J534" s="13"/>
      <c r="K534" s="15"/>
      <c r="L534" s="15"/>
      <c r="M534" s="15"/>
    </row>
    <row r="535" spans="1:13">
      <c r="A535" s="133" t="s">
        <v>52</v>
      </c>
      <c r="B535" s="6" t="s">
        <v>24</v>
      </c>
      <c r="C535" s="334" t="s">
        <v>67</v>
      </c>
      <c r="D535" s="334" t="s">
        <v>972</v>
      </c>
      <c r="E535" s="118" t="s">
        <v>657</v>
      </c>
      <c r="F535" s="103" t="s">
        <v>660</v>
      </c>
      <c r="G535" s="111">
        <v>550539</v>
      </c>
      <c r="H535" s="112">
        <v>50.83</v>
      </c>
      <c r="I535" s="137">
        <v>10830.985638402519</v>
      </c>
      <c r="J535" s="13"/>
      <c r="K535" s="15"/>
      <c r="L535" s="15"/>
      <c r="M535" s="15"/>
    </row>
    <row r="536" spans="1:13">
      <c r="A536" s="130" t="s">
        <v>52</v>
      </c>
      <c r="B536" s="6" t="s">
        <v>24</v>
      </c>
      <c r="C536" s="110" t="s">
        <v>68</v>
      </c>
      <c r="D536" s="103" t="s">
        <v>1205</v>
      </c>
      <c r="E536" s="6" t="s">
        <v>296</v>
      </c>
      <c r="F536" s="334" t="s">
        <v>69</v>
      </c>
      <c r="G536" s="111">
        <v>2484584</v>
      </c>
      <c r="H536" s="112">
        <v>130.69499999999999</v>
      </c>
      <c r="I536" s="137">
        <v>19010.551283522705</v>
      </c>
      <c r="J536" s="13"/>
      <c r="K536" s="15"/>
      <c r="L536" s="15"/>
      <c r="M536" s="15"/>
    </row>
    <row r="537" spans="1:13">
      <c r="A537" s="134" t="s">
        <v>53</v>
      </c>
      <c r="B537" s="120" t="s">
        <v>25</v>
      </c>
      <c r="C537" s="121" t="s">
        <v>67</v>
      </c>
      <c r="D537" s="121" t="s">
        <v>1240</v>
      </c>
      <c r="E537" s="120" t="s">
        <v>1265</v>
      </c>
      <c r="F537" s="121">
        <v>99</v>
      </c>
      <c r="G537" s="122">
        <v>23848607</v>
      </c>
      <c r="H537" s="123">
        <v>2952.2629999999995</v>
      </c>
      <c r="I537" s="138">
        <v>8078.076716064932</v>
      </c>
      <c r="J537" s="13"/>
      <c r="K537" s="15"/>
      <c r="L537" s="15"/>
      <c r="M537" s="15"/>
    </row>
    <row r="538" spans="1:13">
      <c r="A538" s="131" t="s">
        <v>53</v>
      </c>
      <c r="B538" s="113" t="s">
        <v>25</v>
      </c>
      <c r="C538" s="114" t="s">
        <v>68</v>
      </c>
      <c r="D538" s="114" t="s">
        <v>1013</v>
      </c>
      <c r="E538" s="113" t="s">
        <v>1266</v>
      </c>
      <c r="F538" s="115" t="s">
        <v>143</v>
      </c>
      <c r="G538" s="116">
        <v>192793187</v>
      </c>
      <c r="H538" s="117">
        <v>23707.497000000003</v>
      </c>
      <c r="I538" s="136">
        <v>8132.1611893486679</v>
      </c>
      <c r="J538" s="13"/>
      <c r="K538" s="15"/>
      <c r="L538" s="15"/>
      <c r="M538" s="15"/>
    </row>
    <row r="539" spans="1:13">
      <c r="A539" s="133" t="s">
        <v>53</v>
      </c>
      <c r="B539" s="6" t="s">
        <v>25</v>
      </c>
      <c r="C539" s="110" t="s">
        <v>67</v>
      </c>
      <c r="D539" s="334" t="s">
        <v>974</v>
      </c>
      <c r="E539" s="118" t="s">
        <v>612</v>
      </c>
      <c r="F539" s="103" t="s">
        <v>660</v>
      </c>
      <c r="G539" s="111">
        <v>491098</v>
      </c>
      <c r="H539" s="112">
        <v>54.73</v>
      </c>
      <c r="I539" s="137">
        <v>8973.104330348986</v>
      </c>
      <c r="J539" s="13"/>
      <c r="K539" s="15"/>
      <c r="L539" s="15"/>
      <c r="M539" s="15"/>
    </row>
    <row r="540" spans="1:13">
      <c r="A540" s="133" t="s">
        <v>53</v>
      </c>
      <c r="B540" s="6" t="s">
        <v>25</v>
      </c>
      <c r="C540" s="110" t="s">
        <v>67</v>
      </c>
      <c r="D540" s="334" t="s">
        <v>975</v>
      </c>
      <c r="E540" s="118" t="s">
        <v>613</v>
      </c>
      <c r="F540" s="103" t="s">
        <v>660</v>
      </c>
      <c r="G540" s="111">
        <v>1951499</v>
      </c>
      <c r="H540" s="112">
        <v>240.16</v>
      </c>
      <c r="I540" s="137">
        <v>8125.8286142571624</v>
      </c>
      <c r="J540" s="13"/>
      <c r="K540" s="15"/>
      <c r="L540" s="15"/>
      <c r="M540" s="15"/>
    </row>
    <row r="541" spans="1:13">
      <c r="A541" s="133" t="s">
        <v>53</v>
      </c>
      <c r="B541" s="6" t="s">
        <v>25</v>
      </c>
      <c r="C541" s="110" t="s">
        <v>67</v>
      </c>
      <c r="D541" s="334" t="s">
        <v>976</v>
      </c>
      <c r="E541" s="118" t="s">
        <v>614</v>
      </c>
      <c r="F541" s="103" t="s">
        <v>660</v>
      </c>
      <c r="G541" s="111">
        <v>2252468</v>
      </c>
      <c r="H541" s="112">
        <v>333.14299999999997</v>
      </c>
      <c r="I541" s="137">
        <v>6761.2646821334984</v>
      </c>
      <c r="J541" s="13"/>
      <c r="K541" s="15"/>
      <c r="L541" s="15"/>
      <c r="M541" s="15"/>
    </row>
    <row r="542" spans="1:13">
      <c r="A542" s="133" t="s">
        <v>53</v>
      </c>
      <c r="B542" s="6" t="s">
        <v>25</v>
      </c>
      <c r="C542" s="110" t="s">
        <v>67</v>
      </c>
      <c r="D542" s="334" t="s">
        <v>977</v>
      </c>
      <c r="E542" s="118" t="s">
        <v>615</v>
      </c>
      <c r="F542" s="103" t="s">
        <v>660</v>
      </c>
      <c r="G542" s="111">
        <v>141302</v>
      </c>
      <c r="H542" s="112">
        <v>22.09</v>
      </c>
      <c r="I542" s="137">
        <v>6396.6500679040291</v>
      </c>
      <c r="J542" s="13"/>
      <c r="K542" s="15"/>
      <c r="L542" s="15"/>
      <c r="M542" s="15"/>
    </row>
    <row r="543" spans="1:13">
      <c r="A543" s="130" t="s">
        <v>53</v>
      </c>
      <c r="B543" s="6" t="s">
        <v>25</v>
      </c>
      <c r="C543" s="110" t="s">
        <v>68</v>
      </c>
      <c r="D543" s="103" t="s">
        <v>1206</v>
      </c>
      <c r="E543" s="6" t="s">
        <v>297</v>
      </c>
      <c r="F543" s="334" t="s">
        <v>329</v>
      </c>
      <c r="G543" s="111">
        <v>3560088</v>
      </c>
      <c r="H543" s="112">
        <v>241.35499999999999</v>
      </c>
      <c r="I543" s="137">
        <v>14750.421578173231</v>
      </c>
      <c r="J543" s="13"/>
      <c r="K543" s="15"/>
      <c r="L543" s="15"/>
      <c r="M543" s="15"/>
    </row>
    <row r="544" spans="1:13">
      <c r="A544" s="130" t="s">
        <v>53</v>
      </c>
      <c r="B544" s="6" t="s">
        <v>25</v>
      </c>
      <c r="C544" s="110" t="s">
        <v>68</v>
      </c>
      <c r="D544" s="103" t="s">
        <v>1207</v>
      </c>
      <c r="E544" s="6" t="s">
        <v>298</v>
      </c>
      <c r="F544" s="334" t="s">
        <v>329</v>
      </c>
      <c r="G544" s="111">
        <v>3621042</v>
      </c>
      <c r="H544" s="112">
        <v>338.41</v>
      </c>
      <c r="I544" s="137">
        <v>10700.162524748086</v>
      </c>
      <c r="J544" s="13"/>
      <c r="K544" s="15"/>
      <c r="L544" s="15"/>
      <c r="M544" s="15"/>
    </row>
    <row r="545" spans="1:13">
      <c r="A545" s="130" t="s">
        <v>53</v>
      </c>
      <c r="B545" s="6" t="s">
        <v>25</v>
      </c>
      <c r="C545" s="110" t="s">
        <v>68</v>
      </c>
      <c r="D545" s="103" t="s">
        <v>1208</v>
      </c>
      <c r="E545" s="6" t="s">
        <v>299</v>
      </c>
      <c r="F545" s="334" t="s">
        <v>69</v>
      </c>
      <c r="G545" s="111">
        <v>3091830</v>
      </c>
      <c r="H545" s="112">
        <v>324.83</v>
      </c>
      <c r="I545" s="137">
        <v>9518.3018809838995</v>
      </c>
      <c r="J545" s="13"/>
      <c r="K545" s="15"/>
      <c r="L545" s="15"/>
      <c r="M545" s="15"/>
    </row>
    <row r="546" spans="1:13">
      <c r="A546" s="130" t="s">
        <v>53</v>
      </c>
      <c r="B546" s="6" t="s">
        <v>25</v>
      </c>
      <c r="C546" s="333" t="s">
        <v>68</v>
      </c>
      <c r="D546" s="103" t="s">
        <v>1209</v>
      </c>
      <c r="E546" s="6" t="s">
        <v>300</v>
      </c>
      <c r="F546" s="334" t="s">
        <v>329</v>
      </c>
      <c r="G546" s="111">
        <v>12289094</v>
      </c>
      <c r="H546" s="112">
        <v>1488.1880000000001</v>
      </c>
      <c r="I546" s="137">
        <v>8257.7564124962701</v>
      </c>
      <c r="J546" s="13"/>
      <c r="K546" s="15"/>
      <c r="L546" s="15"/>
      <c r="M546" s="15"/>
    </row>
    <row r="547" spans="1:13">
      <c r="A547" s="130" t="s">
        <v>53</v>
      </c>
      <c r="B547" s="6" t="s">
        <v>25</v>
      </c>
      <c r="C547" s="333" t="s">
        <v>68</v>
      </c>
      <c r="D547" s="103" t="s">
        <v>1210</v>
      </c>
      <c r="E547" s="6" t="s">
        <v>301</v>
      </c>
      <c r="F547" s="334" t="s">
        <v>69</v>
      </c>
      <c r="G547" s="111">
        <v>2248480</v>
      </c>
      <c r="H547" s="112">
        <v>178.24</v>
      </c>
      <c r="I547" s="137">
        <v>12614.901256732495</v>
      </c>
      <c r="J547" s="13"/>
      <c r="K547" s="15"/>
      <c r="L547" s="15"/>
      <c r="M547" s="15"/>
    </row>
    <row r="548" spans="1:13">
      <c r="A548" s="133" t="s">
        <v>53</v>
      </c>
      <c r="B548" s="6" t="s">
        <v>25</v>
      </c>
      <c r="C548" s="110" t="s">
        <v>67</v>
      </c>
      <c r="D548" s="334" t="s">
        <v>978</v>
      </c>
      <c r="E548" s="118" t="s">
        <v>616</v>
      </c>
      <c r="F548" s="103" t="s">
        <v>660</v>
      </c>
      <c r="G548" s="111">
        <v>425478</v>
      </c>
      <c r="H548" s="112">
        <v>55.03</v>
      </c>
      <c r="I548" s="137">
        <v>7731.7463201889877</v>
      </c>
      <c r="J548" s="13"/>
      <c r="K548" s="15"/>
      <c r="L548" s="15"/>
      <c r="M548" s="15"/>
    </row>
    <row r="549" spans="1:13">
      <c r="A549" s="130" t="s">
        <v>53</v>
      </c>
      <c r="B549" s="6" t="s">
        <v>25</v>
      </c>
      <c r="C549" s="110" t="s">
        <v>68</v>
      </c>
      <c r="D549" s="103" t="s">
        <v>1211</v>
      </c>
      <c r="E549" s="6" t="s">
        <v>302</v>
      </c>
      <c r="F549" s="334" t="s">
        <v>69</v>
      </c>
      <c r="G549" s="111">
        <v>22578</v>
      </c>
      <c r="H549" s="112">
        <v>0</v>
      </c>
      <c r="I549" s="137">
        <v>0</v>
      </c>
      <c r="J549" s="13"/>
      <c r="K549" s="15"/>
      <c r="L549" s="15"/>
      <c r="M549" s="15"/>
    </row>
    <row r="550" spans="1:13">
      <c r="A550" s="133" t="s">
        <v>53</v>
      </c>
      <c r="B550" s="6" t="s">
        <v>25</v>
      </c>
      <c r="C550" s="334" t="s">
        <v>67</v>
      </c>
      <c r="D550" s="334" t="s">
        <v>979</v>
      </c>
      <c r="E550" s="118" t="s">
        <v>617</v>
      </c>
      <c r="F550" s="103" t="s">
        <v>660</v>
      </c>
      <c r="G550" s="111">
        <v>725131</v>
      </c>
      <c r="H550" s="112">
        <v>86.515000000000001</v>
      </c>
      <c r="I550" s="137">
        <v>8381.5638906547993</v>
      </c>
      <c r="J550" s="13"/>
      <c r="K550" s="15"/>
      <c r="L550" s="15"/>
      <c r="M550" s="15"/>
    </row>
    <row r="551" spans="1:13">
      <c r="A551" s="130" t="s">
        <v>53</v>
      </c>
      <c r="B551" s="6" t="s">
        <v>25</v>
      </c>
      <c r="C551" s="110" t="s">
        <v>68</v>
      </c>
      <c r="D551" s="103" t="s">
        <v>1212</v>
      </c>
      <c r="E551" s="6" t="s">
        <v>303</v>
      </c>
      <c r="F551" s="334" t="s">
        <v>329</v>
      </c>
      <c r="G551" s="111">
        <v>20121918</v>
      </c>
      <c r="H551" s="112">
        <v>2705.605</v>
      </c>
      <c r="I551" s="137">
        <v>7437.1233051387762</v>
      </c>
      <c r="J551" s="13"/>
      <c r="K551" s="15"/>
      <c r="L551" s="15"/>
      <c r="M551" s="15"/>
    </row>
    <row r="552" spans="1:13">
      <c r="A552" s="130" t="s">
        <v>53</v>
      </c>
      <c r="B552" s="6" t="s">
        <v>25</v>
      </c>
      <c r="C552" s="110" t="s">
        <v>68</v>
      </c>
      <c r="D552" s="103" t="s">
        <v>1213</v>
      </c>
      <c r="E552" s="6" t="s">
        <v>304</v>
      </c>
      <c r="F552" s="334" t="s">
        <v>69</v>
      </c>
      <c r="G552" s="111">
        <v>3211632</v>
      </c>
      <c r="H552" s="112">
        <v>387.1</v>
      </c>
      <c r="I552" s="137">
        <v>8296.6468612761564</v>
      </c>
      <c r="J552" s="13"/>
      <c r="K552" s="15"/>
      <c r="L552" s="15"/>
      <c r="M552" s="15"/>
    </row>
    <row r="553" spans="1:13">
      <c r="A553" s="130" t="s">
        <v>53</v>
      </c>
      <c r="B553" s="6" t="s">
        <v>25</v>
      </c>
      <c r="C553" s="334" t="s">
        <v>68</v>
      </c>
      <c r="D553" s="103" t="s">
        <v>1214</v>
      </c>
      <c r="E553" s="6" t="s">
        <v>305</v>
      </c>
      <c r="F553" s="334" t="s">
        <v>69</v>
      </c>
      <c r="G553" s="111">
        <v>1550329</v>
      </c>
      <c r="H553" s="112">
        <v>115.575</v>
      </c>
      <c r="I553" s="137">
        <v>13414.051481721825</v>
      </c>
      <c r="J553" s="13"/>
      <c r="K553" s="15"/>
      <c r="L553" s="15"/>
      <c r="M553" s="15"/>
    </row>
    <row r="554" spans="1:13">
      <c r="A554" s="130" t="s">
        <v>53</v>
      </c>
      <c r="B554" s="6" t="s">
        <v>25</v>
      </c>
      <c r="C554" s="110" t="s">
        <v>68</v>
      </c>
      <c r="D554" s="103" t="s">
        <v>1215</v>
      </c>
      <c r="E554" s="6" t="s">
        <v>306</v>
      </c>
      <c r="F554" s="334" t="s">
        <v>69</v>
      </c>
      <c r="G554" s="111">
        <v>18055114</v>
      </c>
      <c r="H554" s="112">
        <v>2388.12</v>
      </c>
      <c r="I554" s="137">
        <v>7560.3880877007859</v>
      </c>
      <c r="J554" s="13"/>
      <c r="K554" s="15"/>
      <c r="L554" s="15"/>
      <c r="M554" s="15"/>
    </row>
    <row r="555" spans="1:13">
      <c r="A555" s="130" t="s">
        <v>53</v>
      </c>
      <c r="B555" s="6" t="s">
        <v>25</v>
      </c>
      <c r="C555" s="110" t="s">
        <v>68</v>
      </c>
      <c r="D555" s="103" t="s">
        <v>1216</v>
      </c>
      <c r="E555" s="6" t="s">
        <v>307</v>
      </c>
      <c r="F555" s="334" t="s">
        <v>69</v>
      </c>
      <c r="G555" s="111">
        <v>132032</v>
      </c>
      <c r="H555" s="112">
        <v>4.99</v>
      </c>
      <c r="I555" s="137">
        <v>26459.318637274548</v>
      </c>
      <c r="J555" s="13"/>
      <c r="K555" s="15"/>
      <c r="L555" s="15"/>
      <c r="M555" s="15"/>
    </row>
    <row r="556" spans="1:13">
      <c r="A556" s="133" t="s">
        <v>53</v>
      </c>
      <c r="B556" s="6" t="s">
        <v>25</v>
      </c>
      <c r="C556" s="110" t="s">
        <v>67</v>
      </c>
      <c r="D556" s="334" t="s">
        <v>980</v>
      </c>
      <c r="E556" s="118" t="s">
        <v>618</v>
      </c>
      <c r="F556" s="103" t="s">
        <v>660</v>
      </c>
      <c r="G556" s="111">
        <v>519156</v>
      </c>
      <c r="H556" s="112">
        <v>52.63</v>
      </c>
      <c r="I556" s="137">
        <v>9864.2599277978334</v>
      </c>
      <c r="J556" s="13"/>
      <c r="K556" s="15"/>
      <c r="L556" s="15"/>
      <c r="M556" s="15"/>
    </row>
    <row r="557" spans="1:13">
      <c r="A557" s="133" t="s">
        <v>53</v>
      </c>
      <c r="B557" s="6" t="s">
        <v>25</v>
      </c>
      <c r="C557" s="110" t="s">
        <v>67</v>
      </c>
      <c r="D557" s="334" t="s">
        <v>981</v>
      </c>
      <c r="E557" s="118" t="s">
        <v>619</v>
      </c>
      <c r="F557" s="103" t="s">
        <v>660</v>
      </c>
      <c r="G557" s="111">
        <v>692942</v>
      </c>
      <c r="H557" s="112">
        <v>80.66</v>
      </c>
      <c r="I557" s="137">
        <v>8590.9000743863126</v>
      </c>
      <c r="J557" s="13"/>
      <c r="K557" s="15"/>
      <c r="L557" s="15"/>
      <c r="M557" s="15"/>
    </row>
    <row r="558" spans="1:13">
      <c r="A558" s="133" t="s">
        <v>53</v>
      </c>
      <c r="B558" s="6" t="s">
        <v>25</v>
      </c>
      <c r="C558" s="110" t="s">
        <v>67</v>
      </c>
      <c r="D558" s="334" t="s">
        <v>982</v>
      </c>
      <c r="E558" s="118" t="s">
        <v>620</v>
      </c>
      <c r="F558" s="103" t="s">
        <v>660</v>
      </c>
      <c r="G558" s="111">
        <v>2533759</v>
      </c>
      <c r="H558" s="112">
        <v>349.26</v>
      </c>
      <c r="I558" s="137">
        <v>7254.6498310714087</v>
      </c>
      <c r="J558" s="13"/>
      <c r="K558" s="15"/>
      <c r="L558" s="15"/>
      <c r="M558" s="15"/>
    </row>
    <row r="559" spans="1:13">
      <c r="A559" s="130" t="s">
        <v>53</v>
      </c>
      <c r="B559" s="6" t="s">
        <v>25</v>
      </c>
      <c r="C559" s="334" t="s">
        <v>68</v>
      </c>
      <c r="D559" s="103" t="s">
        <v>1217</v>
      </c>
      <c r="E559" s="6" t="s">
        <v>308</v>
      </c>
      <c r="F559" s="334" t="s">
        <v>69</v>
      </c>
      <c r="G559" s="111">
        <v>386699</v>
      </c>
      <c r="H559" s="112">
        <v>28.36</v>
      </c>
      <c r="I559" s="137">
        <v>13635.366713681242</v>
      </c>
      <c r="J559" s="13"/>
      <c r="K559" s="15"/>
      <c r="L559" s="15"/>
      <c r="M559" s="15"/>
    </row>
    <row r="560" spans="1:13">
      <c r="A560" s="130" t="s">
        <v>53</v>
      </c>
      <c r="B560" s="6" t="s">
        <v>25</v>
      </c>
      <c r="C560" s="110" t="s">
        <v>68</v>
      </c>
      <c r="D560" s="103" t="s">
        <v>1218</v>
      </c>
      <c r="E560" s="6" t="s">
        <v>309</v>
      </c>
      <c r="F560" s="334" t="s">
        <v>329</v>
      </c>
      <c r="G560" s="111">
        <v>44048639</v>
      </c>
      <c r="H560" s="112">
        <v>6105.01</v>
      </c>
      <c r="I560" s="137">
        <v>7215.1624649263467</v>
      </c>
      <c r="J560" s="13"/>
      <c r="K560" s="15"/>
      <c r="L560" s="15"/>
      <c r="M560" s="15"/>
    </row>
    <row r="561" spans="1:13">
      <c r="A561" s="133" t="s">
        <v>53</v>
      </c>
      <c r="B561" s="6" t="s">
        <v>25</v>
      </c>
      <c r="C561" s="334" t="s">
        <v>67</v>
      </c>
      <c r="D561" s="334" t="s">
        <v>983</v>
      </c>
      <c r="E561" s="118" t="s">
        <v>621</v>
      </c>
      <c r="F561" s="103" t="s">
        <v>660</v>
      </c>
      <c r="G561" s="111">
        <v>613773</v>
      </c>
      <c r="H561" s="112">
        <v>67.724999999999994</v>
      </c>
      <c r="I561" s="137">
        <v>9062.7242524916946</v>
      </c>
      <c r="J561" s="13"/>
      <c r="K561" s="15"/>
      <c r="L561" s="15"/>
      <c r="M561" s="15"/>
    </row>
    <row r="562" spans="1:13">
      <c r="A562" s="130" t="s">
        <v>53</v>
      </c>
      <c r="B562" s="6" t="s">
        <v>25</v>
      </c>
      <c r="C562" s="110" t="s">
        <v>68</v>
      </c>
      <c r="D562" s="103" t="s">
        <v>1219</v>
      </c>
      <c r="E562" s="6" t="s">
        <v>310</v>
      </c>
      <c r="F562" s="334" t="s">
        <v>69</v>
      </c>
      <c r="G562" s="111">
        <v>1089185</v>
      </c>
      <c r="H562" s="112">
        <v>64.894999999999996</v>
      </c>
      <c r="I562" s="137">
        <v>16783.804607442795</v>
      </c>
      <c r="J562" s="13"/>
      <c r="K562" s="15"/>
      <c r="L562" s="15"/>
      <c r="M562" s="15"/>
    </row>
    <row r="563" spans="1:13">
      <c r="A563" s="133" t="s">
        <v>53</v>
      </c>
      <c r="B563" s="6" t="s">
        <v>25</v>
      </c>
      <c r="C563" s="334" t="s">
        <v>67</v>
      </c>
      <c r="D563" s="334" t="s">
        <v>984</v>
      </c>
      <c r="E563" s="118" t="s">
        <v>622</v>
      </c>
      <c r="F563" s="103" t="s">
        <v>660</v>
      </c>
      <c r="G563" s="111">
        <v>1559679</v>
      </c>
      <c r="H563" s="112">
        <v>198.56</v>
      </c>
      <c r="I563" s="137">
        <v>7854.950644641418</v>
      </c>
      <c r="J563" s="13"/>
      <c r="K563" s="15"/>
      <c r="L563" s="15"/>
      <c r="M563" s="15"/>
    </row>
    <row r="564" spans="1:13">
      <c r="A564" s="130" t="s">
        <v>53</v>
      </c>
      <c r="B564" s="6" t="s">
        <v>25</v>
      </c>
      <c r="C564" s="110" t="s">
        <v>68</v>
      </c>
      <c r="D564" s="103" t="s">
        <v>1220</v>
      </c>
      <c r="E564" s="6" t="s">
        <v>311</v>
      </c>
      <c r="F564" s="334" t="s">
        <v>329</v>
      </c>
      <c r="G564" s="111">
        <v>5045524</v>
      </c>
      <c r="H564" s="112">
        <v>561.59799999999996</v>
      </c>
      <c r="I564" s="137">
        <v>8984.227151806097</v>
      </c>
      <c r="J564" s="13"/>
      <c r="K564" s="15"/>
      <c r="L564" s="15"/>
      <c r="M564" s="15"/>
    </row>
    <row r="565" spans="1:13">
      <c r="A565" s="130" t="s">
        <v>53</v>
      </c>
      <c r="B565" s="6" t="s">
        <v>25</v>
      </c>
      <c r="C565" s="110" t="s">
        <v>68</v>
      </c>
      <c r="D565" s="103" t="s">
        <v>1221</v>
      </c>
      <c r="E565" s="6" t="s">
        <v>312</v>
      </c>
      <c r="F565" s="334" t="s">
        <v>71</v>
      </c>
      <c r="G565" s="111">
        <v>9475381</v>
      </c>
      <c r="H565" s="112">
        <v>1278.8800000000001</v>
      </c>
      <c r="I565" s="137">
        <v>7409.1243900913296</v>
      </c>
      <c r="J565" s="13"/>
      <c r="K565" s="15"/>
      <c r="L565" s="15"/>
      <c r="M565" s="15"/>
    </row>
    <row r="566" spans="1:13">
      <c r="A566" s="133" t="s">
        <v>53</v>
      </c>
      <c r="B566" s="6" t="s">
        <v>25</v>
      </c>
      <c r="C566" s="110" t="s">
        <v>67</v>
      </c>
      <c r="D566" s="334" t="s">
        <v>985</v>
      </c>
      <c r="E566" s="118" t="s">
        <v>623</v>
      </c>
      <c r="F566" s="103" t="s">
        <v>660</v>
      </c>
      <c r="G566" s="111">
        <v>902273</v>
      </c>
      <c r="H566" s="112">
        <v>63.34</v>
      </c>
      <c r="I566" s="137">
        <v>14244.91632459741</v>
      </c>
      <c r="J566" s="13"/>
      <c r="K566" s="15"/>
      <c r="L566" s="15"/>
      <c r="M566" s="15"/>
    </row>
    <row r="567" spans="1:13">
      <c r="A567" s="133" t="s">
        <v>53</v>
      </c>
      <c r="B567" s="6" t="s">
        <v>25</v>
      </c>
      <c r="C567" s="110" t="s">
        <v>67</v>
      </c>
      <c r="D567" s="334" t="s">
        <v>986</v>
      </c>
      <c r="E567" s="118" t="s">
        <v>624</v>
      </c>
      <c r="F567" s="103" t="s">
        <v>660</v>
      </c>
      <c r="G567" s="111">
        <v>1340410</v>
      </c>
      <c r="H567" s="112">
        <v>174.255</v>
      </c>
      <c r="I567" s="137">
        <v>7692.2326475567415</v>
      </c>
      <c r="J567" s="13"/>
      <c r="K567" s="15"/>
      <c r="L567" s="15"/>
      <c r="M567" s="15"/>
    </row>
    <row r="568" spans="1:13">
      <c r="A568" s="133" t="s">
        <v>53</v>
      </c>
      <c r="B568" s="6" t="s">
        <v>25</v>
      </c>
      <c r="C568" s="110" t="s">
        <v>67</v>
      </c>
      <c r="D568" s="334" t="s">
        <v>987</v>
      </c>
      <c r="E568" s="118" t="s">
        <v>625</v>
      </c>
      <c r="F568" s="103" t="s">
        <v>660</v>
      </c>
      <c r="G568" s="111">
        <v>1250009</v>
      </c>
      <c r="H568" s="112">
        <v>149</v>
      </c>
      <c r="I568" s="137">
        <v>8389.3221476510062</v>
      </c>
      <c r="J568" s="13"/>
      <c r="K568" s="15"/>
      <c r="L568" s="15"/>
      <c r="M568" s="15"/>
    </row>
    <row r="569" spans="1:13">
      <c r="A569" s="133" t="s">
        <v>53</v>
      </c>
      <c r="B569" s="6" t="s">
        <v>25</v>
      </c>
      <c r="C569" s="110" t="s">
        <v>67</v>
      </c>
      <c r="D569" s="334" t="s">
        <v>988</v>
      </c>
      <c r="E569" s="118" t="s">
        <v>626</v>
      </c>
      <c r="F569" s="103" t="s">
        <v>678</v>
      </c>
      <c r="G569" s="111">
        <v>831093</v>
      </c>
      <c r="H569" s="112">
        <v>110.61</v>
      </c>
      <c r="I569" s="137">
        <v>7513.7238947653923</v>
      </c>
      <c r="J569" s="13"/>
      <c r="K569" s="15"/>
      <c r="L569" s="15"/>
      <c r="M569" s="15"/>
    </row>
    <row r="570" spans="1:13">
      <c r="A570" s="133" t="s">
        <v>53</v>
      </c>
      <c r="B570" s="6" t="s">
        <v>25</v>
      </c>
      <c r="C570" s="334" t="s">
        <v>67</v>
      </c>
      <c r="D570" s="334" t="s">
        <v>989</v>
      </c>
      <c r="E570" s="118" t="s">
        <v>627</v>
      </c>
      <c r="F570" s="103" t="s">
        <v>660</v>
      </c>
      <c r="G570" s="111">
        <v>680920</v>
      </c>
      <c r="H570" s="112">
        <v>89.04</v>
      </c>
      <c r="I570" s="137">
        <v>7647.3495058400713</v>
      </c>
      <c r="J570" s="13"/>
      <c r="K570" s="15"/>
      <c r="L570" s="15"/>
      <c r="M570" s="15"/>
    </row>
    <row r="571" spans="1:13">
      <c r="A571" s="133" t="s">
        <v>53</v>
      </c>
      <c r="B571" s="6" t="s">
        <v>25</v>
      </c>
      <c r="C571" s="110" t="s">
        <v>67</v>
      </c>
      <c r="D571" s="334" t="s">
        <v>990</v>
      </c>
      <c r="E571" s="118" t="s">
        <v>628</v>
      </c>
      <c r="F571" s="103" t="s">
        <v>660</v>
      </c>
      <c r="G571" s="111">
        <v>724268</v>
      </c>
      <c r="H571" s="112">
        <v>104.24</v>
      </c>
      <c r="I571" s="137">
        <v>6948.0813507290868</v>
      </c>
      <c r="J571" s="13"/>
      <c r="K571" s="15"/>
      <c r="L571" s="15"/>
      <c r="M571" s="15"/>
    </row>
    <row r="572" spans="1:13">
      <c r="A572" s="133" t="s">
        <v>53</v>
      </c>
      <c r="B572" s="6" t="s">
        <v>25</v>
      </c>
      <c r="C572" s="110" t="s">
        <v>67</v>
      </c>
      <c r="D572" s="334" t="s">
        <v>991</v>
      </c>
      <c r="E572" s="118" t="s">
        <v>629</v>
      </c>
      <c r="F572" s="103" t="s">
        <v>660</v>
      </c>
      <c r="G572" s="111">
        <v>877960</v>
      </c>
      <c r="H572" s="112">
        <v>134.12</v>
      </c>
      <c r="I572" s="137">
        <v>6546.0781389800177</v>
      </c>
      <c r="J572" s="13"/>
      <c r="K572" s="15"/>
      <c r="L572" s="15"/>
      <c r="M572" s="15"/>
    </row>
    <row r="573" spans="1:13">
      <c r="A573" s="133" t="s">
        <v>53</v>
      </c>
      <c r="B573" s="6" t="s">
        <v>25</v>
      </c>
      <c r="C573" s="110" t="s">
        <v>67</v>
      </c>
      <c r="D573" s="334" t="s">
        <v>992</v>
      </c>
      <c r="E573" s="118" t="s">
        <v>630</v>
      </c>
      <c r="F573" s="103" t="s">
        <v>660</v>
      </c>
      <c r="G573" s="111">
        <v>337336</v>
      </c>
      <c r="H573" s="112">
        <v>42.13</v>
      </c>
      <c r="I573" s="137">
        <v>8007.0258723000234</v>
      </c>
      <c r="J573" s="13"/>
      <c r="K573" s="15"/>
      <c r="L573" s="15"/>
      <c r="M573" s="15"/>
    </row>
    <row r="574" spans="1:13">
      <c r="A574" s="130" t="s">
        <v>53</v>
      </c>
      <c r="B574" s="6" t="s">
        <v>25</v>
      </c>
      <c r="C574" s="110" t="s">
        <v>68</v>
      </c>
      <c r="D574" s="103" t="s">
        <v>1222</v>
      </c>
      <c r="E574" s="6" t="s">
        <v>313</v>
      </c>
      <c r="F574" s="334" t="s">
        <v>329</v>
      </c>
      <c r="G574" s="111">
        <v>41486673</v>
      </c>
      <c r="H574" s="112">
        <v>5381.0630000000001</v>
      </c>
      <c r="I574" s="137">
        <v>7709.75418797364</v>
      </c>
      <c r="J574" s="13"/>
      <c r="K574" s="15"/>
      <c r="L574" s="15"/>
      <c r="M574" s="15"/>
    </row>
    <row r="575" spans="1:13">
      <c r="A575" s="133" t="s">
        <v>53</v>
      </c>
      <c r="B575" s="6" t="s">
        <v>25</v>
      </c>
      <c r="C575" s="110" t="s">
        <v>67</v>
      </c>
      <c r="D575" s="334" t="s">
        <v>993</v>
      </c>
      <c r="E575" s="118" t="s">
        <v>631</v>
      </c>
      <c r="F575" s="103" t="s">
        <v>660</v>
      </c>
      <c r="G575" s="111">
        <v>1283882</v>
      </c>
      <c r="H575" s="112">
        <v>145.345</v>
      </c>
      <c r="I575" s="137">
        <v>8833.341360211909</v>
      </c>
      <c r="J575" s="13"/>
      <c r="K575" s="15"/>
      <c r="L575" s="15"/>
      <c r="M575" s="15"/>
    </row>
    <row r="576" spans="1:13">
      <c r="A576" s="130" t="s">
        <v>53</v>
      </c>
      <c r="B576" s="6" t="s">
        <v>25</v>
      </c>
      <c r="C576" s="110" t="s">
        <v>68</v>
      </c>
      <c r="D576" s="103" t="s">
        <v>1223</v>
      </c>
      <c r="E576" s="6" t="s">
        <v>314</v>
      </c>
      <c r="F576" s="334" t="s">
        <v>329</v>
      </c>
      <c r="G576" s="111">
        <v>15709459</v>
      </c>
      <c r="H576" s="112">
        <v>1447.78</v>
      </c>
      <c r="I576" s="137">
        <v>10850.722485460499</v>
      </c>
      <c r="J576" s="13"/>
      <c r="K576" s="15"/>
      <c r="L576" s="15"/>
      <c r="M576" s="15"/>
    </row>
    <row r="577" spans="1:13">
      <c r="A577" s="130" t="s">
        <v>53</v>
      </c>
      <c r="B577" s="6" t="s">
        <v>25</v>
      </c>
      <c r="C577" s="110" t="s">
        <v>68</v>
      </c>
      <c r="D577" s="103" t="s">
        <v>1224</v>
      </c>
      <c r="E577" s="6" t="s">
        <v>315</v>
      </c>
      <c r="F577" s="334" t="s">
        <v>329</v>
      </c>
      <c r="G577" s="111">
        <v>2803699</v>
      </c>
      <c r="H577" s="112">
        <v>150.18</v>
      </c>
      <c r="I577" s="137">
        <v>18668.923957917166</v>
      </c>
      <c r="J577" s="13"/>
      <c r="K577" s="15"/>
      <c r="L577" s="15"/>
      <c r="M577" s="15"/>
    </row>
    <row r="578" spans="1:13">
      <c r="A578" s="130" t="s">
        <v>53</v>
      </c>
      <c r="B578" s="6" t="s">
        <v>25</v>
      </c>
      <c r="C578" s="334" t="s">
        <v>68</v>
      </c>
      <c r="D578" s="103" t="s">
        <v>1225</v>
      </c>
      <c r="E578" s="6" t="s">
        <v>316</v>
      </c>
      <c r="F578" s="334" t="s">
        <v>69</v>
      </c>
      <c r="G578" s="111">
        <v>550622</v>
      </c>
      <c r="H578" s="112">
        <v>27.815000000000001</v>
      </c>
      <c r="I578" s="137">
        <v>19795.865540176164</v>
      </c>
      <c r="J578" s="13"/>
      <c r="K578" s="15"/>
      <c r="L578" s="15"/>
      <c r="M578" s="15"/>
    </row>
    <row r="579" spans="1:13">
      <c r="A579" s="133" t="s">
        <v>53</v>
      </c>
      <c r="B579" s="6" t="s">
        <v>25</v>
      </c>
      <c r="C579" s="110" t="s">
        <v>67</v>
      </c>
      <c r="D579" s="334" t="s">
        <v>973</v>
      </c>
      <c r="E579" s="118" t="s">
        <v>611</v>
      </c>
      <c r="F579" s="103" t="s">
        <v>865</v>
      </c>
      <c r="G579" s="111">
        <v>1064365</v>
      </c>
      <c r="H579" s="112">
        <v>149.22999999999999</v>
      </c>
      <c r="I579" s="137">
        <v>7132.3795483481881</v>
      </c>
      <c r="J579" s="13"/>
      <c r="K579" s="15"/>
      <c r="L579" s="15"/>
      <c r="M579" s="15"/>
    </row>
    <row r="580" spans="1:13">
      <c r="A580" s="133" t="s">
        <v>53</v>
      </c>
      <c r="B580" s="6" t="s">
        <v>25</v>
      </c>
      <c r="C580" s="110" t="s">
        <v>67</v>
      </c>
      <c r="D580" s="334" t="s">
        <v>994</v>
      </c>
      <c r="E580" s="118" t="s">
        <v>632</v>
      </c>
      <c r="F580" s="103" t="s">
        <v>660</v>
      </c>
      <c r="G580" s="111">
        <v>235731</v>
      </c>
      <c r="H580" s="112">
        <v>33.53</v>
      </c>
      <c r="I580" s="137">
        <v>7030.4503429764391</v>
      </c>
      <c r="J580" s="13"/>
      <c r="K580" s="15"/>
      <c r="L580" s="15"/>
      <c r="M580" s="15"/>
    </row>
    <row r="581" spans="1:13">
      <c r="A581" s="130" t="s">
        <v>53</v>
      </c>
      <c r="B581" s="6" t="s">
        <v>25</v>
      </c>
      <c r="C581" s="110" t="s">
        <v>68</v>
      </c>
      <c r="D581" s="103" t="s">
        <v>1226</v>
      </c>
      <c r="E581" s="6" t="s">
        <v>317</v>
      </c>
      <c r="F581" s="334" t="s">
        <v>252</v>
      </c>
      <c r="G581" s="111">
        <v>2049058</v>
      </c>
      <c r="H581" s="112">
        <v>361.12299999999999</v>
      </c>
      <c r="I581" s="137">
        <v>5674.1276517973101</v>
      </c>
      <c r="J581" s="13"/>
      <c r="K581" s="15"/>
      <c r="L581" s="15"/>
      <c r="M581" s="15"/>
    </row>
    <row r="582" spans="1:13">
      <c r="A582" s="130" t="s">
        <v>53</v>
      </c>
      <c r="B582" s="6" t="s">
        <v>25</v>
      </c>
      <c r="C582" s="110" t="s">
        <v>68</v>
      </c>
      <c r="D582" s="103" t="s">
        <v>1227</v>
      </c>
      <c r="E582" s="6" t="s">
        <v>318</v>
      </c>
      <c r="F582" s="334" t="s">
        <v>69</v>
      </c>
      <c r="G582" s="111">
        <v>79408</v>
      </c>
      <c r="H582" s="112">
        <v>0</v>
      </c>
      <c r="I582" s="137">
        <v>0</v>
      </c>
      <c r="J582" s="13"/>
      <c r="K582" s="15"/>
      <c r="L582" s="15"/>
      <c r="M582" s="15"/>
    </row>
    <row r="583" spans="1:13">
      <c r="A583" s="130" t="s">
        <v>53</v>
      </c>
      <c r="B583" s="6" t="s">
        <v>25</v>
      </c>
      <c r="C583" s="110" t="s">
        <v>68</v>
      </c>
      <c r="D583" s="103" t="s">
        <v>1228</v>
      </c>
      <c r="E583" s="6" t="s">
        <v>319</v>
      </c>
      <c r="F583" s="110" t="s">
        <v>69</v>
      </c>
      <c r="G583" s="111">
        <v>225986</v>
      </c>
      <c r="H583" s="112">
        <v>0</v>
      </c>
      <c r="I583" s="137">
        <v>0</v>
      </c>
      <c r="J583" s="13"/>
      <c r="K583" s="15"/>
      <c r="L583" s="15"/>
      <c r="M583" s="15"/>
    </row>
    <row r="584" spans="1:13">
      <c r="A584" s="130" t="s">
        <v>53</v>
      </c>
      <c r="B584" s="6" t="s">
        <v>25</v>
      </c>
      <c r="C584" s="110" t="s">
        <v>68</v>
      </c>
      <c r="D584" s="103" t="s">
        <v>1229</v>
      </c>
      <c r="E584" s="6" t="s">
        <v>320</v>
      </c>
      <c r="F584" s="333" t="s">
        <v>69</v>
      </c>
      <c r="G584" s="111">
        <v>1209019</v>
      </c>
      <c r="H584" s="112">
        <v>56.88</v>
      </c>
      <c r="I584" s="137">
        <v>21255.608298171588</v>
      </c>
      <c r="J584" s="13"/>
      <c r="K584" s="15"/>
      <c r="L584" s="15"/>
      <c r="M584" s="15"/>
    </row>
    <row r="585" spans="1:13">
      <c r="A585" s="130" t="s">
        <v>53</v>
      </c>
      <c r="B585" s="6" t="s">
        <v>25</v>
      </c>
      <c r="C585" s="110" t="s">
        <v>68</v>
      </c>
      <c r="D585" s="103" t="s">
        <v>1230</v>
      </c>
      <c r="E585" s="6" t="s">
        <v>321</v>
      </c>
      <c r="F585" s="110" t="s">
        <v>65</v>
      </c>
      <c r="G585" s="111">
        <v>729698</v>
      </c>
      <c r="H585" s="112">
        <v>71.5</v>
      </c>
      <c r="I585" s="137">
        <v>10205.566433566433</v>
      </c>
      <c r="J585" s="13"/>
      <c r="K585" s="15"/>
      <c r="L585" s="15"/>
      <c r="M585" s="15"/>
    </row>
    <row r="586" spans="1:13">
      <c r="A586" s="133" t="s">
        <v>53</v>
      </c>
      <c r="B586" s="6" t="s">
        <v>25</v>
      </c>
      <c r="C586" s="110" t="s">
        <v>67</v>
      </c>
      <c r="D586" s="334" t="s">
        <v>995</v>
      </c>
      <c r="E586" s="118" t="s">
        <v>633</v>
      </c>
      <c r="F586" s="103" t="s">
        <v>660</v>
      </c>
      <c r="G586" s="111">
        <v>2414075</v>
      </c>
      <c r="H586" s="112">
        <v>216.92</v>
      </c>
      <c r="I586" s="137">
        <v>11128.872395353126</v>
      </c>
      <c r="J586" s="13"/>
      <c r="K586" s="15"/>
      <c r="L586" s="15"/>
      <c r="M586" s="15"/>
    </row>
    <row r="587" spans="1:13">
      <c r="A587" s="134" t="s">
        <v>54</v>
      </c>
      <c r="B587" s="120" t="s">
        <v>26</v>
      </c>
      <c r="C587" s="121" t="s">
        <v>67</v>
      </c>
      <c r="D587" s="121" t="s">
        <v>1240</v>
      </c>
      <c r="E587" s="120" t="s">
        <v>1265</v>
      </c>
      <c r="F587" s="121">
        <v>99</v>
      </c>
      <c r="G587" s="122">
        <v>11791977</v>
      </c>
      <c r="H587" s="123">
        <v>1538.2850000000001</v>
      </c>
      <c r="I587" s="138">
        <v>7665.6646850226061</v>
      </c>
      <c r="J587" s="13"/>
      <c r="K587" s="15"/>
      <c r="L587" s="15"/>
      <c r="M587" s="15"/>
    </row>
    <row r="588" spans="1:13">
      <c r="A588" s="131" t="s">
        <v>54</v>
      </c>
      <c r="B588" s="113" t="s">
        <v>26</v>
      </c>
      <c r="C588" s="114" t="s">
        <v>68</v>
      </c>
      <c r="D588" s="114" t="s">
        <v>1013</v>
      </c>
      <c r="E588" s="113" t="s">
        <v>1266</v>
      </c>
      <c r="F588" s="115" t="s">
        <v>143</v>
      </c>
      <c r="G588" s="116">
        <v>310022729</v>
      </c>
      <c r="H588" s="117">
        <v>34365.89</v>
      </c>
      <c r="I588" s="136">
        <v>9021.2338164383345</v>
      </c>
      <c r="J588" s="13"/>
      <c r="K588" s="15"/>
      <c r="L588" s="15"/>
      <c r="M588" s="15"/>
    </row>
    <row r="589" spans="1:13">
      <c r="A589" s="130" t="s">
        <v>54</v>
      </c>
      <c r="B589" s="6" t="s">
        <v>26</v>
      </c>
      <c r="C589" s="110" t="s">
        <v>68</v>
      </c>
      <c r="D589" s="103" t="s">
        <v>1231</v>
      </c>
      <c r="E589" s="6" t="s">
        <v>322</v>
      </c>
      <c r="F589" s="334" t="s">
        <v>71</v>
      </c>
      <c r="G589" s="111">
        <v>3868904</v>
      </c>
      <c r="H589" s="112">
        <v>381.01</v>
      </c>
      <c r="I589" s="137">
        <v>10154.337156505078</v>
      </c>
      <c r="J589" s="13"/>
      <c r="K589" s="15"/>
      <c r="L589" s="15"/>
      <c r="M589" s="15"/>
    </row>
    <row r="590" spans="1:13">
      <c r="A590" s="133" t="s">
        <v>54</v>
      </c>
      <c r="B590" s="6" t="s">
        <v>26</v>
      </c>
      <c r="C590" s="334" t="s">
        <v>67</v>
      </c>
      <c r="D590" s="334" t="s">
        <v>996</v>
      </c>
      <c r="E590" s="118" t="s">
        <v>634</v>
      </c>
      <c r="F590" s="103" t="s">
        <v>660</v>
      </c>
      <c r="G590" s="111">
        <v>682444</v>
      </c>
      <c r="H590" s="112">
        <v>92.7</v>
      </c>
      <c r="I590" s="137">
        <v>7361.8554476806903</v>
      </c>
      <c r="J590" s="13"/>
      <c r="K590" s="15"/>
      <c r="L590" s="15"/>
      <c r="M590" s="15"/>
    </row>
    <row r="591" spans="1:13">
      <c r="A591" s="133" t="s">
        <v>54</v>
      </c>
      <c r="B591" s="6" t="s">
        <v>26</v>
      </c>
      <c r="C591" s="110" t="s">
        <v>67</v>
      </c>
      <c r="D591" s="334" t="s">
        <v>997</v>
      </c>
      <c r="E591" s="118" t="s">
        <v>658</v>
      </c>
      <c r="F591" s="103" t="s">
        <v>660</v>
      </c>
      <c r="G591" s="111">
        <v>2147849</v>
      </c>
      <c r="H591" s="112">
        <v>283.24</v>
      </c>
      <c r="I591" s="137">
        <v>7583.1415054370846</v>
      </c>
      <c r="J591" s="13"/>
      <c r="K591" s="15"/>
      <c r="L591" s="15"/>
      <c r="M591" s="15"/>
    </row>
    <row r="592" spans="1:13">
      <c r="A592" s="130" t="s">
        <v>54</v>
      </c>
      <c r="B592" s="6" t="s">
        <v>26</v>
      </c>
      <c r="C592" s="110" t="s">
        <v>68</v>
      </c>
      <c r="D592" s="103" t="s">
        <v>1232</v>
      </c>
      <c r="E592" s="6" t="s">
        <v>323</v>
      </c>
      <c r="F592" s="334" t="s">
        <v>69</v>
      </c>
      <c r="G592" s="111">
        <v>50078304</v>
      </c>
      <c r="H592" s="112">
        <v>5928.83</v>
      </c>
      <c r="I592" s="137">
        <v>8446.5744506082992</v>
      </c>
      <c r="J592" s="13"/>
      <c r="K592" s="15"/>
      <c r="L592" s="15"/>
      <c r="M592" s="15"/>
    </row>
    <row r="593" spans="1:13">
      <c r="A593" s="130" t="s">
        <v>54</v>
      </c>
      <c r="B593" s="6" t="s">
        <v>26</v>
      </c>
      <c r="C593" s="334" t="s">
        <v>68</v>
      </c>
      <c r="D593" s="103" t="s">
        <v>1233</v>
      </c>
      <c r="E593" s="6" t="s">
        <v>324</v>
      </c>
      <c r="F593" s="334" t="s">
        <v>69</v>
      </c>
      <c r="G593" s="111">
        <v>35847509</v>
      </c>
      <c r="H593" s="112">
        <v>4460.9650000000001</v>
      </c>
      <c r="I593" s="137">
        <v>8035.8193798875354</v>
      </c>
      <c r="J593" s="13"/>
      <c r="K593" s="15"/>
      <c r="L593" s="15"/>
      <c r="M593" s="15"/>
    </row>
    <row r="594" spans="1:13">
      <c r="A594" s="133" t="s">
        <v>54</v>
      </c>
      <c r="B594" s="6" t="s">
        <v>26</v>
      </c>
      <c r="C594" s="110" t="s">
        <v>67</v>
      </c>
      <c r="D594" s="334" t="s">
        <v>998</v>
      </c>
      <c r="E594" s="118" t="s">
        <v>635</v>
      </c>
      <c r="F594" s="103" t="s">
        <v>660</v>
      </c>
      <c r="G594" s="111">
        <v>5090754</v>
      </c>
      <c r="H594" s="112">
        <v>667.57500000000005</v>
      </c>
      <c r="I594" s="137">
        <v>7625.7409279856192</v>
      </c>
      <c r="J594" s="13"/>
      <c r="K594" s="15"/>
      <c r="L594" s="15"/>
      <c r="M594" s="15"/>
    </row>
    <row r="595" spans="1:13">
      <c r="A595" s="130" t="s">
        <v>54</v>
      </c>
      <c r="B595" s="6" t="s">
        <v>26</v>
      </c>
      <c r="C595" s="110" t="s">
        <v>68</v>
      </c>
      <c r="D595" s="103" t="s">
        <v>1234</v>
      </c>
      <c r="E595" s="6" t="s">
        <v>325</v>
      </c>
      <c r="F595" s="333" t="s">
        <v>69</v>
      </c>
      <c r="G595" s="111">
        <v>2091411</v>
      </c>
      <c r="H595" s="112">
        <v>145.70500000000001</v>
      </c>
      <c r="I595" s="137">
        <v>14353.735287052605</v>
      </c>
      <c r="J595" s="13"/>
      <c r="K595" s="15"/>
      <c r="L595" s="15"/>
      <c r="M595" s="15"/>
    </row>
    <row r="596" spans="1:13">
      <c r="A596" s="133" t="s">
        <v>54</v>
      </c>
      <c r="B596" s="6" t="s">
        <v>26</v>
      </c>
      <c r="C596" s="333" t="s">
        <v>67</v>
      </c>
      <c r="D596" s="334" t="s">
        <v>999</v>
      </c>
      <c r="E596" s="118" t="s">
        <v>636</v>
      </c>
      <c r="F596" s="103" t="s">
        <v>660</v>
      </c>
      <c r="G596" s="111">
        <v>3066832</v>
      </c>
      <c r="H596" s="112">
        <v>396.96</v>
      </c>
      <c r="I596" s="137">
        <v>7725.7960499798473</v>
      </c>
      <c r="J596" s="13"/>
      <c r="K596" s="15"/>
      <c r="L596" s="15"/>
      <c r="M596" s="15"/>
    </row>
    <row r="597" spans="1:13">
      <c r="A597" s="130" t="s">
        <v>54</v>
      </c>
      <c r="B597" s="6" t="s">
        <v>26</v>
      </c>
      <c r="C597" s="334" t="s">
        <v>68</v>
      </c>
      <c r="D597" s="103" t="s">
        <v>1235</v>
      </c>
      <c r="E597" s="6" t="s">
        <v>326</v>
      </c>
      <c r="F597" s="334" t="s">
        <v>69</v>
      </c>
      <c r="G597" s="111">
        <v>2446248</v>
      </c>
      <c r="H597" s="112">
        <v>188.64</v>
      </c>
      <c r="I597" s="137">
        <v>12967.811704834607</v>
      </c>
      <c r="J597" s="13"/>
      <c r="K597" s="15"/>
      <c r="L597" s="15"/>
      <c r="M597" s="15"/>
    </row>
    <row r="598" spans="1:13">
      <c r="A598" s="130" t="s">
        <v>54</v>
      </c>
      <c r="B598" s="6" t="s">
        <v>26</v>
      </c>
      <c r="C598" s="110" t="s">
        <v>68</v>
      </c>
      <c r="D598" s="103" t="s">
        <v>1236</v>
      </c>
      <c r="E598" s="6" t="s">
        <v>327</v>
      </c>
      <c r="F598" s="334" t="s">
        <v>69</v>
      </c>
      <c r="G598" s="111">
        <v>22157844</v>
      </c>
      <c r="H598" s="112">
        <v>2508.1149999999998</v>
      </c>
      <c r="I598" s="137">
        <v>8834.4609397894437</v>
      </c>
      <c r="J598" s="13"/>
      <c r="K598" s="15"/>
      <c r="L598" s="15"/>
      <c r="M598" s="15"/>
    </row>
    <row r="599" spans="1:13">
      <c r="A599" s="130" t="s">
        <v>54</v>
      </c>
      <c r="B599" s="6" t="s">
        <v>26</v>
      </c>
      <c r="C599" s="334" t="s">
        <v>68</v>
      </c>
      <c r="D599" s="103" t="s">
        <v>1237</v>
      </c>
      <c r="E599" s="6" t="s">
        <v>328</v>
      </c>
      <c r="F599" s="334" t="s">
        <v>69</v>
      </c>
      <c r="G599" s="111">
        <v>3664669</v>
      </c>
      <c r="H599" s="112">
        <v>343.41</v>
      </c>
      <c r="I599" s="137">
        <v>10671.410267610145</v>
      </c>
      <c r="J599" s="13"/>
      <c r="K599" s="15"/>
      <c r="L599" s="15"/>
      <c r="M599" s="15"/>
    </row>
    <row r="600" spans="1:13">
      <c r="A600" s="130" t="s">
        <v>54</v>
      </c>
      <c r="B600" s="6" t="s">
        <v>26</v>
      </c>
      <c r="C600" s="110" t="s">
        <v>68</v>
      </c>
      <c r="D600" s="103" t="s">
        <v>1238</v>
      </c>
      <c r="E600" s="6" t="s">
        <v>26</v>
      </c>
      <c r="F600" s="333" t="s">
        <v>69</v>
      </c>
      <c r="G600" s="111">
        <v>83472444</v>
      </c>
      <c r="H600" s="112">
        <v>10082.959999999999</v>
      </c>
      <c r="I600" s="137">
        <v>8278.5654212651843</v>
      </c>
      <c r="J600" s="13"/>
      <c r="K600" s="15"/>
      <c r="L600" s="15"/>
      <c r="M600" s="15"/>
    </row>
    <row r="601" spans="1:13">
      <c r="A601" s="130" t="s">
        <v>54</v>
      </c>
      <c r="B601" s="6" t="s">
        <v>26</v>
      </c>
      <c r="C601" s="110" t="s">
        <v>68</v>
      </c>
      <c r="D601" s="103" t="s">
        <v>1239</v>
      </c>
      <c r="E601" s="6" t="s">
        <v>26</v>
      </c>
      <c r="F601" s="110" t="s">
        <v>71</v>
      </c>
      <c r="G601" s="111">
        <v>106395396</v>
      </c>
      <c r="H601" s="112">
        <v>10326.254999999999</v>
      </c>
      <c r="I601" s="137">
        <v>10303.38646488974</v>
      </c>
      <c r="J601" s="13"/>
      <c r="K601" s="15"/>
      <c r="L601" s="15"/>
      <c r="M601" s="15"/>
    </row>
    <row r="602" spans="1:13">
      <c r="A602" s="133" t="s">
        <v>54</v>
      </c>
      <c r="B602" s="6" t="s">
        <v>26</v>
      </c>
      <c r="C602" s="110" t="s">
        <v>67</v>
      </c>
      <c r="D602" s="334" t="s">
        <v>1000</v>
      </c>
      <c r="E602" s="118" t="s">
        <v>637</v>
      </c>
      <c r="F602" s="103" t="s">
        <v>660</v>
      </c>
      <c r="G602" s="111">
        <v>804098</v>
      </c>
      <c r="H602" s="112">
        <v>97.81</v>
      </c>
      <c r="I602" s="137">
        <v>8221.0203455679384</v>
      </c>
      <c r="J602" s="13"/>
      <c r="K602" s="15"/>
      <c r="L602" s="15"/>
      <c r="M602" s="15"/>
    </row>
    <row r="603" spans="1:13">
      <c r="A603" s="132" t="s">
        <v>46</v>
      </c>
      <c r="B603" s="120" t="s">
        <v>18</v>
      </c>
      <c r="C603" s="121" t="s">
        <v>67</v>
      </c>
      <c r="D603" s="121" t="s">
        <v>1240</v>
      </c>
      <c r="E603" s="120" t="s">
        <v>1265</v>
      </c>
      <c r="F603" s="121">
        <v>99</v>
      </c>
      <c r="G603" s="122">
        <v>826851</v>
      </c>
      <c r="H603" s="123">
        <v>102.4</v>
      </c>
      <c r="I603" s="138">
        <v>8074.716796875</v>
      </c>
      <c r="J603" s="13"/>
      <c r="K603" s="15"/>
      <c r="L603" s="15"/>
      <c r="M603" s="15"/>
    </row>
    <row r="604" spans="1:13">
      <c r="A604" s="131" t="s">
        <v>46</v>
      </c>
      <c r="B604" s="113" t="s">
        <v>18</v>
      </c>
      <c r="C604" s="114" t="s">
        <v>68</v>
      </c>
      <c r="D604" s="114" t="s">
        <v>1013</v>
      </c>
      <c r="E604" s="113" t="s">
        <v>1266</v>
      </c>
      <c r="F604" s="115" t="s">
        <v>143</v>
      </c>
      <c r="G604" s="116">
        <v>27062697</v>
      </c>
      <c r="H604" s="117">
        <v>2514.7179999999998</v>
      </c>
      <c r="I604" s="136">
        <v>10761.722387957616</v>
      </c>
      <c r="J604" s="13"/>
      <c r="K604" s="15"/>
      <c r="L604" s="15"/>
      <c r="M604" s="15"/>
    </row>
    <row r="605" spans="1:13">
      <c r="A605" s="130" t="s">
        <v>46</v>
      </c>
      <c r="B605" s="6" t="s">
        <v>18</v>
      </c>
      <c r="C605" s="110" t="s">
        <v>68</v>
      </c>
      <c r="D605" s="103" t="s">
        <v>1070</v>
      </c>
      <c r="E605" s="6" t="s">
        <v>175</v>
      </c>
      <c r="F605" s="333" t="s">
        <v>71</v>
      </c>
      <c r="G605" s="111">
        <v>2508843</v>
      </c>
      <c r="H605" s="112">
        <v>129.018</v>
      </c>
      <c r="I605" s="137">
        <v>19445.681997860764</v>
      </c>
      <c r="J605" s="13"/>
      <c r="K605" s="15"/>
      <c r="L605" s="15"/>
      <c r="M605" s="15"/>
    </row>
    <row r="606" spans="1:13">
      <c r="A606" s="130" t="s">
        <v>46</v>
      </c>
      <c r="B606" s="6" t="s">
        <v>18</v>
      </c>
      <c r="C606" s="110" t="s">
        <v>68</v>
      </c>
      <c r="D606" s="103" t="s">
        <v>1071</v>
      </c>
      <c r="E606" s="6" t="s">
        <v>176</v>
      </c>
      <c r="F606" s="334" t="s">
        <v>69</v>
      </c>
      <c r="G606" s="111">
        <v>863662</v>
      </c>
      <c r="H606" s="112">
        <v>47.295000000000002</v>
      </c>
      <c r="I606" s="137">
        <v>18261.169256792473</v>
      </c>
      <c r="J606" s="13"/>
      <c r="K606" s="15"/>
      <c r="L606" s="15"/>
      <c r="M606" s="15"/>
    </row>
    <row r="607" spans="1:13">
      <c r="A607" s="130" t="s">
        <v>46</v>
      </c>
      <c r="B607" s="6" t="s">
        <v>18</v>
      </c>
      <c r="C607" s="334" t="s">
        <v>67</v>
      </c>
      <c r="D607" s="334" t="s">
        <v>685</v>
      </c>
      <c r="E607" s="118" t="s">
        <v>638</v>
      </c>
      <c r="F607" s="103" t="s">
        <v>660</v>
      </c>
      <c r="G607" s="111">
        <v>826851</v>
      </c>
      <c r="H607" s="112">
        <v>102.4</v>
      </c>
      <c r="I607" s="137">
        <v>8074.716796875</v>
      </c>
      <c r="J607" s="13"/>
      <c r="K607" s="15"/>
      <c r="L607" s="15"/>
      <c r="M607" s="15"/>
    </row>
    <row r="608" spans="1:13">
      <c r="A608" s="130" t="s">
        <v>46</v>
      </c>
      <c r="B608" s="6" t="s">
        <v>18</v>
      </c>
      <c r="C608" s="110" t="s">
        <v>68</v>
      </c>
      <c r="D608" s="103" t="s">
        <v>1072</v>
      </c>
      <c r="E608" s="6" t="s">
        <v>177</v>
      </c>
      <c r="F608" s="110" t="s">
        <v>329</v>
      </c>
      <c r="G608" s="111">
        <v>17809859</v>
      </c>
      <c r="H608" s="112">
        <v>1900.115</v>
      </c>
      <c r="I608" s="137">
        <v>9373.0426842585839</v>
      </c>
      <c r="J608" s="13"/>
      <c r="K608" s="15"/>
      <c r="L608" s="15"/>
      <c r="M608" s="15"/>
    </row>
    <row r="609" spans="1:16">
      <c r="A609" s="130" t="s">
        <v>46</v>
      </c>
      <c r="B609" s="6" t="s">
        <v>18</v>
      </c>
      <c r="C609" s="110" t="s">
        <v>68</v>
      </c>
      <c r="D609" s="103" t="s">
        <v>1073</v>
      </c>
      <c r="E609" s="6" t="s">
        <v>178</v>
      </c>
      <c r="F609" s="110" t="s">
        <v>69</v>
      </c>
      <c r="G609" s="111">
        <v>2683894</v>
      </c>
      <c r="H609" s="112">
        <v>259.89</v>
      </c>
      <c r="I609" s="137">
        <v>10327.038362384086</v>
      </c>
      <c r="J609" s="13"/>
      <c r="K609" s="15"/>
      <c r="L609" s="15"/>
      <c r="M609" s="15"/>
    </row>
    <row r="610" spans="1:16">
      <c r="A610" s="130" t="s">
        <v>46</v>
      </c>
      <c r="B610" s="6" t="s">
        <v>18</v>
      </c>
      <c r="C610" s="110" t="s">
        <v>68</v>
      </c>
      <c r="D610" s="103" t="s">
        <v>1074</v>
      </c>
      <c r="E610" s="6" t="s">
        <v>179</v>
      </c>
      <c r="F610" s="110" t="s">
        <v>174</v>
      </c>
      <c r="G610" s="111">
        <v>1617227</v>
      </c>
      <c r="H610" s="112">
        <v>101.375</v>
      </c>
      <c r="I610" s="137">
        <v>15952.917385943279</v>
      </c>
      <c r="J610" s="13"/>
      <c r="K610" s="15"/>
      <c r="L610" s="15"/>
      <c r="M610" s="15"/>
    </row>
    <row r="611" spans="1:16">
      <c r="A611" s="337" t="s">
        <v>46</v>
      </c>
      <c r="B611" s="101" t="s">
        <v>18</v>
      </c>
      <c r="C611" s="102" t="s">
        <v>68</v>
      </c>
      <c r="D611" s="142" t="s">
        <v>1075</v>
      </c>
      <c r="E611" s="101" t="s">
        <v>180</v>
      </c>
      <c r="F611" s="102" t="s">
        <v>69</v>
      </c>
      <c r="G611" s="143">
        <v>1579212</v>
      </c>
      <c r="H611" s="144">
        <v>77.025000000000006</v>
      </c>
      <c r="I611" s="145">
        <v>20502.590068159687</v>
      </c>
      <c r="J611" s="13"/>
      <c r="K611" s="15"/>
      <c r="L611" s="15"/>
      <c r="M611" s="15"/>
    </row>
    <row r="612" spans="1:16">
      <c r="J612" s="13"/>
      <c r="K612" s="15"/>
      <c r="L612" s="15"/>
      <c r="M612" s="15"/>
    </row>
    <row r="613" spans="1:16">
      <c r="J613" s="13"/>
      <c r="K613" s="15"/>
      <c r="L613" s="15"/>
      <c r="M613" s="15"/>
    </row>
    <row r="614" spans="1:16">
      <c r="A614" s="158" t="s">
        <v>87</v>
      </c>
      <c r="B614" s="159"/>
      <c r="C614" s="159"/>
      <c r="D614" s="159"/>
      <c r="E614" s="159"/>
      <c r="F614" s="159"/>
      <c r="G614" s="159"/>
      <c r="H614" s="159"/>
      <c r="I614" s="160"/>
      <c r="J614" s="354"/>
      <c r="K614" s="354"/>
      <c r="L614" s="354"/>
      <c r="M614" s="354"/>
      <c r="N614" s="157"/>
      <c r="O614" s="157"/>
      <c r="P614" s="157"/>
    </row>
    <row r="615" spans="1:16">
      <c r="A615" s="158" t="s">
        <v>89</v>
      </c>
      <c r="B615" s="159"/>
      <c r="C615" s="159"/>
      <c r="D615" s="159"/>
      <c r="E615" s="159"/>
      <c r="F615" s="159"/>
      <c r="G615" s="159"/>
      <c r="H615" s="159"/>
      <c r="I615" s="160"/>
      <c r="J615" s="354"/>
      <c r="K615" s="354"/>
      <c r="L615" s="354"/>
      <c r="M615" s="354"/>
      <c r="N615" s="157"/>
      <c r="O615" s="157"/>
      <c r="P615" s="157"/>
    </row>
    <row r="616" spans="1:16">
      <c r="A616" s="158" t="s">
        <v>90</v>
      </c>
      <c r="B616" s="159"/>
      <c r="C616" s="159"/>
      <c r="D616" s="159"/>
      <c r="E616" s="159"/>
      <c r="F616" s="159"/>
      <c r="G616" s="159"/>
      <c r="H616" s="159"/>
      <c r="I616" s="160"/>
      <c r="J616" s="354"/>
      <c r="K616" s="354"/>
      <c r="L616" s="354"/>
      <c r="M616" s="354"/>
      <c r="N616" s="157"/>
      <c r="O616" s="157"/>
      <c r="P616" s="157"/>
    </row>
    <row r="617" spans="1:16">
      <c r="J617" s="307"/>
      <c r="K617" s="355"/>
      <c r="L617" s="355"/>
      <c r="M617" s="355"/>
      <c r="N617" s="43"/>
      <c r="O617" s="43"/>
      <c r="P617" s="43"/>
    </row>
    <row r="618" spans="1:16">
      <c r="J618" s="13"/>
      <c r="K618" s="15"/>
      <c r="L618" s="15"/>
      <c r="M618" s="15"/>
    </row>
    <row r="619" spans="1:16">
      <c r="J619" s="13"/>
      <c r="K619" s="15"/>
      <c r="L619" s="15"/>
      <c r="M619" s="15"/>
    </row>
    <row r="620" spans="1:16">
      <c r="J620" s="13"/>
      <c r="K620" s="15"/>
      <c r="L620" s="15"/>
      <c r="M620" s="15"/>
    </row>
    <row r="621" spans="1:16">
      <c r="J621" s="13"/>
      <c r="K621" s="15"/>
      <c r="L621" s="15"/>
      <c r="M621" s="15"/>
    </row>
    <row r="622" spans="1:16">
      <c r="J622" s="13"/>
      <c r="K622" s="15"/>
      <c r="L622" s="15"/>
      <c r="M622" s="15"/>
    </row>
    <row r="623" spans="1:16">
      <c r="J623" s="13"/>
      <c r="K623" s="15"/>
      <c r="L623" s="15"/>
      <c r="M623" s="15"/>
    </row>
    <row r="624" spans="1:16">
      <c r="J624" s="13"/>
      <c r="K624" s="15"/>
      <c r="L624" s="15"/>
      <c r="M624" s="15"/>
    </row>
    <row r="625" spans="10:13">
      <c r="J625" s="13"/>
      <c r="K625" s="15"/>
      <c r="L625" s="15"/>
      <c r="M625" s="15"/>
    </row>
    <row r="626" spans="10:13">
      <c r="J626" s="13"/>
      <c r="K626" s="15"/>
      <c r="L626" s="15"/>
      <c r="M626" s="15"/>
    </row>
  </sheetData>
  <mergeCells count="16">
    <mergeCell ref="T207:U207"/>
    <mergeCell ref="W207:Y207"/>
    <mergeCell ref="Z207:AD207"/>
    <mergeCell ref="Z206:AD206"/>
    <mergeCell ref="V267:Y267"/>
    <mergeCell ref="Z5:AD5"/>
    <mergeCell ref="T5:U5"/>
    <mergeCell ref="W5:Y5"/>
    <mergeCell ref="L65:P65"/>
    <mergeCell ref="L66:P66"/>
    <mergeCell ref="L67:P67"/>
    <mergeCell ref="V201:Y201"/>
    <mergeCell ref="L62:P62"/>
    <mergeCell ref="L61:P61"/>
    <mergeCell ref="L63:P63"/>
    <mergeCell ref="L64:P64"/>
  </mergeCells>
  <pageMargins left="0.4" right="0.4" top="0.5" bottom="0.5" header="0.3" footer="0"/>
  <pageSetup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dimension ref="A1:Y32"/>
  <sheetViews>
    <sheetView workbookViewId="0"/>
  </sheetViews>
  <sheetFormatPr defaultRowHeight="15"/>
  <cols>
    <col min="1" max="1" width="4.28515625" customWidth="1"/>
    <col min="2" max="2" width="8.42578125" customWidth="1"/>
    <col min="3" max="3" width="11.42578125" customWidth="1"/>
    <col min="4" max="4" width="6.7109375" customWidth="1"/>
    <col min="5" max="5" width="6.5703125" customWidth="1"/>
    <col min="6" max="6" width="10.28515625" customWidth="1"/>
    <col min="7" max="7" width="6.140625" customWidth="1"/>
    <col min="8" max="8" width="5.85546875" customWidth="1"/>
    <col min="9" max="9" width="11.7109375" bestFit="1" customWidth="1"/>
    <col min="10" max="10" width="6.85546875" customWidth="1"/>
    <col min="11" max="11" width="6.140625" customWidth="1"/>
    <col min="12" max="12" width="8.7109375" customWidth="1"/>
    <col min="13" max="13" width="5.5703125" customWidth="1"/>
    <col min="14" max="14" width="4" customWidth="1"/>
    <col min="15" max="15" width="11.7109375" bestFit="1" customWidth="1"/>
    <col min="16" max="16" width="6.42578125" customWidth="1"/>
    <col min="17" max="17" width="5.5703125" customWidth="1"/>
    <col min="18" max="18" width="11.7109375" customWidth="1"/>
  </cols>
  <sheetData>
    <row r="1" spans="1:25">
      <c r="A1" s="161" t="s">
        <v>1296</v>
      </c>
      <c r="B1" s="162"/>
      <c r="C1" s="163"/>
      <c r="D1" s="164"/>
      <c r="E1" s="163"/>
      <c r="F1" s="165"/>
      <c r="G1" s="166"/>
      <c r="H1" s="165"/>
      <c r="I1" s="165"/>
      <c r="J1" s="166"/>
      <c r="K1" s="165"/>
      <c r="L1" s="165"/>
      <c r="M1" s="166"/>
      <c r="N1" s="165"/>
      <c r="O1" s="165"/>
      <c r="P1" s="166"/>
      <c r="Q1" s="165"/>
    </row>
    <row r="2" spans="1:25">
      <c r="A2" s="167" t="s">
        <v>64</v>
      </c>
      <c r="B2" s="162"/>
      <c r="C2" s="54"/>
      <c r="D2" s="162"/>
      <c r="E2" s="162"/>
      <c r="F2" s="162"/>
      <c r="G2" s="162"/>
      <c r="H2" s="162"/>
      <c r="I2" s="162"/>
      <c r="J2" s="162"/>
      <c r="K2" s="162"/>
      <c r="L2" s="162"/>
      <c r="M2" s="162"/>
      <c r="N2" s="162"/>
      <c r="O2" s="162"/>
      <c r="P2" s="162"/>
      <c r="Q2" s="162"/>
    </row>
    <row r="3" spans="1:25">
      <c r="A3" s="161" t="s">
        <v>88</v>
      </c>
      <c r="B3" s="162"/>
      <c r="C3" s="162"/>
      <c r="D3" s="162"/>
      <c r="E3" s="162"/>
      <c r="F3" s="162"/>
      <c r="G3" s="162"/>
      <c r="H3" s="162"/>
      <c r="I3" s="162"/>
      <c r="J3" s="162"/>
      <c r="K3" s="162"/>
      <c r="L3" s="162"/>
      <c r="M3" s="162"/>
      <c r="N3" s="162"/>
      <c r="O3" s="162"/>
      <c r="P3" s="162"/>
      <c r="Q3" s="162"/>
      <c r="R3" s="2"/>
      <c r="S3" s="16"/>
      <c r="T3" s="155" t="s">
        <v>1281</v>
      </c>
      <c r="U3" s="155"/>
      <c r="V3" s="156"/>
      <c r="W3" s="156"/>
      <c r="X3" s="156"/>
      <c r="Y3" s="12"/>
    </row>
    <row r="4" spans="1:25">
      <c r="A4" s="25" t="s">
        <v>3</v>
      </c>
      <c r="B4" s="26"/>
      <c r="C4" s="27" t="s">
        <v>39</v>
      </c>
      <c r="D4" s="27" t="s">
        <v>58</v>
      </c>
      <c r="E4" s="27"/>
      <c r="F4" s="26" t="s">
        <v>1</v>
      </c>
      <c r="G4" s="28"/>
      <c r="H4" s="28"/>
      <c r="I4" s="26" t="s">
        <v>2</v>
      </c>
      <c r="J4" s="28"/>
      <c r="K4" s="28"/>
      <c r="L4" s="26" t="s">
        <v>62</v>
      </c>
      <c r="M4" s="28"/>
      <c r="N4" s="28"/>
      <c r="O4" s="26" t="s">
        <v>4</v>
      </c>
      <c r="P4" s="28"/>
      <c r="Q4" s="29"/>
      <c r="R4" s="2"/>
      <c r="S4" s="16"/>
      <c r="T4" s="155" t="s">
        <v>1282</v>
      </c>
      <c r="U4" s="155"/>
      <c r="V4" s="155"/>
      <c r="W4" s="155"/>
      <c r="X4" s="155"/>
      <c r="Y4" s="16"/>
    </row>
    <row r="5" spans="1:25">
      <c r="A5" s="49" t="s">
        <v>5</v>
      </c>
      <c r="B5" s="27" t="s">
        <v>55</v>
      </c>
      <c r="C5" s="50" t="s">
        <v>56</v>
      </c>
      <c r="D5" s="50" t="s">
        <v>59</v>
      </c>
      <c r="E5" s="51" t="s">
        <v>57</v>
      </c>
      <c r="F5" s="52" t="s">
        <v>7</v>
      </c>
      <c r="G5" s="51" t="s">
        <v>0</v>
      </c>
      <c r="H5" s="51" t="s">
        <v>57</v>
      </c>
      <c r="I5" s="51" t="s">
        <v>7</v>
      </c>
      <c r="J5" s="51" t="s">
        <v>0</v>
      </c>
      <c r="K5" s="51" t="s">
        <v>57</v>
      </c>
      <c r="L5" s="51" t="s">
        <v>7</v>
      </c>
      <c r="M5" s="51" t="s">
        <v>0</v>
      </c>
      <c r="N5" s="51" t="s">
        <v>57</v>
      </c>
      <c r="O5" s="51" t="s">
        <v>7</v>
      </c>
      <c r="P5" s="51" t="s">
        <v>0</v>
      </c>
      <c r="Q5" s="51" t="s">
        <v>57</v>
      </c>
      <c r="R5" s="2"/>
      <c r="S5" s="1"/>
      <c r="T5" s="1"/>
      <c r="U5" s="1"/>
      <c r="V5" s="1"/>
      <c r="W5" s="1"/>
      <c r="X5" s="1"/>
      <c r="Y5" s="1"/>
    </row>
    <row r="6" spans="1:25" ht="24.75" customHeight="1">
      <c r="A6" s="44" t="s">
        <v>65</v>
      </c>
      <c r="B6" s="31" t="s">
        <v>66</v>
      </c>
      <c r="C6" s="32" t="s">
        <v>67</v>
      </c>
      <c r="D6" s="32" t="s">
        <v>68</v>
      </c>
      <c r="E6" s="33" t="s">
        <v>69</v>
      </c>
      <c r="F6" s="34" t="s">
        <v>81</v>
      </c>
      <c r="G6" s="33" t="s">
        <v>70</v>
      </c>
      <c r="H6" s="33" t="s">
        <v>71</v>
      </c>
      <c r="I6" s="33" t="s">
        <v>72</v>
      </c>
      <c r="J6" s="33" t="s">
        <v>73</v>
      </c>
      <c r="K6" s="33" t="s">
        <v>74</v>
      </c>
      <c r="L6" s="33" t="s">
        <v>75</v>
      </c>
      <c r="M6" s="33" t="s">
        <v>76</v>
      </c>
      <c r="N6" s="33" t="s">
        <v>77</v>
      </c>
      <c r="O6" s="33" t="s">
        <v>78</v>
      </c>
      <c r="P6" s="33" t="s">
        <v>79</v>
      </c>
      <c r="Q6" s="32" t="s">
        <v>80</v>
      </c>
      <c r="R6" s="2"/>
      <c r="S6" s="1"/>
      <c r="T6" s="1"/>
      <c r="U6" s="1"/>
      <c r="V6" s="1"/>
      <c r="W6" s="1"/>
      <c r="X6" s="1"/>
      <c r="Y6" s="1"/>
    </row>
    <row r="7" spans="1:25">
      <c r="A7" s="46" t="s">
        <v>1263</v>
      </c>
      <c r="B7" s="22" t="s">
        <v>1286</v>
      </c>
      <c r="C7" s="60">
        <v>675226730</v>
      </c>
      <c r="D7" s="62">
        <v>88587</v>
      </c>
      <c r="E7" s="60">
        <v>7622.1875670245072</v>
      </c>
      <c r="F7" s="23">
        <v>58677202.837000005</v>
      </c>
      <c r="G7" s="24">
        <v>8.6900000000000005E-2</v>
      </c>
      <c r="H7" s="23">
        <v>662.36809957442972</v>
      </c>
      <c r="I7" s="23">
        <v>568675952.00599992</v>
      </c>
      <c r="J7" s="24">
        <v>0.84219999999999984</v>
      </c>
      <c r="K7" s="23">
        <v>6419.406368948039</v>
      </c>
      <c r="L7" s="23">
        <v>1215408.1140000001</v>
      </c>
      <c r="M7" s="24">
        <v>1.8000000000000002E-3</v>
      </c>
      <c r="N7" s="23">
        <v>13.719937620644114</v>
      </c>
      <c r="O7" s="23">
        <v>46658167.042999998</v>
      </c>
      <c r="P7" s="24">
        <v>6.9099999999999995E-2</v>
      </c>
      <c r="Q7" s="56">
        <v>526.6931608813934</v>
      </c>
      <c r="R7" s="2"/>
      <c r="S7" s="147" t="s">
        <v>1248</v>
      </c>
      <c r="T7" s="148"/>
      <c r="U7" s="148"/>
      <c r="V7" s="148"/>
      <c r="W7" s="148"/>
      <c r="X7" s="148"/>
      <c r="Y7" s="148"/>
    </row>
    <row r="8" spans="1:25">
      <c r="A8" s="92" t="s">
        <v>1263</v>
      </c>
      <c r="B8" s="93" t="s">
        <v>1285</v>
      </c>
      <c r="C8" s="94">
        <v>8953120539</v>
      </c>
      <c r="D8" s="95">
        <v>935219</v>
      </c>
      <c r="E8" s="94">
        <v>9573.2876887659477</v>
      </c>
      <c r="F8" s="86">
        <v>955251395</v>
      </c>
      <c r="G8" s="87">
        <v>0.10669479885129468</v>
      </c>
      <c r="H8" s="86">
        <v>1021.4200042984585</v>
      </c>
      <c r="I8" s="86">
        <v>4365833746</v>
      </c>
      <c r="J8" s="87">
        <v>0.48763263344688895</v>
      </c>
      <c r="K8" s="86">
        <v>4668.2474864176202</v>
      </c>
      <c r="L8" s="86">
        <v>4074850</v>
      </c>
      <c r="M8" s="87">
        <v>4.5513181490742355E-4</v>
      </c>
      <c r="N8" s="86">
        <v>4.3571078004189392</v>
      </c>
      <c r="O8" s="86">
        <v>3627960548</v>
      </c>
      <c r="P8" s="87">
        <v>0.40521743588690895</v>
      </c>
      <c r="Q8" s="91">
        <v>3879.2630902494498</v>
      </c>
      <c r="R8" s="2"/>
      <c r="S8" s="148"/>
      <c r="T8" s="149" t="s">
        <v>1283</v>
      </c>
      <c r="U8" s="149"/>
      <c r="V8" s="149"/>
      <c r="W8" s="149"/>
      <c r="X8" s="149"/>
      <c r="Y8" s="148"/>
    </row>
    <row r="9" spans="1:25">
      <c r="A9" s="45" t="s">
        <v>40</v>
      </c>
      <c r="B9" s="17" t="s">
        <v>12</v>
      </c>
      <c r="C9" s="7">
        <f t="shared" ref="C9:C23" si="0">F9+I9+L9+O9</f>
        <v>180814970</v>
      </c>
      <c r="D9" s="18">
        <v>12885</v>
      </c>
      <c r="E9" s="3">
        <f t="shared" ref="E9:E23" si="1">$C9/D9</f>
        <v>14032.981761738456</v>
      </c>
      <c r="F9" s="3">
        <v>77676166</v>
      </c>
      <c r="G9" s="5">
        <f t="shared" ref="G9:G23" si="2">F9/$C9</f>
        <v>0.42958924252787256</v>
      </c>
      <c r="H9" s="3">
        <f t="shared" ref="H9:H23" si="3">F9/$D9</f>
        <v>6028.4180054326735</v>
      </c>
      <c r="I9" s="3">
        <v>78896695</v>
      </c>
      <c r="J9" s="5">
        <f t="shared" ref="J9:J23" si="4">I9/$C9</f>
        <v>0.43633939711960795</v>
      </c>
      <c r="K9" s="3">
        <f t="shared" ref="K9:K23" si="5">I9/$D9</f>
        <v>6123.1428017074113</v>
      </c>
      <c r="L9" s="3">
        <v>61698</v>
      </c>
      <c r="M9" s="5">
        <f t="shared" ref="M9:M23" si="6">L9/$C9</f>
        <v>3.4122174729227342E-4</v>
      </c>
      <c r="N9" s="3">
        <f t="shared" ref="N9:N23" si="7">L9/$D9</f>
        <v>4.7883585564610014</v>
      </c>
      <c r="O9" s="3">
        <v>24180411</v>
      </c>
      <c r="P9" s="5">
        <f t="shared" ref="P9:P23" si="8">O9/$C9</f>
        <v>0.1337301386052272</v>
      </c>
      <c r="Q9" s="47">
        <f t="shared" ref="Q9:Q23" si="9">O9/$D9</f>
        <v>1876.6325960419092</v>
      </c>
      <c r="R9" s="2"/>
      <c r="S9" s="148"/>
      <c r="T9" s="149" t="s">
        <v>1284</v>
      </c>
      <c r="U9" s="149"/>
      <c r="V9" s="149"/>
      <c r="W9" s="149"/>
      <c r="X9" s="149"/>
      <c r="Y9" s="148"/>
    </row>
    <row r="10" spans="1:25">
      <c r="A10" s="45" t="s">
        <v>41</v>
      </c>
      <c r="B10" s="17" t="s">
        <v>13</v>
      </c>
      <c r="C10" s="7">
        <f t="shared" si="0"/>
        <v>168974628</v>
      </c>
      <c r="D10" s="18">
        <v>18844</v>
      </c>
      <c r="E10" s="3">
        <f t="shared" si="1"/>
        <v>8967.0254722988757</v>
      </c>
      <c r="F10" s="3">
        <v>26240638</v>
      </c>
      <c r="G10" s="5">
        <f t="shared" si="2"/>
        <v>0.15529336155721557</v>
      </c>
      <c r="H10" s="3">
        <f t="shared" si="3"/>
        <v>1392.5195287624708</v>
      </c>
      <c r="I10" s="3">
        <v>95406241</v>
      </c>
      <c r="J10" s="5">
        <f t="shared" si="4"/>
        <v>0.56461873672537399</v>
      </c>
      <c r="K10" s="3">
        <f t="shared" si="5"/>
        <v>5062.9505943536406</v>
      </c>
      <c r="L10" s="3">
        <v>120996</v>
      </c>
      <c r="M10" s="5">
        <f t="shared" si="6"/>
        <v>7.1606016496157047E-4</v>
      </c>
      <c r="N10" s="3">
        <f t="shared" si="7"/>
        <v>6.4209297389089368</v>
      </c>
      <c r="O10" s="3">
        <v>47206753</v>
      </c>
      <c r="P10" s="5">
        <f t="shared" si="8"/>
        <v>0.27937184155244893</v>
      </c>
      <c r="Q10" s="47">
        <f t="shared" si="9"/>
        <v>2505.1344194438548</v>
      </c>
      <c r="R10" s="2"/>
      <c r="S10" s="148"/>
      <c r="T10" s="149" t="s">
        <v>1250</v>
      </c>
      <c r="U10" s="149"/>
      <c r="V10" s="149"/>
      <c r="W10" s="149"/>
      <c r="X10" s="149"/>
      <c r="Y10" s="148"/>
    </row>
    <row r="11" spans="1:25">
      <c r="A11" s="45" t="s">
        <v>42</v>
      </c>
      <c r="B11" s="19" t="s">
        <v>14</v>
      </c>
      <c r="C11" s="21">
        <f t="shared" si="0"/>
        <v>187279341</v>
      </c>
      <c r="D11" s="11">
        <v>17937</v>
      </c>
      <c r="E11" s="9">
        <f t="shared" si="1"/>
        <v>10440.95116240174</v>
      </c>
      <c r="F11" s="9">
        <v>39779807</v>
      </c>
      <c r="G11" s="20">
        <f t="shared" si="2"/>
        <v>0.21240894370725066</v>
      </c>
      <c r="H11" s="9">
        <f t="shared" si="3"/>
        <v>2217.7514077047445</v>
      </c>
      <c r="I11" s="9">
        <v>71999887</v>
      </c>
      <c r="J11" s="20">
        <f t="shared" si="4"/>
        <v>0.38445183871081651</v>
      </c>
      <c r="K11" s="9">
        <f t="shared" si="5"/>
        <v>4014.0428722751853</v>
      </c>
      <c r="L11" s="9">
        <v>1121484</v>
      </c>
      <c r="M11" s="20">
        <f t="shared" si="6"/>
        <v>5.9882953133629409E-3</v>
      </c>
      <c r="N11" s="9">
        <f t="shared" si="7"/>
        <v>62.523498912861683</v>
      </c>
      <c r="O11" s="9">
        <v>74378163</v>
      </c>
      <c r="P11" s="20">
        <f t="shared" si="8"/>
        <v>0.39715092226856991</v>
      </c>
      <c r="Q11" s="55">
        <f t="shared" si="9"/>
        <v>4146.6333835089481</v>
      </c>
      <c r="R11" s="2"/>
      <c r="S11" s="148"/>
      <c r="T11" s="153" t="s">
        <v>1275</v>
      </c>
      <c r="U11" s="154"/>
      <c r="V11" s="154"/>
      <c r="W11" s="154"/>
      <c r="X11" s="154"/>
      <c r="Y11" s="148"/>
    </row>
    <row r="12" spans="1:25">
      <c r="A12" s="45" t="s">
        <v>43</v>
      </c>
      <c r="B12" s="17" t="s">
        <v>15</v>
      </c>
      <c r="C12" s="7">
        <f t="shared" si="0"/>
        <v>78430781</v>
      </c>
      <c r="D12" s="18">
        <v>7585</v>
      </c>
      <c r="E12" s="3">
        <f t="shared" si="1"/>
        <v>10340.247989452868</v>
      </c>
      <c r="F12" s="3">
        <v>16969152</v>
      </c>
      <c r="G12" s="5">
        <f t="shared" si="2"/>
        <v>0.21635831982853773</v>
      </c>
      <c r="H12" s="3">
        <f t="shared" si="3"/>
        <v>2237.1986816084377</v>
      </c>
      <c r="I12" s="3">
        <v>35924121</v>
      </c>
      <c r="J12" s="5">
        <f t="shared" si="4"/>
        <v>0.45803599737200118</v>
      </c>
      <c r="K12" s="3">
        <f t="shared" si="5"/>
        <v>4736.205800922874</v>
      </c>
      <c r="L12" s="3">
        <v>0</v>
      </c>
      <c r="M12" s="5">
        <f t="shared" si="6"/>
        <v>0</v>
      </c>
      <c r="N12" s="3">
        <f t="shared" si="7"/>
        <v>0</v>
      </c>
      <c r="O12" s="3">
        <v>25537508</v>
      </c>
      <c r="P12" s="5">
        <f t="shared" si="8"/>
        <v>0.32560568279946112</v>
      </c>
      <c r="Q12" s="47">
        <f t="shared" si="9"/>
        <v>3366.8435069215557</v>
      </c>
      <c r="R12" s="2"/>
      <c r="S12" s="148"/>
      <c r="T12" s="152" t="s">
        <v>1290</v>
      </c>
      <c r="U12" s="149"/>
      <c r="V12" s="149"/>
      <c r="W12" s="149"/>
      <c r="X12" s="149"/>
      <c r="Y12" s="148"/>
    </row>
    <row r="13" spans="1:25">
      <c r="A13" s="45" t="s">
        <v>44</v>
      </c>
      <c r="B13" s="17" t="s">
        <v>16</v>
      </c>
      <c r="C13" s="7">
        <f t="shared" si="0"/>
        <v>50375843</v>
      </c>
      <c r="D13" s="18">
        <v>5744</v>
      </c>
      <c r="E13" s="3">
        <f t="shared" si="1"/>
        <v>8770.1676532033434</v>
      </c>
      <c r="F13" s="3">
        <v>7804918</v>
      </c>
      <c r="G13" s="5">
        <f t="shared" si="2"/>
        <v>0.15493374473157701</v>
      </c>
      <c r="H13" s="3">
        <f t="shared" si="3"/>
        <v>1358.7949164345405</v>
      </c>
      <c r="I13" s="3">
        <v>33115297</v>
      </c>
      <c r="J13" s="5">
        <f t="shared" si="4"/>
        <v>0.6573646221662236</v>
      </c>
      <c r="K13" s="3">
        <f t="shared" si="5"/>
        <v>5765.1979456824511</v>
      </c>
      <c r="L13" s="3">
        <v>22392</v>
      </c>
      <c r="M13" s="5">
        <f t="shared" si="6"/>
        <v>4.4449876501322273E-4</v>
      </c>
      <c r="N13" s="3">
        <f t="shared" si="7"/>
        <v>3.8983286908077996</v>
      </c>
      <c r="O13" s="3">
        <v>9433236</v>
      </c>
      <c r="P13" s="5">
        <f t="shared" si="8"/>
        <v>0.18725713433718619</v>
      </c>
      <c r="Q13" s="47">
        <f t="shared" si="9"/>
        <v>1642.2764623955431</v>
      </c>
      <c r="R13" s="2"/>
      <c r="S13" s="148"/>
      <c r="T13" s="149" t="s">
        <v>1291</v>
      </c>
      <c r="U13" s="149"/>
      <c r="V13" s="149"/>
      <c r="W13" s="149"/>
      <c r="X13" s="149"/>
      <c r="Y13" s="148"/>
    </row>
    <row r="14" spans="1:25">
      <c r="A14" s="45" t="s">
        <v>45</v>
      </c>
      <c r="B14" s="17" t="s">
        <v>17</v>
      </c>
      <c r="C14" s="7">
        <f t="shared" si="0"/>
        <v>13872990</v>
      </c>
      <c r="D14" s="18">
        <v>1620</v>
      </c>
      <c r="E14" s="3">
        <f t="shared" si="1"/>
        <v>8563.5740740740748</v>
      </c>
      <c r="F14" s="3">
        <v>990720</v>
      </c>
      <c r="G14" s="5">
        <f t="shared" si="2"/>
        <v>7.1413588563099956E-2</v>
      </c>
      <c r="H14" s="3">
        <f t="shared" si="3"/>
        <v>611.55555555555554</v>
      </c>
      <c r="I14" s="3">
        <v>4079074</v>
      </c>
      <c r="J14" s="5">
        <f t="shared" si="4"/>
        <v>0.29402990991848188</v>
      </c>
      <c r="K14" s="3">
        <f t="shared" si="5"/>
        <v>2517.9469135802469</v>
      </c>
      <c r="L14" s="3">
        <v>0</v>
      </c>
      <c r="M14" s="5">
        <f t="shared" si="6"/>
        <v>0</v>
      </c>
      <c r="N14" s="3">
        <f t="shared" si="7"/>
        <v>0</v>
      </c>
      <c r="O14" s="3">
        <v>8803196</v>
      </c>
      <c r="P14" s="5">
        <f t="shared" si="8"/>
        <v>0.63455650151841814</v>
      </c>
      <c r="Q14" s="47">
        <f t="shared" si="9"/>
        <v>5434.0716049382718</v>
      </c>
      <c r="R14" s="2"/>
      <c r="S14" s="148"/>
      <c r="T14" s="149" t="s">
        <v>1292</v>
      </c>
      <c r="U14" s="149"/>
      <c r="V14" s="149"/>
      <c r="W14" s="149"/>
      <c r="X14" s="149"/>
      <c r="Y14" s="148"/>
    </row>
    <row r="15" spans="1:25">
      <c r="A15" s="45" t="s">
        <v>46</v>
      </c>
      <c r="B15" s="17" t="s">
        <v>18</v>
      </c>
      <c r="C15" s="7">
        <f t="shared" si="0"/>
        <v>27062698</v>
      </c>
      <c r="D15" s="18">
        <v>2514</v>
      </c>
      <c r="E15" s="3">
        <f t="shared" si="1"/>
        <v>10764.796340493238</v>
      </c>
      <c r="F15" s="3">
        <v>9104245</v>
      </c>
      <c r="G15" s="5">
        <f t="shared" si="2"/>
        <v>0.3364130582989176</v>
      </c>
      <c r="H15" s="3">
        <f t="shared" si="3"/>
        <v>3621.4180588703261</v>
      </c>
      <c r="I15" s="3">
        <v>11527455</v>
      </c>
      <c r="J15" s="5">
        <f t="shared" si="4"/>
        <v>0.4259536502975424</v>
      </c>
      <c r="K15" s="3">
        <f t="shared" si="5"/>
        <v>4585.3042959427212</v>
      </c>
      <c r="L15" s="3">
        <v>10287</v>
      </c>
      <c r="M15" s="5">
        <f t="shared" si="6"/>
        <v>3.8011731128951003E-4</v>
      </c>
      <c r="N15" s="3">
        <f t="shared" si="7"/>
        <v>4.0918854415274462</v>
      </c>
      <c r="O15" s="3">
        <v>6420711</v>
      </c>
      <c r="P15" s="5">
        <f t="shared" si="8"/>
        <v>0.23725317409225052</v>
      </c>
      <c r="Q15" s="47">
        <f t="shared" si="9"/>
        <v>2553.9821002386634</v>
      </c>
      <c r="R15" s="2"/>
      <c r="S15" s="148"/>
      <c r="T15" s="147" t="s">
        <v>1280</v>
      </c>
      <c r="U15" s="148"/>
      <c r="V15" s="148"/>
      <c r="W15" s="148"/>
      <c r="X15" s="148"/>
      <c r="Y15" s="148"/>
    </row>
    <row r="16" spans="1:25">
      <c r="A16" s="45" t="s">
        <v>47</v>
      </c>
      <c r="B16" s="17" t="s">
        <v>19</v>
      </c>
      <c r="C16" s="7">
        <f t="shared" si="0"/>
        <v>5616885964</v>
      </c>
      <c r="D16" s="18">
        <v>587562</v>
      </c>
      <c r="E16" s="3">
        <f t="shared" si="1"/>
        <v>9559.6481120290282</v>
      </c>
      <c r="F16" s="3">
        <v>452851159</v>
      </c>
      <c r="G16" s="5">
        <f t="shared" si="2"/>
        <v>8.0623171255822912E-2</v>
      </c>
      <c r="H16" s="3">
        <f t="shared" si="3"/>
        <v>770.72914688152059</v>
      </c>
      <c r="I16" s="3">
        <v>2615985743</v>
      </c>
      <c r="J16" s="5">
        <f t="shared" si="4"/>
        <v>0.46573595400841222</v>
      </c>
      <c r="K16" s="3">
        <f t="shared" si="5"/>
        <v>4452.2718334405563</v>
      </c>
      <c r="L16" s="3">
        <v>1465513</v>
      </c>
      <c r="M16" s="5">
        <f t="shared" si="6"/>
        <v>2.6091200878793557E-4</v>
      </c>
      <c r="N16" s="3">
        <f t="shared" si="7"/>
        <v>2.4942269922152898</v>
      </c>
      <c r="O16" s="3">
        <v>2546583549</v>
      </c>
      <c r="P16" s="5">
        <f t="shared" si="8"/>
        <v>0.45337996272697695</v>
      </c>
      <c r="Q16" s="47">
        <f t="shared" si="9"/>
        <v>4334.1529047147369</v>
      </c>
      <c r="R16" s="2"/>
      <c r="S16" s="146"/>
      <c r="T16" s="148"/>
      <c r="U16" s="148" t="s">
        <v>1289</v>
      </c>
      <c r="V16" s="148"/>
      <c r="W16" s="148"/>
      <c r="X16" s="146"/>
      <c r="Y16" s="146"/>
    </row>
    <row r="17" spans="1:25">
      <c r="A17" s="45" t="s">
        <v>48</v>
      </c>
      <c r="B17" s="19" t="s">
        <v>20</v>
      </c>
      <c r="C17" s="21">
        <f t="shared" si="0"/>
        <v>179327654</v>
      </c>
      <c r="D17" s="11">
        <v>23158</v>
      </c>
      <c r="E17" s="9">
        <f t="shared" si="1"/>
        <v>7743.6589515502201</v>
      </c>
      <c r="F17" s="9">
        <v>21858795</v>
      </c>
      <c r="G17" s="20">
        <f t="shared" si="2"/>
        <v>0.12189305169854059</v>
      </c>
      <c r="H17" s="9">
        <f t="shared" si="3"/>
        <v>943.8982209171777</v>
      </c>
      <c r="I17" s="9">
        <v>85494623</v>
      </c>
      <c r="J17" s="20">
        <f t="shared" si="4"/>
        <v>0.47675091427895444</v>
      </c>
      <c r="K17" s="9">
        <f t="shared" si="5"/>
        <v>3691.7964850159774</v>
      </c>
      <c r="L17" s="9">
        <v>488878</v>
      </c>
      <c r="M17" s="20">
        <f t="shared" si="6"/>
        <v>2.7261718373898986E-3</v>
      </c>
      <c r="N17" s="9">
        <f t="shared" si="7"/>
        <v>21.110544952068398</v>
      </c>
      <c r="O17" s="9">
        <v>71485358</v>
      </c>
      <c r="P17" s="20">
        <f t="shared" si="8"/>
        <v>0.39862986218511509</v>
      </c>
      <c r="Q17" s="55">
        <f t="shared" si="9"/>
        <v>3086.8537006649972</v>
      </c>
      <c r="R17" s="2"/>
      <c r="S17" s="148"/>
      <c r="T17" s="146"/>
      <c r="U17" s="146"/>
      <c r="V17" s="146"/>
      <c r="W17" s="146"/>
      <c r="X17" s="148"/>
      <c r="Y17" s="148"/>
    </row>
    <row r="18" spans="1:25">
      <c r="A18" s="45" t="s">
        <v>49</v>
      </c>
      <c r="B18" s="17" t="s">
        <v>21</v>
      </c>
      <c r="C18" s="7">
        <f t="shared" si="0"/>
        <v>214837537</v>
      </c>
      <c r="D18" s="18">
        <v>20947</v>
      </c>
      <c r="E18" s="3">
        <f t="shared" si="1"/>
        <v>10256.243710316514</v>
      </c>
      <c r="F18" s="3">
        <v>62747791</v>
      </c>
      <c r="G18" s="5">
        <f t="shared" si="2"/>
        <v>0.2920708916896585</v>
      </c>
      <c r="H18" s="3">
        <f t="shared" si="3"/>
        <v>2995.5502458585956</v>
      </c>
      <c r="I18" s="3">
        <v>106962377</v>
      </c>
      <c r="J18" s="5">
        <f t="shared" si="4"/>
        <v>0.49787564358457526</v>
      </c>
      <c r="K18" s="3">
        <f t="shared" si="5"/>
        <v>5106.3339380340858</v>
      </c>
      <c r="L18" s="3">
        <v>162264</v>
      </c>
      <c r="M18" s="5">
        <f t="shared" si="6"/>
        <v>7.5528700554782478E-4</v>
      </c>
      <c r="N18" s="3">
        <f t="shared" si="7"/>
        <v>7.7464076001336704</v>
      </c>
      <c r="O18" s="3">
        <v>44965105</v>
      </c>
      <c r="P18" s="5">
        <f t="shared" si="8"/>
        <v>0.20929817772021841</v>
      </c>
      <c r="Q18" s="47">
        <f t="shared" si="9"/>
        <v>2146.6131188236977</v>
      </c>
      <c r="R18" s="2"/>
      <c r="S18" s="148"/>
      <c r="T18" s="146"/>
      <c r="U18" s="146"/>
      <c r="V18" s="146"/>
      <c r="W18" s="146"/>
      <c r="X18" s="148"/>
      <c r="Y18" s="148"/>
    </row>
    <row r="19" spans="1:25">
      <c r="A19" s="45" t="s">
        <v>50</v>
      </c>
      <c r="B19" s="17" t="s">
        <v>22</v>
      </c>
      <c r="C19" s="7">
        <f t="shared" si="0"/>
        <v>1205478547</v>
      </c>
      <c r="D19" s="18">
        <v>127936</v>
      </c>
      <c r="E19" s="3">
        <f t="shared" si="1"/>
        <v>9422.5124046398196</v>
      </c>
      <c r="F19" s="3">
        <v>124072911</v>
      </c>
      <c r="G19" s="5">
        <f t="shared" si="2"/>
        <v>0.10292419662612212</v>
      </c>
      <c r="H19" s="3">
        <f t="shared" si="3"/>
        <v>969.80451944722358</v>
      </c>
      <c r="I19" s="3">
        <v>619064850</v>
      </c>
      <c r="J19" s="5">
        <f t="shared" si="4"/>
        <v>0.51354281794614132</v>
      </c>
      <c r="K19" s="3">
        <f t="shared" si="5"/>
        <v>4838.8635724112055</v>
      </c>
      <c r="L19" s="3">
        <v>310694</v>
      </c>
      <c r="M19" s="5">
        <f t="shared" si="6"/>
        <v>2.5773498895787482E-4</v>
      </c>
      <c r="N19" s="3">
        <f t="shared" si="7"/>
        <v>2.4285111305652824</v>
      </c>
      <c r="O19" s="3">
        <v>462030092</v>
      </c>
      <c r="P19" s="5">
        <f t="shared" si="8"/>
        <v>0.38327525043877864</v>
      </c>
      <c r="Q19" s="47">
        <f t="shared" si="9"/>
        <v>3611.4158016508254</v>
      </c>
      <c r="R19" s="2"/>
      <c r="S19" s="13"/>
      <c r="T19" s="13"/>
      <c r="U19" s="13"/>
      <c r="V19" s="13"/>
      <c r="W19" s="13"/>
      <c r="X19" s="13"/>
      <c r="Y19" s="13"/>
    </row>
    <row r="20" spans="1:25">
      <c r="A20" s="45" t="s">
        <v>51</v>
      </c>
      <c r="B20" s="17" t="s">
        <v>23</v>
      </c>
      <c r="C20" s="7">
        <f t="shared" si="0"/>
        <v>437783091</v>
      </c>
      <c r="D20" s="18">
        <v>40439</v>
      </c>
      <c r="E20" s="3">
        <f t="shared" si="1"/>
        <v>10825.764509508148</v>
      </c>
      <c r="F20" s="3">
        <v>36208180</v>
      </c>
      <c r="G20" s="5">
        <f t="shared" si="2"/>
        <v>8.270803679806811E-2</v>
      </c>
      <c r="H20" s="3">
        <f t="shared" si="3"/>
        <v>895.37772941961964</v>
      </c>
      <c r="I20" s="3">
        <v>270879276</v>
      </c>
      <c r="J20" s="5">
        <f t="shared" si="4"/>
        <v>0.61875225783903109</v>
      </c>
      <c r="K20" s="3">
        <f t="shared" si="5"/>
        <v>6698.4662330918172</v>
      </c>
      <c r="L20" s="3">
        <v>154352</v>
      </c>
      <c r="M20" s="5">
        <f t="shared" si="6"/>
        <v>3.5257643150954864E-4</v>
      </c>
      <c r="N20" s="3">
        <f t="shared" si="7"/>
        <v>3.8169094191251021</v>
      </c>
      <c r="O20" s="3">
        <v>130541283</v>
      </c>
      <c r="P20" s="5">
        <f t="shared" si="8"/>
        <v>0.29818712893139127</v>
      </c>
      <c r="Q20" s="47">
        <f t="shared" si="9"/>
        <v>3228.1036375775861</v>
      </c>
      <c r="R20" s="2"/>
      <c r="S20" s="13"/>
      <c r="T20" s="13"/>
      <c r="U20" s="13"/>
      <c r="V20" s="13"/>
      <c r="W20" s="13"/>
      <c r="X20" s="13"/>
      <c r="Y20" s="13"/>
    </row>
    <row r="21" spans="1:25">
      <c r="A21" s="45" t="s">
        <v>52</v>
      </c>
      <c r="B21" s="17" t="s">
        <v>24</v>
      </c>
      <c r="C21" s="7">
        <f t="shared" si="0"/>
        <v>89180580</v>
      </c>
      <c r="D21" s="18">
        <v>9976</v>
      </c>
      <c r="E21" s="3">
        <f t="shared" si="1"/>
        <v>8939.5128307939049</v>
      </c>
      <c r="F21" s="3">
        <v>12160176</v>
      </c>
      <c r="G21" s="5">
        <f t="shared" si="2"/>
        <v>0.13635452920355531</v>
      </c>
      <c r="H21" s="3">
        <f t="shared" si="3"/>
        <v>1218.9430633520449</v>
      </c>
      <c r="I21" s="3">
        <v>50186210</v>
      </c>
      <c r="J21" s="5">
        <f t="shared" si="4"/>
        <v>0.56274819024500622</v>
      </c>
      <c r="K21" s="3">
        <f t="shared" si="5"/>
        <v>5030.6946672012828</v>
      </c>
      <c r="L21" s="3">
        <v>40682</v>
      </c>
      <c r="M21" s="5">
        <f t="shared" si="6"/>
        <v>4.5617554853309993E-4</v>
      </c>
      <c r="N21" s="3">
        <f t="shared" si="7"/>
        <v>4.0779871692060947</v>
      </c>
      <c r="O21" s="3">
        <v>26793512</v>
      </c>
      <c r="P21" s="5">
        <f t="shared" si="8"/>
        <v>0.30044110500290533</v>
      </c>
      <c r="Q21" s="47">
        <f t="shared" si="9"/>
        <v>2685.7971130713713</v>
      </c>
      <c r="R21" s="2"/>
    </row>
    <row r="22" spans="1:25">
      <c r="A22" s="45" t="s">
        <v>53</v>
      </c>
      <c r="B22" s="17" t="s">
        <v>25</v>
      </c>
      <c r="C22" s="7">
        <f t="shared" si="0"/>
        <v>192793187</v>
      </c>
      <c r="D22" s="18">
        <v>23707</v>
      </c>
      <c r="E22" s="3">
        <f t="shared" si="1"/>
        <v>8132.3316741890585</v>
      </c>
      <c r="F22" s="3">
        <v>16917820</v>
      </c>
      <c r="G22" s="5">
        <f t="shared" si="2"/>
        <v>8.7751129919336826E-2</v>
      </c>
      <c r="H22" s="3">
        <f t="shared" si="3"/>
        <v>713.62129328890205</v>
      </c>
      <c r="I22" s="3">
        <v>86553264</v>
      </c>
      <c r="J22" s="5">
        <f t="shared" si="4"/>
        <v>0.44894358222316227</v>
      </c>
      <c r="K22" s="3">
        <f t="shared" si="5"/>
        <v>3650.9581136373222</v>
      </c>
      <c r="L22" s="3">
        <v>19126</v>
      </c>
      <c r="M22" s="5">
        <f t="shared" si="6"/>
        <v>9.9204750425127834E-5</v>
      </c>
      <c r="N22" s="3">
        <f t="shared" si="7"/>
        <v>0.80676593411228747</v>
      </c>
      <c r="O22" s="3">
        <v>89302977</v>
      </c>
      <c r="P22" s="5">
        <f t="shared" si="8"/>
        <v>0.46320608310707578</v>
      </c>
      <c r="Q22" s="47">
        <f t="shared" si="9"/>
        <v>3766.9455013287215</v>
      </c>
      <c r="R22" s="2"/>
    </row>
    <row r="23" spans="1:25">
      <c r="A23" s="57" t="s">
        <v>54</v>
      </c>
      <c r="B23" s="58" t="s">
        <v>26</v>
      </c>
      <c r="C23" s="59">
        <f t="shared" si="0"/>
        <v>310022728</v>
      </c>
      <c r="D23" s="61">
        <v>34365</v>
      </c>
      <c r="E23" s="63">
        <f t="shared" si="1"/>
        <v>9021.4674232504003</v>
      </c>
      <c r="F23" s="63">
        <v>49868917</v>
      </c>
      <c r="G23" s="64">
        <f t="shared" si="2"/>
        <v>0.16085568087769359</v>
      </c>
      <c r="H23" s="63">
        <f t="shared" si="3"/>
        <v>1451.1542848828751</v>
      </c>
      <c r="I23" s="63">
        <v>199758633</v>
      </c>
      <c r="J23" s="64">
        <f t="shared" si="4"/>
        <v>0.64433544691600808</v>
      </c>
      <c r="K23" s="63">
        <f t="shared" si="5"/>
        <v>5812.8512439982542</v>
      </c>
      <c r="L23" s="63">
        <v>96484</v>
      </c>
      <c r="M23" s="64">
        <f t="shared" si="6"/>
        <v>3.1121589253288554E-4</v>
      </c>
      <c r="N23" s="63">
        <f t="shared" si="7"/>
        <v>2.8076240360832241</v>
      </c>
      <c r="O23" s="63">
        <v>60298694</v>
      </c>
      <c r="P23" s="64">
        <f t="shared" si="8"/>
        <v>0.19449765631376548</v>
      </c>
      <c r="Q23" s="65">
        <f t="shared" si="9"/>
        <v>1754.6542703331879</v>
      </c>
      <c r="R23" s="2"/>
    </row>
    <row r="24" spans="1:25" ht="30" customHeight="1">
      <c r="A24" s="554" t="s">
        <v>61</v>
      </c>
      <c r="B24" s="554"/>
      <c r="C24" s="554"/>
      <c r="D24" s="554"/>
      <c r="E24" s="554"/>
      <c r="F24" s="554"/>
      <c r="G24" s="554"/>
      <c r="H24" s="554"/>
      <c r="I24" s="554"/>
      <c r="J24" s="554"/>
      <c r="K24" s="554"/>
      <c r="L24" s="554"/>
      <c r="M24" s="554"/>
      <c r="N24" s="554"/>
      <c r="O24" s="554"/>
      <c r="P24" s="554"/>
      <c r="Q24" s="554"/>
      <c r="R24" s="2"/>
    </row>
    <row r="25" spans="1:25">
      <c r="A25" s="550" t="s">
        <v>63</v>
      </c>
      <c r="B25" s="550"/>
      <c r="C25" s="550"/>
      <c r="D25" s="550"/>
      <c r="E25" s="550"/>
      <c r="F25" s="550"/>
      <c r="G25" s="550"/>
      <c r="H25" s="550"/>
      <c r="I25" s="550"/>
      <c r="J25" s="550"/>
      <c r="K25" s="550"/>
      <c r="L25" s="550"/>
      <c r="M25" s="550"/>
      <c r="N25" s="550"/>
      <c r="O25" s="550"/>
      <c r="P25" s="550"/>
      <c r="Q25" s="550"/>
      <c r="R25" s="2"/>
      <c r="S25" s="125" t="s">
        <v>1271</v>
      </c>
      <c r="T25" s="124"/>
      <c r="U25" s="124"/>
      <c r="V25" s="124"/>
      <c r="W25" s="124"/>
      <c r="X25" s="124"/>
      <c r="Y25" s="124"/>
    </row>
    <row r="26" spans="1:25">
      <c r="A26" s="550" t="s">
        <v>89</v>
      </c>
      <c r="B26" s="550"/>
      <c r="C26" s="550"/>
      <c r="D26" s="550"/>
      <c r="E26" s="550"/>
      <c r="F26" s="550"/>
      <c r="G26" s="550"/>
      <c r="H26" s="550"/>
      <c r="I26" s="550"/>
      <c r="J26" s="550"/>
      <c r="K26" s="550"/>
      <c r="L26" s="550"/>
      <c r="M26" s="550"/>
      <c r="N26" s="550"/>
      <c r="O26" s="550"/>
      <c r="P26" s="550"/>
      <c r="Q26" s="550"/>
      <c r="R26" s="2"/>
      <c r="S26" s="124"/>
      <c r="T26" s="150" t="s">
        <v>1267</v>
      </c>
      <c r="U26" s="150"/>
      <c r="V26" s="150"/>
      <c r="W26" s="150"/>
      <c r="X26" s="150"/>
      <c r="Y26" s="124"/>
    </row>
    <row r="27" spans="1:25">
      <c r="A27" s="550" t="s">
        <v>90</v>
      </c>
      <c r="B27" s="550"/>
      <c r="C27" s="550"/>
      <c r="D27" s="550"/>
      <c r="E27" s="550"/>
      <c r="F27" s="550"/>
      <c r="G27" s="550"/>
      <c r="H27" s="550"/>
      <c r="I27" s="550"/>
      <c r="J27" s="550"/>
      <c r="K27" s="550"/>
      <c r="L27" s="550"/>
      <c r="M27" s="550"/>
      <c r="N27" s="550"/>
      <c r="O27" s="550"/>
      <c r="P27" s="550"/>
      <c r="Q27" s="550"/>
      <c r="R27" s="2"/>
      <c r="S27" s="124"/>
      <c r="T27" s="151" t="s">
        <v>1293</v>
      </c>
      <c r="U27" s="151"/>
      <c r="V27" s="151"/>
      <c r="W27" s="151"/>
      <c r="X27" s="151"/>
      <c r="Y27" s="10"/>
    </row>
    <row r="28" spans="1:25">
      <c r="A28" s="550" t="s">
        <v>1287</v>
      </c>
      <c r="B28" s="550"/>
      <c r="C28" s="550"/>
      <c r="D28" s="550"/>
      <c r="E28" s="550"/>
      <c r="F28" s="550"/>
      <c r="G28" s="550"/>
      <c r="H28" s="550"/>
      <c r="I28" s="550"/>
      <c r="J28" s="550"/>
      <c r="K28" s="550"/>
      <c r="L28" s="550"/>
      <c r="M28" s="550"/>
      <c r="N28" s="550"/>
      <c r="O28" s="550"/>
      <c r="P28" s="550"/>
      <c r="Q28" s="550"/>
      <c r="S28" s="124"/>
      <c r="T28" s="151"/>
      <c r="U28" s="151" t="s">
        <v>1294</v>
      </c>
      <c r="V28" s="151"/>
      <c r="W28" s="151"/>
      <c r="X28" s="151"/>
      <c r="Y28" s="10"/>
    </row>
    <row r="29" spans="1:25">
      <c r="A29" s="550" t="s">
        <v>1288</v>
      </c>
      <c r="B29" s="550"/>
      <c r="C29" s="550"/>
      <c r="D29" s="550"/>
      <c r="E29" s="550"/>
      <c r="F29" s="550"/>
      <c r="G29" s="550"/>
      <c r="H29" s="550"/>
      <c r="I29" s="550"/>
      <c r="J29" s="550"/>
      <c r="K29" s="550"/>
      <c r="L29" s="550"/>
      <c r="M29" s="550"/>
      <c r="N29" s="550"/>
      <c r="O29" s="550"/>
      <c r="P29" s="550"/>
      <c r="Q29" s="550"/>
      <c r="S29" s="124"/>
      <c r="T29" s="100" t="s">
        <v>1295</v>
      </c>
      <c r="U29" s="100"/>
      <c r="V29" s="100"/>
      <c r="W29" s="100"/>
      <c r="X29" s="100"/>
      <c r="Y29" s="10"/>
    </row>
    <row r="30" spans="1:25">
      <c r="A30" s="551" t="s">
        <v>1298</v>
      </c>
      <c r="B30" s="552"/>
      <c r="C30" s="552"/>
      <c r="D30" s="552"/>
      <c r="E30" s="552"/>
      <c r="F30" s="552"/>
      <c r="G30" s="552"/>
      <c r="H30" s="552"/>
      <c r="I30" s="552"/>
      <c r="J30" s="552"/>
      <c r="K30" s="552"/>
      <c r="L30" s="552"/>
      <c r="M30" s="552"/>
      <c r="N30" s="552"/>
      <c r="O30" s="552"/>
      <c r="P30" s="552"/>
      <c r="Q30" s="553"/>
      <c r="S30" s="124"/>
      <c r="T30" s="100"/>
      <c r="U30" s="100"/>
      <c r="V30" s="100"/>
      <c r="W30" s="100"/>
      <c r="X30" s="100"/>
      <c r="Y30" s="10"/>
    </row>
    <row r="31" spans="1:25">
      <c r="S31" s="124"/>
      <c r="T31" s="124"/>
      <c r="U31" s="124"/>
      <c r="V31" s="124"/>
      <c r="W31" s="124"/>
      <c r="X31" s="124"/>
      <c r="Y31" s="10"/>
    </row>
    <row r="32" spans="1:25">
      <c r="S32" s="124"/>
      <c r="T32" s="124"/>
      <c r="U32" s="124"/>
      <c r="V32" s="124"/>
      <c r="W32" s="124"/>
      <c r="X32" s="124"/>
      <c r="Y32" s="10"/>
    </row>
  </sheetData>
  <mergeCells count="7">
    <mergeCell ref="A28:Q28"/>
    <mergeCell ref="A29:Q29"/>
    <mergeCell ref="A30:Q30"/>
    <mergeCell ref="A25:Q25"/>
    <mergeCell ref="A24:Q24"/>
    <mergeCell ref="A26:Q26"/>
    <mergeCell ref="A27:Q27"/>
  </mergeCells>
  <pageMargins left="0.5" right="0.5" top="0.5" bottom="0.5" header="0.3" footer="0.3"/>
  <pageSetup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dimension ref="A1:AC61"/>
  <sheetViews>
    <sheetView workbookViewId="0">
      <selection sqref="A1:P1"/>
    </sheetView>
  </sheetViews>
  <sheetFormatPr defaultRowHeight="15"/>
  <cols>
    <col min="1" max="1" width="4.28515625" customWidth="1"/>
    <col min="2" max="2" width="8.42578125" customWidth="1"/>
    <col min="3" max="3" width="11.42578125" customWidth="1"/>
    <col min="4" max="4" width="6.5703125" customWidth="1"/>
    <col min="5" max="5" width="6.42578125" customWidth="1"/>
    <col min="6" max="6" width="10.28515625" customWidth="1"/>
    <col min="7" max="7" width="5.85546875" customWidth="1"/>
    <col min="8" max="8" width="5.42578125" customWidth="1"/>
    <col min="9" max="9" width="4.85546875" customWidth="1"/>
    <col min="10" max="10" width="6" customWidth="1"/>
    <col min="11" max="11" width="12.28515625" customWidth="1"/>
    <col min="12" max="12" width="7.42578125" customWidth="1"/>
    <col min="13" max="13" width="6" customWidth="1"/>
    <col min="14" max="14" width="12.42578125" customWidth="1"/>
    <col min="15" max="15" width="7.140625" customWidth="1"/>
    <col min="16" max="16" width="11.5703125" customWidth="1"/>
    <col min="17" max="17" width="11.7109375" bestFit="1" customWidth="1"/>
    <col min="18" max="18" width="6.42578125" customWidth="1"/>
    <col min="19" max="19" width="5.5703125" customWidth="1"/>
    <col min="20" max="20" width="11.7109375" customWidth="1"/>
  </cols>
  <sheetData>
    <row r="1" spans="1:24">
      <c r="A1" s="556" t="s">
        <v>1297</v>
      </c>
      <c r="B1" s="556"/>
      <c r="C1" s="556"/>
      <c r="D1" s="556"/>
      <c r="E1" s="556"/>
      <c r="F1" s="556"/>
      <c r="G1" s="556"/>
      <c r="H1" s="556"/>
      <c r="I1" s="556"/>
      <c r="J1" s="556"/>
      <c r="K1" s="556"/>
      <c r="L1" s="556"/>
      <c r="M1" s="556"/>
      <c r="N1" s="556"/>
      <c r="O1" s="556"/>
      <c r="P1" s="556"/>
    </row>
    <row r="2" spans="1:24">
      <c r="A2" s="557" t="s">
        <v>64</v>
      </c>
      <c r="B2" s="557"/>
      <c r="C2" s="557"/>
      <c r="D2" s="557"/>
      <c r="E2" s="557"/>
      <c r="F2" s="557"/>
      <c r="G2" s="557"/>
      <c r="H2" s="557"/>
      <c r="I2" s="557"/>
      <c r="J2" s="557"/>
      <c r="K2" s="557"/>
      <c r="L2" s="557"/>
      <c r="M2" s="557"/>
      <c r="N2" s="557"/>
      <c r="O2" s="557"/>
      <c r="P2" s="557"/>
      <c r="Q2" s="4"/>
    </row>
    <row r="3" spans="1:24">
      <c r="A3" s="558" t="s">
        <v>88</v>
      </c>
      <c r="B3" s="558"/>
      <c r="C3" s="558"/>
      <c r="D3" s="558"/>
      <c r="E3" s="558"/>
      <c r="F3" s="558"/>
      <c r="G3" s="558"/>
      <c r="H3" s="558"/>
      <c r="I3" s="558"/>
      <c r="J3" s="558"/>
      <c r="K3" s="558"/>
      <c r="L3" s="558"/>
      <c r="M3" s="558"/>
      <c r="N3" s="558"/>
      <c r="O3" s="558"/>
      <c r="P3" s="558"/>
      <c r="Q3" s="4"/>
      <c r="R3" s="16"/>
      <c r="S3" s="155" t="s">
        <v>1281</v>
      </c>
      <c r="T3" s="155"/>
      <c r="U3" s="156"/>
      <c r="V3" s="156"/>
      <c r="W3" s="156"/>
      <c r="X3" s="12"/>
    </row>
    <row r="4" spans="1:24">
      <c r="A4" s="25" t="s">
        <v>3</v>
      </c>
      <c r="B4" s="26"/>
      <c r="C4" s="27" t="s">
        <v>39</v>
      </c>
      <c r="D4" s="27" t="s">
        <v>58</v>
      </c>
      <c r="E4" s="27"/>
      <c r="F4" s="26" t="s">
        <v>95</v>
      </c>
      <c r="G4" s="28"/>
      <c r="H4" s="29"/>
      <c r="I4" s="35" t="s">
        <v>94</v>
      </c>
      <c r="J4" s="26" t="s">
        <v>91</v>
      </c>
      <c r="K4" s="36"/>
      <c r="L4" s="66"/>
      <c r="M4" s="37" t="s">
        <v>92</v>
      </c>
      <c r="N4" s="29"/>
      <c r="O4" s="67"/>
      <c r="P4" s="35"/>
      <c r="Q4" s="4"/>
      <c r="R4" s="16"/>
      <c r="S4" s="155" t="s">
        <v>1282</v>
      </c>
      <c r="T4" s="155"/>
      <c r="U4" s="155"/>
      <c r="V4" s="155"/>
      <c r="W4" s="155"/>
      <c r="X4" s="16"/>
    </row>
    <row r="5" spans="1:24">
      <c r="A5" s="49" t="s">
        <v>5</v>
      </c>
      <c r="B5" s="27" t="s">
        <v>55</v>
      </c>
      <c r="C5" s="50" t="s">
        <v>56</v>
      </c>
      <c r="D5" s="50" t="s">
        <v>59</v>
      </c>
      <c r="E5" s="51" t="s">
        <v>57</v>
      </c>
      <c r="F5" s="52" t="s">
        <v>7</v>
      </c>
      <c r="G5" s="51" t="s">
        <v>60</v>
      </c>
      <c r="H5" s="51" t="s">
        <v>57</v>
      </c>
      <c r="I5" s="53" t="s">
        <v>82</v>
      </c>
      <c r="J5" s="49" t="s">
        <v>93</v>
      </c>
      <c r="K5" s="35" t="s">
        <v>83</v>
      </c>
      <c r="L5" s="35" t="s">
        <v>96</v>
      </c>
      <c r="M5" s="49" t="s">
        <v>93</v>
      </c>
      <c r="N5" s="35" t="s">
        <v>83</v>
      </c>
      <c r="O5" s="38" t="s">
        <v>96</v>
      </c>
      <c r="P5" s="53" t="s">
        <v>84</v>
      </c>
      <c r="Q5" s="4"/>
      <c r="R5" s="1"/>
      <c r="S5" s="1"/>
      <c r="T5" s="1"/>
      <c r="U5" s="1"/>
      <c r="V5" s="1"/>
      <c r="W5" s="1"/>
      <c r="X5" s="1"/>
    </row>
    <row r="6" spans="1:24" ht="25.5" customHeight="1">
      <c r="A6" s="34" t="s">
        <v>65</v>
      </c>
      <c r="B6" s="32" t="s">
        <v>66</v>
      </c>
      <c r="C6" s="32" t="s">
        <v>67</v>
      </c>
      <c r="D6" s="32" t="s">
        <v>68</v>
      </c>
      <c r="E6" s="33" t="s">
        <v>69</v>
      </c>
      <c r="F6" s="34" t="s">
        <v>81</v>
      </c>
      <c r="G6" s="33" t="s">
        <v>70</v>
      </c>
      <c r="H6" s="33" t="s">
        <v>71</v>
      </c>
      <c r="I6" s="71" t="s">
        <v>72</v>
      </c>
      <c r="J6" s="33" t="s">
        <v>73</v>
      </c>
      <c r="K6" s="71" t="s">
        <v>74</v>
      </c>
      <c r="L6" s="71" t="s">
        <v>75</v>
      </c>
      <c r="M6" s="71" t="s">
        <v>76</v>
      </c>
      <c r="N6" s="33" t="s">
        <v>77</v>
      </c>
      <c r="O6" s="33" t="s">
        <v>78</v>
      </c>
      <c r="P6" s="72" t="s">
        <v>79</v>
      </c>
      <c r="Q6" s="4"/>
      <c r="R6" s="1"/>
      <c r="S6" s="1"/>
      <c r="T6" s="1"/>
      <c r="U6" s="1"/>
      <c r="V6" s="1"/>
      <c r="W6" s="1"/>
      <c r="X6" s="1"/>
    </row>
    <row r="7" spans="1:24">
      <c r="A7" s="46" t="s">
        <v>1263</v>
      </c>
      <c r="B7" s="22" t="s">
        <v>1286</v>
      </c>
      <c r="C7" s="60">
        <v>675226730</v>
      </c>
      <c r="D7" s="62">
        <v>88587</v>
      </c>
      <c r="E7" s="60">
        <v>7622.1875670245072</v>
      </c>
      <c r="F7" s="39">
        <v>21322550</v>
      </c>
      <c r="G7" s="40">
        <f>F7/$C7</f>
        <v>3.1578355910169609E-2</v>
      </c>
      <c r="H7" s="39">
        <f>F7/$D7</f>
        <v>240.69615180556966</v>
      </c>
      <c r="I7" s="41">
        <v>0.71</v>
      </c>
      <c r="J7" s="42" t="s">
        <v>85</v>
      </c>
      <c r="K7" s="42" t="s">
        <v>85</v>
      </c>
      <c r="L7" s="42" t="s">
        <v>85</v>
      </c>
      <c r="M7" s="42" t="s">
        <v>85</v>
      </c>
      <c r="N7" s="42" t="s">
        <v>85</v>
      </c>
      <c r="O7" s="42" t="s">
        <v>85</v>
      </c>
      <c r="P7" s="48" t="s">
        <v>85</v>
      </c>
      <c r="Q7" s="4"/>
      <c r="R7" s="147" t="s">
        <v>1248</v>
      </c>
      <c r="S7" s="148"/>
      <c r="T7" s="148"/>
      <c r="U7" s="148"/>
      <c r="V7" s="148"/>
      <c r="W7" s="148"/>
      <c r="X7" s="148"/>
    </row>
    <row r="8" spans="1:24">
      <c r="A8" s="82" t="s">
        <v>1263</v>
      </c>
      <c r="B8" s="83" t="s">
        <v>1285</v>
      </c>
      <c r="C8" s="84">
        <v>8953120539</v>
      </c>
      <c r="D8" s="85">
        <v>935219</v>
      </c>
      <c r="E8" s="84">
        <v>9573.2876887659477</v>
      </c>
      <c r="F8" s="86">
        <v>830546708</v>
      </c>
      <c r="G8" s="87">
        <v>9.276617067558951E-2</v>
      </c>
      <c r="H8" s="86">
        <v>888.07723966258175</v>
      </c>
      <c r="I8" s="88">
        <v>0.51</v>
      </c>
      <c r="J8" s="89">
        <v>3.3472</v>
      </c>
      <c r="K8" s="86">
        <v>97703636366</v>
      </c>
      <c r="L8" s="90">
        <f t="shared" ref="L8:L23" si="0">K8/D8</f>
        <v>104471.39799982678</v>
      </c>
      <c r="M8" s="89">
        <v>1.0028999999999999</v>
      </c>
      <c r="N8" s="86">
        <v>68138541654</v>
      </c>
      <c r="O8" s="90">
        <f t="shared" ref="O8:O23" si="1">N8/D8</f>
        <v>72858.380394324748</v>
      </c>
      <c r="P8" s="91">
        <v>1577237503</v>
      </c>
      <c r="Q8" s="4"/>
      <c r="R8" s="148"/>
      <c r="S8" s="149" t="s">
        <v>1283</v>
      </c>
      <c r="T8" s="149"/>
      <c r="U8" s="149"/>
      <c r="V8" s="149"/>
      <c r="W8" s="149"/>
      <c r="X8" s="148"/>
    </row>
    <row r="9" spans="1:24">
      <c r="A9" s="70" t="s">
        <v>40</v>
      </c>
      <c r="B9" s="19" t="s">
        <v>12</v>
      </c>
      <c r="C9" s="21">
        <v>180814970</v>
      </c>
      <c r="D9" s="11">
        <v>12885</v>
      </c>
      <c r="E9" s="9">
        <f t="shared" ref="E9:E23" si="2">$C9/D9</f>
        <v>14032.981761738456</v>
      </c>
      <c r="F9" s="9">
        <v>12222014</v>
      </c>
      <c r="G9" s="20">
        <f t="shared" ref="G9:G23" si="3">F9/$C9</f>
        <v>6.7594038259110964E-2</v>
      </c>
      <c r="H9" s="9">
        <f t="shared" ref="H9:H23" si="4">F9/$D9</f>
        <v>948.54590609235549</v>
      </c>
      <c r="I9" s="68">
        <v>0.76</v>
      </c>
      <c r="J9" s="69">
        <v>1.7785</v>
      </c>
      <c r="K9" s="9">
        <v>316510258</v>
      </c>
      <c r="L9" s="9">
        <f t="shared" si="0"/>
        <v>24564.241986806363</v>
      </c>
      <c r="M9" s="69">
        <v>0.32400000000000001</v>
      </c>
      <c r="N9" s="9">
        <v>323062906</v>
      </c>
      <c r="O9" s="9">
        <f t="shared" si="1"/>
        <v>25072.79053162592</v>
      </c>
      <c r="P9" s="55">
        <v>96920585</v>
      </c>
      <c r="Q9" s="4"/>
      <c r="R9" s="148"/>
      <c r="S9" s="149" t="s">
        <v>1284</v>
      </c>
      <c r="T9" s="149"/>
      <c r="U9" s="149"/>
      <c r="V9" s="149"/>
      <c r="W9" s="149"/>
      <c r="X9" s="148"/>
    </row>
    <row r="10" spans="1:24">
      <c r="A10" s="70" t="s">
        <v>41</v>
      </c>
      <c r="B10" s="19" t="s">
        <v>13</v>
      </c>
      <c r="C10" s="21">
        <v>168974628</v>
      </c>
      <c r="D10" s="11">
        <v>18844</v>
      </c>
      <c r="E10" s="9">
        <f t="shared" si="2"/>
        <v>8967.0254722988757</v>
      </c>
      <c r="F10" s="9">
        <v>15983209</v>
      </c>
      <c r="G10" s="20">
        <f t="shared" si="3"/>
        <v>9.458940190713129E-2</v>
      </c>
      <c r="H10" s="9">
        <f t="shared" si="4"/>
        <v>848.18557631076203</v>
      </c>
      <c r="I10" s="68">
        <v>0.53</v>
      </c>
      <c r="J10" s="69">
        <v>4.3933</v>
      </c>
      <c r="K10" s="9">
        <v>1058250292</v>
      </c>
      <c r="L10" s="9">
        <f t="shared" si="0"/>
        <v>56158.474421566549</v>
      </c>
      <c r="M10" s="69">
        <v>0.51790000000000003</v>
      </c>
      <c r="N10" s="9">
        <v>481706105</v>
      </c>
      <c r="O10" s="9">
        <f t="shared" si="1"/>
        <v>25562.837242623646</v>
      </c>
      <c r="P10" s="55">
        <v>0</v>
      </c>
      <c r="Q10" s="4"/>
      <c r="R10" s="148"/>
      <c r="S10" s="149" t="s">
        <v>1250</v>
      </c>
      <c r="T10" s="149"/>
      <c r="U10" s="149"/>
      <c r="V10" s="149"/>
      <c r="W10" s="149"/>
      <c r="X10" s="148"/>
    </row>
    <row r="11" spans="1:24">
      <c r="A11" s="70" t="s">
        <v>42</v>
      </c>
      <c r="B11" s="19" t="s">
        <v>14</v>
      </c>
      <c r="C11" s="21">
        <v>187279341</v>
      </c>
      <c r="D11" s="11">
        <v>17937</v>
      </c>
      <c r="E11" s="9">
        <f t="shared" si="2"/>
        <v>10440.95116240174</v>
      </c>
      <c r="F11" s="9">
        <v>16121806</v>
      </c>
      <c r="G11" s="20">
        <f t="shared" si="3"/>
        <v>8.6084273438360726E-2</v>
      </c>
      <c r="H11" s="9">
        <f t="shared" si="4"/>
        <v>898.80169482076155</v>
      </c>
      <c r="I11" s="68">
        <v>0.52</v>
      </c>
      <c r="J11" s="69">
        <v>2.1987000000000001</v>
      </c>
      <c r="K11" s="9">
        <v>2487006890</v>
      </c>
      <c r="L11" s="9">
        <f t="shared" si="0"/>
        <v>138652.33260857445</v>
      </c>
      <c r="M11" s="69">
        <v>1.3393999999999999</v>
      </c>
      <c r="N11" s="9">
        <v>1313169139</v>
      </c>
      <c r="O11" s="9">
        <f t="shared" si="1"/>
        <v>73210.076322684952</v>
      </c>
      <c r="P11" s="55">
        <v>64250389</v>
      </c>
      <c r="Q11" s="4"/>
      <c r="R11" s="148"/>
      <c r="S11" s="153" t="s">
        <v>1275</v>
      </c>
      <c r="T11" s="154"/>
      <c r="U11" s="154"/>
      <c r="V11" s="154"/>
      <c r="W11" s="154"/>
      <c r="X11" s="148"/>
    </row>
    <row r="12" spans="1:24">
      <c r="A12" s="70" t="s">
        <v>43</v>
      </c>
      <c r="B12" s="19" t="s">
        <v>15</v>
      </c>
      <c r="C12" s="21">
        <v>78430781</v>
      </c>
      <c r="D12" s="11">
        <v>7585</v>
      </c>
      <c r="E12" s="9">
        <f t="shared" si="2"/>
        <v>10340.247989452868</v>
      </c>
      <c r="F12" s="9">
        <v>5668384</v>
      </c>
      <c r="G12" s="20">
        <f t="shared" si="3"/>
        <v>7.2272441096818865E-2</v>
      </c>
      <c r="H12" s="9">
        <f t="shared" si="4"/>
        <v>747.31496374423205</v>
      </c>
      <c r="I12" s="68">
        <v>0.59</v>
      </c>
      <c r="J12" s="69">
        <v>4.0732999999999997</v>
      </c>
      <c r="K12" s="9">
        <v>412254721</v>
      </c>
      <c r="L12" s="9">
        <f t="shared" si="0"/>
        <v>54351.314568226764</v>
      </c>
      <c r="M12" s="69">
        <v>0.5917</v>
      </c>
      <c r="N12" s="9">
        <v>422267703</v>
      </c>
      <c r="O12" s="9">
        <f t="shared" si="1"/>
        <v>55671.417666446934</v>
      </c>
      <c r="P12" s="55">
        <v>4552243</v>
      </c>
      <c r="Q12" s="4"/>
      <c r="R12" s="148"/>
      <c r="S12" s="152" t="s">
        <v>1290</v>
      </c>
      <c r="T12" s="149"/>
      <c r="U12" s="149"/>
      <c r="V12" s="149"/>
      <c r="W12" s="149"/>
      <c r="X12" s="148"/>
    </row>
    <row r="13" spans="1:24">
      <c r="A13" s="70" t="s">
        <v>44</v>
      </c>
      <c r="B13" s="19" t="s">
        <v>16</v>
      </c>
      <c r="C13" s="21">
        <v>50375843</v>
      </c>
      <c r="D13" s="11">
        <v>5744</v>
      </c>
      <c r="E13" s="9">
        <f t="shared" si="2"/>
        <v>8770.1676532033434</v>
      </c>
      <c r="F13" s="9">
        <v>3835905</v>
      </c>
      <c r="G13" s="20">
        <f t="shared" si="3"/>
        <v>7.6145723258665865E-2</v>
      </c>
      <c r="H13" s="9">
        <f t="shared" si="4"/>
        <v>667.81075905292482</v>
      </c>
      <c r="I13" s="68">
        <v>0.54</v>
      </c>
      <c r="J13" s="69">
        <v>2.8142999999999998</v>
      </c>
      <c r="K13" s="9">
        <v>231877607</v>
      </c>
      <c r="L13" s="9">
        <f t="shared" si="0"/>
        <v>40368.664171309196</v>
      </c>
      <c r="M13" s="69">
        <v>0.54190000000000005</v>
      </c>
      <c r="N13" s="9">
        <v>119712036</v>
      </c>
      <c r="O13" s="9">
        <f t="shared" si="1"/>
        <v>20841.231894150416</v>
      </c>
      <c r="P13" s="55">
        <v>0</v>
      </c>
      <c r="Q13" s="4"/>
      <c r="R13" s="148"/>
      <c r="S13" s="149" t="s">
        <v>1291</v>
      </c>
      <c r="T13" s="149"/>
      <c r="U13" s="149"/>
      <c r="V13" s="149"/>
      <c r="W13" s="149"/>
      <c r="X13" s="148"/>
    </row>
    <row r="14" spans="1:24">
      <c r="A14" s="70" t="s">
        <v>45</v>
      </c>
      <c r="B14" s="19" t="s">
        <v>17</v>
      </c>
      <c r="C14" s="21">
        <v>13872990</v>
      </c>
      <c r="D14" s="11">
        <v>1620</v>
      </c>
      <c r="E14" s="9">
        <f t="shared" si="2"/>
        <v>8563.5740740740748</v>
      </c>
      <c r="F14" s="9">
        <v>663995</v>
      </c>
      <c r="G14" s="20">
        <f t="shared" si="3"/>
        <v>4.7862429079816249E-2</v>
      </c>
      <c r="H14" s="9">
        <f t="shared" si="4"/>
        <v>409.87345679012344</v>
      </c>
      <c r="I14" s="68">
        <v>0.32</v>
      </c>
      <c r="J14" s="69">
        <v>2.9344000000000001</v>
      </c>
      <c r="K14" s="9">
        <v>226709610</v>
      </c>
      <c r="L14" s="9">
        <f t="shared" si="0"/>
        <v>139944.20370370371</v>
      </c>
      <c r="M14" s="69">
        <v>1.0906</v>
      </c>
      <c r="N14" s="9">
        <v>226907616</v>
      </c>
      <c r="O14" s="9">
        <f t="shared" si="1"/>
        <v>140066.42962962962</v>
      </c>
      <c r="P14" s="55">
        <v>0</v>
      </c>
      <c r="Q14" s="4"/>
      <c r="R14" s="148"/>
      <c r="S14" s="149" t="s">
        <v>1292</v>
      </c>
      <c r="T14" s="149"/>
      <c r="U14" s="149"/>
      <c r="V14" s="149"/>
      <c r="W14" s="149"/>
      <c r="X14" s="148"/>
    </row>
    <row r="15" spans="1:24">
      <c r="A15" s="70" t="s">
        <v>46</v>
      </c>
      <c r="B15" s="19" t="s">
        <v>18</v>
      </c>
      <c r="C15" s="21">
        <v>27062698</v>
      </c>
      <c r="D15" s="11">
        <v>2514</v>
      </c>
      <c r="E15" s="9">
        <f t="shared" si="2"/>
        <v>10764.796340493238</v>
      </c>
      <c r="F15" s="9">
        <v>2032601</v>
      </c>
      <c r="G15" s="20">
        <f t="shared" si="3"/>
        <v>7.510710868517248E-2</v>
      </c>
      <c r="H15" s="9">
        <f t="shared" si="4"/>
        <v>808.51272871917263</v>
      </c>
      <c r="I15" s="68">
        <v>0.73</v>
      </c>
      <c r="J15" s="69">
        <v>3.4066000000000001</v>
      </c>
      <c r="K15" s="9">
        <v>242972908</v>
      </c>
      <c r="L15" s="9">
        <f t="shared" si="0"/>
        <v>96647.934765314247</v>
      </c>
      <c r="M15" s="69">
        <v>0.36230000000000001</v>
      </c>
      <c r="N15" s="9">
        <v>262162688</v>
      </c>
      <c r="O15" s="9">
        <f t="shared" si="1"/>
        <v>104281.10103420843</v>
      </c>
      <c r="P15" s="55">
        <v>22844</v>
      </c>
      <c r="Q15" s="4"/>
      <c r="R15" s="148"/>
      <c r="S15" s="147" t="s">
        <v>1280</v>
      </c>
      <c r="T15" s="148"/>
      <c r="U15" s="148"/>
      <c r="V15" s="148"/>
      <c r="W15" s="148"/>
      <c r="X15" s="148"/>
    </row>
    <row r="16" spans="1:24">
      <c r="A16" s="70" t="s">
        <v>47</v>
      </c>
      <c r="B16" s="19" t="s">
        <v>19</v>
      </c>
      <c r="C16" s="21">
        <v>5616885964</v>
      </c>
      <c r="D16" s="11">
        <v>587562</v>
      </c>
      <c r="E16" s="9">
        <f t="shared" si="2"/>
        <v>9559.6481120290282</v>
      </c>
      <c r="F16" s="9">
        <v>551193121</v>
      </c>
      <c r="G16" s="20">
        <f t="shared" si="3"/>
        <v>9.8131442321017712E-2</v>
      </c>
      <c r="H16" s="9">
        <f t="shared" si="4"/>
        <v>938.10205731480255</v>
      </c>
      <c r="I16" s="68">
        <v>0.47</v>
      </c>
      <c r="J16" s="69">
        <v>3.4581</v>
      </c>
      <c r="K16" s="9">
        <v>73908685462</v>
      </c>
      <c r="L16" s="9">
        <f t="shared" si="0"/>
        <v>125788.7430807302</v>
      </c>
      <c r="M16" s="69">
        <v>1.5597000000000001</v>
      </c>
      <c r="N16" s="9">
        <v>48596875163</v>
      </c>
      <c r="O16" s="9">
        <f t="shared" si="1"/>
        <v>82709.356907015768</v>
      </c>
      <c r="P16" s="55">
        <v>1179789391</v>
      </c>
      <c r="Q16" s="4"/>
      <c r="R16" s="146"/>
      <c r="S16" s="148"/>
      <c r="T16" s="148" t="s">
        <v>1289</v>
      </c>
      <c r="U16" s="148"/>
      <c r="V16" s="148"/>
      <c r="W16" s="146"/>
      <c r="X16" s="146"/>
    </row>
    <row r="17" spans="1:24">
      <c r="A17" s="70" t="s">
        <v>48</v>
      </c>
      <c r="B17" s="19" t="s">
        <v>20</v>
      </c>
      <c r="C17" s="21">
        <v>179327654</v>
      </c>
      <c r="D17" s="11">
        <v>23158</v>
      </c>
      <c r="E17" s="9">
        <f t="shared" si="2"/>
        <v>7743.6589515502201</v>
      </c>
      <c r="F17" s="9">
        <v>13405112</v>
      </c>
      <c r="G17" s="20">
        <f t="shared" si="3"/>
        <v>7.4752062501191249E-2</v>
      </c>
      <c r="H17" s="9">
        <f t="shared" si="4"/>
        <v>578.85447793419121</v>
      </c>
      <c r="I17" s="68">
        <v>0.54</v>
      </c>
      <c r="J17" s="69">
        <v>3.3332000000000002</v>
      </c>
      <c r="K17" s="9">
        <v>2070249481</v>
      </c>
      <c r="L17" s="9">
        <f t="shared" si="0"/>
        <v>89396.730330771228</v>
      </c>
      <c r="M17" s="69">
        <v>0.73699999999999999</v>
      </c>
      <c r="N17" s="9">
        <v>2427944665</v>
      </c>
      <c r="O17" s="9">
        <f t="shared" si="1"/>
        <v>104842.58852232489</v>
      </c>
      <c r="P17" s="55">
        <v>934488</v>
      </c>
      <c r="Q17" s="4"/>
      <c r="R17" s="148"/>
      <c r="S17" s="146"/>
      <c r="T17" s="146"/>
      <c r="U17" s="146"/>
      <c r="V17" s="146"/>
      <c r="W17" s="148"/>
      <c r="X17" s="148"/>
    </row>
    <row r="18" spans="1:24">
      <c r="A18" s="70" t="s">
        <v>49</v>
      </c>
      <c r="B18" s="19" t="s">
        <v>21</v>
      </c>
      <c r="C18" s="21">
        <v>214837537</v>
      </c>
      <c r="D18" s="11">
        <v>20947</v>
      </c>
      <c r="E18" s="9">
        <f t="shared" si="2"/>
        <v>10256.243710316514</v>
      </c>
      <c r="F18" s="9">
        <v>20970400</v>
      </c>
      <c r="G18" s="20">
        <f t="shared" si="3"/>
        <v>9.7610502767959031E-2</v>
      </c>
      <c r="H18" s="9">
        <f t="shared" si="4"/>
        <v>1001.1171050747124</v>
      </c>
      <c r="I18" s="68">
        <v>0.64</v>
      </c>
      <c r="J18" s="69">
        <v>1.7753000000000001</v>
      </c>
      <c r="K18" s="9">
        <v>2017524373</v>
      </c>
      <c r="L18" s="9">
        <f t="shared" si="0"/>
        <v>96315.67159975176</v>
      </c>
      <c r="M18" s="69">
        <v>1.3906000000000001</v>
      </c>
      <c r="N18" s="9">
        <v>753947031</v>
      </c>
      <c r="O18" s="9">
        <f t="shared" si="1"/>
        <v>35993.079247624955</v>
      </c>
      <c r="P18" s="55">
        <v>99333204</v>
      </c>
      <c r="Q18" s="4"/>
      <c r="R18" s="148"/>
      <c r="S18" s="146"/>
      <c r="T18" s="146"/>
      <c r="U18" s="146"/>
      <c r="V18" s="146"/>
      <c r="W18" s="148"/>
      <c r="X18" s="148"/>
    </row>
    <row r="19" spans="1:24">
      <c r="A19" s="70" t="s">
        <v>50</v>
      </c>
      <c r="B19" s="19" t="s">
        <v>22</v>
      </c>
      <c r="C19" s="21">
        <v>1205478547</v>
      </c>
      <c r="D19" s="11">
        <v>127936</v>
      </c>
      <c r="E19" s="9">
        <f t="shared" si="2"/>
        <v>9422.5124046398196</v>
      </c>
      <c r="F19" s="9">
        <v>110854999</v>
      </c>
      <c r="G19" s="20">
        <f t="shared" si="3"/>
        <v>9.1959329575692569E-2</v>
      </c>
      <c r="H19" s="9">
        <f t="shared" si="4"/>
        <v>866.48792364932467</v>
      </c>
      <c r="I19" s="68">
        <v>0.54</v>
      </c>
      <c r="J19" s="69">
        <v>4.0960000000000001</v>
      </c>
      <c r="K19" s="9">
        <v>6457831337</v>
      </c>
      <c r="L19" s="9">
        <f t="shared" si="0"/>
        <v>50477.045843234118</v>
      </c>
      <c r="M19" s="69">
        <v>1.2891999999999999</v>
      </c>
      <c r="N19" s="9">
        <v>6858304185</v>
      </c>
      <c r="O19" s="9">
        <f t="shared" si="1"/>
        <v>53607.305097861434</v>
      </c>
      <c r="P19" s="55">
        <v>0</v>
      </c>
      <c r="Q19" s="4"/>
      <c r="R19" s="13"/>
      <c r="S19" s="13"/>
      <c r="T19" s="13"/>
      <c r="U19" s="13"/>
      <c r="V19" s="13"/>
      <c r="W19" s="13"/>
      <c r="X19" s="13"/>
    </row>
    <row r="20" spans="1:24">
      <c r="A20" s="70" t="s">
        <v>51</v>
      </c>
      <c r="B20" s="19" t="s">
        <v>23</v>
      </c>
      <c r="C20" s="21">
        <v>437783091</v>
      </c>
      <c r="D20" s="11">
        <v>40439</v>
      </c>
      <c r="E20" s="9">
        <f t="shared" si="2"/>
        <v>10825.764509508148</v>
      </c>
      <c r="F20" s="9">
        <v>32725880</v>
      </c>
      <c r="G20" s="20">
        <f t="shared" si="3"/>
        <v>7.4753640953208952E-2</v>
      </c>
      <c r="H20" s="9">
        <f t="shared" si="4"/>
        <v>809.26531318776426</v>
      </c>
      <c r="I20" s="68">
        <v>0.51</v>
      </c>
      <c r="J20" s="69">
        <v>3.2501000000000002</v>
      </c>
      <c r="K20" s="9">
        <v>2879274131</v>
      </c>
      <c r="L20" s="9">
        <f t="shared" si="0"/>
        <v>71200.428571428565</v>
      </c>
      <c r="M20" s="69">
        <v>1.3179000000000001</v>
      </c>
      <c r="N20" s="9">
        <v>2016929870</v>
      </c>
      <c r="O20" s="9">
        <f t="shared" si="1"/>
        <v>49875.859195331243</v>
      </c>
      <c r="P20" s="55">
        <v>130324799</v>
      </c>
      <c r="Q20" s="4"/>
      <c r="R20" s="13"/>
      <c r="S20" s="13"/>
      <c r="T20" s="13"/>
      <c r="U20" s="13"/>
      <c r="V20" s="13"/>
      <c r="W20" s="13"/>
      <c r="X20" s="13"/>
    </row>
    <row r="21" spans="1:24">
      <c r="A21" s="70" t="s">
        <v>52</v>
      </c>
      <c r="B21" s="19" t="s">
        <v>24</v>
      </c>
      <c r="C21" s="21">
        <v>89180580</v>
      </c>
      <c r="D21" s="11">
        <v>9976</v>
      </c>
      <c r="E21" s="9">
        <f t="shared" si="2"/>
        <v>8939.5128307939049</v>
      </c>
      <c r="F21" s="9">
        <v>6734141</v>
      </c>
      <c r="G21" s="20">
        <f t="shared" si="3"/>
        <v>7.5511294050789976E-2</v>
      </c>
      <c r="H21" s="9">
        <f t="shared" si="4"/>
        <v>675.03418203688852</v>
      </c>
      <c r="I21" s="68">
        <v>0.73</v>
      </c>
      <c r="J21" s="69">
        <v>4.4039000000000001</v>
      </c>
      <c r="K21" s="9">
        <v>313107669</v>
      </c>
      <c r="L21" s="9">
        <f t="shared" si="0"/>
        <v>31386.093524458702</v>
      </c>
      <c r="M21" s="69">
        <v>0.67469999999999997</v>
      </c>
      <c r="N21" s="9">
        <v>330896085</v>
      </c>
      <c r="O21" s="9">
        <f t="shared" si="1"/>
        <v>33169.214615076184</v>
      </c>
      <c r="P21" s="55">
        <v>0</v>
      </c>
      <c r="Q21" s="4"/>
      <c r="R21" s="125" t="s">
        <v>1271</v>
      </c>
      <c r="S21" s="124"/>
      <c r="T21" s="124"/>
      <c r="U21" s="124"/>
      <c r="V21" s="124"/>
      <c r="W21" s="124"/>
      <c r="X21" s="124"/>
    </row>
    <row r="22" spans="1:24">
      <c r="A22" s="70" t="s">
        <v>53</v>
      </c>
      <c r="B22" s="19" t="s">
        <v>25</v>
      </c>
      <c r="C22" s="21">
        <v>192793187</v>
      </c>
      <c r="D22" s="11">
        <v>23707</v>
      </c>
      <c r="E22" s="9">
        <f t="shared" si="2"/>
        <v>8132.3316741890585</v>
      </c>
      <c r="F22" s="9">
        <v>17427946</v>
      </c>
      <c r="G22" s="20">
        <f t="shared" si="3"/>
        <v>9.0397105163264921E-2</v>
      </c>
      <c r="H22" s="9">
        <f t="shared" si="4"/>
        <v>735.13924157421854</v>
      </c>
      <c r="I22" s="68">
        <v>0.47</v>
      </c>
      <c r="J22" s="69">
        <v>3.5565000000000002</v>
      </c>
      <c r="K22" s="9">
        <v>3438516696</v>
      </c>
      <c r="L22" s="9">
        <f t="shared" si="0"/>
        <v>145042.25317416797</v>
      </c>
      <c r="M22" s="69">
        <v>0.30180000000000001</v>
      </c>
      <c r="N22" s="9">
        <v>2169966384</v>
      </c>
      <c r="O22" s="9">
        <f t="shared" si="1"/>
        <v>91532.728055004845</v>
      </c>
      <c r="P22" s="55">
        <v>1109560</v>
      </c>
      <c r="Q22" s="2"/>
      <c r="R22" s="124"/>
      <c r="S22" s="150" t="s">
        <v>1267</v>
      </c>
      <c r="T22" s="150"/>
      <c r="U22" s="150"/>
      <c r="V22" s="150"/>
      <c r="W22" s="150"/>
      <c r="X22" s="124"/>
    </row>
    <row r="23" spans="1:24">
      <c r="A23" s="73" t="s">
        <v>54</v>
      </c>
      <c r="B23" s="74" t="s">
        <v>26</v>
      </c>
      <c r="C23" s="75">
        <v>310022728</v>
      </c>
      <c r="D23" s="76">
        <v>34365</v>
      </c>
      <c r="E23" s="77">
        <f t="shared" si="2"/>
        <v>9021.4674232504003</v>
      </c>
      <c r="F23" s="77">
        <v>20707195</v>
      </c>
      <c r="G23" s="78">
        <f t="shared" si="3"/>
        <v>6.679250625779927E-2</v>
      </c>
      <c r="H23" s="77">
        <f t="shared" si="4"/>
        <v>602.56641932198454</v>
      </c>
      <c r="I23" s="79">
        <v>0.72</v>
      </c>
      <c r="J23" s="80">
        <v>2.8466</v>
      </c>
      <c r="K23" s="77">
        <v>1642864931</v>
      </c>
      <c r="L23" s="77">
        <f t="shared" si="0"/>
        <v>47806.341655754404</v>
      </c>
      <c r="M23" s="80">
        <v>1.0706</v>
      </c>
      <c r="N23" s="77">
        <v>1834663078</v>
      </c>
      <c r="O23" s="77">
        <f t="shared" si="1"/>
        <v>53387.547737523644</v>
      </c>
      <c r="P23" s="81">
        <v>0</v>
      </c>
      <c r="Q23" s="2"/>
      <c r="R23" s="124"/>
      <c r="S23" s="151" t="s">
        <v>1293</v>
      </c>
      <c r="T23" s="151"/>
      <c r="U23" s="151"/>
      <c r="V23" s="151"/>
      <c r="W23" s="151"/>
      <c r="X23" s="10"/>
    </row>
    <row r="24" spans="1:24">
      <c r="A24" s="555" t="s">
        <v>86</v>
      </c>
      <c r="B24" s="555"/>
      <c r="C24" s="555"/>
      <c r="D24" s="555"/>
      <c r="E24" s="555"/>
      <c r="F24" s="555"/>
      <c r="G24" s="555"/>
      <c r="H24" s="555"/>
      <c r="I24" s="555"/>
      <c r="J24" s="555"/>
      <c r="K24" s="555"/>
      <c r="L24" s="555"/>
      <c r="M24" s="555"/>
      <c r="N24" s="555"/>
      <c r="O24" s="555"/>
      <c r="P24" s="555"/>
      <c r="R24" s="124"/>
      <c r="S24" s="151"/>
      <c r="T24" s="151" t="s">
        <v>1294</v>
      </c>
      <c r="U24" s="151"/>
      <c r="V24" s="151"/>
      <c r="W24" s="151"/>
      <c r="X24" s="10"/>
    </row>
    <row r="25" spans="1:24">
      <c r="A25" s="550" t="s">
        <v>87</v>
      </c>
      <c r="B25" s="550"/>
      <c r="C25" s="550"/>
      <c r="D25" s="550"/>
      <c r="E25" s="550"/>
      <c r="F25" s="550"/>
      <c r="G25" s="550"/>
      <c r="H25" s="550"/>
      <c r="I25" s="550"/>
      <c r="J25" s="550"/>
      <c r="K25" s="550"/>
      <c r="L25" s="550"/>
      <c r="M25" s="550"/>
      <c r="N25" s="550"/>
      <c r="O25" s="550"/>
      <c r="P25" s="550"/>
      <c r="R25" s="124"/>
      <c r="S25" s="100" t="s">
        <v>1295</v>
      </c>
      <c r="T25" s="100"/>
      <c r="U25" s="100"/>
      <c r="V25" s="100"/>
      <c r="W25" s="100"/>
      <c r="X25" s="10"/>
    </row>
    <row r="26" spans="1:24">
      <c r="A26" s="551" t="s">
        <v>97</v>
      </c>
      <c r="B26" s="552"/>
      <c r="C26" s="552"/>
      <c r="D26" s="552"/>
      <c r="E26" s="552"/>
      <c r="F26" s="552"/>
      <c r="G26" s="552"/>
      <c r="H26" s="552"/>
      <c r="I26" s="552"/>
      <c r="J26" s="552"/>
      <c r="K26" s="552"/>
      <c r="L26" s="552"/>
      <c r="M26" s="552"/>
      <c r="N26" s="552"/>
      <c r="O26" s="552"/>
      <c r="P26" s="553"/>
      <c r="R26" s="124"/>
      <c r="S26" s="100"/>
      <c r="T26" s="100"/>
      <c r="U26" s="100"/>
      <c r="V26" s="100"/>
      <c r="W26" s="100"/>
      <c r="X26" s="10"/>
    </row>
    <row r="27" spans="1:24">
      <c r="A27" s="550" t="s">
        <v>89</v>
      </c>
      <c r="B27" s="550"/>
      <c r="C27" s="550"/>
      <c r="D27" s="550"/>
      <c r="E27" s="550"/>
      <c r="F27" s="550"/>
      <c r="G27" s="550"/>
      <c r="H27" s="550"/>
      <c r="I27" s="550"/>
      <c r="J27" s="550"/>
      <c r="K27" s="550"/>
      <c r="L27" s="550"/>
      <c r="M27" s="550"/>
      <c r="N27" s="550"/>
      <c r="O27" s="550"/>
      <c r="P27" s="550"/>
      <c r="R27" s="124"/>
      <c r="S27" s="124"/>
      <c r="T27" s="124"/>
      <c r="U27" s="124"/>
      <c r="V27" s="124"/>
      <c r="W27" s="124"/>
      <c r="X27" s="10"/>
    </row>
    <row r="28" spans="1:24">
      <c r="A28" s="550" t="s">
        <v>90</v>
      </c>
      <c r="B28" s="550"/>
      <c r="C28" s="550"/>
      <c r="D28" s="550"/>
      <c r="E28" s="550"/>
      <c r="F28" s="550"/>
      <c r="G28" s="550"/>
      <c r="H28" s="550"/>
      <c r="I28" s="550"/>
      <c r="J28" s="550"/>
      <c r="K28" s="550"/>
      <c r="L28" s="550"/>
      <c r="M28" s="550"/>
      <c r="N28" s="550"/>
      <c r="O28" s="550"/>
      <c r="P28" s="550"/>
      <c r="R28" s="124"/>
      <c r="S28" s="124"/>
      <c r="T28" s="124"/>
      <c r="U28" s="124"/>
      <c r="V28" s="124"/>
      <c r="W28" s="124"/>
      <c r="X28" s="10"/>
    </row>
    <row r="29" spans="1:24">
      <c r="A29" s="550" t="s">
        <v>1287</v>
      </c>
      <c r="B29" s="550"/>
      <c r="C29" s="550"/>
      <c r="D29" s="550"/>
      <c r="E29" s="550"/>
      <c r="F29" s="550"/>
      <c r="G29" s="550"/>
      <c r="H29" s="550"/>
      <c r="I29" s="550"/>
      <c r="J29" s="550"/>
      <c r="K29" s="550"/>
      <c r="L29" s="550"/>
      <c r="M29" s="550"/>
      <c r="N29" s="550"/>
      <c r="O29" s="550"/>
      <c r="P29" s="550"/>
    </row>
    <row r="30" spans="1:24">
      <c r="A30" s="550" t="s">
        <v>1288</v>
      </c>
      <c r="B30" s="550"/>
      <c r="C30" s="550"/>
      <c r="D30" s="550"/>
      <c r="E30" s="550"/>
      <c r="F30" s="550"/>
      <c r="G30" s="550"/>
      <c r="H30" s="550"/>
      <c r="I30" s="550"/>
      <c r="J30" s="550"/>
      <c r="K30" s="550"/>
      <c r="L30" s="550"/>
      <c r="M30" s="550"/>
      <c r="N30" s="550"/>
      <c r="O30" s="550"/>
      <c r="P30" s="550"/>
    </row>
    <row r="31" spans="1:24">
      <c r="A31" s="550" t="s">
        <v>1298</v>
      </c>
      <c r="B31" s="550"/>
      <c r="C31" s="550"/>
      <c r="D31" s="550"/>
      <c r="E31" s="550"/>
      <c r="F31" s="550"/>
      <c r="G31" s="550"/>
      <c r="H31" s="550"/>
      <c r="I31" s="550"/>
      <c r="J31" s="550"/>
      <c r="K31" s="550"/>
      <c r="L31" s="550"/>
      <c r="M31" s="550"/>
      <c r="N31" s="550"/>
      <c r="O31" s="550"/>
      <c r="P31" s="550"/>
      <c r="R31" s="1"/>
      <c r="S31" s="1"/>
      <c r="T31" s="1"/>
      <c r="U31" s="1"/>
      <c r="V31" s="1"/>
      <c r="W31" s="1"/>
    </row>
    <row r="32" spans="1:24">
      <c r="R32" s="1"/>
      <c r="S32" s="1"/>
      <c r="T32" s="1"/>
      <c r="U32" s="1"/>
      <c r="V32" s="1"/>
      <c r="W32" s="1"/>
    </row>
    <row r="33" spans="18:29">
      <c r="R33" s="99"/>
      <c r="S33" s="13"/>
      <c r="T33" s="13"/>
      <c r="U33" s="13"/>
      <c r="V33" s="13"/>
      <c r="W33" s="13"/>
      <c r="X33" s="13"/>
      <c r="Y33" s="15"/>
      <c r="Z33" s="15"/>
      <c r="AA33" s="15"/>
      <c r="AB33" s="15"/>
      <c r="AC33" s="15"/>
    </row>
    <row r="34" spans="18:29">
      <c r="R34" s="13"/>
      <c r="S34" s="13"/>
      <c r="T34" s="13"/>
      <c r="U34" s="13"/>
      <c r="V34" s="13"/>
      <c r="W34" s="13"/>
      <c r="X34" s="13"/>
      <c r="Y34" s="15"/>
      <c r="Z34" s="15"/>
      <c r="AA34" s="15"/>
      <c r="AB34" s="15"/>
      <c r="AC34" s="15"/>
    </row>
    <row r="35" spans="18:29">
      <c r="R35" s="13"/>
      <c r="S35" s="13"/>
      <c r="T35" s="13"/>
      <c r="U35" s="13"/>
      <c r="V35" s="13"/>
      <c r="W35" s="13"/>
      <c r="X35" s="13"/>
      <c r="Y35" s="15"/>
      <c r="Z35" s="15"/>
      <c r="AA35" s="15"/>
      <c r="AB35" s="15"/>
      <c r="AC35" s="15"/>
    </row>
    <row r="36" spans="18:29">
      <c r="R36" s="13"/>
      <c r="S36" s="13"/>
      <c r="T36" s="13"/>
      <c r="U36" s="13"/>
      <c r="V36" s="13"/>
      <c r="W36" s="13"/>
      <c r="X36" s="13"/>
      <c r="Y36" s="15"/>
      <c r="Z36" s="15"/>
      <c r="AA36" s="15"/>
      <c r="AB36" s="15"/>
      <c r="AC36" s="15"/>
    </row>
    <row r="37" spans="18:29">
      <c r="R37" s="13"/>
      <c r="S37" s="13"/>
      <c r="T37" s="13"/>
      <c r="U37" s="13"/>
      <c r="V37" s="13"/>
      <c r="W37" s="13"/>
      <c r="X37" s="13"/>
      <c r="Y37" s="15"/>
      <c r="Z37" s="15"/>
      <c r="AA37" s="15"/>
      <c r="AB37" s="15"/>
      <c r="AC37" s="15"/>
    </row>
    <row r="38" spans="18:29">
      <c r="R38" s="13"/>
      <c r="S38" s="13"/>
      <c r="T38" s="13"/>
      <c r="U38" s="13"/>
      <c r="V38" s="13"/>
      <c r="W38" s="13"/>
      <c r="X38" s="13"/>
      <c r="Y38" s="15"/>
      <c r="Z38" s="15"/>
      <c r="AA38" s="15"/>
      <c r="AB38" s="15"/>
      <c r="AC38" s="15"/>
    </row>
    <row r="39" spans="18:29">
      <c r="R39" s="99"/>
      <c r="S39" s="13"/>
      <c r="T39" s="13"/>
      <c r="U39" s="13"/>
      <c r="V39" s="13"/>
      <c r="W39" s="13"/>
      <c r="X39" s="13"/>
      <c r="Y39" s="15"/>
      <c r="Z39" s="15"/>
      <c r="AA39" s="15"/>
      <c r="AB39" s="15"/>
      <c r="AC39" s="15"/>
    </row>
    <row r="40" spans="18:29">
      <c r="R40" s="13"/>
      <c r="S40" s="13"/>
      <c r="T40" s="13"/>
      <c r="U40" s="13"/>
      <c r="V40" s="13"/>
      <c r="W40" s="13"/>
      <c r="X40" s="13"/>
      <c r="Y40" s="15"/>
      <c r="Z40" s="15"/>
      <c r="AA40" s="15"/>
      <c r="AB40" s="15"/>
      <c r="AC40" s="15"/>
    </row>
    <row r="41" spans="18:29">
      <c r="R41" s="13"/>
      <c r="S41" s="13"/>
      <c r="T41" s="13"/>
      <c r="U41" s="13"/>
      <c r="V41" s="13"/>
      <c r="W41" s="13"/>
      <c r="X41" s="13"/>
      <c r="Y41" s="15"/>
      <c r="Z41" s="15"/>
      <c r="AA41" s="15"/>
      <c r="AB41" s="15"/>
      <c r="AC41" s="15"/>
    </row>
    <row r="42" spans="18:29">
      <c r="R42" s="13"/>
      <c r="S42" s="13"/>
      <c r="T42" s="13"/>
      <c r="U42" s="13"/>
      <c r="V42" s="13"/>
      <c r="W42" s="13"/>
      <c r="X42" s="13"/>
      <c r="Y42" s="15"/>
      <c r="Z42" s="15"/>
      <c r="AA42" s="15"/>
      <c r="AB42" s="15"/>
      <c r="AC42" s="15"/>
    </row>
    <row r="43" spans="18:29">
      <c r="R43" s="13"/>
      <c r="S43" s="13"/>
      <c r="T43" s="13"/>
      <c r="U43" s="13"/>
      <c r="V43" s="13"/>
      <c r="W43" s="13"/>
      <c r="X43" s="13"/>
      <c r="Y43" s="15"/>
      <c r="Z43" s="15"/>
      <c r="AA43" s="15"/>
      <c r="AB43" s="15"/>
      <c r="AC43" s="15"/>
    </row>
    <row r="44" spans="18:29">
      <c r="R44" s="13"/>
      <c r="S44" s="13"/>
      <c r="T44" s="13"/>
      <c r="U44" s="13"/>
      <c r="V44" s="13"/>
      <c r="W44" s="13"/>
      <c r="X44" s="13"/>
      <c r="Y44" s="15"/>
      <c r="Z44" s="15"/>
      <c r="AA44" s="15"/>
      <c r="AB44" s="15"/>
      <c r="AC44" s="15"/>
    </row>
    <row r="45" spans="18:29">
      <c r="R45" s="13"/>
      <c r="S45" s="13"/>
      <c r="T45" s="13"/>
      <c r="U45" s="13"/>
      <c r="V45" s="13"/>
      <c r="W45" s="13"/>
      <c r="X45" s="13"/>
      <c r="Y45" s="15"/>
      <c r="Z45" s="15"/>
      <c r="AA45" s="15"/>
      <c r="AB45" s="15"/>
      <c r="AC45" s="15"/>
    </row>
    <row r="46" spans="18:29">
      <c r="R46" s="13"/>
      <c r="S46" s="13"/>
      <c r="T46" s="13"/>
      <c r="U46" s="13"/>
      <c r="V46" s="13"/>
      <c r="W46" s="13"/>
      <c r="X46" s="13"/>
      <c r="Y46" s="15"/>
      <c r="Z46" s="15"/>
      <c r="AA46" s="15"/>
      <c r="AB46" s="15"/>
      <c r="AC46" s="15"/>
    </row>
    <row r="47" spans="18:29">
      <c r="R47" s="13"/>
      <c r="S47" s="13"/>
      <c r="T47" s="13"/>
      <c r="U47" s="13"/>
      <c r="V47" s="13"/>
      <c r="W47" s="13"/>
      <c r="X47" s="13"/>
      <c r="Y47" s="15"/>
      <c r="Z47" s="15"/>
      <c r="AA47" s="15"/>
      <c r="AB47" s="15"/>
      <c r="AC47" s="15"/>
    </row>
    <row r="48" spans="18:29">
      <c r="R48" s="13"/>
      <c r="S48" s="13"/>
      <c r="T48" s="13"/>
      <c r="U48" s="13"/>
      <c r="V48" s="13"/>
      <c r="W48" s="13"/>
      <c r="X48" s="13"/>
      <c r="Y48" s="15"/>
      <c r="Z48" s="15"/>
      <c r="AA48" s="15"/>
      <c r="AB48" s="15"/>
      <c r="AC48" s="15"/>
    </row>
    <row r="49" spans="18:29">
      <c r="R49" s="13"/>
      <c r="S49" s="13"/>
      <c r="T49" s="13"/>
      <c r="U49" s="13"/>
      <c r="V49" s="13"/>
      <c r="W49" s="13"/>
      <c r="X49" s="13"/>
      <c r="Y49" s="15"/>
      <c r="Z49" s="15"/>
      <c r="AA49" s="15"/>
      <c r="AB49" s="15"/>
      <c r="AC49" s="15"/>
    </row>
    <row r="50" spans="18:29">
      <c r="R50" s="13"/>
      <c r="S50" s="13"/>
      <c r="T50" s="13"/>
      <c r="U50" s="13"/>
      <c r="V50" s="13"/>
      <c r="W50" s="13"/>
      <c r="X50" s="13"/>
      <c r="Y50" s="15"/>
      <c r="Z50" s="15"/>
      <c r="AA50" s="15"/>
      <c r="AB50" s="15"/>
      <c r="AC50" s="15"/>
    </row>
    <row r="51" spans="18:29">
      <c r="R51" s="13"/>
      <c r="S51" s="13"/>
      <c r="T51" s="13"/>
      <c r="U51" s="13"/>
      <c r="V51" s="13"/>
      <c r="W51" s="13"/>
      <c r="X51" s="13"/>
      <c r="Y51" s="15"/>
      <c r="Z51" s="15"/>
      <c r="AA51" s="15"/>
      <c r="AB51" s="15"/>
      <c r="AC51" s="15"/>
    </row>
    <row r="52" spans="18:29">
      <c r="R52" s="13"/>
      <c r="S52" s="13"/>
      <c r="T52" s="13"/>
      <c r="U52" s="13"/>
      <c r="V52" s="13"/>
      <c r="W52" s="13"/>
      <c r="X52" s="13"/>
      <c r="Y52" s="15"/>
      <c r="Z52" s="15"/>
      <c r="AA52" s="15"/>
      <c r="AB52" s="15"/>
      <c r="AC52" s="15"/>
    </row>
    <row r="53" spans="18:29">
      <c r="R53" s="13"/>
      <c r="S53" s="13"/>
      <c r="T53" s="13"/>
      <c r="U53" s="13"/>
      <c r="V53" s="13"/>
      <c r="W53" s="13"/>
      <c r="X53" s="13"/>
      <c r="Y53" s="15"/>
      <c r="Z53" s="15"/>
      <c r="AA53" s="15"/>
      <c r="AB53" s="15"/>
      <c r="AC53" s="15"/>
    </row>
    <row r="54" spans="18:29">
      <c r="R54" s="13"/>
      <c r="S54" s="13"/>
      <c r="T54" s="13"/>
      <c r="U54" s="13"/>
      <c r="V54" s="13"/>
      <c r="W54" s="13"/>
      <c r="X54" s="13"/>
      <c r="Y54" s="15"/>
      <c r="Z54" s="15"/>
      <c r="AA54" s="15"/>
      <c r="AB54" s="15"/>
      <c r="AC54" s="15"/>
    </row>
    <row r="55" spans="18:29">
      <c r="R55" s="13"/>
      <c r="S55" s="13"/>
      <c r="T55" s="13"/>
      <c r="U55" s="13"/>
      <c r="V55" s="13"/>
      <c r="W55" s="13"/>
      <c r="X55" s="13"/>
      <c r="Y55" s="15"/>
      <c r="Z55" s="15"/>
      <c r="AA55" s="15"/>
      <c r="AB55" s="15"/>
      <c r="AC55" s="15"/>
    </row>
    <row r="56" spans="18:29">
      <c r="R56" s="13"/>
      <c r="S56" s="13"/>
      <c r="T56" s="13"/>
      <c r="U56" s="13"/>
      <c r="V56" s="13"/>
      <c r="W56" s="13"/>
      <c r="X56" s="13"/>
      <c r="Y56" s="15"/>
      <c r="Z56" s="15"/>
      <c r="AA56" s="15"/>
      <c r="AB56" s="15"/>
      <c r="AC56" s="15"/>
    </row>
    <row r="57" spans="18:29">
      <c r="R57" s="13"/>
      <c r="S57" s="13"/>
      <c r="T57" s="13"/>
      <c r="U57" s="13"/>
      <c r="V57" s="13"/>
      <c r="W57" s="13"/>
      <c r="X57" s="13"/>
      <c r="Y57" s="15"/>
      <c r="Z57" s="15"/>
      <c r="AA57" s="15"/>
      <c r="AB57" s="15"/>
      <c r="AC57" s="15"/>
    </row>
    <row r="58" spans="18:29">
      <c r="R58" s="15"/>
      <c r="S58" s="15"/>
      <c r="T58" s="15"/>
      <c r="U58" s="15"/>
      <c r="V58" s="15"/>
      <c r="W58" s="15"/>
      <c r="X58" s="15"/>
      <c r="Y58" s="15"/>
      <c r="Z58" s="15"/>
      <c r="AA58" s="15"/>
      <c r="AB58" s="15"/>
      <c r="AC58" s="15"/>
    </row>
    <row r="59" spans="18:29">
      <c r="R59" s="15"/>
      <c r="S59" s="15"/>
      <c r="T59" s="15"/>
      <c r="U59" s="15"/>
      <c r="V59" s="15"/>
      <c r="W59" s="15"/>
      <c r="X59" s="15"/>
      <c r="Y59" s="15"/>
      <c r="Z59" s="15"/>
      <c r="AA59" s="15"/>
      <c r="AB59" s="15"/>
      <c r="AC59" s="15"/>
    </row>
    <row r="60" spans="18:29">
      <c r="R60" s="15"/>
      <c r="S60" s="15"/>
      <c r="T60" s="15"/>
      <c r="U60" s="15"/>
      <c r="V60" s="15"/>
      <c r="W60" s="15"/>
      <c r="X60" s="15"/>
      <c r="Y60" s="15"/>
      <c r="Z60" s="15"/>
      <c r="AA60" s="15"/>
      <c r="AB60" s="15"/>
      <c r="AC60" s="15"/>
    </row>
    <row r="61" spans="18:29">
      <c r="R61" s="15"/>
      <c r="S61" s="15"/>
      <c r="T61" s="15"/>
      <c r="U61" s="15"/>
      <c r="V61" s="15"/>
      <c r="W61" s="15"/>
      <c r="X61" s="15"/>
      <c r="Y61" s="15"/>
      <c r="Z61" s="15"/>
      <c r="AA61" s="15"/>
      <c r="AB61" s="15"/>
      <c r="AC61" s="15"/>
    </row>
  </sheetData>
  <mergeCells count="11">
    <mergeCell ref="A1:P1"/>
    <mergeCell ref="A2:P2"/>
    <mergeCell ref="A3:P3"/>
    <mergeCell ref="A26:P26"/>
    <mergeCell ref="A29:P29"/>
    <mergeCell ref="A31:P31"/>
    <mergeCell ref="A30:P30"/>
    <mergeCell ref="A24:P24"/>
    <mergeCell ref="A25:P25"/>
    <mergeCell ref="A27:P27"/>
    <mergeCell ref="A28:P28"/>
  </mergeCells>
  <pageMargins left="0.5" right="0.5" top="0.5" bottom="0.5" header="0.3" footer="0.3"/>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Worksheet Instructions</vt:lpstr>
      <vt:lpstr>TEMPLATE-Figure 1 Amounts</vt:lpstr>
      <vt:lpstr>Figures 1,2,4-Weighted</vt:lpstr>
      <vt:lpstr>Report Figures 1,3,5,6</vt:lpstr>
      <vt:lpstr>#s for Report-State</vt:lpstr>
      <vt:lpstr>#s for Report-Maricopa County</vt:lpstr>
      <vt:lpstr>Charter &amp; District Data</vt:lpstr>
      <vt:lpstr>County Revenue Sources</vt:lpstr>
      <vt:lpstr>County Valuations &amp; Other</vt:lpstr>
      <vt:lpstr>'#s for Report-Maricopa County'!Print_Area</vt:lpstr>
      <vt:lpstr>'#s for Report-State'!Print_Area</vt:lpstr>
      <vt:lpstr>'Charter &amp; District Data'!Print_Area</vt:lpstr>
      <vt:lpstr>'County Revenue Sources'!Print_Area</vt:lpstr>
      <vt:lpstr>'County Valuations &amp; Other'!Print_Area</vt:lpstr>
      <vt:lpstr>'Worksheet Instructions'!Print_Area</vt:lpstr>
      <vt:lpstr>'#s for Report-Maricopa County'!Print_Titles</vt:lpstr>
      <vt:lpstr>'#s for Report-State'!Print_Titles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F. May</dc:creator>
  <cp:lastModifiedBy>Jay F. May</cp:lastModifiedBy>
  <cp:lastPrinted>2010-05-20T20:01:14Z</cp:lastPrinted>
  <dcterms:created xsi:type="dcterms:W3CDTF">2008-10-14T16:33:44Z</dcterms:created>
  <dcterms:modified xsi:type="dcterms:W3CDTF">2010-05-21T19:30:02Z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