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hart 1" state="visible" r:id="rId3"/>
    <sheet sheetId="2" name="SP" state="visible" r:id="rId4"/>
    <sheet sheetId="3" name="RP" state="visible" r:id="rId5"/>
    <sheet sheetId="4" name="C" state="visible" r:id="rId6"/>
    <sheet sheetId="5" name="1B" state="visible" r:id="rId7"/>
    <sheet sheetId="6" name="2B" state="visible" r:id="rId8"/>
    <sheet sheetId="7" name="3B" state="visible" r:id="rId9"/>
    <sheet sheetId="8" name="SS" state="visible" r:id="rId10"/>
    <sheet sheetId="9" name="OF" state="visible" r:id="rId11"/>
    <sheet sheetId="10" name="." state="visible" r:id="rId12"/>
  </sheets>
  <definedNames/>
  <calcPr/>
</workbook>
</file>

<file path=xl/sharedStrings.xml><?xml version="1.0" encoding="utf-8"?>
<sst xmlns="http://schemas.openxmlformats.org/spreadsheetml/2006/main" count="3536" uniqueCount="56">
  <si>
    <t>HotStove 2011/2012 MLB Player Acquisition Tracker - Real Dirty Mets .com</t>
  </si>
  <si>
    <t>#</t>
  </si>
  <si>
    <t>Player</t>
  </si>
  <si>
    <t>Pos</t>
  </si>
  <si>
    <t>2011 Team</t>
  </si>
  <si>
    <t>2012 Team</t>
  </si>
  <si>
    <t>Trans/Date</t>
  </si>
  <si>
    <t>Transaction</t>
  </si>
  <si>
    <t>Dollars</t>
  </si>
  <si>
    <t>SP</t>
  </si>
  <si>
    <t>ATL</t>
  </si>
  <si>
    <t>CLE</t>
  </si>
  <si>
    <t>---</t>
  </si>
  <si>
    <t>RP</t>
  </si>
  <si>
    <t>TEX</t>
  </si>
  <si>
    <t>PIT</t>
  </si>
  <si>
    <t>Minor league contract</t>
  </si>
  <si>
    <t>SS</t>
  </si>
  <si>
    <t>ARI</t>
  </si>
  <si>
    <t>OF</t>
  </si>
  <si>
    <t>LA</t>
  </si>
  <si>
    <t>C</t>
  </si>
  <si>
    <t>COL</t>
  </si>
  <si>
    <t>OAK</t>
  </si>
  <si>
    <t>WSH</t>
  </si>
  <si>
    <t>TOR</t>
  </si>
  <si>
    <t>DH</t>
  </si>
  <si>
    <t>PHI</t>
  </si>
  <si>
    <t>KC</t>
  </si>
  <si>
    <t>SF</t>
  </si>
  <si>
    <t>DET</t>
  </si>
  <si>
    <t>HOU</t>
  </si>
  <si>
    <t>IF</t>
  </si>
  <si>
    <t>BAL</t>
  </si>
  <si>
    <t>MIL</t>
  </si>
  <si>
    <t>CHC</t>
  </si>
  <si>
    <t>CIN</t>
  </si>
  <si>
    <t>MIN</t>
  </si>
  <si>
    <t>NYM</t>
  </si>
  <si>
    <t>2B</t>
  </si>
  <si>
    <t>MIA</t>
  </si>
  <si>
    <t>BOS</t>
  </si>
  <si>
    <t>SD</t>
  </si>
  <si>
    <t>1B</t>
  </si>
  <si>
    <t>SEA</t>
  </si>
  <si>
    <t>NYY</t>
  </si>
  <si>
    <t>STL</t>
  </si>
  <si>
    <t>LAA</t>
  </si>
  <si>
    <t>TB</t>
  </si>
  <si>
    <t>CHW</t>
  </si>
  <si>
    <t>Accepted arbitration</t>
  </si>
  <si>
    <t>3B</t>
  </si>
  <si>
    <t>JAP</t>
  </si>
  <si>
    <t>Pending</t>
  </si>
  <si>
    <t>CWS</t>
  </si>
  <si>
    <t>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</si>
</sst>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"/>
    <numFmt numFmtId="165" formatCode="&quot;$&quot;#,##0"/>
    <numFmt numFmtId="166" formatCode="&quot;$&quot;#,##0"/>
    <numFmt numFmtId="167" formatCode="m/d/yyyy;@"/>
    <numFmt numFmtId="168" formatCode="m/d/yyyy;@"/>
    <numFmt numFmtId="169" formatCode="&quot;$&quot;#,##0"/>
    <numFmt numFmtId="170" formatCode="m/d/yyyy;@"/>
    <numFmt numFmtId="171" formatCode="&quot;$&quot;#,##0"/>
    <numFmt numFmtId="172" formatCode="m/d/yyyy;@"/>
    <numFmt numFmtId="173" formatCode="&quot;$&quot;#,##0"/>
    <numFmt numFmtId="174" formatCode="&quot;$&quot;#,##0"/>
  </numFmts>
  <fonts count="21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</fonts>
  <fills count="35">
    <fill>
      <patternFill patternType="none"/>
    </fill>
    <fill>
      <patternFill patternType="gray125"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6D7A8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50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Fill="1">
      <alignment vertical="bottom" horizontal="center" wrapText="1"/>
    </xf>
    <xf applyBorder="1" applyAlignment="1" fillId="3" xfId="0" numFmtId="0" borderId="2" applyFont="1" fontId="2" applyFill="1">
      <alignment vertical="bottom" horizontal="center" wrapText="1"/>
    </xf>
    <xf applyBorder="1" applyAlignment="1" fillId="0" xfId="0" numFmtId="164" borderId="3" fontId="0" applyNumberFormat="1">
      <alignment vertical="bottom" horizontal="center" wrapText="1"/>
    </xf>
    <xf applyBorder="1" applyAlignment="1" fillId="0" xfId="0" numFmtId="0" borderId="4" applyFont="1" fontId="3">
      <alignment vertical="bottom" horizontal="center" wrapText="1"/>
    </xf>
    <xf applyAlignment="1" fillId="0" xfId="0" numFmtId="0" borderId="0" applyFont="1" fontId="4">
      <alignment vertical="bottom" horizontal="general" wrapText="1"/>
    </xf>
    <xf applyBorder="1" applyAlignment="1" fillId="4" xfId="0" numFmtId="165" borderId="5" fontId="0" applyNumberFormat="1" applyFill="1">
      <alignment vertical="bottom" horizontal="center" wrapText="1"/>
    </xf>
    <xf applyBorder="1" applyAlignment="1" fillId="0" xfId="0" numFmtId="0" borderId="6" fontId="0">
      <alignment vertical="bottom" horizontal="general" wrapText="1"/>
    </xf>
    <xf applyBorder="1" applyAlignment="1" fillId="5" xfId="0" numFmtId="0" borderId="7" applyFont="1" fontId="5" applyFill="1">
      <alignment vertical="bottom" horizontal="center" wrapText="1"/>
    </xf>
    <xf applyBorder="1" applyAlignment="1" fillId="6" xfId="0" numFmtId="0" borderId="8" fontId="0" applyFill="1">
      <alignment vertical="bottom" horizontal="center" wrapText="1"/>
    </xf>
    <xf applyBorder="1" applyAlignment="1" fillId="7" xfId="0" numFmtId="166" borderId="9" fontId="0" applyNumberFormat="1" applyFill="1">
      <alignment vertical="bottom" horizontal="center" wrapText="1"/>
    </xf>
    <xf applyBorder="1" applyAlignment="1" fillId="8" xfId="0" numFmtId="167" borderId="10" applyFont="1" fontId="6" applyNumberFormat="1" applyFill="1">
      <alignment vertical="bottom" horizontal="center" wrapText="1"/>
    </xf>
    <xf applyBorder="1" applyAlignment="1" fillId="9" xfId="0" numFmtId="0" borderId="11" applyFont="1" fontId="7" applyFill="1">
      <alignment vertical="bottom" horizontal="center" wrapText="1"/>
    </xf>
    <xf applyBorder="1" applyAlignment="1" fillId="10" xfId="0" numFmtId="0" borderId="12" fontId="0" applyFill="1">
      <alignment vertical="bottom" horizontal="center" wrapText="1"/>
    </xf>
    <xf applyBorder="1" applyAlignment="1" fillId="11" xfId="0" numFmtId="0" borderId="13" applyFont="1" fontId="8" applyFill="1">
      <alignment vertical="bottom" horizontal="center" wrapText="1"/>
    </xf>
    <xf applyAlignment="1" fillId="0" xfId="0" numFmtId="0" borderId="0" applyFont="1" fontId="9">
      <alignment vertical="bottom" horizontal="general" wrapText="1"/>
    </xf>
    <xf applyAlignment="1" fillId="0" xfId="0" numFmtId="0" borderId="0" fontId="0">
      <alignment vertical="bottom" horizontal="general" wrapText="1"/>
    </xf>
    <xf applyBorder="1" applyAlignment="1" fillId="0" xfId="0" numFmtId="0" borderId="14" fontId="0">
      <alignment vertical="bottom" horizontal="left" wrapText="1"/>
    </xf>
    <xf applyBorder="1" applyAlignment="1" fillId="12" xfId="0" numFmtId="168" borderId="15" fontId="0" applyNumberFormat="1" applyFill="1">
      <alignment vertical="bottom" horizontal="center" wrapText="1"/>
    </xf>
    <xf applyBorder="1" applyAlignment="1" fillId="0" xfId="0" numFmtId="169" borderId="16" fontId="0" applyNumberFormat="1">
      <alignment vertical="bottom" horizontal="center" wrapText="1"/>
    </xf>
    <xf applyAlignment="1" fillId="13" xfId="0" numFmtId="0" borderId="0" fontId="0" applyFill="1">
      <alignment vertical="bottom" horizontal="general" wrapText="1"/>
    </xf>
    <xf applyBorder="1" applyAlignment="1" fillId="14" xfId="0" numFmtId="0" borderId="17" applyFont="1" fontId="10" applyFill="1">
      <alignment vertical="bottom" horizontal="left" wrapText="1"/>
    </xf>
    <xf applyBorder="1" applyAlignment="1" fillId="15" xfId="0" numFmtId="0" borderId="18" applyFont="1" fontId="11" applyFill="1">
      <alignment vertical="bottom" horizontal="center" wrapText="1"/>
    </xf>
    <xf applyBorder="1" applyAlignment="1" fillId="16" xfId="0" numFmtId="0" borderId="19" fontId="0" applyFill="1">
      <alignment vertical="bottom" horizontal="general" wrapText="1"/>
    </xf>
    <xf applyBorder="1" applyAlignment="1" fillId="17" xfId="0" numFmtId="0" borderId="20" applyFont="1" fontId="12" applyFill="1">
      <alignment vertical="bottom" horizontal="center" wrapText="1"/>
    </xf>
    <xf applyAlignment="1" fillId="0" xfId="0" numFmtId="0" borderId="0" fontId="0">
      <alignment vertical="bottom" horizontal="left" wrapText="1"/>
    </xf>
    <xf applyAlignment="1" fillId="18" xfId="0" numFmtId="0" borderId="0" fontId="0" applyFill="1">
      <alignment vertical="bottom" horizontal="general" wrapText="1"/>
    </xf>
    <xf applyBorder="1" applyAlignment="1" fillId="0" xfId="0" numFmtId="0" borderId="21" fontId="0">
      <alignment vertical="bottom" horizontal="general" wrapText="1"/>
    </xf>
    <xf applyBorder="1" applyAlignment="1" fillId="19" xfId="0" numFmtId="0" borderId="22" applyFont="1" fontId="13" applyFill="1">
      <alignment vertical="bottom" horizontal="center" wrapText="1"/>
    </xf>
    <xf applyBorder="1" applyAlignment="1" fillId="20" xfId="0" numFmtId="0" borderId="23" fontId="0" applyFill="1">
      <alignment vertical="bottom" horizontal="center" wrapText="1"/>
    </xf>
    <xf applyBorder="1" applyAlignment="1" fillId="21" xfId="0" numFmtId="0" borderId="24" applyFont="1" fontId="14" applyFill="1">
      <alignment vertical="bottom" horizontal="center" wrapText="1"/>
    </xf>
    <xf applyBorder="1" applyAlignment="1" fillId="22" xfId="0" numFmtId="0" borderId="25" fontId="0" applyFill="1">
      <alignment vertical="bottom" horizontal="center" wrapText="1"/>
    </xf>
    <xf applyBorder="1" applyAlignment="1" fillId="0" xfId="0" numFmtId="170" borderId="26" fontId="0" applyNumberFormat="1">
      <alignment vertical="bottom" horizontal="center" wrapText="1"/>
    </xf>
    <xf applyBorder="1" applyAlignment="1" fillId="0" xfId="0" numFmtId="0" borderId="27" fontId="0">
      <alignment vertical="bottom" horizontal="general" wrapText="1"/>
    </xf>
    <xf applyBorder="1" applyAlignment="1" fillId="23" xfId="0" numFmtId="171" borderId="28" fontId="0" applyNumberFormat="1" applyFill="1">
      <alignment vertical="bottom" horizontal="center" wrapText="1"/>
    </xf>
    <xf applyBorder="1" applyAlignment="1" fillId="24" xfId="0" numFmtId="0" borderId="29" applyFont="1" fontId="15" applyFill="1">
      <alignment vertical="bottom" horizontal="center" wrapText="1"/>
    </xf>
    <xf applyBorder="1" applyAlignment="1" fillId="25" xfId="0" numFmtId="0" borderId="30" fontId="0" applyFill="1">
      <alignment vertical="bottom" horizontal="general" wrapText="1"/>
    </xf>
    <xf applyBorder="1" applyAlignment="1" fillId="26" xfId="0" numFmtId="172" borderId="31" fontId="0" applyNumberFormat="1" applyFill="1">
      <alignment vertical="bottom" horizontal="center" wrapText="1"/>
    </xf>
    <xf applyBorder="1" applyAlignment="1" fillId="27" xfId="0" numFmtId="0" borderId="32" applyFont="1" fontId="16" applyFill="1">
      <alignment vertical="bottom" horizontal="center" wrapText="1"/>
    </xf>
    <xf applyBorder="1" applyAlignment="1" fillId="28" xfId="0" numFmtId="0" borderId="33" applyFont="1" fontId="17" applyFill="1">
      <alignment vertical="bottom" horizontal="center" wrapText="1"/>
    </xf>
    <xf applyBorder="1" applyAlignment="1" fillId="29" xfId="0" numFmtId="0" borderId="34" fontId="0" applyFill="1">
      <alignment vertical="bottom" horizontal="center" wrapText="1"/>
    </xf>
    <xf applyBorder="1" applyAlignment="1" fillId="0" xfId="0" numFmtId="0" borderId="35" fontId="0">
      <alignment vertical="bottom" horizontal="general" wrapText="1"/>
    </xf>
    <xf applyBorder="1" applyAlignment="1" fillId="0" xfId="0" numFmtId="0" borderId="36" applyFont="1" fontId="18">
      <alignment vertical="bottom" horizontal="center" wrapText="1"/>
    </xf>
    <xf applyBorder="1" applyAlignment="1" fillId="30" xfId="0" numFmtId="173" borderId="37" fontId="0" applyNumberFormat="1" applyFill="1">
      <alignment vertical="bottom" horizontal="center" wrapText="1"/>
    </xf>
    <xf applyBorder="1" applyAlignment="1" fillId="31" xfId="0" numFmtId="0" borderId="38" fontId="0" applyFill="1">
      <alignment vertical="bottom" horizontal="left" wrapText="1"/>
    </xf>
    <xf applyBorder="1" applyAlignment="1" fillId="32" xfId="0" numFmtId="0" borderId="39" fontId="0" applyFill="1">
      <alignment vertical="bottom" horizontal="left" wrapText="1"/>
    </xf>
    <xf applyBorder="1" applyAlignment="1" fillId="0" xfId="0" numFmtId="0" borderId="40" fontId="0">
      <alignment vertical="bottom" horizontal="center" wrapText="1"/>
    </xf>
    <xf applyAlignment="1" fillId="33" xfId="0" numFmtId="0" borderId="0" applyFont="1" fontId="19" applyFill="1">
      <alignment vertical="bottom" horizontal="general" wrapText="1"/>
    </xf>
    <xf applyBorder="1" applyAlignment="1" fillId="0" xfId="0" numFmtId="174" borderId="41" fontId="0" applyNumberFormat="1">
      <alignment vertical="bottom" horizontal="center" wrapText="1"/>
    </xf>
    <xf applyBorder="1" applyAlignment="1" fillId="34" xfId="0" numFmtId="0" borderId="42" applyFont="1" fontId="20" applyFill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23" r="B3">
        <f>hyperlink("http://www.baseball-reference.com/players/l/lowede01.shtml","Lowe, Derek")</f>
        <v>Lowe, Derek</v>
      </c>
      <c t="s" s="13" r="C3">
        <v>9</v>
      </c>
      <c t="s" s="13" r="D3">
        <v>10</v>
      </c>
      <c t="s" s="13" r="E3">
        <v>11</v>
      </c>
      <c s="18" r="F3">
        <v>40847</v>
      </c>
      <c t="str" s="30" r="G3">
        <f>hyperlink("http://espn.go.com/mlb/story/_/id/7174095/atlanta-braves-trade-derek-lowe-cleveland-indians","Traded for a minor leaguer")</f>
        <v>Traded for a minor leaguer</v>
      </c>
      <c t="s" s="43" r="H3">
        <v>12</v>
      </c>
    </row>
    <row r="4">
      <c s="46" r="A4">
        <v>2</v>
      </c>
      <c t="str" s="44" r="B4">
        <f>hyperlink("http://www.baseball-reference.com/players/w/woodti01.shtml","Wood, Tim")</f>
        <v>Wood, Tim</v>
      </c>
      <c t="s" s="46" r="C4">
        <v>13</v>
      </c>
      <c t="s" s="46" r="D4">
        <v>14</v>
      </c>
      <c t="s" s="46" r="E4">
        <v>15</v>
      </c>
      <c s="32" r="F4">
        <v>40848</v>
      </c>
      <c t="s" s="1" r="G4">
        <v>16</v>
      </c>
      <c t="s" s="48" r="H4">
        <v>12</v>
      </c>
    </row>
    <row r="5">
      <c s="13" r="A5">
        <v>3</v>
      </c>
      <c t="str" s="45" r="B5">
        <f>hyperlink("http://www.baseball-reference.com/players/m/mcdonjo03.shtml","McDonald, John")</f>
        <v>McDonald, John</v>
      </c>
      <c t="s" s="13" r="C5">
        <v>17</v>
      </c>
      <c t="s" s="9" r="D5">
        <v>18</v>
      </c>
      <c t="s" s="9" r="E5">
        <v>18</v>
      </c>
      <c s="18" r="F5">
        <v>40849</v>
      </c>
      <c t="str" s="22" r="G5">
        <f>hyperlink("http://espn.go.com/mlb/story/_/id/7183758/infielder-john-mcdonald-agrees-two-year-deal-arizona-diamondbacks","Two-year contract")</f>
        <v>Two-year contract</v>
      </c>
      <c s="43" r="H5">
        <v>3000000</v>
      </c>
    </row>
    <row r="6">
      <c s="46" r="A6">
        <v>4</v>
      </c>
      <c t="str" s="44" r="B6">
        <f>hyperlink("http://www.baseball-reference.com/players/r/riverju01.shtml","Rivera, Juan")</f>
        <v>Rivera, Juan</v>
      </c>
      <c t="s" s="46" r="C6">
        <v>19</v>
      </c>
      <c t="s" s="9" r="D6">
        <v>20</v>
      </c>
      <c t="s" s="9" r="E6">
        <v>20</v>
      </c>
      <c s="32" r="F6">
        <v>40850</v>
      </c>
      <c t="str" s="42" r="G6">
        <f>hyperlink("http://mlb.mlb.com/news/article.jsp?ymd=20111103&amp;content_id=25893800&amp;vkey=news_la&amp;c_id=la","One-year contract")</f>
        <v>One-year contract</v>
      </c>
      <c s="48" r="H6">
        <v>4500000</v>
      </c>
    </row>
    <row r="7">
      <c s="13" r="A7">
        <v>5</v>
      </c>
      <c t="str" s="45" r="B7">
        <f>hyperlink("http://www.baseball-reference.com/players/b/blanche01.shtml","Blanco, Henry")</f>
        <v>Blanco, Henry</v>
      </c>
      <c t="s" s="13" r="C7">
        <v>21</v>
      </c>
      <c t="s" s="9" r="D7">
        <v>18</v>
      </c>
      <c t="s" s="9" r="E7">
        <v>18</v>
      </c>
      <c s="18" r="F7">
        <v>40850</v>
      </c>
      <c t="str" s="22" r="G7">
        <f>hyperlink("http://espn.go.com/mlb/story/_/id/7187736/veteran-c-henry-blanco-signs-1-year-deal-arizona-diamondbacks","One-year contract with option")</f>
        <v>One-year contract with option</v>
      </c>
      <c s="43" r="H7">
        <v>1250000</v>
      </c>
    </row>
    <row r="8">
      <c s="46" r="A8">
        <v>6</v>
      </c>
      <c t="str" s="44" r="B8">
        <f>hyperlink("http://www.baseball-reference.com/players/g/gonzaed01.shtml","Gonzalez, Edgar")</f>
        <v>Gonzalez, Edgar</v>
      </c>
      <c t="s" s="46" r="C8">
        <v>9</v>
      </c>
      <c t="s" s="46" r="D8">
        <v>22</v>
      </c>
      <c t="s" s="46" r="E8">
        <v>23</v>
      </c>
      <c s="32" r="F8">
        <v>40851</v>
      </c>
      <c t="s" s="1" r="G8">
        <v>16</v>
      </c>
      <c t="s" s="48" r="H8">
        <v>12</v>
      </c>
    </row>
    <row r="9">
      <c s="13" r="A9">
        <v>7</v>
      </c>
      <c t="str" s="45" r="B9">
        <f>hyperlink("http://www.baseball-reference.com/players/w/wangch01.shtml","Wang, Chien-Ming")</f>
        <v>Wang, Chien-Ming</v>
      </c>
      <c t="s" s="13" r="C9">
        <v>9</v>
      </c>
      <c t="s" s="9" r="D9">
        <v>24</v>
      </c>
      <c t="s" s="9" r="E9">
        <v>24</v>
      </c>
      <c s="18" r="F9">
        <v>40851</v>
      </c>
      <c t="str" s="22" r="G9">
        <f>hyperlink("http://espn.go.com/mlb/story/_/id/7187277/chien-ming-wang-washington-nationals-agree-deal","One-year contract")</f>
        <v>One-year contract</v>
      </c>
      <c s="43" r="H9">
        <v>4000000</v>
      </c>
    </row>
    <row r="10">
      <c s="46" r="A10">
        <v>8</v>
      </c>
      <c t="str" s="44" r="B10">
        <f>hyperlink("http://www.baseball-reference.com/players/m/magnutr01.shtml","Magnuson, Trystan")</f>
        <v>Magnuson, Trystan</v>
      </c>
      <c t="s" s="28" r="C10">
        <v>13</v>
      </c>
      <c t="s" s="28" r="D10">
        <v>23</v>
      </c>
      <c t="s" s="28" r="E10">
        <v>25</v>
      </c>
      <c s="11" r="F10">
        <v>40851</v>
      </c>
      <c t="str" s="30" r="G10">
        <f>hyperlink("http://espn.go.com/mlb/story/_/id/7190075/oakland-athletics-send-trystan-magnuson-toronto-blue-jays","Traded for cash considerations.")</f>
        <v>Traded for cash considerations.</v>
      </c>
      <c t="s" s="6" r="H10">
        <v>12</v>
      </c>
    </row>
    <row r="11">
      <c s="13" r="A11">
        <v>9</v>
      </c>
      <c t="str" s="45" r="B11">
        <f>hyperlink("http://www.baseball-reference.com/players/t/thomeji01.shtml","Thome, Jim")</f>
        <v>Thome, Jim</v>
      </c>
      <c t="s" s="13" r="C11">
        <v>26</v>
      </c>
      <c t="s" s="13" r="D11">
        <v>11</v>
      </c>
      <c t="s" s="13" r="E11">
        <v>27</v>
      </c>
      <c s="18" r="F11">
        <v>40852</v>
      </c>
      <c t="str" s="22" r="G11">
        <f>hyperlink("http://espn.go.com/mlb/story/_/id/7194344/jim-thome-re-signs-philadelphia-phillies-1-year-deal","One-year contract")</f>
        <v>One-year contract</v>
      </c>
      <c s="43" r="H11">
        <v>1250000</v>
      </c>
    </row>
    <row r="12">
      <c s="46" r="A12">
        <v>10</v>
      </c>
      <c t="str" s="44" r="B12">
        <f>hyperlink("http://www.baseball-reference.com/players/c/cabreme01.shtml","Cabrera, Melky")</f>
        <v>Cabrera, Melky</v>
      </c>
      <c t="s" s="31" r="C12">
        <v>19</v>
      </c>
      <c t="s" s="31" r="D12">
        <v>28</v>
      </c>
      <c t="s" s="31" r="E12">
        <v>29</v>
      </c>
      <c s="37" r="F12">
        <v>40854</v>
      </c>
      <c t="str" s="30" r="G12">
        <f>hyperlink("http://espn.go.com/mlb/story/_/id/7203609/kansas-city-royals-trade-melky-cabrera-san-francisco-giants-jonathan-sanchez","Traded for Jonathan Sanchez and a minor leaguer")</f>
        <v>Traded for Jonathan Sanchez and a minor leaguer</v>
      </c>
      <c t="s" s="6" r="H12">
        <v>12</v>
      </c>
    </row>
    <row r="13">
      <c s="13" r="A13">
        <v>11</v>
      </c>
      <c t="str" s="45" r="B13">
        <f>hyperlink("http://www.baseball-reference.com/players/s/sanchjo01.shtml","Sanchez, Jonathan")</f>
        <v>Sanchez, Jonathan</v>
      </c>
      <c t="s" s="13" r="C13">
        <v>9</v>
      </c>
      <c t="s" s="13" r="D13">
        <v>29</v>
      </c>
      <c t="s" s="13" r="E13">
        <v>28</v>
      </c>
      <c s="18" r="F13">
        <v>40854</v>
      </c>
      <c t="str" s="30" r="G13">
        <f>hyperlink("http://espn.go.com/mlb/story/_/id/7203609/kansas-city-royals-trade-melky-cabrera-san-francisco-giants-jonathan-sanchez","Traded with a minor leaguer for Melky Cabrera")</f>
        <v>Traded with a minor leaguer for Melky Cabrera</v>
      </c>
      <c t="s" s="43" r="H13">
        <v>12</v>
      </c>
    </row>
    <row r="14">
      <c s="46" r="A14">
        <v>12</v>
      </c>
      <c t="str" s="44" r="B14">
        <f>hyperlink("http://www.baseball-reference.com/players/y/youngma02.shtml","Young, Matt")</f>
        <v>Young, Matt</v>
      </c>
      <c t="s" s="31" r="C14">
        <v>19</v>
      </c>
      <c t="s" s="31" r="D14">
        <v>10</v>
      </c>
      <c t="s" s="31" r="E14">
        <v>30</v>
      </c>
      <c s="37" r="F14">
        <v>40854</v>
      </c>
      <c t="s" s="1" r="G14">
        <v>16</v>
      </c>
      <c t="s" s="6" r="H14">
        <v>12</v>
      </c>
    </row>
    <row r="15">
      <c s="13" r="A15">
        <v>13</v>
      </c>
      <c t="str" s="45" r="B15">
        <f>hyperlink("http://www.baseball-reference.com/players/b/bucktr01.shtml","Buck, Travis")</f>
        <v>Buck, Travis</v>
      </c>
      <c t="s" s="13" r="C15">
        <v>19</v>
      </c>
      <c t="s" s="13" r="D15">
        <v>11</v>
      </c>
      <c t="s" s="13" r="E15">
        <v>31</v>
      </c>
      <c s="18" r="F15">
        <v>40856</v>
      </c>
      <c t="s" s="1" r="G15">
        <v>16</v>
      </c>
      <c t="s" s="43" r="H15">
        <v>12</v>
      </c>
    </row>
    <row r="16">
      <c s="46" r="A16">
        <v>14</v>
      </c>
      <c t="str" s="44" r="B16">
        <f>hyperlink("http://www.baseball-reference.com/players/b/bloomwi01.shtml","Bloomquist, Willie")</f>
        <v>Bloomquist, Willie</v>
      </c>
      <c t="s" s="31" r="C16">
        <v>32</v>
      </c>
      <c t="s" s="9" r="D16">
        <v>18</v>
      </c>
      <c t="s" s="9" r="E16">
        <v>18</v>
      </c>
      <c s="37" r="F16">
        <v>40856</v>
      </c>
      <c t="str" s="2" r="G16">
        <f>hyperlink("http://espn.go.com/mlb/story/_/id/7213139/arizona-diamondbacks-agree-two-year-deal-willie-bloomquist","Two-year contract")</f>
        <v>Two-year contract</v>
      </c>
      <c s="6" r="H16">
        <v>3800000</v>
      </c>
    </row>
    <row r="17">
      <c s="13" r="A17">
        <v>15</v>
      </c>
      <c t="str" s="45" r="B17">
        <f>hyperlink("http://www.baseball-reference.com/players/j/jakubch01.shtml","Jakubauskas, Chris")</f>
        <v>Jakubauskas, Chris</v>
      </c>
      <c t="s" s="13" r="C17">
        <v>9</v>
      </c>
      <c t="s" s="13" r="D17">
        <v>33</v>
      </c>
      <c t="s" s="13" r="E17">
        <v>18</v>
      </c>
      <c s="18" r="F17">
        <v>40856</v>
      </c>
      <c t="str" s="1" r="G17">
        <f>hyperlink("http://espn.go.com/mlb/story/_/id/7213139/arizona-diamondbacks-agree-two-year-deal-willie-bloomquist","Minor league contract")</f>
        <v>Minor league contract</v>
      </c>
      <c t="s" s="43" r="H17">
        <v>12</v>
      </c>
    </row>
    <row r="18">
      <c s="46" r="A18">
        <v>16</v>
      </c>
      <c t="str" s="44" r="B18">
        <f>hyperlink("http://www.baseball-reference.com/players/b/barajro01.shtml","Barajas, Rod")</f>
        <v>Barajas, Rod</v>
      </c>
      <c t="s" s="31" r="C18">
        <v>21</v>
      </c>
      <c t="s" s="31" r="D18">
        <v>20</v>
      </c>
      <c t="s" s="31" r="E18">
        <v>15</v>
      </c>
      <c s="37" r="F18">
        <v>40857</v>
      </c>
      <c t="str" s="2" r="G18">
        <f>hyperlink("http://espn.go.com/mlb/story/_/id/7215932/pittsburgh-pirates-sign-catcher-rod-barajas-formerly-los-angeles-dodgers-one-year-deal","One-year contract with option")</f>
        <v>One-year contract with option</v>
      </c>
      <c s="6" r="H18">
        <v>4000000</v>
      </c>
    </row>
    <row r="19">
      <c s="13" r="A19">
        <v>17</v>
      </c>
      <c t="str" s="45" r="B19">
        <f>hyperlink("http://www.baseball-reference.com/players/a/almoner01.shtml","Almonte, Erick")</f>
        <v>Almonte, Erick</v>
      </c>
      <c t="s" s="13" r="C19">
        <v>19</v>
      </c>
      <c t="s" s="9" r="D19">
        <v>34</v>
      </c>
      <c t="s" s="9" r="E19">
        <v>34</v>
      </c>
      <c s="18" r="F19">
        <v>40857</v>
      </c>
      <c t="s" s="1" r="G19">
        <v>16</v>
      </c>
      <c t="s" s="43" r="H19">
        <v>12</v>
      </c>
    </row>
    <row r="20">
      <c s="46" r="A20">
        <v>18</v>
      </c>
      <c t="str" s="44" r="B20">
        <f>hyperlink("http://www.baseball-reference.com/players/m/milleji02.shtml","Miller, Jim")</f>
        <v>Miller, Jim</v>
      </c>
      <c t="s" s="31" r="C20">
        <v>13</v>
      </c>
      <c t="s" s="31" r="D20">
        <v>22</v>
      </c>
      <c t="s" s="31" r="E20">
        <v>23</v>
      </c>
      <c s="37" r="F20">
        <v>40858</v>
      </c>
      <c t="s" s="1" r="G20">
        <v>16</v>
      </c>
      <c t="s" s="6" r="H20">
        <v>12</v>
      </c>
    </row>
    <row r="21">
      <c s="13" r="A21">
        <v>19</v>
      </c>
      <c t="str" s="45" r="B21">
        <f>hyperlink("http://www.baseball-reference.com/players/s/snydebr02.shtml","Snyder, Brad")</f>
        <v>Snyder, Brad</v>
      </c>
      <c t="s" s="13" r="C21">
        <v>19</v>
      </c>
      <c t="s" s="13" r="D21">
        <v>35</v>
      </c>
      <c t="s" s="13" r="E21">
        <v>31</v>
      </c>
      <c s="18" r="F21">
        <v>40859</v>
      </c>
      <c t="s" s="1" r="G21">
        <v>16</v>
      </c>
      <c t="s" s="43" r="H21">
        <v>12</v>
      </c>
    </row>
    <row r="22">
      <c s="46" r="A22">
        <v>20</v>
      </c>
      <c t="str" s="44" r="B22">
        <f>hyperlink("http://www.baseball-reference.com/players/b/burtoja01.shtml","Burton, Jared")</f>
        <v>Burton, Jared</v>
      </c>
      <c t="s" s="31" r="C22">
        <v>13</v>
      </c>
      <c t="s" s="31" r="D22">
        <v>36</v>
      </c>
      <c t="s" s="31" r="E22">
        <v>37</v>
      </c>
      <c s="37" r="F22">
        <v>40859</v>
      </c>
      <c t="s" s="1" r="G22">
        <v>16</v>
      </c>
      <c t="s" s="6" r="H22">
        <v>12</v>
      </c>
    </row>
    <row r="23">
      <c s="13" r="A23">
        <v>21</v>
      </c>
      <c t="str" s="45" r="B23">
        <f>hyperlink("http://www.baseball-reference.com/players/l/loewead01.shtml","Loewen, Adam")</f>
        <v>Loewen, Adam</v>
      </c>
      <c t="s" s="13" r="C23">
        <v>19</v>
      </c>
      <c t="s" s="13" r="D23">
        <v>25</v>
      </c>
      <c t="s" s="13" r="E23">
        <v>38</v>
      </c>
      <c s="18" r="F23">
        <v>40859</v>
      </c>
      <c t="s" s="1" r="G23">
        <v>16</v>
      </c>
      <c t="s" s="43" r="H23">
        <v>12</v>
      </c>
    </row>
    <row r="24">
      <c s="46" r="A24">
        <v>22</v>
      </c>
      <c t="str" s="44" r="B24">
        <f>hyperlink("http://www.baseball-reference.com/players/t/thursjo01.shtml","Thurston, Joe")</f>
        <v>Thurston, Joe</v>
      </c>
      <c t="s" s="31" r="C24">
        <v>39</v>
      </c>
      <c t="s" s="31" r="D24">
        <v>40</v>
      </c>
      <c t="s" s="31" r="E24">
        <v>31</v>
      </c>
      <c s="37" r="F24">
        <v>40860</v>
      </c>
      <c t="str" s="1" r="G24">
        <f>hyperlink("http://mlb.mlb.com/news/article.jsp?ymd=20111113&amp;content_id=25966074&amp;vkey=news_hou&amp;c_id=hou","Minor league contract")</f>
        <v>Minor league contract</v>
      </c>
      <c t="s" s="6" r="H24">
        <v>12</v>
      </c>
    </row>
    <row r="25">
      <c s="13" r="A25">
        <v>23</v>
      </c>
      <c t="str" s="45" r="B25">
        <f>hyperlink("http://www.baseball-reference.com/players/p/papeljo01.shtml","Papelbon, Jonathan")</f>
        <v>Papelbon, Jonathan</v>
      </c>
      <c t="s" s="13" r="C25">
        <v>13</v>
      </c>
      <c t="s" s="13" r="D25">
        <v>41</v>
      </c>
      <c t="s" s="13" r="E25">
        <v>27</v>
      </c>
      <c s="18" r="F25">
        <v>40861</v>
      </c>
      <c t="str" s="22" r="G25">
        <f>hyperlink("http://philadelphia.phillies.mlb.com/news/press_releases/press_release.jsp?ymd=20111114&amp;content_id=25968638&amp;vkey=pr_phi&amp;fext=.jsp&amp;c_id=phi","Four-year contract")</f>
        <v>Four-year contract</v>
      </c>
      <c s="43" r="H25">
        <v>50000058</v>
      </c>
    </row>
    <row r="26">
      <c s="46" r="A26">
        <v>24</v>
      </c>
      <c t="str" s="44" r="B26">
        <f>hyperlink("http://www.baseball-reference.com/players/h/hillaa01.shtml","Hill, Aaron")</f>
        <v>Hill, Aaron</v>
      </c>
      <c t="s" s="31" r="C26">
        <v>39</v>
      </c>
      <c t="s" s="9" r="D26">
        <v>18</v>
      </c>
      <c t="s" s="9" r="E26">
        <v>18</v>
      </c>
      <c s="37" r="F26">
        <v>40861</v>
      </c>
      <c t="str" s="2" r="G26">
        <f>hyperlink("http://mlb.mlb.com/news/article.jsp?ymd=20111114&amp;content_id=25968620&amp;vkey=news_mlb&amp;c_id=mlb","Two-year contract")</f>
        <v>Two-year contract</v>
      </c>
      <c s="6" r="H26">
        <v>11000000</v>
      </c>
    </row>
    <row r="27">
      <c s="13" r="A27">
        <v>25</v>
      </c>
      <c t="str" s="45" r="B27">
        <f>hyperlink("http://www.baseball-reference.com/players/e/ellisma01.shtml","Ellis, Mark")</f>
        <v>Ellis, Mark</v>
      </c>
      <c t="s" s="13" r="C27">
        <v>39</v>
      </c>
      <c t="s" s="13" r="D27">
        <v>22</v>
      </c>
      <c t="s" s="13" r="E27">
        <v>20</v>
      </c>
      <c s="18" r="F27">
        <v>40862</v>
      </c>
      <c t="str" s="22" r="G27">
        <f>hyperlink("http://espn.go.com/los-angeles/mlb/story/_/id/7238265/los-angeles-dodgers-sign-second-baseman-mark-ellis-two-year-deal","Two-year contract with option")</f>
        <v>Two-year contract with option</v>
      </c>
      <c s="43" r="H27">
        <v>8750000</v>
      </c>
    </row>
    <row r="28">
      <c s="46" r="A28">
        <v>26</v>
      </c>
      <c t="str" s="44" r="B28">
        <f>hyperlink("http://www.baseball-reference.com/players/t/treanma01.shtml","Treanor, Matt")</f>
        <v>Treanor, Matt</v>
      </c>
      <c t="s" s="31" r="C28">
        <v>21</v>
      </c>
      <c t="s" s="31" r="D28">
        <v>14</v>
      </c>
      <c t="s" s="31" r="E28">
        <v>20</v>
      </c>
      <c s="37" r="F28">
        <v>40862</v>
      </c>
      <c t="str" s="2" r="G28">
        <f>hyperlink("http://mlb.mlb.com/news/article.jsp?ymd=20111115&amp;content_id=25975564&amp;vkey=news_mlb&amp;c_id=mlb","One-year contract with option")</f>
        <v>One-year contract with option</v>
      </c>
      <c s="6" r="H28">
        <v>850000</v>
      </c>
    </row>
    <row r="29">
      <c s="13" r="A29">
        <v>27</v>
      </c>
      <c t="str" s="45" r="B29">
        <f>hyperlink("http://www.baseball-reference.com/players/b/bergju01.shtml","Berg, Justin")</f>
        <v>Berg, Justin</v>
      </c>
      <c t="s" s="13" r="C29">
        <v>13</v>
      </c>
      <c t="s" s="9" r="D29">
        <v>35</v>
      </c>
      <c t="s" s="9" r="E29">
        <v>35</v>
      </c>
      <c s="18" r="F29">
        <v>40862</v>
      </c>
      <c t="s" s="1" r="G29">
        <v>16</v>
      </c>
      <c t="s" s="43" r="H29">
        <v>12</v>
      </c>
    </row>
    <row r="30">
      <c s="46" r="A30">
        <v>28</v>
      </c>
      <c t="str" s="44" r="B30">
        <f>hyperlink("http://www.baseball-reference.com/players/d/dumatph01.shtml","Dumatrait, Phil")</f>
        <v>Dumatrait, Phil</v>
      </c>
      <c t="s" s="31" r="C30">
        <v>13</v>
      </c>
      <c t="s" s="9" r="D30">
        <v>37</v>
      </c>
      <c t="s" s="9" r="E30">
        <v>37</v>
      </c>
      <c s="37" r="F30">
        <v>40862</v>
      </c>
      <c t="s" s="1" r="G30">
        <v>16</v>
      </c>
      <c t="s" s="6" r="H30">
        <v>12</v>
      </c>
    </row>
    <row r="31">
      <c s="13" r="A31">
        <v>29</v>
      </c>
      <c t="str" s="45" r="B31">
        <f>hyperlink("http://www.baseball-reference.com/players/h/hottoto01.shtml","Hottovy, Tommy")</f>
        <v>Hottovy, Tommy</v>
      </c>
      <c t="s" s="13" r="C31">
        <v>13</v>
      </c>
      <c t="s" s="13" r="D31">
        <v>41</v>
      </c>
      <c t="s" s="13" r="E31">
        <v>28</v>
      </c>
      <c s="18" r="F31">
        <v>40862</v>
      </c>
      <c t="s" s="1" r="G31">
        <v>16</v>
      </c>
      <c t="s" s="43" r="H31">
        <v>12</v>
      </c>
    </row>
    <row r="32">
      <c s="46" r="A32">
        <v>30</v>
      </c>
      <c t="str" s="44" r="B32">
        <f>hyperlink("http://www.baseball-reference.com/players/s/santoom01.shtml","Santos, Omir")</f>
        <v>Santos, Omir</v>
      </c>
      <c t="s" s="31" r="C32">
        <v>21</v>
      </c>
      <c t="s" s="9" r="D32">
        <v>30</v>
      </c>
      <c t="s" s="9" r="E32">
        <v>30</v>
      </c>
      <c s="37" r="F32">
        <v>40863</v>
      </c>
      <c t="s" s="1" r="G32">
        <v>16</v>
      </c>
      <c t="s" s="6" r="H32">
        <v>12</v>
      </c>
    </row>
    <row r="33">
      <c s="13" r="A33">
        <v>31</v>
      </c>
      <c t="str" s="45" r="B33">
        <f>hyperlink("http://www.baseball-reference.com/players/c/carroja01.shtml","Carroll, Jamey")</f>
        <v>Carroll, Jamey</v>
      </c>
      <c t="s" s="13" r="C33">
        <v>39</v>
      </c>
      <c t="s" s="13" r="D33">
        <v>20</v>
      </c>
      <c t="s" s="13" r="E33">
        <v>37</v>
      </c>
      <c s="18" r="F33">
        <v>40863</v>
      </c>
      <c t="str" s="22" r="G33">
        <f>hyperlink("http://minnesota.twins.mlb.com/news/article.jsp?ymd=20111116&amp;content_id=25983608&amp;vkey=news_min&amp;c_id=min","Two-year contract with option")</f>
        <v>Two-year contract with option</v>
      </c>
      <c s="43" r="H33">
        <v>6750000</v>
      </c>
    </row>
    <row r="34">
      <c s="46" r="A34">
        <v>32</v>
      </c>
      <c t="str" s="44" r="B34">
        <f>hyperlink("http://www.baseball-reference.com/players/k/kotsama01.shtml","Kotsay, Mark")</f>
        <v>Kotsay, Mark</v>
      </c>
      <c t="s" s="31" r="C34">
        <v>19</v>
      </c>
      <c t="s" s="31" r="D34">
        <v>34</v>
      </c>
      <c t="s" s="31" r="E34">
        <v>42</v>
      </c>
      <c s="37" r="F34">
        <v>40863</v>
      </c>
      <c t="str" s="2" r="G34">
        <f>hyperlink("http://espn.go.com/mlb/story/_/id/7245278/san-diego-padres-sign-mark-kotsay-125m-one-year-deal","One-year contract")</f>
        <v>One-year contract</v>
      </c>
      <c s="6" r="H34">
        <v>1250000</v>
      </c>
    </row>
    <row r="35">
      <c s="13" r="A35">
        <v>33</v>
      </c>
      <c t="str" s="45" r="B35">
        <f>hyperlink("http://www.baseball-reference.com/players/r/reinech01.shtml","Reineke, Chad")</f>
        <v>Reineke, Chad</v>
      </c>
      <c t="s" s="13" r="C35">
        <v>9</v>
      </c>
      <c t="s" s="9" r="D35">
        <v>36</v>
      </c>
      <c t="s" s="9" r="E35">
        <v>36</v>
      </c>
      <c s="18" r="F35">
        <v>40864</v>
      </c>
      <c t="s" s="1" r="G35">
        <v>16</v>
      </c>
      <c t="s" s="43" r="H35">
        <v>12</v>
      </c>
    </row>
    <row r="36">
      <c s="46" r="A36">
        <v>34</v>
      </c>
      <c t="str" s="44" r="B36">
        <f>hyperlink("http://www.baseball-reference.com/players/p/pascuva01.shtml","Pascucci, Valentino")</f>
        <v>Pascucci, Valentino</v>
      </c>
      <c t="s" s="31" r="C36">
        <v>43</v>
      </c>
      <c t="s" s="9" r="D36">
        <v>38</v>
      </c>
      <c t="s" s="9" r="E36">
        <v>38</v>
      </c>
      <c s="37" r="F36">
        <v>40864</v>
      </c>
      <c t="s" s="1" r="G36">
        <v>16</v>
      </c>
      <c t="s" s="6" r="H36">
        <v>12</v>
      </c>
    </row>
    <row r="37">
      <c s="13" r="A37">
        <v>35</v>
      </c>
      <c t="str" s="45" r="B37">
        <f>hyperlink("http://www.baseball-reference.com/players/r/rottivi01.shtml","Rottino, Vinny")</f>
        <v>Rottino, Vinny</v>
      </c>
      <c t="s" s="13" r="C37">
        <v>19</v>
      </c>
      <c t="s" s="13" r="D37">
        <v>40</v>
      </c>
      <c t="s" s="13" r="E37">
        <v>38</v>
      </c>
      <c s="18" r="F37">
        <v>40864</v>
      </c>
      <c t="s" s="1" r="G37">
        <v>16</v>
      </c>
      <c t="s" s="43" r="H37">
        <v>12</v>
      </c>
    </row>
    <row r="38">
      <c s="46" r="A38">
        <v>36</v>
      </c>
      <c t="str" s="44" r="B38">
        <f>hyperlink("http://www.baseball-reference.com/players/w/woodbr01.shtml","Wood, Brandon")</f>
        <v>Wood, Brandon</v>
      </c>
      <c t="s" s="31" r="C38">
        <v>32</v>
      </c>
      <c t="s" s="31" r="D38">
        <v>15</v>
      </c>
      <c t="s" s="31" r="E38">
        <v>22</v>
      </c>
      <c s="37" r="F38">
        <v>40864</v>
      </c>
      <c t="str" s="1" r="G38">
        <f>hyperlink("http://colorado.rockies.mlb.com/news/article.jsp?ymd=20111117&amp;content_id=25998352&amp;vkey=news_col&amp;c_id=col","Minor league contract")</f>
        <v>Minor league contract</v>
      </c>
      <c t="s" s="6" r="H38">
        <v>12</v>
      </c>
    </row>
    <row r="39">
      <c s="13" r="A39">
        <v>37</v>
      </c>
      <c t="str" s="45" r="B39">
        <f>hyperlink("http://www.baseball-reference.com/players/s/schnebr01.shtml","Schneider, Brian")</f>
        <v>Schneider, Brian</v>
      </c>
      <c t="s" s="13" r="C39">
        <v>21</v>
      </c>
      <c t="s" s="9" r="D39">
        <v>27</v>
      </c>
      <c t="s" s="9" r="E39">
        <v>27</v>
      </c>
      <c s="18" r="F39">
        <v>40864</v>
      </c>
      <c t="str" s="22" r="G39">
        <f>hyperlink("http://espn.go.com/mlb/story/_/id/7247215/brian-schneider-philadelphia-phillies-re-signs-one-year","One-year contract")</f>
        <v>One-year contract</v>
      </c>
      <c s="43" r="H39">
        <v>800000</v>
      </c>
    </row>
    <row r="40">
      <c s="46" r="A40">
        <v>38</v>
      </c>
      <c t="str" s="44" r="B40">
        <f>hyperlink("http://www.baseball-reference.com/players/r/rodrilu01.shtml","Rodriguez, Luis")</f>
        <v>Rodriguez, Luis</v>
      </c>
      <c t="s" s="31" r="C40">
        <v>17</v>
      </c>
      <c t="s" s="9" r="D40">
        <v>44</v>
      </c>
      <c t="s" s="9" r="E40">
        <v>44</v>
      </c>
      <c s="37" r="F40">
        <v>40864</v>
      </c>
      <c t="s" s="1" r="G40">
        <v>16</v>
      </c>
      <c t="s" s="6" r="H40">
        <v>12</v>
      </c>
    </row>
    <row r="41">
      <c s="13" r="A41">
        <v>39</v>
      </c>
      <c t="str" s="45" r="B41">
        <f>hyperlink("http://www.baseball-reference.com/players/g/garrist01.shtml","Garrison, Steve")</f>
        <v>Garrison, Steve</v>
      </c>
      <c t="s" s="13" r="C41">
        <v>13</v>
      </c>
      <c t="s" s="13" r="D41">
        <v>45</v>
      </c>
      <c t="s" s="13" r="E41">
        <v>44</v>
      </c>
      <c s="18" r="F41">
        <v>40865</v>
      </c>
      <c t="s" s="1" r="G41">
        <v>16</v>
      </c>
      <c t="s" s="43" r="H41">
        <v>12</v>
      </c>
    </row>
    <row r="42">
      <c s="46" r="A42">
        <v>40</v>
      </c>
      <c t="str" s="44" r="B42">
        <f>hyperlink("http://www.baseball-reference.com/players/l/lairdge01.shtml","Laird, Gerald")</f>
        <v>Laird, Gerald</v>
      </c>
      <c t="s" s="31" r="C42">
        <v>21</v>
      </c>
      <c t="s" s="31" r="D42">
        <v>46</v>
      </c>
      <c t="s" s="31" r="E42">
        <v>30</v>
      </c>
      <c s="37" r="F42">
        <v>40865</v>
      </c>
      <c t="str" s="2" r="G42">
        <f>hyperlink("http://detroit.tigers.mlb.com/news/article.jsp?ymd=20111117&amp;content_id=25992502&amp;vkey=news_det&amp;c_id=det","One-year contract")</f>
        <v>One-year contract</v>
      </c>
      <c s="6" r="H42">
        <v>1000000</v>
      </c>
    </row>
    <row r="43">
      <c s="13" r="A43">
        <v>41</v>
      </c>
      <c t="str" s="45" r="B43">
        <f>hyperlink("http://www.baseball-reference.com/players/p/pendlla01.shtml","Pendleton, Lance")</f>
        <v>Pendleton, Lance</v>
      </c>
      <c t="s" s="13" r="C43">
        <v>9</v>
      </c>
      <c t="s" s="9" r="D43">
        <v>31</v>
      </c>
      <c t="s" s="9" r="E43">
        <v>31</v>
      </c>
      <c s="18" r="F43">
        <v>40865</v>
      </c>
      <c t="s" s="1" r="G43">
        <v>16</v>
      </c>
      <c t="s" s="43" r="H43">
        <v>12</v>
      </c>
    </row>
    <row r="44">
      <c s="46" r="A44">
        <v>42</v>
      </c>
      <c t="str" s="44" r="B44">
        <f>hyperlink("http://www.baseball-reference.com/players/b/bulgeja01.shtml","Bulger, Jason")</f>
        <v>Bulger, Jason</v>
      </c>
      <c t="s" s="31" r="C44">
        <v>13</v>
      </c>
      <c t="s" s="31" r="D44">
        <v>47</v>
      </c>
      <c t="s" s="31" r="E44">
        <v>37</v>
      </c>
      <c s="37" r="F44">
        <v>40865</v>
      </c>
      <c t="s" s="1" r="G44">
        <v>16</v>
      </c>
      <c t="s" s="6" r="H44">
        <v>12</v>
      </c>
    </row>
    <row r="45">
      <c s="13" r="A45">
        <v>43</v>
      </c>
      <c t="str" s="45" r="B45">
        <f>hyperlink("http://www.baseball-reference.com/players/d/dedunsa01.shtml","Deduno, Samuel")</f>
        <v>Deduno, Samuel</v>
      </c>
      <c t="s" s="13" r="C45">
        <v>13</v>
      </c>
      <c t="s" s="13" r="D45">
        <v>42</v>
      </c>
      <c t="s" s="13" r="E45">
        <v>37</v>
      </c>
      <c s="18" r="F45">
        <v>40865</v>
      </c>
      <c t="s" s="1" r="G45">
        <v>16</v>
      </c>
      <c t="s" s="43" r="H45">
        <v>12</v>
      </c>
    </row>
    <row r="46">
      <c s="46" r="A46">
        <v>44</v>
      </c>
      <c t="str" s="44" r="B46">
        <f>hyperlink("http://www.baseball-reference.com/players/p/pridija01.shtml","Pridie, Jason")</f>
        <v>Pridie, Jason</v>
      </c>
      <c t="s" s="31" r="C46">
        <v>19</v>
      </c>
      <c t="s" s="31" r="D46">
        <v>38</v>
      </c>
      <c t="s" s="31" r="E46">
        <v>23</v>
      </c>
      <c s="37" r="F46">
        <v>40865</v>
      </c>
      <c t="s" s="1" r="G46">
        <v>16</v>
      </c>
      <c t="s" s="6" r="H46">
        <v>12</v>
      </c>
    </row>
    <row r="47">
      <c s="13" r="A47">
        <v>45</v>
      </c>
      <c t="str" s="45" r="B47">
        <f>hyperlink("http://www.baseball-reference.com/players/r/ramirwi01.shtml","Ramirez, Wilkin")</f>
        <v>Ramirez, Wilkin</v>
      </c>
      <c t="s" s="13" r="C47">
        <v>19</v>
      </c>
      <c t="s" s="13" r="D47">
        <v>10</v>
      </c>
      <c t="s" s="13" r="E47">
        <v>37</v>
      </c>
      <c s="18" r="F47">
        <v>40865</v>
      </c>
      <c t="s" s="1" r="G47">
        <v>16</v>
      </c>
      <c t="s" s="43" r="H47">
        <v>12</v>
      </c>
    </row>
    <row r="48">
      <c s="46" r="A48">
        <v>46</v>
      </c>
      <c t="str" s="36" r="B48">
        <f>hyperlink("http://www.baseball-reference.com/players/m/mossbr01.shtml","Moss, Brandon")</f>
        <v>Moss, Brandon</v>
      </c>
      <c t="s" s="31" r="C48">
        <v>19</v>
      </c>
      <c t="s" s="31" r="D48">
        <v>27</v>
      </c>
      <c t="s" s="31" r="E48">
        <v>23</v>
      </c>
      <c s="37" r="F48">
        <v>40866</v>
      </c>
      <c t="s" s="1" r="G48">
        <v>16</v>
      </c>
      <c t="s" s="6" r="H48">
        <v>12</v>
      </c>
    </row>
    <row r="49">
      <c s="13" r="A49">
        <v>47</v>
      </c>
      <c t="str" s="23" r="B49">
        <f>hyperlink("http://www.baseball-reference.com/players/w/wiggity01.shtml","Wigginton, Ty")</f>
        <v>Wigginton, Ty</v>
      </c>
      <c t="s" s="13" r="C49">
        <v>32</v>
      </c>
      <c t="s" s="13" r="D49">
        <v>22</v>
      </c>
      <c t="s" s="13" r="E49">
        <v>27</v>
      </c>
      <c s="18" r="F49">
        <v>40867</v>
      </c>
      <c t="str" s="30" r="G49">
        <f>hyperlink("http://espn.go.com/mlb/story/_/id/7262907/philadelphia-phillies-acquire-ty-wigginton-trade-colorado-rockies","Traded with cash for player to be named or cash")</f>
        <v>Traded with cash for player to be named or cash</v>
      </c>
      <c t="s" s="43" r="H49">
        <v>12</v>
      </c>
    </row>
    <row r="50">
      <c s="46" r="A50">
        <v>48</v>
      </c>
      <c t="str" s="36" r="B50">
        <f>hyperlink("http://www.baseball-reference.com/players/h/headje01.shtml","Head, Jerad")</f>
        <v>Head, Jerad</v>
      </c>
      <c t="s" s="31" r="C50">
        <v>19</v>
      </c>
      <c t="s" s="31" r="D50">
        <v>11</v>
      </c>
      <c t="s" s="31" r="E50">
        <v>30</v>
      </c>
      <c s="37" r="F50">
        <v>40868</v>
      </c>
      <c t="s" s="1" r="G50">
        <v>16</v>
      </c>
      <c t="s" s="6" r="H50">
        <v>12</v>
      </c>
    </row>
    <row r="51">
      <c s="13" r="A51">
        <v>49</v>
      </c>
      <c t="str" s="23" r="B51">
        <f>hyperlink("http://www.baseball-reference.com/players/b/barmecl01.shtml","Barmes, Clint")</f>
        <v>Barmes, Clint</v>
      </c>
      <c t="s" s="13" r="C51">
        <v>17</v>
      </c>
      <c t="s" s="13" r="D51">
        <v>31</v>
      </c>
      <c t="s" s="13" r="E51">
        <v>15</v>
      </c>
      <c s="18" r="F51">
        <v>40868</v>
      </c>
      <c t="str" s="22" r="G51">
        <f>hyperlink("http://pittsburgh.pirates.mlb.com/news/article.jsp?ymd=20111121&amp;content_id=26016208&amp;vkey=news_pit&amp;c_id=pit","Two-year contract")</f>
        <v>Two-year contract</v>
      </c>
      <c s="43" r="H51">
        <v>10500000</v>
      </c>
    </row>
    <row r="52">
      <c s="46" r="A52">
        <v>50</v>
      </c>
      <c t="str" s="36" r="B52">
        <f>hyperlink("http://www.baseball-reference.com/players/n/nathajo01.shtml","Nathan, Joe")</f>
        <v>Nathan, Joe</v>
      </c>
      <c t="s" s="31" r="C52">
        <v>13</v>
      </c>
      <c t="s" s="31" r="D52">
        <v>37</v>
      </c>
      <c t="s" s="31" r="E52">
        <v>14</v>
      </c>
      <c s="37" r="F52">
        <v>40868</v>
      </c>
      <c t="str" s="2" r="G52">
        <f>hyperlink("http://pittsburgh.pirates.mlb.com/news/article.jsp?ymd=20111121&amp;content_id=26016208&amp;vkey=news_pit&amp;c_id=pit","Two-year contract with option")</f>
        <v>Two-year contract with option</v>
      </c>
      <c s="6" r="H52">
        <v>14500000</v>
      </c>
    </row>
    <row r="53">
      <c s="13" r="A53">
        <v>51</v>
      </c>
      <c t="str" s="23" r="B53">
        <f>hyperlink("http://www.baseball-reference.com/players/b/bakerjo01.shtml","Baker, John")</f>
        <v>Baker, John</v>
      </c>
      <c t="s" s="13" r="C53">
        <v>21</v>
      </c>
      <c t="s" s="13" r="D53">
        <v>40</v>
      </c>
      <c t="s" s="13" r="E53">
        <v>42</v>
      </c>
      <c s="18" r="F53">
        <v>40869</v>
      </c>
      <c t="str" s="30" r="G53">
        <f>hyperlink("http://mlb.mlb.com/news/article.jsp?ymd=20111122&amp;content_id=26029700&amp;vkey=news_sd&amp;c_id=sd","Traded for LHP Wade LeBlanc")</f>
        <v>Traded for LHP Wade LeBlanc</v>
      </c>
      <c t="s" s="43" r="H53">
        <v>12</v>
      </c>
    </row>
    <row r="54">
      <c s="46" r="A54">
        <v>52</v>
      </c>
      <c t="str" s="36" r="B54">
        <f>hyperlink("http://www.baseball-reference.com/players/l/leblawa01.shtml","LeBlanc, Wade")</f>
        <v>LeBlanc, Wade</v>
      </c>
      <c t="s" s="31" r="C54">
        <v>9</v>
      </c>
      <c t="s" s="31" r="D54">
        <v>42</v>
      </c>
      <c t="s" s="31" r="E54">
        <v>40</v>
      </c>
      <c s="37" r="F54">
        <v>40869</v>
      </c>
      <c t="str" s="30" r="G54">
        <f>hyperlink("http://mlb.mlb.com/news/article.jsp?ymd=20111122&amp;content_id=26029700&amp;vkey=news_sd&amp;c_id=sd","Traded for C John Baker")</f>
        <v>Traded for C John Baker</v>
      </c>
      <c t="s" s="6" r="H54">
        <v>12</v>
      </c>
    </row>
    <row r="55">
      <c s="13" r="A55">
        <v>53</v>
      </c>
      <c t="str" s="23" r="B55">
        <f>hyperlink("http://www.baseball-reference.com/players/b/boscajc01.shtml","Boscan, J.C.")</f>
        <v>Boscan, J.C.</v>
      </c>
      <c t="s" s="13" r="C55">
        <v>21</v>
      </c>
      <c t="s" s="9" r="D55">
        <v>10</v>
      </c>
      <c t="s" s="9" r="E55">
        <v>10</v>
      </c>
      <c s="18" r="F55">
        <v>40869</v>
      </c>
      <c t="s" s="39" r="G55">
        <v>16</v>
      </c>
      <c t="s" s="43" r="H55">
        <v>12</v>
      </c>
    </row>
    <row r="56">
      <c s="46" r="A56">
        <v>54</v>
      </c>
      <c t="str" s="36" r="B56">
        <f>hyperlink("http://www.baseball-reference.com/players/d/duranlu01.shtml","Durango, Luis")</f>
        <v>Durango, Luis</v>
      </c>
      <c t="s" s="31" r="C56">
        <v>19</v>
      </c>
      <c t="s" s="31" r="D56">
        <v>31</v>
      </c>
      <c t="s" s="31" r="E56">
        <v>10</v>
      </c>
      <c s="37" r="F56">
        <v>40869</v>
      </c>
      <c t="s" s="39" r="G56">
        <v>16</v>
      </c>
      <c t="s" s="6" r="H56">
        <v>12</v>
      </c>
    </row>
    <row r="57">
      <c s="13" r="A57">
        <v>55</v>
      </c>
      <c t="str" s="23" r="B57">
        <f>hyperlink("http://www.baseball-reference.com/players/h/hughedu01.shtml","Hughes, Dusty")</f>
        <v>Hughes, Dusty</v>
      </c>
      <c t="s" s="13" r="C57">
        <v>13</v>
      </c>
      <c t="s" s="13" r="D57">
        <v>37</v>
      </c>
      <c t="s" s="13" r="E57">
        <v>10</v>
      </c>
      <c s="18" r="F57">
        <v>40869</v>
      </c>
      <c t="s" s="39" r="G57">
        <v>16</v>
      </c>
      <c t="s" s="43" r="H57">
        <v>12</v>
      </c>
    </row>
    <row r="58">
      <c s="31" r="A58">
        <v>56</v>
      </c>
      <c t="str" s="36" r="B58">
        <f>hyperlink("http://www.baseball-reference.com/players/r/russead01.shtml","Russell, Adam")</f>
        <v>Russell, Adam</v>
      </c>
      <c t="s" s="31" r="C58">
        <v>13</v>
      </c>
      <c t="s" s="31" r="D58">
        <v>48</v>
      </c>
      <c t="s" s="31" r="E58">
        <v>10</v>
      </c>
      <c s="37" r="F58">
        <v>40869</v>
      </c>
      <c t="s" s="39" r="G58">
        <v>16</v>
      </c>
      <c t="s" s="6" r="H58">
        <v>12</v>
      </c>
    </row>
    <row r="59">
      <c s="13" r="A59">
        <v>57</v>
      </c>
      <c t="str" s="23" r="B59">
        <f>hyperlink("http://www.baseball-reference.com/players/w/wilsojo03.shtml","Wilson, Josh")</f>
        <v>Wilson, Josh</v>
      </c>
      <c t="s" s="13" r="C59">
        <v>32</v>
      </c>
      <c t="s" s="13" r="D59">
        <v>34</v>
      </c>
      <c t="s" s="13" r="E59">
        <v>10</v>
      </c>
      <c s="18" r="F59">
        <v>40869</v>
      </c>
      <c t="s" s="39" r="G59">
        <v>16</v>
      </c>
      <c t="s" s="43" r="H59">
        <v>12</v>
      </c>
    </row>
    <row r="60">
      <c s="31" r="A60">
        <v>58</v>
      </c>
      <c t="str" s="36" r="B60">
        <f>hyperlink("http://www.baseball-reference.com/players/s/sizemgr01.shtml","Sizemore, Grady")</f>
        <v>Sizemore, Grady</v>
      </c>
      <c t="s" s="31" r="C60">
        <v>19</v>
      </c>
      <c t="s" s="9" r="D60">
        <v>11</v>
      </c>
      <c t="s" s="9" r="E60">
        <v>11</v>
      </c>
      <c s="37" r="F60">
        <v>40870</v>
      </c>
      <c t="str" s="2" r="G60">
        <f>hyperlink("http://espn.go.com/mlb/story/_/id/7273292/2011-free-agents-grady-sizemore-cleveland-indians-sign-one-year-5-million-deal","One-year contract")</f>
        <v>One-year contract</v>
      </c>
      <c s="6" r="H60">
        <v>5000000</v>
      </c>
    </row>
    <row r="61">
      <c s="13" r="A61">
        <v>59</v>
      </c>
      <c t="str" s="23" r="B61">
        <f>hyperlink("http://www.baseball-reference.com/players/b/boggsbr01.shtml","Boggs, Brandon")</f>
        <v>Boggs, Brandon</v>
      </c>
      <c t="s" s="13" r="C61">
        <v>19</v>
      </c>
      <c t="s" s="13" r="D61">
        <v>34</v>
      </c>
      <c t="s" s="13" r="E61">
        <v>15</v>
      </c>
      <c s="18" r="F61">
        <v>40870</v>
      </c>
      <c t="s" s="1" r="G61">
        <v>16</v>
      </c>
      <c t="s" s="43" r="H61">
        <v>12</v>
      </c>
    </row>
    <row r="62">
      <c s="31" r="A62">
        <v>60</v>
      </c>
      <c t="str" s="36" r="B62">
        <f>hyperlink("http://www.baseball-reference.com/players/f/foxja02.shtml","Fox, Jake")</f>
        <v>Fox, Jake</v>
      </c>
      <c t="s" s="31" r="C62">
        <v>21</v>
      </c>
      <c t="s" s="31" r="D62">
        <v>33</v>
      </c>
      <c t="s" s="31" r="E62">
        <v>15</v>
      </c>
      <c s="37" r="F62">
        <v>40870</v>
      </c>
      <c t="s" s="1" r="G62">
        <v>16</v>
      </c>
      <c t="s" s="6" r="H62">
        <v>12</v>
      </c>
    </row>
    <row r="63">
      <c s="13" r="A63">
        <v>61</v>
      </c>
      <c t="str" s="23" r="B63">
        <f>hyperlink("http://www.baseball-reference.com/players/d/doumiry01.shtml","Doumit, Ryan")</f>
        <v>Doumit, Ryan</v>
      </c>
      <c t="s" s="13" r="C63">
        <v>21</v>
      </c>
      <c t="s" s="13" r="D63">
        <v>15</v>
      </c>
      <c t="s" s="13" r="E63">
        <v>37</v>
      </c>
      <c s="18" r="F63">
        <v>40870</v>
      </c>
      <c t="str" s="22" r="G63">
        <f>hyperlink("http://espn.go.com/mlb/story/_/id/7273392/2011-free-agents-ryan-doumit-signs-minnesota-twins-one-year-3-million","One-year contract")</f>
        <v>One-year contract</v>
      </c>
      <c s="43" r="H63">
        <v>3000000</v>
      </c>
    </row>
    <row r="64">
      <c s="31" r="A64">
        <v>62</v>
      </c>
      <c t="str" s="36" r="B64">
        <f>hyperlink("http://www.baseball-reference.com/players/c/chenbr01.shtml","Chen, Bruce")</f>
        <v>Chen, Bruce</v>
      </c>
      <c t="s" s="31" r="C64">
        <v>9</v>
      </c>
      <c t="s" s="9" r="D64">
        <v>28</v>
      </c>
      <c t="s" s="9" r="E64">
        <v>28</v>
      </c>
      <c s="37" r="F64">
        <v>40870</v>
      </c>
      <c t="str" s="2" r="G64">
        <f>hyperlink("http://kansascity.royals.mlb.com/news/article.jsp?ymd=20111123&amp;content_id=26037342&amp;vkey=news_kc&amp;c_id=kc","Two-year contract")</f>
        <v>Two-year contract</v>
      </c>
      <c s="6" r="H64">
        <v>9000000</v>
      </c>
    </row>
    <row r="65">
      <c s="13" r="A65">
        <v>63</v>
      </c>
      <c t="str" s="23" r="B65">
        <f>hyperlink("http://www.baseball-reference.com/players/v/valbulu01.shtml","Valbuena, Luis")</f>
        <v>Valbuena, Luis</v>
      </c>
      <c t="s" s="13" r="C65">
        <v>32</v>
      </c>
      <c t="s" s="13" r="D65">
        <v>11</v>
      </c>
      <c t="s" s="13" r="E65">
        <v>25</v>
      </c>
      <c s="18" r="F65">
        <v>40873</v>
      </c>
      <c t="str" s="30" r="G65">
        <f>hyperlink("http://toronto.bluejays.mlb.com/news/article.jsp?ymd=20111126&amp;content_id=26043990&amp;vkey=news_tor&amp;c_id=tor","Traded for cash considerations.")</f>
        <v>Traded for cash considerations.</v>
      </c>
      <c t="s" s="43" r="H65">
        <v>12</v>
      </c>
    </row>
    <row r="66">
      <c s="31" r="A66">
        <v>64</v>
      </c>
      <c t="str" s="36" r="B66">
        <f>hyperlink("http://www.baseball-reference.com/players/j/jasojo01.shtml","Jaso, John")</f>
        <v>Jaso, John</v>
      </c>
      <c t="s" s="31" r="C66">
        <v>21</v>
      </c>
      <c t="s" s="31" r="D66">
        <v>48</v>
      </c>
      <c t="s" s="31" r="E66">
        <v>44</v>
      </c>
      <c s="37" r="F66">
        <v>40874</v>
      </c>
      <c t="str" s="30" r="G66">
        <f>hyperlink("http://mlb.mlb.com/news/article.jsp?ymd=20111127&amp;content_id=26045430&amp;vkey=news_mlb&amp;c_id=mlb","Traded for RHP Josh Lueke &amp; PTBNL or cash")</f>
        <v>Traded for RHP Josh Lueke &amp; PTBNL or cash</v>
      </c>
      <c t="s" s="6" r="H66">
        <v>12</v>
      </c>
    </row>
    <row r="67">
      <c s="13" r="A67">
        <v>65</v>
      </c>
      <c t="str" s="23" r="B67">
        <f>hyperlink("http://www.baseball-reference.com/players/l/luekejo01.shtml","Lueke, Josh")</f>
        <v>Lueke, Josh</v>
      </c>
      <c t="s" s="13" r="C67">
        <v>13</v>
      </c>
      <c t="s" s="13" r="D67">
        <v>44</v>
      </c>
      <c t="s" s="13" r="E67">
        <v>48</v>
      </c>
      <c s="18" r="F67">
        <v>40874</v>
      </c>
      <c t="str" s="30" r="G67">
        <f>hyperlink("http://mlb.mlb.com/news/article.jsp?ymd=20111127&amp;content_id=26045430&amp;vkey=news_mlb&amp;c_id=mlb","Traded for catcher John Jaso")</f>
        <v>Traded for catcher John Jaso</v>
      </c>
      <c t="s" s="43" r="H67">
        <v>12</v>
      </c>
    </row>
    <row r="68">
      <c s="31" r="A68">
        <v>66</v>
      </c>
      <c t="str" s="36" r="B68">
        <f>hyperlink("http://www.baseball-reference.com/players/m/molinjo01.shtml","Molina, Jose")</f>
        <v>Molina, Jose</v>
      </c>
      <c t="s" s="31" r="C68">
        <v>21</v>
      </c>
      <c t="s" s="31" r="D68">
        <v>25</v>
      </c>
      <c t="s" s="31" r="E68">
        <v>48</v>
      </c>
      <c s="37" r="F68">
        <v>40875</v>
      </c>
      <c t="str" s="2" r="G68">
        <f>hyperlink("http://tampabay.rays.mlb.com/news/article.jsp?ymd=20111128&amp;content_id=26047164&amp;vkey=news_tb&amp;c_id=tb","One-year contract with option")</f>
        <v>One-year contract with option</v>
      </c>
      <c s="6" r="H68">
        <v>1500000</v>
      </c>
    </row>
    <row r="69">
      <c s="13" r="A69">
        <v>67</v>
      </c>
      <c t="str" s="23" r="B69">
        <f>hyperlink("http://www.baseball-reference.com/players/b/broxtjo01.shtml","Broxton, Jonathan")</f>
        <v>Broxton, Jonathan</v>
      </c>
      <c t="s" s="13" r="C69">
        <v>13</v>
      </c>
      <c t="s" s="13" r="D69">
        <v>20</v>
      </c>
      <c t="s" s="13" r="E69">
        <v>28</v>
      </c>
      <c s="18" r="F69">
        <v>40876</v>
      </c>
      <c t="str" s="22" r="G69">
        <f>hyperlink("http://espn.go.com/mlb/story/_/id/7293835/los-angeles-dodgers-free-agent-jonathan-broxton-reaches-deal-kansas-city-royals","One-year contract")</f>
        <v>One-year contract</v>
      </c>
      <c s="43" r="H69">
        <v>4000000</v>
      </c>
    </row>
    <row r="70">
      <c s="31" r="A70">
        <v>68</v>
      </c>
      <c t="str" s="36" r="B70">
        <f>hyperlink("http://www.baseball-reference.com/players/c/corpoca01.shtml","Corporan, Carlos")</f>
        <v>Corporan, Carlos</v>
      </c>
      <c t="s" s="31" r="C70">
        <v>21</v>
      </c>
      <c t="s" s="9" r="D70">
        <v>31</v>
      </c>
      <c t="s" s="9" r="E70">
        <v>31</v>
      </c>
      <c s="37" r="F70">
        <v>40876</v>
      </c>
      <c t="s" s="1" r="G70">
        <v>16</v>
      </c>
      <c t="s" s="6" r="H70">
        <v>12</v>
      </c>
    </row>
    <row r="71">
      <c s="13" r="A71">
        <v>69</v>
      </c>
      <c t="str" s="23" r="B71">
        <f>hyperlink("http://www.baseball-reference.com/players/d/dejesda01.shtml","DeJesus, David")</f>
        <v>DeJesus, David</v>
      </c>
      <c t="s" s="13" r="C71">
        <v>19</v>
      </c>
      <c t="s" s="13" r="D71">
        <v>23</v>
      </c>
      <c t="s" s="13" r="E71">
        <v>35</v>
      </c>
      <c s="18" r="F71">
        <v>40877</v>
      </c>
      <c t="str" s="22" r="G71">
        <f>hyperlink("http://espn.go.com/chicago/mlb/story/_/id/7294530/chicago-cubs-sign-david-dejesus","Two-year contract with option")</f>
        <v>Two-year contract with option</v>
      </c>
      <c s="43" r="H71">
        <v>8500000</v>
      </c>
    </row>
    <row r="72">
      <c s="31" r="A72">
        <v>70</v>
      </c>
      <c t="str" s="36" r="B72">
        <f>hyperlink("http://www.baseball-reference.com/players/e/evansni01.shtml","Evans, Nick")</f>
        <v>Evans, Nick</v>
      </c>
      <c t="s" s="31" r="C72">
        <v>43</v>
      </c>
      <c t="s" s="31" r="D72">
        <v>38</v>
      </c>
      <c t="s" s="31" r="E72">
        <v>15</v>
      </c>
      <c s="37" r="F72">
        <v>40877</v>
      </c>
      <c t="s" s="1" r="G72">
        <v>16</v>
      </c>
      <c t="s" s="6" r="H72">
        <v>12</v>
      </c>
    </row>
    <row r="73">
      <c s="13" r="A73">
        <v>71</v>
      </c>
      <c t="str" s="23" r="B73">
        <f>hyperlink("http://www.baseball-reference.com/players/m/mischpa01.shtml","Misch, Pat")</f>
        <v>Misch, Pat</v>
      </c>
      <c t="s" s="13" r="C73">
        <v>13</v>
      </c>
      <c t="s" s="13" r="D73">
        <v>38</v>
      </c>
      <c t="s" s="13" r="E73">
        <v>27</v>
      </c>
      <c s="18" r="F73">
        <v>40877</v>
      </c>
      <c t="s" s="1" r="G73">
        <v>16</v>
      </c>
      <c t="s" s="43" r="H73">
        <v>12</v>
      </c>
    </row>
    <row r="74">
      <c s="31" r="A74">
        <v>72</v>
      </c>
      <c t="str" s="36" r="B74">
        <f>hyperlink("http://www.baseball-reference.com/players/o/orrpe01.shtml","Orr, Pete")</f>
        <v>Orr, Pete</v>
      </c>
      <c t="s" s="31" r="C74">
        <v>39</v>
      </c>
      <c t="s" s="9" r="D74">
        <v>27</v>
      </c>
      <c t="s" s="9" r="E74">
        <v>27</v>
      </c>
      <c s="37" r="F74">
        <v>40877</v>
      </c>
      <c t="s" s="1" r="G74">
        <v>16</v>
      </c>
      <c t="s" s="6" r="H74">
        <v>12</v>
      </c>
    </row>
    <row r="75">
      <c s="13" r="A75">
        <v>73</v>
      </c>
      <c t="str" s="23" r="B75">
        <f>hyperlink("http://www.baseball-reference.com/players/s/sanchbr01.shtml","Sanches, Brian")</f>
        <v>Sanches, Brian</v>
      </c>
      <c t="s" s="13" r="C75">
        <v>9</v>
      </c>
      <c t="s" s="13" r="D75">
        <v>40</v>
      </c>
      <c t="s" s="13" r="E75">
        <v>27</v>
      </c>
      <c s="18" r="F75">
        <v>40877</v>
      </c>
      <c t="s" s="1" r="G75">
        <v>16</v>
      </c>
      <c t="s" s="43" r="H75">
        <v>12</v>
      </c>
    </row>
    <row r="76">
      <c s="31" r="A76">
        <v>74</v>
      </c>
      <c t="str" s="36" r="B76">
        <f>hyperlink("http://www.baseball-reference.com/players/v/valdera02.shtml","Valdes, Raul")</f>
        <v>Valdes, Raul</v>
      </c>
      <c t="s" s="31" r="C76">
        <v>13</v>
      </c>
      <c t="s" s="31" r="D76">
        <v>45</v>
      </c>
      <c t="s" s="31" r="E76">
        <v>27</v>
      </c>
      <c s="37" r="F76">
        <v>40877</v>
      </c>
      <c t="s" s="1" r="G76">
        <v>16</v>
      </c>
      <c t="s" s="6" r="H76">
        <v>12</v>
      </c>
    </row>
    <row r="77">
      <c s="13" r="A77">
        <v>75</v>
      </c>
      <c t="str" s="23" r="B77">
        <f>hyperlink("http://www.baseball-reference.com/players/s/santira01.shtml","Santiago, Ramon")</f>
        <v>Santiago, Ramon</v>
      </c>
      <c t="s" s="13" r="C77">
        <v>39</v>
      </c>
      <c t="s" s="9" r="D77">
        <v>30</v>
      </c>
      <c t="s" s="9" r="E77">
        <v>30</v>
      </c>
      <c s="18" r="F77">
        <v>40877</v>
      </c>
      <c t="str" s="22" r="G77">
        <f>hyperlink("http://mlb.mlb.com/news/article.jsp?ymd=20111130&amp;content_id=26061882&amp;vkey=news_mlb&amp;c_id=mlb","Two-year contract")</f>
        <v>Two-year contract</v>
      </c>
      <c s="43" r="H77">
        <v>4000000</v>
      </c>
    </row>
    <row r="78">
      <c s="31" r="A78">
        <v>76</v>
      </c>
      <c t="str" s="36" r="B78">
        <f>hyperlink("http://www.baseball-reference.com/players/i/iannech01.shtml","Iannetta, Chris")</f>
        <v>Iannetta, Chris</v>
      </c>
      <c t="s" s="31" r="C78">
        <v>21</v>
      </c>
      <c t="s" s="31" r="D78">
        <v>22</v>
      </c>
      <c t="s" s="31" r="E78">
        <v>47</v>
      </c>
      <c s="37" r="F78">
        <v>40877</v>
      </c>
      <c t="str" s="30" r="G78">
        <f>hyperlink("http://mlb.mlb.com/news/article.jsp?ymd=20111130&amp;content_id=26064500&amp;vkey=news_mlb&amp;c_id=mlb","Traded for Tyler Chatwood")</f>
        <v>Traded for Tyler Chatwood</v>
      </c>
      <c t="s" s="6" r="H78">
        <v>12</v>
      </c>
    </row>
    <row r="79">
      <c s="13" r="A79">
        <v>77</v>
      </c>
      <c t="str" s="23" r="B79">
        <f>hyperlink("http://www.baseball-reference.com/players/c/chatwty01.shtml","Chatwood, Tyler")</f>
        <v>Chatwood, Tyler</v>
      </c>
      <c t="s" s="13" r="C79">
        <v>9</v>
      </c>
      <c t="s" s="13" r="D79">
        <v>47</v>
      </c>
      <c t="s" s="13" r="E79">
        <v>22</v>
      </c>
      <c s="18" r="F79">
        <v>40877</v>
      </c>
      <c t="str" s="30" r="G79">
        <f>hyperlink("http://mlb.mlb.com/news/article.jsp?ymd=20111130&amp;content_id=26064500&amp;vkey=news_mlb&amp;c_id=mlb","Traded for Chris Iannetta")</f>
        <v>Traded for Chris Iannetta</v>
      </c>
      <c t="s" s="43" r="H79">
        <v>12</v>
      </c>
    </row>
    <row r="80">
      <c s="31" r="A80">
        <v>78</v>
      </c>
      <c t="str" s="36" r="B80">
        <f>hyperlink("http://www.baseball-reference.com/players/h/hernara02.shtml","Hernandez, Ramon")</f>
        <v>Hernandez, Ramon</v>
      </c>
      <c t="s" s="31" r="C80">
        <v>21</v>
      </c>
      <c t="s" s="31" r="D80">
        <v>36</v>
      </c>
      <c t="s" s="31" r="E80">
        <v>22</v>
      </c>
      <c s="37" r="F80">
        <v>40877</v>
      </c>
      <c t="str" s="2" r="G80">
        <f>hyperlink("http://espn.go.com/los-angeles/mlb/story/_/id/7300460/los-angeles-angels-acquire-catcher-chris-iannetta-colorado-rockies","Two-year contract")</f>
        <v>Two-year contract</v>
      </c>
      <c s="6" r="H80">
        <v>6400000</v>
      </c>
    </row>
    <row r="81">
      <c s="13" r="A81">
        <v>79</v>
      </c>
      <c t="str" s="23" r="B81">
        <f>hyperlink("http://www.baseball-reference.com/players/k/kennead01.shtml","Kennedy, Adam")</f>
        <v>Kennedy, Adam</v>
      </c>
      <c t="s" s="13" r="C81">
        <v>39</v>
      </c>
      <c t="s" s="13" r="D81">
        <v>44</v>
      </c>
      <c t="s" s="13" r="E81">
        <v>20</v>
      </c>
      <c s="18" r="F81">
        <v>40877</v>
      </c>
      <c t="str" s="22" r="G81">
        <f>hyperlink("http://espn.go.com/los-angeles/mlb/story/_/id/7303328/los-angeles-dodgers-finalize-1-year-deal-inf-adam-kennedy","One-year contract")</f>
        <v>One-year contract</v>
      </c>
      <c s="43" r="H81">
        <v>800000</v>
      </c>
    </row>
    <row r="82">
      <c s="31" r="A82">
        <v>80</v>
      </c>
      <c t="str" s="36" r="B82">
        <f>hyperlink("http://www.baseball-reference.com/players/b/browndu01.shtml","Brown, Dusty")</f>
        <v>Brown, Dusty</v>
      </c>
      <c t="s" s="31" r="C82">
        <v>21</v>
      </c>
      <c t="s" s="31" r="D82">
        <v>15</v>
      </c>
      <c t="s" s="31" r="E82">
        <v>14</v>
      </c>
      <c s="37" r="F82">
        <v>40877</v>
      </c>
      <c t="s" s="1" r="G82">
        <v>16</v>
      </c>
      <c t="s" s="6" r="H82">
        <v>12</v>
      </c>
    </row>
    <row r="83">
      <c s="13" r="A83">
        <v>81</v>
      </c>
      <c t="str" s="23" r="B83">
        <f>hyperlink("http://www.baseball-reference.com/players/t/teagata01.shtml","Teagarden, Taylor")</f>
        <v>Teagarden, Taylor</v>
      </c>
      <c t="s" s="13" r="C83">
        <v>21</v>
      </c>
      <c t="s" s="13" r="D83">
        <v>14</v>
      </c>
      <c t="s" s="13" r="E83">
        <v>33</v>
      </c>
      <c s="18" r="F83">
        <v>40878</v>
      </c>
      <c t="str" s="30" r="G83">
        <f>hyperlink("http://espn.go.com/dallas/mlb/story/_/id/7303378/texas-rangers-trade-catcher-taylor-teagarden-baltimore-orioles","Traded for a minor leaguer and a PTBN")</f>
        <v>Traded for a minor leaguer and a PTBN</v>
      </c>
      <c t="s" s="43" r="H83">
        <v>12</v>
      </c>
    </row>
    <row r="84">
      <c s="31" r="A84">
        <v>82</v>
      </c>
      <c t="str" s="36" r="B84">
        <f>hyperlink("http://www.baseball-reference.com/players/p/pagnoma01.shtml","Pagnozzi, Matt")</f>
        <v>Pagnozzi, Matt</v>
      </c>
      <c t="s" s="31" r="C84">
        <v>21</v>
      </c>
      <c t="s" s="31" r="D84">
        <v>15</v>
      </c>
      <c t="s" s="31" r="E84">
        <v>11</v>
      </c>
      <c s="37" r="F84">
        <v>40879</v>
      </c>
      <c t="s" s="1" r="G84">
        <v>16</v>
      </c>
      <c t="s" s="6" r="H84">
        <v>12</v>
      </c>
    </row>
    <row r="85">
      <c s="13" r="A85">
        <v>83</v>
      </c>
      <c t="str" s="23" r="B85">
        <f>hyperlink("http://www.baseball-reference.com/players/c/capuach01.shtml","Capuano, Chris")</f>
        <v>Capuano, Chris</v>
      </c>
      <c t="s" s="13" r="C85">
        <v>9</v>
      </c>
      <c t="s" s="13" r="D85">
        <v>38</v>
      </c>
      <c t="s" s="13" r="E85">
        <v>20</v>
      </c>
      <c s="18" r="F85">
        <v>40879</v>
      </c>
      <c t="str" s="22" r="G85">
        <f>hyperlink("http://espn.go.com/los-angeles/mlb/story/_/id/7306951/2011-free-agents-chris-capuano-agrees-los-angeles-dodgers-two-years-10-million-source-says","Two-year contract")</f>
        <v>Two-year contract</v>
      </c>
      <c s="43" r="H85">
        <v>10000000</v>
      </c>
    </row>
    <row r="86">
      <c s="31" r="A86">
        <v>84</v>
      </c>
      <c t="str" s="36" r="B86">
        <f>hyperlink("http://www.baseball-reference.com/players/h/hernadi01.shtml","Hernandez, Diory")</f>
        <v>Hernandez, Diory</v>
      </c>
      <c t="s" s="31" r="C86">
        <v>32</v>
      </c>
      <c t="s" s="31" r="D86">
        <v>10</v>
      </c>
      <c t="s" s="31" r="E86">
        <v>31</v>
      </c>
      <c s="37" r="F86">
        <v>40879</v>
      </c>
      <c t="s" s="1" r="G86">
        <v>16</v>
      </c>
      <c t="s" s="6" r="H86">
        <v>12</v>
      </c>
    </row>
    <row r="87">
      <c s="13" r="A87">
        <v>85</v>
      </c>
      <c t="str" s="23" r="B87">
        <f>hyperlink("http://www.baseball-reference.com/players/m/millsbr02.shtml","Mills, Brad")</f>
        <v>Mills, Brad</v>
      </c>
      <c t="s" s="13" r="C87">
        <v>9</v>
      </c>
      <c t="s" s="13" r="D87">
        <v>25</v>
      </c>
      <c t="s" s="13" r="E87">
        <v>47</v>
      </c>
      <c s="18" r="F87">
        <v>40880</v>
      </c>
      <c t="str" s="30" r="G87">
        <f>hyperlink("http://toronto.bluejays.mlb.com/news/article.jsp?ymd=20111203&amp;content_id=26086346&amp;vkey=news_tor&amp;c_id=tor","Traded for Jeff Mathis")</f>
        <v>Traded for Jeff Mathis</v>
      </c>
      <c t="s" s="43" r="H87">
        <v>12</v>
      </c>
    </row>
    <row r="88">
      <c s="31" r="A88">
        <v>86</v>
      </c>
      <c t="str" s="36" r="B88">
        <f>hyperlink("http://www.baseball-reference.com/players/m/mathije01.shtml","Mathis, Jeff")</f>
        <v>Mathis, Jeff</v>
      </c>
      <c t="s" s="31" r="C88">
        <v>21</v>
      </c>
      <c t="s" s="31" r="D88">
        <v>47</v>
      </c>
      <c t="s" s="31" r="E88">
        <v>25</v>
      </c>
      <c s="37" r="F88">
        <v>40880</v>
      </c>
      <c t="str" s="30" r="G88">
        <f>hyperlink("http://toronto.bluejays.mlb.com/news/article.jsp?ymd=20111203&amp;content_id=26086346&amp;vkey=news_tor&amp;c_id=tor","Traded for Brad Mills")</f>
        <v>Traded for Brad Mills</v>
      </c>
      <c t="s" s="6" r="H88">
        <v>12</v>
      </c>
    </row>
    <row r="89">
      <c s="13" r="A89">
        <v>87</v>
      </c>
      <c t="str" s="23" r="B89">
        <f>hyperlink("http://www.baseball-reference.com/players/b/bellhe01.shtml","Bell, Heath")</f>
        <v>Bell, Heath</v>
      </c>
      <c t="s" s="13" r="C89">
        <v>13</v>
      </c>
      <c t="s" s="13" r="D89">
        <v>42</v>
      </c>
      <c t="s" s="13" r="E89">
        <v>40</v>
      </c>
      <c s="18" r="F89">
        <v>40882</v>
      </c>
      <c t="str" s="22" r="G89">
        <f>hyperlink("http://espn.go.com/mlb/story/_/id/7320028/2011-free-agents-san-diego-padres-free-agent-heath-bell-miami-marlins-finalize-27-million-deal","Three-year contract")</f>
        <v>Three-year contract</v>
      </c>
      <c s="43" r="H89">
        <v>27000000</v>
      </c>
    </row>
    <row r="90">
      <c s="31" r="A90">
        <v>88</v>
      </c>
      <c t="str" s="36" r="B90">
        <f>hyperlink("http://www.baseball-reference.com/players/h/hairsje02.shtml","Hairston, Jerry")</f>
        <v>Hairston, Jerry</v>
      </c>
      <c t="s" s="31" r="C90">
        <v>19</v>
      </c>
      <c t="s" s="31" r="D90">
        <v>34</v>
      </c>
      <c t="s" s="31" r="E90">
        <v>20</v>
      </c>
      <c s="37" r="F90">
        <v>40882</v>
      </c>
      <c t="str" s="2" r="G90">
        <f>hyperlink("http://mlb.mlb.com/news/article.jsp?ymd=20111205&amp;content_id=26096534&amp;vkey=news_la&amp;c_id=la","Two-year contract")</f>
        <v>Two-year contract</v>
      </c>
      <c s="6" r="H90">
        <v>6000000</v>
      </c>
    </row>
    <row r="91">
      <c s="13" r="A91">
        <v>89</v>
      </c>
      <c t="str" s="23" r="B91">
        <f>hyperlink("http://www.baseball-reference.com/players/s/sloweke01.shtml","Slowey, Kevin")</f>
        <v>Slowey, Kevin</v>
      </c>
      <c t="s" s="13" r="C91">
        <v>9</v>
      </c>
      <c t="s" s="13" r="D91">
        <v>37</v>
      </c>
      <c t="s" s="13" r="E91">
        <v>22</v>
      </c>
      <c s="18" r="F91">
        <v>40883</v>
      </c>
      <c t="str" s="30" r="G91">
        <f>hyperlink("http://espn.go.com/mlb/story/_/id/7322611/minnesota-twins-trade-right-hander-kevin-slowey-colorado-rockies","Traded for player to be named")</f>
        <v>Traded for player to be named</v>
      </c>
      <c t="s" s="43" r="H91">
        <v>12</v>
      </c>
    </row>
    <row r="92">
      <c s="31" r="A92">
        <v>90</v>
      </c>
      <c t="str" s="36" r="B92">
        <f>hyperlink("http://www.baseball-reference.com/minors/player.cgi?id=molina001nes","Molina, Nestor")</f>
        <v>Molina, Nestor</v>
      </c>
      <c t="s" s="31" r="C92">
        <v>9</v>
      </c>
      <c t="s" s="31" r="D92">
        <v>25</v>
      </c>
      <c t="s" s="31" r="E92">
        <v>49</v>
      </c>
      <c s="37" r="F92">
        <v>40883</v>
      </c>
      <c t="str" s="30" r="G92">
        <f>hyperlink("http://mlb.mlb.com/news/article.jsp?ymd=20111206&amp;content_id=26105126&amp;vkey=news_tor&amp;c_id=tor","Traded for Sergio Santos")</f>
        <v>Traded for Sergio Santos</v>
      </c>
      <c t="s" s="6" r="H92">
        <v>12</v>
      </c>
    </row>
    <row r="93">
      <c s="13" r="A93">
        <v>91</v>
      </c>
      <c t="str" s="23" r="B93">
        <f>hyperlink("http://www.baseball-reference.com/players/s/santose01.shtml","Santos, Sergio")</f>
        <v>Santos, Sergio</v>
      </c>
      <c t="s" s="13" r="C93">
        <v>13</v>
      </c>
      <c t="s" s="13" r="D93">
        <v>49</v>
      </c>
      <c t="s" s="13" r="E93">
        <v>25</v>
      </c>
      <c s="18" r="F93">
        <v>40883</v>
      </c>
      <c t="str" s="30" r="G93">
        <f>hyperlink("http://chicago.whitesox.mlb.com/news/article.jsp?ymd=20111206&amp;content_id=26105714&amp;vkey=news_cws&amp;c_id=cws","Traded for Nestor Molina")</f>
        <v>Traded for Nestor Molina</v>
      </c>
      <c t="s" s="43" r="H93">
        <v>12</v>
      </c>
    </row>
    <row r="94">
      <c s="31" r="A94">
        <v>92</v>
      </c>
      <c t="str" s="36" r="B94">
        <f>hyperlink("http://www.baseball-reference.com/players/m/miranju01.shtml","Miranda, Juan")</f>
        <v>Miranda, Juan</v>
      </c>
      <c t="s" s="31" r="C94">
        <v>43</v>
      </c>
      <c t="s" s="31" r="D94">
        <v>18</v>
      </c>
      <c t="s" s="31" r="E94">
        <v>48</v>
      </c>
      <c s="37" r="F94">
        <v>40883</v>
      </c>
      <c t="s" s="1" r="G94">
        <v>16</v>
      </c>
      <c t="s" s="6" r="H94">
        <v>12</v>
      </c>
    </row>
    <row r="95">
      <c s="13" r="A95">
        <v>93</v>
      </c>
      <c t="str" s="23" r="B95">
        <f>hyperlink("http://www.baseball-reference.com/players/m/moraljo02.shtml","Morales, Jose")</f>
        <v>Morales, Jose</v>
      </c>
      <c t="s" s="13" r="C95">
        <v>21</v>
      </c>
      <c t="s" s="13" r="D95">
        <v>22</v>
      </c>
      <c t="s" s="13" r="E95">
        <v>15</v>
      </c>
      <c s="18" r="F95">
        <v>40884</v>
      </c>
      <c t="s" s="1" r="G95">
        <v>16</v>
      </c>
      <c t="s" s="43" r="H95">
        <v>12</v>
      </c>
    </row>
    <row r="96">
      <c s="31" r="A96">
        <v>94</v>
      </c>
      <c t="str" s="36" r="B96">
        <f>hyperlink("http://www.baseball-reference.com/players/r/reyesjo01.shtml","Reyes, Jose")</f>
        <v>Reyes, Jose</v>
      </c>
      <c t="s" s="31" r="C96">
        <v>17</v>
      </c>
      <c t="s" s="31" r="D96">
        <v>38</v>
      </c>
      <c t="s" s="31" r="E96">
        <v>40</v>
      </c>
      <c s="37" r="F96">
        <v>40884</v>
      </c>
      <c t="str" s="2" r="G96">
        <f>hyperlink("http://aol.sportingnews.com/mlb/feed/2011-10/hot-stove-league/story/marlins-formally-announce-signing-of-ss-jose-reyes","Six-year contract with option")</f>
        <v>Six-year contract with option</v>
      </c>
      <c s="6" r="H96">
        <v>106000000</v>
      </c>
    </row>
    <row r="97">
      <c s="13" r="A97">
        <v>95</v>
      </c>
      <c t="str" s="23" r="B97">
        <f>hyperlink("http://www.baseball-reference.com/players/c/cappsma01.shtml","Capps, Matt")</f>
        <v>Capps, Matt</v>
      </c>
      <c t="s" s="13" r="C97">
        <v>13</v>
      </c>
      <c t="s" s="9" r="D97">
        <v>37</v>
      </c>
      <c t="s" s="9" r="E97">
        <v>37</v>
      </c>
      <c s="18" r="F97">
        <v>40884</v>
      </c>
      <c t="str" s="22" r="G97">
        <f>hyperlink("http://espn.go.com/mlb/story/_/id/7326796/matt-capps-minnesota-twins-finalize-one-year-475-million-contract","One-year contract with option")</f>
        <v>One-year contract with option</v>
      </c>
      <c s="43" r="H97">
        <v>4750000</v>
      </c>
    </row>
    <row r="98">
      <c s="31" r="A98">
        <v>96</v>
      </c>
      <c t="str" s="36" r="B98">
        <f>hyperlink("http://www.baseball-reference.com/players/s/streehu01.shtml","Street, Huston")</f>
        <v>Street, Huston</v>
      </c>
      <c t="s" s="31" r="C98">
        <v>13</v>
      </c>
      <c t="s" s="31" r="D98">
        <v>22</v>
      </c>
      <c t="s" s="31" r="E98">
        <v>42</v>
      </c>
      <c s="37" r="F98">
        <v>40884</v>
      </c>
      <c t="str" s="30" r="G98">
        <f>hyperlink("http://espn.go.com/mlb/story/_/id/7327718/colorado-rockies-trade-closer-huston-street-nl-west-rival-san-diego-padres","Traded with cash for player to be named &amp; cash")</f>
        <v>Traded with cash for player to be named &amp; cash</v>
      </c>
      <c t="s" s="6" r="H98">
        <v>12</v>
      </c>
    </row>
    <row r="99">
      <c s="13" r="A99">
        <v>97</v>
      </c>
      <c t="str" s="23" r="B99">
        <f>hyperlink("http://www.baseball-reference.com/players/b/bedarer01.shtml","Bedard, Erik")</f>
        <v>Bedard, Erik</v>
      </c>
      <c t="s" s="13" r="C99">
        <v>9</v>
      </c>
      <c t="s" s="13" r="D99">
        <v>41</v>
      </c>
      <c t="s" s="13" r="E99">
        <v>15</v>
      </c>
      <c s="18" r="F99">
        <v>40884</v>
      </c>
      <c t="str" s="22" r="G99">
        <f>hyperlink("http://mlb.mlb.com/news/article.jsp?ymd=20111207&amp;content_id=26118000&amp;vkey=news_mlb&amp;c_id=mlb","One-year contract")</f>
        <v>One-year contract</v>
      </c>
      <c s="43" r="H99">
        <v>4500000</v>
      </c>
    </row>
    <row r="100">
      <c s="31" r="A100">
        <v>98</v>
      </c>
      <c t="str" s="36" r="B100">
        <f>hyperlink("http://www.baseball-reference.com/players/m/mclouna01.shtml","McLouth, Nate")</f>
        <v>McLouth, Nate</v>
      </c>
      <c t="s" s="31" r="C100">
        <v>19</v>
      </c>
      <c t="s" s="31" r="D100">
        <v>10</v>
      </c>
      <c t="s" s="31" r="E100">
        <v>15</v>
      </c>
      <c s="37" r="F100">
        <v>40884</v>
      </c>
      <c t="str" s="2" r="G100">
        <f>hyperlink("http://mlb.mlb.com/news/article.jsp?ymd=20111205&amp;content_id=26095288&amp;vkey=news_mlb&amp;c_id=mlb","One-year contract")</f>
        <v>One-year contract</v>
      </c>
      <c s="6" r="H100">
        <v>1750000</v>
      </c>
    </row>
    <row r="101">
      <c s="13" r="A101">
        <v>99</v>
      </c>
      <c t="str" s="23" r="B101">
        <f>hyperlink("http://www.baseball-reference.com/players/b/buehrma01.shtml","Buehrle, Mark")</f>
        <v>Buehrle, Mark</v>
      </c>
      <c t="s" s="13" r="C101">
        <v>9</v>
      </c>
      <c t="s" s="13" r="D101">
        <v>49</v>
      </c>
      <c t="s" s="13" r="E101">
        <v>40</v>
      </c>
      <c s="18" r="F101">
        <v>40884</v>
      </c>
      <c t="str" s="22" r="G101">
        <f>hyperlink("http://miami.marlins.mlb.com/news/article.jsp?ymd=20111207&amp;content_id=26121258&amp;vkey=news_mia&amp;c_id=mia","Four-year contract")</f>
        <v>Four-year contract</v>
      </c>
      <c s="43" r="H101">
        <v>58000000</v>
      </c>
    </row>
    <row r="102">
      <c s="31" r="A102">
        <v>100</v>
      </c>
      <c t="str" s="36" r="B102">
        <f>hyperlink("http://www.baseball-reference.com/players/r/rodrifr03.shtml","Rodriguez, Francisco")</f>
        <v>Rodriguez, Francisco</v>
      </c>
      <c t="s" s="31" r="C102">
        <v>13</v>
      </c>
      <c t="s" s="9" r="D102">
        <v>34</v>
      </c>
      <c t="s" s="9" r="E102">
        <v>34</v>
      </c>
      <c s="37" r="F102">
        <v>40884</v>
      </c>
      <c t="s" s="12" r="G102">
        <v>50</v>
      </c>
      <c t="s" s="6" r="H102">
        <v>12</v>
      </c>
    </row>
    <row r="103">
      <c s="13" r="A103">
        <v>101</v>
      </c>
      <c t="str" s="23" r="B103">
        <f>hyperlink("http://www.baseball-reference.com/players/o/ortizda01.shtml","Ortiz, David")</f>
        <v>Ortiz, David</v>
      </c>
      <c t="s" s="13" r="C103">
        <v>26</v>
      </c>
      <c t="s" s="9" r="D103">
        <v>41</v>
      </c>
      <c t="s" s="9" r="E103">
        <v>41</v>
      </c>
      <c s="18" r="F103">
        <v>40884</v>
      </c>
      <c t="s" s="12" r="G103">
        <v>50</v>
      </c>
      <c t="s" s="43" r="H103">
        <v>12</v>
      </c>
    </row>
    <row r="104">
      <c s="31" r="A104">
        <v>102</v>
      </c>
      <c t="str" s="36" r="B104">
        <f>hyperlink("http://www.baseball-reference.com/players/j/johnske05.shtml","Johnson, Kelly")</f>
        <v>Johnson, Kelly</v>
      </c>
      <c t="s" s="31" r="C104">
        <v>39</v>
      </c>
      <c t="s" s="9" r="D104">
        <v>25</v>
      </c>
      <c t="s" s="9" r="E104">
        <v>25</v>
      </c>
      <c s="37" r="F104">
        <v>40884</v>
      </c>
      <c t="s" s="12" r="G104">
        <v>50</v>
      </c>
      <c t="s" s="6" r="H104">
        <v>12</v>
      </c>
    </row>
    <row r="105">
      <c s="13" r="A105">
        <v>103</v>
      </c>
      <c t="str" s="23" r="B105">
        <f>hyperlink("http://www.baseball-reference.com/players/n/navarya01.shtml","Navarro, Yamaico")</f>
        <v>Navarro, Yamaico</v>
      </c>
      <c t="s" s="13" r="C105">
        <v>32</v>
      </c>
      <c t="s" s="13" r="D105">
        <v>28</v>
      </c>
      <c t="s" s="13" r="E105">
        <v>15</v>
      </c>
      <c s="18" r="F105">
        <v>40884</v>
      </c>
      <c t="str" s="30" r="G105">
        <f>hyperlink("http://espn.go.com/mlb/story/_/id/7328029/pittsburgh-pirates-sign-lefty-erik-bedard-outfielder-nate-mclouth","Traded for two minor leaguers")</f>
        <v>Traded for two minor leaguers</v>
      </c>
      <c t="s" s="43" r="H105">
        <v>12</v>
      </c>
    </row>
    <row r="106">
      <c s="31" r="A106">
        <v>104</v>
      </c>
      <c t="str" s="36" r="B106">
        <f>hyperlink("http://www.baseball-reference.com/players/p/paganan01.shtml","Pagan, Angel")</f>
        <v>Pagan, Angel</v>
      </c>
      <c t="s" s="31" r="C106">
        <v>19</v>
      </c>
      <c t="s" s="31" r="D106">
        <v>38</v>
      </c>
      <c t="s" s="31" r="E106">
        <v>29</v>
      </c>
      <c s="37" r="F106">
        <v>40884</v>
      </c>
      <c t="str" s="30" r="G106">
        <f>hyperlink("http://newyork.mets.mlb.com/news/article.jsp?ymd=20111206&amp;content_id=26112382&amp;vkey=news_nym&amp;c_id=nym","Traded for Ramon Ramirez and Andres Torres")</f>
        <v>Traded for Ramon Ramirez and Andres Torres</v>
      </c>
      <c t="s" s="6" r="H106">
        <v>12</v>
      </c>
    </row>
    <row r="107">
      <c s="13" r="A107">
        <v>105</v>
      </c>
      <c t="str" s="23" r="B107">
        <f>hyperlink("http://www.baseball-reference.com/players/r/ramirra02.shtml","Ramirez, Ramon")</f>
        <v>Ramirez, Ramon</v>
      </c>
      <c t="s" s="13" r="C107">
        <v>13</v>
      </c>
      <c t="s" s="13" r="D107">
        <v>29</v>
      </c>
      <c t="s" s="13" r="E107">
        <v>38</v>
      </c>
      <c s="18" r="F107">
        <v>40884</v>
      </c>
      <c t="str" s="30" r="G107">
        <f>hyperlink("http://sanfrancisco.giants.mlb.com/news/article.jsp?ymd=20111206&amp;content_id=26107960&amp;vkey=news_sf&amp;c_id=sf","Traded with Andres Torres for Angel Pagan")</f>
        <v>Traded with Andres Torres for Angel Pagan</v>
      </c>
      <c t="s" s="43" r="H107">
        <v>12</v>
      </c>
    </row>
    <row r="108">
      <c s="31" r="A108">
        <v>106</v>
      </c>
      <c t="str" s="36" r="B108">
        <f>hyperlink("http://www.baseball-reference.com/players/t/torrean02.shtml","Torres, Andres")</f>
        <v>Torres, Andres</v>
      </c>
      <c t="s" s="31" r="C108">
        <v>19</v>
      </c>
      <c t="s" s="31" r="D108">
        <v>29</v>
      </c>
      <c t="s" s="31" r="E108">
        <v>38</v>
      </c>
      <c s="37" r="F108">
        <v>40884</v>
      </c>
      <c t="str" s="30" r="G108">
        <f>hyperlink("http://sanfrancisco.giants.mlb.com/news/article.jsp?ymd=20111206&amp;content_id=26107960&amp;vkey=news_sf&amp;c_id=sf","Traded with Ramon Ramirez for Angel Pagan")</f>
        <v>Traded with Ramon Ramirez for Angel Pagan</v>
      </c>
      <c t="s" s="6" r="H108">
        <v>12</v>
      </c>
    </row>
    <row r="109">
      <c s="13" r="A109">
        <v>107</v>
      </c>
      <c t="str" s="23" r="B109">
        <f>hyperlink("http://www.baseball-reference.com/players/l/ledezwi01.shtml","Ledezma, Wil")</f>
        <v>Ledezma, Wil</v>
      </c>
      <c t="s" s="13" r="C109">
        <v>13</v>
      </c>
      <c t="s" s="13" r="D109">
        <v>25</v>
      </c>
      <c t="s" s="13" r="E109">
        <v>20</v>
      </c>
      <c s="18" r="F109">
        <v>40884</v>
      </c>
      <c t="s" s="1" r="G109">
        <v>16</v>
      </c>
      <c t="s" s="43" r="H109">
        <v>12</v>
      </c>
    </row>
    <row r="110">
      <c s="31" r="A110">
        <v>108</v>
      </c>
      <c t="str" s="36" r="B110">
        <f>hyperlink("http://www.baseball-reference.com/players/c/carlsje01.shtml","Carlson, Jesse")</f>
        <v>Carlson, Jesse</v>
      </c>
      <c t="s" s="31" r="C110">
        <v>13</v>
      </c>
      <c t="s" s="31" r="D110">
        <v>25</v>
      </c>
      <c t="s" s="31" r="E110">
        <v>41</v>
      </c>
      <c s="37" r="F110">
        <v>40884</v>
      </c>
      <c t="s" s="1" r="G110">
        <v>16</v>
      </c>
      <c t="s" s="6" r="H110">
        <v>12</v>
      </c>
    </row>
    <row r="111">
      <c s="13" r="A111">
        <v>109</v>
      </c>
      <c t="str" s="23" r="B111">
        <f>hyperlink("http://www.baseball-reference.com/players/r/rivermi02.shtml","Rivera, Mike")</f>
        <v>Rivera, Mike</v>
      </c>
      <c t="s" s="13" r="C111">
        <v>21</v>
      </c>
      <c t="s" s="9" r="D111">
        <v>34</v>
      </c>
      <c t="s" s="9" r="E111">
        <v>34</v>
      </c>
      <c s="18" r="F111">
        <v>40884</v>
      </c>
      <c t="s" s="1" r="G111">
        <v>16</v>
      </c>
      <c t="s" s="43" r="H111">
        <v>12</v>
      </c>
    </row>
    <row r="112">
      <c s="31" r="A112">
        <v>110</v>
      </c>
      <c t="str" s="36" r="B112">
        <f>hyperlink("http://www.baseball-reference.com/players/h/haranaa01.shtml","Harang, Aaron")</f>
        <v>Harang, Aaron</v>
      </c>
      <c t="s" s="31" r="C112">
        <v>9</v>
      </c>
      <c t="s" s="31" r="D112">
        <v>42</v>
      </c>
      <c t="s" s="31" r="E112">
        <v>20</v>
      </c>
      <c s="37" r="F112">
        <v>40885</v>
      </c>
      <c t="str" s="2" r="G112">
        <f>hyperlink("http://espn.go.com/los-angeles/mlb/story/_/id/7330708/los-angeles-dodgers-officially-add-aaron-harang-trade-dana-eveland-baltimore-orioles","Two-year contract with option")</f>
        <v>Two-year contract with option</v>
      </c>
      <c s="6" r="H112">
        <v>12000000</v>
      </c>
    </row>
    <row r="113">
      <c s="13" r="A113">
        <v>111</v>
      </c>
      <c t="str" s="23" r="B113">
        <f>hyperlink("http://www.baseball-reference.com/players/e/evelada01.shtml","Eveland, Dana")</f>
        <v>Eveland, Dana</v>
      </c>
      <c t="s" s="13" r="C113">
        <v>9</v>
      </c>
      <c t="s" s="13" r="D113">
        <v>20</v>
      </c>
      <c t="s" s="13" r="E113">
        <v>33</v>
      </c>
      <c s="18" r="F113">
        <v>40885</v>
      </c>
      <c t="str" s="30" r="G113">
        <f>hyperlink("http://espn.go.com/los-angeles/mlb/story/_/id/7330708/los-angeles-dodgers-officially-add-aaron-harang-trade-dana-eveland-baltimore-orioles","Traded for two minor leaguers")</f>
        <v>Traded for two minor leaguers</v>
      </c>
      <c t="s" s="43" r="H113">
        <v>12</v>
      </c>
    </row>
    <row r="114">
      <c s="31" r="A114">
        <v>112</v>
      </c>
      <c t="str" s="36" r="B114">
        <f>hyperlink("http://www.baseball-reference.com/players/p/pujolal01.shtml","Pujols, Albert")</f>
        <v>Pujols, Albert</v>
      </c>
      <c t="s" s="31" r="C114">
        <v>43</v>
      </c>
      <c t="s" s="31" r="D114">
        <v>46</v>
      </c>
      <c t="s" s="31" r="E114">
        <v>47</v>
      </c>
      <c s="37" r="F114">
        <v>40885</v>
      </c>
      <c t="str" s="2" r="G114">
        <f>hyperlink("http://espn.go.com/los-angeles/mlb/story/_/id/7330066/sources-albert-pujols-cj-wilson-agreed-angels","Ten-year contract")</f>
        <v>Ten-year contract</v>
      </c>
      <c s="6" r="H114">
        <v>254000000</v>
      </c>
    </row>
    <row r="115">
      <c s="13" r="A115">
        <v>113</v>
      </c>
      <c t="str" s="23" r="B115">
        <f>hyperlink("http://www.baseball-reference.com/players/w/wilsocj01.shtml","Wilson, C.J.")</f>
        <v>Wilson, C.J.</v>
      </c>
      <c t="s" s="13" r="C115">
        <v>9</v>
      </c>
      <c t="s" s="13" r="D115">
        <v>14</v>
      </c>
      <c t="s" s="13" r="E115">
        <v>47</v>
      </c>
      <c s="18" r="F115">
        <v>40885</v>
      </c>
      <c t="str" s="22" r="G115">
        <f>hyperlink("http://espn.go.com/los-angeles/mlb/story/_/id/7330909/los-angeles-angels-add-texas-rangers-cj-wilson-5-year-775m-deal","Five-year contract")</f>
        <v>Five-year contract</v>
      </c>
      <c s="43" r="H115">
        <v>77500000</v>
      </c>
    </row>
    <row r="116">
      <c s="31" r="A116">
        <v>114</v>
      </c>
      <c t="str" s="36" r="B116">
        <f>hyperlink("http://www.baseball-reference.com/minors/player.cgi?id=weathe001cas","Weathers, Casey")</f>
        <v>Weathers, Casey</v>
      </c>
      <c t="s" s="31" r="C116">
        <v>13</v>
      </c>
      <c t="s" s="31" r="D116">
        <v>22</v>
      </c>
      <c t="s" s="31" r="E116">
        <v>35</v>
      </c>
      <c s="37" r="F116">
        <v>40885</v>
      </c>
      <c t="str" s="30" r="G116">
        <f>hyperlink("http://espn.go.com/chicago/mlb/story/_/id/7333696/chicago-cubs-trade-tyler-colvin-dj-lemahieu-colorado-rockies-ian-stewart-casey-weathers","Traded w I. Stewart for T. Colvin and LeMahieu")</f>
        <v>Traded w I. Stewart for T. Colvin and LeMahieu</v>
      </c>
      <c t="s" s="6" r="H116">
        <v>12</v>
      </c>
    </row>
    <row r="117">
      <c s="13" r="A117">
        <v>115</v>
      </c>
      <c t="str" s="23" r="B117">
        <f>hyperlink("http://www.baseball-reference.com/players/s/stewaia01.shtml","Stewart, Ian")</f>
        <v>Stewart, Ian</v>
      </c>
      <c t="s" s="13" r="C117">
        <v>51</v>
      </c>
      <c t="s" s="13" r="D117">
        <v>22</v>
      </c>
      <c t="s" s="13" r="E117">
        <v>35</v>
      </c>
      <c s="18" r="F117">
        <v>40885</v>
      </c>
      <c t="str" s="30" r="G117">
        <f>hyperlink("http://espn.go.com/chicago/mlb/story/_/id/7333696/chicago-cubs-trade-tyler-colvin-dj-lemahieu-colorado-rockies-ian-stewart-casey-weathers","Traded w C. Weathers for T. Colvin and LeMahieu")</f>
        <v>Traded w C. Weathers for T. Colvin and LeMahieu</v>
      </c>
      <c t="s" s="43" r="H117">
        <v>12</v>
      </c>
    </row>
    <row r="118">
      <c s="31" r="A118">
        <v>116</v>
      </c>
      <c t="str" s="36" r="B118">
        <f>hyperlink("http://www.baseball-reference.com/players/l/lemahdj01.shtml","LeMahieu, DJ")</f>
        <v>LeMahieu, DJ</v>
      </c>
      <c t="s" s="31" r="C118">
        <v>32</v>
      </c>
      <c t="s" s="31" r="D118">
        <v>35</v>
      </c>
      <c t="s" s="31" r="E118">
        <v>22</v>
      </c>
      <c s="37" r="F118">
        <v>40885</v>
      </c>
      <c t="str" s="30" r="G118">
        <f>hyperlink("http://espn.go.com/chicago/mlb/story/_/id/7333696/chicago-cubs-trade-tyler-colvin-dj-lemahieu-colorado-rockies-ian-stewart-casey-weathers","Traded w T. Colvin for I. Stewart and C. Weathers")</f>
        <v>Traded w T. Colvin for I. Stewart and C. Weathers</v>
      </c>
      <c t="s" s="6" r="H118">
        <v>12</v>
      </c>
    </row>
    <row r="119">
      <c s="13" r="A119">
        <v>117</v>
      </c>
      <c t="str" s="23" r="B119">
        <f>hyperlink("http://www.baseball-reference.com/players/c/colvity01.shtml","Colvin, Tyler")</f>
        <v>Colvin, Tyler</v>
      </c>
      <c t="s" s="13" r="C119">
        <v>19</v>
      </c>
      <c t="s" s="13" r="D119">
        <v>35</v>
      </c>
      <c t="s" s="13" r="E119">
        <v>22</v>
      </c>
      <c s="18" r="F119">
        <v>40885</v>
      </c>
      <c t="str" s="30" r="G119">
        <f>hyperlink("http://espn.go.com/chicago/mlb/story/_/id/7333696/chicago-cubs-trade-tyler-colvin-dj-lemahieu-colorado-rockies-ian-stewart-casey-weathers","Traded w LeMahieu for I. Stewart and C. Weathers")</f>
        <v>Traded w LeMahieu for I. Stewart and C. Weathers</v>
      </c>
      <c t="s" s="43" r="H119">
        <v>12</v>
      </c>
    </row>
    <row r="120">
      <c s="31" r="A120">
        <v>118</v>
      </c>
      <c t="str" s="36" r="B120">
        <f>hyperlink("http://www.baseball-reference.com/players/n/nixla01.shtml","Nix, Laynce")</f>
        <v>Nix, Laynce</v>
      </c>
      <c t="s" s="31" r="C120">
        <v>19</v>
      </c>
      <c t="s" s="31" r="D120">
        <v>24</v>
      </c>
      <c t="s" s="31" r="E120">
        <v>27</v>
      </c>
      <c s="37" r="F120">
        <v>40885</v>
      </c>
      <c t="str" s="2" r="G120">
        <f>hyperlink("http://espn.go.com/mlb/story/_/id/7333500/philadelphia-phillies-sign-washington-nationals-laynce-nix-two-year-deal","Two-year contract")</f>
        <v>Two-year contract</v>
      </c>
      <c s="6" r="H120">
        <v>2500000</v>
      </c>
    </row>
    <row r="121">
      <c s="13" r="A121">
        <v>119</v>
      </c>
      <c t="str" s="23" r="B121">
        <f>hyperlink("http://www.baseball-reference.com/players/d/doteloc01.shtml","Dotel, Octavio")</f>
        <v>Dotel, Octavio</v>
      </c>
      <c t="s" s="13" r="C121">
        <v>13</v>
      </c>
      <c t="s" s="13" r="D121">
        <v>46</v>
      </c>
      <c t="s" s="13" r="E121">
        <v>30</v>
      </c>
      <c s="18" r="F121">
        <v>40886</v>
      </c>
      <c t="str" s="22" r="G121">
        <f>hyperlink("http://mlb.mlb.com/news/article.jsp?ymd=20111208&amp;content_id=26127944&amp;c_id=mlb","One-year contract with option")</f>
        <v>One-year contract with option</v>
      </c>
      <c s="43" r="H121">
        <v>3500000</v>
      </c>
    </row>
    <row r="122">
      <c s="31" r="A122">
        <v>120</v>
      </c>
      <c t="str" s="36" r="B122">
        <f>hyperlink("http://www.baseball-reference.com/players/g/garcifr03.shtml","Garcia, Freddy")</f>
        <v>Garcia, Freddy</v>
      </c>
      <c t="s" s="31" r="C122">
        <v>9</v>
      </c>
      <c t="s" s="9" r="D122">
        <v>45</v>
      </c>
      <c t="s" s="9" r="E122">
        <v>45</v>
      </c>
      <c s="37" r="F122">
        <v>40886</v>
      </c>
      <c t="str" s="2" r="G122">
        <f>hyperlink("http://newyork.cbslocal.com/2011/12/09/yankees-officially-re-sign-freddy-garcia/","One-year contract")</f>
        <v>One-year contract</v>
      </c>
      <c s="6" r="H122">
        <v>4000000</v>
      </c>
    </row>
    <row r="123">
      <c s="13" r="A123">
        <v>121</v>
      </c>
      <c t="str" s="23" r="B123">
        <f>hyperlink("http://www.baseball-reference.com/players/p/purceda01.shtml","Purcey, David")</f>
        <v>Purcey, David</v>
      </c>
      <c t="s" s="13" r="C123">
        <v>13</v>
      </c>
      <c t="s" s="13" r="D123">
        <v>30</v>
      </c>
      <c t="s" s="13" r="E123">
        <v>27</v>
      </c>
      <c s="18" r="F123">
        <v>40886</v>
      </c>
      <c t="s" s="1" r="G123">
        <v>16</v>
      </c>
      <c t="s" s="43" r="H123">
        <v>12</v>
      </c>
    </row>
    <row r="124">
      <c s="31" r="A124">
        <v>122</v>
      </c>
      <c t="str" s="36" r="B124">
        <f>hyperlink("http://www.baseball-reference.com/players/b/bushda01.shtml","Bush, Dave")</f>
        <v>Bush, Dave</v>
      </c>
      <c t="s" s="31" r="C124">
        <v>9</v>
      </c>
      <c t="s" s="9" r="D124">
        <v>27</v>
      </c>
      <c t="s" s="9" r="E124">
        <v>27</v>
      </c>
      <c s="37" r="F124">
        <v>40886</v>
      </c>
      <c t="s" s="1" r="G124">
        <v>16</v>
      </c>
      <c t="s" s="6" r="H124">
        <v>12</v>
      </c>
    </row>
    <row r="125">
      <c s="13" r="A125">
        <v>123</v>
      </c>
      <c t="str" s="23" r="B125">
        <f>hyperlink("http://www.baseball-reference.com/players/g/gonzaal03.shtml","Gonzalez, Alberto")</f>
        <v>Gonzalez, Alberto</v>
      </c>
      <c t="s" s="13" r="C125">
        <v>39</v>
      </c>
      <c t="s" s="13" r="D125">
        <v>42</v>
      </c>
      <c t="s" s="13" r="E125">
        <v>14</v>
      </c>
      <c s="18" r="F125">
        <v>40886</v>
      </c>
      <c t="s" s="1" r="G125">
        <v>16</v>
      </c>
      <c t="s" s="43" r="H125">
        <v>12</v>
      </c>
    </row>
    <row r="126">
      <c s="31" r="A126">
        <v>124</v>
      </c>
      <c t="str" s="36" r="B126">
        <f>hyperlink("http://www.baseball-reference.com/players/o/overbly01.shtml","Overbay, Lyle")</f>
        <v>Overbay, Lyle</v>
      </c>
      <c t="s" s="31" r="C126">
        <v>43</v>
      </c>
      <c t="s" s="9" r="D126">
        <v>18</v>
      </c>
      <c t="s" s="9" r="E126">
        <v>18</v>
      </c>
      <c s="37" r="F126">
        <v>40886</v>
      </c>
      <c t="str" s="2" r="G126">
        <f>hyperlink("http://mlb.mlb.com/news/article.jsp?ymd=20111209&amp;content_id=26138094&amp;vkey=news_ari&amp;c_id=ari&amp;partnerId=rss_ari","One-year contract")</f>
        <v>One-year contract</v>
      </c>
      <c s="6" r="H126">
        <v>1000000</v>
      </c>
    </row>
    <row r="127">
      <c s="13" r="A127">
        <v>125</v>
      </c>
      <c t="str" s="23" r="B127">
        <f>hyperlink("http://www.baseball-reference.com/players/b/balesco01.shtml","Balester, Collin")</f>
        <v>Balester, Collin</v>
      </c>
      <c t="s" s="13" r="C127">
        <v>13</v>
      </c>
      <c t="s" s="13" r="D127">
        <v>24</v>
      </c>
      <c t="s" s="13" r="E127">
        <v>30</v>
      </c>
      <c s="18" r="F127">
        <v>40886</v>
      </c>
      <c t="str" s="30" r="G127">
        <f>hyperlink("http://mlb.mlb.com/news/article.jsp?ymd=20111209&amp;content_id=26139384&amp;vkey=news_mlb&amp;c_id=mlb","Traded for Ryan Perry")</f>
        <v>Traded for Ryan Perry</v>
      </c>
      <c t="s" s="43" r="H127">
        <v>12</v>
      </c>
    </row>
    <row r="128">
      <c s="31" r="A128">
        <v>126</v>
      </c>
      <c t="str" s="36" r="B128">
        <f>hyperlink("http://www.baseball-reference.com/players/p/perryry01.shtml","Perry, Ryan")</f>
        <v>Perry, Ryan</v>
      </c>
      <c t="s" s="31" r="C128">
        <v>13</v>
      </c>
      <c t="s" s="31" r="D128">
        <v>30</v>
      </c>
      <c t="s" s="31" r="E128">
        <v>24</v>
      </c>
      <c s="37" r="F128">
        <v>40886</v>
      </c>
      <c t="str" s="30" r="G128">
        <f>hyperlink("http://mlb.mlb.com/news/article.jsp?ymd=20111209&amp;content_id=26139384&amp;vkey=news_mlb&amp;c_id=mlb","Traded for Collin Balester")</f>
        <v>Traded for Collin Balester</v>
      </c>
      <c t="s" s="6" r="H128">
        <v>12</v>
      </c>
    </row>
    <row r="129">
      <c s="13" r="A129">
        <v>127</v>
      </c>
      <c t="str" s="23" r="B129">
        <f>hyperlink("http://www.baseball-reference.com/players/b/breslcr01.shtml","Breslow, Craig")</f>
        <v>Breslow, Craig</v>
      </c>
      <c t="s" s="13" r="C129">
        <v>13</v>
      </c>
      <c t="s" s="13" r="D129">
        <v>23</v>
      </c>
      <c t="s" s="13" r="E129">
        <v>18</v>
      </c>
      <c s="18" r="F129">
        <v>40886</v>
      </c>
      <c t="str" s="30" r="G129">
        <f>hyperlink("http://espn.go.com/mlb/story/_/id/7336925/arizona-diamondbacks-acquire-trevor-cahill-oakland-athletics-five-player-deal","Traded w Cahill &amp; cash for Cowgill, Parker &amp; Cook")</f>
        <v>Traded w Cahill &amp; cash for Cowgill, Parker &amp; Cook</v>
      </c>
      <c t="s" s="43" r="H129">
        <v>12</v>
      </c>
    </row>
    <row r="130">
      <c s="31" r="A130">
        <v>128</v>
      </c>
      <c t="str" s="36" r="B130">
        <f>hyperlink("http://www.baseball-reference.com/players/c/cahiltr01.shtml","Cahil, Trevor")</f>
        <v>Cahil, Trevor</v>
      </c>
      <c t="s" s="31" r="C130">
        <v>9</v>
      </c>
      <c t="s" s="31" r="D130">
        <v>23</v>
      </c>
      <c t="s" s="31" r="E130">
        <v>18</v>
      </c>
      <c s="37" r="F130">
        <v>40886</v>
      </c>
      <c t="str" s="30" r="G130">
        <f>hyperlink("http://espn.go.com/mlb/story/_/id/7336925/arizona-diamondbacks-acquire-trevor-cahill-oakland-athletics-five-player-deal","Traded w Breslow &amp; cash for Cowgill, Parker &amp; Cook")</f>
        <v>Traded w Breslow &amp; cash for Cowgill, Parker &amp; Cook</v>
      </c>
      <c t="s" s="6" r="H130">
        <v>12</v>
      </c>
    </row>
    <row r="131">
      <c s="13" r="A131">
        <v>129</v>
      </c>
      <c t="str" s="23" r="B131">
        <f>hyperlink("http://www.baseball-reference.com/players/c/cowgico01.shtml","Cowgill, Collin")</f>
        <v>Cowgill, Collin</v>
      </c>
      <c t="s" s="13" r="C131">
        <v>19</v>
      </c>
      <c t="s" s="13" r="D131">
        <v>18</v>
      </c>
      <c t="s" s="13" r="E131">
        <v>23</v>
      </c>
      <c s="18" r="F131">
        <v>40886</v>
      </c>
      <c t="str" s="30" r="G131">
        <f>hyperlink("http://espn.go.com/mlb/story/_/id/7336925/arizona-diamondbacks-acquire-trevor-cahill-oakland-athletics-five-player-deal","Traded w Parker &amp; Cook for Breslow, Cahill &amp; cash")</f>
        <v>Traded w Parker &amp; Cook for Breslow, Cahill &amp; cash</v>
      </c>
      <c t="s" s="43" r="H131">
        <v>12</v>
      </c>
    </row>
    <row r="132">
      <c s="31" r="A132">
        <v>130</v>
      </c>
      <c t="str" s="36" r="B132">
        <f>hyperlink("http://www.baseball-reference.com/players/p/parkeja02.shtml","Parker, Jarrod")</f>
        <v>Parker, Jarrod</v>
      </c>
      <c t="s" s="31" r="C132">
        <v>9</v>
      </c>
      <c t="s" s="31" r="D132">
        <v>18</v>
      </c>
      <c t="s" s="31" r="E132">
        <v>23</v>
      </c>
      <c s="37" r="F132">
        <v>40886</v>
      </c>
      <c t="str" s="30" r="G132">
        <f>hyperlink("http://espn.go.com/mlb/story/_/id/7336925/arizona-diamondbacks-acquire-trevor-cahill-oakland-athletics-five-player-deal","Traded w Cowgill &amp; Cook for Breslow, Cahill &amp; cash")</f>
        <v>Traded w Cowgill &amp; Cook for Breslow, Cahill &amp; cash</v>
      </c>
      <c t="s" s="6" r="H132">
        <v>12</v>
      </c>
    </row>
    <row r="133">
      <c s="13" r="A133">
        <v>131</v>
      </c>
      <c t="str" s="23" r="B133">
        <f>hyperlink("http://www.baseball-reference.com/players/c/cookry01.shtml","Cook, Ryan")</f>
        <v>Cook, Ryan</v>
      </c>
      <c t="s" s="13" r="C133">
        <v>13</v>
      </c>
      <c t="s" s="13" r="D133">
        <v>18</v>
      </c>
      <c t="s" s="13" r="E133">
        <v>23</v>
      </c>
      <c s="18" r="F133">
        <v>40886</v>
      </c>
      <c t="str" s="30" r="G133">
        <f>hyperlink("http://espn.go.com/mlb/story/_/id/7336925/arizona-diamondbacks-acquire-trevor-cahill-oakland-athletics-five-player-deal","Traded w Cowgill &amp; Parker for Breslow, Cahill &amp; cash")</f>
        <v>Traded w Cowgill &amp; Parker for Breslow, Cahill &amp; cash</v>
      </c>
      <c t="s" s="43" r="H133">
        <v>12</v>
      </c>
    </row>
    <row r="134">
      <c s="31" r="A134">
        <v>132</v>
      </c>
      <c t="str" s="36" r="B134">
        <f>hyperlink("http://www.baseball-reference.com/players/f/furcara02.shtml","Furcal, Rafael")</f>
        <v>Furcal, Rafael</v>
      </c>
      <c t="s" s="31" r="C134">
        <v>17</v>
      </c>
      <c t="s" s="9" r="D134">
        <v>46</v>
      </c>
      <c t="s" s="9" r="E134">
        <v>46</v>
      </c>
      <c s="37" r="F134">
        <v>40887</v>
      </c>
      <c t="str" s="2" r="G134">
        <f>hyperlink("http://mlb.mlb.com/news/article.jsp?ymd=20111210&amp;content_id=26143184&amp;vkey=news_mlb&amp;c_id=mlb","Two-year contract")</f>
        <v>Two-year contract</v>
      </c>
      <c s="6" r="H134">
        <v>14000000</v>
      </c>
    </row>
    <row r="135">
      <c s="13" r="A135">
        <v>133</v>
      </c>
      <c t="str" s="23" r="B135">
        <f>hyperlink("http://www.baseball-reference.com/players/i/ishiktr01.shtml","Ishikawa, Travis")</f>
        <v>Ishikawa, Travis</v>
      </c>
      <c t="s" s="13" r="C135">
        <v>43</v>
      </c>
      <c t="s" s="13" r="D135">
        <v>29</v>
      </c>
      <c t="s" s="13" r="E135">
        <v>34</v>
      </c>
      <c s="18" r="F135">
        <v>40889</v>
      </c>
      <c t="s" s="1" r="G135">
        <v>16</v>
      </c>
      <c t="s" s="43" r="H135">
        <v>12</v>
      </c>
    </row>
    <row r="136">
      <c s="31" r="A136">
        <v>134</v>
      </c>
      <c t="str" s="36" r="B136">
        <f>hyperlink("http://www.baseball-reference.com/players/g/gonzaal02.shtml","Gonzalez, Alex")</f>
        <v>Gonzalez, Alex</v>
      </c>
      <c t="s" s="31" r="C136">
        <v>17</v>
      </c>
      <c t="s" s="31" r="D136">
        <v>10</v>
      </c>
      <c t="s" s="31" r="E136">
        <v>34</v>
      </c>
      <c s="37" r="F136">
        <v>40889</v>
      </c>
      <c t="str" s="2" r="G136">
        <f>hyperlink("http://hardballtalk.nbcsports.com/2011/12/14/alex-gonzalezs-one-year-4-25-million-deal-with-brewers-has-vesting-option-for-2013/","One-year contract with option")</f>
        <v>One-year contract with option</v>
      </c>
      <c s="6" r="H136">
        <v>4250000</v>
      </c>
    </row>
    <row r="137">
      <c s="13" r="A137">
        <v>135</v>
      </c>
      <c t="str" s="23" r="B137">
        <f>hyperlink("http://www.baseball-reference.com/players/f/francbe01.shtml","Francisco, Ben")</f>
        <v>Francisco, Ben</v>
      </c>
      <c t="s" s="13" r="C137">
        <v>19</v>
      </c>
      <c t="s" s="13" r="D137">
        <v>27</v>
      </c>
      <c t="s" s="13" r="E137">
        <v>25</v>
      </c>
      <c s="18" r="F137">
        <v>40889</v>
      </c>
      <c t="str" s="30" r="G137">
        <f>hyperlink("http://espn.go.com/mlb/story/_/id/7345212/philadelphia-phillies-trade-ben-francisco-toronto-blue-jays","Traded for minor leaguer")</f>
        <v>Traded for minor leaguer</v>
      </c>
      <c t="s" s="43" r="H137">
        <v>12</v>
      </c>
    </row>
    <row r="138">
      <c s="31" r="A138">
        <v>136</v>
      </c>
      <c t="str" s="36" r="B138">
        <f>hyperlink("http://www.baseball-reference.com/players/r/ramirar01.shtml","Ramirez, Aramis")</f>
        <v>Ramirez, Aramis</v>
      </c>
      <c t="s" s="31" r="C138">
        <v>51</v>
      </c>
      <c t="s" s="31" r="D138">
        <v>35</v>
      </c>
      <c t="s" s="31" r="E138">
        <v>34</v>
      </c>
      <c s="37" r="F138">
        <v>40889</v>
      </c>
      <c t="str" s="2" r="G138">
        <f>hyperlink("http://mlb.mlb.com/news/article.jsp?ymd=20111212&amp;content_id=26148942&amp;vkey=news_mlb&amp;c_id=mlb","Three-year contract with option")</f>
        <v>Three-year contract with option</v>
      </c>
      <c s="6" r="H138">
        <v>36000000</v>
      </c>
    </row>
    <row r="139">
      <c s="13" r="A139">
        <v>137</v>
      </c>
      <c t="str" s="23" r="B139">
        <f>hyperlink("http://www.baseball-reference.com/players/r/rowanaa01.shtml","Rowand, Aaron")</f>
        <v>Rowand, Aaron</v>
      </c>
      <c t="s" s="13" r="C139">
        <v>19</v>
      </c>
      <c t="s" s="13" r="D139">
        <v>29</v>
      </c>
      <c t="s" s="13" r="E139">
        <v>40</v>
      </c>
      <c s="18" r="F139">
        <v>40889</v>
      </c>
      <c t="s" s="1" r="G139">
        <v>16</v>
      </c>
      <c t="s" s="43" r="H139">
        <v>12</v>
      </c>
    </row>
    <row r="140">
      <c s="31" r="A140">
        <v>138</v>
      </c>
      <c t="str" s="36" r="B140">
        <f>hyperlink("http://www.baseball-reference.com/players/m/mcgehca01.shtml","McGehee, Casey")</f>
        <v>McGehee, Casey</v>
      </c>
      <c t="s" s="31" r="C140">
        <v>51</v>
      </c>
      <c t="s" s="31" r="D140">
        <v>34</v>
      </c>
      <c t="s" s="31" r="E140">
        <v>15</v>
      </c>
      <c s="37" r="F140">
        <v>40889</v>
      </c>
      <c t="str" s="30" r="G140">
        <f>hyperlink("http://milwaukee.brewers.mlb.com/news/article.jsp?ymd=20111212&amp;content_id=26153012&amp;vkey=news_mil&amp;c_id=mil","Traded for Jose Veras")</f>
        <v>Traded for Jose Veras</v>
      </c>
      <c t="s" s="6" r="H140">
        <v>12</v>
      </c>
    </row>
    <row r="141">
      <c s="13" r="A141">
        <v>139</v>
      </c>
      <c t="str" s="23" r="B141">
        <f>hyperlink("http://www.baseball-reference.com/players/v/verasjo01.shtml","Veras, Jose")</f>
        <v>Veras, Jose</v>
      </c>
      <c t="s" s="13" r="C141">
        <v>13</v>
      </c>
      <c t="s" s="13" r="D141">
        <v>15</v>
      </c>
      <c t="s" s="13" r="E141">
        <v>34</v>
      </c>
      <c s="18" r="F141">
        <v>40889</v>
      </c>
      <c t="str" s="30" r="G141">
        <f>hyperlink("http://pittsburgh.pirates.mlb.com/news/article.jsp?ymd=20111212&amp;content_id=26153020&amp;vkey=news_pit&amp;c_id=pit","Traded for Casey McGehee")</f>
        <v>Traded for Casey McGehee</v>
      </c>
      <c t="s" s="43" r="H141">
        <v>12</v>
      </c>
    </row>
    <row r="142">
      <c s="31" r="A142">
        <v>140</v>
      </c>
      <c t="str" s="36" r="B142">
        <f>hyperlink("http://www.baseball-reference.com/players/b/badenbu01.shtml","Badenhop, Burke")</f>
        <v>Badenhop, Burke</v>
      </c>
      <c t="s" s="31" r="C142">
        <v>13</v>
      </c>
      <c t="s" s="31" r="D142">
        <v>40</v>
      </c>
      <c t="s" s="31" r="E142">
        <v>48</v>
      </c>
      <c s="37" r="F142">
        <v>40889</v>
      </c>
      <c t="str" s="30" r="G142">
        <f>hyperlink("http://miami.marlins.mlb.com/news/article.jsp?ymd=20111212&amp;content_id=26152412&amp;vkey=news_mia&amp;c_id=mia","Traded for a minor leaguer")</f>
        <v>Traded for a minor leaguer</v>
      </c>
      <c t="s" s="6" r="H142">
        <v>12</v>
      </c>
    </row>
    <row r="143">
      <c s="13" r="A143">
        <v>141</v>
      </c>
      <c t="str" s="23" r="B143">
        <f>hyperlink("http://www.baseball-reference.com/players/g/grillja01.shtml","Grilli, Jason")</f>
        <v>Grilli, Jason</v>
      </c>
      <c t="s" s="13" r="C143">
        <v>13</v>
      </c>
      <c t="s" s="9" r="D143">
        <v>15</v>
      </c>
      <c t="s" s="9" r="E143">
        <v>15</v>
      </c>
      <c s="18" r="F143">
        <v>40889</v>
      </c>
      <c t="str" s="22" r="G143">
        <f>hyperlink("http://pittsburgh.pirates.mlb.com/news/article.jsp?ymd=20111212&amp;content_id=26153234&amp;vkey=news_pit&amp;c_id=pit","One-Year contract")</f>
        <v>One-Year contract</v>
      </c>
      <c s="43" r="H143">
        <v>1100000</v>
      </c>
    </row>
    <row r="144">
      <c s="31" r="A144">
        <v>142</v>
      </c>
      <c t="str" s="36" r="B144">
        <f>hyperlink("http://www.baseball-reference.com/players/r/ramirma03.shtml","Ramirez, Max")</f>
        <v>Ramirez, Max</v>
      </c>
      <c t="s" s="31" r="C144">
        <v>21</v>
      </c>
      <c t="s" s="31" r="D144">
        <v>29</v>
      </c>
      <c t="s" s="31" r="E144">
        <v>28</v>
      </c>
      <c s="37" r="F144">
        <v>40890</v>
      </c>
      <c t="s" s="1" r="G144">
        <v>16</v>
      </c>
      <c t="s" s="6" r="H144">
        <v>12</v>
      </c>
    </row>
    <row r="145">
      <c s="13" r="A145">
        <v>143</v>
      </c>
      <c t="str" s="23" r="B145">
        <f>hyperlink("http://www.baseball-reference.com/players/o/olsonga01.shtml","Olson, Garrett")</f>
        <v>Olson, Garrett</v>
      </c>
      <c t="s" s="13" r="C145">
        <v>13</v>
      </c>
      <c t="s" s="13" r="D145">
        <v>15</v>
      </c>
      <c t="s" s="13" r="E145">
        <v>38</v>
      </c>
      <c s="18" r="F145">
        <v>40890</v>
      </c>
      <c t="s" s="1" r="G145">
        <v>16</v>
      </c>
      <c t="s" s="43" r="H145">
        <v>12</v>
      </c>
    </row>
    <row r="146">
      <c s="31" r="A146">
        <v>144</v>
      </c>
      <c t="str" s="36" r="B146">
        <f>hyperlink("http://www.baseball-reference.com/players/s/shoppke01.shtml","Shoppach, Kelly")</f>
        <v>Shoppach, Kelly</v>
      </c>
      <c t="s" s="31" r="C146">
        <v>21</v>
      </c>
      <c t="s" s="31" r="D146">
        <v>48</v>
      </c>
      <c t="s" s="31" r="E146">
        <v>41</v>
      </c>
      <c s="37" r="F146">
        <v>40890</v>
      </c>
      <c t="str" s="2" r="G146">
        <f>hyperlink("http://espn.go.com/boston/mlb/story/_/id/7348080/2011-free-agency-boston-red-sox-bring-back-kelly-shoppach","One-year contract")</f>
        <v>One-year contract</v>
      </c>
      <c s="6" r="H146">
        <v>1350000</v>
      </c>
    </row>
    <row r="147">
      <c s="13" r="A147">
        <v>145</v>
      </c>
      <c t="str" s="23" r="B147">
        <f>hyperlink("http://www.baseball-reference.com/players/a/albaljo01.shtml","Albaladejo, Jonathan")</f>
        <v>Albaladejo, Jonathan</v>
      </c>
      <c t="s" s="13" r="C147">
        <v>13</v>
      </c>
      <c t="s" s="13" r="D147">
        <v>45</v>
      </c>
      <c t="s" s="13" r="E147">
        <v>18</v>
      </c>
      <c s="18" r="F147">
        <v>40890</v>
      </c>
      <c t="str" s="22" r="G147">
        <f>hyperlink("http://sports.espn.go.com/espn/wire?section=mlb&amp;id=7352170&amp;teamId=20&amp;sport=mlb","One-year contract")</f>
        <v>One-year contract</v>
      </c>
      <c s="43" r="H147">
        <v>490000</v>
      </c>
    </row>
    <row r="148">
      <c s="31" r="A148">
        <v>146</v>
      </c>
      <c t="str" s="36" r="B148">
        <f>hyperlink("http://www.baseball-reference.com/players/g/gutieju01.shtml","Gutierrez, Juan")</f>
        <v>Gutierrez, Juan</v>
      </c>
      <c t="s" s="31" r="C148">
        <v>13</v>
      </c>
      <c t="s" s="31" r="D148">
        <v>18</v>
      </c>
      <c t="s" s="31" r="E148">
        <v>28</v>
      </c>
      <c s="37" r="F148">
        <v>40890</v>
      </c>
      <c t="s" s="1" r="G148">
        <v>16</v>
      </c>
      <c t="s" s="6" r="H148">
        <v>12</v>
      </c>
    </row>
    <row r="149">
      <c s="13" r="A149">
        <v>147</v>
      </c>
      <c t="str" s="23" r="B149">
        <f>hyperlink("http://www.baseball-reference.com/players/m/maylu01.shtml","May, Lucas")</f>
        <v>May, Lucas</v>
      </c>
      <c t="s" s="13" r="C149">
        <v>21</v>
      </c>
      <c t="s" s="13" r="D149">
        <v>28</v>
      </c>
      <c t="s" s="13" r="E149">
        <v>38</v>
      </c>
      <c s="18" r="F149">
        <v>40890</v>
      </c>
      <c t="s" s="1" r="G149">
        <v>16</v>
      </c>
      <c t="s" s="43" r="H149">
        <v>12</v>
      </c>
    </row>
    <row r="150">
      <c s="31" r="A150">
        <v>148</v>
      </c>
      <c t="str" s="36" r="B150">
        <f>hyperlink("http://www.baseball-reference.com/players/g/golsogr01.shtml","Golson, Greg")</f>
        <v>Golson, Greg</v>
      </c>
      <c t="s" s="31" r="C150">
        <v>19</v>
      </c>
      <c t="s" s="31" r="D150">
        <v>45</v>
      </c>
      <c t="s" s="31" r="E150">
        <v>28</v>
      </c>
      <c s="37" r="F150">
        <v>40890</v>
      </c>
      <c t="s" s="1" r="G150">
        <v>16</v>
      </c>
      <c t="s" s="6" r="H150">
        <v>12</v>
      </c>
    </row>
    <row r="151">
      <c s="13" r="A151">
        <v>149</v>
      </c>
      <c t="str" s="23" r="B151">
        <f>hyperlink("http://www.baseball-reference.com/players/w/willido03.shtml","Willis, Dontrelle")</f>
        <v>Willis, Dontrelle</v>
      </c>
      <c t="s" s="13" r="C151">
        <v>9</v>
      </c>
      <c t="s" s="13" r="D151">
        <v>36</v>
      </c>
      <c t="s" s="13" r="E151">
        <v>27</v>
      </c>
      <c s="18" r="F151">
        <v>40890</v>
      </c>
      <c t="str" s="22" r="G151">
        <f>hyperlink("http://espn.go.com/mlb/story/_/id/7347989/2011-free-agency-cincinnati-reds-dontrelle-willis-philadelphia-phillies-agree-source-says","One-year contract")</f>
        <v>One-year contract</v>
      </c>
      <c s="43" r="H151">
        <v>1000000</v>
      </c>
    </row>
    <row r="152">
      <c s="31" r="A152">
        <v>150</v>
      </c>
      <c t="str" s="36" r="B152">
        <f>hyperlink("http://www.baseball-reference.com/players/r/ransoco01.shtml","Ransom, Cody")</f>
        <v>Ransom, Cody</v>
      </c>
      <c t="s" s="31" r="C152">
        <v>51</v>
      </c>
      <c t="s" s="9" r="D152">
        <v>18</v>
      </c>
      <c t="s" s="9" r="E152">
        <v>18</v>
      </c>
      <c s="37" r="F152">
        <v>40890</v>
      </c>
      <c t="s" s="1" r="G152">
        <v>16</v>
      </c>
      <c t="s" s="6" r="H152">
        <v>12</v>
      </c>
    </row>
    <row r="153">
      <c s="13" r="A153">
        <v>151</v>
      </c>
      <c t="str" s="23" r="B153">
        <f>hyperlink("http://www.baseball-reference.com/players/s/saitota01.shtml","Saito, Takashi")</f>
        <v>Saito, Takashi</v>
      </c>
      <c t="s" s="13" r="C153">
        <v>13</v>
      </c>
      <c t="s" s="13" r="D153">
        <v>34</v>
      </c>
      <c t="s" s="13" r="E153">
        <v>18</v>
      </c>
      <c s="18" r="F153">
        <v>40890</v>
      </c>
      <c t="str" s="22" r="G153">
        <f>hyperlink("http://hardballtalk.nbcsports.com/2011/12/13/takashi-saitos-one-year-deal-with-arizona-worth-1-75-million/","One-year contract")</f>
        <v>One-year contract</v>
      </c>
      <c s="43" r="H153">
        <v>1750000</v>
      </c>
    </row>
    <row r="154">
      <c s="46" r="A154">
        <v>152</v>
      </c>
      <c t="str" s="33" r="B154">
        <f>hyperlink("http://www.baseball-reference.com/players/s/sullico01.shtml","Sullivan, Cory")</f>
        <v>Sullivan, Cory</v>
      </c>
      <c t="s" s="46" r="C154">
        <v>19</v>
      </c>
      <c t="s" s="46" r="D154">
        <v>27</v>
      </c>
      <c t="s" s="46" r="E154">
        <v>20</v>
      </c>
      <c s="32" r="F154">
        <v>40890</v>
      </c>
      <c t="s" s="1" r="G154">
        <v>16</v>
      </c>
      <c t="s" s="48" r="H154">
        <v>12</v>
      </c>
    </row>
    <row r="155">
      <c s="13" r="A155">
        <v>153</v>
      </c>
      <c t="str" s="23" r="B155">
        <f>hyperlink("http://www.baseball-reference.com/players/c/chicoma01.shtml","Chico, Matt")</f>
        <v>Chico, Matt</v>
      </c>
      <c t="s" s="13" r="C155">
        <v>9</v>
      </c>
      <c t="s" s="13" r="D155">
        <v>24</v>
      </c>
      <c t="s" s="13" r="E155">
        <v>20</v>
      </c>
      <c s="18" r="F155">
        <v>40890</v>
      </c>
      <c t="s" s="1" r="G155">
        <v>16</v>
      </c>
      <c t="s" s="43" r="H155">
        <v>12</v>
      </c>
    </row>
    <row r="156">
      <c s="46" r="A156">
        <v>154</v>
      </c>
      <c t="str" s="33" r="B156">
        <f>hyperlink("http://www.baseball-reference.com/players/b/bardjo01.shtml","Bard, Josh")</f>
        <v>Bard, Josh</v>
      </c>
      <c t="s" s="46" r="C156">
        <v>21</v>
      </c>
      <c t="s" s="46" r="D156">
        <v>44</v>
      </c>
      <c t="s" s="46" r="E156">
        <v>20</v>
      </c>
      <c s="32" r="F156">
        <v>40890</v>
      </c>
      <c t="s" s="1" r="G156">
        <v>16</v>
      </c>
      <c t="s" s="48" r="H156">
        <v>12</v>
      </c>
    </row>
    <row r="157">
      <c s="13" r="A157">
        <v>155</v>
      </c>
      <c t="str" s="23" r="B157">
        <f>hyperlink("http://www.baseball-reference.com/players/n/nievefe01.shtml","Nieve, Fernando")</f>
        <v>Nieve, Fernando</v>
      </c>
      <c t="s" s="13" r="C157">
        <v>13</v>
      </c>
      <c t="s" s="13" r="D157">
        <v>31</v>
      </c>
      <c t="s" s="13" r="E157">
        <v>20</v>
      </c>
      <c s="18" r="F157">
        <v>40890</v>
      </c>
      <c t="s" s="1" r="G157">
        <v>16</v>
      </c>
      <c t="s" s="43" r="H157">
        <v>12</v>
      </c>
    </row>
    <row r="158">
      <c s="31" r="A158">
        <v>156</v>
      </c>
      <c t="str" s="33" r="B158">
        <f>hyperlink("http://www.baseball-reference.com/players/a/ascanjo01.shtml","Ascanio, Jose")</f>
        <v>Ascanio, Jose</v>
      </c>
      <c t="s" s="31" r="C158">
        <v>13</v>
      </c>
      <c t="s" s="31" r="D158">
        <v>15</v>
      </c>
      <c t="s" s="31" r="E158">
        <v>20</v>
      </c>
      <c s="37" r="F158">
        <v>40890</v>
      </c>
      <c t="s" s="1" r="G158">
        <v>16</v>
      </c>
      <c t="s" s="6" r="H158">
        <v>12</v>
      </c>
    </row>
    <row r="159">
      <c s="13" r="A159">
        <v>157</v>
      </c>
      <c t="str" s="23" r="B159">
        <f>hyperlink("http://www.baseball-reference.com/players/g/guzmaan01.shtml","Guzman, Angel")</f>
        <v>Guzman, Angel</v>
      </c>
      <c t="s" s="13" r="C159">
        <v>13</v>
      </c>
      <c t="s" s="13" r="D159">
        <v>35</v>
      </c>
      <c t="s" s="13" r="E159">
        <v>20</v>
      </c>
      <c s="18" r="F159">
        <v>40890</v>
      </c>
      <c t="s" s="1" r="G159">
        <v>16</v>
      </c>
      <c t="s" s="43" r="H159">
        <v>12</v>
      </c>
    </row>
    <row r="160">
      <c s="31" r="A160">
        <v>158</v>
      </c>
      <c t="str" s="33" r="B160">
        <f>hyperlink("http://www.baseball-reference.com/players/c/castial01.shtml","Castillo, Alberto")</f>
        <v>Castillo, Alberto</v>
      </c>
      <c t="s" s="31" r="C160">
        <v>21</v>
      </c>
      <c t="s" s="31" r="D160">
        <v>31</v>
      </c>
      <c t="s" s="31" r="E160">
        <v>20</v>
      </c>
      <c s="37" r="F160">
        <v>40890</v>
      </c>
      <c t="s" s="1" r="G160">
        <v>16</v>
      </c>
      <c t="s" s="6" r="H160">
        <v>12</v>
      </c>
    </row>
    <row r="161">
      <c s="13" r="A161">
        <v>159</v>
      </c>
      <c t="str" s="23" r="B161">
        <f>hyperlink("http://www.baseball-reference.com/players/t/tuckery01.shtml","Tucker, Ryan")</f>
        <v>Tucker, Ryan</v>
      </c>
      <c t="s" s="13" r="C161">
        <v>13</v>
      </c>
      <c t="s" s="13" r="D161">
        <v>14</v>
      </c>
      <c t="s" s="13" r="E161">
        <v>20</v>
      </c>
      <c s="18" r="F161">
        <v>40890</v>
      </c>
      <c t="s" s="1" r="G161">
        <v>16</v>
      </c>
      <c t="s" s="43" r="H161">
        <v>12</v>
      </c>
    </row>
    <row r="162">
      <c s="31" r="A162">
        <v>160</v>
      </c>
      <c t="str" s="33" r="B162">
        <f>hyperlink("http://www.baseball-reference.com/players/split.cgi?id=baislje01&amp;year=Career&amp;t=b","Baisley, Jeff")</f>
        <v>Baisley, Jeff</v>
      </c>
      <c t="s" s="31" r="C162">
        <v>51</v>
      </c>
      <c t="s" s="31" r="D162">
        <v>47</v>
      </c>
      <c t="s" s="31" r="E162">
        <v>20</v>
      </c>
      <c s="37" r="F162">
        <v>40890</v>
      </c>
      <c t="s" s="1" r="G162">
        <v>16</v>
      </c>
      <c t="s" s="6" r="H162">
        <v>12</v>
      </c>
    </row>
    <row r="163">
      <c s="13" r="A163">
        <v>161</v>
      </c>
      <c t="str" s="23" r="B163">
        <f>hyperlink("http://www.baseball-reference.com/players/l/lindssh01.shtml","Lindsay, Shane")</f>
        <v>Lindsay, Shane</v>
      </c>
      <c t="s" s="13" r="C163">
        <v>13</v>
      </c>
      <c t="s" s="13" r="D163">
        <v>49</v>
      </c>
      <c t="s" s="13" r="E163">
        <v>20</v>
      </c>
      <c s="18" r="F163">
        <v>40890</v>
      </c>
      <c t="s" s="1" r="G163">
        <v>16</v>
      </c>
      <c t="s" s="43" r="H163">
        <v>12</v>
      </c>
    </row>
    <row r="164">
      <c s="31" r="A164">
        <v>162</v>
      </c>
      <c t="str" s="33" r="B164">
        <f>hyperlink("http://www.baseball-reference.com/players/f/fordda03.shtml","Ford, Darren")</f>
        <v>Ford, Darren</v>
      </c>
      <c t="s" s="31" r="C164">
        <v>19</v>
      </c>
      <c t="s" s="31" r="D164">
        <v>29</v>
      </c>
      <c t="s" s="31" r="E164">
        <v>44</v>
      </c>
      <c s="37" r="F164">
        <v>40891</v>
      </c>
      <c t="s" s="1" r="G164">
        <v>16</v>
      </c>
      <c t="s" s="6" r="H164">
        <v>12</v>
      </c>
    </row>
    <row r="165">
      <c s="13" r="A165">
        <v>163</v>
      </c>
      <c t="str" s="23" r="B165">
        <f>hyperlink("http://www.baseball-reference.com/players/q/quirogu01.shtml","Quiroz, Guillermo")</f>
        <v>Quiroz, Guillermo</v>
      </c>
      <c t="s" s="13" r="C165">
        <v>21</v>
      </c>
      <c t="s" s="13" r="D165">
        <v>42</v>
      </c>
      <c t="s" s="13" r="E165">
        <v>44</v>
      </c>
      <c s="18" r="F165">
        <v>40891</v>
      </c>
      <c t="s" s="1" r="G165">
        <v>16</v>
      </c>
      <c t="s" s="43" r="H165">
        <v>12</v>
      </c>
    </row>
    <row r="166">
      <c s="31" r="A166">
        <v>164</v>
      </c>
      <c t="str" s="33" r="B166">
        <f>hyperlink("http://www.baseball-reference.com/players/k/kinnejo01.shtml","Kinney, Josh")</f>
        <v>Kinney, Josh</v>
      </c>
      <c t="s" s="31" r="C166">
        <v>13</v>
      </c>
      <c t="s" s="31" r="D166">
        <v>49</v>
      </c>
      <c t="s" s="31" r="E166">
        <v>44</v>
      </c>
      <c s="37" r="F166">
        <v>40891</v>
      </c>
      <c t="s" s="1" r="G166">
        <v>16</v>
      </c>
      <c t="s" s="6" r="H166">
        <v>12</v>
      </c>
    </row>
    <row r="167">
      <c s="13" r="A167">
        <v>165</v>
      </c>
      <c t="str" s="23" r="B167">
        <f>hyperlink("http://www.baseball-reference.com/players/m/marquje01.shtml","Marquez, Jeff")</f>
        <v>Marquez, Jeff</v>
      </c>
      <c t="s" s="13" r="C167">
        <v>13</v>
      </c>
      <c t="s" s="13" r="D167">
        <v>45</v>
      </c>
      <c t="s" s="13" r="E167">
        <v>44</v>
      </c>
      <c s="18" r="F167">
        <v>40891</v>
      </c>
      <c t="s" s="1" r="G167">
        <v>16</v>
      </c>
      <c t="s" s="43" r="H167">
        <v>12</v>
      </c>
    </row>
    <row r="168">
      <c s="31" r="A168">
        <v>166</v>
      </c>
      <c t="str" s="33" r="B168">
        <f>hyperlink("http://www.baseball-reference.com/players/p/pattesc01.shtml","Patterson, Scott")</f>
        <v>Patterson, Scott</v>
      </c>
      <c t="s" s="31" r="C168">
        <v>13</v>
      </c>
      <c t="s" s="9" r="D168">
        <v>44</v>
      </c>
      <c t="s" s="9" r="E168">
        <v>44</v>
      </c>
      <c s="37" r="F168">
        <v>40891</v>
      </c>
      <c t="s" s="1" r="G168">
        <v>16</v>
      </c>
      <c t="s" s="6" r="H168">
        <v>12</v>
      </c>
    </row>
    <row r="169">
      <c s="13" r="A169">
        <v>167</v>
      </c>
      <c t="str" s="23" r="B169">
        <f>hyperlink("http://www.baseball-reference.com/players/l/lowrije01.shtml","Lowrie, Jed")</f>
        <v>Lowrie, Jed</v>
      </c>
      <c t="s" s="13" r="C169">
        <v>17</v>
      </c>
      <c t="s" s="13" r="D169">
        <v>41</v>
      </c>
      <c t="s" s="13" r="E169">
        <v>31</v>
      </c>
      <c s="18" r="F169">
        <v>40891</v>
      </c>
      <c t="str" s="30" r="G169">
        <f>hyperlink("http://mlb.mlb.com/news/article.jsp?ymd=20111214&amp;content_id=26162792&amp;vkey=news_mlb&amp;c_id=mlb","Traded with Kyle Weiland for Mark Melancon")</f>
        <v>Traded with Kyle Weiland for Mark Melancon</v>
      </c>
      <c t="s" s="43" r="H169">
        <v>12</v>
      </c>
    </row>
    <row r="170">
      <c s="31" r="A170">
        <v>168</v>
      </c>
      <c t="str" s="33" r="B170">
        <f>hyperlink("http://www.baseball-reference.com/players/w/weilaky01.shtml","Weiland, Kyle")</f>
        <v>Weiland, Kyle</v>
      </c>
      <c t="s" s="31" r="C170">
        <v>9</v>
      </c>
      <c t="s" s="31" r="D170">
        <v>41</v>
      </c>
      <c t="s" s="31" r="E170">
        <v>31</v>
      </c>
      <c s="37" r="F170">
        <v>40891</v>
      </c>
      <c t="str" s="30" r="G170">
        <f>hyperlink("http://mlb.mlb.com/news/article.jsp?ymd=20111214&amp;content_id=26162792&amp;vkey=news_mlb&amp;c_id=mlb","Traded with Jed Lowrie for Mark Melancon")</f>
        <v>Traded with Jed Lowrie for Mark Melancon</v>
      </c>
      <c t="s" s="6" r="H170">
        <v>12</v>
      </c>
    </row>
    <row r="171">
      <c s="13" r="A171">
        <v>169</v>
      </c>
      <c t="str" s="23" r="B171">
        <f>hyperlink("http://www.baseball-reference.com/players/m/melanma01.shtml","Melancon, Mark")</f>
        <v>Melancon, Mark</v>
      </c>
      <c t="s" s="13" r="C171">
        <v>13</v>
      </c>
      <c t="s" s="13" r="D171">
        <v>31</v>
      </c>
      <c t="s" s="13" r="E171">
        <v>41</v>
      </c>
      <c s="18" r="F171">
        <v>40891</v>
      </c>
      <c t="str" s="30" r="G171">
        <f>hyperlink("http://mlb.mlb.com/news/article.jsp?ymd=20111214&amp;content_id=26162792&amp;vkey=news_mlb&amp;c_id=mlb","Traded for Jed Lowrie &amp; Kyle Weiland")</f>
        <v>Traded for Jed Lowrie &amp; Kyle Weiland</v>
      </c>
      <c t="s" s="43" r="H171">
        <v>12</v>
      </c>
    </row>
    <row r="172">
      <c s="31" r="A172">
        <v>170</v>
      </c>
      <c t="str" s="36" r="B172">
        <f>hyperlink("http://www.baseball-reference.com/players/p/puntoni01.shtml","Punto, Nick")</f>
        <v>Punto, Nick</v>
      </c>
      <c t="s" s="31" r="C172">
        <v>39</v>
      </c>
      <c t="s" s="31" r="D172">
        <v>46</v>
      </c>
      <c t="s" s="31" r="E172">
        <v>41</v>
      </c>
      <c s="37" r="F172">
        <v>40891</v>
      </c>
      <c t="str" s="2" r="G172">
        <f>hyperlink("http://mlb.mlb.com/news/article.jsp?ymd=20111214&amp;content_id=26166940&amp;vkey=news_bos&amp;c_id=bos","Two-year contract")</f>
        <v>Two-year contract</v>
      </c>
      <c s="6" r="H172">
        <v>3000000</v>
      </c>
    </row>
    <row r="173">
      <c s="13" r="A173">
        <v>171</v>
      </c>
      <c t="str" s="23" r="B173">
        <f>hyperlink("http://www.baseball-reference.com/minors/player.cgi?id=wada--001tsu","Wada, Tsuyoshi")</f>
        <v>Wada, Tsuyoshi</v>
      </c>
      <c t="s" s="13" r="C173">
        <v>9</v>
      </c>
      <c t="s" s="13" r="D173">
        <v>52</v>
      </c>
      <c t="s" s="13" r="E173">
        <v>33</v>
      </c>
      <c s="18" r="F173">
        <v>40891</v>
      </c>
      <c t="str" s="22" r="G173">
        <f>hyperlink("http://mlb.mlb.com/news/article.jsp?ymd=20111214&amp;content_id=26160612&amp;vkey=news_mlb&amp;c_id=mlb","Two-year contract with option")</f>
        <v>Two-year contract with option</v>
      </c>
      <c s="43" r="H173">
        <v>8150000</v>
      </c>
    </row>
    <row r="174">
      <c s="31" r="A174">
        <v>172</v>
      </c>
      <c t="str" s="36" r="B174">
        <f>hyperlink("http://www.baseball-reference.com/players/r/rauchjo01.shtml","Rauch, Jon")</f>
        <v>Rauch, Jon</v>
      </c>
      <c t="s" s="31" r="C174">
        <v>13</v>
      </c>
      <c t="s" s="31" r="D174">
        <v>25</v>
      </c>
      <c t="s" s="31" r="E174">
        <v>38</v>
      </c>
      <c s="37" r="F174">
        <v>40891</v>
      </c>
      <c t="str" s="2" r="G174">
        <f>hyperlink("http://mlb.mlb.com/news/article.jsp?ymd=20111206&amp;content_id=26112382&amp;vkey=news_mlb&amp;c_id=mlb","One-year contract")</f>
        <v>One-year contract</v>
      </c>
      <c s="6" r="H174">
        <v>3500000</v>
      </c>
    </row>
    <row r="175">
      <c s="13" r="A175">
        <v>173</v>
      </c>
      <c t="str" s="23" r="B175">
        <f>hyperlink("http://www.baseball-reference.com/players/g/gimench01.shtml","Gimenez, Chris")</f>
        <v>Gimenez, Chris</v>
      </c>
      <c t="s" s="13" r="C175">
        <v>21</v>
      </c>
      <c t="s" s="9" r="D175">
        <v>44</v>
      </c>
      <c t="s" s="9" r="E175">
        <v>44</v>
      </c>
      <c s="18" r="F175">
        <v>40891</v>
      </c>
      <c t="str" s="22" r="G175">
        <f>hyperlink("http://mlb.mlb.com/news/article.jsp?ymd=20111214&amp;content_id=26169866&amp;vkey=news_mlb&amp;c_id=mlb","One-year contract")</f>
        <v>One-year contract</v>
      </c>
      <c s="43" r="H175">
        <v>480000</v>
      </c>
    </row>
    <row r="176">
      <c s="31" r="A176">
        <v>174</v>
      </c>
      <c t="str" s="33" r="B176">
        <f>hyperlink("http://www.baseball-reference.com/players/h/hawkila01.shtml","Hawkins, LaTroy")</f>
        <v>Hawkins, LaTroy</v>
      </c>
      <c t="s" s="31" r="C176">
        <v>13</v>
      </c>
      <c t="s" s="31" r="D176">
        <v>34</v>
      </c>
      <c t="s" s="31" r="E176">
        <v>47</v>
      </c>
      <c s="37" r="F176">
        <v>40891</v>
      </c>
      <c t="str" s="42" r="G176">
        <f>hyperlink("http://espn.go.com/los-angeles/mlb/story/_/id/7329112/los-angeles-angels-latroy-hawkins-agree-one-year-deal-source-says","One-year contract")</f>
        <v>One-year contract</v>
      </c>
      <c s="6" r="H176">
        <v>3000000</v>
      </c>
    </row>
    <row r="177">
      <c s="13" r="A177">
        <v>175</v>
      </c>
      <c t="str" s="23" r="B177">
        <f>hyperlink("http://www.baseball-reference.com/players/w/willijo03.shtml","Willingham, Josh")</f>
        <v>Willingham, Josh</v>
      </c>
      <c t="s" s="13" r="C177">
        <v>19</v>
      </c>
      <c t="s" s="13" r="D177">
        <v>23</v>
      </c>
      <c t="s" s="13" r="E177">
        <v>37</v>
      </c>
      <c s="18" r="F177">
        <v>40892</v>
      </c>
      <c t="str" s="22" r="G177">
        <f>hyperlink("http://espn.go.com/mlb/story/_/id/7355732/2011-mlb-free-agency-josh-willingham-minnesota-twins-deal-3-years-21m","Three-year contract")</f>
        <v>Three-year contract</v>
      </c>
      <c s="43" r="H177">
        <v>21000000</v>
      </c>
    </row>
    <row r="178">
      <c s="31" r="A178">
        <v>176</v>
      </c>
      <c t="str" s="33" r="B178">
        <f>hyperlink("http://www.baseball-reference.com/players/j/jamesch03.shtml","James, Chuck")</f>
        <v>James, Chuck</v>
      </c>
      <c t="s" s="31" r="C178">
        <v>13</v>
      </c>
      <c t="s" s="31" r="D178">
        <v>37</v>
      </c>
      <c t="s" s="31" r="E178">
        <v>38</v>
      </c>
      <c s="37" r="F178">
        <v>40892</v>
      </c>
      <c t="s" s="1" r="G178">
        <v>16</v>
      </c>
      <c t="s" s="6" r="H178">
        <v>12</v>
      </c>
    </row>
    <row r="179">
      <c s="13" r="A179">
        <v>177</v>
      </c>
      <c t="str" s="23" r="B179">
        <f>hyperlink("http://www.baseball-reference.com/players/r/romerj.01.shtml","Romero, J.C.")</f>
        <v>Romero, J.C.</v>
      </c>
      <c t="s" s="13" r="C179">
        <v>13</v>
      </c>
      <c t="s" s="13" r="D179">
        <v>22</v>
      </c>
      <c t="s" s="13" r="E179">
        <v>46</v>
      </c>
      <c s="18" r="F179">
        <v>40892</v>
      </c>
      <c t="str" s="22" r="G179">
        <f>hyperlink("http://sportsillustrated.cnn.com/2011/baseball/mlb/wires/12/16/2010.ap.bbn.cardinals.romero.1st.ld.writethru.0154/","One-year contract")</f>
        <v>One-year contract</v>
      </c>
      <c s="43" r="H179">
        <v>750000</v>
      </c>
    </row>
    <row r="180">
      <c s="31" r="A180">
        <v>178</v>
      </c>
      <c t="str" s="36" r="B180">
        <f>hyperlink("http://www.baseball-reference.com/players/w/whiteel03.shtml","Whiteside, Eli")</f>
        <v>Whiteside, Eli</v>
      </c>
      <c t="s" s="31" r="C180">
        <v>21</v>
      </c>
      <c t="s" s="9" r="D180">
        <v>29</v>
      </c>
      <c t="s" s="9" r="E180">
        <v>29</v>
      </c>
      <c s="37" r="F180">
        <v>40892</v>
      </c>
      <c t="s" s="1" r="G180">
        <v>16</v>
      </c>
      <c t="s" s="6" r="H180">
        <v>12</v>
      </c>
    </row>
    <row r="181">
      <c s="13" r="A181">
        <v>179</v>
      </c>
      <c t="str" s="23" r="B181">
        <f>hyperlink("http://www.baseball-reference.com/players/f/fulchje01.shtml","Fulchino, Jeff")</f>
        <v>Fulchino, Jeff</v>
      </c>
      <c t="s" s="13" r="C181">
        <v>13</v>
      </c>
      <c t="s" s="13" r="D181">
        <v>42</v>
      </c>
      <c t="s" s="13" r="E181">
        <v>24</v>
      </c>
      <c s="18" r="F181">
        <v>40892</v>
      </c>
      <c t="s" s="1" r="G181">
        <v>16</v>
      </c>
      <c t="s" s="43" r="H181">
        <v>12</v>
      </c>
    </row>
    <row r="182">
      <c s="31" r="A182">
        <v>180</v>
      </c>
      <c t="str" s="36" r="B182">
        <f>hyperlink("http://www.baseball-reference.com/players/c/cuddymi01.shtml","Cuddyer, Michael")</f>
        <v>Cuddyer, Michael</v>
      </c>
      <c t="s" s="31" r="C182">
        <v>19</v>
      </c>
      <c t="s" s="31" r="D182">
        <v>37</v>
      </c>
      <c t="s" s="31" r="E182">
        <v>22</v>
      </c>
      <c s="37" r="F182">
        <v>40893</v>
      </c>
      <c t="str" s="2" r="G182">
        <f>hyperlink("http://mlb.mlb.com/news/article.jsp?ymd=20111215&amp;content_id=26177782&amp;vkey=news_mlb&amp;c_id=mlb","Three-year contract")</f>
        <v>Three-year contract</v>
      </c>
      <c s="6" r="H182">
        <v>31500000</v>
      </c>
    </row>
    <row r="183">
      <c s="13" r="A183">
        <v>181</v>
      </c>
      <c t="str" s="45" r="B183">
        <f>hyperlink("http://www.baseball-reference.com/players/b/baxtemi01.shtml","Baxter, Mike")</f>
        <v>Baxter, Mike</v>
      </c>
      <c t="s" s="13" r="C183">
        <v>19</v>
      </c>
      <c t="s" s="9" r="D183">
        <v>38</v>
      </c>
      <c t="s" s="9" r="E183">
        <v>38</v>
      </c>
      <c s="18" r="F183">
        <v>40893</v>
      </c>
      <c t="s" s="1" r="G183">
        <v>16</v>
      </c>
      <c t="s" s="43" r="H183">
        <v>12</v>
      </c>
    </row>
    <row r="184">
      <c s="31" r="A184">
        <v>182</v>
      </c>
      <c t="str" s="44" r="B184">
        <f>hyperlink("http://www.baseball-reference.com/players/l/lopezjo01.shtml","Lopez, Jose")</f>
        <v>Lopez, Jose</v>
      </c>
      <c t="s" s="31" r="C184">
        <v>51</v>
      </c>
      <c t="s" s="31" r="D184">
        <v>40</v>
      </c>
      <c t="s" s="31" r="E184">
        <v>11</v>
      </c>
      <c s="37" r="F184">
        <v>40893</v>
      </c>
      <c t="s" s="1" r="G184">
        <v>16</v>
      </c>
      <c t="s" s="6" r="H184">
        <v>12</v>
      </c>
    </row>
    <row r="185">
      <c s="13" r="A185">
        <v>183</v>
      </c>
      <c t="str" s="45" r="B185">
        <f>hyperlink("http://www.baseball-reference.com/players/p/piefe01.shtml","Pie, Felix")</f>
        <v>Pie, Felix</v>
      </c>
      <c t="s" s="13" r="C185">
        <v>19</v>
      </c>
      <c t="s" s="13" r="D185">
        <v>33</v>
      </c>
      <c t="s" s="13" r="E185">
        <v>11</v>
      </c>
      <c s="18" r="F185">
        <v>40893</v>
      </c>
      <c t="s" s="1" r="G185">
        <v>16</v>
      </c>
      <c t="s" s="43" r="H185">
        <v>12</v>
      </c>
    </row>
    <row r="186">
      <c s="31" r="A186">
        <v>184</v>
      </c>
      <c t="str" s="44" r="B186">
        <f>hyperlink("http://www.baseball-reference.com/players/c/cunniaa01.shtml","Cunningham, Aaron")</f>
        <v>Cunningham, Aaron</v>
      </c>
      <c t="s" s="31" r="C186">
        <v>19</v>
      </c>
      <c t="s" s="31" r="D186">
        <v>42</v>
      </c>
      <c t="s" s="31" r="E186">
        <v>11</v>
      </c>
      <c s="37" r="F186">
        <v>40893</v>
      </c>
      <c t="str" s="30" r="G186">
        <f>hyperlink("http://mlb.mlb.com/news/article.jsp?ymd=20111216&amp;content_id=26184830&amp;vkey=news_mlb&amp;c_id=mlb","Traded for a minor leaguer")</f>
        <v>Traded for a minor leaguer</v>
      </c>
      <c t="s" s="6" r="H186">
        <v>12</v>
      </c>
    </row>
    <row r="187">
      <c s="13" r="A187">
        <v>185</v>
      </c>
      <c t="str" s="23" r="B187">
        <f>hyperlink("http://www.baseball-reference.com/players/b/blancan01.shtml","Blanco, Andres")</f>
        <v>Blanco, Andres</v>
      </c>
      <c t="s" s="13" r="C187">
        <v>17</v>
      </c>
      <c t="s" s="13" r="D187">
        <v>14</v>
      </c>
      <c t="s" s="13" r="E187">
        <v>24</v>
      </c>
      <c s="18" r="F187">
        <v>40893</v>
      </c>
      <c t="s" s="1" r="G187">
        <v>16</v>
      </c>
      <c t="s" s="43" r="H187">
        <v>12</v>
      </c>
    </row>
    <row r="188">
      <c s="31" r="A188">
        <v>186</v>
      </c>
      <c t="str" s="36" r="B188">
        <f>hyperlink("http://www.baseball-reference.com/players/r/richaan01.shtml","Richardson, Antoan")</f>
        <v>Richardson, Antoan</v>
      </c>
      <c t="s" s="31" r="C188">
        <v>19</v>
      </c>
      <c t="s" s="31" r="D188">
        <v>10</v>
      </c>
      <c t="s" s="31" r="E188">
        <v>33</v>
      </c>
      <c s="37" r="F188">
        <v>40893</v>
      </c>
      <c t="s" s="1" r="G188">
        <v>16</v>
      </c>
      <c t="s" s="6" r="H188">
        <v>12</v>
      </c>
    </row>
    <row r="189">
      <c s="13" r="A189">
        <v>187</v>
      </c>
      <c t="str" s="23" r="B189">
        <f>hyperlink("http://www.baseball-reference.com/players/n/nievewi01.shtml","Nieves, Wil")</f>
        <v>Nieves, Wil</v>
      </c>
      <c t="s" s="13" r="C189">
        <v>21</v>
      </c>
      <c t="s" s="13" r="D189">
        <v>10</v>
      </c>
      <c t="s" s="13" r="E189">
        <v>22</v>
      </c>
      <c s="18" r="F189">
        <v>40894</v>
      </c>
      <c t="s" s="1" r="G189">
        <v>16</v>
      </c>
      <c t="s" s="43" r="H189">
        <v>12</v>
      </c>
    </row>
    <row r="190">
      <c s="31" r="A190">
        <v>188</v>
      </c>
      <c t="str" s="17" r="B190">
        <f>hyperlink("http://www.baseball-reference.com/players/a/alonsyo01.shtml","Alonso, Yonder")</f>
        <v>Alonso, Yonder</v>
      </c>
      <c t="s" s="31" r="C190">
        <v>19</v>
      </c>
      <c t="s" s="31" r="D190">
        <v>36</v>
      </c>
      <c t="s" s="31" r="E190">
        <v>42</v>
      </c>
      <c s="37" r="F190">
        <v>40894</v>
      </c>
      <c t="str" s="30" r="G190">
        <f>hyperlink("http://mlb.mlb.com/news/article.jsp?ymd=20111217&amp;content_id=26190592&amp;vkey=news_sd&amp;c_id=sd&amp;partnerId=rss_sd","Traded w Volquez &amp; 2 minor leaguers for Matt Latos")</f>
        <v>Traded w Volquez &amp; 2 minor leaguers for Matt Latos</v>
      </c>
      <c t="s" s="6" r="H190">
        <v>12</v>
      </c>
    </row>
    <row r="191">
      <c s="13" r="A191">
        <v>189</v>
      </c>
      <c t="str" s="45" r="B191">
        <f>hyperlink("http://www.baseball-reference.com/players/v/volqued01.shtml","Volquez, Edinson")</f>
        <v>Volquez, Edinson</v>
      </c>
      <c t="s" s="13" r="C191">
        <v>9</v>
      </c>
      <c t="s" s="13" r="D191">
        <v>36</v>
      </c>
      <c t="s" s="13" r="E191">
        <v>42</v>
      </c>
      <c s="18" r="F191">
        <v>40894</v>
      </c>
      <c t="str" s="30" r="G191">
        <f>hyperlink("http://mlb.mlb.com/news/article.jsp?ymd=20111217&amp;content_id=26190592&amp;vkey=news_sd&amp;c_id=sd&amp;partnerId=rss_sd","Traded w Alonso &amp; 2 minor leaguers for Matt Latos")</f>
        <v>Traded w Alonso &amp; 2 minor leaguers for Matt Latos</v>
      </c>
      <c t="s" s="43" r="H191">
        <v>12</v>
      </c>
    </row>
    <row r="192">
      <c s="31" r="A192">
        <v>190</v>
      </c>
      <c t="str" s="33" r="B192">
        <f>hyperlink("http://www.baseball-reference.com/players/l/latosma01.shtml","Latos, Mat")</f>
        <v>Latos, Mat</v>
      </c>
      <c t="s" s="31" r="C192">
        <v>9</v>
      </c>
      <c t="s" s="31" r="D192">
        <v>42</v>
      </c>
      <c t="s" s="31" r="E192">
        <v>36</v>
      </c>
      <c s="37" r="F192">
        <v>40894</v>
      </c>
      <c t="str" s="30" r="G192">
        <f>hyperlink("http://mlb.mlb.com/news/article.jsp?ymd=20111217&amp;content_id=26190592&amp;vkey=news_sd&amp;c_id=sd&amp;partnerId=rss_sd","Traded for Volquez, Alonso &amp; 2 minor leaguers")</f>
        <v>Traded for Volquez, Alonso &amp; 2 minor leaguers</v>
      </c>
      <c t="s" s="6" r="H192">
        <v>12</v>
      </c>
    </row>
    <row r="193">
      <c s="13" r="A193">
        <v>191</v>
      </c>
      <c t="str" s="45" r="B193">
        <f>hyperlink("http://www.baseball-reference.com/players/r/rolliji01.shtml","Rollins, Jimmy")</f>
        <v>Rollins, Jimmy</v>
      </c>
      <c t="s" s="13" r="C193">
        <v>17</v>
      </c>
      <c t="s" s="9" r="D193">
        <v>27</v>
      </c>
      <c t="s" s="9" r="E193">
        <v>27</v>
      </c>
      <c s="18" r="F193">
        <v>40894</v>
      </c>
      <c t="str" s="22" r="G193">
        <f>hyperlink("http://espn.go.com/mlb/story/_/id/7362574/2011-mlb-free-agency-jimmy-rollins-philadelphia-phillies-agree-three-year-33m-deal-source-says","Three-year contract with option")</f>
        <v>Three-year contract with option</v>
      </c>
      <c s="43" r="H193">
        <v>33000000</v>
      </c>
    </row>
    <row r="194">
      <c s="31" r="A194">
        <v>192</v>
      </c>
      <c t="str" s="36" r="B194">
        <f>hyperlink("http://www.baseball-reference.com/players/f/francfr01.shtml","Francisco, Frank")</f>
        <v>Francisco, Frank</v>
      </c>
      <c t="s" s="31" r="C194">
        <v>13</v>
      </c>
      <c t="s" s="31" r="D194">
        <v>25</v>
      </c>
      <c t="s" s="31" r="E194">
        <v>38</v>
      </c>
      <c s="37" r="F194">
        <v>40896</v>
      </c>
      <c t="str" s="2" r="G194">
        <f>hyperlink("http://espn.go.com/new-york/mlb/story/_/id/7369195/frank-francisco-signs-2-year-contract-new-york-mets","Two-year contract")</f>
        <v>Two-year contract</v>
      </c>
      <c s="6" r="H194">
        <v>12000000</v>
      </c>
    </row>
    <row r="195">
      <c s="13" r="A195">
        <v>193</v>
      </c>
      <c t="str" s="23" r="B195">
        <f>hyperlink("http://www.baseball-reference.com/players/k/kubelja01.shtml","Kubel, Jason")</f>
        <v>Kubel, Jason</v>
      </c>
      <c t="s" s="13" r="C195">
        <v>19</v>
      </c>
      <c t="s" s="13" r="D195">
        <v>37</v>
      </c>
      <c t="s" s="13" r="E195">
        <v>18</v>
      </c>
      <c s="18" r="F195">
        <v>40896</v>
      </c>
      <c t="str" s="22" r="G195">
        <f>hyperlink("http://msn.foxsports.com/mlb/story/arizona-diamondbacks-reach-deal-with-jason-kubel-source-121911","Two-year contract with option")</f>
        <v>Two-year contract with option</v>
      </c>
      <c s="43" r="H195">
        <v>15000000</v>
      </c>
    </row>
    <row r="196">
      <c s="31" r="A196">
        <v>194</v>
      </c>
      <c t="str" s="17" r="B196">
        <f>hyperlink("http://www.baseball-reference.com/players/c/camermi01.shtml","Cameron, Mike")</f>
        <v>Cameron, Mike</v>
      </c>
      <c t="s" s="31" r="C196">
        <v>19</v>
      </c>
      <c t="s" s="31" r="D196">
        <v>40</v>
      </c>
      <c t="s" s="31" r="E196">
        <v>24</v>
      </c>
      <c s="37" r="F196">
        <v>40896</v>
      </c>
      <c t="s" s="1" r="G196">
        <v>16</v>
      </c>
      <c t="s" s="6" r="H196">
        <v>12</v>
      </c>
    </row>
    <row r="197">
      <c s="13" r="A197">
        <v>195</v>
      </c>
      <c t="str" s="45" r="B197">
        <f>hyperlink("http://www.baseball-reference.com/players/b/betanyu01.shtml","Betancourt, Yuniesky")</f>
        <v>Betancourt, Yuniesky</v>
      </c>
      <c t="s" s="13" r="C197">
        <v>17</v>
      </c>
      <c t="s" s="13" r="D197">
        <v>34</v>
      </c>
      <c t="s" s="13" r="E197">
        <v>28</v>
      </c>
      <c s="18" r="F197">
        <v>40897</v>
      </c>
      <c t="str" s="22" r="G197">
        <f>hyperlink("http://www.kansascity.com/2011/12/20/3330163/royals.html","One-year contract")</f>
        <v>One-year contract</v>
      </c>
      <c s="43" r="H197">
        <v>2000000</v>
      </c>
    </row>
    <row r="198">
      <c s="31" r="A198">
        <v>196</v>
      </c>
      <c t="str" s="17" r="B198">
        <f>hyperlink("http://www.baseball-reference.com/players/c/chaveen01.shtml","Chavez, Endy")</f>
        <v>Chavez, Endy</v>
      </c>
      <c t="s" s="31" r="C198">
        <v>19</v>
      </c>
      <c t="s" s="31" r="D198">
        <v>14</v>
      </c>
      <c t="s" s="31" r="E198">
        <v>33</v>
      </c>
      <c s="37" r="F198">
        <v>40897</v>
      </c>
      <c t="str" s="2" r="G198">
        <f>hyperlink("http://hardballtalk.nbcsports.com/2011/12/20/endy-chavezs-one-year-deal-with-orioles-worth-1-5-million/","One-year contract")</f>
        <v>One-year contract</v>
      </c>
      <c s="6" r="H198">
        <v>1500000</v>
      </c>
    </row>
    <row r="199">
      <c s="13" r="A199">
        <v>197</v>
      </c>
      <c t="str" s="45" r="B199">
        <f>hyperlink("http://www.baseball-reference.com/players/i/igarary01.shtml","Igarashi, Ryota")</f>
        <v>Igarashi, Ryota</v>
      </c>
      <c t="s" s="13" r="C199">
        <v>13</v>
      </c>
      <c t="s" s="13" r="D199">
        <v>38</v>
      </c>
      <c t="s" s="13" r="E199">
        <v>15</v>
      </c>
      <c s="18" r="F199">
        <v>40897</v>
      </c>
      <c t="s" s="1" r="G199">
        <v>16</v>
      </c>
      <c t="s" s="43" r="H199">
        <v>12</v>
      </c>
    </row>
    <row r="200">
      <c s="31" r="A200">
        <v>198</v>
      </c>
      <c t="str" s="17" r="B200">
        <f>hyperlink("http://www.baseball-reference.com/players/j/joaquwa01.shtml","Joaquin, Waldis")</f>
        <v>Joaquin, Waldis</v>
      </c>
      <c t="s" s="31" r="C200">
        <v>13</v>
      </c>
      <c t="s" s="31" r="D200">
        <v>29</v>
      </c>
      <c t="s" s="31" r="E200">
        <v>24</v>
      </c>
      <c s="37" r="F200">
        <v>40897</v>
      </c>
      <c t="s" s="1" r="G200">
        <v>16</v>
      </c>
      <c t="s" s="6" r="H200">
        <v>12</v>
      </c>
    </row>
    <row r="201">
      <c s="13" r="A201">
        <v>199</v>
      </c>
      <c t="str" s="45" r="B201">
        <f>hyperlink("http://www.baseball-reference.com/players/p/paulxa01.shtml","Paul, Xavier")</f>
        <v>Paul, Xavier</v>
      </c>
      <c t="s" s="13" r="C201">
        <v>19</v>
      </c>
      <c t="s" s="13" r="D201">
        <v>15</v>
      </c>
      <c t="s" s="13" r="E201">
        <v>24</v>
      </c>
      <c s="18" r="F201">
        <v>40897</v>
      </c>
      <c t="s" s="1" r="G201">
        <v>16</v>
      </c>
      <c t="s" s="43" r="H201">
        <v>12</v>
      </c>
    </row>
    <row r="202">
      <c s="31" r="A202">
        <v>200</v>
      </c>
      <c t="str" s="17" r="B202">
        <f>hyperlink("http://www.baseball-reference.com/players/c/clemeje01.shtml","Clement, Jeff")</f>
        <v>Clement, Jeff</v>
      </c>
      <c t="s" s="31" r="C202">
        <v>43</v>
      </c>
      <c t="s" s="9" r="D202">
        <v>15</v>
      </c>
      <c t="s" s="9" r="E202">
        <v>15</v>
      </c>
      <c s="37" r="F202">
        <v>40897</v>
      </c>
      <c t="s" s="1" r="G202">
        <v>16</v>
      </c>
      <c t="s" s="6" r="H202">
        <v>12</v>
      </c>
    </row>
    <row r="203">
      <c s="13" r="A203">
        <v>201</v>
      </c>
      <c t="str" s="45" r="B203">
        <f>hyperlink("http://www.baseball-reference.com/players/t/tracych01.shtml","Tracy, Chad")</f>
        <v>Tracy, Chad</v>
      </c>
      <c t="s" s="13" r="C203">
        <v>51</v>
      </c>
      <c t="s" s="13" r="D203">
        <v>40</v>
      </c>
      <c t="s" s="13" r="E203">
        <v>24</v>
      </c>
      <c s="18" r="F203">
        <v>40897</v>
      </c>
      <c t="s" s="1" r="G203">
        <v>16</v>
      </c>
      <c t="s" s="43" r="H203">
        <v>12</v>
      </c>
    </row>
    <row r="204">
      <c s="31" r="A204">
        <v>202</v>
      </c>
      <c t="str" s="17" r="B204">
        <f>hyperlink("http://www.baseball-reference.com/players/h/hoffpja01.shtml","Hoffpauir, Jarrett")</f>
        <v>Hoffpauir, Jarrett</v>
      </c>
      <c t="s" s="31" r="C204">
        <v>51</v>
      </c>
      <c t="s" s="31" r="D204">
        <v>42</v>
      </c>
      <c t="s" s="31" r="E204">
        <v>24</v>
      </c>
      <c s="37" r="F204">
        <v>40897</v>
      </c>
      <c t="s" s="1" r="G204">
        <v>16</v>
      </c>
      <c t="s" s="6" r="H204">
        <v>12</v>
      </c>
    </row>
    <row r="205">
      <c s="13" r="A205">
        <v>203</v>
      </c>
      <c t="str" s="23" r="B205">
        <f>hyperlink("http://www.baseball-reference.com/players/b/blakeca01.shtml","Blake, Casey")</f>
        <v>Blake, Casey</v>
      </c>
      <c t="s" s="13" r="C205">
        <v>51</v>
      </c>
      <c t="s" s="13" r="D205">
        <v>20</v>
      </c>
      <c t="s" s="13" r="E205">
        <v>22</v>
      </c>
      <c s="18" r="F205">
        <v>40897</v>
      </c>
      <c t="str" s="22" r="G205">
        <f>hyperlink("http://espn.go.com/mlb/story/_/id/7374022/rockies-dan-odowd-says-michael-cuddyer-perfect-fit-colorado","One-year contract")</f>
        <v>One-year contract</v>
      </c>
      <c s="43" r="H205">
        <v>2000000</v>
      </c>
    </row>
    <row r="206">
      <c s="31" r="A206">
        <v>204</v>
      </c>
      <c t="str" s="17" r="B206">
        <f>hyperlink("http://www.baseball-reference.com/players/h/hermije01.shtml","Hermida, Jeremy")</f>
        <v>Hermida, Jeremy</v>
      </c>
      <c t="s" s="31" r="C206">
        <v>19</v>
      </c>
      <c t="s" s="9" r="D206">
        <v>42</v>
      </c>
      <c t="s" s="9" r="E206">
        <v>42</v>
      </c>
      <c s="37" r="F206">
        <v>40898</v>
      </c>
      <c t="s" s="1" r="G206">
        <v>16</v>
      </c>
      <c s="6" r="H206"/>
    </row>
    <row r="207">
      <c s="13" r="A207">
        <v>205</v>
      </c>
      <c t="str" s="45" r="B207">
        <f>hyperlink("http://www.baseball-reference.com/players/i/izturce01.shtml","Izturis, Cesar")</f>
        <v>Izturis, Cesar</v>
      </c>
      <c t="s" s="13" r="C207">
        <v>17</v>
      </c>
      <c t="s" s="13" r="D207">
        <v>33</v>
      </c>
      <c t="s" s="13" r="E207">
        <v>34</v>
      </c>
      <c s="18" r="F207">
        <v>40898</v>
      </c>
      <c t="s" s="1" r="G207">
        <v>16</v>
      </c>
      <c s="43" r="H207"/>
    </row>
    <row r="208">
      <c s="31" r="A208">
        <v>206</v>
      </c>
      <c t="str" s="17" r="B208">
        <f>hyperlink("http://www.baseball-reference.com/players/l/larocan01.shtml","LaRoche, Andy")</f>
        <v>LaRoche, Andy</v>
      </c>
      <c t="s" s="31" r="C208">
        <v>51</v>
      </c>
      <c t="s" s="31" r="D208">
        <v>23</v>
      </c>
      <c t="s" s="31" r="E208">
        <v>11</v>
      </c>
      <c s="37" r="F208">
        <v>40898</v>
      </c>
      <c t="s" s="1" r="G208">
        <v>16</v>
      </c>
      <c t="s" s="6" r="H208">
        <v>12</v>
      </c>
    </row>
    <row r="209">
      <c s="13" r="A209">
        <v>207</v>
      </c>
      <c t="str" s="45" r="B209">
        <f>hyperlink("http://www.baseball-reference.com/players/m/mijarjo01.shtml","Mijares, Jose")</f>
        <v>Mijares, Jose</v>
      </c>
      <c t="s" s="13" r="C209">
        <v>13</v>
      </c>
      <c t="s" s="13" r="D209">
        <v>37</v>
      </c>
      <c t="s" s="13" r="E209">
        <v>28</v>
      </c>
      <c s="18" r="F209">
        <v>40898</v>
      </c>
      <c t="str" s="22" r="G209">
        <f>hyperlink("http://mlb.mlb.com/news/article.jsp?ymd=20111221&amp;content_id=26221692&amp;vkey=news_mlb&amp;c_id=mlb","One-year contract")</f>
        <v>One-year contract</v>
      </c>
      <c s="43" r="H209">
        <v>925000</v>
      </c>
    </row>
    <row r="210">
      <c s="31" r="A210">
        <v>208</v>
      </c>
      <c t="str" s="17" r="B210">
        <f>hyperlink("http://www.baseball-reference.com/players/p/perezju01.shtml","Perez, Juan")</f>
        <v>Perez, Juan</v>
      </c>
      <c t="s" s="31" r="C210">
        <v>13</v>
      </c>
      <c t="s" s="31" r="D210">
        <v>27</v>
      </c>
      <c t="s" s="31" r="E210">
        <v>34</v>
      </c>
      <c s="37" r="F210">
        <v>40898</v>
      </c>
      <c t="s" s="1" r="G210">
        <v>16</v>
      </c>
      <c t="s" s="6" r="H210">
        <v>12</v>
      </c>
    </row>
    <row r="211">
      <c s="13" r="A211">
        <v>209</v>
      </c>
      <c t="str" s="45" r="B211">
        <f>hyperlink("http://www.baseball-reference.com/players/h/hernaan01.shtml","Hernandez, Anderson")</f>
        <v>Hernandez, Anderson</v>
      </c>
      <c t="s" s="13" r="C211">
        <v>39</v>
      </c>
      <c t="s" s="13" r="D211">
        <v>31</v>
      </c>
      <c t="s" s="13" r="E211">
        <v>15</v>
      </c>
      <c s="18" r="F211">
        <v>40898</v>
      </c>
      <c t="s" s="1" r="G211">
        <v>16</v>
      </c>
      <c t="s" s="43" r="H211">
        <v>12</v>
      </c>
    </row>
    <row r="212">
      <c s="31" r="A212">
        <v>210</v>
      </c>
      <c t="str" s="17" r="B212">
        <f>hyperlink("http://www.baseball-reference.com/players/l/lunahe01.shtml","Luna, Hector")</f>
        <v>Luna, Hector</v>
      </c>
      <c t="s" s="31" r="C212">
        <v>39</v>
      </c>
      <c t="s" s="31" r="D212">
        <v>41</v>
      </c>
      <c t="s" s="31" r="E212">
        <v>27</v>
      </c>
      <c s="37" r="F212">
        <v>40898</v>
      </c>
      <c t="s" s="1" r="G212">
        <v>16</v>
      </c>
      <c t="s" s="6" r="H212">
        <v>12</v>
      </c>
    </row>
    <row r="213">
      <c s="13" r="A213">
        <v>211</v>
      </c>
      <c t="str" s="45" r="B213">
        <f>hyperlink("http://www.baseball-reference.com/players/m/montalu01.shtml","Montanez, Lou")</f>
        <v>Montanez, Lou</v>
      </c>
      <c t="s" s="13" r="C213">
        <v>19</v>
      </c>
      <c t="s" s="13" r="D213">
        <v>35</v>
      </c>
      <c t="s" s="13" r="E213">
        <v>27</v>
      </c>
      <c s="18" r="F213">
        <v>40898</v>
      </c>
      <c t="s" s="1" r="G213">
        <v>16</v>
      </c>
      <c t="s" s="43" r="H213">
        <v>12</v>
      </c>
    </row>
    <row r="214">
      <c s="31" r="A214">
        <v>212</v>
      </c>
      <c t="str" s="17" r="B214">
        <f>hyperlink("http://www.baseball-reference.com/players/m/martilu02.shtml","Martinez, Luis")</f>
        <v>Martinez, Luis</v>
      </c>
      <c t="s" s="31" r="C214">
        <v>21</v>
      </c>
      <c t="s" s="31" r="D214">
        <v>42</v>
      </c>
      <c t="s" s="31" r="E214">
        <v>14</v>
      </c>
      <c s="37" r="F214">
        <v>40898</v>
      </c>
      <c t="str" s="30" r="G214">
        <f>hyperlink("http://texas.rangers.mlb.com/news/article.jsp?ymd=20111221&amp;content_id=26219918&amp;vkey=news_tex&amp;c_id=tex","Traded for a minor leaguer")</f>
        <v>Traded for a minor leaguer</v>
      </c>
      <c t="s" s="6" r="H214">
        <v>12</v>
      </c>
    </row>
    <row r="215">
      <c s="13" r="A215">
        <v>213</v>
      </c>
      <c t="str" s="23" r="B215">
        <f>hyperlink("http://www.baseball-reference.com/players/j/johnsro07.shtml","Johnson, Rob")</f>
        <v>Johnson, Rob</v>
      </c>
      <c t="s" s="13" r="C215">
        <v>21</v>
      </c>
      <c t="s" s="13" r="D215">
        <v>42</v>
      </c>
      <c t="s" s="13" r="E215">
        <v>38</v>
      </c>
      <c s="18" r="F215">
        <v>40899</v>
      </c>
      <c t="s" s="1" r="G215">
        <v>16</v>
      </c>
      <c t="s" s="43" r="H215">
        <v>12</v>
      </c>
    </row>
    <row r="216">
      <c s="31" r="A216">
        <v>214</v>
      </c>
      <c t="str" s="36" r="B216">
        <f>hyperlink("http://www.baseball-reference.com/players/m/marquja01.shtml","Marquis, Jason")</f>
        <v>Marquis, Jason</v>
      </c>
      <c t="s" s="31" r="C216">
        <v>9</v>
      </c>
      <c t="s" s="31" r="D216">
        <v>18</v>
      </c>
      <c t="s" s="31" r="E216">
        <v>37</v>
      </c>
      <c s="37" r="F216">
        <v>40899</v>
      </c>
      <c t="str" s="2" r="G216">
        <f>hyperlink("http://minnesota.twins.mlb.com/news/article.jsp?ymd=20111221&amp;content_id=26224184&amp;vkey=news_min&amp;c_id=min","One-year contract")</f>
        <v>One-year contract</v>
      </c>
      <c s="6" r="H216">
        <v>3000000</v>
      </c>
    </row>
    <row r="217">
      <c s="13" r="A217">
        <v>215</v>
      </c>
      <c t="str" s="45" r="B217">
        <f>hyperlink("http://www.baseball-reference.com/players/b/beltrca01.shtml","Beltran, Carlos")</f>
        <v>Beltran, Carlos</v>
      </c>
      <c t="s" s="13" r="C217">
        <v>19</v>
      </c>
      <c t="s" s="13" r="D217">
        <v>29</v>
      </c>
      <c t="s" s="13" r="E217">
        <v>46</v>
      </c>
      <c s="18" r="F217">
        <v>40900</v>
      </c>
      <c t="str" s="22" r="G217">
        <f>hyperlink("http://espn.go.com/mlb/story/_/id/7381622/carlos-beltran-st-louis-cardinals-agree-two-year-deal","Two-year contract")</f>
        <v>Two-year contract</v>
      </c>
      <c s="43" r="H217">
        <v>26000000</v>
      </c>
    </row>
    <row r="218">
      <c s="31" r="A218">
        <v>216</v>
      </c>
      <c t="str" s="17" r="B218">
        <f>hyperlink("http://www.baseball-reference.com/players/g/gonzagi01.shtml","Gonzalez, Gio")</f>
        <v>Gonzalez, Gio</v>
      </c>
      <c t="s" s="31" r="C218">
        <v>9</v>
      </c>
      <c t="s" s="31" r="D218">
        <v>23</v>
      </c>
      <c t="s" s="31" r="E218">
        <v>24</v>
      </c>
      <c s="37" r="F218">
        <v>40900</v>
      </c>
      <c t="str" s="30" r="G218">
        <f>hyperlink("http://espn.go.com/mlb/story/_/id/7381008/gio-gonzalez-traded-oakland-athletics-washington-nationals","Traded for Peacock, Milone &amp; 2 minor leaguers")</f>
        <v>Traded for Peacock, Milone &amp; 2 minor leaguers</v>
      </c>
      <c t="s" s="6" r="H218">
        <v>12</v>
      </c>
    </row>
    <row r="219">
      <c s="13" r="A219">
        <v>217</v>
      </c>
      <c t="str" s="45" r="B219">
        <f>hyperlink("http://www.baseball-reference.com/players/p/peacobr01.shtml","Peacock, Brad")</f>
        <v>Peacock, Brad</v>
      </c>
      <c t="s" s="13" r="C219">
        <v>9</v>
      </c>
      <c t="s" s="13" r="D219">
        <v>24</v>
      </c>
      <c t="s" s="13" r="E219">
        <v>23</v>
      </c>
      <c s="18" r="F219">
        <v>40900</v>
      </c>
      <c t="str" s="30" r="G219">
        <f>hyperlink("http://espn.go.com/mlb/story/_/id/7381008/gio-gonzalez-traded-oakland-athletics-washington-nationals","Traded w Milone &amp; 2 minor leaguers for Gonzalez")</f>
        <v>Traded w Milone &amp; 2 minor leaguers for Gonzalez</v>
      </c>
      <c t="s" s="43" r="H219">
        <v>12</v>
      </c>
    </row>
    <row r="220">
      <c s="31" r="A220">
        <v>218</v>
      </c>
      <c t="str" s="17" r="B220">
        <f>hyperlink("http://www.baseball-reference.com/players/m/milonto01.shtml","Milone, Tommy")</f>
        <v>Milone, Tommy</v>
      </c>
      <c t="s" s="31" r="C220">
        <v>9</v>
      </c>
      <c t="s" s="31" r="D220">
        <v>24</v>
      </c>
      <c t="s" s="31" r="E220">
        <v>23</v>
      </c>
      <c s="37" r="F220">
        <v>40900</v>
      </c>
      <c t="str" s="30" r="G220">
        <f>hyperlink("http://espn.go.com/mlb/story/_/id/7381008/gio-gonzalez-traded-oakland-athletics-washington-nationals","Traded w Peacock &amp; 2 minor leaguers for Gonzalez")</f>
        <v>Traded w Peacock &amp; 2 minor leaguers for Gonzalez</v>
      </c>
      <c t="s" s="6" r="H220">
        <v>12</v>
      </c>
    </row>
    <row r="221">
      <c s="13" r="A221">
        <v>219</v>
      </c>
      <c t="str" s="45" r="B221">
        <f>hyperlink("http://www.baseball-reference.com/players/d/derosma01.shtml","DeRosa, Mark")</f>
        <v>DeRosa, Mark</v>
      </c>
      <c t="s" s="13" r="C221">
        <v>51</v>
      </c>
      <c t="s" s="13" r="D221">
        <v>29</v>
      </c>
      <c t="s" s="13" r="E221">
        <v>24</v>
      </c>
      <c s="18" r="F221">
        <v>40900</v>
      </c>
      <c t="str" s="22" r="G221">
        <f>hyperlink("http://mlb.mlb.com/news/article.jsp?ymd=20111221&amp;content_id=26224262&amp;vkey=news_mlb&amp;c_id=mlb","One-year contract")</f>
        <v>One-year contract</v>
      </c>
      <c t="s" s="43" r="H221">
        <v>53</v>
      </c>
    </row>
    <row r="222">
      <c s="31" r="A222">
        <v>220</v>
      </c>
      <c t="str" s="17" r="B222">
        <f>hyperlink("http://www.baseball-reference.com/players/c/corpama01.shtml","Corpas, Manuel")</f>
        <v>Corpas, Manuel</v>
      </c>
      <c t="s" s="31" r="C222">
        <v>13</v>
      </c>
      <c t="s" s="31" r="D222">
        <v>14</v>
      </c>
      <c t="s" s="31" r="E222">
        <v>35</v>
      </c>
      <c s="37" r="F222">
        <v>40900</v>
      </c>
      <c t="str" s="42" r="G222">
        <f>hyperlink("http://espn.go.com/chicago/mlb/story/_/id/7381851/chicago-cubs-agree-terms-relief-pitcher-manny-corpas-source-says","One-year contract")</f>
        <v>One-year contract</v>
      </c>
      <c t="s" s="6" r="H222">
        <v>53</v>
      </c>
    </row>
    <row r="223">
      <c s="13" r="A223">
        <v>221</v>
      </c>
      <c t="str" s="45" r="B223">
        <f>hyperlink("http://www.baseball-reference.com/players/b/beltrca01.shtml","Marshall, Sean")</f>
        <v>Marshall, Sean</v>
      </c>
      <c t="s" s="13" r="C223">
        <v>13</v>
      </c>
      <c t="s" s="13" r="D223">
        <v>35</v>
      </c>
      <c t="s" s="13" r="E223">
        <v>36</v>
      </c>
      <c s="18" r="F223">
        <v>40900</v>
      </c>
      <c t="str" s="30" r="G223">
        <f>hyperlink("http://espn.go.com/chicago/mlb/story/_/id/7383879/chicago-cubs-trade-sean-marshall-cincinnati-reds-travis-wood-others","Traded for Wood, Sappelt &amp; a minor leaguer")</f>
        <v>Traded for Wood, Sappelt &amp; a minor leaguer</v>
      </c>
      <c t="s" s="43" r="H223">
        <v>12</v>
      </c>
    </row>
    <row r="224">
      <c s="31" r="A224">
        <v>222</v>
      </c>
      <c t="str" s="17" r="B224">
        <f>hyperlink("http://www.baseball-reference.com/players/s/sappeda01.shtml","Sappelt, Dave")</f>
        <v>Sappelt, Dave</v>
      </c>
      <c t="s" s="31" r="C224">
        <v>19</v>
      </c>
      <c t="s" s="31" r="D224">
        <v>36</v>
      </c>
      <c t="s" s="31" r="E224">
        <v>35</v>
      </c>
      <c s="37" r="F224">
        <v>40900</v>
      </c>
      <c t="str" s="30" r="G224">
        <f>hyperlink("http://espn.go.com/chicago/mlb/story/_/id/7383879/chicago-cubs-trade-sean-marshall-cincinnati-reds-travis-wood-others","Traded w Wood &amp; Minor Leaguer for Marshall")</f>
        <v>Traded w Wood &amp; Minor Leaguer for Marshall</v>
      </c>
      <c t="s" s="6" r="H224">
        <v>12</v>
      </c>
    </row>
    <row r="225">
      <c s="13" r="A225">
        <v>223</v>
      </c>
      <c t="str" s="45" r="B225">
        <f>hyperlink("http://www.baseball-reference.com/players/w/woodtr01.shtml","Wood, Travis")</f>
        <v>Wood, Travis</v>
      </c>
      <c t="s" s="13" r="C225">
        <v>9</v>
      </c>
      <c t="s" s="13" r="D225">
        <v>36</v>
      </c>
      <c t="s" s="13" r="E225">
        <v>35</v>
      </c>
      <c s="18" r="F225">
        <v>40900</v>
      </c>
      <c t="str" s="30" r="G225">
        <f>hyperlink("http://espn.go.com/chicago/mlb/story/_/id/7383879/chicago-cubs-trade-sean-marshall-cincinnati-reds-travis-wood-others","Traded w Sappelt &amp; minor leaguer for Marshall")</f>
        <v>Traded w Sappelt &amp; minor leaguer for Marshall</v>
      </c>
      <c t="s" s="43" r="H225">
        <v>12</v>
      </c>
    </row>
    <row r="226">
      <c s="31" r="A226">
        <v>224</v>
      </c>
      <c t="str" s="36" r="B226">
        <f>hyperlink("http://www.baseball-reference.com/players/s/sonnaan01.shtml","Sonnanstine, Andy")</f>
        <v>Sonnanstine, Andy</v>
      </c>
      <c t="s" s="31" r="C226">
        <v>9</v>
      </c>
      <c t="s" s="31" r="D226">
        <v>48</v>
      </c>
      <c t="s" s="31" r="E226">
        <v>35</v>
      </c>
      <c s="37" r="F226">
        <v>40903</v>
      </c>
      <c t="str" s="2" r="G226">
        <f>hyperlink("http://espn.go.com/chicago/mlb/story/_/id/7391068/chicago-cubs-attempt-bolster-their-bullpen-depth-signing-andy-sonnanstine-manny-corpas","One-year contract")</f>
        <v>One-year contract</v>
      </c>
      <c t="s" s="6" r="H226">
        <v>53</v>
      </c>
    </row>
    <row r="227">
      <c s="13" r="A227">
        <v>225</v>
      </c>
      <c t="str" s="45" r="B227">
        <f>hyperlink("http://www.baseball-reference.com/players/b/bailean01.shtml","Bailey, Andrew")</f>
        <v>Bailey, Andrew</v>
      </c>
      <c t="s" s="13" r="C227">
        <v>13</v>
      </c>
      <c t="s" s="13" r="D227">
        <v>23</v>
      </c>
      <c t="s" s="13" r="E227">
        <v>41</v>
      </c>
      <c s="18" r="F227">
        <v>40905</v>
      </c>
      <c t="str" s="30" r="G227">
        <f>hyperlink("http://espn.go.com/boston/mlb/story/_/id/7397557/andrew-bailey-traded-oakland-athletics-boston-red-sox","Traded w Sweeney for Reddick &amp; 2 minor leaguers")</f>
        <v>Traded w Sweeney for Reddick &amp; 2 minor leaguers</v>
      </c>
      <c t="s" s="43" r="H227">
        <v>12</v>
      </c>
    </row>
    <row r="228">
      <c s="31" r="A228">
        <v>226</v>
      </c>
      <c t="str" s="17" r="B228">
        <f>hyperlink("http://www.baseball-reference.com/players/s/sweenry01.shtml","Sweeney, Ryan")</f>
        <v>Sweeney, Ryan</v>
      </c>
      <c t="s" s="31" r="C228">
        <v>19</v>
      </c>
      <c t="s" s="31" r="D228">
        <v>23</v>
      </c>
      <c t="s" s="31" r="E228">
        <v>41</v>
      </c>
      <c s="37" r="F228">
        <v>40905</v>
      </c>
      <c t="str" s="30" r="G228">
        <f>hyperlink("http://espn.go.com/boston/mlb/story/_/id/7397557/andrew-bailey-traded-oakland-athletics-boston-red-sox","Traded w Bailey for Reddick &amp; 2 minor leaguers")</f>
        <v>Traded w Bailey for Reddick &amp; 2 minor leaguers</v>
      </c>
      <c t="s" s="6" r="H228">
        <v>12</v>
      </c>
    </row>
    <row r="229">
      <c s="13" r="A229">
        <v>227</v>
      </c>
      <c t="str" s="45" r="B229">
        <f>hyperlink("http://www.baseball-reference.com/players/r/reddijo01.shtml","Reddick, Josh")</f>
        <v>Reddick, Josh</v>
      </c>
      <c t="s" s="13" r="C229">
        <v>19</v>
      </c>
      <c t="s" s="13" r="D229">
        <v>41</v>
      </c>
      <c t="s" s="13" r="E229">
        <v>23</v>
      </c>
      <c s="18" r="F229">
        <v>40905</v>
      </c>
      <c t="str" s="30" r="G229">
        <f>hyperlink("http://espn.go.com/boston/mlb/story/_/id/7397557/andrew-bailey-traded-oakland-athletics-boston-red-sox","Traded w 2 minor leaguers for Bailey &amp; Sweeney")</f>
        <v>Traded w 2 minor leaguers for Bailey &amp; Sweeney</v>
      </c>
      <c t="s" s="43" r="H229">
        <v>12</v>
      </c>
    </row>
    <row r="230">
      <c s="31" r="A230">
        <v>228</v>
      </c>
      <c t="str" s="36" r="B230">
        <f>hyperlink("http://www.baseball-reference.com/players/o/okajihi01.shtml","Okajima, Hideki")</f>
        <v>Okajima, Hideki</v>
      </c>
      <c t="s" s="31" r="C230">
        <v>13</v>
      </c>
      <c t="s" s="31" r="D230">
        <v>41</v>
      </c>
      <c t="s" s="31" r="E230">
        <v>45</v>
      </c>
      <c s="37" r="F230">
        <v>40905</v>
      </c>
      <c t="s" s="1" r="G230">
        <v>16</v>
      </c>
      <c t="s" s="6" r="H230">
        <v>12</v>
      </c>
    </row>
    <row r="231">
      <c s="13" r="A231">
        <v>229</v>
      </c>
      <c t="str" s="23" r="B231">
        <f>hyperlink("http://www.baseball-reference.com/players/s/sherrge01.shtml","Sherrill, George")</f>
        <v>Sherrill, George</v>
      </c>
      <c t="s" s="13" r="C231">
        <v>13</v>
      </c>
      <c t="s" s="13" r="D231">
        <v>10</v>
      </c>
      <c t="s" s="13" r="E231">
        <v>44</v>
      </c>
      <c s="18" r="F231">
        <v>40907</v>
      </c>
      <c t="str" s="22" r="G231">
        <f>hyperlink("http://www.mlbtraderumors.com/2011/12/mariners-agree-to-sign-george-sherrill.html","One-year contract")</f>
        <v>One-year contract</v>
      </c>
      <c s="43" r="H231">
        <v>1100000</v>
      </c>
    </row>
    <row r="232">
      <c s="31" r="A232">
        <v>230</v>
      </c>
      <c t="str" s="17" r="B232">
        <f>hyperlink("http://www.baseball-reference.com/players/j/jonesan01.shtml","Jones, Andruw")</f>
        <v>Jones, Andruw</v>
      </c>
      <c t="s" s="31" r="C232">
        <v>19</v>
      </c>
      <c t="s" s="9" r="D232">
        <v>45</v>
      </c>
      <c t="s" s="9" r="E232">
        <v>45</v>
      </c>
      <c s="37" r="F232">
        <v>40907</v>
      </c>
      <c t="str" s="42" r="G232">
        <f>hyperlink("http://espn.go.com/new-york/mlb/story/_/id/7405245/new-york-yankees-bringing-back-andruw-jones","One-year contract")</f>
        <v>One-year contract</v>
      </c>
      <c s="6" r="H232">
        <v>2000000</v>
      </c>
    </row>
    <row r="233">
      <c s="13" r="A233">
        <v>231</v>
      </c>
      <c t="str" s="45" r="B233">
        <f>hyperlink("http://www.baseball-reference.com/players/l/laffeaa01.shtml","Laffey, Aaron")</f>
        <v>Laffey, Aaron</v>
      </c>
      <c t="s" s="13" r="C233">
        <v>13</v>
      </c>
      <c t="s" s="13" r="D233">
        <v>28</v>
      </c>
      <c t="s" s="13" r="E233">
        <v>25</v>
      </c>
      <c s="18" r="F233">
        <v>40908</v>
      </c>
      <c t="s" s="1" r="G233">
        <v>16</v>
      </c>
      <c t="s" s="43" r="H233">
        <v>12</v>
      </c>
    </row>
    <row r="234">
      <c s="31" r="A234">
        <v>232</v>
      </c>
      <c t="str" s="17" r="B234">
        <f>hyperlink("http://www.baseball-reference.com/players/b/bococbr01.shtml","Bocock, Brian")</f>
        <v>Bocock, Brian</v>
      </c>
      <c t="s" s="46" r="C234">
        <v>17</v>
      </c>
      <c t="s" s="46" r="D234">
        <v>15</v>
      </c>
      <c t="s" s="46" r="E234">
        <v>25</v>
      </c>
      <c s="32" r="F234">
        <v>40908</v>
      </c>
      <c t="s" s="1" r="G234">
        <v>16</v>
      </c>
      <c t="s" s="48" r="H234">
        <v>12</v>
      </c>
    </row>
    <row r="235">
      <c s="13" r="A235">
        <v>233</v>
      </c>
      <c t="str" s="45" r="B235">
        <f>hyperlink("http://www.baseball-reference.com/players/g/gilje01.shtml","Gil, Jerry")</f>
        <v>Gil, Jerry</v>
      </c>
      <c t="s" s="13" r="C235">
        <v>17</v>
      </c>
      <c t="s" s="13" r="D235">
        <v>36</v>
      </c>
      <c t="s" s="13" r="E235">
        <v>25</v>
      </c>
      <c s="18" r="F235">
        <v>40908</v>
      </c>
      <c t="s" s="1" r="G235">
        <v>16</v>
      </c>
      <c t="s" s="43" r="H235">
        <v>12</v>
      </c>
    </row>
    <row r="236">
      <c s="31" r="A236">
        <v>234</v>
      </c>
      <c t="str" s="17" r="B236">
        <f>hyperlink("http://www.baseball-reference.com/players/m/mockga01.shtml","Mock, Garret")</f>
        <v>Mock, Garret</v>
      </c>
      <c t="s" s="31" r="C236">
        <v>9</v>
      </c>
      <c t="s" s="31" r="D236">
        <v>24</v>
      </c>
      <c t="s" s="31" r="E236">
        <v>25</v>
      </c>
      <c s="37" r="F236">
        <v>40908</v>
      </c>
      <c t="s" s="1" r="G236">
        <v>16</v>
      </c>
      <c t="s" s="6" r="H236">
        <v>12</v>
      </c>
    </row>
    <row r="237">
      <c s="13" r="A237">
        <v>235</v>
      </c>
      <c t="str" s="45" r="B237">
        <f>hyperlink("http://www.baseball-reference.com/players/c/coellro01.shtml","Coello, Robert")</f>
        <v>Coello, Robert</v>
      </c>
      <c t="s" s="13" r="C237">
        <v>13</v>
      </c>
      <c t="s" s="13" r="D237">
        <v>35</v>
      </c>
      <c t="s" s="13" r="E237">
        <v>25</v>
      </c>
      <c s="18" r="F237">
        <v>40908</v>
      </c>
      <c t="s" s="1" r="G237">
        <v>16</v>
      </c>
      <c t="s" s="43" r="H237">
        <v>12</v>
      </c>
    </row>
    <row r="238">
      <c s="31" r="A238">
        <v>236</v>
      </c>
      <c t="str" s="17" r="B238">
        <f>hyperlink("http://www.baseball-reference.com/players/q/quentca01.shtml","Quentin, Carlos")</f>
        <v>Quentin, Carlos</v>
      </c>
      <c t="s" s="31" r="C238">
        <v>19</v>
      </c>
      <c t="s" s="31" r="D238">
        <v>54</v>
      </c>
      <c t="s" s="31" r="E238">
        <v>42</v>
      </c>
      <c s="37" r="F238">
        <v>40908</v>
      </c>
      <c t="str" s="30" r="G238">
        <f>hyperlink("http://espn.go.com/chicago/mlb/story/_/id/7407804/chicago-white-sox-trade-carlos-quentin-san-diego-padres-two-minor-leaguers","Traded for 2 minor leaguers")</f>
        <v>Traded for 2 minor leaguers</v>
      </c>
      <c t="s" s="6" r="H238">
        <v>12</v>
      </c>
    </row>
    <row r="239">
      <c s="13" r="A239">
        <v>237</v>
      </c>
      <c t="str" s="45" r="B239">
        <f>hyperlink("http://www.baseball-reference.com/players/f/frasoja01.shtml","Frasor, Jason")</f>
        <v>Frasor, Jason</v>
      </c>
      <c t="s" s="13" r="C239">
        <v>13</v>
      </c>
      <c t="s" s="13" r="D239">
        <v>54</v>
      </c>
      <c t="s" s="13" r="E239">
        <v>25</v>
      </c>
      <c s="18" r="F239">
        <v>40909</v>
      </c>
      <c t="str" s="30" r="G239">
        <f>hyperlink("http://espn.go.com/chicago/mlb/story/_/id/7410761/chicago-white-sox-trade-jason-frasor-toronto-blue-jays-two-minor-leaguers","Traded for 2 minor leaguers")</f>
        <v>Traded for 2 minor leaguers</v>
      </c>
      <c t="s" s="43" r="H239">
        <v>12</v>
      </c>
    </row>
    <row r="240">
      <c s="31" r="A240">
        <v>238</v>
      </c>
      <c t="str" s="17" r="B240">
        <f>hyperlink("http://www.baseball-reference.com/players/b/burrose01.shtml","Burroughs, Sean")</f>
        <v>Burroughs, Sean</v>
      </c>
      <c t="s" s="31" r="C240">
        <v>51</v>
      </c>
      <c t="s" s="31" r="D240">
        <v>18</v>
      </c>
      <c t="s" s="31" r="E240">
        <v>37</v>
      </c>
      <c s="37" r="F240">
        <v>40911</v>
      </c>
      <c t="s" s="1" r="G240">
        <v>16</v>
      </c>
      <c t="s" s="6" r="H240">
        <v>12</v>
      </c>
    </row>
    <row r="241">
      <c s="13" r="A241">
        <v>239</v>
      </c>
      <c t="str" s="45" r="B241">
        <f>hyperlink("http://www.baseball-reference.com/players/f/fienca01.shtml","Fien, Casey")</f>
        <v>Fien, Casey</v>
      </c>
      <c t="s" s="13" r="C241">
        <v>13</v>
      </c>
      <c t="s" s="13" r="D241">
        <v>31</v>
      </c>
      <c t="s" s="13" r="E241">
        <v>37</v>
      </c>
      <c s="18" r="F241">
        <v>40911</v>
      </c>
      <c t="s" s="1" r="G241">
        <v>16</v>
      </c>
      <c t="s" s="43" r="H241">
        <v>12</v>
      </c>
    </row>
    <row r="242">
      <c s="31" r="A242">
        <v>240</v>
      </c>
      <c t="str" s="17" r="B242">
        <f>hyperlink("http://www.baseball-reference.com/players/c/ciriape01.shtml","Ciriaco, Pedro")</f>
        <v>Ciriaco, Pedro</v>
      </c>
      <c t="s" s="31" r="C242">
        <v>51</v>
      </c>
      <c t="s" s="31" r="D242">
        <v>15</v>
      </c>
      <c t="s" s="31" r="E242">
        <v>41</v>
      </c>
      <c s="37" r="F242">
        <v>40911</v>
      </c>
      <c t="s" s="1" r="G242">
        <v>16</v>
      </c>
      <c t="s" s="6" r="H242">
        <v>12</v>
      </c>
    </row>
    <row r="243">
      <c s="13" r="A243">
        <v>241</v>
      </c>
      <c t="str" s="45" r="B243">
        <f>hyperlink("http://www.baseball-reference.com/players/s/silvaca01.shtml","Silva, Carlos")</f>
        <v>Silva, Carlos</v>
      </c>
      <c t="s" s="13" r="C243">
        <v>9</v>
      </c>
      <c t="s" s="13" r="D243">
        <v>45</v>
      </c>
      <c t="s" s="13" r="E243">
        <v>41</v>
      </c>
      <c s="18" r="F243">
        <v>40911</v>
      </c>
      <c t="s" s="1" r="G243">
        <v>16</v>
      </c>
      <c t="s" s="43" r="H243">
        <v>12</v>
      </c>
    </row>
    <row r="244">
      <c s="31" r="A244">
        <v>242</v>
      </c>
      <c t="str" s="17" r="B244">
        <f>hyperlink("http://www.baseball-reference.com/players/j/johnsre02.shtml","Johnson, Reed")</f>
        <v>Johnson, Reed</v>
      </c>
      <c t="s" s="31" r="C244">
        <v>19</v>
      </c>
      <c t="s" s="31" r="D244">
        <v>35</v>
      </c>
      <c t="s" s="31" r="E244">
        <v>35</v>
      </c>
      <c s="37" r="F244">
        <v>40911</v>
      </c>
      <c t="str" s="2" r="G244">
        <f>hyperlink("http://espn.go.com/chicago/mlb/story/_/id/7421123/chicago-cubs-agree-115m-contract-reed-johnson","One-year contract")</f>
        <v>One-year contract</v>
      </c>
      <c s="6" r="H244">
        <v>1150000</v>
      </c>
    </row>
    <row r="245">
      <c s="13" r="A245">
        <v>243</v>
      </c>
      <c t="str" s="45" r="B245">
        <f>hyperlink("http://www.baseball-reference.com/players/m/milleja04.shtml","Miller, Jai")</f>
        <v>Miller, Jai</v>
      </c>
      <c t="s" s="13" r="C245">
        <v>19</v>
      </c>
      <c t="s" s="13" r="D245">
        <v>23</v>
      </c>
      <c t="s" s="13" r="E245">
        <v>33</v>
      </c>
      <c s="18" r="F245">
        <v>40911</v>
      </c>
      <c t="str" s="30" r="G245">
        <f>hyperlink("http://espn.go.com/mlb/story/_/id/7420216/oakland-athletics-trade-jai-miller-baltimore-orioles-cash","Traded for cash")</f>
        <v>Traded for cash</v>
      </c>
      <c t="s" s="43" r="H245">
        <v>12</v>
      </c>
    </row>
    <row r="246">
      <c s="31" r="A246">
        <v>244</v>
      </c>
      <c t="str" s="17" r="B246">
        <f>hyperlink("http://www.baseball-reference.com/players/p/pearcst01.shtml","Pearce, Steve")</f>
        <v>Pearce, Steve</v>
      </c>
      <c t="s" s="31" r="C246">
        <v>32</v>
      </c>
      <c t="s" s="31" r="D246">
        <v>15</v>
      </c>
      <c t="s" s="31" r="E246">
        <v>37</v>
      </c>
      <c s="37" r="F246">
        <v>40911</v>
      </c>
      <c t="s" s="1" r="G246">
        <v>16</v>
      </c>
      <c t="s" s="6" r="H246">
        <v>12</v>
      </c>
    </row>
    <row r="247">
      <c s="13" r="A247">
        <v>245</v>
      </c>
      <c t="str" s="45" r="B247">
        <f>hyperlink("http://www.baseball-reference.com/players/q/quintom01.shtml","Quintanilla, Omar")</f>
        <v>Quintanilla, Omar</v>
      </c>
      <c t="s" s="13" r="C247">
        <v>32</v>
      </c>
      <c t="s" s="13" r="D247">
        <v>14</v>
      </c>
      <c t="s" s="13" r="E247">
        <v>38</v>
      </c>
      <c s="18" r="F247">
        <v>40911</v>
      </c>
      <c t="s" s="1" r="G247">
        <v>16</v>
      </c>
      <c t="s" s="43" r="H247">
        <v>12</v>
      </c>
    </row>
    <row r="248">
      <c s="31" r="A248">
        <v>246</v>
      </c>
      <c t="str" s="17" r="B248">
        <f>hyperlink("http://www.baseball-reference.com/players/s/snydebr03.shtml","Snyder, Brandon")</f>
        <v>Snyder, Brandon</v>
      </c>
      <c t="s" s="31" r="C248">
        <v>43</v>
      </c>
      <c t="s" s="31" r="D248">
        <v>33</v>
      </c>
      <c t="s" s="31" r="E248">
        <v>14</v>
      </c>
      <c s="37" r="F248">
        <v>40911</v>
      </c>
      <c t="str" s="30" r="G248">
        <f>hyperlink("http://mlb.mlb.com/news/article.jsp?ymd=20120103&amp;content_id=26255870&amp;notebook_id=26255874&amp;vkey=notebook_tex&amp;c_id=tex","Traded for cash")</f>
        <v>Traded for cash</v>
      </c>
      <c t="s" s="6" r="H248">
        <v>12</v>
      </c>
    </row>
    <row r="249">
      <c s="13" r="A249">
        <v>247</v>
      </c>
      <c t="str" s="45" r="B249">
        <f>hyperlink("http://www.baseball-reference.com/players/t/tejedro01.shtml","Tejeda, Robinson")</f>
        <v>Tejeda, Robinson</v>
      </c>
      <c t="s" s="13" r="C249">
        <v>13</v>
      </c>
      <c t="s" s="13" r="D249">
        <v>28</v>
      </c>
      <c t="s" s="13" r="E249">
        <v>11</v>
      </c>
      <c s="18" r="F249">
        <v>40911</v>
      </c>
      <c t="s" s="1" r="G249">
        <v>16</v>
      </c>
      <c t="s" s="43" r="H249">
        <v>12</v>
      </c>
    </row>
    <row r="250">
      <c s="31" r="A250">
        <v>248</v>
      </c>
      <c t="str" s="17" r="B250">
        <f>hyperlink("http://www.baseball-reference.com/players/t/towlejr01.shtml","Towles, J.R.")</f>
        <v>Towles, J.R.</v>
      </c>
      <c t="s" s="31" r="C250">
        <v>21</v>
      </c>
      <c t="s" s="31" r="D250">
        <v>31</v>
      </c>
      <c t="s" s="31" r="E250">
        <v>37</v>
      </c>
      <c s="37" r="F250">
        <v>40911</v>
      </c>
      <c t="s" s="1" r="G250">
        <v>16</v>
      </c>
      <c t="s" s="6" r="H250">
        <v>12</v>
      </c>
    </row>
    <row r="251">
      <c s="13" r="A251">
        <v>249</v>
      </c>
      <c t="str" s="45" r="B251">
        <f>hyperlink("http://www.baseball-reference.com/players/b/brackan01.shtml","Brackman, Andrew")</f>
        <v>Brackman, Andrew</v>
      </c>
      <c t="s" s="13" r="C251">
        <v>13</v>
      </c>
      <c t="s" s="13" r="D251">
        <v>45</v>
      </c>
      <c t="s" s="13" r="E251">
        <v>36</v>
      </c>
      <c s="18" r="F251">
        <v>40912</v>
      </c>
      <c t="str" s="22" r="G251">
        <f>hyperlink("http://sports.espn.go.com/espn/wire?section=mlb&amp;id=7425186","One-year contract")</f>
        <v>One-year contract</v>
      </c>
      <c s="43" r="H251">
        <v>500000</v>
      </c>
    </row>
    <row r="252">
      <c s="31" r="A252">
        <v>250</v>
      </c>
      <c t="str" s="17" r="B252">
        <f>hyperlink("http://www.baseball-reference.com/players/r/reyesjo03.shtml","Reyes, Jo-Jo")</f>
        <v>Reyes, Jo-Jo</v>
      </c>
      <c t="s" s="46" r="C252">
        <v>9</v>
      </c>
      <c t="s" s="46" r="D252">
        <v>33</v>
      </c>
      <c t="s" s="46" r="E252">
        <v>15</v>
      </c>
      <c s="32" r="F252">
        <v>40912</v>
      </c>
      <c t="s" s="1" r="G252">
        <v>16</v>
      </c>
      <c t="s" s="48" r="H252">
        <v>12</v>
      </c>
    </row>
    <row r="253">
      <c s="13" r="A253">
        <v>251</v>
      </c>
      <c t="str" s="45" r="B253">
        <f>hyperlink("http://www.baseball-reference.com/players/r/rodnefe01.shtml","Rodney, Fernando")</f>
        <v>Rodney, Fernando</v>
      </c>
      <c t="s" s="13" r="C253">
        <v>13</v>
      </c>
      <c t="s" s="13" r="D253">
        <v>47</v>
      </c>
      <c t="s" s="13" r="E253">
        <v>48</v>
      </c>
      <c s="18" r="F253">
        <v>40912</v>
      </c>
      <c t="str" s="22" r="G253">
        <f>hyperlink("http://espn.go.com/mlb/story/_/id/7423464/tampa-bay-rays-sign-closer-candidate-fernando-rodney","One-year contract with option")</f>
        <v>One-year contract with option</v>
      </c>
      <c s="43" r="H253">
        <v>2000000</v>
      </c>
    </row>
    <row r="254">
      <c s="31" r="A254">
        <v>252</v>
      </c>
      <c t="str" s="17" r="B254">
        <f>hyperlink("http://www.baseball-reference.com/players/k/kensilo01.shtml","Kensing, Logan")</f>
        <v>Kensing, Logan</v>
      </c>
      <c t="s" s="46" r="C254">
        <v>13</v>
      </c>
      <c t="s" s="46" r="D254">
        <v>45</v>
      </c>
      <c t="s" s="46" r="E254">
        <v>15</v>
      </c>
      <c s="32" r="F254">
        <v>40912</v>
      </c>
      <c t="s" s="1" r="G254">
        <v>16</v>
      </c>
      <c t="s" s="48" r="H254">
        <v>12</v>
      </c>
    </row>
    <row r="255">
      <c s="13" r="A255">
        <v>253</v>
      </c>
      <c t="str" s="45" r="B255">
        <f>hyperlink("http://www.baseball-reference.com/players/c/crispco01.shtml","Crisp, Coco")</f>
        <v>Crisp, Coco</v>
      </c>
      <c t="s" s="13" r="C255">
        <v>19</v>
      </c>
      <c t="s" s="9" r="D255">
        <v>23</v>
      </c>
      <c t="s" s="9" r="E255">
        <v>23</v>
      </c>
      <c s="18" r="F255">
        <v>40913</v>
      </c>
      <c t="str" s="22" r="G255">
        <f>hyperlink("http://espn.go.com/mlb/story/_/id/7429720/coco-crisp-returns-oakland-athletics-two-year-deal","Two-year contract with option")</f>
        <v>Two-year contract with option</v>
      </c>
      <c s="43" r="H255">
        <v>14000000</v>
      </c>
    </row>
    <row r="256">
      <c s="31" r="A256">
        <v>254</v>
      </c>
      <c t="str" s="17" r="B256">
        <f>hyperlink("http://www.baseball-reference.com/players/d/dobbsgr01.shtml","Dobbs, Greg")</f>
        <v>Dobbs, Greg</v>
      </c>
      <c t="s" s="46" r="C256">
        <v>51</v>
      </c>
      <c t="s" s="9" r="D256">
        <v>40</v>
      </c>
      <c t="s" s="9" r="E256">
        <v>40</v>
      </c>
      <c s="32" r="F256">
        <v>40913</v>
      </c>
      <c t="str" s="42" r="G256">
        <f>hyperlink("http://hardballtalk.nbcsports.com/2012/01/03/report-marlins-re-sign-greg-dobbs-to-two-year-3-million-contract/","Two-year contract")</f>
        <v>Two-year contract</v>
      </c>
      <c s="48" r="H256">
        <v>3000000</v>
      </c>
    </row>
    <row r="257">
      <c s="13" r="A257">
        <v>255</v>
      </c>
      <c t="str" s="45" r="B257">
        <f>hyperlink("http://www.baseball-reference.com/players/m/macdomi01.shtml","MacDougal, Mike")</f>
        <v>MacDougal, Mike</v>
      </c>
      <c t="s" s="13" r="C257">
        <v>13</v>
      </c>
      <c t="s" s="9" r="D257">
        <v>20</v>
      </c>
      <c t="s" s="9" r="E257">
        <v>20</v>
      </c>
      <c s="18" r="F257">
        <v>40913</v>
      </c>
      <c t="str" s="22" r="G257">
        <f>hyperlink("http://espn.go.com/los-angeles/mlb/story/_/id/7429203/los-angeles-dodgers-re-sign-mike-macdougal-one-year-deal","One-year contract with option")</f>
        <v>One-year contract with option</v>
      </c>
      <c s="43" r="H257">
        <v>1000000</v>
      </c>
    </row>
    <row r="258">
      <c s="31" r="A258">
        <v>256</v>
      </c>
      <c t="str" s="17" r="B258">
        <f>hyperlink("http://www.baseball-reference.com/players/v/volstch01.shtml","Volstad, Chris")</f>
        <v>Volstad, Chris</v>
      </c>
      <c t="s" s="46" r="C258">
        <v>9</v>
      </c>
      <c t="s" s="46" r="D258">
        <v>40</v>
      </c>
      <c t="s" s="46" r="E258">
        <v>35</v>
      </c>
      <c s="32" r="F258">
        <v>40913</v>
      </c>
      <c t="str" s="30" r="G258">
        <f>hyperlink("http://espn.go.com/chicago/mlb/story/_/id/7425259/chicago-cubs-trade-carlos-zambrano-miami-marlins","Traded for Carlos Zambrano")</f>
        <v>Traded for Carlos Zambrano</v>
      </c>
      <c t="s" s="48" r="H258">
        <v>12</v>
      </c>
    </row>
    <row r="259">
      <c s="13" r="A259">
        <v>257</v>
      </c>
      <c t="str" s="45" r="B259">
        <f>hyperlink("http://www.baseball-reference.com/players/z/zambrca01.shtml","Zambrano, Carlos")</f>
        <v>Zambrano, Carlos</v>
      </c>
      <c t="s" s="13" r="C259">
        <v>9</v>
      </c>
      <c t="s" s="13" r="D259">
        <v>35</v>
      </c>
      <c t="s" s="13" r="E259">
        <v>40</v>
      </c>
      <c s="18" r="F259">
        <v>40913</v>
      </c>
      <c t="str" s="30" r="G259">
        <f>hyperlink("http://espn.go.com/chicago/mlb/story/_/id/7425259/chicago-cubs-trade-carlos-zambrano-miami-marlins","Traded for Chris Volstad")</f>
        <v>Traded for Chris Volstad</v>
      </c>
      <c t="s" s="43" r="H259">
        <v>12</v>
      </c>
    </row>
    <row r="260">
      <c s="31" r="A260">
        <v>258</v>
      </c>
      <c t="str" s="33" r="B260">
        <f>hyperlink("http://www.baseball-reference.com/minors/player.cgi?id=iwakum001his","Iwakuma, Hisashi")</f>
        <v>Iwakuma, Hisashi</v>
      </c>
      <c t="s" s="46" r="C260">
        <v>9</v>
      </c>
      <c t="s" s="46" r="D260">
        <v>52</v>
      </c>
      <c t="s" s="46" r="E260">
        <v>44</v>
      </c>
      <c s="32" r="F260">
        <v>40913</v>
      </c>
      <c t="str" s="42" r="G260">
        <f>hyperlink("http://www.google.com/hostednews/afp/article/ALeqM5jSwXkc_UChIr4mDZu0ZJO1vukHpw","One-year contract")</f>
        <v>One-year contract</v>
      </c>
      <c s="48" r="H260">
        <v>1500000</v>
      </c>
    </row>
    <row r="261">
      <c s="13" r="A261">
        <v>259</v>
      </c>
      <c t="str" s="45" r="B261">
        <f>hyperlink("http://www.baseball-reference.com/players/r/reynogr01.shtml","Reynolds, Greg")</f>
        <v>Reynolds, Greg</v>
      </c>
      <c t="s" s="13" r="C261">
        <v>9</v>
      </c>
      <c t="s" s="13" r="D261">
        <v>22</v>
      </c>
      <c t="s" s="13" r="E261">
        <v>14</v>
      </c>
      <c s="18" r="F261">
        <v>40913</v>
      </c>
      <c t="str" s="30" r="G261">
        <f>hyperlink("http://espn.go.com/blog/dallas/texas-rangers/post/_/id/4876978/texas-acquires-rockies-rhp-greg-reynolds","Traded for minor leaguer")</f>
        <v>Traded for minor leaguer</v>
      </c>
      <c t="s" s="43" r="H261">
        <v>12</v>
      </c>
    </row>
    <row r="262">
      <c s="31" r="A262">
        <v>260</v>
      </c>
      <c t="str" s="17" r="B262">
        <f>hyperlink("http://www.baseball-reference.com/players/c/cashnan01.shtml","Cashner, Andrew")</f>
        <v>Cashner, Andrew</v>
      </c>
      <c t="s" s="46" r="C262">
        <v>13</v>
      </c>
      <c t="s" s="46" r="D262">
        <v>35</v>
      </c>
      <c t="s" s="46" r="E262">
        <v>42</v>
      </c>
      <c s="32" r="F262">
        <v>40914</v>
      </c>
      <c t="str" s="30" r="G262">
        <f>hyperlink("http://espn.go.com/chicago/mlb/story/_/id/7432801/chicago-cubs-acquire-1b-anthony-rizzo-san-diego-padres-andrew-cashner","Traded w minor leaguer for Rizzo &amp; minor leaguer")</f>
        <v>Traded w minor leaguer for Rizzo &amp; minor leaguer</v>
      </c>
      <c t="s" s="48" r="H262">
        <v>12</v>
      </c>
    </row>
    <row r="263">
      <c s="13" r="A263">
        <v>261</v>
      </c>
      <c t="str" s="45" r="B263">
        <f>hyperlink("http://www.baseball-reference.com/players/r/rizzoan01.shtml","Rizzo, Anthony")</f>
        <v>Rizzo, Anthony</v>
      </c>
      <c t="s" s="13" r="C263">
        <v>43</v>
      </c>
      <c t="s" s="13" r="D263">
        <v>42</v>
      </c>
      <c t="s" s="13" r="E263">
        <v>35</v>
      </c>
      <c s="18" r="F263">
        <v>40914</v>
      </c>
      <c t="str" s="30" r="G263">
        <f>hyperlink("http://espn.go.com/chicago/mlb/story/_/id/7432801/chicago-cubs-acquire-1b-anthony-rizzo-san-diego-padres-andrew-cashner","Traded w minor leaguer for Cashner &amp; minor leaguer")</f>
        <v>Traded w minor leaguer for Cashner &amp; minor leaguer</v>
      </c>
      <c t="s" s="43" r="H263">
        <v>12</v>
      </c>
    </row>
    <row r="264">
      <c s="31" r="A264">
        <v>262</v>
      </c>
      <c t="str" s="33" r="B264">
        <f>hyperlink("http://www.baseball-reference.com/players/c/cedenro02.shtml","Cedeno, Ronny")</f>
        <v>Cedeno, Ronny</v>
      </c>
      <c t="s" s="46" r="C264">
        <v>17</v>
      </c>
      <c t="s" s="46" r="D264">
        <v>15</v>
      </c>
      <c t="s" s="46" r="E264">
        <v>38</v>
      </c>
      <c s="32" r="F264">
        <v>40914</v>
      </c>
      <c t="str" s="42" r="G264">
        <f>hyperlink("http://espn.go.com/blog/new-york/mets/post/_/id/37442/mets-cedeno-reach-deal","One-year contract")</f>
        <v>One-year contract</v>
      </c>
      <c s="48" r="H264">
        <v>1100000</v>
      </c>
    </row>
    <row r="265">
      <c s="13" r="A265">
        <v>263</v>
      </c>
      <c t="str" s="45" r="B265">
        <f>hyperlink("http://www.baseball-reference.com/players/c/conrabr01.shtml","Conrad, Brooks")</f>
        <v>Conrad, Brooks</v>
      </c>
      <c t="s" s="13" r="C265">
        <v>32</v>
      </c>
      <c t="s" s="13" r="D265">
        <v>10</v>
      </c>
      <c t="s" s="13" r="E265">
        <v>34</v>
      </c>
      <c s="18" r="F265">
        <v>40917</v>
      </c>
      <c t="s" s="1" r="G265">
        <v>16</v>
      </c>
      <c t="s" s="43" r="H265">
        <v>12</v>
      </c>
    </row>
    <row r="266">
      <c s="31" r="A266">
        <v>264</v>
      </c>
      <c t="str" s="17" r="B266">
        <f>hyperlink("http://www.baseball-reference.com/players/o/oliveda02.shtml","Oliver, Darren")</f>
        <v>Oliver, Darren</v>
      </c>
      <c t="s" s="31" r="C266">
        <v>13</v>
      </c>
      <c t="s" s="31" r="D266">
        <v>14</v>
      </c>
      <c t="s" s="31" r="E266">
        <v>25</v>
      </c>
      <c s="37" r="F266">
        <v>40917</v>
      </c>
      <c t="str" s="2" r="G266">
        <f>hyperlink("http://espn.go.com/blog/dallas/texas-rangers/post/_/id/4877052/darren-oliver-i-wish-them-luck","One-year contract with option")</f>
        <v>One-year contract with option</v>
      </c>
      <c s="6" r="H266">
        <v>4000000</v>
      </c>
    </row>
    <row r="267">
      <c s="13" r="A267">
        <v>265</v>
      </c>
      <c t="str" s="45" r="B267">
        <f>hyperlink("http://www.baseball-reference.com/players/s/seddoch01.shtml","Seddon, Chris")</f>
        <v>Seddon, Chris</v>
      </c>
      <c t="s" s="13" r="C267">
        <v>9</v>
      </c>
      <c t="s" s="13" r="D267">
        <v>44</v>
      </c>
      <c t="s" s="13" r="E267">
        <v>11</v>
      </c>
      <c s="18" r="F267">
        <v>40917</v>
      </c>
      <c t="s" s="1" r="G267">
        <v>16</v>
      </c>
      <c t="s" s="43" r="H267">
        <v>12</v>
      </c>
    </row>
    <row r="268">
      <c s="31" r="A268">
        <v>266</v>
      </c>
      <c t="str" s="17" r="B268">
        <f>hyperlink("http://www.baseball-reference.com/players/m/maciadr01.shtml","Macias, Drew")</f>
        <v>Macias, Drew</v>
      </c>
      <c t="s" s="31" r="C268">
        <v>19</v>
      </c>
      <c t="s" s="31" r="D268">
        <v>42</v>
      </c>
      <c t="s" s="31" r="E268">
        <v>47</v>
      </c>
      <c s="37" r="F268">
        <v>40917</v>
      </c>
      <c t="s" s="1" r="G268">
        <v>16</v>
      </c>
      <c t="s" s="6" r="H268">
        <v>12</v>
      </c>
    </row>
    <row r="269">
      <c s="13" r="A269">
        <v>267</v>
      </c>
      <c t="str" s="45" r="B269">
        <f>hyperlink("http://www.baseball-reference.com/players/b/beltrfr01.shtml","Beltran, Francis")</f>
        <v>Beltran, Francis</v>
      </c>
      <c t="s" s="13" r="C269">
        <v>13</v>
      </c>
      <c t="s" s="13" r="D269">
        <v>31</v>
      </c>
      <c t="s" s="13" r="E269">
        <v>33</v>
      </c>
      <c s="18" r="F269">
        <v>40917</v>
      </c>
      <c t="s" s="1" r="G269">
        <v>16</v>
      </c>
      <c t="s" s="43" r="H269">
        <v>12</v>
      </c>
    </row>
    <row r="270">
      <c s="31" r="A270">
        <v>268</v>
      </c>
      <c t="str" s="17" r="B270">
        <f>hyperlink("http://www.baseball-reference.com/players/l/lopezro02.shtml","Lopez, Rodrigo")</f>
        <v>Lopez, Rodrigo</v>
      </c>
      <c t="s" s="31" r="C270">
        <v>9</v>
      </c>
      <c t="s" s="9" r="D270">
        <v>35</v>
      </c>
      <c t="s" s="9" r="E270">
        <v>35</v>
      </c>
      <c s="37" r="F270">
        <v>40917</v>
      </c>
      <c t="s" s="1" r="G270">
        <v>16</v>
      </c>
      <c t="s" s="6" r="H270">
        <v>12</v>
      </c>
    </row>
    <row r="271">
      <c s="13" r="A271">
        <v>269</v>
      </c>
      <c t="str" s="45" r="B271">
        <f>hyperlink("http://www.baseball-reference.com/players/b/barthji01.shtml","Barthmaier, Jimmy")</f>
        <v>Barthmaier, Jimmy</v>
      </c>
      <c t="s" s="13" r="C271">
        <v>9</v>
      </c>
      <c t="s" s="9" r="D271">
        <v>24</v>
      </c>
      <c t="s" s="9" r="E271">
        <v>24</v>
      </c>
      <c s="18" r="F271">
        <v>40917</v>
      </c>
      <c t="s" s="1" r="G271">
        <v>16</v>
      </c>
      <c t="s" s="43" r="H271">
        <v>12</v>
      </c>
    </row>
    <row r="272">
      <c s="31" r="A272">
        <v>270</v>
      </c>
      <c t="str" s="17" r="B272">
        <f>hyperlink("http://www.baseball-reference.com/players/h/huch01.shtml","Hu, Chin-lung")</f>
        <v>Hu, Chin-lung</v>
      </c>
      <c t="s" s="31" r="C272">
        <v>17</v>
      </c>
      <c t="s" s="31" r="D272">
        <v>38</v>
      </c>
      <c t="s" s="31" r="E272">
        <v>11</v>
      </c>
      <c s="37" r="F272">
        <v>40917</v>
      </c>
      <c t="s" s="1" r="G272">
        <v>16</v>
      </c>
      <c t="s" s="6" r="H272">
        <v>12</v>
      </c>
    </row>
    <row r="273">
      <c s="13" r="A273">
        <v>271</v>
      </c>
      <c t="str" s="45" r="B273">
        <f>hyperlink("http://www.baseball-reference.com/players/m/maholpa01.shtml","Maholm, Paul")</f>
        <v>Maholm, Paul</v>
      </c>
      <c t="s" s="13" r="C273">
        <v>9</v>
      </c>
      <c t="s" s="13" r="D273">
        <v>15</v>
      </c>
      <c t="s" s="13" r="E273">
        <v>35</v>
      </c>
      <c s="18" r="F273">
        <v>40918</v>
      </c>
      <c t="str" s="22" r="G273">
        <f>hyperlink("http://espn.go.com/chicago/mlb/story/_/id/7442198/chicago-cubs-reach-deal-paul-maholm","One-year contract with option")</f>
        <v>One-year contract with option</v>
      </c>
      <c s="43" r="H273">
        <v>4250000</v>
      </c>
    </row>
    <row r="274">
      <c s="31" r="A274">
        <v>272</v>
      </c>
      <c t="str" s="44" r="B274">
        <f>hyperlink("http://www.baseball-reference.com/players/b/batismi01.shtml","Batista, Miguel")</f>
        <v>Batista, Miguel</v>
      </c>
      <c t="s" s="31" r="C274">
        <v>13</v>
      </c>
      <c t="s" s="9" r="D274">
        <v>38</v>
      </c>
      <c t="s" s="9" r="E274">
        <v>38</v>
      </c>
      <c s="37" r="F274">
        <v>40918</v>
      </c>
      <c t="s" s="1" r="G274">
        <v>16</v>
      </c>
      <c t="s" s="6" r="H274">
        <v>12</v>
      </c>
    </row>
    <row r="275">
      <c s="13" r="A275">
        <v>273</v>
      </c>
      <c t="str" s="45" r="B275">
        <f>hyperlink("http://www.baseball-reference.com/players/c/cabrefe01.shtml","Cabrera, Fernando")</f>
        <v>Cabrera, Fernando</v>
      </c>
      <c t="s" s="13" r="C275">
        <v>13</v>
      </c>
      <c t="s" s="13" r="D275">
        <v>23</v>
      </c>
      <c t="s" s="13" r="E275">
        <v>38</v>
      </c>
      <c s="18" r="F275">
        <v>40918</v>
      </c>
      <c t="s" s="1" r="G275">
        <v>16</v>
      </c>
      <c t="s" s="43" r="H275">
        <v>12</v>
      </c>
    </row>
    <row r="276">
      <c s="31" r="A276">
        <v>274</v>
      </c>
      <c t="str" s="44" r="B276">
        <f>hyperlink("http://www.baseball-reference.com/players/k/kazmase01.shtml","Kazmar, Sean")</f>
        <v>Kazmar, Sean</v>
      </c>
      <c t="s" s="31" r="C276">
        <v>17</v>
      </c>
      <c t="s" s="31" r="D276">
        <v>44</v>
      </c>
      <c t="s" s="31" r="E276">
        <v>38</v>
      </c>
      <c s="37" r="F276">
        <v>40918</v>
      </c>
      <c t="s" s="1" r="G276">
        <v>16</v>
      </c>
      <c t="s" s="6" r="H276">
        <v>12</v>
      </c>
    </row>
    <row r="277">
      <c s="13" r="A277">
        <v>275</v>
      </c>
      <c t="str" s="45" r="B277">
        <f>hyperlink("http://www.baseball-reference.com/players/h/heilmaa01.shtml","Heilman, Aaron")</f>
        <v>Heilman, Aaron</v>
      </c>
      <c t="s" s="13" r="C277">
        <v>13</v>
      </c>
      <c t="s" s="13" r="D277">
        <v>15</v>
      </c>
      <c t="s" s="13" r="E277">
        <v>44</v>
      </c>
      <c s="18" r="F277">
        <v>40918</v>
      </c>
      <c t="s" s="1" r="G277">
        <v>16</v>
      </c>
      <c t="s" s="43" r="H277">
        <v>12</v>
      </c>
    </row>
    <row r="278">
      <c s="31" r="A278">
        <v>276</v>
      </c>
      <c t="str" s="17" r="B278">
        <f>hyperlink("http://www.baseball-reference.com/players/n/nelsobr02.shtml","Nelson, Brad")</f>
        <v>Nelson, Brad</v>
      </c>
      <c t="s" s="31" r="C278">
        <v>43</v>
      </c>
      <c t="s" s="9" r="D278">
        <v>14</v>
      </c>
      <c t="s" s="9" r="E278">
        <v>14</v>
      </c>
      <c s="37" r="F278">
        <v>40918</v>
      </c>
      <c t="s" s="1" r="G278">
        <v>16</v>
      </c>
      <c t="s" s="6" r="H278">
        <v>12</v>
      </c>
    </row>
    <row r="279">
      <c s="13" r="A279">
        <v>277</v>
      </c>
      <c t="str" s="45" r="B279">
        <f>hyperlink("http://www.baseball-reference.com/players/g/guzmajo03.shtml","Guzman, Joel")</f>
        <v>Guzman, Joel</v>
      </c>
      <c t="s" s="13" r="C279">
        <v>51</v>
      </c>
      <c t="s" s="13" r="D279">
        <v>33</v>
      </c>
      <c t="s" s="13" r="E279">
        <v>36</v>
      </c>
      <c s="18" r="F279">
        <v>40918</v>
      </c>
      <c t="s" s="1" r="G279">
        <v>16</v>
      </c>
      <c t="s" s="43" r="H279">
        <v>12</v>
      </c>
    </row>
    <row r="280">
      <c s="31" r="A280">
        <v>278</v>
      </c>
      <c t="str" s="17" r="B280">
        <f>hyperlink("http://www.baseball-reference.com/players/h/hillko01.shtml","Hill, Koyie")</f>
        <v>Hill, Koyie</v>
      </c>
      <c t="s" s="31" r="C280">
        <v>21</v>
      </c>
      <c t="s" s="31" r="D280">
        <v>35</v>
      </c>
      <c t="s" s="31" r="E280">
        <v>46</v>
      </c>
      <c s="37" r="F280">
        <v>40918</v>
      </c>
      <c t="s" s="1" r="G280">
        <v>16</v>
      </c>
      <c t="s" s="6" r="H280">
        <v>12</v>
      </c>
    </row>
    <row r="281">
      <c s="13" r="A281">
        <v>279</v>
      </c>
      <c t="str" s="45" r="B281">
        <f>hyperlink("http://www.baseball-reference.com/players/c/cantujo01.shtml","Cantu, Jorge")</f>
        <v>Cantu, Jorge</v>
      </c>
      <c t="s" s="13" r="C281">
        <v>32</v>
      </c>
      <c t="s" s="13" r="D281">
        <v>22</v>
      </c>
      <c t="s" s="13" r="E281">
        <v>47</v>
      </c>
      <c s="18" r="F281">
        <v>40918</v>
      </c>
      <c t="s" s="1" r="G281">
        <v>16</v>
      </c>
      <c t="s" s="43" r="H281">
        <v>12</v>
      </c>
    </row>
    <row r="282">
      <c s="31" r="A282">
        <v>280</v>
      </c>
      <c t="str" s="17" r="B282">
        <f>hyperlink("http://www.baseball-reference.com/players/r/repkoja01.shtml","Repko, Jason")</f>
        <v>Repko, Jason</v>
      </c>
      <c t="s" s="31" r="C282">
        <v>19</v>
      </c>
      <c t="s" s="31" r="D282">
        <v>37</v>
      </c>
      <c t="s" s="31" r="E282">
        <v>41</v>
      </c>
      <c s="37" r="F282">
        <v>40918</v>
      </c>
      <c t="s" s="1" r="G282">
        <v>16</v>
      </c>
      <c t="s" s="6" r="H282">
        <v>12</v>
      </c>
    </row>
    <row r="283">
      <c s="13" r="A283">
        <v>281</v>
      </c>
      <c t="str" s="45" r="B283">
        <f>hyperlink("http://www.baseball-reference.com/minors/player.cgi?id=chen--001wei","Chen, Wei-Yin")</f>
        <v>Chen, Wei-Yin</v>
      </c>
      <c t="s" s="13" r="C283">
        <v>9</v>
      </c>
      <c t="s" s="13" r="D283">
        <v>52</v>
      </c>
      <c t="s" s="13" r="E283">
        <v>33</v>
      </c>
      <c s="18" r="F283">
        <v>40918</v>
      </c>
      <c t="str" s="22" r="G283">
        <f>hyperlink("http://espn.go.com/mlb/story/_/id/7446170/baltimore-orioles-sign-wei-yin-chen-three-year-contract","Three-year contract with option")</f>
        <v>Three-year contract with option</v>
      </c>
      <c s="43" r="H283">
        <v>11300000</v>
      </c>
    </row>
    <row r="284">
      <c s="31" r="A284">
        <v>282</v>
      </c>
      <c t="str" s="44" r="B284">
        <f>hyperlink("http://www.baseball-reference.com/players/h/hairssc01.shtml","Hairston, Scott")</f>
        <v>Hairston, Scott</v>
      </c>
      <c t="s" s="31" r="C284">
        <v>19</v>
      </c>
      <c t="s" s="9" r="D284">
        <v>38</v>
      </c>
      <c t="s" s="9" r="E284">
        <v>38</v>
      </c>
      <c s="37" r="F284">
        <v>40919</v>
      </c>
      <c t="str" s="2" r="G284">
        <f>hyperlink("http://sports.espn.go.com/espn/wire?section=mlb&amp;id=7452095","One-year contract")</f>
        <v>One-year contract</v>
      </c>
      <c s="6" r="H284">
        <v>1100000</v>
      </c>
    </row>
    <row r="285">
      <c s="13" r="A285">
        <v>283</v>
      </c>
      <c t="str" s="45" r="B285">
        <f>hyperlink("http://www.baseball-reference.com/players/p/phillpa01.shtml","Phillips, Paul")</f>
        <v>Phillips, Paul</v>
      </c>
      <c t="s" s="13" r="C285">
        <v>21</v>
      </c>
      <c t="s" s="13" r="D285">
        <v>11</v>
      </c>
      <c t="s" s="13" r="E285">
        <v>34</v>
      </c>
      <c s="18" r="F285">
        <v>40919</v>
      </c>
      <c t="s" s="1" r="G285">
        <v>16</v>
      </c>
      <c t="s" s="43" r="H285">
        <v>12</v>
      </c>
    </row>
    <row r="286">
      <c s="31" r="A286">
        <v>284</v>
      </c>
      <c t="str" s="44" r="B286">
        <f>hyperlink("http://www.baseball-reference.com/players/m/madsory01.shtml","Madson, Ryan")</f>
        <v>Madson, Ryan</v>
      </c>
      <c t="s" s="31" r="C286">
        <v>13</v>
      </c>
      <c t="s" s="31" r="D286">
        <v>27</v>
      </c>
      <c t="s" s="31" r="E286">
        <v>36</v>
      </c>
      <c s="37" r="F286">
        <v>40919</v>
      </c>
      <c t="str" s="2" r="G286">
        <f>hyperlink("http://cincinnati.reds.mlb.com/news/article.jsp?ymd=20120110&amp;content_id=26308146&amp;vkey=news_cin&amp;c_id=cin","One-year contract")</f>
        <v>One-year contract</v>
      </c>
      <c s="6" r="H286">
        <v>10000000</v>
      </c>
    </row>
    <row r="287">
      <c s="13" r="A287">
        <v>285</v>
      </c>
      <c t="str" s="45" r="B287">
        <f>hyperlink("http://www.baseball-reference.com/players/t/torreca01.shtml","Torres, Carlos")</f>
        <v>Torres, Carlos</v>
      </c>
      <c t="s" s="13" r="C287">
        <v>9</v>
      </c>
      <c t="s" s="13" r="D287">
        <v>49</v>
      </c>
      <c t="s" s="13" r="E287">
        <v>22</v>
      </c>
      <c s="18" r="F287">
        <v>40919</v>
      </c>
      <c t="s" s="1" r="G287">
        <v>16</v>
      </c>
      <c t="s" s="43" r="H287">
        <v>12</v>
      </c>
    </row>
    <row r="288">
      <c s="31" r="A288">
        <v>286</v>
      </c>
      <c t="str" s="44" r="B288">
        <f>hyperlink("http://www.baseball-reference.com/players/s/scottlu01.shtml","Scott, Luke")</f>
        <v>Scott, Luke</v>
      </c>
      <c t="s" s="31" r="C288">
        <v>19</v>
      </c>
      <c t="s" s="31" r="D288">
        <v>33</v>
      </c>
      <c t="s" s="31" r="E288">
        <v>48</v>
      </c>
      <c s="37" r="F288">
        <v>40920</v>
      </c>
      <c t="str" s="2" r="G288">
        <f>hyperlink("http://espn.go.com/mlb/story/_/id/7455067/luke-scott-agrees-1-year-contract-tampa-bay-rays-dh","One-year contract with option")</f>
        <v>One-year contract with option</v>
      </c>
      <c s="6" r="H288">
        <v>5000000</v>
      </c>
    </row>
    <row r="289">
      <c s="13" r="A289">
        <v>287</v>
      </c>
      <c t="str" s="45" r="B289">
        <f>hyperlink("http://www.baseball-reference.com/players/r/raych01.shtml","Ray, Chris")</f>
        <v>Ray, Chris</v>
      </c>
      <c t="s" s="13" r="C289">
        <v>13</v>
      </c>
      <c t="s" s="13" r="D289">
        <v>44</v>
      </c>
      <c t="s" s="13" r="E289">
        <v>11</v>
      </c>
      <c s="18" r="F289">
        <v>40920</v>
      </c>
      <c t="s" s="1" r="G289">
        <v>16</v>
      </c>
      <c t="s" s="43" r="H289">
        <v>12</v>
      </c>
    </row>
    <row r="290">
      <c s="31" r="A290">
        <v>288</v>
      </c>
      <c t="str" s="44" r="B290">
        <f>hyperlink("http://www.baseball-reference.com/players/w/wilsoja02.shtml","Wilson, Jack")</f>
        <v>Wilson, Jack</v>
      </c>
      <c t="s" s="31" r="C290">
        <v>32</v>
      </c>
      <c t="s" s="9" r="D290">
        <v>10</v>
      </c>
      <c t="s" s="9" r="E290">
        <v>10</v>
      </c>
      <c s="37" r="F290">
        <v>40921</v>
      </c>
      <c t="str" s="2" r="G290">
        <f>hyperlink("http://espn.go.com/mlb/story/_/id/7460130/martin-prado-agrees-475-million-deal-atlanta-braves","One-year contract")</f>
        <v>One-year contract</v>
      </c>
      <c s="6" r="H290">
        <v>1000000</v>
      </c>
    </row>
    <row r="291">
      <c s="13" r="A291">
        <v>289</v>
      </c>
      <c t="str" s="45" r="B291">
        <f>hyperlink("http://www.baseball-reference.com/players/w/woodke02.shtml","Wood, Kerry")</f>
        <v>Wood, Kerry</v>
      </c>
      <c t="s" s="13" r="C291">
        <v>13</v>
      </c>
      <c t="s" s="9" r="D291">
        <v>35</v>
      </c>
      <c t="s" s="9" r="E291">
        <v>35</v>
      </c>
      <c s="18" r="F291">
        <v>40921</v>
      </c>
      <c t="str" s="22" r="G291">
        <f>hyperlink("http://espn.go.com/chicago/mlb/story/_/id/7460180/kerry-wood-chicago-cubs-agree-one-year-3-million-deal","One-year contract with option")</f>
        <v>One-year contract with option</v>
      </c>
      <c s="43" r="H291">
        <v>3000000</v>
      </c>
    </row>
    <row r="292">
      <c s="31" r="A292">
        <v>290</v>
      </c>
      <c t="str" s="44" r="B292">
        <f>hyperlink("http://www.baseball-reference.com/players/z/zavadcl01.shtml","Zavada, Clay")</f>
        <v>Zavada, Clay</v>
      </c>
      <c t="s" s="31" r="C292">
        <v>13</v>
      </c>
      <c t="s" s="31" r="D292">
        <v>18</v>
      </c>
      <c t="s" s="31" r="E292">
        <v>36</v>
      </c>
      <c s="37" r="F292">
        <v>40921</v>
      </c>
      <c t="s" s="1" r="G292">
        <v>16</v>
      </c>
      <c t="s" s="6" r="H292">
        <v>12</v>
      </c>
    </row>
    <row r="293">
      <c s="13" r="A293">
        <v>291</v>
      </c>
      <c t="str" s="45" r="B293">
        <f>hyperlink("http://www.baseball-reference.com/players/m/mahayro01.shtml","Mahay, Ron")</f>
        <v>Mahay, Ron</v>
      </c>
      <c t="s" s="13" r="C293">
        <v>13</v>
      </c>
      <c t="s" s="13" r="D293">
        <v>46</v>
      </c>
      <c t="s" s="13" r="E293">
        <v>36</v>
      </c>
      <c s="18" r="F293">
        <v>40921</v>
      </c>
      <c t="s" s="1" r="G293">
        <v>16</v>
      </c>
      <c t="s" s="43" r="H293">
        <v>12</v>
      </c>
    </row>
    <row r="294">
      <c s="31" r="A294">
        <v>292</v>
      </c>
      <c t="str" s="44" r="B294">
        <f>hyperlink("http://www.baseball-reference.com/players/k/kurodhi01.shtml","Kuroda, Hiroki")</f>
        <v>Kuroda, Hiroki</v>
      </c>
      <c t="s" s="31" r="C294">
        <v>9</v>
      </c>
      <c t="s" s="31" r="D294">
        <v>20</v>
      </c>
      <c t="s" s="31" r="E294">
        <v>45</v>
      </c>
      <c s="37" r="F294">
        <v>40921</v>
      </c>
      <c t="str" s="2" r="G294">
        <f>hyperlink("http://espn.go.com/new-york/mlb/story/_/id/7460382/new-york-yankees-sign-former-los-angeles-dodgers-pitcher-hiroki-kuroda-sources-say","One-year contract")</f>
        <v>One-year contract</v>
      </c>
      <c s="6" r="H294">
        <v>10000000</v>
      </c>
    </row>
    <row r="295">
      <c s="13" r="A295">
        <v>293</v>
      </c>
      <c t="str" s="45" r="B295">
        <f>hyperlink("http://www.baseball-reference.com/players/m/monteje01.shtml","Montero, Jesus")</f>
        <v>Montero, Jesus</v>
      </c>
      <c t="s" s="13" r="C295">
        <v>21</v>
      </c>
      <c t="s" s="13" r="D295">
        <v>45</v>
      </c>
      <c t="s" s="13" r="E295">
        <v>44</v>
      </c>
      <c s="18" r="F295">
        <v>40921</v>
      </c>
      <c t="str" s="30" r="G295">
        <f>hyperlink("http://espn.go.com/new-york/mlb/story/_/id/7460297/new-york-yankees-deal-jesus-montero-seattle-mariners-michael-pineda-source-says","Traded w Noesi for Pineda &amp; minor leaguer")</f>
        <v>Traded w Noesi for Pineda &amp; minor leaguer</v>
      </c>
      <c t="s" s="43" r="H295">
        <v>12</v>
      </c>
    </row>
    <row r="296">
      <c s="31" r="A296">
        <v>294</v>
      </c>
      <c t="str" s="36" r="B296">
        <f>hyperlink("http://www.baseball-reference.com/players/n/noesihe01.shtml","Noesi, Hector")</f>
        <v>Noesi, Hector</v>
      </c>
      <c t="s" s="31" r="C296">
        <v>9</v>
      </c>
      <c t="s" s="31" r="D296">
        <v>45</v>
      </c>
      <c t="s" s="31" r="E296">
        <v>44</v>
      </c>
      <c s="37" r="F296">
        <v>40921</v>
      </c>
      <c t="str" s="30" r="G296">
        <f>hyperlink("http://espn.go.com/new-york/mlb/story/_/id/7460297/new-york-yankees-deal-jesus-montero-seattle-mariners-michael-pineda-source-says","Traded w Montero for Pineda &amp; minor leaguer")</f>
        <v>Traded w Montero for Pineda &amp; minor leaguer</v>
      </c>
      <c t="s" s="6" r="H296">
        <v>12</v>
      </c>
    </row>
    <row r="297">
      <c s="13" r="A297">
        <v>295</v>
      </c>
      <c t="str" s="45" r="B297">
        <f>hyperlink("http://www.baseball-reference.com/players/p/pinedmi01.shtml","Pineda, Michael")</f>
        <v>Pineda, Michael</v>
      </c>
      <c t="s" s="13" r="C297">
        <v>9</v>
      </c>
      <c t="s" s="13" r="D297">
        <v>44</v>
      </c>
      <c t="s" s="13" r="E297">
        <v>45</v>
      </c>
      <c s="18" r="F297">
        <v>40921</v>
      </c>
      <c t="str" s="30" r="G297">
        <f>hyperlink("http://espn.go.com/new-york/mlb/story/_/id/7460297/new-york-yankees-deal-jesus-montero-seattle-mariners-michael-pineda-source-says","Traded w minor leaguer for Pineda &amp; Noesi")</f>
        <v>Traded w minor leaguer for Pineda &amp; Noesi</v>
      </c>
      <c t="s" s="43" r="H297">
        <v>12</v>
      </c>
    </row>
    <row r="298">
      <c s="31" r="A298">
        <v>296</v>
      </c>
      <c t="str" s="17" r="B298">
        <f>hyperlink("http://www.baseball-reference.com/players/r/rhymewi01.shtml","Rhymes, Will")</f>
        <v>Rhymes, Will</v>
      </c>
      <c t="s" s="31" r="C298">
        <v>39</v>
      </c>
      <c t="s" s="31" r="D298">
        <v>30</v>
      </c>
      <c t="s" s="31" r="E298">
        <v>48</v>
      </c>
      <c s="37" r="F298">
        <v>40921</v>
      </c>
      <c t="s" s="1" r="G298">
        <v>16</v>
      </c>
      <c t="s" s="6" r="H298">
        <v>12</v>
      </c>
    </row>
    <row r="299">
      <c s="13" r="A299">
        <v>297</v>
      </c>
      <c t="str" s="45" r="B299">
        <f>hyperlink("http://www.baseball-reference.com/players/a/amezaal01.shtml","Amezaga, Alfredo")</f>
        <v>Amezaga, Alfredo</v>
      </c>
      <c t="s" s="13" r="C299">
        <v>39</v>
      </c>
      <c t="s" s="13" r="D299">
        <v>40</v>
      </c>
      <c t="s" s="13" r="E299">
        <v>35</v>
      </c>
      <c s="18" r="F299">
        <v>40921</v>
      </c>
      <c t="s" s="1" r="G299">
        <v>16</v>
      </c>
      <c t="s" s="43" r="H299">
        <v>12</v>
      </c>
    </row>
    <row r="300">
      <c s="31" r="A300">
        <v>298</v>
      </c>
      <c t="str" s="44" r="B300">
        <f>hyperlink("http://www.baseball-reference.com/players/k/kouzmke01.shtml","Kouzmanoff, Kevin")</f>
        <v>Kouzmanoff, Kevin</v>
      </c>
      <c t="s" s="31" r="C300">
        <v>51</v>
      </c>
      <c t="s" s="31" r="D300">
        <v>22</v>
      </c>
      <c t="s" s="31" r="E300">
        <v>28</v>
      </c>
      <c s="37" r="F300">
        <v>40922</v>
      </c>
      <c t="s" s="1" r="G300">
        <v>16</v>
      </c>
      <c t="s" s="6" r="H300">
        <v>12</v>
      </c>
    </row>
    <row r="301">
      <c s="13" r="A301">
        <v>299</v>
      </c>
      <c t="str" s="45" r="B301">
        <f>hyperlink("http://www.baseball-reference.com/players/s/smithse01.shtml","Smith, Seth")</f>
        <v>Smith, Seth</v>
      </c>
      <c t="s" s="13" r="C301">
        <v>19</v>
      </c>
      <c t="s" s="13" r="D301">
        <v>22</v>
      </c>
      <c t="s" s="13" r="E301">
        <v>23</v>
      </c>
      <c s="18" r="F301">
        <v>40924</v>
      </c>
      <c t="str" s="30" r="G301">
        <f>hyperlink("http://espn.go.com/mlb/story/_/id/7467972/oakland-athletics-acquire-outfielder-seth-smith-deal-colorado-rockies","Traded for Moscoso &amp; Outman")</f>
        <v>Traded for Moscoso &amp; Outman</v>
      </c>
      <c t="s" s="43" r="H301">
        <v>12</v>
      </c>
    </row>
    <row r="302">
      <c s="31" r="A302">
        <v>300</v>
      </c>
      <c t="str" s="17" r="B302">
        <f>hyperlink("http://www.baseball-reference.com/players/m/moscogu01.shtml","Moscoso, Guillermo")</f>
        <v>Moscoso, Guillermo</v>
      </c>
      <c t="s" s="31" r="C302">
        <v>9</v>
      </c>
      <c t="s" s="31" r="D302">
        <v>23</v>
      </c>
      <c t="s" s="31" r="E302">
        <v>22</v>
      </c>
      <c s="37" r="F302">
        <v>40924</v>
      </c>
      <c t="str" s="30" r="G302">
        <f>hyperlink("http://espn.go.com/mlb/story/_/id/7467972/oakland-athletics-acquire-outfielder-seth-smith-deal-colorado-rockies","Traded w Outman for Smith")</f>
        <v>Traded w Outman for Smith</v>
      </c>
      <c t="s" s="6" r="H302">
        <v>12</v>
      </c>
    </row>
    <row r="303">
      <c s="13" r="A303">
        <v>301</v>
      </c>
      <c t="str" s="45" r="B303">
        <f>hyperlink("http://www.baseball-reference.com/players/o/outmajo01.shtml","Outman, Josh")</f>
        <v>Outman, Josh</v>
      </c>
      <c t="s" s="13" r="C303">
        <v>9</v>
      </c>
      <c t="s" s="13" r="D303">
        <v>23</v>
      </c>
      <c t="s" s="13" r="E303">
        <v>22</v>
      </c>
      <c s="18" r="F303">
        <v>40924</v>
      </c>
      <c t="str" s="30" r="G303">
        <f>hyperlink("http://espn.go.com/mlb/story/_/id/7467972/oakland-athletics-acquire-outfielder-seth-smith-deal-colorado-rockies","Traded w Moscoso for Smith")</f>
        <v>Traded w Moscoso for Smith</v>
      </c>
      <c t="s" s="43" r="H303">
        <v>12</v>
      </c>
    </row>
    <row r="304">
      <c s="31" r="A304">
        <v>302</v>
      </c>
      <c t="str" s="17" r="B304">
        <f>hyperlink("http://www.baseball-reference.com/players/n/navardi01.shtml","Navarro, Dioner")</f>
        <v>Navarro, Dioner</v>
      </c>
      <c t="s" s="31" r="C304">
        <v>21</v>
      </c>
      <c t="s" s="31" r="D304">
        <v>55</v>
      </c>
      <c t="s" s="31" r="E304">
        <v>36</v>
      </c>
      <c s="37" r="F304">
        <v>40925</v>
      </c>
      <c t="s" s="1" r="G304">
        <v>16</v>
      </c>
      <c t="s" s="6" r="H304">
        <v>12</v>
      </c>
    </row>
    <row r="305">
      <c s="13" r="A305">
        <v>303</v>
      </c>
      <c t="str" s="45" r="B305">
        <f>hyperlink("http://www.baseball-reference.com/players/f/felicje01.shtml","Feliciano, Jesus")</f>
        <v>Feliciano, Jesus</v>
      </c>
      <c t="s" s="13" r="C305">
        <v>19</v>
      </c>
      <c t="s" s="13" r="D305">
        <v>38</v>
      </c>
      <c t="s" s="13" r="E305">
        <v>48</v>
      </c>
      <c s="18" r="F305">
        <v>40925</v>
      </c>
      <c t="s" s="1" r="G305">
        <v>16</v>
      </c>
      <c t="s" s="43" r="H305">
        <v>12</v>
      </c>
    </row>
    <row r="306">
      <c s="31" r="A306">
        <v>304</v>
      </c>
      <c t="str" s="17" r="B306">
        <f>hyperlink("http://www.baseball-reference.com/minors/player.cgi?id=aoki--001nor","Aoki, Norichika")</f>
        <v>Aoki, Norichika</v>
      </c>
      <c t="s" s="31" r="C306">
        <v>19</v>
      </c>
      <c t="s" s="31" r="D306">
        <v>52</v>
      </c>
      <c t="s" s="31" r="E306">
        <v>34</v>
      </c>
      <c s="37" r="F306">
        <v>40925</v>
      </c>
      <c t="str" s="2" r="G306">
        <f>hyperlink("http://espn.go.com/mlb/story/_/id/7482633/japan-norichika-aoki-cashes-milwaukee-brewers-longtime-dream","Two-year contract with option")</f>
        <v>Two-year contract with option</v>
      </c>
      <c s="6" r="H306">
        <v>2250000</v>
      </c>
    </row>
    <row r="307">
      <c s="13" r="A307">
        <v>305</v>
      </c>
      <c t="str" s="45" r="B307">
        <f>hyperlink("http://www.baseball-reference.com/players/s/slatedo01.shtml","Slaten, Doug")</f>
        <v>Slaten, Doug</v>
      </c>
      <c t="s" s="13" r="C307">
        <v>13</v>
      </c>
      <c t="s" s="13" r="D307">
        <v>24</v>
      </c>
      <c t="s" s="13" r="E307">
        <v>15</v>
      </c>
      <c s="18" r="F307">
        <v>40925</v>
      </c>
      <c t="s" s="1" r="G307">
        <v>16</v>
      </c>
      <c t="s" s="43" r="H307">
        <v>12</v>
      </c>
    </row>
    <row r="308">
      <c s="31" r="A308">
        <v>306</v>
      </c>
      <c t="str" s="17" r="B308">
        <f>hyperlink("http://www.baseball-reference.com/players/s/sanchro01.shtml","Sanchez, Romulo")</f>
        <v>Sanchez, Romulo</v>
      </c>
      <c t="s" s="31" r="C308">
        <v>13</v>
      </c>
      <c t="s" s="31" r="D308">
        <v>45</v>
      </c>
      <c t="s" s="31" r="E308">
        <v>48</v>
      </c>
      <c s="37" r="F308">
        <v>40925</v>
      </c>
      <c t="s" s="1" r="G308">
        <v>16</v>
      </c>
      <c t="s" s="6" r="H308">
        <v>12</v>
      </c>
    </row>
    <row r="309">
      <c s="13" r="A309">
        <v>307</v>
      </c>
      <c t="str" s="45" r="B309">
        <f>hyperlink("http://www.baseball-reference.com/players/p/pineijo01.shtml","Pineiro, Joel")</f>
        <v>Pineiro, Joel</v>
      </c>
      <c t="s" s="13" r="C309">
        <v>9</v>
      </c>
      <c t="s" s="13" r="D309">
        <v>47</v>
      </c>
      <c t="s" s="13" r="E309">
        <v>27</v>
      </c>
      <c s="18" r="F309">
        <v>40925</v>
      </c>
      <c t="s" s="1" r="G309">
        <v>16</v>
      </c>
      <c t="s" s="43" r="H309">
        <v>12</v>
      </c>
    </row>
    <row r="310">
      <c s="31" r="A310">
        <v>308</v>
      </c>
      <c t="str" s="17" r="B310">
        <f>hyperlink("http://www.baseball-reference.com/players/s/saundjo01.shtml","Saunders, Joe")</f>
        <v>Saunders, Joe</v>
      </c>
      <c t="s" s="31" r="C310">
        <v>9</v>
      </c>
      <c t="s" s="9" r="D310">
        <v>18</v>
      </c>
      <c t="s" s="9" r="E310">
        <v>18</v>
      </c>
      <c s="37" r="F310">
        <v>40925</v>
      </c>
      <c t="str" s="2" r="G310">
        <f>hyperlink("http://sports.espn.go.com/espn/wire?section=mlb&amp;id=7473321","One-year contract")</f>
        <v>One-year contract</v>
      </c>
      <c s="6" r="H310">
        <v>6000000</v>
      </c>
    </row>
    <row r="311">
      <c s="13" r="A311">
        <v>309</v>
      </c>
      <c t="str" s="45" r="B311">
        <f>hyperlink("http://www.baseball-reference.com/players/c/custja01.shtml","Cust, Jack")</f>
        <v>Cust, Jack</v>
      </c>
      <c t="s" s="13" r="C311">
        <v>19</v>
      </c>
      <c t="s" s="13" r="D311">
        <v>27</v>
      </c>
      <c t="s" s="13" r="E311">
        <v>31</v>
      </c>
      <c s="18" r="F311">
        <v>40926</v>
      </c>
      <c t="str" s="22" r="G311">
        <f>hyperlink("http://espn.go.com/mlb/story/_/id/7475673/jack-cust-houston-astros-agree-one-year-600000-deal","One-year contract with option")</f>
        <v>One-year contract with option</v>
      </c>
      <c s="43" r="H311">
        <v>600000</v>
      </c>
    </row>
    <row r="312">
      <c s="31" r="A312">
        <v>310</v>
      </c>
      <c t="str" s="17" r="B312">
        <f>hyperlink("http://www.baseball-reference.com/players/b/blancgr01.shtml","Blanco, Gregor")</f>
        <v>Blanco, Gregor</v>
      </c>
      <c t="s" s="31" r="C312">
        <v>19</v>
      </c>
      <c t="s" s="31" r="D312">
        <v>24</v>
      </c>
      <c t="s" s="31" r="E312">
        <v>29</v>
      </c>
      <c s="37" r="F312">
        <v>40926</v>
      </c>
      <c t="s" s="1" r="G312">
        <v>16</v>
      </c>
      <c t="s" s="6" r="H312">
        <v>12</v>
      </c>
    </row>
    <row r="313">
      <c s="13" r="A313">
        <v>311</v>
      </c>
      <c t="str" s="45" r="B313">
        <f>hyperlink("http://www.baseball-reference.com/players/z/zumayjo01.shtml","Zumaya, Joel")</f>
        <v>Zumaya, Joel</v>
      </c>
      <c t="s" s="13" r="C313">
        <v>13</v>
      </c>
      <c t="s" s="13" r="D313">
        <v>30</v>
      </c>
      <c t="s" s="13" r="E313">
        <v>37</v>
      </c>
      <c s="18" r="F313">
        <v>40926</v>
      </c>
      <c t="str" s="22" r="G313">
        <f>hyperlink("http://espn.go.com/mlb/story/_/id/7476783/joel-zumaya-minnesota-twins-finalize-contract","One-year contract")</f>
        <v>One-year contract</v>
      </c>
      <c s="43" r="H313">
        <v>850000</v>
      </c>
    </row>
    <row r="314">
      <c s="31" r="A314">
        <v>312</v>
      </c>
      <c t="str" s="17" r="B314">
        <f>hyperlink("http://www.baseball-reference.com/players/b/burrebr01.shtml","Burres, Brian")</f>
        <v>Burres, Brian</v>
      </c>
      <c t="s" s="31" r="C314">
        <v>9</v>
      </c>
      <c t="s" s="31" r="D314">
        <v>15</v>
      </c>
      <c t="s" s="31" r="E314">
        <v>29</v>
      </c>
      <c s="37" r="F314">
        <v>40926</v>
      </c>
      <c t="s" s="1" r="G314">
        <v>16</v>
      </c>
      <c t="s" s="6" r="H314">
        <v>12</v>
      </c>
    </row>
    <row r="315">
      <c s="13" r="A315">
        <v>313</v>
      </c>
      <c t="str" s="45" r="B315">
        <f>hyperlink("http://www.baseball-reference.com/players/p/perezol01.shtml","Perez, Oliver")</f>
        <v>Perez, Oliver</v>
      </c>
      <c t="s" s="13" r="C315">
        <v>9</v>
      </c>
      <c t="s" s="13" r="D315">
        <v>24</v>
      </c>
      <c t="s" s="13" r="E315">
        <v>44</v>
      </c>
      <c s="18" r="F315">
        <v>40926</v>
      </c>
      <c t="s" s="1" r="G315">
        <v>16</v>
      </c>
      <c t="s" s="43" r="H315">
        <v>12</v>
      </c>
    </row>
    <row r="316">
      <c s="31" r="A316">
        <v>314</v>
      </c>
      <c t="str" s="17" r="B316">
        <f>hyperlink("http://www.baseball-reference.com/minors/player.cgi?id=darvis001yu-","Darvish, Yu")</f>
        <v>Darvish, Yu</v>
      </c>
      <c t="s" s="31" r="C316">
        <v>9</v>
      </c>
      <c t="s" s="31" r="D316">
        <v>52</v>
      </c>
      <c t="s" s="31" r="E316">
        <v>14</v>
      </c>
      <c s="37" r="F316">
        <v>40926</v>
      </c>
      <c t="str" s="2" r="G316">
        <f>hyperlink("http://espn.go.com/dallas/mlb/story/_/id/7476104/texas-rangers-japanese-pitcher-yu-darvish-agree-six-year-60m-deal","Six-year contract")</f>
        <v>Six-year contract</v>
      </c>
      <c s="6" r="H316">
        <v>60000000</v>
      </c>
    </row>
    <row r="317">
      <c s="13" r="A317">
        <v>315</v>
      </c>
      <c t="str" s="45" r="B317">
        <f>hyperlink("http://www.baseball-reference.com/players/m/moyerja01.shtml","Moyer, Jamie")</f>
        <v>Moyer, Jamie</v>
      </c>
      <c t="s" s="13" r="C317">
        <v>9</v>
      </c>
      <c t="s" s="13" r="D317">
        <v>27</v>
      </c>
      <c t="s" s="13" r="E317">
        <v>22</v>
      </c>
      <c s="18" r="F317">
        <v>40926</v>
      </c>
      <c t="s" s="1" r="G317">
        <v>16</v>
      </c>
      <c t="s" s="43" r="H317">
        <v>12</v>
      </c>
    </row>
    <row r="318">
      <c s="31" r="A318">
        <v>316</v>
      </c>
      <c t="str" s="17" r="B318">
        <f>hyperlink("http://www.baseball-reference.com/players/l/lewisfr02.shtml","Lewis, Fred")</f>
        <v>Lewis, Fred</v>
      </c>
      <c t="s" s="31" r="C318">
        <v>19</v>
      </c>
      <c t="s" s="31" r="D318">
        <v>36</v>
      </c>
      <c t="s" s="31" r="E318">
        <v>11</v>
      </c>
      <c s="37" r="F318">
        <v>40927</v>
      </c>
      <c t="s" s="1" r="G318">
        <v>16</v>
      </c>
      <c t="s" s="6" r="H318">
        <v>12</v>
      </c>
    </row>
    <row r="319">
      <c s="13" r="A319">
        <v>317</v>
      </c>
      <c t="str" s="45" r="B319">
        <f>hyperlink("http://www.baseball-reference.com/players/a/accarje01.shtml","Accardo, Jeremy")</f>
        <v>Accardo, Jeremy</v>
      </c>
      <c t="s" s="13" r="C319">
        <v>13</v>
      </c>
      <c t="s" s="13" r="D319">
        <v>33</v>
      </c>
      <c t="s" s="13" r="E319">
        <v>11</v>
      </c>
      <c s="18" r="F319">
        <v>40927</v>
      </c>
      <c t="s" s="1" r="G319">
        <v>16</v>
      </c>
      <c t="s" s="43" r="H319">
        <v>12</v>
      </c>
    </row>
    <row r="320">
      <c s="31" r="A320">
        <v>318</v>
      </c>
      <c t="str" s="17" r="B320">
        <f>hyperlink("http://www.baseball-reference.com/players/f/figuene01.shtml","Figueroa, Nelson")</f>
        <v>Figueroa, Nelson</v>
      </c>
      <c t="s" s="31" r="C320">
        <v>9</v>
      </c>
      <c t="s" s="31" r="D320">
        <v>15</v>
      </c>
      <c t="s" s="31" r="E320">
        <v>25</v>
      </c>
      <c s="37" r="F320">
        <v>40927</v>
      </c>
      <c t="s" s="1" r="G320">
        <v>16</v>
      </c>
      <c t="s" s="6" r="H320">
        <v>12</v>
      </c>
    </row>
    <row r="321">
      <c s="13" r="A321">
        <v>319</v>
      </c>
      <c t="str" s="45" r="B321">
        <f>hyperlink("http://www.baseball-reference.com/players/p/petitgr01.shtml","Petit, Gregorio")</f>
        <v>Petit, Gregorio</v>
      </c>
      <c t="s" s="13" r="C321">
        <v>39</v>
      </c>
      <c t="s" s="13" r="D321">
        <v>42</v>
      </c>
      <c t="s" s="13" r="E321">
        <v>11</v>
      </c>
      <c s="18" r="F321">
        <v>40928</v>
      </c>
      <c t="s" s="1" r="G321">
        <v>16</v>
      </c>
      <c t="s" s="43" r="H321">
        <v>12</v>
      </c>
    </row>
    <row r="322">
      <c s="31" r="A322">
        <v>320</v>
      </c>
      <c t="str" s="17" r="B322">
        <f>hyperlink("http://www.baseball-reference.com/players/t/tiffete01.shtml","Tiffee, Terry")</f>
        <v>Tiffee, Terry</v>
      </c>
      <c t="s" s="31" r="C322">
        <v>51</v>
      </c>
      <c t="s" s="31" r="D322">
        <v>45</v>
      </c>
      <c t="s" s="31" r="E322">
        <v>40</v>
      </c>
      <c s="37" r="F322">
        <v>40928</v>
      </c>
      <c t="s" s="1" r="G322">
        <v>16</v>
      </c>
      <c t="s" s="6" r="H322">
        <v>12</v>
      </c>
    </row>
    <row r="323">
      <c s="13" r="A323">
        <v>321</v>
      </c>
      <c t="str" s="45" r="B323">
        <f>hyperlink("http://www.baseball-reference.com/players/s/snydech02.shtml","Snyder, Chris")</f>
        <v>Snyder, Chris</v>
      </c>
      <c t="s" s="13" r="C323">
        <v>21</v>
      </c>
      <c t="s" s="13" r="D323">
        <v>15</v>
      </c>
      <c t="s" s="13" r="E323">
        <v>31</v>
      </c>
      <c s="18" r="F323">
        <v>40928</v>
      </c>
      <c t="str" s="22" r="G323">
        <f>hyperlink("http://espn.go.com/mlb/story/_/id/7484250/houston-astros-agree-1-year-contract-chris-snyder","One-year contract with option")</f>
        <v>One-year contract with option</v>
      </c>
      <c t="s" s="43" r="H323">
        <v>53</v>
      </c>
    </row>
    <row r="324">
      <c s="31" r="A324">
        <v>322</v>
      </c>
      <c t="str" s="17" r="B324">
        <f>hyperlink("http://www.baseball-reference.com/players/s/spilbry01.shtml","Spilborghs, Ryan")</f>
        <v>Spilborghs, Ryan</v>
      </c>
      <c t="s" s="31" r="C324">
        <v>19</v>
      </c>
      <c t="s" s="31" r="D324">
        <v>22</v>
      </c>
      <c t="s" s="31" r="E324">
        <v>11</v>
      </c>
      <c s="37" r="F324">
        <v>40928</v>
      </c>
      <c t="s" s="1" r="G324">
        <v>16</v>
      </c>
      <c t="s" s="6" r="H324">
        <v>12</v>
      </c>
    </row>
    <row r="325">
      <c s="13" r="A325">
        <v>323</v>
      </c>
      <c t="str" s="45" r="B325">
        <f>hyperlink("http://www.baseball-reference.com/players/g/glovega01.shtml","Glover, Gary")</f>
        <v>Glover, Gary</v>
      </c>
      <c t="s" s="13" r="C325">
        <v>13</v>
      </c>
      <c t="s" s="9" r="D325">
        <v>40</v>
      </c>
      <c t="s" s="9" r="E325">
        <v>40</v>
      </c>
      <c s="18" r="F325">
        <v>40928</v>
      </c>
      <c t="s" s="1" r="G325">
        <v>16</v>
      </c>
      <c t="s" s="43" r="H325">
        <v>12</v>
      </c>
    </row>
    <row r="326">
      <c s="31" r="A326">
        <v>324</v>
      </c>
      <c t="str" s="33" r="B326">
        <f>hyperlink("http://www.baseball-reference.com/players/h/hawpebr01.shtml","Hawpe, Brad")</f>
        <v>Hawpe, Brad</v>
      </c>
      <c t="s" s="31" r="C326">
        <v>43</v>
      </c>
      <c t="s" s="31" r="D326">
        <v>42</v>
      </c>
      <c t="s" s="31" r="E326">
        <v>14</v>
      </c>
      <c s="37" r="F326">
        <v>40928</v>
      </c>
      <c t="s" s="1" r="G326">
        <v>16</v>
      </c>
      <c t="s" s="6" r="H326">
        <v>12</v>
      </c>
    </row>
    <row r="327">
      <c s="13" r="A327">
        <v>325</v>
      </c>
      <c t="str" s="23" r="B327">
        <f>hyperlink("http://www.baseball-reference.com/players/p/putnaza01.shtml","Putnam, Zach")</f>
        <v>Putnam, Zach</v>
      </c>
      <c t="s" s="13" r="C327">
        <v>13</v>
      </c>
      <c t="s" s="13" r="D327">
        <v>11</v>
      </c>
      <c t="s" s="13" r="E327">
        <v>22</v>
      </c>
      <c s="18" r="F327">
        <v>40928</v>
      </c>
      <c t="str" s="30" r="G327">
        <f>hyperlink("http://espn.go.com/mlb/story/_/id/7485048/cleveland-indians-acquire-kevin-slowey-rotation-depth","Traded for Kevin Slowey")</f>
        <v>Traded for Kevin Slowey</v>
      </c>
      <c t="s" s="43" r="H327">
        <v>12</v>
      </c>
    </row>
    <row r="328">
      <c s="31" r="A328">
        <v>326</v>
      </c>
      <c t="str" s="33" r="B328">
        <f>hyperlink("http://www.baseball-reference.com/players/s/sloweke01.shtml","Slowey, Kevin")</f>
        <v>Slowey, Kevin</v>
      </c>
      <c t="s" s="31" r="C328">
        <v>9</v>
      </c>
      <c t="s" s="31" r="D328">
        <v>22</v>
      </c>
      <c t="s" s="31" r="E328">
        <v>11</v>
      </c>
      <c s="37" r="F328">
        <v>40928</v>
      </c>
      <c t="str" s="30" r="G328">
        <f>hyperlink("http://espn.go.com/mlb/story/_/id/7485048/cleveland-indians-acquire-kevin-slowey-rotation-depth","Traded for Zach Putnam")</f>
        <v>Traded for Zach Putnam</v>
      </c>
      <c t="s" s="6" r="H328">
        <v>12</v>
      </c>
    </row>
    <row r="329">
      <c s="13" r="A329">
        <v>327</v>
      </c>
      <c t="str" s="23" r="B329">
        <f>hyperlink("http://www.baseball-reference.com/players/m/mortecl01.shtml","Mortensen, Clayton")</f>
        <v>Mortensen, Clayton</v>
      </c>
      <c t="s" s="13" r="C329">
        <v>9</v>
      </c>
      <c t="s" s="13" r="D329">
        <v>22</v>
      </c>
      <c t="s" s="13" r="E329">
        <v>41</v>
      </c>
      <c s="18" r="F329">
        <v>40929</v>
      </c>
      <c t="str" s="30" r="G329">
        <f>hyperlink("http://espn.go.com/boston/mlb/story/_/id/7487532/boston-red-sox-deal-marco-scutaro-colorado-rockies-clayton-mortensen","Traded for Marco Scutaro")</f>
        <v>Traded for Marco Scutaro</v>
      </c>
      <c t="s" s="43" r="H329">
        <v>12</v>
      </c>
    </row>
    <row r="330">
      <c s="31" r="A330">
        <v>328</v>
      </c>
      <c t="str" s="33" r="B330">
        <f>hyperlink("http://www.baseball-reference.com/players/s/scutama01.shtml","Scutaro, Marco")</f>
        <v>Scutaro, Marco</v>
      </c>
      <c t="s" s="31" r="C330">
        <v>17</v>
      </c>
      <c t="s" s="31" r="D330">
        <v>41</v>
      </c>
      <c t="s" s="31" r="E330">
        <v>22</v>
      </c>
      <c s="37" r="F330">
        <v>40929</v>
      </c>
      <c t="str" s="30" r="G330">
        <f>hyperlink("http://espn.go.com/boston/mlb/story/_/id/7487532/boston-red-sox-deal-marco-scutaro-colorado-rockies-clayton-mortensen","Traded for Clayton Mortensen")</f>
        <v>Traded for Clayton Mortensen</v>
      </c>
      <c t="s" s="6" r="H330">
        <v>12</v>
      </c>
    </row>
    <row r="331">
      <c s="13" r="A331">
        <v>329</v>
      </c>
      <c t="str" s="23" r="B331">
        <f>hyperlink("http://www.baseball-reference.com/players/y/youngde04.shtml","Young, Delwyn")</f>
        <v>Young, Delwyn</v>
      </c>
      <c t="s" s="13" r="C331">
        <v>19</v>
      </c>
      <c t="s" s="13" r="D331">
        <v>27</v>
      </c>
      <c t="s" s="13" r="E331">
        <v>49</v>
      </c>
      <c s="18" r="F331">
        <v>40931</v>
      </c>
      <c t="s" s="1" r="G331">
        <v>16</v>
      </c>
      <c t="s" s="43" r="H331">
        <v>12</v>
      </c>
    </row>
    <row r="332">
      <c s="31" r="A332">
        <v>330</v>
      </c>
      <c t="str" s="33" r="B332">
        <f>hyperlink("http://www.baseball-reference.com/players/r/rossco01.shtml","Ross, Cody")</f>
        <v>Ross, Cody</v>
      </c>
      <c t="s" s="31" r="C332">
        <v>19</v>
      </c>
      <c t="s" s="31" r="D332">
        <v>29</v>
      </c>
      <c t="s" s="31" r="E332">
        <v>41</v>
      </c>
      <c s="37" r="F332">
        <v>40931</v>
      </c>
      <c t="str" s="2" r="G332">
        <f>hyperlink("http://espn.go.com/boston/mlb/story/_/id/7495385/cody-ross-agrees-boston-red-sox-source-says","One-year contract")</f>
        <v>One-year contract</v>
      </c>
      <c s="6" r="H332">
        <v>3000000</v>
      </c>
    </row>
    <row r="333">
      <c s="13" r="A333">
        <v>331</v>
      </c>
      <c t="str" s="23" r="B333">
        <f>hyperlink("http://www.baseball-reference.com/players/h/harriwi02.shtml","Harris, Willie")</f>
        <v>Harris, Willie</v>
      </c>
      <c t="s" s="13" r="C333">
        <v>19</v>
      </c>
      <c t="s" s="13" r="D333">
        <v>38</v>
      </c>
      <c t="s" s="13" r="E333">
        <v>36</v>
      </c>
      <c s="18" r="F333">
        <v>40931</v>
      </c>
      <c t="s" s="1" r="G333">
        <v>16</v>
      </c>
      <c t="s" s="43" r="H333">
        <v>12</v>
      </c>
    </row>
    <row r="334">
      <c s="31" r="A334">
        <v>332</v>
      </c>
      <c t="str" s="33" r="B334">
        <f>hyperlink("http://www.baseball-reference.com/players/b/betemwi01.shtml","Betemit, Wilson")</f>
        <v>Betemit, Wilson</v>
      </c>
      <c t="s" s="31" r="C334">
        <v>51</v>
      </c>
      <c t="s" s="31" r="D334">
        <v>30</v>
      </c>
      <c t="s" s="31" r="E334">
        <v>33</v>
      </c>
      <c s="37" r="F334">
        <v>40932</v>
      </c>
      <c t="str" s="2" r="G334">
        <f>hyperlink("http://espn.go.com/mlb/story/_/id/7498279/baltimore-orioles-sign-infielder-wilson-betemit-two-year-deal","Two-year contract with option")</f>
        <v>Two-year contract with option</v>
      </c>
      <c s="6" r="H334">
        <v>3250000</v>
      </c>
    </row>
    <row r="335">
      <c s="13" r="A335">
        <v>333</v>
      </c>
      <c t="str" s="23" r="B335">
        <f>hyperlink("http://www.baseball-reference.com/players/c/colonba01.shtml","Colon, Bartolo")</f>
        <v>Colon, Bartolo</v>
      </c>
      <c t="s" s="13" r="C335">
        <v>9</v>
      </c>
      <c t="s" s="13" r="D335">
        <v>45</v>
      </c>
      <c t="s" s="13" r="E335">
        <v>23</v>
      </c>
      <c s="18" r="F335">
        <v>40932</v>
      </c>
      <c t="str" s="22" r="G335">
        <f>hyperlink("http://espn.go.com/mlb/story/_/id/7498433/oakland-athletics-agree-terms-bartolo-colon","One-year contract")</f>
        <v>One-year contract</v>
      </c>
      <c t="s" s="43" r="H335">
        <v>53</v>
      </c>
    </row>
    <row r="336">
      <c s="31" r="A336">
        <v>334</v>
      </c>
      <c t="str" s="33" r="B336">
        <f>hyperlink("http://www.baseball-reference.com/players/m/millwke01.shtml","Millwood, Kevin")</f>
        <v>Millwood, Kevin</v>
      </c>
      <c t="s" s="31" r="C336">
        <v>9</v>
      </c>
      <c t="s" s="31" r="D336">
        <v>22</v>
      </c>
      <c t="s" s="31" r="E336">
        <v>44</v>
      </c>
      <c s="37" r="F336">
        <v>40932</v>
      </c>
      <c t="s" s="1" r="G336">
        <v>16</v>
      </c>
      <c t="s" s="6" r="H336">
        <v>12</v>
      </c>
    </row>
    <row r="337">
      <c s="13" r="A337">
        <v>335</v>
      </c>
      <c t="str" s="23" r="B337">
        <f>hyperlink("http://www.baseball-reference.com/players/p/penaca01.shtml","Pena, Carlos")</f>
        <v>Pena, Carlos</v>
      </c>
      <c t="s" s="13" r="C337">
        <v>43</v>
      </c>
      <c t="s" s="13" r="D337">
        <v>35</v>
      </c>
      <c t="s" s="13" r="E337">
        <v>48</v>
      </c>
      <c s="18" r="F337">
        <v>40932</v>
      </c>
      <c t="str" s="22" r="G337">
        <f>hyperlink("http://espn.go.com/mlb/story/_/id/7483618/tampa-bay-rays-carlos-pena-agree-one-year-deal","One-year contract")</f>
        <v>One-year contract</v>
      </c>
      <c s="43" r="H337">
        <v>7250000</v>
      </c>
    </row>
    <row r="338">
      <c s="31" r="A338">
        <v>336</v>
      </c>
      <c t="str" s="33" r="B338">
        <f>hyperlink("http://www.baseball-reference.com/players/v/vizquom01.shtml","Vizquel, Omar")</f>
        <v>Vizquel, Omar</v>
      </c>
      <c t="s" s="31" r="C338">
        <v>32</v>
      </c>
      <c t="s" s="31" r="D338">
        <v>54</v>
      </c>
      <c t="s" s="31" r="E338">
        <v>25</v>
      </c>
      <c s="37" r="F338">
        <v>40932</v>
      </c>
      <c t="s" s="1" r="G338">
        <v>16</v>
      </c>
      <c t="s" s="6" r="H338">
        <v>12</v>
      </c>
    </row>
    <row r="339">
      <c s="13" r="A339">
        <v>337</v>
      </c>
      <c t="str" s="23" r="B339">
        <f>hyperlink("http://www.baseball-reference.com/players/a/augenbr01.shtml","Augenstein, Bryan")</f>
        <v>Augenstein, Bryan</v>
      </c>
      <c t="s" s="13" r="C339">
        <v>13</v>
      </c>
      <c t="s" s="13" r="D339">
        <v>46</v>
      </c>
      <c t="s" s="13" r="E339">
        <v>48</v>
      </c>
      <c s="18" r="F339">
        <v>40932</v>
      </c>
      <c t="s" s="1" r="G339">
        <v>16</v>
      </c>
      <c t="s" s="43" r="H339">
        <v>12</v>
      </c>
    </row>
    <row r="340">
      <c s="31" r="A340">
        <v>338</v>
      </c>
      <c t="str" s="33" r="B340">
        <f>hyperlink("http://www.baseball-reference.com/players/k/kearnau01.shtml","Kearns, Austin")</f>
        <v>Kearns, Austin</v>
      </c>
      <c t="s" s="31" r="C340">
        <v>19</v>
      </c>
      <c t="s" s="31" r="D340">
        <v>11</v>
      </c>
      <c t="s" s="31" r="E340">
        <v>40</v>
      </c>
      <c s="37" r="F340">
        <v>40933</v>
      </c>
      <c t="s" s="1" r="G340">
        <v>16</v>
      </c>
      <c t="s" s="6" r="H340">
        <v>12</v>
      </c>
    </row>
    <row r="341">
      <c s="13" r="A341">
        <v>339</v>
      </c>
      <c t="str" s="23" r="B341">
        <f>hyperlink("http://www.baseball-reference.com/players/v/valdewi01.shtml","Valdez, Wilson")</f>
        <v>Valdez, Wilson</v>
      </c>
      <c t="s" s="13" r="C341">
        <v>32</v>
      </c>
      <c t="s" s="13" r="D341">
        <v>27</v>
      </c>
      <c t="s" s="13" r="E341">
        <v>36</v>
      </c>
      <c s="18" r="F341">
        <v>40933</v>
      </c>
      <c t="str" s="30" r="G341">
        <f>hyperlink("http://espn.go.com/mlb/story/_/id/7503563/cincinnati-reds-land-infielder-wilson-valdez-trade-philadelphia-phillies","Traded for Jeremy Horst")</f>
        <v>Traded for Jeremy Horst</v>
      </c>
      <c t="s" s="43" r="H341">
        <v>12</v>
      </c>
    </row>
    <row r="342">
      <c s="31" r="A342">
        <v>340</v>
      </c>
      <c t="str" s="33" r="B342">
        <f>hyperlink("http://www.baseball-reference.com/players/h/horstje01.shtml","Horst, Jeremy")</f>
        <v>Horst, Jeremy</v>
      </c>
      <c t="s" s="31" r="C342">
        <v>13</v>
      </c>
      <c t="s" s="31" r="D342">
        <v>36</v>
      </c>
      <c t="s" s="31" r="E342">
        <v>27</v>
      </c>
      <c s="37" r="F342">
        <v>40933</v>
      </c>
      <c t="str" s="30" r="G342">
        <f>hyperlink("http://espn.go.com/mlb/story/_/id/7503563/cincinnati-reds-land-infielder-wilson-valdez-trade-philadelphia-phillies","Traded for Wilson Valdez")</f>
        <v>Traded for Wilson Valdez</v>
      </c>
      <c t="s" s="6" r="H342">
        <v>12</v>
      </c>
    </row>
    <row r="343">
      <c s="13" r="A343">
        <v>341</v>
      </c>
      <c t="str" s="23" r="B343">
        <f>hyperlink("http://www.baseball-reference.com/players/k/keppije01.shtml","Keppinger, Jeff")</f>
        <v>Keppinger, Jeff</v>
      </c>
      <c t="s" s="13" r="C343">
        <v>39</v>
      </c>
      <c t="s" s="13" r="D343">
        <v>29</v>
      </c>
      <c t="s" s="13" r="E343">
        <v>48</v>
      </c>
      <c s="18" r="F343">
        <v>40933</v>
      </c>
      <c t="str" s="22" r="G343">
        <f>hyperlink("http://espn.go.com/mlb/story/_/id/7504330/source-tampa-bay-rays-agree-utilityman-jeff-keppinger","One-year contract")</f>
        <v>One-year contract</v>
      </c>
      <c t="s" s="43" r="H343">
        <v>53</v>
      </c>
    </row>
    <row r="344">
      <c s="31" r="A344">
        <v>342</v>
      </c>
      <c t="str" s="33" r="B344">
        <f>hyperlink("http://www.baseball-reference.com/players/f/fieldpr01.shtml","Fielder, Prince")</f>
        <v>Fielder, Prince</v>
      </c>
      <c t="s" s="31" r="C344">
        <v>43</v>
      </c>
      <c t="s" s="31" r="D344">
        <v>34</v>
      </c>
      <c t="s" s="31" r="E344">
        <v>30</v>
      </c>
      <c s="37" r="F344">
        <v>40934</v>
      </c>
      <c t="str" s="42" r="G344">
        <f>hyperlink("http://espn.go.com/mlb/story/_/id/7498284/source-detroit-tigers-land-prince-fielder-nine-year-214-million-deal","Nine-year contract")</f>
        <v>Nine-year contract</v>
      </c>
      <c s="6" r="H344">
        <v>214000000</v>
      </c>
    </row>
    <row r="345">
      <c s="13" r="A345">
        <v>343</v>
      </c>
      <c t="str" s="23" r="B345">
        <f>hyperlink("http://www.baseball-reference.com/players/f/francje01.shtml","Francis, Jeff")</f>
        <v>Francis, Jeff</v>
      </c>
      <c t="s" s="13" r="C345">
        <v>9</v>
      </c>
      <c t="s" s="13" r="D345">
        <v>28</v>
      </c>
      <c t="s" s="13" r="E345">
        <v>36</v>
      </c>
      <c s="18" r="F345">
        <v>40934</v>
      </c>
      <c t="s" s="1" r="G345">
        <v>16</v>
      </c>
      <c t="s" s="43" r="H345">
        <v>12</v>
      </c>
    </row>
    <row r="346">
      <c s="31" r="A346">
        <v>344</v>
      </c>
      <c t="str" s="33" r="B346">
        <f>hyperlink("http://www.baseball-reference.com/players/l/lidgebr01.shtml","Lidge, Brad")</f>
        <v>Lidge, Brad</v>
      </c>
      <c t="s" s="31" r="C346">
        <v>13</v>
      </c>
      <c t="s" s="31" r="D346">
        <v>27</v>
      </c>
      <c t="s" s="31" r="E346">
        <v>24</v>
      </c>
      <c s="37" r="F346">
        <v>40934</v>
      </c>
      <c t="str" s="42" r="G346">
        <f>hyperlink("http://espn.go.com/mlb/story/_/id/7505959/washington-nationals-sign-reliever-brad-lidge-one-year-deal","One-year contract")</f>
        <v>One-year contract</v>
      </c>
      <c s="6" r="H346">
        <v>1000000</v>
      </c>
    </row>
    <row r="347">
      <c s="13" r="A347">
        <v>345</v>
      </c>
      <c t="str" s="23" r="B347">
        <f>hyperlink("http://www.baseball-reference.com/players/g/gomesjo01.shtml","Gomes, Jonny")</f>
        <v>Gomes, Jonny</v>
      </c>
      <c t="s" s="13" r="C347">
        <v>19</v>
      </c>
      <c t="s" s="13" r="D347">
        <v>24</v>
      </c>
      <c t="s" s="13" r="E347">
        <v>23</v>
      </c>
      <c s="18" r="F347">
        <v>40934</v>
      </c>
      <c t="str" s="22" r="G347">
        <f>hyperlink("http://espn.go.com/mlb/story/_/id/7506886/oakland-athletics-jonny-gomes-agree-one-year-contract","One-year contract")</f>
        <v>One-year contract</v>
      </c>
      <c s="43" r="H347">
        <v>1000000</v>
      </c>
    </row>
    <row r="348">
      <c s="31" r="A348">
        <v>346</v>
      </c>
      <c t="str" s="33" r="B348">
        <f>hyperlink("http://www.baseball-reference.com/players/w/wheelda01.shtml","Wheeler, Dan")</f>
        <v>Wheeler, Dan</v>
      </c>
      <c t="s" s="31" r="C348">
        <v>13</v>
      </c>
      <c t="s" s="31" r="D348">
        <v>41</v>
      </c>
      <c t="s" s="31" r="E348">
        <v>11</v>
      </c>
      <c s="37" r="F348">
        <v>40934</v>
      </c>
      <c t="s" s="1" r="G348">
        <v>16</v>
      </c>
      <c t="s" s="6" r="H348">
        <v>12</v>
      </c>
    </row>
    <row r="349">
      <c s="13" r="A349">
        <v>347</v>
      </c>
      <c t="str" s="23" r="B349">
        <f>hyperlink("http://www.baseball-reference.com/players/r/rohliry01.shtml","Rohlinger, Ryan")</f>
        <v>Rohlinger, Ryan</v>
      </c>
      <c t="s" s="13" r="C349">
        <v>51</v>
      </c>
      <c t="s" s="13" r="D349">
        <v>22</v>
      </c>
      <c t="s" s="13" r="E349">
        <v>11</v>
      </c>
      <c s="18" r="F349">
        <v>40934</v>
      </c>
      <c t="s" s="1" r="G349">
        <v>16</v>
      </c>
      <c t="s" s="43" r="H349">
        <v>12</v>
      </c>
    </row>
    <row r="350">
      <c s="31" r="A350">
        <v>348</v>
      </c>
      <c t="str" s="33" r="B350">
        <f>hyperlink("http://www.baseball-reference.com/players/d/dukeza01.shtml","Duke, Zach")</f>
        <v>Duke, Zach</v>
      </c>
      <c t="s" s="31" r="C350">
        <v>9</v>
      </c>
      <c t="s" s="31" r="D350">
        <v>18</v>
      </c>
      <c t="s" s="31" r="E350">
        <v>31</v>
      </c>
      <c s="37" r="F350">
        <v>40935</v>
      </c>
      <c t="s" s="1" r="G350">
        <v>16</v>
      </c>
      <c t="s" s="6" r="H350">
        <v>12</v>
      </c>
    </row>
    <row r="351">
      <c s="13" r="A351">
        <v>349</v>
      </c>
      <c t="str" s="23" r="B351">
        <f>hyperlink("http://www.baseball-reference.com/players/p/pierrju01.shtml","Pierre, Juan")</f>
        <v>Pierre, Juan</v>
      </c>
      <c t="s" s="13" r="C351">
        <v>19</v>
      </c>
      <c t="s" s="13" r="D351">
        <v>54</v>
      </c>
      <c t="s" s="13" r="E351">
        <v>27</v>
      </c>
      <c s="18" r="F351">
        <v>40935</v>
      </c>
      <c t="s" s="1" r="G351">
        <v>16</v>
      </c>
      <c t="s" s="43" r="H351">
        <v>12</v>
      </c>
    </row>
    <row r="352">
      <c s="31" r="A352">
        <v>350</v>
      </c>
      <c t="str" s="33" r="B352">
        <f>hyperlink("http://www.baseball-reference.com/players/d/delcama01.shtml","Delcarmen, Manny")</f>
        <v>Delcarmen, Manny</v>
      </c>
      <c t="s" s="31" r="C352">
        <v>13</v>
      </c>
      <c t="s" s="31" r="D352">
        <v>14</v>
      </c>
      <c t="s" s="31" r="E352">
        <v>45</v>
      </c>
      <c s="37" r="F352">
        <v>40935</v>
      </c>
      <c t="s" s="1" r="G352">
        <v>16</v>
      </c>
      <c t="s" s="6" r="H352">
        <v>12</v>
      </c>
    </row>
    <row r="353">
      <c s="13" r="A353">
        <v>351</v>
      </c>
      <c t="str" s="23" r="B353">
        <f>hyperlink("http://www.baseball-reference.com/players/t/tuiasma01.shtml","Tuiasosopo, Matt")</f>
        <v>Tuiasosopo, Matt</v>
      </c>
      <c t="s" s="13" r="C353">
        <v>39</v>
      </c>
      <c t="s" s="13" r="D353">
        <v>44</v>
      </c>
      <c t="s" s="13" r="E353">
        <v>38</v>
      </c>
      <c s="18" r="F353">
        <v>40935</v>
      </c>
      <c t="s" s="1" r="G353">
        <v>16</v>
      </c>
      <c t="s" s="43" r="H353">
        <v>12</v>
      </c>
    </row>
    <row r="354">
      <c s="46" r="A354">
        <v>352</v>
      </c>
      <c t="str" s="33" r="B354">
        <f>hyperlink("http://www.baseball-reference.com/players/h/hudsoky01.shtml","Hudson, Kyle")</f>
        <v>Hudson, Kyle</v>
      </c>
      <c t="s" s="31" r="C354">
        <v>19</v>
      </c>
      <c t="s" s="31" r="D354">
        <v>33</v>
      </c>
      <c t="s" s="31" r="E354">
        <v>14</v>
      </c>
      <c s="37" r="F354">
        <v>40936</v>
      </c>
      <c t="s" s="1" r="G354">
        <v>16</v>
      </c>
      <c t="s" s="6" r="H354">
        <v>12</v>
      </c>
    </row>
    <row r="355">
      <c s="13" r="A355">
        <v>353</v>
      </c>
      <c t="str" s="23" r="B355">
        <f>hyperlink("http://www.baseball-reference.com/players/g/galarar01.shtml","Galarraga, Armando")</f>
        <v>Galarraga, Armando</v>
      </c>
      <c t="s" s="13" r="C355">
        <v>9</v>
      </c>
      <c t="s" s="13" r="D355">
        <v>18</v>
      </c>
      <c t="s" s="13" r="E355">
        <v>33</v>
      </c>
      <c s="18" r="F355">
        <v>40938</v>
      </c>
      <c t="s" s="1" r="G355">
        <v>16</v>
      </c>
      <c t="s" s="43" r="H355">
        <v>12</v>
      </c>
    </row>
    <row r="356">
      <c s="46" r="A356">
        <v>354</v>
      </c>
      <c t="str" s="33" r="B356">
        <f>hyperlink("http://www.baseball-reference.com/players/m/milletr02.shtml","Miller, Trever")</f>
        <v>Miller, Trever</v>
      </c>
      <c t="s" s="31" r="C356">
        <v>13</v>
      </c>
      <c t="s" s="31" r="D356">
        <v>41</v>
      </c>
      <c t="s" s="31" r="E356">
        <v>35</v>
      </c>
      <c s="37" r="F356">
        <v>40938</v>
      </c>
      <c t="s" s="1" r="G356">
        <v>16</v>
      </c>
      <c t="s" s="6" r="H356">
        <v>12</v>
      </c>
    </row>
    <row r="357">
      <c s="13" r="A357">
        <v>355</v>
      </c>
      <c t="str" s="23" r="B357">
        <f>hyperlink("http://www.baseball-reference.com/players/n/neshepa01.shtml","Neshek, Pat")</f>
        <v>Neshek, Pat</v>
      </c>
      <c t="s" s="13" r="C357">
        <v>13</v>
      </c>
      <c t="s" s="13" r="D357">
        <v>42</v>
      </c>
      <c t="s" s="13" r="E357">
        <v>33</v>
      </c>
      <c s="18" r="F357">
        <v>40938</v>
      </c>
      <c t="s" s="1" r="G357">
        <v>16</v>
      </c>
      <c t="s" s="43" r="H357">
        <v>12</v>
      </c>
    </row>
    <row r="358">
      <c s="31" r="A358">
        <v>356</v>
      </c>
      <c t="str" s="33" r="B358">
        <f>hyperlink("http://www.baseball-reference.com/players/p/pauliro01.shtml","Paulino, Ronny")</f>
        <v>Paulino, Ronny</v>
      </c>
      <c t="s" s="31" r="C358">
        <v>21</v>
      </c>
      <c t="s" s="31" r="D358">
        <v>38</v>
      </c>
      <c t="s" s="31" r="E358">
        <v>33</v>
      </c>
      <c s="37" r="F358">
        <v>40938</v>
      </c>
      <c t="s" s="1" r="G358">
        <v>16</v>
      </c>
      <c t="s" s="6" r="H358">
        <v>12</v>
      </c>
    </row>
    <row r="359">
      <c s="13" r="A359">
        <v>357</v>
      </c>
      <c t="str" s="23" r="B359">
        <f>hyperlink("http://www.baseball-reference.com/players/c/canzlru01.shtml","Canzler, Russ")</f>
        <v>Canzler, Russ</v>
      </c>
      <c t="s" s="13" r="C359">
        <v>32</v>
      </c>
      <c t="s" s="13" r="D359">
        <v>48</v>
      </c>
      <c t="s" s="13" r="E359">
        <v>11</v>
      </c>
      <c s="18" r="F359">
        <v>40939</v>
      </c>
      <c t="str" s="22" r="G359">
        <f>hyperlink("http://espn.go.com/mlb/story/_/id/7522833/cleveland-indians-get-international-league-mvp-russ-canzler-tampa-bay-rays","Traded for cash")</f>
        <v>Traded for cash</v>
      </c>
      <c t="s" s="43" r="H359">
        <v>12</v>
      </c>
    </row>
    <row r="360">
      <c s="31" r="A360">
        <v>358</v>
      </c>
      <c t="str" s="33" r="B360">
        <f>hyperlink("http://www.baseball-reference.com/players/q/quallch01.shtml","Qualls, Chad")</f>
        <v>Qualls, Chad</v>
      </c>
      <c t="s" s="31" r="C360">
        <v>13</v>
      </c>
      <c t="s" s="31" r="D360">
        <v>42</v>
      </c>
      <c t="s" s="31" r="E360">
        <v>27</v>
      </c>
      <c s="37" r="F360">
        <v>40939</v>
      </c>
      <c t="str" s="42" r="G360">
        <f>hyperlink("http://espn.go.com/mlb/story/_/id/7523367/philadelphia-phillies-sign-reliever-chad-qualls-one-year-deal","One-year contract")</f>
        <v>One-year contract</v>
      </c>
      <c s="6" r="H360">
        <v>1150000</v>
      </c>
    </row>
    <row r="361">
      <c s="13" r="A361">
        <v>359</v>
      </c>
      <c t="str" s="23" r="B361">
        <f>hyperlink("http://www.baseball-reference.com/players/h/hernali01.shtml","Hernandez, Livan")</f>
        <v>Hernandez, Livan</v>
      </c>
      <c t="s" s="13" r="C361">
        <v>9</v>
      </c>
      <c t="s" s="13" r="D361">
        <v>24</v>
      </c>
      <c t="s" s="13" r="E361">
        <v>31</v>
      </c>
      <c s="18" r="F361">
        <v>40939</v>
      </c>
      <c t="s" s="1" r="G361">
        <v>16</v>
      </c>
      <c t="s" s="43" r="H361">
        <v>12</v>
      </c>
    </row>
    <row r="362">
      <c s="31" r="A362">
        <v>360</v>
      </c>
      <c t="str" s="33" r="B362">
        <f>hyperlink("http://www.baseball-reference.com/players/c/cordefr01.shtml","Cordero, Francisco")</f>
        <v>Cordero, Francisco</v>
      </c>
      <c t="s" s="31" r="C362">
        <v>13</v>
      </c>
      <c t="s" s="31" r="D362">
        <v>36</v>
      </c>
      <c t="s" s="31" r="E362">
        <v>25</v>
      </c>
      <c s="37" r="F362">
        <v>40940</v>
      </c>
      <c t="str" s="42" r="G362">
        <f>hyperlink("http://espn.go.com/mlb/story/_/id/7529227/francisco-cordero-toronto-blue-jays-finalize-one-year-deal","One-year contract")</f>
        <v>One-year contract</v>
      </c>
      <c s="6" r="H362">
        <v>4500000</v>
      </c>
    </row>
    <row r="363">
      <c s="13" r="A363">
        <v>361</v>
      </c>
      <c t="str" s="23" r="B363">
        <f>hyperlink("http://www.baseball-reference.com/players/c/cruzju02.shtml","Cruz, Juan")</f>
        <v>Cruz, Juan</v>
      </c>
      <c t="s" s="13" r="C363">
        <v>13</v>
      </c>
      <c t="s" s="13" r="D363">
        <v>48</v>
      </c>
      <c t="s" s="13" r="E363">
        <v>15</v>
      </c>
      <c s="18" r="F363">
        <v>40940</v>
      </c>
      <c t="s" s="1" r="G363">
        <v>16</v>
      </c>
      <c t="s" s="43" r="H363">
        <v>12</v>
      </c>
    </row>
    <row r="364">
      <c s="31" r="A364">
        <v>362</v>
      </c>
      <c t="str" s="33" r="B364">
        <f>hyperlink("http://www.baseball-reference.com/players/h/holmst01.shtml","Holm, Steve")</f>
        <v>Holm, Steve</v>
      </c>
      <c t="s" s="31" r="C364">
        <v>21</v>
      </c>
      <c t="s" s="31" r="D364">
        <v>37</v>
      </c>
      <c t="s" s="31" r="E364">
        <v>22</v>
      </c>
      <c s="37" r="F364">
        <v>40941</v>
      </c>
      <c t="s" s="1" r="G364">
        <v>16</v>
      </c>
      <c t="s" s="6" r="H364">
        <v>12</v>
      </c>
    </row>
    <row r="365">
      <c s="13" r="A365">
        <v>363</v>
      </c>
      <c t="str" s="23" r="B365">
        <f>hyperlink("http://www.baseball-reference.com/players/j/jacksed01.shtml","Jackson, Edwin")</f>
        <v>Jackson, Edwin</v>
      </c>
      <c t="s" s="13" r="C365">
        <v>9</v>
      </c>
      <c t="s" s="13" r="D365">
        <v>46</v>
      </c>
      <c t="s" s="13" r="E365">
        <v>24</v>
      </c>
      <c s="18" r="F365">
        <v>40941</v>
      </c>
      <c t="str" s="22" r="G365">
        <f>hyperlink("http://espn.go.com/mlb/story/_/id/7533216/edwin-jackson-agrees-washington-nationals","One-year contract")</f>
        <v>One-year contract</v>
      </c>
      <c t="s" s="43" r="H365">
        <v>53</v>
      </c>
    </row>
    <row r="366">
      <c s="31" r="A366">
        <v>364</v>
      </c>
      <c t="str" s="33" r="B366">
        <f>hyperlink("http://www.baseball-reference.com/players/m/moylape01.shtml","Moylan, Peter")</f>
        <v>Moylan, Peter</v>
      </c>
      <c t="s" s="31" r="C366">
        <v>13</v>
      </c>
      <c t="s" s="31" r="D366">
        <v>10</v>
      </c>
      <c t="s" s="31" r="E366">
        <v>10</v>
      </c>
      <c s="37" r="F366">
        <v>40941</v>
      </c>
      <c t="s" s="1" r="G366">
        <v>16</v>
      </c>
      <c t="s" s="6" r="H366">
        <v>12</v>
      </c>
    </row>
    <row r="367">
      <c s="13" r="A367">
        <v>365</v>
      </c>
      <c t="str" s="23" r="B367">
        <f>hyperlink("http://www.baseball-reference.com/players/o/owingmi01.shtml","Owings, Micah")</f>
        <v>Owings, Micah</v>
      </c>
      <c t="s" s="13" r="C367">
        <v>9</v>
      </c>
      <c t="s" s="13" r="D367">
        <v>18</v>
      </c>
      <c t="s" s="13" r="E367">
        <v>42</v>
      </c>
      <c s="18" r="F367">
        <v>40941</v>
      </c>
      <c t="str" s="22" r="G367">
        <f>hyperlink("http://espn.go.com/mlb/story/_/id/7535264/san-diego-padres-micah-owings-agree-one-year-deal","One-year contract")</f>
        <v>One-year contract</v>
      </c>
      <c s="43" r="H367">
        <v>1000000</v>
      </c>
    </row>
    <row r="368">
      <c s="31" r="A368">
        <v>366</v>
      </c>
      <c t="str" s="33" r="B368">
        <f>hyperlink("http://www.baseball-reference.com/players/a/atkinmi01.shtml","Atkins, Mitch")</f>
        <v>Atkins, Mitch</v>
      </c>
      <c t="s" s="31" r="C368">
        <v>13</v>
      </c>
      <c t="s" s="31" r="D368">
        <v>33</v>
      </c>
      <c t="s" s="31" r="E368">
        <v>24</v>
      </c>
      <c s="37" r="F368">
        <v>40942</v>
      </c>
      <c t="s" s="1" r="G368">
        <v>16</v>
      </c>
      <c t="s" s="6" r="H368">
        <v>12</v>
      </c>
    </row>
    <row r="369">
      <c s="13" r="A369">
        <v>367</v>
      </c>
      <c t="str" s="23" r="B369">
        <f>hyperlink("http://www.baseball-reference.com/players/c/coffeto01.shtml","Coffey, Todd")</f>
        <v>Coffey, Todd</v>
      </c>
      <c t="s" s="13" r="C369">
        <v>13</v>
      </c>
      <c t="s" s="13" r="D369">
        <v>24</v>
      </c>
      <c t="s" s="13" r="E369">
        <v>55</v>
      </c>
      <c s="18" r="F369">
        <v>40942</v>
      </c>
      <c t="str" s="22" r="G369">
        <f>hyperlink("http://espn.go.com/los-angeles/mlb/story/_/id/7538597/los-angeles-dodgers-reliever-todd-coffey-agree-deal","One-year contract with option")</f>
        <v>One-year contract with option</v>
      </c>
      <c s="43" r="H369">
        <v>1300000</v>
      </c>
    </row>
    <row r="370">
      <c s="31" r="A370">
        <v>368</v>
      </c>
      <c t="str" s="33" r="B370">
        <f>hyperlink("http://www.baseball-reference.com/players/j/johnsda06.shtml","Johnson, Dan")</f>
        <v>Johnson, Dan</v>
      </c>
      <c t="s" s="31" r="C370">
        <v>43</v>
      </c>
      <c t="s" s="31" r="D370">
        <v>48</v>
      </c>
      <c t="s" s="31" r="E370">
        <v>54</v>
      </c>
      <c s="37" r="F370">
        <v>40942</v>
      </c>
      <c t="s" s="1" r="G370">
        <v>16</v>
      </c>
      <c t="s" s="6" r="H370">
        <v>12</v>
      </c>
    </row>
    <row r="371">
      <c s="13" r="A371">
        <v>369</v>
      </c>
      <c t="str" s="23" r="B371">
        <f>hyperlink("http://www.baseball-reference.com/players/k/kotchca01.shtml","Kotchman, Casey")</f>
        <v>Kotchman, Casey</v>
      </c>
      <c t="s" s="13" r="C371">
        <v>43</v>
      </c>
      <c t="s" s="13" r="D371">
        <v>48</v>
      </c>
      <c t="s" s="13" r="E371">
        <v>11</v>
      </c>
      <c s="18" r="F371">
        <v>40942</v>
      </c>
      <c t="str" s="22" r="G371">
        <f>hyperlink("http://espn.go.com/mlb/story/_/id/7534750/casey-kotchman-cleveland-indians-agree-one-year-deal","One-year contract")</f>
        <v>One-year contract</v>
      </c>
      <c s="43" r="H371">
        <v>3000000</v>
      </c>
    </row>
    <row r="372">
      <c s="31" r="A372">
        <v>370</v>
      </c>
      <c t="str" s="33" r="B372">
        <f>hyperlink("http://www.baseball-reference.com/players/s/siscoan01.shtml","Sisco, Andrew")</f>
        <v>Sisco, Andrew</v>
      </c>
      <c t="s" s="31" r="C372">
        <v>13</v>
      </c>
      <c t="s" s="31" r="D372">
        <v>45</v>
      </c>
      <c t="s" s="31" r="E372">
        <v>20</v>
      </c>
      <c s="37" r="F372">
        <v>40942</v>
      </c>
      <c t="s" s="1" r="G372">
        <v>16</v>
      </c>
      <c t="s" s="6" r="H372">
        <v>12</v>
      </c>
    </row>
    <row r="373">
      <c s="13" r="A373">
        <v>371</v>
      </c>
      <c t="str" s="23" r="B373">
        <f>hyperlink("http://www.baseball-reference.com/players/a/ankieri01.shtml","Ankiel, Rick")</f>
        <v>Ankiel, Rick</v>
      </c>
      <c t="s" s="13" r="C373">
        <v>19</v>
      </c>
      <c t="s" s="13" r="D373">
        <v>24</v>
      </c>
      <c t="s" s="13" r="E373">
        <v>24</v>
      </c>
      <c s="18" r="F373">
        <v>40945</v>
      </c>
      <c t="s" s="1" r="G373">
        <v>16</v>
      </c>
      <c t="s" s="43" r="H373">
        <v>12</v>
      </c>
    </row>
    <row r="374">
      <c s="31" r="A374">
        <v>372</v>
      </c>
      <c t="str" s="33" r="B374">
        <f>hyperlink("http://www.baseball-reference.com/players/b/beimejo01.shtml","Beimel, Joe")</f>
        <v>Beimel, Joe</v>
      </c>
      <c t="s" s="31" r="C374">
        <v>13</v>
      </c>
      <c t="s" s="31" r="D374">
        <v>15</v>
      </c>
      <c t="s" s="31" r="E374">
        <v>14</v>
      </c>
      <c s="37" r="F374">
        <v>40945</v>
      </c>
      <c t="s" s="1" r="G374">
        <v>16</v>
      </c>
      <c t="s" s="6" r="H374">
        <v>12</v>
      </c>
    </row>
    <row r="375">
      <c s="13" r="A375">
        <v>373</v>
      </c>
      <c t="str" s="23" r="B375">
        <f>hyperlink("http://www.baseball-reference.com/players/c/campsh01.shtml","Camp, Shawn")</f>
        <v>Camp, Shawn</v>
      </c>
      <c t="s" s="13" r="C375">
        <v>13</v>
      </c>
      <c t="s" s="13" r="D375">
        <v>25</v>
      </c>
      <c t="s" s="13" r="E375">
        <v>44</v>
      </c>
      <c s="18" r="F375">
        <v>40945</v>
      </c>
      <c t="str" s="22" r="G375">
        <f>hyperlink("http://espn.go.com/mlb/story/_/id/7547196/hong-chih-kuo-shawn-camp-sign-seattle-mariners","One-year contract")</f>
        <v>One-year contract</v>
      </c>
      <c t="s" s="43" r="H375">
        <v>53</v>
      </c>
    </row>
    <row r="376">
      <c s="31" r="A376">
        <v>374</v>
      </c>
      <c t="str" s="33" r="B376">
        <f>hyperlink("http://www.baseball-reference.com/players/c/coraal01.shtml","Cora, Alex")</f>
        <v>Cora, Alex</v>
      </c>
      <c t="s" s="31" r="C376">
        <v>51</v>
      </c>
      <c t="s" s="31" r="D376">
        <v>24</v>
      </c>
      <c t="s" s="31" r="E376">
        <v>46</v>
      </c>
      <c s="37" r="F376">
        <v>40945</v>
      </c>
      <c t="s" s="1" r="G376">
        <v>16</v>
      </c>
      <c t="s" s="6" r="H376">
        <v>12</v>
      </c>
    </row>
    <row r="377">
      <c s="13" r="A377">
        <v>375</v>
      </c>
      <c t="str" s="23" r="B377">
        <f>hyperlink("http://www.baseball-reference.com/players/g/guthrje01.shtml","Guthrie, Jeremy")</f>
        <v>Guthrie, Jeremy</v>
      </c>
      <c t="s" s="13" r="C377">
        <v>9</v>
      </c>
      <c t="s" s="13" r="D377">
        <v>33</v>
      </c>
      <c t="s" s="13" r="E377">
        <v>22</v>
      </c>
      <c s="18" r="F377">
        <v>40945</v>
      </c>
      <c t="str" s="30" r="G377">
        <f>hyperlink("http://espn.go.com/mlb/story/_/id/7546101/jeremy-guthrie-baltimore-orioles-traded-colorado-rockies","Traded for Jason Hammel and MattLindstrom")</f>
        <v>Traded for Jason Hammel and MattLindstrom</v>
      </c>
      <c t="s" s="43" r="H377">
        <v>12</v>
      </c>
    </row>
    <row r="378">
      <c s="31" r="A378">
        <v>376</v>
      </c>
      <c t="str" s="33" r="B378">
        <f>hyperlink("http://www.baseball-reference.com/players/h/hammeja01.shtml","Hammel, Jason")</f>
        <v>Hammel, Jason</v>
      </c>
      <c t="s" s="31" r="C378">
        <v>9</v>
      </c>
      <c t="s" s="31" r="D378">
        <v>22</v>
      </c>
      <c t="s" s="31" r="E378">
        <v>33</v>
      </c>
      <c s="37" r="F378">
        <v>40945</v>
      </c>
      <c t="str" s="30" r="G378">
        <f>hyperlink("http://espn.go.com/mlb/story/_/id/7546101/jeremy-guthrie-baltimore-orioles-traded-colorado-rockies","Traded with Matt Lindstrom for Jeremy Guthrie")</f>
        <v>Traded with Matt Lindstrom for Jeremy Guthrie</v>
      </c>
      <c t="s" s="6" r="H378">
        <v>12</v>
      </c>
    </row>
    <row r="379">
      <c s="13" r="A379">
        <v>377</v>
      </c>
      <c t="str" s="23" r="B379">
        <f>hyperlink("http://www.baseball-reference.com/players/l/lindsma01.shtml","Lindstrom, Matt")</f>
        <v>Lindstrom, Matt</v>
      </c>
      <c t="s" s="13" r="C379">
        <v>13</v>
      </c>
      <c t="s" s="13" r="D379">
        <v>22</v>
      </c>
      <c t="s" s="13" r="E379">
        <v>33</v>
      </c>
      <c s="18" r="F379">
        <v>40945</v>
      </c>
      <c t="str" s="30" r="G379">
        <f>hyperlink("http://espn.go.com/mlb/story/_/id/7546101/jeremy-guthrie-baltimore-orioles-traded-colorado-rockies","Traded with Jason Hammel for Jeremy Guthrie")</f>
        <v>Traded with Jason Hammel for Jeremy Guthrie</v>
      </c>
      <c t="s" s="43" r="H379">
        <v>12</v>
      </c>
    </row>
    <row r="380">
      <c s="31" r="A380">
        <v>378</v>
      </c>
      <c t="str" s="33" r="B380">
        <f>hyperlink("http://www.baseball-reference.com/players/j/jacksco01.shtml","Jackson, Conor")</f>
        <v>Jackson, Conor</v>
      </c>
      <c t="s" s="31" r="C380">
        <v>19</v>
      </c>
      <c t="s" s="31" r="D380">
        <v>41</v>
      </c>
      <c t="s" s="31" r="E380">
        <v>14</v>
      </c>
      <c s="37" r="F380">
        <v>40945</v>
      </c>
      <c t="s" s="1" r="G380">
        <v>16</v>
      </c>
      <c t="s" s="6" r="H380">
        <v>12</v>
      </c>
    </row>
    <row r="381">
      <c s="13" r="A381">
        <v>379</v>
      </c>
      <c t="str" s="23" r="B381">
        <f>hyperlink("http://www.baseball-reference.com/players/k/kuoho01.shtml","Kuo, Hong-Chih")</f>
        <v>Kuo, Hong-Chih</v>
      </c>
      <c t="s" s="13" r="C381">
        <v>13</v>
      </c>
      <c t="s" s="13" r="D381">
        <v>55</v>
      </c>
      <c t="s" s="13" r="E381">
        <v>44</v>
      </c>
      <c s="18" r="F381">
        <v>40945</v>
      </c>
      <c t="str" s="22" r="G381">
        <f>hyperlink("http://espn.go.com/mlb/story/_/id/7547196/hong-chih-kuo-shawn-camp-sign-seattle-mariners","One-year contract")</f>
        <v>One-year contract</v>
      </c>
      <c t="s" s="43" r="H381">
        <v>53</v>
      </c>
    </row>
    <row r="382">
      <c s="31" r="A382">
        <v>380</v>
      </c>
      <c t="str" s="33" r="B382">
        <f>hyperlink("http://www.baseball-reference.com/players/t/teahema01.shtml","Teahen, Mark")</f>
        <v>Teahen, Mark</v>
      </c>
      <c t="s" s="31" r="C382">
        <v>32</v>
      </c>
      <c t="s" s="31" r="D382">
        <v>25</v>
      </c>
      <c t="s" s="31" r="E382">
        <v>24</v>
      </c>
      <c s="37" r="F382">
        <v>40945</v>
      </c>
      <c t="s" s="1" r="G382">
        <v>16</v>
      </c>
      <c t="s" s="6" r="H382">
        <v>12</v>
      </c>
    </row>
    <row r="383">
      <c s="13" r="A383">
        <v>381</v>
      </c>
      <c t="str" s="23" r="B383">
        <f>hyperlink("http://www.baseball-reference.com/players/r/ruggiju01.shtml","Ruggiano, Justin")</f>
        <v>Ruggiano, Justin</v>
      </c>
      <c t="s" s="13" r="C383">
        <v>19</v>
      </c>
      <c t="s" s="13" r="D383">
        <v>48</v>
      </c>
      <c t="s" s="13" r="E383">
        <v>31</v>
      </c>
      <c s="18" r="F383">
        <v>40945</v>
      </c>
      <c t="s" s="1" r="G383">
        <v>16</v>
      </c>
      <c t="s" s="43" r="H383">
        <v>12</v>
      </c>
    </row>
    <row r="384">
      <c s="31" r="A384">
        <v>382</v>
      </c>
      <c t="str" s="33" r="B384">
        <f>hyperlink("http://www.baseball-reference.com/players/b/branyru01.shtml","Branyan, Russell")</f>
        <v>Branyan, Russell</v>
      </c>
      <c t="s" s="31" r="C384">
        <v>43</v>
      </c>
      <c t="s" s="31" r="D384">
        <v>47</v>
      </c>
      <c t="s" s="31" r="E384">
        <v>45</v>
      </c>
      <c s="37" r="F384">
        <v>40947</v>
      </c>
      <c t="s" s="1" r="G384">
        <v>16</v>
      </c>
      <c t="s" s="6" r="H384">
        <v>12</v>
      </c>
    </row>
    <row r="385">
      <c s="13" r="A385">
        <v>383</v>
      </c>
      <c t="str" s="23" r="B385">
        <f>hyperlink("http://www.baseball-reference.com/players/h/hallbi03.shtml","Hall, Bill")</f>
        <v>Hall, Bill</v>
      </c>
      <c t="s" s="13" r="C385">
        <v>39</v>
      </c>
      <c t="s" s="13" r="D385">
        <v>29</v>
      </c>
      <c t="s" s="13" r="E385">
        <v>45</v>
      </c>
      <c s="18" r="F385">
        <v>40947</v>
      </c>
      <c t="s" s="1" r="G385">
        <v>16</v>
      </c>
      <c t="s" s="43" r="H385">
        <v>12</v>
      </c>
    </row>
    <row r="386">
      <c s="31" r="A386">
        <v>384</v>
      </c>
      <c t="str" s="33" r="B386">
        <f>hyperlink("http://www.baseball-reference.com/players/h/henslcl01.shtml","Hensley, Clay")</f>
        <v>Hensley, Clay</v>
      </c>
      <c t="s" s="31" r="C386">
        <v>9</v>
      </c>
      <c t="s" s="31" r="D386">
        <v>40</v>
      </c>
      <c t="s" s="31" r="E386">
        <v>29</v>
      </c>
      <c s="37" r="F386">
        <v>40947</v>
      </c>
      <c t="str" s="42" r="G386">
        <f>hyperlink("http://espn.go.com/mlb/story/_/id/7508124/source-san-francisco-giants-give-reliever-clay-hensley-1-year-deal","One-year contract")</f>
        <v>One-year contract</v>
      </c>
      <c s="6" r="H386">
        <v>750000</v>
      </c>
    </row>
    <row r="387">
      <c s="13" r="A387">
        <v>385</v>
      </c>
      <c t="str" s="23" r="B387">
        <f>hyperlink("http://www.baseball-reference.com/players/l/ludwiry01.shtml","Ludwick, Ryan")</f>
        <v>Ludwick, Ryan</v>
      </c>
      <c t="s" s="13" r="C387">
        <v>19</v>
      </c>
      <c t="s" s="13" r="D387">
        <v>15</v>
      </c>
      <c t="s" s="13" r="E387">
        <v>36</v>
      </c>
      <c s="18" r="F387">
        <v>40947</v>
      </c>
      <c t="str" s="22" r="G387">
        <f>hyperlink("http://espn.go.com/mlb/story/_/id/7558836/cincinnati-reds-ryan-ludwick-jeff-francis-finalize-contracts","One-year contract with option")</f>
        <v>One-year contract with option</v>
      </c>
      <c s="43" r="H387">
        <v>2500000</v>
      </c>
    </row>
    <row r="388">
      <c s="31" r="A388">
        <v>386</v>
      </c>
      <c t="str" s="33" r="B388">
        <f>hyperlink("http://www.baseball-reference.com/players/m/motagu01.shtml","Mota, Guillermo")</f>
        <v>Mota, Guillermo</v>
      </c>
      <c t="s" s="31" r="C388">
        <v>13</v>
      </c>
      <c t="s" s="31" r="D388">
        <v>29</v>
      </c>
      <c t="s" s="31" r="E388">
        <v>29</v>
      </c>
      <c s="37" r="F388">
        <v>40947</v>
      </c>
      <c t="str" s="42" r="G388">
        <f>hyperlink("http://espn.go.com/mlb/story/_/id/7559438/gu","One-year contract")</f>
        <v>One-year contract</v>
      </c>
      <c s="6" r="H388">
        <v>1000000</v>
      </c>
    </row>
    <row r="389">
      <c s="13" r="A389">
        <v>387</v>
      </c>
      <c t="str" s="23" r="B389">
        <f>hyperlink("http://www.baseball-reference.com/players/t/theriry01.shtml","Theriot, Ryan")</f>
        <v>Theriot, Ryan</v>
      </c>
      <c t="s" s="13" r="C389">
        <v>32</v>
      </c>
      <c t="s" s="13" r="D389">
        <v>46</v>
      </c>
      <c t="s" s="13" r="E389">
        <v>29</v>
      </c>
      <c s="18" r="F389">
        <v>40947</v>
      </c>
      <c t="str" s="22" r="G389">
        <f>hyperlink("http://espn.go.com/mlb/story/_/id/7510521/ryan-theriot-san-francisco-giants-agree-125m-deal","One-year contract")</f>
        <v>One-year contract</v>
      </c>
      <c s="43" r="H389">
        <v>1250000</v>
      </c>
    </row>
    <row r="390">
      <c s="31" r="A390">
        <v>388</v>
      </c>
      <c t="str" s="33" r="B390">
        <f>hyperlink("http://www.baseball-reference.com/players/b/bernido01.shtml","Bernier, Doug")</f>
        <v>Bernier, Doug</v>
      </c>
      <c t="s" s="31" r="C390">
        <v>17</v>
      </c>
      <c t="s" s="31" r="D390">
        <v>45</v>
      </c>
      <c t="s" s="31" r="E390">
        <v>45</v>
      </c>
      <c s="37" r="F390">
        <v>40947</v>
      </c>
      <c t="s" s="1" r="G390">
        <v>16</v>
      </c>
      <c t="s" s="6" r="H390">
        <v>12</v>
      </c>
    </row>
    <row r="391">
      <c s="13" r="A391">
        <v>389</v>
      </c>
      <c t="str" s="23" r="B391">
        <f>hyperlink("http://www.baseball-reference.com/players/s/suppaje01.shtml","Suppan, Jeff")</f>
        <v>Suppan, Jeff</v>
      </c>
      <c t="s" s="13" r="C391">
        <v>9</v>
      </c>
      <c t="s" s="13" r="D391">
        <v>28</v>
      </c>
      <c t="s" s="13" r="E391">
        <v>42</v>
      </c>
      <c s="18" r="F391">
        <v>40947</v>
      </c>
      <c t="s" s="1" r="G391">
        <v>16</v>
      </c>
      <c t="s" s="43" r="H391">
        <v>12</v>
      </c>
    </row>
    <row r="392">
      <c s="31" r="A392">
        <v>390</v>
      </c>
      <c t="str" s="33" r="B392">
        <f>hyperlink("http://www.baseball-reference.com/players/a/ayalalu01.shtml","Ayala, Luis")</f>
        <v>Ayala, Luis</v>
      </c>
      <c t="s" s="31" r="C392">
        <v>13</v>
      </c>
      <c t="s" s="31" r="D392">
        <v>45</v>
      </c>
      <c t="s" s="31" r="E392">
        <v>33</v>
      </c>
      <c s="37" r="F392">
        <v>40949</v>
      </c>
      <c t="str" s="42" r="G392">
        <f>hyperlink("http://baltimore.orioles.mlb.com/news/article.jsp?ymd=20120210&amp;content_id=26642086&amp;vkey=news_bal&amp;c_id=bal","One-year contract with option")</f>
        <v>One-year contract with option</v>
      </c>
      <c t="s" s="6" r="H392">
        <v>53</v>
      </c>
    </row>
    <row r="393">
      <c s="13" r="A393">
        <v>391</v>
      </c>
      <c t="str" s="23" r="B393">
        <f>hyperlink("http://www.baseball-reference.com/players/s/sardida01.shtml","Sardinha, Dane")</f>
        <v>Sardinha, Dane</v>
      </c>
      <c t="s" s="13" r="C393">
        <v>21</v>
      </c>
      <c t="s" s="13" r="D393">
        <v>27</v>
      </c>
      <c t="s" s="13" r="E393">
        <v>33</v>
      </c>
      <c s="18" r="F393">
        <v>40949</v>
      </c>
      <c t="s" s="1" r="G393">
        <v>16</v>
      </c>
      <c t="s" s="43" r="H393">
        <v>12</v>
      </c>
    </row>
    <row r="394">
      <c s="31" r="A394">
        <v>392</v>
      </c>
      <c t="str" s="33" r="B394">
        <f>hyperlink("http://www.baseball-reference.com/players/l/linebsc01.shtml","Linebrink, Scott")</f>
        <v>Linebrink, Scott</v>
      </c>
      <c t="s" s="31" r="C394">
        <v>13</v>
      </c>
      <c t="s" s="31" r="D394">
        <v>10</v>
      </c>
      <c t="s" s="31" r="E394">
        <v>46</v>
      </c>
      <c s="37" r="F394">
        <v>40949</v>
      </c>
      <c t="s" s="1" r="G394">
        <v>16</v>
      </c>
      <c t="s" s="6" r="H394">
        <v>12</v>
      </c>
    </row>
    <row r="395">
      <c s="13" r="A395">
        <v>393</v>
      </c>
      <c t="str" s="23" r="B395">
        <f>hyperlink("http://www.baseball-reference.com/players/b/burkegr01.shtml","Burke, Greg")</f>
        <v>Burke, Greg</v>
      </c>
      <c t="s" s="13" r="C395">
        <v>13</v>
      </c>
      <c t="s" s="13" r="D395">
        <v>42</v>
      </c>
      <c t="s" s="13" r="E395">
        <v>33</v>
      </c>
      <c s="18" r="F395">
        <v>40949</v>
      </c>
      <c t="s" s="1" r="G395">
        <v>16</v>
      </c>
      <c t="s" s="43" r="H395">
        <v>12</v>
      </c>
    </row>
    <row r="396">
      <c s="31" r="A396">
        <v>394</v>
      </c>
      <c t="str" s="33" r="B396">
        <f>hyperlink("http://www.baseball-reference.com/players/f/fukudko01.shtml","Fukudome, Kosuke")</f>
        <v>Fukudome, Kosuke</v>
      </c>
      <c t="s" s="31" r="C396">
        <v>19</v>
      </c>
      <c t="s" s="31" r="D396">
        <v>11</v>
      </c>
      <c t="s" s="31" r="E396">
        <v>54</v>
      </c>
      <c s="37" r="F396">
        <v>40953</v>
      </c>
      <c t="str" s="2" r="G396">
        <f>hyperlink("http://espn.go.com/chicago/mlb/story/_/id/7574610/chicago-white-sox-agree-former-chicago-cubs-kosuke-fukudome","One-year contract with option")</f>
        <v>One-year contract with option</v>
      </c>
      <c s="6" r="H396">
        <v>1000000</v>
      </c>
    </row>
    <row r="397">
      <c s="13" r="A397">
        <v>395</v>
      </c>
      <c t="str" s="23" r="B397">
        <f>hyperlink("http://www.baseball-reference.com/players/s/salazje01.shtml","Salazar, Jeff")</f>
        <v>Salazar, Jeff</v>
      </c>
      <c t="s" s="13" r="C397">
        <v>19</v>
      </c>
      <c t="s" s="13" r="D397">
        <v>30</v>
      </c>
      <c t="s" s="13" r="E397">
        <v>48</v>
      </c>
      <c s="18" r="F397">
        <v>40953</v>
      </c>
      <c t="s" s="1" r="G397">
        <v>16</v>
      </c>
      <c t="s" s="43" r="H397">
        <v>12</v>
      </c>
    </row>
    <row r="398">
      <c s="31" r="A398">
        <v>396</v>
      </c>
      <c t="str" s="33" r="B398">
        <f>hyperlink("http://www.baseball-reference.com/players/w/wrighja01.shtml","Wright, Jamey")</f>
        <v>Wright, Jamey</v>
      </c>
      <c t="s" s="31" r="C398">
        <v>13</v>
      </c>
      <c t="s" s="31" r="D398">
        <v>44</v>
      </c>
      <c t="s" s="31" r="E398">
        <v>20</v>
      </c>
      <c s="37" r="F398">
        <v>40954</v>
      </c>
      <c t="s" s="1" r="G398">
        <v>16</v>
      </c>
      <c t="s" s="6" r="H398">
        <v>12</v>
      </c>
    </row>
    <row r="399">
      <c s="13" r="A399">
        <v>397</v>
      </c>
      <c t="str" s="23" r="B399">
        <f>hyperlink("http://www.baseball-reference.com/players/o/ortizra02.shtml","Ortiz, Ramon")</f>
        <v>Ortiz, Ramon</v>
      </c>
      <c t="s" s="13" r="C399">
        <v>13</v>
      </c>
      <c t="s" s="13" r="D399">
        <v>35</v>
      </c>
      <c t="s" s="13" r="E399">
        <v>29</v>
      </c>
      <c s="18" r="F399">
        <v>40954</v>
      </c>
      <c t="s" s="1" r="G399">
        <v>16</v>
      </c>
      <c t="s" s="43" r="H399">
        <v>12</v>
      </c>
    </row>
    <row r="400">
      <c s="31" r="A400">
        <v>398</v>
      </c>
      <c t="str" s="33" r="B400">
        <f>hyperlink("http://www.baseball-reference.com/players/c/chrisju01.shtml","Christian, Justin")</f>
        <v>Christian, Justin</v>
      </c>
      <c t="s" s="31" r="C400">
        <v>19</v>
      </c>
      <c t="s" s="31" r="D400">
        <v>29</v>
      </c>
      <c t="s" s="31" r="E400">
        <v>29</v>
      </c>
      <c s="37" r="F400">
        <v>40955</v>
      </c>
      <c t="s" s="1" r="G400">
        <v>16</v>
      </c>
      <c t="s" s="6" r="H400">
        <v>12</v>
      </c>
    </row>
    <row r="401">
      <c s="13" r="A401">
        <v>399</v>
      </c>
      <c t="str" s="23" r="B401">
        <f>hyperlink("http://www.baseball-reference.com/players/o/ohlenro01.shtml","Ohlendorf, Ross")</f>
        <v>Ohlendorf, Ross</v>
      </c>
      <c t="s" s="13" r="C401">
        <v>9</v>
      </c>
      <c t="s" s="13" r="D401">
        <v>15</v>
      </c>
      <c t="s" s="13" r="E401">
        <v>41</v>
      </c>
      <c s="18" r="F401">
        <v>40955</v>
      </c>
      <c t="s" s="1" r="G401">
        <v>16</v>
      </c>
      <c t="s" s="43" r="H401">
        <v>12</v>
      </c>
    </row>
    <row r="402">
      <c s="31" r="A402">
        <v>400</v>
      </c>
      <c t="str" s="33" r="B402">
        <f>hyperlink("http://www.baseball-reference.com/players/g/gimench01.shtml","Gimenez, Chris")</f>
        <v>Gimenez, Chris</v>
      </c>
      <c t="s" s="31" r="C402">
        <v>21</v>
      </c>
      <c t="s" s="31" r="D402">
        <v>44</v>
      </c>
      <c t="s" s="31" r="E402">
        <v>48</v>
      </c>
      <c s="37" r="F402">
        <v>40956</v>
      </c>
      <c t="s" s="1" r="G402">
        <v>16</v>
      </c>
      <c t="s" s="6" r="H402">
        <v>12</v>
      </c>
    </row>
    <row r="403">
      <c s="13" r="A403">
        <v>401</v>
      </c>
      <c t="str" s="23" r="B403">
        <f>hyperlink("http://www.baseball-reference.com/players/b/burnea.01.shtml","Burnett, A.J.")</f>
        <v>Burnett, A.J.</v>
      </c>
      <c t="s" s="13" r="C403">
        <v>9</v>
      </c>
      <c t="s" s="13" r="D403">
        <v>45</v>
      </c>
      <c t="s" s="13" r="E403">
        <v>15</v>
      </c>
      <c s="18" r="F403">
        <v>40958</v>
      </c>
      <c t="str" s="30" r="G403">
        <f>hyperlink("http://espn.go.com/new-york/mlb/story/_/id/7585280/aj-burnett-trade-pittsburgh-pirates-new-york-yankees-trade-official-sources-say","Traded for pair of Minor Leaguers")</f>
        <v>Traded for pair of Minor Leaguers</v>
      </c>
      <c t="s" s="43" r="H403">
        <v>12</v>
      </c>
    </row>
    <row r="404">
      <c s="31" r="A404">
        <v>402</v>
      </c>
      <c t="str" s="33" r="B404">
        <f>hyperlink("http://www.baseball-reference.com/players/t/tomkobr01.shtml","Tomko, Brett")</f>
        <v>Tomko, Brett</v>
      </c>
      <c t="s" s="31" r="C404">
        <v>13</v>
      </c>
      <c t="s" s="31" r="D404">
        <v>14</v>
      </c>
      <c t="s" s="31" r="E404">
        <v>36</v>
      </c>
      <c s="37" r="F404">
        <v>40958</v>
      </c>
      <c t="s" s="1" r="G404">
        <v>16</v>
      </c>
      <c t="s" s="6" r="H404">
        <v>12</v>
      </c>
    </row>
    <row r="405">
      <c s="13" r="A405">
        <v>403</v>
      </c>
      <c t="str" s="23" r="B405">
        <f>hyperlink("http://www.baseball-reference.com/players/r/ramirma02.shtml","Ramirez, Manny")</f>
        <v>Ramirez, Manny</v>
      </c>
      <c t="s" s="13" r="C405">
        <v>19</v>
      </c>
      <c t="s" s="13" r="D405">
        <v>48</v>
      </c>
      <c t="s" s="13" r="E405">
        <v>23</v>
      </c>
      <c s="18" r="F405">
        <v>40959</v>
      </c>
      <c t="s" s="1" r="G405">
        <v>16</v>
      </c>
      <c t="s" s="43" r="H405">
        <v>12</v>
      </c>
    </row>
    <row r="406">
      <c s="31" r="A406">
        <v>404</v>
      </c>
      <c t="str" s="33" r="B406">
        <f>hyperlink("http://www.baseball-reference.com/players/r/rapadcl01.shtml","Rapada, Clay")</f>
        <v>Rapada, Clay</v>
      </c>
      <c t="s" s="31" r="C406">
        <v>13</v>
      </c>
      <c t="s" s="31" r="D406">
        <v>33</v>
      </c>
      <c t="s" s="31" r="E406">
        <v>45</v>
      </c>
      <c s="37" r="F406">
        <v>40959</v>
      </c>
      <c t="s" s="1" r="G406">
        <v>16</v>
      </c>
      <c t="s" s="6" r="H406">
        <v>12</v>
      </c>
    </row>
    <row r="407">
      <c s="13" r="A407">
        <v>405</v>
      </c>
      <c t="str" s="23" r="B407">
        <f>hyperlink("http://www.baseball-reference.com/players/c/carpech02.shtml","Carpenter, Chris")</f>
        <v>Carpenter, Chris</v>
      </c>
      <c t="s" s="13" r="C407">
        <v>13</v>
      </c>
      <c t="s" s="13" r="D407">
        <v>35</v>
      </c>
      <c t="s" s="13" r="E407">
        <v>41</v>
      </c>
      <c s="18" r="F407">
        <v>40960</v>
      </c>
      <c t="str" s="35" r="G407">
        <f>hyperlink("http://espn.go.com/mlb/story/_/id/7597970/chicago-cubs-send-pitcher-chris-carpenter-boston-red-sox-comp-theo-epstein","Compensation for Theo Epstein")</f>
        <v>Compensation for Theo Epstein</v>
      </c>
      <c t="s" s="43" r="H407">
        <v>12</v>
      </c>
    </row>
    <row r="408">
      <c s="31" r="A408">
        <v>406</v>
      </c>
      <c t="str" s="33" r="B408">
        <f>hyperlink("http://www.baseball-reference.com/players/i/ibanera01.shtml","Ibanez, Raul")</f>
        <v>Ibanez, Raul</v>
      </c>
      <c t="s" s="31" r="C408">
        <v>19</v>
      </c>
      <c t="s" s="31" r="D408">
        <v>27</v>
      </c>
      <c t="s" s="31" r="E408">
        <v>45</v>
      </c>
      <c s="37" r="F408">
        <v>40960</v>
      </c>
      <c t="str" s="2" r="G408">
        <f>hyperlink("http://sports.espn.go.com/espn/wire?section=mlb&amp;id=7598353","One-year contract")</f>
        <v>One-year contract</v>
      </c>
      <c s="6" r="H408">
        <v>1100000</v>
      </c>
    </row>
    <row r="409">
      <c s="13" r="A409">
        <v>407</v>
      </c>
      <c t="str" s="23" r="B409">
        <f>hyperlink("http://www.baseball-reference.com/players/a/aardsda01.shtml","Aardsma, David")</f>
        <v>Aardsma, David</v>
      </c>
      <c t="s" s="13" r="C409">
        <v>13</v>
      </c>
      <c t="s" s="13" r="D409">
        <v>44</v>
      </c>
      <c t="s" s="13" r="E409">
        <v>45</v>
      </c>
      <c s="18" r="F409">
        <v>40961</v>
      </c>
      <c t="str" s="22" r="G409">
        <f>hyperlink("http://espn.go.com/blog/new-york/yankees/post/_/id/27652/yanks-add-aardsma","One-year contract with option")</f>
        <v>One-year contract with option</v>
      </c>
      <c s="43" r="H409">
        <v>500000</v>
      </c>
    </row>
    <row r="410">
      <c s="31" r="A410">
        <v>408</v>
      </c>
      <c t="str" s="33" r="B410">
        <f>hyperlink("http://www.baseball-reference.com/players/v/vanderi01.shtml","VandenHurk, Rick")</f>
        <v>VandenHurk, Rick</v>
      </c>
      <c t="s" s="31" r="C410">
        <v>9</v>
      </c>
      <c t="s" s="31" r="D410">
        <v>33</v>
      </c>
      <c t="s" s="31" r="E410">
        <v>25</v>
      </c>
      <c s="37" r="F410">
        <v>40961</v>
      </c>
      <c t="str" s="2" r="G410">
        <f>hyperlink("http://sports.espn.go.com/espn/wire?section=mlb&amp;id=7602207","One-year contract")</f>
        <v>One-year contract</v>
      </c>
      <c t="s" s="6" r="H410">
        <v>53</v>
      </c>
    </row>
    <row r="411">
      <c s="13" r="A411">
        <v>409</v>
      </c>
      <c t="str" s="23" r="B411">
        <f>hyperlink("http://www.baseball-reference.com/players/g/guzmacr01.shtml","Guzman, Cristian")</f>
        <v>Guzman, Cristian</v>
      </c>
      <c t="s" s="13" r="C411">
        <v>39</v>
      </c>
      <c t="s" s="13" r="D411">
        <v>14</v>
      </c>
      <c t="s" s="13" r="E411">
        <v>11</v>
      </c>
      <c s="18" r="F411">
        <v>40961</v>
      </c>
      <c t="s" s="1" r="G411">
        <v>16</v>
      </c>
      <c t="s" s="43" r="H411">
        <v>12</v>
      </c>
    </row>
    <row r="412">
      <c s="31" r="A412">
        <v>410</v>
      </c>
      <c s="36" r="B412"/>
      <c s="31" r="C412"/>
      <c s="31" r="D412"/>
      <c s="31" r="E412"/>
      <c s="31" r="F412"/>
      <c s="2" r="G412"/>
      <c s="6" r="H412"/>
    </row>
    <row r="413">
      <c s="13" r="A413">
        <v>411</v>
      </c>
      <c s="23" r="B413"/>
      <c s="13" r="C413"/>
      <c s="13" r="D413"/>
      <c s="13" r="E413"/>
      <c s="13" r="F413"/>
      <c s="22" r="G413"/>
      <c s="43" r="H413"/>
    </row>
    <row r="414">
      <c s="31" r="A414">
        <v>412</v>
      </c>
      <c s="36" r="B414"/>
      <c s="31" r="C414"/>
      <c s="31" r="D414"/>
      <c s="31" r="E414"/>
      <c s="31" r="F414"/>
      <c s="2" r="G414"/>
      <c s="6" r="H414"/>
    </row>
    <row r="415">
      <c s="13" r="A415">
        <v>413</v>
      </c>
      <c s="23" r="B415"/>
      <c s="13" r="C415"/>
      <c s="13" r="D415"/>
      <c s="13" r="E415"/>
      <c s="13" r="F415"/>
      <c s="22" r="G415"/>
      <c s="43" r="H415"/>
    </row>
    <row r="416">
      <c s="31" r="A416">
        <v>414</v>
      </c>
      <c s="36" r="B416"/>
      <c s="31" r="C416"/>
      <c s="31" r="D416"/>
      <c s="31" r="E416"/>
      <c s="31" r="F416"/>
      <c s="2" r="G416"/>
      <c s="6" r="H416"/>
    </row>
    <row r="417">
      <c s="13" r="A417">
        <v>415</v>
      </c>
      <c s="23" r="B417"/>
      <c s="13" r="C417"/>
      <c s="13" r="D417"/>
      <c s="13" r="E417"/>
      <c s="13" r="F417"/>
      <c s="22" r="G417"/>
      <c s="43" r="H417"/>
    </row>
    <row r="418">
      <c s="31" r="A418">
        <v>416</v>
      </c>
      <c s="36" r="B418"/>
      <c s="31" r="C418"/>
      <c s="31" r="D418"/>
      <c s="31" r="E418"/>
      <c s="31" r="F418"/>
      <c s="2" r="G418"/>
      <c s="6" r="H418"/>
    </row>
    <row r="419">
      <c s="13" r="A419">
        <v>417</v>
      </c>
      <c s="23" r="B419"/>
      <c s="13" r="C419"/>
      <c s="13" r="D419"/>
      <c s="13" r="E419"/>
      <c s="13" r="F419"/>
      <c s="22" r="G419"/>
      <c s="43" r="H419"/>
    </row>
    <row r="420">
      <c s="31" r="A420">
        <v>418</v>
      </c>
      <c s="36" r="B420"/>
      <c s="31" r="C420"/>
      <c s="31" r="D420"/>
      <c s="31" r="E420"/>
      <c s="31" r="F420"/>
      <c s="2" r="G420"/>
      <c s="6" r="H420"/>
    </row>
    <row r="421">
      <c s="13" r="A421">
        <v>419</v>
      </c>
      <c s="23" r="B421"/>
      <c s="13" r="C421"/>
      <c s="13" r="D421"/>
      <c s="13" r="E421"/>
      <c s="13" r="F421"/>
      <c s="22" r="G421"/>
      <c s="43" r="H421"/>
    </row>
    <row r="422">
      <c s="31" r="A422">
        <v>420</v>
      </c>
      <c s="36" r="B422"/>
      <c s="31" r="C422"/>
      <c s="31" r="D422"/>
      <c s="31" r="E422"/>
      <c s="31" r="F422"/>
      <c s="2" r="G422"/>
      <c s="6" r="H422"/>
    </row>
    <row r="423">
      <c s="13" r="A423">
        <v>421</v>
      </c>
      <c s="23" r="B423"/>
      <c s="13" r="C423"/>
      <c s="13" r="D423"/>
      <c s="13" r="E423"/>
      <c s="13" r="F423"/>
      <c s="22" r="G423"/>
      <c s="43" r="H423"/>
    </row>
    <row r="424">
      <c s="31" r="A424">
        <v>422</v>
      </c>
      <c s="36" r="B424"/>
      <c s="31" r="C424"/>
      <c s="31" r="D424"/>
      <c s="31" r="E424"/>
      <c s="31" r="F424"/>
      <c s="2" r="G424"/>
      <c s="6" r="H424"/>
    </row>
    <row r="425">
      <c s="13" r="A425">
        <v>423</v>
      </c>
      <c s="23" r="B425"/>
      <c s="13" r="C425"/>
      <c s="13" r="D425"/>
      <c s="13" r="E425"/>
      <c s="13" r="F425"/>
      <c s="22" r="G425"/>
      <c s="43" r="H425"/>
    </row>
    <row r="426">
      <c s="31" r="A426">
        <v>424</v>
      </c>
      <c s="36" r="B426"/>
      <c s="31" r="C426"/>
      <c s="31" r="D426"/>
      <c s="31" r="E426"/>
      <c s="31" r="F426"/>
      <c s="2" r="G426"/>
      <c s="6" r="H426"/>
    </row>
    <row r="427">
      <c s="13" r="A427">
        <v>425</v>
      </c>
      <c s="23" r="B427"/>
      <c s="13" r="C427"/>
      <c s="13" r="D427"/>
      <c s="13" r="E427"/>
      <c s="13" r="F427"/>
      <c s="22" r="G427"/>
      <c s="43" r="H427"/>
    </row>
    <row r="428">
      <c s="31" r="A428">
        <v>426</v>
      </c>
      <c s="36" r="B428"/>
      <c s="31" r="C428"/>
      <c s="31" r="D428"/>
      <c s="31" r="E428"/>
      <c s="31" r="F428"/>
      <c s="2" r="G428"/>
      <c s="6" r="H428"/>
    </row>
    <row r="429">
      <c s="13" r="A429">
        <v>427</v>
      </c>
      <c s="23" r="B429"/>
      <c s="13" r="C429"/>
      <c s="13" r="D429"/>
      <c s="13" r="E429"/>
      <c s="13" r="F429"/>
      <c s="22" r="G429"/>
      <c s="43" r="H429"/>
    </row>
    <row r="430">
      <c s="31" r="A430">
        <v>428</v>
      </c>
      <c s="36" r="B430"/>
      <c s="31" r="C430"/>
      <c s="31" r="D430"/>
      <c s="31" r="E430"/>
      <c s="31" r="F430"/>
      <c s="2" r="G430"/>
      <c s="6" r="H430"/>
    </row>
    <row r="431">
      <c s="13" r="A431">
        <v>429</v>
      </c>
      <c s="23" r="B431"/>
      <c s="13" r="C431"/>
      <c s="13" r="D431"/>
      <c s="13" r="E431"/>
      <c s="13" r="F431"/>
      <c s="22" r="G431"/>
      <c s="43" r="H431"/>
    </row>
    <row r="432">
      <c s="31" r="A432">
        <v>430</v>
      </c>
      <c s="36" r="B432"/>
      <c s="31" r="C432"/>
      <c s="31" r="D432"/>
      <c s="31" r="E432"/>
      <c s="31" r="F432"/>
      <c s="2" r="G432"/>
      <c s="6" r="H432"/>
    </row>
    <row r="433">
      <c s="13" r="A433">
        <v>431</v>
      </c>
      <c s="23" r="B433"/>
      <c s="13" r="C433"/>
      <c s="13" r="D433"/>
      <c s="13" r="E433"/>
      <c s="13" r="F433"/>
      <c s="22" r="G433"/>
      <c s="43" r="H433"/>
    </row>
    <row r="434">
      <c s="31" r="A434">
        <v>432</v>
      </c>
      <c s="36" r="B434"/>
      <c s="31" r="C434"/>
      <c s="31" r="D434"/>
      <c s="31" r="E434"/>
      <c s="31" r="F434"/>
      <c s="2" r="G434"/>
      <c s="6" r="H434"/>
    </row>
    <row r="435">
      <c s="13" r="A435">
        <v>433</v>
      </c>
      <c s="23" r="B435"/>
      <c s="13" r="C435"/>
      <c s="13" r="D435"/>
      <c s="13" r="E435"/>
      <c s="13" r="F435"/>
      <c s="22" r="G435"/>
      <c s="43" r="H435"/>
    </row>
    <row r="436">
      <c s="31" r="A436">
        <v>434</v>
      </c>
      <c s="36" r="B436"/>
      <c s="31" r="C436"/>
      <c s="31" r="D436"/>
      <c s="31" r="E436"/>
      <c s="31" r="F436"/>
      <c s="2" r="G436"/>
      <c s="6" r="H436"/>
    </row>
    <row r="437">
      <c s="13" r="A437">
        <v>435</v>
      </c>
      <c s="23" r="B437"/>
      <c s="13" r="C437"/>
      <c s="13" r="D437"/>
      <c s="13" r="E437"/>
      <c s="13" r="F437"/>
      <c s="22" r="G437"/>
      <c s="43" r="H437"/>
    </row>
    <row r="438">
      <c s="31" r="A438">
        <v>436</v>
      </c>
      <c s="36" r="B438"/>
      <c s="31" r="C438"/>
      <c s="31" r="D438"/>
      <c s="31" r="E438"/>
      <c s="31" r="F438"/>
      <c s="2" r="G438"/>
      <c s="6" r="H438"/>
    </row>
    <row r="439">
      <c s="13" r="A439">
        <v>437</v>
      </c>
      <c s="23" r="B439"/>
      <c s="13" r="C439"/>
      <c s="13" r="D439"/>
      <c s="13" r="E439"/>
      <c s="13" r="F439"/>
      <c s="22" r="G439"/>
      <c s="43" r="H439"/>
    </row>
    <row r="440">
      <c s="31" r="A440">
        <v>438</v>
      </c>
      <c s="36" r="B440"/>
      <c s="31" r="C440"/>
      <c s="31" r="D440"/>
      <c s="31" r="E440"/>
      <c s="31" r="F440"/>
      <c s="2" r="G440"/>
      <c s="6" r="H440"/>
    </row>
    <row r="441">
      <c s="13" r="A441">
        <v>439</v>
      </c>
      <c s="23" r="B441"/>
      <c s="13" r="C441"/>
      <c s="13" r="D441"/>
      <c s="13" r="E441"/>
      <c s="13" r="F441"/>
      <c s="22" r="G441"/>
      <c s="43" r="H441"/>
    </row>
    <row r="442">
      <c s="31" r="A442">
        <v>440</v>
      </c>
      <c s="36" r="B442"/>
      <c s="31" r="C442"/>
      <c s="31" r="D442"/>
      <c s="31" r="E442"/>
      <c s="31" r="F442"/>
      <c s="2" r="G442"/>
      <c s="6" r="H442"/>
    </row>
    <row r="443">
      <c s="13" r="A443">
        <v>441</v>
      </c>
      <c s="23" r="B443"/>
      <c s="13" r="C443"/>
      <c s="13" r="D443"/>
      <c s="13" r="E443"/>
      <c s="13" r="F443"/>
      <c s="22" r="G443"/>
      <c s="43" r="H443"/>
    </row>
    <row r="444">
      <c s="31" r="A444">
        <v>442</v>
      </c>
      <c s="36" r="B444"/>
      <c s="31" r="C444"/>
      <c s="31" r="D444"/>
      <c s="31" r="E444"/>
      <c s="31" r="F444"/>
      <c s="2" r="G444"/>
      <c s="6" r="H444"/>
    </row>
    <row r="445">
      <c s="13" r="A445">
        <v>443</v>
      </c>
      <c s="23" r="B445"/>
      <c s="13" r="C445"/>
      <c s="13" r="D445"/>
      <c s="13" r="E445"/>
      <c s="13" r="F445"/>
      <c s="22" r="G445"/>
      <c s="43" r="H445"/>
    </row>
    <row r="446">
      <c s="31" r="A446">
        <v>444</v>
      </c>
      <c s="36" r="B446"/>
      <c s="31" r="C446"/>
      <c s="31" r="D446"/>
      <c s="31" r="E446"/>
      <c s="31" r="F446"/>
      <c s="2" r="G446"/>
      <c s="6" r="H446"/>
    </row>
    <row r="447">
      <c s="13" r="A447">
        <v>445</v>
      </c>
      <c s="23" r="B447"/>
      <c s="13" r="C447"/>
      <c s="13" r="D447"/>
      <c s="13" r="E447"/>
      <c s="13" r="F447"/>
      <c s="22" r="G447"/>
      <c s="43" r="H447"/>
    </row>
    <row r="448">
      <c s="31" r="A448">
        <v>446</v>
      </c>
      <c s="36" r="B448"/>
      <c s="31" r="C448"/>
      <c s="31" r="D448"/>
      <c s="31" r="E448"/>
      <c s="31" r="F448"/>
      <c s="2" r="G448"/>
      <c s="6" r="H448"/>
    </row>
    <row r="449">
      <c s="13" r="A449">
        <v>447</v>
      </c>
      <c s="23" r="B449"/>
      <c s="13" r="C449"/>
      <c s="13" r="D449"/>
      <c s="13" r="E449"/>
      <c s="13" r="F449"/>
      <c s="22" r="G449"/>
      <c s="43" r="H449"/>
    </row>
    <row r="450">
      <c s="31" r="A450">
        <v>448</v>
      </c>
      <c s="36" r="B450"/>
      <c s="31" r="C450"/>
      <c s="31" r="D450"/>
      <c s="31" r="E450"/>
      <c s="31" r="F450"/>
      <c s="2" r="G450"/>
      <c s="6" r="H450"/>
    </row>
    <row r="451">
      <c s="13" r="A451">
        <v>449</v>
      </c>
      <c s="23" r="B451"/>
      <c s="13" r="C451"/>
      <c s="13" r="D451"/>
      <c s="13" r="E451"/>
      <c s="13" r="F451"/>
      <c s="22" r="G451"/>
      <c s="43" r="H451"/>
    </row>
    <row r="452">
      <c s="31" r="A452">
        <v>450</v>
      </c>
      <c s="36" r="B452"/>
      <c s="31" r="C452"/>
      <c s="31" r="D452"/>
      <c s="31" r="E452"/>
      <c s="31" r="F452"/>
      <c s="2" r="G452"/>
      <c s="6" r="H452"/>
    </row>
  </sheetData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23" r="B3">
        <f>hyperlink("http://www.baseball-reference.com/players/l/lowede01.shtml","Lowe, Derek")</f>
        <v>Lowe, Derek</v>
      </c>
      <c t="s" s="13" r="C3">
        <v>9</v>
      </c>
      <c t="s" s="13" r="D3">
        <v>10</v>
      </c>
      <c t="s" s="13" r="E3">
        <v>11</v>
      </c>
      <c s="18" r="F3">
        <v>40847</v>
      </c>
      <c t="str" s="30" r="G3">
        <f>hyperlink("http://espn.go.com/mlb/story/_/id/7174095/atlanta-braves-trade-derek-lowe-cleveland-indians","Traded for a minor leaguer")</f>
        <v>Traded for a minor leaguer</v>
      </c>
      <c t="s" s="43" r="H3">
        <v>12</v>
      </c>
    </row>
    <row r="4">
      <c s="46" r="A4">
        <v>2</v>
      </c>
      <c t="str" s="44" r="B4">
        <f>hyperlink("http://www.baseball-reference.com/players/g/gonzaed01.shtml","Gonzalez, Edgar")</f>
        <v>Gonzalez, Edgar</v>
      </c>
      <c t="s" s="46" r="C4">
        <v>9</v>
      </c>
      <c t="s" s="46" r="D4">
        <v>22</v>
      </c>
      <c t="s" s="46" r="E4">
        <v>23</v>
      </c>
      <c s="32" r="F4">
        <v>40851</v>
      </c>
      <c t="s" s="1" r="G4">
        <v>16</v>
      </c>
      <c t="s" s="48" r="H4">
        <v>12</v>
      </c>
    </row>
    <row r="5">
      <c s="13" r="A5">
        <v>3</v>
      </c>
      <c t="str" s="45" r="B5">
        <f>hyperlink("http://www.baseball-reference.com/players/w/wangch01.shtml","Wang, Chien-Ming")</f>
        <v>Wang, Chien-Ming</v>
      </c>
      <c t="s" s="13" r="C5">
        <v>9</v>
      </c>
      <c t="s" s="9" r="D5">
        <v>24</v>
      </c>
      <c t="s" s="9" r="E5">
        <v>24</v>
      </c>
      <c s="18" r="F5">
        <v>40851</v>
      </c>
      <c t="str" s="22" r="G5">
        <f>hyperlink("http://espn.go.com/mlb/story/_/id/7187277/chien-ming-wang-washington-nationals-agree-deal","One-year contract")</f>
        <v>One-year contract</v>
      </c>
      <c s="43" r="H5">
        <v>4000000</v>
      </c>
    </row>
    <row r="6">
      <c s="46" r="A6">
        <v>4</v>
      </c>
      <c t="str" s="44" r="B6">
        <f>hyperlink("http://www.baseball-reference.com/players/s/sanchjo01.shtml","Sanchez, Jonathan")</f>
        <v>Sanchez, Jonathan</v>
      </c>
      <c t="s" s="31" r="C6">
        <v>9</v>
      </c>
      <c t="s" s="31" r="D6">
        <v>29</v>
      </c>
      <c t="s" s="31" r="E6">
        <v>28</v>
      </c>
      <c s="37" r="F6">
        <v>40854</v>
      </c>
      <c t="str" s="30" r="G6">
        <f>hyperlink("http://espn.go.com/mlb/story/_/id/7203609/kansas-city-royals-trade-melky-cabrera-san-francisco-giants-jonathan-sanchez","Traded with a minor leaguer for Melky Cabrera")</f>
        <v>Traded with a minor leaguer for Melky Cabrera</v>
      </c>
      <c t="s" s="6" r="H6">
        <v>12</v>
      </c>
    </row>
    <row r="7">
      <c s="13" r="A7">
        <v>5</v>
      </c>
      <c t="str" s="45" r="B7">
        <f>hyperlink("http://www.baseball-reference.com/players/j/jakubch01.shtml","Jakubauskas, Chris")</f>
        <v>Jakubauskas, Chris</v>
      </c>
      <c t="s" s="13" r="C7">
        <v>9</v>
      </c>
      <c t="s" s="13" r="D7">
        <v>33</v>
      </c>
      <c t="s" s="13" r="E7">
        <v>18</v>
      </c>
      <c s="18" r="F7">
        <v>40856</v>
      </c>
      <c t="str" s="1" r="G7">
        <f>hyperlink("http://espn.go.com/mlb/story/_/id/7213139/arizona-diamondbacks-agree-two-year-deal-willie-bloomquist","Minor league contract")</f>
        <v>Minor league contract</v>
      </c>
      <c t="s" s="43" r="H7">
        <v>12</v>
      </c>
    </row>
    <row r="8">
      <c s="46" r="A8">
        <v>6</v>
      </c>
      <c t="str" s="44" r="B8">
        <f>hyperlink("http://www.baseball-reference.com/players/r/reinech01.shtml","Reineke, Chad")</f>
        <v>Reineke, Chad</v>
      </c>
      <c t="s" s="31" r="C8">
        <v>9</v>
      </c>
      <c t="s" s="9" r="D8">
        <v>36</v>
      </c>
      <c t="s" s="9" r="E8">
        <v>36</v>
      </c>
      <c s="37" r="F8">
        <v>40864</v>
      </c>
      <c t="s" s="1" r="G8">
        <v>16</v>
      </c>
      <c t="s" s="6" r="H8">
        <v>12</v>
      </c>
    </row>
    <row r="9">
      <c s="13" r="A9">
        <v>7</v>
      </c>
      <c t="str" s="45" r="B9">
        <f>hyperlink("http://www.baseball-reference.com/players/p/pendlla01.shtml","Pendleton, Lance")</f>
        <v>Pendleton, Lance</v>
      </c>
      <c t="s" s="13" r="C9">
        <v>9</v>
      </c>
      <c t="s" s="9" r="D9">
        <v>31</v>
      </c>
      <c t="s" s="9" r="E9">
        <v>31</v>
      </c>
      <c s="18" r="F9">
        <v>40865</v>
      </c>
      <c t="s" s="1" r="G9">
        <v>16</v>
      </c>
      <c t="s" s="43" r="H9">
        <v>12</v>
      </c>
    </row>
    <row r="10">
      <c s="46" r="A10">
        <v>8</v>
      </c>
      <c t="str" s="36" r="B10">
        <f>hyperlink("http://www.baseball-reference.com/players/l/leblawa01.shtml","LeBlanc, Wade")</f>
        <v>LeBlanc, Wade</v>
      </c>
      <c t="s" s="31" r="C10">
        <v>9</v>
      </c>
      <c t="s" s="31" r="D10">
        <v>42</v>
      </c>
      <c t="s" s="31" r="E10">
        <v>40</v>
      </c>
      <c s="37" r="F10">
        <v>40869</v>
      </c>
      <c t="str" s="30" r="G10">
        <f>hyperlink("http://mlb.mlb.com/news/article.jsp?ymd=20111122&amp;content_id=26029700&amp;vkey=news_sd&amp;c_id=sd","Traded for C John Baker")</f>
        <v>Traded for C John Baker</v>
      </c>
      <c t="s" s="6" r="H10">
        <v>12</v>
      </c>
    </row>
    <row r="11">
      <c s="13" r="A11">
        <v>9</v>
      </c>
      <c t="str" s="23" r="B11">
        <f>hyperlink("http://www.baseball-reference.com/players/c/chenbr01.shtml","Chen, Bruce")</f>
        <v>Chen, Bruce</v>
      </c>
      <c t="s" s="13" r="C11">
        <v>9</v>
      </c>
      <c t="s" s="9" r="D11">
        <v>28</v>
      </c>
      <c t="s" s="9" r="E11">
        <v>28</v>
      </c>
      <c s="18" r="F11">
        <v>40870</v>
      </c>
      <c t="str" s="22" r="G11">
        <f>hyperlink("http://kansascity.royals.mlb.com/news/article.jsp?ymd=20111123&amp;content_id=26037342&amp;vkey=news_kc&amp;c_id=kc","Two-year contract")</f>
        <v>Two-year contract</v>
      </c>
      <c s="43" r="H11">
        <v>9000000</v>
      </c>
    </row>
    <row r="12">
      <c s="46" r="A12">
        <v>10</v>
      </c>
      <c t="str" s="36" r="B12">
        <f>hyperlink("http://www.baseball-reference.com/players/s/sanchbr01.shtml","Sanches, Brian")</f>
        <v>Sanches, Brian</v>
      </c>
      <c t="s" s="31" r="C12">
        <v>9</v>
      </c>
      <c t="s" s="31" r="D12">
        <v>40</v>
      </c>
      <c t="s" s="31" r="E12">
        <v>27</v>
      </c>
      <c s="37" r="F12">
        <v>40877</v>
      </c>
      <c t="s" s="1" r="G12">
        <v>16</v>
      </c>
      <c t="s" s="6" r="H12">
        <v>12</v>
      </c>
    </row>
    <row r="13">
      <c s="13" r="A13">
        <v>11</v>
      </c>
      <c t="str" s="23" r="B13">
        <f>hyperlink("http://www.baseball-reference.com/players/c/chatwty01.shtml","Chatwood, Tyler")</f>
        <v>Chatwood, Tyler</v>
      </c>
      <c t="s" s="13" r="C13">
        <v>9</v>
      </c>
      <c t="s" s="13" r="D13">
        <v>47</v>
      </c>
      <c t="s" s="13" r="E13">
        <v>22</v>
      </c>
      <c s="18" r="F13">
        <v>40877</v>
      </c>
      <c t="str" s="30" r="G13">
        <f>hyperlink("http://mlb.mlb.com/news/article.jsp?ymd=20111130&amp;content_id=26064500&amp;vkey=news_mlb&amp;c_id=mlb","Traded for Chris Iannetta")</f>
        <v>Traded for Chris Iannetta</v>
      </c>
      <c t="s" s="43" r="H13">
        <v>12</v>
      </c>
    </row>
    <row r="14">
      <c s="46" r="A14">
        <v>12</v>
      </c>
      <c t="str" s="36" r="B14">
        <f>hyperlink("http://www.baseball-reference.com/players/c/capuach01.shtml","Capuano, Chris")</f>
        <v>Capuano, Chris</v>
      </c>
      <c t="s" s="31" r="C14">
        <v>9</v>
      </c>
      <c t="s" s="31" r="D14">
        <v>38</v>
      </c>
      <c t="s" s="31" r="E14">
        <v>20</v>
      </c>
      <c s="37" r="F14">
        <v>40879</v>
      </c>
      <c t="str" s="2" r="G14">
        <f>hyperlink("http://espn.go.com/los-angeles/mlb/story/_/id/7306951/2011-free-agents-chris-capuano-agrees-los-angeles-dodgers-two-years-10-million-source-says","Two-year contract")</f>
        <v>Two-year contract</v>
      </c>
      <c s="6" r="H14">
        <v>10000000</v>
      </c>
    </row>
    <row r="15">
      <c s="13" r="A15">
        <v>13</v>
      </c>
      <c t="str" s="23" r="B15">
        <f>hyperlink("http://www.baseball-reference.com/players/m/millsbr02.shtml","Mills, Brad")</f>
        <v>Mills, Brad</v>
      </c>
      <c t="s" s="13" r="C15">
        <v>9</v>
      </c>
      <c t="s" s="13" r="D15">
        <v>25</v>
      </c>
      <c t="s" s="13" r="E15">
        <v>47</v>
      </c>
      <c s="18" r="F15">
        <v>40880</v>
      </c>
      <c t="str" s="30" r="G15">
        <f>hyperlink("http://toronto.bluejays.mlb.com/news/article.jsp?ymd=20111203&amp;content_id=26086346&amp;vkey=news_tor&amp;c_id=tor","Traded for Jeff Mathis")</f>
        <v>Traded for Jeff Mathis</v>
      </c>
      <c t="s" s="43" r="H15">
        <v>12</v>
      </c>
    </row>
    <row r="16">
      <c s="46" r="A16">
        <v>14</v>
      </c>
      <c t="str" s="36" r="B16">
        <f>hyperlink("http://www.baseball-reference.com/players/s/sloweke01.shtml","Slowey, Kevin")</f>
        <v>Slowey, Kevin</v>
      </c>
      <c t="s" s="31" r="C16">
        <v>9</v>
      </c>
      <c t="s" s="31" r="D16">
        <v>37</v>
      </c>
      <c t="s" s="31" r="E16">
        <v>22</v>
      </c>
      <c s="37" r="F16">
        <v>40883</v>
      </c>
      <c t="str" s="30" r="G16">
        <f>hyperlink("http://espn.go.com/mlb/story/_/id/7322611/minnesota-twins-trade-right-hander-kevin-slowey-colorado-rockies","Traded for player to be named")</f>
        <v>Traded for player to be named</v>
      </c>
      <c t="s" s="6" r="H16">
        <v>12</v>
      </c>
    </row>
    <row r="17">
      <c s="13" r="A17">
        <v>15</v>
      </c>
      <c t="str" s="23" r="B17">
        <f>hyperlink("http://www.baseball-reference.com/minors/player.cgi?id=molina001nes","Molina, Nestor")</f>
        <v>Molina, Nestor</v>
      </c>
      <c t="s" s="13" r="C17">
        <v>9</v>
      </c>
      <c t="s" s="13" r="D17">
        <v>25</v>
      </c>
      <c t="s" s="13" r="E17">
        <v>49</v>
      </c>
      <c s="18" r="F17">
        <v>40883</v>
      </c>
      <c t="str" s="30" r="G17">
        <f>hyperlink("http://mlb.mlb.com/news/article.jsp?ymd=20111206&amp;content_id=26105126&amp;vkey=news_tor&amp;c_id=tor","Traded for Sergio Santos")</f>
        <v>Traded for Sergio Santos</v>
      </c>
      <c t="s" s="43" r="H17">
        <v>12</v>
      </c>
    </row>
    <row r="18">
      <c s="46" r="A18">
        <v>16</v>
      </c>
      <c t="str" s="36" r="B18">
        <f>hyperlink("http://www.baseball-reference.com/players/b/bedarer01.shtml","Bedard, Erik")</f>
        <v>Bedard, Erik</v>
      </c>
      <c t="s" s="31" r="C18">
        <v>9</v>
      </c>
      <c t="s" s="31" r="D18">
        <v>41</v>
      </c>
      <c t="s" s="31" r="E18">
        <v>15</v>
      </c>
      <c s="37" r="F18">
        <v>40884</v>
      </c>
      <c t="str" s="2" r="G18">
        <f>hyperlink("http://mlb.mlb.com/news/article.jsp?ymd=20111207&amp;content_id=26118000&amp;vkey=news_mlb&amp;c_id=mlb","One-year contract")</f>
        <v>One-year contract</v>
      </c>
      <c s="6" r="H18">
        <v>4500000</v>
      </c>
    </row>
    <row r="19">
      <c s="13" r="A19">
        <v>17</v>
      </c>
      <c t="str" s="23" r="B19">
        <f>hyperlink("http://www.baseball-reference.com/players/b/buehrma01.shtml","Buehrle, Mark")</f>
        <v>Buehrle, Mark</v>
      </c>
      <c t="s" s="13" r="C19">
        <v>9</v>
      </c>
      <c t="s" s="13" r="D19">
        <v>49</v>
      </c>
      <c t="s" s="13" r="E19">
        <v>40</v>
      </c>
      <c s="18" r="F19">
        <v>40884</v>
      </c>
      <c t="str" s="22" r="G19">
        <f>hyperlink("http://miami.marlins.mlb.com/news/article.jsp?ymd=20111207&amp;content_id=26121258&amp;vkey=news_mia&amp;c_id=mia","Four-year contract")</f>
        <v>Four-year contract</v>
      </c>
      <c s="43" r="H19">
        <v>58000000</v>
      </c>
    </row>
    <row r="20">
      <c s="46" r="A20">
        <v>18</v>
      </c>
      <c t="str" s="36" r="B20">
        <f>hyperlink("http://www.baseball-reference.com/players/h/haranaa01.shtml","Harang, Aaron")</f>
        <v>Harang, Aaron</v>
      </c>
      <c t="s" s="31" r="C20">
        <v>9</v>
      </c>
      <c t="s" s="31" r="D20">
        <v>42</v>
      </c>
      <c t="s" s="31" r="E20">
        <v>20</v>
      </c>
      <c s="37" r="F20">
        <v>40885</v>
      </c>
      <c t="str" s="2" r="G20">
        <f>hyperlink("http://espn.go.com/los-angeles/mlb/story/_/id/7330708/los-angeles-dodgers-officially-add-aaron-harang-trade-dana-eveland-baltimore-orioles","Two-year contract with option")</f>
        <v>Two-year contract with option</v>
      </c>
      <c s="6" r="H20">
        <v>12000000</v>
      </c>
    </row>
    <row r="21">
      <c s="13" r="A21">
        <v>19</v>
      </c>
      <c t="str" s="23" r="B21">
        <f>hyperlink("http://www.baseball-reference.com/players/e/evelada01.shtml","Eveland, Dana")</f>
        <v>Eveland, Dana</v>
      </c>
      <c t="s" s="13" r="C21">
        <v>9</v>
      </c>
      <c t="s" s="13" r="D21">
        <v>20</v>
      </c>
      <c t="s" s="13" r="E21">
        <v>33</v>
      </c>
      <c s="18" r="F21">
        <v>40885</v>
      </c>
      <c t="str" s="30" r="G21">
        <f>hyperlink("http://espn.go.com/los-angeles/mlb/story/_/id/7330708/los-angeles-dodgers-officially-add-aaron-harang-trade-dana-eveland-baltimore-orioles","Traded for two minor leaguers")</f>
        <v>Traded for two minor leaguers</v>
      </c>
      <c t="s" s="43" r="H21">
        <v>12</v>
      </c>
    </row>
    <row r="22">
      <c s="46" r="A22">
        <v>20</v>
      </c>
      <c t="str" s="36" r="B22">
        <f>hyperlink("http://www.baseball-reference.com/players/w/wilsocj01.shtml","Wilson, C.J.")</f>
        <v>Wilson, C.J.</v>
      </c>
      <c t="s" s="31" r="C22">
        <v>9</v>
      </c>
      <c t="s" s="31" r="D22">
        <v>14</v>
      </c>
      <c t="s" s="31" r="E22">
        <v>47</v>
      </c>
      <c s="37" r="F22">
        <v>40885</v>
      </c>
      <c t="str" s="2" r="G22">
        <f>hyperlink("http://espn.go.com/los-angeles/mlb/story/_/id/7330909/los-angeles-angels-add-texas-rangers-cj-wilson-5-year-775m-deal","Five-year contract")</f>
        <v>Five-year contract</v>
      </c>
      <c s="6" r="H22">
        <v>77500000</v>
      </c>
    </row>
    <row r="23">
      <c s="13" r="A23">
        <v>21</v>
      </c>
      <c t="str" s="23" r="B23">
        <f>hyperlink("http://www.baseball-reference.com/players/g/garcifr03.shtml","Garcia, Freddy")</f>
        <v>Garcia, Freddy</v>
      </c>
      <c t="s" s="13" r="C23">
        <v>9</v>
      </c>
      <c t="s" s="9" r="D23">
        <v>45</v>
      </c>
      <c t="s" s="9" r="E23">
        <v>45</v>
      </c>
      <c s="18" r="F23">
        <v>40886</v>
      </c>
      <c t="str" s="22" r="G23">
        <f>hyperlink("http://newyork.cbslocal.com/2011/12/09/yankees-officially-re-sign-freddy-garcia/","One-year contract")</f>
        <v>One-year contract</v>
      </c>
      <c s="43" r="H23">
        <v>4000000</v>
      </c>
    </row>
    <row r="24">
      <c s="46" r="A24">
        <v>22</v>
      </c>
      <c t="str" s="36" r="B24">
        <f>hyperlink("http://www.baseball-reference.com/players/b/bushda01.shtml","Bush, Dave")</f>
        <v>Bush, Dave</v>
      </c>
      <c t="s" s="31" r="C24">
        <v>9</v>
      </c>
      <c t="s" s="9" r="D24">
        <v>27</v>
      </c>
      <c t="s" s="9" r="E24">
        <v>27</v>
      </c>
      <c s="37" r="F24">
        <v>40886</v>
      </c>
      <c t="s" s="1" r="G24">
        <v>16</v>
      </c>
      <c t="s" s="6" r="H24">
        <v>12</v>
      </c>
    </row>
    <row r="25">
      <c s="13" r="A25">
        <v>23</v>
      </c>
      <c t="str" s="23" r="B25">
        <f>hyperlink("http://www.baseball-reference.com/players/c/cahiltr01.shtml","Cahil, Trevor")</f>
        <v>Cahil, Trevor</v>
      </c>
      <c t="s" s="13" r="C25">
        <v>9</v>
      </c>
      <c t="s" s="13" r="D25">
        <v>23</v>
      </c>
      <c t="s" s="13" r="E25">
        <v>18</v>
      </c>
      <c s="18" r="F25">
        <v>40886</v>
      </c>
      <c t="str" s="30" r="G25">
        <f>hyperlink("http://espn.go.com/mlb/story/_/id/7336925/arizona-diamondbacks-acquire-trevor-cahill-oakland-athletics-five-player-deal","Traded w Breslow &amp; cash for Cowgill, Parker &amp; Cook")</f>
        <v>Traded w Breslow &amp; cash for Cowgill, Parker &amp; Cook</v>
      </c>
      <c t="s" s="43" r="H25">
        <v>12</v>
      </c>
    </row>
    <row r="26">
      <c s="46" r="A26">
        <v>24</v>
      </c>
      <c t="str" s="36" r="B26">
        <f>hyperlink("http://www.baseball-reference.com/players/p/parkeja02.shtml","Parker, Jarrod")</f>
        <v>Parker, Jarrod</v>
      </c>
      <c t="s" s="31" r="C26">
        <v>9</v>
      </c>
      <c t="s" s="31" r="D26">
        <v>18</v>
      </c>
      <c t="s" s="31" r="E26">
        <v>23</v>
      </c>
      <c s="37" r="F26">
        <v>40886</v>
      </c>
      <c t="str" s="30" r="G26">
        <f>hyperlink("http://espn.go.com/mlb/story/_/id/7336925/arizona-diamondbacks-acquire-trevor-cahill-oakland-athletics-five-player-deal","Traded w Cowgill &amp; Cook for Breslow, Cahill &amp; cash")</f>
        <v>Traded w Cowgill &amp; Cook for Breslow, Cahill &amp; cash</v>
      </c>
      <c t="s" s="6" r="H26">
        <v>12</v>
      </c>
    </row>
    <row r="27">
      <c s="13" r="A27">
        <v>25</v>
      </c>
      <c t="str" s="23" r="B27">
        <f>hyperlink("http://www.baseball-reference.com/players/w/willido03.shtml","Willis, Dontrelle")</f>
        <v>Willis, Dontrelle</v>
      </c>
      <c t="s" s="13" r="C27">
        <v>9</v>
      </c>
      <c t="s" s="13" r="D27">
        <v>36</v>
      </c>
      <c t="s" s="13" r="E27">
        <v>27</v>
      </c>
      <c s="18" r="F27">
        <v>40890</v>
      </c>
      <c t="str" s="22" r="G27">
        <f>hyperlink("http://espn.go.com/mlb/story/_/id/7347989/2011-free-agency-cincinnati-reds-dontrelle-willis-philadelphia-phillies-agree-source-says","One-year contract")</f>
        <v>One-year contract</v>
      </c>
      <c s="43" r="H27">
        <v>1000000</v>
      </c>
    </row>
    <row r="28">
      <c s="46" r="A28">
        <v>26</v>
      </c>
      <c t="str" s="36" r="B28">
        <f>hyperlink("http://www.baseball-reference.com/players/c/chicoma01.shtml","Chico, Matt")</f>
        <v>Chico, Matt</v>
      </c>
      <c t="s" s="31" r="C28">
        <v>9</v>
      </c>
      <c t="s" s="31" r="D28">
        <v>24</v>
      </c>
      <c t="s" s="31" r="E28">
        <v>20</v>
      </c>
      <c s="37" r="F28">
        <v>40890</v>
      </c>
      <c t="s" s="1" r="G28">
        <v>16</v>
      </c>
      <c t="s" s="6" r="H28">
        <v>12</v>
      </c>
    </row>
    <row r="29">
      <c s="13" r="A29">
        <v>27</v>
      </c>
      <c t="str" s="23" r="B29">
        <f>hyperlink("http://www.baseball-reference.com/players/w/weilaky01.shtml","Weiland, Kyle")</f>
        <v>Weiland, Kyle</v>
      </c>
      <c t="s" s="13" r="C29">
        <v>9</v>
      </c>
      <c t="s" s="13" r="D29">
        <v>41</v>
      </c>
      <c t="s" s="13" r="E29">
        <v>31</v>
      </c>
      <c s="18" r="F29">
        <v>40891</v>
      </c>
      <c t="str" s="30" r="G29">
        <f>hyperlink("http://mlb.mlb.com/news/article.jsp?ymd=20111214&amp;content_id=26162792&amp;vkey=news_mlb&amp;c_id=mlb","Traded with Jed Lowrie for Mark Melancon")</f>
        <v>Traded with Jed Lowrie for Mark Melancon</v>
      </c>
      <c t="s" s="43" r="H29">
        <v>12</v>
      </c>
    </row>
    <row r="30">
      <c s="46" r="A30">
        <v>28</v>
      </c>
      <c t="str" s="36" r="B30">
        <f>hyperlink("http://www.baseball-reference.com/minors/player.cgi?id=wada--001tsu","Wada, Tsuyoshi")</f>
        <v>Wada, Tsuyoshi</v>
      </c>
      <c t="s" s="31" r="C30">
        <v>9</v>
      </c>
      <c t="s" s="31" r="D30">
        <v>52</v>
      </c>
      <c t="s" s="31" r="E30">
        <v>33</v>
      </c>
      <c s="37" r="F30">
        <v>40891</v>
      </c>
      <c t="str" s="2" r="G30">
        <f>hyperlink("http://mlb.mlb.com/news/article.jsp?ymd=20111214&amp;content_id=26160612&amp;vkey=news_mlb&amp;c_id=mlb","Two-year contract with option")</f>
        <v>Two-year contract with option</v>
      </c>
      <c s="6" r="H30">
        <v>8150000</v>
      </c>
    </row>
    <row r="31">
      <c s="13" r="A31">
        <v>29</v>
      </c>
      <c t="str" s="45" r="B31">
        <f>hyperlink("http://www.baseball-reference.com/players/v/volqued01.shtml","Volquez, Edinson")</f>
        <v>Volquez, Edinson</v>
      </c>
      <c t="s" s="13" r="C31">
        <v>9</v>
      </c>
      <c t="s" s="13" r="D31">
        <v>36</v>
      </c>
      <c t="s" s="13" r="E31">
        <v>42</v>
      </c>
      <c s="18" r="F31">
        <v>40894</v>
      </c>
      <c t="str" s="30" r="G31">
        <f>hyperlink("http://mlb.mlb.com/news/article.jsp?ymd=20111217&amp;content_id=26190592&amp;vkey=news_sd&amp;c_id=sd&amp;partnerId=rss_sd","Traded w Alonso &amp; 2 minor leaguers for Matt Latos")</f>
        <v>Traded w Alonso &amp; 2 minor leaguers for Matt Latos</v>
      </c>
      <c t="s" s="43" r="H31">
        <v>12</v>
      </c>
    </row>
    <row r="32">
      <c s="46" r="A32">
        <v>30</v>
      </c>
      <c t="str" s="33" r="B32">
        <f>hyperlink("http://www.baseball-reference.com/players/l/latosma01.shtml","Latos, Mat")</f>
        <v>Latos, Mat</v>
      </c>
      <c t="s" s="31" r="C32">
        <v>9</v>
      </c>
      <c t="s" s="31" r="D32">
        <v>42</v>
      </c>
      <c t="s" s="31" r="E32">
        <v>36</v>
      </c>
      <c s="37" r="F32">
        <v>40894</v>
      </c>
      <c t="str" s="30" r="G32">
        <f>hyperlink("http://mlb.mlb.com/news/article.jsp?ymd=20111217&amp;content_id=26190592&amp;vkey=news_sd&amp;c_id=sd&amp;partnerId=rss_sd","Traded for Volquez, Alonso &amp; 2 minor leaguers")</f>
        <v>Traded for Volquez, Alonso &amp; 2 minor leaguers</v>
      </c>
      <c t="s" s="6" r="H32">
        <v>12</v>
      </c>
    </row>
    <row r="33">
      <c s="13" r="A33">
        <v>31</v>
      </c>
      <c t="str" s="23" r="B33">
        <f>hyperlink("http://www.baseball-reference.com/players/m/marquja01.shtml","Marquis, Jason")</f>
        <v>Marquis, Jason</v>
      </c>
      <c t="s" s="13" r="C33">
        <v>9</v>
      </c>
      <c t="s" s="13" r="D33">
        <v>18</v>
      </c>
      <c t="s" s="13" r="E33">
        <v>37</v>
      </c>
      <c s="18" r="F33">
        <v>40899</v>
      </c>
      <c t="str" s="22" r="G33">
        <f>hyperlink("http://minnesota.twins.mlb.com/news/article.jsp?ymd=20111221&amp;content_id=26224184&amp;vkey=news_min&amp;c_id=min","One-year contract")</f>
        <v>One-year contract</v>
      </c>
      <c s="43" r="H33">
        <v>3000000</v>
      </c>
    </row>
    <row r="34">
      <c s="46" r="A34">
        <v>32</v>
      </c>
      <c t="str" s="17" r="B34">
        <f>hyperlink("http://www.baseball-reference.com/players/g/gonzagi01.shtml","Gonzalez, Gio")</f>
        <v>Gonzalez, Gio</v>
      </c>
      <c t="s" s="31" r="C34">
        <v>9</v>
      </c>
      <c t="s" s="31" r="D34">
        <v>23</v>
      </c>
      <c t="s" s="31" r="E34">
        <v>24</v>
      </c>
      <c s="37" r="F34">
        <v>40900</v>
      </c>
      <c t="str" s="30" r="G34">
        <f>hyperlink("http://espn.go.com/mlb/story/_/id/7381008/gio-gonzalez-traded-oakland-athletics-washington-nationals","Traded for Peacock, Milone &amp; 2 minor leaguers")</f>
        <v>Traded for Peacock, Milone &amp; 2 minor leaguers</v>
      </c>
      <c t="s" s="6" r="H34">
        <v>12</v>
      </c>
    </row>
    <row r="35">
      <c s="13" r="A35">
        <v>33</v>
      </c>
      <c t="str" s="45" r="B35">
        <f>hyperlink("http://www.baseball-reference.com/players/p/peacobr01.shtml","Peacock, Brad")</f>
        <v>Peacock, Brad</v>
      </c>
      <c t="s" s="13" r="C35">
        <v>9</v>
      </c>
      <c t="s" s="13" r="D35">
        <v>24</v>
      </c>
      <c t="s" s="13" r="E35">
        <v>23</v>
      </c>
      <c s="18" r="F35">
        <v>40900</v>
      </c>
      <c t="str" s="30" r="G35">
        <f>hyperlink("http://espn.go.com/mlb/story/_/id/7381008/gio-gonzalez-traded-oakland-athletics-washington-nationals","Traded w Milone &amp; 2 minor leaguers for Gonzalez")</f>
        <v>Traded w Milone &amp; 2 minor leaguers for Gonzalez</v>
      </c>
      <c t="s" s="43" r="H35">
        <v>12</v>
      </c>
    </row>
    <row r="36">
      <c s="46" r="A36">
        <v>34</v>
      </c>
      <c t="str" s="17" r="B36">
        <f>hyperlink("http://www.baseball-reference.com/players/m/milonto01.shtml","Milone, Tommy")</f>
        <v>Milone, Tommy</v>
      </c>
      <c t="s" s="31" r="C36">
        <v>9</v>
      </c>
      <c t="s" s="31" r="D36">
        <v>24</v>
      </c>
      <c t="s" s="31" r="E36">
        <v>23</v>
      </c>
      <c s="37" r="F36">
        <v>40900</v>
      </c>
      <c t="str" s="30" r="G36">
        <f>hyperlink("http://espn.go.com/mlb/story/_/id/7381008/gio-gonzalez-traded-oakland-athletics-washington-nationals","Traded w Peacock &amp; 2 minor leaguers for Gonzalez")</f>
        <v>Traded w Peacock &amp; 2 minor leaguers for Gonzalez</v>
      </c>
      <c t="s" s="6" r="H36">
        <v>12</v>
      </c>
    </row>
    <row r="37">
      <c s="13" r="A37">
        <v>35</v>
      </c>
      <c t="str" s="45" r="B37">
        <f>hyperlink("http://www.baseball-reference.com/players/w/woodtr01.shtml","Wood, Travis")</f>
        <v>Wood, Travis</v>
      </c>
      <c t="s" s="13" r="C37">
        <v>9</v>
      </c>
      <c t="s" s="13" r="D37">
        <v>36</v>
      </c>
      <c t="s" s="13" r="E37">
        <v>35</v>
      </c>
      <c s="18" r="F37">
        <v>40900</v>
      </c>
      <c t="str" s="30" r="G37">
        <f>hyperlink("http://espn.go.com/chicago/mlb/story/_/id/7383879/chicago-cubs-trade-sean-marshall-cincinnati-reds-travis-wood-others","Traded w Sappelt &amp; minor leaguer for Marshall")</f>
        <v>Traded w Sappelt &amp; minor leaguer for Marshall</v>
      </c>
      <c t="s" s="43" r="H37">
        <v>12</v>
      </c>
    </row>
    <row r="38">
      <c s="46" r="A38">
        <v>36</v>
      </c>
      <c t="str" s="36" r="B38">
        <f>hyperlink("http://www.baseball-reference.com/players/s/sonnaan01.shtml","Sonnanstine, Andy")</f>
        <v>Sonnanstine, Andy</v>
      </c>
      <c t="s" s="31" r="C38">
        <v>9</v>
      </c>
      <c t="s" s="31" r="D38">
        <v>48</v>
      </c>
      <c t="s" s="31" r="E38">
        <v>35</v>
      </c>
      <c s="37" r="F38">
        <v>40903</v>
      </c>
      <c t="str" s="2" r="G38">
        <f>hyperlink("http://espn.go.com/chicago/mlb/story/_/id/7391068/chicago-cubs-attempt-bolster-their-bullpen-depth-signing-andy-sonnanstine-manny-corpas","One-year contract")</f>
        <v>One-year contract</v>
      </c>
      <c t="s" s="6" r="H38">
        <v>53</v>
      </c>
    </row>
    <row r="39">
      <c s="13" r="A39">
        <v>37</v>
      </c>
      <c t="str" s="45" r="B39">
        <f>hyperlink("http://www.baseball-reference.com/players/m/mockga01.shtml","Mock, Garret")</f>
        <v>Mock, Garret</v>
      </c>
      <c t="s" s="13" r="C39">
        <v>9</v>
      </c>
      <c t="s" s="13" r="D39">
        <v>24</v>
      </c>
      <c t="s" s="13" r="E39">
        <v>25</v>
      </c>
      <c s="18" r="F39">
        <v>40908</v>
      </c>
      <c t="s" s="1" r="G39">
        <v>16</v>
      </c>
      <c t="s" s="43" r="H39">
        <v>12</v>
      </c>
    </row>
    <row r="40">
      <c s="46" r="A40">
        <v>38</v>
      </c>
      <c t="str" s="44" r="B40">
        <f>hyperlink("http://www.baseball-reference.com/players/s/silvaca01.shtml","Silva, Carlos")</f>
        <v>Silva, Carlos</v>
      </c>
      <c t="s" s="31" r="C40">
        <v>9</v>
      </c>
      <c t="s" s="31" r="D40">
        <v>45</v>
      </c>
      <c t="s" s="31" r="E40">
        <v>41</v>
      </c>
      <c s="37" r="F40">
        <v>40911</v>
      </c>
      <c t="s" s="1" r="G40">
        <v>16</v>
      </c>
      <c t="s" s="6" r="H40">
        <v>12</v>
      </c>
    </row>
    <row r="41">
      <c s="13" r="A41">
        <v>39</v>
      </c>
      <c t="str" s="45" r="B41">
        <f>hyperlink("http://www.baseball-reference.com/players/r/reyesjo03.shtml","Reyes, Jo-Jo")</f>
        <v>Reyes, Jo-Jo</v>
      </c>
      <c t="s" s="13" r="C41">
        <v>9</v>
      </c>
      <c t="s" s="13" r="D41">
        <v>33</v>
      </c>
      <c t="s" s="13" r="E41">
        <v>15</v>
      </c>
      <c s="18" r="F41">
        <v>40912</v>
      </c>
      <c t="s" s="1" r="G41">
        <v>16</v>
      </c>
      <c t="s" s="43" r="H41">
        <v>12</v>
      </c>
    </row>
    <row r="42">
      <c s="46" r="A42">
        <v>40</v>
      </c>
      <c t="str" s="17" r="B42">
        <f>hyperlink("http://www.baseball-reference.com/players/v/volstch01.shtml","Volstad, Chris")</f>
        <v>Volstad, Chris</v>
      </c>
      <c t="s" s="46" r="C42">
        <v>9</v>
      </c>
      <c t="s" s="46" r="D42">
        <v>40</v>
      </c>
      <c t="s" s="46" r="E42">
        <v>35</v>
      </c>
      <c s="32" r="F42">
        <v>40913</v>
      </c>
      <c t="str" s="30" r="G42">
        <f>hyperlink("http://espn.go.com/chicago/mlb/story/_/id/7425259/chicago-cubs-trade-carlos-zambrano-miami-marlins","Traded for Carlos Zambrano")</f>
        <v>Traded for Carlos Zambrano</v>
      </c>
      <c t="s" s="48" r="H42">
        <v>12</v>
      </c>
    </row>
    <row r="43">
      <c s="13" r="A43">
        <v>41</v>
      </c>
      <c t="str" s="45" r="B43">
        <f>hyperlink("http://www.baseball-reference.com/players/z/zambrca01.shtml","Zambrano, Carlos")</f>
        <v>Zambrano, Carlos</v>
      </c>
      <c t="s" s="13" r="C43">
        <v>9</v>
      </c>
      <c t="s" s="13" r="D43">
        <v>35</v>
      </c>
      <c t="s" s="13" r="E43">
        <v>40</v>
      </c>
      <c s="18" r="F43">
        <v>40913</v>
      </c>
      <c t="str" s="30" r="G43">
        <f>hyperlink("http://espn.go.com/chicago/mlb/story/_/id/7425259/chicago-cubs-trade-carlos-zambrano-miami-marlins","Traded for Chris Volstad")</f>
        <v>Traded for Chris Volstad</v>
      </c>
      <c t="s" s="43" r="H43">
        <v>12</v>
      </c>
    </row>
    <row r="44">
      <c s="46" r="A44">
        <v>42</v>
      </c>
      <c t="str" s="33" r="B44">
        <f>hyperlink("http://www.baseball-reference.com/minors/player.cgi?id=iwakum001his","Iwakuma, Hisashi")</f>
        <v>Iwakuma, Hisashi</v>
      </c>
      <c t="s" s="46" r="C44">
        <v>9</v>
      </c>
      <c t="s" s="46" r="D44">
        <v>52</v>
      </c>
      <c t="s" s="46" r="E44">
        <v>44</v>
      </c>
      <c s="32" r="F44">
        <v>40913</v>
      </c>
      <c t="str" s="42" r="G44">
        <f>hyperlink("http://www.google.com/hostednews/afp/article/ALeqM5jSwXkc_UChIr4mDZu0ZJO1vukHpw","One-year contract")</f>
        <v>One-year contract</v>
      </c>
      <c s="48" r="H44">
        <v>1500000</v>
      </c>
    </row>
    <row r="45">
      <c s="13" r="A45">
        <v>43</v>
      </c>
      <c t="str" s="45" r="B45">
        <f>hyperlink("http://www.baseball-reference.com/players/r/reynogr01.shtml","Reynolds, Greg")</f>
        <v>Reynolds, Greg</v>
      </c>
      <c t="s" s="13" r="C45">
        <v>9</v>
      </c>
      <c t="s" s="13" r="D45">
        <v>22</v>
      </c>
      <c t="s" s="13" r="E45">
        <v>14</v>
      </c>
      <c s="18" r="F45">
        <v>40913</v>
      </c>
      <c t="str" s="30" r="G45">
        <f>hyperlink("http://espn.go.com/blog/dallas/texas-rangers/post/_/id/4876978/texas-acquires-rockies-rhp-greg-reynolds","Traded for minor leaguer")</f>
        <v>Traded for minor leaguer</v>
      </c>
      <c t="s" s="43" r="H45">
        <v>12</v>
      </c>
    </row>
    <row r="46">
      <c s="46" r="A46">
        <v>44</v>
      </c>
      <c t="str" s="44" r="B46">
        <f>hyperlink("http://www.baseball-reference.com/players/s/seddoch01.shtml","Seddon, Chris")</f>
        <v>Seddon, Chris</v>
      </c>
      <c t="s" s="31" r="C46">
        <v>9</v>
      </c>
      <c t="s" s="31" r="D46">
        <v>44</v>
      </c>
      <c t="s" s="31" r="E46">
        <v>11</v>
      </c>
      <c s="37" r="F46">
        <v>40917</v>
      </c>
      <c t="s" s="1" r="G46">
        <v>16</v>
      </c>
      <c t="s" s="6" r="H46">
        <v>12</v>
      </c>
    </row>
    <row r="47">
      <c s="13" r="A47">
        <v>45</v>
      </c>
      <c t="str" s="45" r="B47">
        <f>hyperlink("http://www.baseball-reference.com/players/l/lopezro02.shtml","Lopez, Rodrigo")</f>
        <v>Lopez, Rodrigo</v>
      </c>
      <c t="s" s="13" r="C47">
        <v>9</v>
      </c>
      <c t="s" s="9" r="D47">
        <v>35</v>
      </c>
      <c t="s" s="9" r="E47">
        <v>35</v>
      </c>
      <c s="18" r="F47">
        <v>40917</v>
      </c>
      <c t="s" s="1" r="G47">
        <v>16</v>
      </c>
      <c t="s" s="43" r="H47">
        <v>12</v>
      </c>
    </row>
    <row r="48">
      <c s="46" r="A48">
        <v>46</v>
      </c>
      <c t="str" s="17" r="B48">
        <f>hyperlink("http://www.baseball-reference.com/players/b/barthji01.shtml","Barthmaier, Jimmy")</f>
        <v>Barthmaier, Jimmy</v>
      </c>
      <c t="s" s="31" r="C48">
        <v>9</v>
      </c>
      <c t="s" s="9" r="D48">
        <v>24</v>
      </c>
      <c t="s" s="9" r="E48">
        <v>24</v>
      </c>
      <c s="37" r="F48">
        <v>40917</v>
      </c>
      <c t="s" s="1" r="G48">
        <v>16</v>
      </c>
      <c t="s" s="6" r="H48">
        <v>12</v>
      </c>
    </row>
    <row r="49">
      <c s="13" r="A49">
        <v>47</v>
      </c>
      <c t="str" s="45" r="B49">
        <f>hyperlink("http://www.baseball-reference.com/players/m/maholpa01.shtml","Maholm, Paul")</f>
        <v>Maholm, Paul</v>
      </c>
      <c t="s" s="13" r="C49">
        <v>9</v>
      </c>
      <c t="s" s="13" r="D49">
        <v>15</v>
      </c>
      <c t="s" s="13" r="E49">
        <v>35</v>
      </c>
      <c s="18" r="F49">
        <v>40918</v>
      </c>
      <c t="str" s="22" r="G49">
        <f>hyperlink("http://espn.go.com/chicago/mlb/story/_/id/7442198/chicago-cubs-reach-deal-paul-maholm","One-year contract with option")</f>
        <v>One-year contract with option</v>
      </c>
      <c s="43" r="H49">
        <v>4250000</v>
      </c>
    </row>
    <row r="50">
      <c s="46" r="A50">
        <v>48</v>
      </c>
      <c t="str" s="17" r="B50">
        <f>hyperlink("http://www.baseball-reference.com/minors/player.cgi?id=chen--001wei","Chen, Wei-Yin")</f>
        <v>Chen, Wei-Yin</v>
      </c>
      <c t="s" s="31" r="C50">
        <v>9</v>
      </c>
      <c t="s" s="31" r="D50">
        <v>52</v>
      </c>
      <c t="s" s="31" r="E50">
        <v>33</v>
      </c>
      <c s="37" r="F50">
        <v>40918</v>
      </c>
      <c t="str" s="2" r="G50">
        <f>hyperlink("http://espn.go.com/mlb/story/_/id/7446170/baltimore-orioles-sign-wei-yin-chen-three-year-contract","Three-year contract with option")</f>
        <v>Three-year contract with option</v>
      </c>
      <c s="6" r="H50">
        <v>11300000</v>
      </c>
    </row>
    <row r="51">
      <c s="13" r="A51">
        <v>49</v>
      </c>
      <c t="str" s="45" r="B51">
        <f>hyperlink("http://www.baseball-reference.com/players/t/torreca01.shtml","Torres, Carlos")</f>
        <v>Torres, Carlos</v>
      </c>
      <c t="s" s="13" r="C51">
        <v>9</v>
      </c>
      <c t="s" s="13" r="D51">
        <v>49</v>
      </c>
      <c t="s" s="13" r="E51">
        <v>22</v>
      </c>
      <c s="18" r="F51">
        <v>40919</v>
      </c>
      <c t="s" s="1" r="G51">
        <v>16</v>
      </c>
      <c t="s" s="43" r="H51">
        <v>12</v>
      </c>
    </row>
    <row r="52">
      <c s="46" r="A52">
        <v>50</v>
      </c>
      <c t="str" s="44" r="B52">
        <f>hyperlink("http://www.baseball-reference.com/players/k/kurodhi01.shtml","Kuroda, Hiroki")</f>
        <v>Kuroda, Hiroki</v>
      </c>
      <c t="s" s="31" r="C52">
        <v>9</v>
      </c>
      <c t="s" s="31" r="D52">
        <v>20</v>
      </c>
      <c t="s" s="31" r="E52">
        <v>45</v>
      </c>
      <c s="37" r="F52">
        <v>40921</v>
      </c>
      <c t="str" s="2" r="G52">
        <f>hyperlink("http://espn.go.com/new-york/mlb/story/_/id/7460382/new-york-yankees-sign-former-los-angeles-dodgers-pitcher-hiroki-kuroda-sources-say","One-year contract")</f>
        <v>One-year contract</v>
      </c>
      <c s="6" r="H52">
        <v>10000000</v>
      </c>
    </row>
    <row r="53">
      <c s="13" r="A53">
        <v>51</v>
      </c>
      <c t="str" s="23" r="B53">
        <f>hyperlink("http://www.baseball-reference.com/players/n/noesihe01.shtml","Noesi, Hector")</f>
        <v>Noesi, Hector</v>
      </c>
      <c t="s" s="13" r="C53">
        <v>9</v>
      </c>
      <c t="s" s="13" r="D53">
        <v>45</v>
      </c>
      <c t="s" s="13" r="E53">
        <v>44</v>
      </c>
      <c s="18" r="F53">
        <v>40921</v>
      </c>
      <c t="str" s="30" r="G53">
        <f>hyperlink("http://espn.go.com/new-york/mlb/story/_/id/7460297/new-york-yankees-deal-jesus-montero-seattle-mariners-michael-pineda-source-says","Traded w Montero for Pineda &amp; minor leaguer")</f>
        <v>Traded w Montero for Pineda &amp; minor leaguer</v>
      </c>
      <c t="s" s="43" r="H53">
        <v>12</v>
      </c>
    </row>
    <row r="54">
      <c s="46" r="A54">
        <v>52</v>
      </c>
      <c t="str" s="44" r="B54">
        <f>hyperlink("http://www.baseball-reference.com/players/p/pinedmi01.shtml","Pineda, Michael")</f>
        <v>Pineda, Michael</v>
      </c>
      <c t="s" s="31" r="C54">
        <v>9</v>
      </c>
      <c t="s" s="31" r="D54">
        <v>44</v>
      </c>
      <c t="s" s="31" r="E54">
        <v>45</v>
      </c>
      <c s="37" r="F54">
        <v>40921</v>
      </c>
      <c t="str" s="30" r="G54">
        <f>hyperlink("http://espn.go.com/new-york/mlb/story/_/id/7460297/new-york-yankees-deal-jesus-montero-seattle-mariners-michael-pineda-source-says","Traded w minor leaguer for Pineda &amp; Noesi")</f>
        <v>Traded w minor leaguer for Pineda &amp; Noesi</v>
      </c>
      <c t="s" s="6" r="H54">
        <v>12</v>
      </c>
    </row>
    <row r="55">
      <c s="13" r="A55">
        <v>53</v>
      </c>
      <c t="str" s="45" r="B55">
        <f>hyperlink("http://www.baseball-reference.com/players/m/moscogu01.shtml","Moscoso, Guillermo")</f>
        <v>Moscoso, Guillermo</v>
      </c>
      <c t="s" s="13" r="C55">
        <v>9</v>
      </c>
      <c t="s" s="13" r="D55">
        <v>23</v>
      </c>
      <c t="s" s="13" r="E55">
        <v>22</v>
      </c>
      <c s="18" r="F55">
        <v>40924</v>
      </c>
      <c t="str" s="30" r="G55">
        <f>hyperlink("http://espn.go.com/mlb/story/_/id/7467972/oakland-athletics-acquire-outfielder-seth-smith-deal-colorado-rockies","Traded w Outman for Smith")</f>
        <v>Traded w Outman for Smith</v>
      </c>
      <c t="s" s="43" r="H55">
        <v>12</v>
      </c>
    </row>
    <row r="56">
      <c s="46" r="A56">
        <v>54</v>
      </c>
      <c t="str" s="17" r="B56">
        <f>hyperlink("http://www.baseball-reference.com/players/o/outmajo01.shtml","Outman, Josh")</f>
        <v>Outman, Josh</v>
      </c>
      <c t="s" s="31" r="C56">
        <v>9</v>
      </c>
      <c t="s" s="31" r="D56">
        <v>23</v>
      </c>
      <c t="s" s="31" r="E56">
        <v>22</v>
      </c>
      <c s="37" r="F56">
        <v>40924</v>
      </c>
      <c t="str" s="30" r="G56">
        <f>hyperlink("http://espn.go.com/mlb/story/_/id/7467972/oakland-athletics-acquire-outfielder-seth-smith-deal-colorado-rockies","Traded w Moscoso for Smith")</f>
        <v>Traded w Moscoso for Smith</v>
      </c>
      <c t="s" s="6" r="H56">
        <v>12</v>
      </c>
    </row>
    <row r="57">
      <c s="13" r="A57">
        <v>55</v>
      </c>
      <c t="str" s="45" r="B57">
        <f>hyperlink("http://www.baseball-reference.com/players/p/pineijo01.shtml","Pineiro, Joel")</f>
        <v>Pineiro, Joel</v>
      </c>
      <c t="s" s="13" r="C57">
        <v>9</v>
      </c>
      <c t="s" s="13" r="D57">
        <v>47</v>
      </c>
      <c t="s" s="13" r="E57">
        <v>27</v>
      </c>
      <c s="18" r="F57">
        <v>40925</v>
      </c>
      <c t="s" s="1" r="G57">
        <v>16</v>
      </c>
      <c t="s" s="43" r="H57">
        <v>12</v>
      </c>
    </row>
    <row r="58">
      <c s="31" r="A58">
        <v>56</v>
      </c>
      <c t="str" s="17" r="B58">
        <f>hyperlink("http://www.baseball-reference.com/players/s/saundjo01.shtml","Saunders, Joe")</f>
        <v>Saunders, Joe</v>
      </c>
      <c t="s" s="31" r="C58">
        <v>9</v>
      </c>
      <c t="s" s="9" r="D58">
        <v>18</v>
      </c>
      <c t="s" s="9" r="E58">
        <v>18</v>
      </c>
      <c s="37" r="F58">
        <v>40925</v>
      </c>
      <c t="str" s="2" r="G58">
        <f>hyperlink("http://sports.espn.go.com/espn/wire?section=mlb&amp;id=7473321","One-year contract")</f>
        <v>One-year contract</v>
      </c>
      <c s="6" r="H58">
        <v>6000000</v>
      </c>
    </row>
    <row r="59">
      <c s="13" r="A59">
        <v>57</v>
      </c>
      <c t="str" s="45" r="B59">
        <f>hyperlink("http://www.baseball-reference.com/players/b/burrebr01.shtml","Burres, Brian")</f>
        <v>Burres, Brian</v>
      </c>
      <c t="s" s="13" r="C59">
        <v>9</v>
      </c>
      <c t="s" s="13" r="D59">
        <v>15</v>
      </c>
      <c t="s" s="13" r="E59">
        <v>29</v>
      </c>
      <c s="18" r="F59">
        <v>40926</v>
      </c>
      <c t="s" s="1" r="G59">
        <v>16</v>
      </c>
      <c t="s" s="43" r="H59">
        <v>12</v>
      </c>
    </row>
    <row r="60">
      <c s="31" r="A60">
        <v>58</v>
      </c>
      <c t="str" s="17" r="B60">
        <f>hyperlink("http://www.baseball-reference.com/players/p/perezol01.shtml","Perez, Oliver")</f>
        <v>Perez, Oliver</v>
      </c>
      <c t="s" s="31" r="C60">
        <v>9</v>
      </c>
      <c t="s" s="31" r="D60">
        <v>24</v>
      </c>
      <c t="s" s="31" r="E60">
        <v>44</v>
      </c>
      <c s="37" r="F60">
        <v>40926</v>
      </c>
      <c t="s" s="1" r="G60">
        <v>16</v>
      </c>
      <c t="s" s="6" r="H60">
        <v>12</v>
      </c>
    </row>
    <row r="61">
      <c s="13" r="A61">
        <v>59</v>
      </c>
      <c t="str" s="45" r="B61">
        <f>hyperlink("http://www.baseball-reference.com/minors/player.cgi?id=darvis001yu-","Darvish, Yu")</f>
        <v>Darvish, Yu</v>
      </c>
      <c t="s" s="13" r="C61">
        <v>9</v>
      </c>
      <c t="s" s="13" r="D61">
        <v>52</v>
      </c>
      <c t="s" s="13" r="E61">
        <v>14</v>
      </c>
      <c s="18" r="F61">
        <v>40926</v>
      </c>
      <c t="str" s="22" r="G61">
        <f>hyperlink("http://espn.go.com/dallas/mlb/story/_/id/7476104/texas-rangers-japanese-pitcher-yu-darvish-agree-six-year-60m-deal","Six-year contract")</f>
        <v>Six-year contract</v>
      </c>
      <c s="43" r="H61">
        <v>60000000</v>
      </c>
    </row>
    <row r="62">
      <c s="31" r="A62">
        <v>60</v>
      </c>
      <c t="str" s="17" r="B62">
        <f>hyperlink("http://www.baseball-reference.com/players/m/moyerja01.shtml","Moyer, Jamie")</f>
        <v>Moyer, Jamie</v>
      </c>
      <c t="s" s="31" r="C62">
        <v>9</v>
      </c>
      <c t="s" s="31" r="D62">
        <v>27</v>
      </c>
      <c t="s" s="31" r="E62">
        <v>22</v>
      </c>
      <c s="37" r="F62">
        <v>40926</v>
      </c>
      <c t="s" s="1" r="G62">
        <v>16</v>
      </c>
      <c t="s" s="6" r="H62">
        <v>12</v>
      </c>
    </row>
    <row r="63">
      <c s="13" r="A63">
        <v>61</v>
      </c>
      <c t="str" s="45" r="B63">
        <f>hyperlink("http://www.baseball-reference.com/players/f/figuene01.shtml","Figueroa, Nelson")</f>
        <v>Figueroa, Nelson</v>
      </c>
      <c t="s" s="13" r="C63">
        <v>9</v>
      </c>
      <c t="s" s="13" r="D63">
        <v>15</v>
      </c>
      <c t="s" s="13" r="E63">
        <v>25</v>
      </c>
      <c s="18" r="F63">
        <v>40927</v>
      </c>
      <c t="s" s="1" r="G63">
        <v>16</v>
      </c>
      <c t="s" s="43" r="H63">
        <v>12</v>
      </c>
    </row>
    <row r="64">
      <c s="31" r="A64">
        <v>62</v>
      </c>
      <c t="str" s="33" r="B64">
        <f>hyperlink("http://www.baseball-reference.com/players/s/sloweke01.shtml","Slowey, Kevin")</f>
        <v>Slowey, Kevin</v>
      </c>
      <c t="s" s="31" r="C64">
        <v>9</v>
      </c>
      <c t="s" s="31" r="D64">
        <v>22</v>
      </c>
      <c t="s" s="31" r="E64">
        <v>11</v>
      </c>
      <c s="37" r="F64">
        <v>40928</v>
      </c>
      <c t="str" s="30" r="G64">
        <f>hyperlink("http://espn.go.com/mlb/story/_/id/7485048/cleveland-indians-acquire-kevin-slowey-rotation-depth","Traded for Zach Putnam")</f>
        <v>Traded for Zach Putnam</v>
      </c>
      <c t="s" s="6" r="H64">
        <v>12</v>
      </c>
    </row>
    <row r="65">
      <c s="13" r="A65">
        <v>63</v>
      </c>
      <c t="str" s="23" r="B65">
        <f>hyperlink("http://www.baseball-reference.com/players/m/mortecl01.shtml","Mortensen, Clayton")</f>
        <v>Mortensen, Clayton</v>
      </c>
      <c t="s" s="13" r="C65">
        <v>9</v>
      </c>
      <c t="s" s="13" r="D65">
        <v>22</v>
      </c>
      <c t="s" s="13" r="E65">
        <v>41</v>
      </c>
      <c s="18" r="F65">
        <v>40929</v>
      </c>
      <c t="str" s="30" r="G65">
        <f>hyperlink("http://espn.go.com/boston/mlb/story/_/id/7487532/boston-red-sox-deal-marco-scutaro-colorado-rockies-clayton-mortensen","Traded for Marco Scutaro")</f>
        <v>Traded for Marco Scutaro</v>
      </c>
      <c t="s" s="43" r="H65">
        <v>12</v>
      </c>
    </row>
    <row r="66">
      <c s="31" r="A66">
        <v>64</v>
      </c>
      <c t="str" s="36" r="B66">
        <f>hyperlink("http://www.baseball-reference.com/players/c/colonba01.shtml","Colon, Bartolo")</f>
        <v>Colon, Bartolo</v>
      </c>
      <c t="s" s="31" r="C66">
        <v>9</v>
      </c>
      <c t="s" s="31" r="D66">
        <v>45</v>
      </c>
      <c t="s" s="31" r="E66">
        <v>23</v>
      </c>
      <c s="37" r="F66">
        <v>40932</v>
      </c>
      <c t="str" s="2" r="G66">
        <f>hyperlink("http://espn.go.com/mlb/story/_/id/7498433/oakland-athletics-agree-terms-bartolo-colon","One-year contract")</f>
        <v>One-year contract</v>
      </c>
      <c t="s" s="6" r="H66">
        <v>53</v>
      </c>
    </row>
    <row r="67">
      <c s="13" r="A67">
        <v>65</v>
      </c>
      <c t="str" s="23" r="B67">
        <f>hyperlink("http://www.baseball-reference.com/players/m/millwke01.shtml","Millwood, Kevin")</f>
        <v>Millwood, Kevin</v>
      </c>
      <c t="s" s="13" r="C67">
        <v>9</v>
      </c>
      <c t="s" s="13" r="D67">
        <v>22</v>
      </c>
      <c t="s" s="13" r="E67">
        <v>44</v>
      </c>
      <c s="18" r="F67">
        <v>40932</v>
      </c>
      <c t="s" s="1" r="G67">
        <v>16</v>
      </c>
      <c t="s" s="43" r="H67">
        <v>12</v>
      </c>
    </row>
    <row r="68">
      <c s="31" r="A68">
        <v>66</v>
      </c>
      <c t="str" s="36" r="B68">
        <f>hyperlink("http://www.baseball-reference.com/players/f/francje01.shtml","Francis, Jeff")</f>
        <v>Francis, Jeff</v>
      </c>
      <c t="s" s="31" r="C68">
        <v>9</v>
      </c>
      <c t="s" s="31" r="D68">
        <v>28</v>
      </c>
      <c t="s" s="31" r="E68">
        <v>36</v>
      </c>
      <c s="37" r="F68">
        <v>40934</v>
      </c>
      <c t="s" s="1" r="G68">
        <v>16</v>
      </c>
      <c t="s" s="6" r="H68">
        <v>12</v>
      </c>
    </row>
    <row r="69">
      <c s="13" r="A69">
        <v>67</v>
      </c>
      <c t="str" s="23" r="B69">
        <f>hyperlink("http://www.baseball-reference.com/players/d/dukeza01.shtml","Duke, Zach")</f>
        <v>Duke, Zach</v>
      </c>
      <c t="s" s="13" r="C69">
        <v>9</v>
      </c>
      <c t="s" s="13" r="D69">
        <v>18</v>
      </c>
      <c t="s" s="13" r="E69">
        <v>31</v>
      </c>
      <c s="18" r="F69">
        <v>40935</v>
      </c>
      <c t="s" s="1" r="G69">
        <v>16</v>
      </c>
      <c t="s" s="43" r="H69">
        <v>12</v>
      </c>
    </row>
    <row r="70">
      <c s="31" r="A70">
        <v>68</v>
      </c>
      <c t="str" s="36" r="B70">
        <f>hyperlink("http://www.baseball-reference.com/players/g/galarar01.shtml","Galarraga, Armando")</f>
        <v>Galarraga, Armando</v>
      </c>
      <c t="s" s="31" r="C70">
        <v>9</v>
      </c>
      <c t="s" s="31" r="D70">
        <v>18</v>
      </c>
      <c t="s" s="31" r="E70">
        <v>33</v>
      </c>
      <c s="37" r="F70">
        <v>40938</v>
      </c>
      <c t="s" s="1" r="G70">
        <v>16</v>
      </c>
      <c t="s" s="6" r="H70">
        <v>12</v>
      </c>
    </row>
    <row r="71">
      <c s="13" r="A71">
        <v>69</v>
      </c>
      <c t="str" s="23" r="B71">
        <f>hyperlink("http://www.baseball-reference.com/players/h/hernali01.shtml","Hernandez, Livan")</f>
        <v>Hernandez, Livan</v>
      </c>
      <c t="s" s="13" r="C71">
        <v>9</v>
      </c>
      <c t="s" s="13" r="D71">
        <v>24</v>
      </c>
      <c t="s" s="13" r="E71">
        <v>31</v>
      </c>
      <c s="18" r="F71">
        <v>40939</v>
      </c>
      <c t="s" s="1" r="G71">
        <v>16</v>
      </c>
      <c t="s" s="43" r="H71">
        <v>12</v>
      </c>
    </row>
    <row r="72">
      <c s="31" r="A72">
        <v>70</v>
      </c>
      <c t="str" s="36" r="B72">
        <f>hyperlink("http://www.baseball-reference.com/players/j/jacksed01.shtml","Jackson, Edwin")</f>
        <v>Jackson, Edwin</v>
      </c>
      <c t="s" s="31" r="C72">
        <v>9</v>
      </c>
      <c t="s" s="31" r="D72">
        <v>46</v>
      </c>
      <c t="s" s="31" r="E72">
        <v>24</v>
      </c>
      <c s="37" r="F72">
        <v>40941</v>
      </c>
      <c t="str" s="2" r="G72">
        <f>hyperlink("http://espn.go.com/mlb/story/_/id/7533216/edwin-jackson-agrees-washington-nationals","One-year contract")</f>
        <v>One-year contract</v>
      </c>
      <c t="s" s="6" r="H72">
        <v>53</v>
      </c>
    </row>
    <row r="73">
      <c s="13" r="A73">
        <v>71</v>
      </c>
      <c t="str" s="23" r="B73">
        <f>hyperlink("http://www.baseball-reference.com/players/o/owingmi01.shtml","Owings, Micah")</f>
        <v>Owings, Micah</v>
      </c>
      <c t="s" s="13" r="C73">
        <v>9</v>
      </c>
      <c t="s" s="13" r="D73">
        <v>18</v>
      </c>
      <c t="s" s="13" r="E73">
        <v>42</v>
      </c>
      <c s="18" r="F73">
        <v>40941</v>
      </c>
      <c t="str" s="22" r="G73">
        <f>hyperlink("http://espn.go.com/mlb/story/_/id/7535264/san-diego-padres-micah-owings-agree-one-year-deal","One-year contract")</f>
        <v>One-year contract</v>
      </c>
      <c s="43" r="H73">
        <v>1000000</v>
      </c>
    </row>
    <row r="74">
      <c s="31" r="A74">
        <v>72</v>
      </c>
      <c t="str" s="36" r="B74">
        <f>hyperlink("http://www.baseball-reference.com/players/g/guthrje01.shtml","Guthrie, Jeremy")</f>
        <v>Guthrie, Jeremy</v>
      </c>
      <c t="s" s="31" r="C74">
        <v>9</v>
      </c>
      <c t="s" s="31" r="D74">
        <v>33</v>
      </c>
      <c t="s" s="31" r="E74">
        <v>22</v>
      </c>
      <c s="37" r="F74">
        <v>40945</v>
      </c>
      <c t="str" s="30" r="G74">
        <f>hyperlink("http://espn.go.com/mlb/story/_/id/7546101/jeremy-guthrie-baltimore-orioles-traded-colorado-rockies","Traded for Jason Hammel and MattLindstrom")</f>
        <v>Traded for Jason Hammel and MattLindstrom</v>
      </c>
      <c t="s" s="6" r="H74">
        <v>12</v>
      </c>
    </row>
    <row r="75">
      <c s="13" r="A75">
        <v>73</v>
      </c>
      <c t="str" s="23" r="B75">
        <f>hyperlink("http://www.baseball-reference.com/players/h/hammeja01.shtml","Hammel, Jason")</f>
        <v>Hammel, Jason</v>
      </c>
      <c t="s" s="13" r="C75">
        <v>9</v>
      </c>
      <c t="s" s="13" r="D75">
        <v>22</v>
      </c>
      <c t="s" s="13" r="E75">
        <v>33</v>
      </c>
      <c s="18" r="F75">
        <v>40945</v>
      </c>
      <c t="str" s="30" r="G75">
        <f>hyperlink("http://espn.go.com/mlb/story/_/id/7546101/jeremy-guthrie-baltimore-orioles-traded-colorado-rockies","Traded with Matt Lindstrom for Jeremy Guthrie")</f>
        <v>Traded with Matt Lindstrom for Jeremy Guthrie</v>
      </c>
      <c t="s" s="43" r="H75">
        <v>12</v>
      </c>
    </row>
    <row r="76">
      <c s="31" r="A76">
        <v>74</v>
      </c>
      <c t="str" s="33" r="B76">
        <f>hyperlink("http://www.baseball-reference.com/players/h/henslcl01.shtml","Hensley, Clay")</f>
        <v>Hensley, Clay</v>
      </c>
      <c t="s" s="31" r="C76">
        <v>9</v>
      </c>
      <c t="s" s="31" r="D76">
        <v>40</v>
      </c>
      <c t="s" s="31" r="E76">
        <v>29</v>
      </c>
      <c s="37" r="F76">
        <v>40947</v>
      </c>
      <c t="str" s="42" r="G76">
        <f>hyperlink("http://espn.go.com/mlb/story/_/id/7508124/source-san-francisco-giants-give-reliever-clay-hensley-1-year-deal","One-year contract")</f>
        <v>One-year contract</v>
      </c>
      <c s="6" r="H76">
        <v>750000</v>
      </c>
    </row>
    <row r="77">
      <c s="13" r="A77">
        <v>75</v>
      </c>
      <c t="str" s="23" r="B77">
        <f>hyperlink("http://www.baseball-reference.com/players/s/suppaje01.shtml","Suppan, Jeff")</f>
        <v>Suppan, Jeff</v>
      </c>
      <c t="s" s="13" r="C77">
        <v>9</v>
      </c>
      <c t="s" s="13" r="D77">
        <v>28</v>
      </c>
      <c t="s" s="13" r="E77">
        <v>42</v>
      </c>
      <c s="18" r="F77">
        <v>40947</v>
      </c>
      <c t="s" s="1" r="G77">
        <v>16</v>
      </c>
      <c t="s" s="43" r="H77">
        <v>12</v>
      </c>
    </row>
    <row r="78">
      <c s="31" r="A78">
        <v>76</v>
      </c>
      <c t="str" s="36" r="B78">
        <f>hyperlink("http://www.baseball-reference.com/players/o/ohlenro01.shtml","Ohlendorf, Ross")</f>
        <v>Ohlendorf, Ross</v>
      </c>
      <c t="s" s="31" r="C78">
        <v>9</v>
      </c>
      <c t="s" s="31" r="D78">
        <v>15</v>
      </c>
      <c t="s" s="31" r="E78">
        <v>41</v>
      </c>
      <c s="37" r="F78">
        <v>40955</v>
      </c>
      <c t="s" s="1" r="G78">
        <v>16</v>
      </c>
      <c t="s" s="6" r="H78">
        <v>12</v>
      </c>
    </row>
    <row r="79">
      <c s="13" r="A79">
        <v>77</v>
      </c>
      <c t="str" s="23" r="B79">
        <f>hyperlink("http://www.baseball-reference.com/players/b/burnea.01.shtml","Burnett, A.J.")</f>
        <v>Burnett, A.J.</v>
      </c>
      <c t="s" s="13" r="C79">
        <v>9</v>
      </c>
      <c t="s" s="13" r="D79">
        <v>45</v>
      </c>
      <c t="s" s="13" r="E79">
        <v>15</v>
      </c>
      <c s="18" r="F79">
        <v>40958</v>
      </c>
      <c t="str" s="30" r="G79">
        <f>hyperlink("http://espn.go.com/new-york/mlb/story/_/id/7585280/aj-burnett-trade-pittsburgh-pirates-new-york-yankees-trade-official-sources-say","Traded for pair of Minor Leaguers")</f>
        <v>Traded for pair of Minor Leaguers</v>
      </c>
      <c t="s" s="43" r="H79">
        <v>12</v>
      </c>
    </row>
    <row r="80">
      <c s="31" r="A80">
        <v>78</v>
      </c>
      <c t="str" s="33" r="B80">
        <f>hyperlink("http://www.baseball-reference.com/players/v/vanderi01.shtml","VandenHurk, Rick")</f>
        <v>VandenHurk, Rick</v>
      </c>
      <c t="s" s="31" r="C80">
        <v>9</v>
      </c>
      <c t="s" s="31" r="D80">
        <v>33</v>
      </c>
      <c t="s" s="31" r="E80">
        <v>25</v>
      </c>
      <c s="37" r="F80">
        <v>40961</v>
      </c>
      <c t="str" s="2" r="G80">
        <f>hyperlink("http://sports.espn.go.com/espn/wire?section=mlb&amp;id=7602207","One-year contract")</f>
        <v>One-year contract</v>
      </c>
      <c t="s" s="6" r="H80">
        <v>53</v>
      </c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hyperlink("http://www.baseball-reference.com/players/w/woodti01.shtml","Wood, Tim")</f>
        <v>Wood, Tim</v>
      </c>
      <c t="s" s="13" r="C3">
        <v>13</v>
      </c>
      <c t="s" s="13" r="D3">
        <v>14</v>
      </c>
      <c t="s" s="13" r="E3">
        <v>15</v>
      </c>
      <c s="18" r="F3">
        <v>40848</v>
      </c>
      <c t="s" s="1" r="G3">
        <v>16</v>
      </c>
      <c t="s" s="43" r="H3">
        <v>12</v>
      </c>
    </row>
    <row r="4">
      <c s="46" r="A4">
        <v>2</v>
      </c>
      <c t="str" s="44" r="B4">
        <f>hyperlink("http://www.baseball-reference.com/players/m/magnutr01.shtml","Magnuson, Trystan")</f>
        <v>Magnuson, Trystan</v>
      </c>
      <c t="s" s="28" r="C4">
        <v>13</v>
      </c>
      <c t="s" s="28" r="D4">
        <v>23</v>
      </c>
      <c t="s" s="28" r="E4">
        <v>25</v>
      </c>
      <c s="11" r="F4">
        <v>40851</v>
      </c>
      <c t="str" s="30" r="G4">
        <f>hyperlink("http://espn.go.com/mlb/story/_/id/7190075/oakland-athletics-send-trystan-magnuson-toronto-blue-jays","Traded for cash considerations.")</f>
        <v>Traded for cash considerations.</v>
      </c>
      <c t="s" s="6" r="H4">
        <v>12</v>
      </c>
    </row>
    <row r="5">
      <c s="13" r="A5">
        <v>3</v>
      </c>
      <c t="str" s="45" r="B5">
        <f>hyperlink("http://www.baseball-reference.com/players/m/milleji02.shtml","Miller, Jim")</f>
        <v>Miller, Jim</v>
      </c>
      <c t="s" s="13" r="C5">
        <v>13</v>
      </c>
      <c t="s" s="13" r="D5">
        <v>22</v>
      </c>
      <c t="s" s="13" r="E5">
        <v>23</v>
      </c>
      <c s="18" r="F5">
        <v>40858</v>
      </c>
      <c t="s" s="1" r="G5">
        <v>16</v>
      </c>
      <c t="s" s="43" r="H5">
        <v>12</v>
      </c>
    </row>
    <row r="6">
      <c s="46" r="A6">
        <v>4</v>
      </c>
      <c t="str" s="44" r="B6">
        <f>hyperlink("http://www.baseball-reference.com/players/b/burtoja01.shtml","Burton, Jared")</f>
        <v>Burton, Jared</v>
      </c>
      <c t="s" s="31" r="C6">
        <v>13</v>
      </c>
      <c t="s" s="31" r="D6">
        <v>36</v>
      </c>
      <c t="s" s="31" r="E6">
        <v>37</v>
      </c>
      <c s="37" r="F6">
        <v>40859</v>
      </c>
      <c t="s" s="1" r="G6">
        <v>16</v>
      </c>
      <c t="s" s="6" r="H6">
        <v>12</v>
      </c>
    </row>
    <row r="7">
      <c s="13" r="A7">
        <v>5</v>
      </c>
      <c t="str" s="45" r="B7">
        <f>hyperlink("http://www.baseball-reference.com/players/p/papeljo01.shtml","Papelbon, Jonathan")</f>
        <v>Papelbon, Jonathan</v>
      </c>
      <c t="s" s="13" r="C7">
        <v>13</v>
      </c>
      <c t="s" s="13" r="D7">
        <v>41</v>
      </c>
      <c t="s" s="13" r="E7">
        <v>27</v>
      </c>
      <c s="18" r="F7">
        <v>40861</v>
      </c>
      <c t="str" s="22" r="G7">
        <f>hyperlink("http://philadelphia.phillies.mlb.com/news/press_releases/press_release.jsp?ymd=20111114&amp;content_id=25968638&amp;vkey=pr_phi&amp;fext=.jsp&amp;c_id=phi","Four-year contract")</f>
        <v>Four-year contract</v>
      </c>
      <c s="43" r="H7">
        <v>50000058</v>
      </c>
    </row>
    <row r="8">
      <c s="46" r="A8">
        <v>6</v>
      </c>
      <c t="str" s="44" r="B8">
        <f>hyperlink("http://www.baseball-reference.com/players/b/bergju01.shtml","Berg, Justin")</f>
        <v>Berg, Justin</v>
      </c>
      <c t="s" s="31" r="C8">
        <v>13</v>
      </c>
      <c t="s" s="9" r="D8">
        <v>35</v>
      </c>
      <c t="s" s="9" r="E8">
        <v>35</v>
      </c>
      <c s="37" r="F8">
        <v>40862</v>
      </c>
      <c t="s" s="1" r="G8">
        <v>16</v>
      </c>
      <c t="s" s="6" r="H8">
        <v>12</v>
      </c>
    </row>
    <row r="9">
      <c s="13" r="A9">
        <v>7</v>
      </c>
      <c t="str" s="45" r="B9">
        <f>hyperlink("http://www.baseball-reference.com/players/d/dumatph01.shtml","Dumatrait, Phil")</f>
        <v>Dumatrait, Phil</v>
      </c>
      <c t="s" s="13" r="C9">
        <v>13</v>
      </c>
      <c t="s" s="9" r="D9">
        <v>37</v>
      </c>
      <c t="s" s="9" r="E9">
        <v>37</v>
      </c>
      <c s="18" r="F9">
        <v>40862</v>
      </c>
      <c t="s" s="1" r="G9">
        <v>16</v>
      </c>
      <c t="s" s="43" r="H9">
        <v>12</v>
      </c>
    </row>
    <row r="10">
      <c s="46" r="A10">
        <v>8</v>
      </c>
      <c t="str" s="44" r="B10">
        <f>hyperlink("http://www.baseball-reference.com/players/h/hottoto01.shtml","Hottovy, Tommy")</f>
        <v>Hottovy, Tommy</v>
      </c>
      <c t="s" s="31" r="C10">
        <v>13</v>
      </c>
      <c t="s" s="31" r="D10">
        <v>41</v>
      </c>
      <c t="s" s="31" r="E10">
        <v>28</v>
      </c>
      <c s="37" r="F10">
        <v>40862</v>
      </c>
      <c t="s" s="1" r="G10">
        <v>16</v>
      </c>
      <c t="s" s="6" r="H10">
        <v>12</v>
      </c>
    </row>
    <row r="11">
      <c s="13" r="A11">
        <v>9</v>
      </c>
      <c t="str" s="45" r="B11">
        <f>hyperlink("http://www.baseball-reference.com/players/b/bulgeja01.shtml","Bulger, Jason")</f>
        <v>Bulger, Jason</v>
      </c>
      <c t="s" s="13" r="C11">
        <v>13</v>
      </c>
      <c t="s" s="13" r="D11">
        <v>47</v>
      </c>
      <c t="s" s="13" r="E11">
        <v>37</v>
      </c>
      <c s="18" r="F11">
        <v>40865</v>
      </c>
      <c t="s" s="1" r="G11">
        <v>16</v>
      </c>
      <c t="s" s="43" r="H11">
        <v>12</v>
      </c>
    </row>
    <row r="12">
      <c s="46" r="A12">
        <v>10</v>
      </c>
      <c t="str" s="44" r="B12">
        <f>hyperlink("http://www.baseball-reference.com/players/d/dedunsa01.shtml","Deduno, Samuel")</f>
        <v>Deduno, Samuel</v>
      </c>
      <c t="s" s="31" r="C12">
        <v>13</v>
      </c>
      <c t="s" s="31" r="D12">
        <v>42</v>
      </c>
      <c t="s" s="31" r="E12">
        <v>37</v>
      </c>
      <c s="37" r="F12">
        <v>40865</v>
      </c>
      <c t="s" s="1" r="G12">
        <v>16</v>
      </c>
      <c t="s" s="6" r="H12">
        <v>12</v>
      </c>
    </row>
    <row r="13">
      <c s="13" r="A13">
        <v>11</v>
      </c>
      <c t="str" s="45" r="B13">
        <f>hyperlink("http://www.baseball-reference.com/players/g/garrist01.shtml","Garrison, Steve")</f>
        <v>Garrison, Steve</v>
      </c>
      <c t="s" s="13" r="C13">
        <v>13</v>
      </c>
      <c t="s" s="13" r="D13">
        <v>45</v>
      </c>
      <c t="s" s="13" r="E13">
        <v>44</v>
      </c>
      <c s="18" r="F13">
        <v>40865</v>
      </c>
      <c t="s" s="1" r="G13">
        <v>16</v>
      </c>
      <c t="s" s="43" r="H13">
        <v>12</v>
      </c>
    </row>
    <row r="14">
      <c s="46" r="A14">
        <v>12</v>
      </c>
      <c t="str" s="36" r="B14">
        <f>hyperlink("http://www.baseball-reference.com/players/n/nathajo01.shtml","Nathan, Joe")</f>
        <v>Nathan, Joe</v>
      </c>
      <c t="s" s="31" r="C14">
        <v>13</v>
      </c>
      <c t="s" s="31" r="D14">
        <v>37</v>
      </c>
      <c t="s" s="31" r="E14">
        <v>14</v>
      </c>
      <c s="37" r="F14">
        <v>40868</v>
      </c>
      <c t="str" s="2" r="G14">
        <f>hyperlink("http://pittsburgh.pirates.mlb.com/news/article.jsp?ymd=20111121&amp;content_id=26016208&amp;vkey=news_pit&amp;c_id=pit","Two-year contract with option")</f>
        <v>Two-year contract with option</v>
      </c>
      <c s="6" r="H14">
        <v>14500000</v>
      </c>
    </row>
    <row r="15">
      <c s="13" r="A15">
        <v>13</v>
      </c>
      <c t="str" s="23" r="B15">
        <f>hyperlink("http://www.baseball-reference.com/players/h/hughedu01.shtml","Hughes, Dusty")</f>
        <v>Hughes, Dusty</v>
      </c>
      <c t="s" s="13" r="C15">
        <v>13</v>
      </c>
      <c t="s" s="13" r="D15">
        <v>37</v>
      </c>
      <c t="s" s="13" r="E15">
        <v>10</v>
      </c>
      <c s="18" r="F15">
        <v>40869</v>
      </c>
      <c t="s" s="39" r="G15">
        <v>16</v>
      </c>
      <c t="s" s="43" r="H15">
        <v>12</v>
      </c>
    </row>
    <row r="16">
      <c s="46" r="A16">
        <v>14</v>
      </c>
      <c t="str" s="36" r="B16">
        <f>hyperlink("http://www.baseball-reference.com/players/r/russead01.shtml","Russell, Adam")</f>
        <v>Russell, Adam</v>
      </c>
      <c t="s" s="31" r="C16">
        <v>13</v>
      </c>
      <c t="s" s="31" r="D16">
        <v>48</v>
      </c>
      <c t="s" s="31" r="E16">
        <v>10</v>
      </c>
      <c s="37" r="F16">
        <v>40869</v>
      </c>
      <c t="s" s="39" r="G16">
        <v>16</v>
      </c>
      <c t="s" s="6" r="H16">
        <v>12</v>
      </c>
    </row>
    <row r="17">
      <c s="13" r="A17">
        <v>15</v>
      </c>
      <c t="str" s="23" r="B17">
        <f>hyperlink("http://www.baseball-reference.com/players/l/luekejo01.shtml","Lueke, Josh")</f>
        <v>Lueke, Josh</v>
      </c>
      <c t="s" s="13" r="C17">
        <v>13</v>
      </c>
      <c t="s" s="13" r="D17">
        <v>44</v>
      </c>
      <c t="s" s="13" r="E17">
        <v>48</v>
      </c>
      <c s="18" r="F17">
        <v>40874</v>
      </c>
      <c t="str" s="30" r="G17">
        <f>hyperlink("http://mlb.mlb.com/news/article.jsp?ymd=20111127&amp;content_id=26045430&amp;vkey=news_mlb&amp;c_id=mlb","Traded for catcher John Jaso")</f>
        <v>Traded for catcher John Jaso</v>
      </c>
      <c t="s" s="43" r="H17">
        <v>12</v>
      </c>
    </row>
    <row r="18">
      <c s="46" r="A18">
        <v>16</v>
      </c>
      <c t="str" s="36" r="B18">
        <f>hyperlink("http://www.baseball-reference.com/players/b/broxtjo01.shtml","Broxton, Jonathan")</f>
        <v>Broxton, Jonathan</v>
      </c>
      <c t="s" s="31" r="C18">
        <v>13</v>
      </c>
      <c t="s" s="31" r="D18">
        <v>20</v>
      </c>
      <c t="s" s="31" r="E18">
        <v>28</v>
      </c>
      <c s="37" r="F18">
        <v>40876</v>
      </c>
      <c t="str" s="2" r="G18">
        <f>hyperlink("http://espn.go.com/mlb/story/_/id/7293835/los-angeles-dodgers-free-agent-jonathan-broxton-reaches-deal-kansas-city-royals","One-year contract")</f>
        <v>One-year contract</v>
      </c>
      <c s="6" r="H18">
        <v>4000000</v>
      </c>
    </row>
    <row r="19">
      <c s="13" r="A19">
        <v>17</v>
      </c>
      <c t="str" s="23" r="B19">
        <f>hyperlink("http://www.baseball-reference.com/players/m/mischpa01.shtml","Misch, Pat")</f>
        <v>Misch, Pat</v>
      </c>
      <c t="s" s="13" r="C19">
        <v>13</v>
      </c>
      <c t="s" s="13" r="D19">
        <v>38</v>
      </c>
      <c t="s" s="13" r="E19">
        <v>27</v>
      </c>
      <c s="18" r="F19">
        <v>40877</v>
      </c>
      <c t="s" s="1" r="G19">
        <v>16</v>
      </c>
      <c t="s" s="43" r="H19">
        <v>12</v>
      </c>
    </row>
    <row r="20">
      <c s="46" r="A20">
        <v>18</v>
      </c>
      <c t="str" s="36" r="B20">
        <f>hyperlink("http://www.baseball-reference.com/players/v/valdera02.shtml","Valdes, Raul")</f>
        <v>Valdes, Raul</v>
      </c>
      <c t="s" s="31" r="C20">
        <v>13</v>
      </c>
      <c t="s" s="31" r="D20">
        <v>45</v>
      </c>
      <c t="s" s="31" r="E20">
        <v>27</v>
      </c>
      <c s="37" r="F20">
        <v>40877</v>
      </c>
      <c t="s" s="1" r="G20">
        <v>16</v>
      </c>
      <c t="s" s="6" r="H20">
        <v>12</v>
      </c>
    </row>
    <row r="21">
      <c s="13" r="A21">
        <v>19</v>
      </c>
      <c t="str" s="23" r="B21">
        <f>hyperlink("http://www.baseball-reference.com/players/b/bellhe01.shtml","Bell, Heath")</f>
        <v>Bell, Heath</v>
      </c>
      <c t="s" s="13" r="C21">
        <v>13</v>
      </c>
      <c t="s" s="13" r="D21">
        <v>42</v>
      </c>
      <c t="s" s="13" r="E21">
        <v>40</v>
      </c>
      <c s="18" r="F21">
        <v>40882</v>
      </c>
      <c t="str" s="22" r="G21">
        <f>hyperlink("http://espn.go.com/mlb/story/_/id/7320028/2011-free-agents-san-diego-padres-free-agent-heath-bell-miami-marlins-finalize-27-million-deal","Three-year contract")</f>
        <v>Three-year contract</v>
      </c>
      <c s="43" r="H21">
        <v>27000000</v>
      </c>
    </row>
    <row r="22">
      <c s="46" r="A22">
        <v>20</v>
      </c>
      <c t="str" s="36" r="B22">
        <f>hyperlink("http://www.baseball-reference.com/players/s/santose01.shtml","Santos, Sergio")</f>
        <v>Santos, Sergio</v>
      </c>
      <c t="s" s="31" r="C22">
        <v>13</v>
      </c>
      <c t="s" s="31" r="D22">
        <v>49</v>
      </c>
      <c t="s" s="31" r="E22">
        <v>25</v>
      </c>
      <c s="37" r="F22">
        <v>40883</v>
      </c>
      <c t="str" s="30" r="G22">
        <f>hyperlink("http://chicago.whitesox.mlb.com/news/article.jsp?ymd=20111206&amp;content_id=26105714&amp;vkey=news_cws&amp;c_id=cws","Traded for Nestor Molina")</f>
        <v>Traded for Nestor Molina</v>
      </c>
      <c t="s" s="6" r="H22">
        <v>12</v>
      </c>
    </row>
    <row r="23">
      <c s="13" r="A23">
        <v>21</v>
      </c>
      <c t="str" s="23" r="B23">
        <f>hyperlink("http://www.baseball-reference.com/players/c/cappsma01.shtml","Capps, Matt")</f>
        <v>Capps, Matt</v>
      </c>
      <c t="s" s="13" r="C23">
        <v>13</v>
      </c>
      <c t="s" s="9" r="D23">
        <v>37</v>
      </c>
      <c t="s" s="9" r="E23">
        <v>37</v>
      </c>
      <c s="18" r="F23">
        <v>40884</v>
      </c>
      <c t="str" s="22" r="G23">
        <f>hyperlink("http://espn.go.com/mlb/story/_/id/7326796/matt-capps-minnesota-twins-finalize-one-year-475-million-contract","One-year contract with option")</f>
        <v>One-year contract with option</v>
      </c>
      <c s="43" r="H23">
        <v>4750000</v>
      </c>
    </row>
    <row r="24">
      <c s="46" r="A24">
        <v>22</v>
      </c>
      <c t="str" s="36" r="B24">
        <f>hyperlink("http://www.baseball-reference.com/players/s/streehu01.shtml","Street, Huston")</f>
        <v>Street, Huston</v>
      </c>
      <c t="s" s="31" r="C24">
        <v>13</v>
      </c>
      <c t="s" s="31" r="D24">
        <v>22</v>
      </c>
      <c t="s" s="31" r="E24">
        <v>42</v>
      </c>
      <c s="37" r="F24">
        <v>40884</v>
      </c>
      <c t="str" s="30" r="G24">
        <f>hyperlink("http://espn.go.com/mlb/story/_/id/7327718/colorado-rockies-trade-closer-huston-street-nl-west-rival-san-diego-padres","Traded with cash for player to be named &amp; cash")</f>
        <v>Traded with cash for player to be named &amp; cash</v>
      </c>
      <c t="s" s="6" r="H24">
        <v>12</v>
      </c>
    </row>
    <row r="25">
      <c s="13" r="A25">
        <v>23</v>
      </c>
      <c t="str" s="23" r="B25">
        <f>hyperlink("http://www.baseball-reference.com/players/r/rodrifr03.shtml","Rodriguez, Francisco")</f>
        <v>Rodriguez, Francisco</v>
      </c>
      <c t="s" s="13" r="C25">
        <v>13</v>
      </c>
      <c t="s" s="9" r="D25">
        <v>34</v>
      </c>
      <c t="s" s="9" r="E25">
        <v>34</v>
      </c>
      <c s="18" r="F25">
        <v>40884</v>
      </c>
      <c t="s" s="12" r="G25">
        <v>50</v>
      </c>
      <c t="s" s="43" r="H25">
        <v>12</v>
      </c>
    </row>
    <row r="26">
      <c s="46" r="A26">
        <v>24</v>
      </c>
      <c t="str" s="36" r="B26">
        <f>hyperlink("http://www.baseball-reference.com/players/r/ramirra02.shtml","Ramirez, Ramon")</f>
        <v>Ramirez, Ramon</v>
      </c>
      <c t="s" s="31" r="C26">
        <v>13</v>
      </c>
      <c t="s" s="31" r="D26">
        <v>29</v>
      </c>
      <c t="s" s="31" r="E26">
        <v>38</v>
      </c>
      <c s="37" r="F26">
        <v>40884</v>
      </c>
      <c t="str" s="30" r="G26">
        <f>hyperlink("http://sanfrancisco.giants.mlb.com/news/article.jsp?ymd=20111206&amp;content_id=26107960&amp;vkey=news_sf&amp;c_id=sf","Traded with Andres Torres for Angel Pagan")</f>
        <v>Traded with Andres Torres for Angel Pagan</v>
      </c>
      <c t="s" s="6" r="H26">
        <v>12</v>
      </c>
    </row>
    <row r="27">
      <c s="13" r="A27">
        <v>25</v>
      </c>
      <c t="str" s="23" r="B27">
        <f>hyperlink("http://www.baseball-reference.com/players/l/ledezwi01.shtml","Ledezma, Wil")</f>
        <v>Ledezma, Wil</v>
      </c>
      <c t="s" s="13" r="C27">
        <v>13</v>
      </c>
      <c t="s" s="13" r="D27">
        <v>25</v>
      </c>
      <c t="s" s="13" r="E27">
        <v>20</v>
      </c>
      <c s="18" r="F27">
        <v>40884</v>
      </c>
      <c t="s" s="1" r="G27">
        <v>16</v>
      </c>
      <c t="s" s="43" r="H27">
        <v>12</v>
      </c>
    </row>
    <row r="28">
      <c s="46" r="A28">
        <v>26</v>
      </c>
      <c t="str" s="36" r="B28">
        <f>hyperlink("http://www.baseball-reference.com/players/c/carlsje01.shtml","Carlson, Jesse")</f>
        <v>Carlson, Jesse</v>
      </c>
      <c t="s" s="31" r="C28">
        <v>13</v>
      </c>
      <c t="s" s="31" r="D28">
        <v>25</v>
      </c>
      <c t="s" s="31" r="E28">
        <v>41</v>
      </c>
      <c s="37" r="F28">
        <v>40884</v>
      </c>
      <c t="s" s="1" r="G28">
        <v>16</v>
      </c>
      <c t="s" s="6" r="H28">
        <v>12</v>
      </c>
    </row>
    <row r="29">
      <c s="13" r="A29">
        <v>27</v>
      </c>
      <c t="str" s="23" r="B29">
        <f>hyperlink("http://www.baseball-reference.com/minors/player.cgi?id=weathe001cas","Weathers, Casey")</f>
        <v>Weathers, Casey</v>
      </c>
      <c t="s" s="13" r="C29">
        <v>13</v>
      </c>
      <c t="s" s="13" r="D29">
        <v>22</v>
      </c>
      <c t="s" s="13" r="E29">
        <v>35</v>
      </c>
      <c s="18" r="F29">
        <v>40885</v>
      </c>
      <c t="str" s="30" r="G29">
        <f>hyperlink("http://espn.go.com/chicago/mlb/story/_/id/7333696/chicago-cubs-trade-tyler-colvin-dj-lemahieu-colorado-rockies-ian-stewart-casey-weathers","Traded w I. Stewart for T. Colvin and LeMahieu")</f>
        <v>Traded w I. Stewart for T. Colvin and LeMahieu</v>
      </c>
      <c t="s" s="43" r="H29">
        <v>12</v>
      </c>
    </row>
    <row r="30">
      <c s="46" r="A30">
        <v>28</v>
      </c>
      <c t="str" s="36" r="B30">
        <f>hyperlink("http://www.baseball-reference.com/players/d/doteloc01.shtml","Dotel, Octavio")</f>
        <v>Dotel, Octavio</v>
      </c>
      <c t="s" s="31" r="C30">
        <v>13</v>
      </c>
      <c t="s" s="31" r="D30">
        <v>46</v>
      </c>
      <c t="s" s="31" r="E30">
        <v>30</v>
      </c>
      <c s="37" r="F30">
        <v>40886</v>
      </c>
      <c t="str" s="2" r="G30">
        <f>hyperlink("http://mlb.mlb.com/news/article.jsp?ymd=20111208&amp;content_id=26127944&amp;c_id=mlb","One-year contract with option")</f>
        <v>One-year contract with option</v>
      </c>
      <c s="6" r="H30">
        <v>3500000</v>
      </c>
    </row>
    <row r="31">
      <c s="13" r="A31">
        <v>29</v>
      </c>
      <c t="str" s="23" r="B31">
        <f>hyperlink("http://www.baseball-reference.com/players/p/purceda01.shtml","Purcey, David")</f>
        <v>Purcey, David</v>
      </c>
      <c t="s" s="13" r="C31">
        <v>13</v>
      </c>
      <c t="s" s="13" r="D31">
        <v>30</v>
      </c>
      <c t="s" s="13" r="E31">
        <v>27</v>
      </c>
      <c s="18" r="F31">
        <v>40886</v>
      </c>
      <c t="s" s="1" r="G31">
        <v>16</v>
      </c>
      <c t="s" s="43" r="H31">
        <v>12</v>
      </c>
    </row>
    <row r="32">
      <c s="46" r="A32">
        <v>30</v>
      </c>
      <c t="str" s="36" r="B32">
        <f>hyperlink("http://www.baseball-reference.com/players/b/balesco01.shtml","Balester, Collin")</f>
        <v>Balester, Collin</v>
      </c>
      <c t="s" s="31" r="C32">
        <v>13</v>
      </c>
      <c t="s" s="31" r="D32">
        <v>24</v>
      </c>
      <c t="s" s="31" r="E32">
        <v>30</v>
      </c>
      <c s="37" r="F32">
        <v>40886</v>
      </c>
      <c t="str" s="30" r="G32">
        <f>hyperlink("http://mlb.mlb.com/news/article.jsp?ymd=20111209&amp;content_id=26139384&amp;vkey=news_mlb&amp;c_id=mlb","Traded for Ryan Perry")</f>
        <v>Traded for Ryan Perry</v>
      </c>
      <c t="s" s="6" r="H32">
        <v>12</v>
      </c>
    </row>
    <row r="33">
      <c s="13" r="A33">
        <v>31</v>
      </c>
      <c t="str" s="23" r="B33">
        <f>hyperlink("http://www.baseball-reference.com/players/p/perryry01.shtml","Perry, Ryan")</f>
        <v>Perry, Ryan</v>
      </c>
      <c t="s" s="13" r="C33">
        <v>13</v>
      </c>
      <c t="s" s="13" r="D33">
        <v>30</v>
      </c>
      <c t="s" s="13" r="E33">
        <v>24</v>
      </c>
      <c s="18" r="F33">
        <v>40886</v>
      </c>
      <c t="str" s="30" r="G33">
        <f>hyperlink("http://mlb.mlb.com/news/article.jsp?ymd=20111209&amp;content_id=26139384&amp;vkey=news_mlb&amp;c_id=mlb","Traded for Collin Balester")</f>
        <v>Traded for Collin Balester</v>
      </c>
      <c t="s" s="43" r="H33">
        <v>12</v>
      </c>
    </row>
    <row r="34">
      <c s="46" r="A34">
        <v>32</v>
      </c>
      <c t="str" s="36" r="B34">
        <f>hyperlink("http://www.baseball-reference.com/players/b/breslcr01.shtml","Breslow, Craig")</f>
        <v>Breslow, Craig</v>
      </c>
      <c t="s" s="31" r="C34">
        <v>13</v>
      </c>
      <c t="s" s="31" r="D34">
        <v>23</v>
      </c>
      <c t="s" s="31" r="E34">
        <v>18</v>
      </c>
      <c s="37" r="F34">
        <v>40886</v>
      </c>
      <c t="str" s="30" r="G34">
        <f>hyperlink("http://espn.go.com/mlb/story/_/id/7336925/arizona-diamondbacks-acquire-trevor-cahill-oakland-athletics-five-player-deal","Traded w Cahill &amp; cash for Cowgill, Parker &amp; Cook")</f>
        <v>Traded w Cahill &amp; cash for Cowgill, Parker &amp; Cook</v>
      </c>
      <c t="s" s="6" r="H34">
        <v>12</v>
      </c>
    </row>
    <row r="35">
      <c s="13" r="A35">
        <v>33</v>
      </c>
      <c t="str" s="23" r="B35">
        <f>hyperlink("http://www.baseball-reference.com/players/c/cookry01.shtml","Cook, Ryan")</f>
        <v>Cook, Ryan</v>
      </c>
      <c t="s" s="13" r="C35">
        <v>13</v>
      </c>
      <c t="s" s="13" r="D35">
        <v>18</v>
      </c>
      <c t="s" s="13" r="E35">
        <v>23</v>
      </c>
      <c s="18" r="F35">
        <v>40886</v>
      </c>
      <c t="str" s="30" r="G35">
        <f>hyperlink("http://espn.go.com/mlb/story/_/id/7336925/arizona-diamondbacks-acquire-trevor-cahill-oakland-athletics-five-player-deal","Traded w Cowgill &amp; Parker for Breslow, Cahill &amp; cash")</f>
        <v>Traded w Cowgill &amp; Parker for Breslow, Cahill &amp; cash</v>
      </c>
      <c t="s" s="43" r="H35">
        <v>12</v>
      </c>
    </row>
    <row r="36">
      <c s="46" r="A36">
        <v>34</v>
      </c>
      <c t="str" s="36" r="B36">
        <f>hyperlink("http://www.baseball-reference.com/players/v/verasjo01.shtml","Veras, Jose")</f>
        <v>Veras, Jose</v>
      </c>
      <c t="s" s="31" r="C36">
        <v>13</v>
      </c>
      <c t="s" s="31" r="D36">
        <v>15</v>
      </c>
      <c t="s" s="31" r="E36">
        <v>34</v>
      </c>
      <c s="37" r="F36">
        <v>40889</v>
      </c>
      <c t="str" s="30" r="G36">
        <f>hyperlink("http://pittsburgh.pirates.mlb.com/news/article.jsp?ymd=20111212&amp;content_id=26153020&amp;vkey=news_pit&amp;c_id=pit","Traded for Casey McGehee")</f>
        <v>Traded for Casey McGehee</v>
      </c>
      <c t="s" s="6" r="H36">
        <v>12</v>
      </c>
    </row>
    <row r="37">
      <c s="13" r="A37">
        <v>35</v>
      </c>
      <c t="str" s="23" r="B37">
        <f>hyperlink("http://www.baseball-reference.com/players/b/badenbu01.shtml","Badenhop, Burke")</f>
        <v>Badenhop, Burke</v>
      </c>
      <c t="s" s="13" r="C37">
        <v>13</v>
      </c>
      <c t="s" s="13" r="D37">
        <v>40</v>
      </c>
      <c t="s" s="13" r="E37">
        <v>48</v>
      </c>
      <c s="18" r="F37">
        <v>40889</v>
      </c>
      <c t="str" s="30" r="G37">
        <f>hyperlink("http://miami.marlins.mlb.com/news/article.jsp?ymd=20111212&amp;content_id=26152412&amp;vkey=news_mia&amp;c_id=mia","Traded for a minor leaguer")</f>
        <v>Traded for a minor leaguer</v>
      </c>
      <c t="s" s="43" r="H37">
        <v>12</v>
      </c>
    </row>
    <row r="38">
      <c s="46" r="A38">
        <v>36</v>
      </c>
      <c t="str" s="36" r="B38">
        <f>hyperlink("http://www.baseball-reference.com/players/g/grillja01.shtml","Grilli, Jason")</f>
        <v>Grilli, Jason</v>
      </c>
      <c t="s" s="31" r="C38">
        <v>13</v>
      </c>
      <c t="s" s="9" r="D38">
        <v>15</v>
      </c>
      <c t="s" s="9" r="E38">
        <v>15</v>
      </c>
      <c s="37" r="F38">
        <v>40889</v>
      </c>
      <c t="str" s="2" r="G38">
        <f>hyperlink("http://pittsburgh.pirates.mlb.com/news/article.jsp?ymd=20111212&amp;content_id=26153234&amp;vkey=news_pit&amp;c_id=pit","One-Year contract")</f>
        <v>One-Year contract</v>
      </c>
      <c s="6" r="H38">
        <v>1100000</v>
      </c>
    </row>
    <row r="39">
      <c s="13" r="A39">
        <v>37</v>
      </c>
      <c t="str" s="23" r="B39">
        <f>hyperlink("http://www.baseball-reference.com/players/o/olsonga01.shtml","Olson, Garrett")</f>
        <v>Olson, Garrett</v>
      </c>
      <c t="s" s="13" r="C39">
        <v>13</v>
      </c>
      <c t="s" s="13" r="D39">
        <v>15</v>
      </c>
      <c t="s" s="13" r="E39">
        <v>38</v>
      </c>
      <c s="18" r="F39">
        <v>40890</v>
      </c>
      <c t="s" s="1" r="G39">
        <v>16</v>
      </c>
      <c t="s" s="43" r="H39">
        <v>12</v>
      </c>
    </row>
    <row r="40">
      <c s="46" r="A40">
        <v>38</v>
      </c>
      <c t="str" s="36" r="B40">
        <f>hyperlink("http://www.baseball-reference.com/players/a/albaljo01.shtml","Albaladejo, Jonathan")</f>
        <v>Albaladejo, Jonathan</v>
      </c>
      <c t="s" s="31" r="C40">
        <v>13</v>
      </c>
      <c t="s" s="31" r="D40">
        <v>45</v>
      </c>
      <c t="s" s="31" r="E40">
        <v>18</v>
      </c>
      <c s="37" r="F40">
        <v>40890</v>
      </c>
      <c t="str" s="2" r="G40">
        <f>hyperlink("http://sports.espn.go.com/espn/wire?section=mlb&amp;id=7352170&amp;teamId=20&amp;sport=mlb","One-year contract")</f>
        <v>One-year contract</v>
      </c>
      <c s="6" r="H40">
        <v>490000</v>
      </c>
    </row>
    <row r="41">
      <c s="13" r="A41">
        <v>39</v>
      </c>
      <c t="str" s="23" r="B41">
        <f>hyperlink("http://www.baseball-reference.com/players/g/gutieju01.shtml","Gutierrez, Juan")</f>
        <v>Gutierrez, Juan</v>
      </c>
      <c t="s" s="13" r="C41">
        <v>13</v>
      </c>
      <c t="s" s="13" r="D41">
        <v>18</v>
      </c>
      <c t="s" s="13" r="E41">
        <v>28</v>
      </c>
      <c s="18" r="F41">
        <v>40890</v>
      </c>
      <c t="s" s="1" r="G41">
        <v>16</v>
      </c>
      <c t="s" s="43" r="H41">
        <v>12</v>
      </c>
    </row>
    <row r="42">
      <c s="46" r="A42">
        <v>40</v>
      </c>
      <c t="str" s="36" r="B42">
        <f>hyperlink("http://www.baseball-reference.com/players/s/saitota01.shtml","Saito, Takashi")</f>
        <v>Saito, Takashi</v>
      </c>
      <c t="s" s="31" r="C42">
        <v>13</v>
      </c>
      <c t="s" s="31" r="D42">
        <v>34</v>
      </c>
      <c t="s" s="31" r="E42">
        <v>18</v>
      </c>
      <c s="37" r="F42">
        <v>40890</v>
      </c>
      <c t="str" s="2" r="G42">
        <f>hyperlink("http://hardballtalk.nbcsports.com/2011/12/13/takashi-saitos-one-year-deal-with-arizona-worth-1-75-million/","One-year contract")</f>
        <v>One-year contract</v>
      </c>
      <c s="6" r="H42">
        <v>1750000</v>
      </c>
    </row>
    <row r="43">
      <c s="13" r="A43">
        <v>41</v>
      </c>
      <c t="str" s="23" r="B43">
        <f>hyperlink("http://www.baseball-reference.com/players/n/nievefe01.shtml","Nieve, Fernando")</f>
        <v>Nieve, Fernando</v>
      </c>
      <c t="s" s="13" r="C43">
        <v>13</v>
      </c>
      <c t="s" s="13" r="D43">
        <v>31</v>
      </c>
      <c t="s" s="13" r="E43">
        <v>20</v>
      </c>
      <c s="18" r="F43">
        <v>40890</v>
      </c>
      <c t="s" s="1" r="G43">
        <v>16</v>
      </c>
      <c t="s" s="43" r="H43">
        <v>12</v>
      </c>
    </row>
    <row r="44">
      <c s="46" r="A44">
        <v>42</v>
      </c>
      <c t="str" s="33" r="B44">
        <f>hyperlink("http://www.baseball-reference.com/players/a/ascanjo01.shtml","Ascanio, Jose")</f>
        <v>Ascanio, Jose</v>
      </c>
      <c t="s" s="31" r="C44">
        <v>13</v>
      </c>
      <c t="s" s="31" r="D44">
        <v>15</v>
      </c>
      <c t="s" s="31" r="E44">
        <v>20</v>
      </c>
      <c s="37" r="F44">
        <v>40890</v>
      </c>
      <c t="s" s="1" r="G44">
        <v>16</v>
      </c>
      <c t="s" s="6" r="H44">
        <v>12</v>
      </c>
    </row>
    <row r="45">
      <c s="13" r="A45">
        <v>43</v>
      </c>
      <c t="str" s="23" r="B45">
        <f>hyperlink("http://www.baseball-reference.com/players/g/guzmaan01.shtml","Guzman, Angel")</f>
        <v>Guzman, Angel</v>
      </c>
      <c t="s" s="13" r="C45">
        <v>13</v>
      </c>
      <c t="s" s="13" r="D45">
        <v>35</v>
      </c>
      <c t="s" s="13" r="E45">
        <v>20</v>
      </c>
      <c s="18" r="F45">
        <v>40890</v>
      </c>
      <c t="s" s="1" r="G45">
        <v>16</v>
      </c>
      <c t="s" s="43" r="H45">
        <v>12</v>
      </c>
    </row>
    <row r="46">
      <c s="46" r="A46">
        <v>44</v>
      </c>
      <c t="str" s="36" r="B46">
        <f>hyperlink("http://www.baseball-reference.com/players/t/tuckery01.shtml","Tucker, Ryan")</f>
        <v>Tucker, Ryan</v>
      </c>
      <c t="s" s="31" r="C46">
        <v>13</v>
      </c>
      <c t="s" s="31" r="D46">
        <v>14</v>
      </c>
      <c t="s" s="31" r="E46">
        <v>20</v>
      </c>
      <c s="37" r="F46">
        <v>40890</v>
      </c>
      <c t="s" s="1" r="G46">
        <v>16</v>
      </c>
      <c t="s" s="6" r="H46">
        <v>12</v>
      </c>
    </row>
    <row r="47">
      <c s="13" r="A47">
        <v>45</v>
      </c>
      <c t="str" s="23" r="B47">
        <f>hyperlink("http://www.baseball-reference.com/players/l/lindssh01.shtml","Lindsay, Shane")</f>
        <v>Lindsay, Shane</v>
      </c>
      <c t="s" s="13" r="C47">
        <v>13</v>
      </c>
      <c t="s" s="13" r="D47">
        <v>49</v>
      </c>
      <c t="s" s="13" r="E47">
        <v>20</v>
      </c>
      <c s="18" r="F47">
        <v>40890</v>
      </c>
      <c t="s" s="1" r="G47">
        <v>16</v>
      </c>
      <c t="s" s="43" r="H47">
        <v>12</v>
      </c>
    </row>
    <row r="48">
      <c s="46" r="A48">
        <v>46</v>
      </c>
      <c t="str" s="33" r="B48">
        <f>hyperlink("http://www.baseball-reference.com/players/k/kinnejo01.shtml","Kinney, Josh")</f>
        <v>Kinney, Josh</v>
      </c>
      <c t="s" s="31" r="C48">
        <v>13</v>
      </c>
      <c t="s" s="31" r="D48">
        <v>49</v>
      </c>
      <c t="s" s="31" r="E48">
        <v>44</v>
      </c>
      <c s="37" r="F48">
        <v>40891</v>
      </c>
      <c t="s" s="1" r="G48">
        <v>16</v>
      </c>
      <c t="s" s="6" r="H48">
        <v>12</v>
      </c>
    </row>
    <row r="49">
      <c s="13" r="A49">
        <v>47</v>
      </c>
      <c t="str" s="23" r="B49">
        <f>hyperlink("http://www.baseball-reference.com/players/m/marquje01.shtml","Marquez, Jeff")</f>
        <v>Marquez, Jeff</v>
      </c>
      <c t="s" s="13" r="C49">
        <v>13</v>
      </c>
      <c t="s" s="13" r="D49">
        <v>45</v>
      </c>
      <c t="s" s="13" r="E49">
        <v>44</v>
      </c>
      <c s="18" r="F49">
        <v>40891</v>
      </c>
      <c t="s" s="1" r="G49">
        <v>16</v>
      </c>
      <c t="s" s="43" r="H49">
        <v>12</v>
      </c>
    </row>
    <row r="50">
      <c s="46" r="A50">
        <v>48</v>
      </c>
      <c t="str" s="33" r="B50">
        <f>hyperlink("http://www.baseball-reference.com/players/p/pattesc01.shtml","Patterson, Scott")</f>
        <v>Patterson, Scott</v>
      </c>
      <c t="s" s="31" r="C50">
        <v>13</v>
      </c>
      <c t="s" s="9" r="D50">
        <v>44</v>
      </c>
      <c t="s" s="9" r="E50">
        <v>44</v>
      </c>
      <c s="37" r="F50">
        <v>40891</v>
      </c>
      <c t="s" s="1" r="G50">
        <v>16</v>
      </c>
      <c t="s" s="6" r="H50">
        <v>12</v>
      </c>
    </row>
    <row r="51">
      <c s="13" r="A51">
        <v>49</v>
      </c>
      <c t="str" s="23" r="B51">
        <f>hyperlink("http://www.baseball-reference.com/players/m/melanma01.shtml","Melancon, Mark")</f>
        <v>Melancon, Mark</v>
      </c>
      <c t="s" s="13" r="C51">
        <v>13</v>
      </c>
      <c t="s" s="13" r="D51">
        <v>31</v>
      </c>
      <c t="s" s="13" r="E51">
        <v>41</v>
      </c>
      <c s="18" r="F51">
        <v>40891</v>
      </c>
      <c t="str" s="30" r="G51">
        <f>hyperlink("http://mlb.mlb.com/news/article.jsp?ymd=20111214&amp;content_id=26162792&amp;vkey=news_mlb&amp;c_id=mlb","Traded for Jed Lowrie &amp; Kyle Weiland")</f>
        <v>Traded for Jed Lowrie &amp; Kyle Weiland</v>
      </c>
      <c t="s" s="43" r="H51">
        <v>12</v>
      </c>
    </row>
    <row r="52">
      <c s="46" r="A52">
        <v>50</v>
      </c>
      <c t="str" s="36" r="B52">
        <f>hyperlink("http://www.baseball-reference.com/players/r/rauchjo01.shtml","Rauch, Jon")</f>
        <v>Rauch, Jon</v>
      </c>
      <c t="s" s="31" r="C52">
        <v>13</v>
      </c>
      <c t="s" s="31" r="D52">
        <v>25</v>
      </c>
      <c t="s" s="31" r="E52">
        <v>38</v>
      </c>
      <c s="37" r="F52">
        <v>40891</v>
      </c>
      <c t="str" s="2" r="G52">
        <f>hyperlink("http://mlb.mlb.com/news/article.jsp?ymd=20111206&amp;content_id=26112382&amp;vkey=news_mlb&amp;c_id=mlb","One-year contract")</f>
        <v>One-year contract</v>
      </c>
      <c s="6" r="H52">
        <v>3500000</v>
      </c>
    </row>
    <row r="53">
      <c s="13" r="A53">
        <v>51</v>
      </c>
      <c t="str" s="23" r="B53">
        <f>hyperlink("http://www.baseball-reference.com/players/h/hawkila01.shtml","Hawkins, LaTroy")</f>
        <v>Hawkins, LaTroy</v>
      </c>
      <c t="s" s="13" r="C53">
        <v>13</v>
      </c>
      <c t="s" s="13" r="D53">
        <v>34</v>
      </c>
      <c t="s" s="13" r="E53">
        <v>47</v>
      </c>
      <c s="18" r="F53">
        <v>40891</v>
      </c>
      <c t="str" s="22" r="G53">
        <f>hyperlink("http://espn.go.com/los-angeles/mlb/story/_/id/7329112/los-angeles-angels-latroy-hawkins-agree-one-year-deal-source-says","One-year contract")</f>
        <v>One-year contract</v>
      </c>
      <c s="43" r="H53">
        <v>3000000</v>
      </c>
    </row>
    <row r="54">
      <c s="46" r="A54">
        <v>52</v>
      </c>
      <c t="str" s="33" r="B54">
        <f>hyperlink("http://www.baseball-reference.com/players/j/jamesch03.shtml","James, Chuck")</f>
        <v>James, Chuck</v>
      </c>
      <c t="s" s="31" r="C54">
        <v>13</v>
      </c>
      <c t="s" s="31" r="D54">
        <v>37</v>
      </c>
      <c t="s" s="31" r="E54">
        <v>38</v>
      </c>
      <c s="37" r="F54">
        <v>40892</v>
      </c>
      <c t="s" s="1" r="G54">
        <v>16</v>
      </c>
      <c t="s" s="6" r="H54">
        <v>12</v>
      </c>
    </row>
    <row r="55">
      <c s="13" r="A55">
        <v>53</v>
      </c>
      <c t="str" s="23" r="B55">
        <f>hyperlink("http://www.baseball-reference.com/players/r/romerj.01.shtml","Romero, J.C.")</f>
        <v>Romero, J.C.</v>
      </c>
      <c t="s" s="13" r="C55">
        <v>13</v>
      </c>
      <c t="s" s="13" r="D55">
        <v>22</v>
      </c>
      <c t="s" s="13" r="E55">
        <v>46</v>
      </c>
      <c s="18" r="F55">
        <v>40892</v>
      </c>
      <c t="str" s="22" r="G55">
        <f>hyperlink("http://sportsillustrated.cnn.com/2011/baseball/mlb/wires/12/16/2010.ap.bbn.cardinals.romero.1st.ld.writethru.0154/","One-year contract")</f>
        <v>One-year contract</v>
      </c>
      <c s="43" r="H55">
        <v>750000</v>
      </c>
    </row>
    <row r="56">
      <c s="46" r="A56">
        <v>54</v>
      </c>
      <c t="str" s="36" r="B56">
        <f>hyperlink("http://www.baseball-reference.com/players/f/fulchje01.shtml","Fulchino, Jeff")</f>
        <v>Fulchino, Jeff</v>
      </c>
      <c t="s" s="31" r="C56">
        <v>13</v>
      </c>
      <c t="s" s="31" r="D56">
        <v>42</v>
      </c>
      <c t="s" s="31" r="E56">
        <v>24</v>
      </c>
      <c s="37" r="F56">
        <v>40892</v>
      </c>
      <c t="s" s="1" r="G56">
        <v>16</v>
      </c>
      <c t="s" s="6" r="H56">
        <v>12</v>
      </c>
    </row>
    <row r="57">
      <c s="13" r="A57">
        <v>55</v>
      </c>
      <c t="str" s="23" r="B57">
        <f>hyperlink("http://www.baseball-reference.com/players/f/francfr01.shtml","Francisco, Frank")</f>
        <v>Francisco, Frank</v>
      </c>
      <c t="s" s="13" r="C57">
        <v>13</v>
      </c>
      <c t="s" s="13" r="D57">
        <v>25</v>
      </c>
      <c t="s" s="13" r="E57">
        <v>38</v>
      </c>
      <c s="18" r="F57">
        <v>40896</v>
      </c>
      <c t="str" s="22" r="G57">
        <f>hyperlink("http://espn.go.com/new-york/mlb/story/_/id/7369195/frank-francisco-signs-2-year-contract-new-york-mets","Two-year contract")</f>
        <v>Two-year contract</v>
      </c>
      <c s="43" r="H57">
        <v>12000000</v>
      </c>
    </row>
    <row r="58">
      <c s="31" r="A58">
        <v>56</v>
      </c>
      <c t="str" s="44" r="B58">
        <f>hyperlink("http://www.baseball-reference.com/players/i/igarary01.shtml","Igarashi, Ryota")</f>
        <v>Igarashi, Ryota</v>
      </c>
      <c t="s" s="31" r="C58">
        <v>13</v>
      </c>
      <c t="s" s="31" r="D58">
        <v>38</v>
      </c>
      <c t="s" s="31" r="E58">
        <v>15</v>
      </c>
      <c s="37" r="F58">
        <v>40897</v>
      </c>
      <c t="s" s="1" r="G58">
        <v>16</v>
      </c>
      <c t="s" s="6" r="H58">
        <v>12</v>
      </c>
    </row>
    <row r="59">
      <c s="13" r="A59">
        <v>57</v>
      </c>
      <c t="str" s="45" r="B59">
        <f>hyperlink("http://www.baseball-reference.com/players/j/joaquwa01.shtml","Joaquin, Waldis")</f>
        <v>Joaquin, Waldis</v>
      </c>
      <c t="s" s="13" r="C59">
        <v>13</v>
      </c>
      <c t="s" s="13" r="D59">
        <v>29</v>
      </c>
      <c t="s" s="13" r="E59">
        <v>24</v>
      </c>
      <c s="18" r="F59">
        <v>40897</v>
      </c>
      <c t="s" s="1" r="G59">
        <v>16</v>
      </c>
      <c t="s" s="43" r="H59">
        <v>12</v>
      </c>
    </row>
    <row r="60">
      <c s="31" r="A60">
        <v>58</v>
      </c>
      <c t="str" s="44" r="B60">
        <f>hyperlink("http://www.baseball-reference.com/players/m/mijarjo01.shtml","Mijares, Jose")</f>
        <v>Mijares, Jose</v>
      </c>
      <c t="s" s="31" r="C60">
        <v>13</v>
      </c>
      <c t="s" s="31" r="D60">
        <v>37</v>
      </c>
      <c t="s" s="31" r="E60">
        <v>28</v>
      </c>
      <c s="37" r="F60">
        <v>40898</v>
      </c>
      <c t="str" s="2" r="G60">
        <f>hyperlink("http://mlb.mlb.com/news/article.jsp?ymd=20111221&amp;content_id=26221692&amp;vkey=news_mlb&amp;c_id=mlb","One-year contract")</f>
        <v>One-year contract</v>
      </c>
      <c s="6" r="H60">
        <v>925000</v>
      </c>
    </row>
    <row r="61">
      <c s="13" r="A61">
        <v>59</v>
      </c>
      <c t="str" s="45" r="B61">
        <f>hyperlink("http://www.baseball-reference.com/players/p/perezju01.shtml","Perez, Juan")</f>
        <v>Perez, Juan</v>
      </c>
      <c t="s" s="13" r="C61">
        <v>13</v>
      </c>
      <c t="s" s="13" r="D61">
        <v>27</v>
      </c>
      <c t="s" s="13" r="E61">
        <v>34</v>
      </c>
      <c s="18" r="F61">
        <v>40898</v>
      </c>
      <c t="s" s="1" r="G61">
        <v>16</v>
      </c>
      <c t="s" s="43" r="H61">
        <v>12</v>
      </c>
    </row>
    <row r="62">
      <c s="31" r="A62">
        <v>60</v>
      </c>
      <c t="str" s="17" r="B62">
        <f>hyperlink("http://www.baseball-reference.com/players/c/corpama01.shtml","Corpas, Manuel")</f>
        <v>Corpas, Manuel</v>
      </c>
      <c t="s" s="31" r="C62">
        <v>13</v>
      </c>
      <c t="s" s="31" r="D62">
        <v>14</v>
      </c>
      <c t="s" s="31" r="E62">
        <v>35</v>
      </c>
      <c s="37" r="F62">
        <v>40900</v>
      </c>
      <c t="str" s="42" r="G62">
        <f>hyperlink("http://espn.go.com/chicago/mlb/story/_/id/7381851/chicago-cubs-agree-terms-relief-pitcher-manny-corpas-source-says","One-year contract")</f>
        <v>One-year contract</v>
      </c>
      <c t="s" s="6" r="H62">
        <v>53</v>
      </c>
    </row>
    <row r="63">
      <c s="13" r="A63">
        <v>61</v>
      </c>
      <c t="str" s="45" r="B63">
        <f>hyperlink("http://www.baseball-reference.com/players/b/beltrca01.shtml","Marshall, Sean")</f>
        <v>Marshall, Sean</v>
      </c>
      <c t="s" s="13" r="C63">
        <v>13</v>
      </c>
      <c t="s" s="13" r="D63">
        <v>35</v>
      </c>
      <c t="s" s="13" r="E63">
        <v>36</v>
      </c>
      <c s="18" r="F63">
        <v>40900</v>
      </c>
      <c t="str" s="30" r="G63">
        <f>hyperlink("http://espn.go.com/chicago/mlb/story/_/id/7383879/chicago-cubs-trade-sean-marshall-cincinnati-reds-travis-wood-others","Traded for Wood, Sappelt &amp; a minor leaguer")</f>
        <v>Traded for Wood, Sappelt &amp; a minor leaguer</v>
      </c>
      <c t="s" s="43" r="H63">
        <v>12</v>
      </c>
    </row>
    <row r="64">
      <c s="31" r="A64">
        <v>62</v>
      </c>
      <c t="str" s="44" r="B64">
        <f>hyperlink("http://www.baseball-reference.com/players/b/bailean01.shtml","Bailey, Andrew")</f>
        <v>Bailey, Andrew</v>
      </c>
      <c t="s" s="31" r="C64">
        <v>13</v>
      </c>
      <c t="s" s="31" r="D64">
        <v>23</v>
      </c>
      <c t="s" s="31" r="E64">
        <v>41</v>
      </c>
      <c s="37" r="F64">
        <v>40905</v>
      </c>
      <c t="str" s="30" r="G64">
        <f>hyperlink("http://espn.go.com/boston/mlb/story/_/id/7397557/andrew-bailey-traded-oakland-athletics-boston-red-sox","Traded w Sweeney for Reddick &amp; 2 minor leaguers")</f>
        <v>Traded w Sweeney for Reddick &amp; 2 minor leaguers</v>
      </c>
      <c t="s" s="6" r="H64">
        <v>12</v>
      </c>
    </row>
    <row r="65">
      <c s="13" r="A65">
        <v>63</v>
      </c>
      <c t="str" s="23" r="B65">
        <f>hyperlink("http://www.baseball-reference.com/players/o/okajihi01.shtml","Okajima, Hideki")</f>
        <v>Okajima, Hideki</v>
      </c>
      <c t="s" s="13" r="C65">
        <v>13</v>
      </c>
      <c t="s" s="13" r="D65">
        <v>41</v>
      </c>
      <c t="s" s="13" r="E65">
        <v>45</v>
      </c>
      <c s="18" r="F65">
        <v>40905</v>
      </c>
      <c t="s" s="1" r="G65">
        <v>16</v>
      </c>
      <c t="s" s="43" r="H65">
        <v>12</v>
      </c>
    </row>
    <row r="66">
      <c s="31" r="A66">
        <v>64</v>
      </c>
      <c t="str" s="36" r="B66">
        <f>hyperlink("http://www.baseball-reference.com/players/s/sherrge01.shtml","Sherrill, George")</f>
        <v>Sherrill, George</v>
      </c>
      <c t="s" s="31" r="C66">
        <v>13</v>
      </c>
      <c t="s" s="31" r="D66">
        <v>10</v>
      </c>
      <c t="s" s="31" r="E66">
        <v>44</v>
      </c>
      <c s="37" r="F66">
        <v>40907</v>
      </c>
      <c t="str" s="2" r="G66">
        <f>hyperlink("http://www.mlbtraderumors.com/2011/12/mariners-agree-to-sign-george-sherrill.html","One-year contract")</f>
        <v>One-year contract</v>
      </c>
      <c s="6" r="H66">
        <v>1100000</v>
      </c>
    </row>
    <row r="67">
      <c s="13" r="A67">
        <v>65</v>
      </c>
      <c t="str" s="45" r="B67">
        <f>hyperlink("http://www.baseball-reference.com/players/l/laffeaa01.shtml","Laffey, Aaron")</f>
        <v>Laffey, Aaron</v>
      </c>
      <c t="s" s="13" r="C67">
        <v>13</v>
      </c>
      <c t="s" s="13" r="D67">
        <v>28</v>
      </c>
      <c t="s" s="13" r="E67">
        <v>25</v>
      </c>
      <c s="18" r="F67">
        <v>40908</v>
      </c>
      <c t="s" s="1" r="G67">
        <v>16</v>
      </c>
      <c t="s" s="43" r="H67">
        <v>12</v>
      </c>
    </row>
    <row r="68">
      <c s="31" r="A68">
        <v>66</v>
      </c>
      <c t="str" s="44" r="B68">
        <f>hyperlink("http://www.baseball-reference.com/players/c/coellro01.shtml","Coello, Robert")</f>
        <v>Coello, Robert</v>
      </c>
      <c t="s" s="31" r="C68">
        <v>13</v>
      </c>
      <c t="s" s="31" r="D68">
        <v>35</v>
      </c>
      <c t="s" s="31" r="E68">
        <v>25</v>
      </c>
      <c s="37" r="F68">
        <v>40908</v>
      </c>
      <c t="s" s="1" r="G68">
        <v>16</v>
      </c>
      <c t="s" s="6" r="H68">
        <v>12</v>
      </c>
    </row>
    <row r="69">
      <c s="13" r="A69">
        <v>67</v>
      </c>
      <c t="str" s="45" r="B69">
        <f>hyperlink("http://www.baseball-reference.com/players/f/frasoja01.shtml","Frasor, Jason")</f>
        <v>Frasor, Jason</v>
      </c>
      <c t="s" s="13" r="C69">
        <v>13</v>
      </c>
      <c t="s" s="13" r="D69">
        <v>54</v>
      </c>
      <c t="s" s="13" r="E69">
        <v>25</v>
      </c>
      <c s="18" r="F69">
        <v>40909</v>
      </c>
      <c t="str" s="30" r="G69">
        <f>hyperlink("http://espn.go.com/chicago/mlb/story/_/id/7410761/chicago-white-sox-trade-jason-frasor-toronto-blue-jays-two-minor-leaguers","Traded for 2 minor leaguers")</f>
        <v>Traded for 2 minor leaguers</v>
      </c>
      <c t="s" s="43" r="H69">
        <v>12</v>
      </c>
    </row>
    <row r="70">
      <c s="31" r="A70">
        <v>68</v>
      </c>
      <c t="str" s="44" r="B70">
        <f>hyperlink("http://www.baseball-reference.com/players/f/fienca01.shtml","Fien, Casey")</f>
        <v>Fien, Casey</v>
      </c>
      <c t="s" s="31" r="C70">
        <v>13</v>
      </c>
      <c t="s" s="31" r="D70">
        <v>31</v>
      </c>
      <c t="s" s="31" r="E70">
        <v>37</v>
      </c>
      <c s="37" r="F70">
        <v>40911</v>
      </c>
      <c t="s" s="1" r="G70">
        <v>16</v>
      </c>
      <c t="s" s="6" r="H70">
        <v>12</v>
      </c>
    </row>
    <row r="71">
      <c s="13" r="A71">
        <v>69</v>
      </c>
      <c t="str" s="45" r="B71">
        <f>hyperlink("http://www.baseball-reference.com/players/t/tejedro01.shtml","Tejeda, Robinson")</f>
        <v>Tejeda, Robinson</v>
      </c>
      <c t="s" s="13" r="C71">
        <v>13</v>
      </c>
      <c t="s" s="13" r="D71">
        <v>28</v>
      </c>
      <c t="s" s="13" r="E71">
        <v>11</v>
      </c>
      <c s="18" r="F71">
        <v>40911</v>
      </c>
      <c t="s" s="1" r="G71">
        <v>16</v>
      </c>
      <c t="s" s="43" r="H71">
        <v>12</v>
      </c>
    </row>
    <row r="72">
      <c s="31" r="A72">
        <v>70</v>
      </c>
      <c t="str" s="44" r="B72">
        <f>hyperlink("http://www.baseball-reference.com/players/b/brackan01.shtml","Brackman, Andrew")</f>
        <v>Brackman, Andrew</v>
      </c>
      <c t="s" s="31" r="C72">
        <v>13</v>
      </c>
      <c t="s" s="31" r="D72">
        <v>45</v>
      </c>
      <c t="s" s="31" r="E72">
        <v>36</v>
      </c>
      <c s="37" r="F72">
        <v>40912</v>
      </c>
      <c t="str" s="2" r="G72">
        <f>hyperlink("http://sports.espn.go.com/espn/wire?section=mlb&amp;id=7425186","One-year contract")</f>
        <v>One-year contract</v>
      </c>
      <c s="6" r="H72">
        <v>500000</v>
      </c>
    </row>
    <row r="73">
      <c s="13" r="A73">
        <v>71</v>
      </c>
      <c t="str" s="45" r="B73">
        <f>hyperlink("http://www.baseball-reference.com/players/r/rodnefe01.shtml","Rodney, Fernando")</f>
        <v>Rodney, Fernando</v>
      </c>
      <c t="s" s="13" r="C73">
        <v>13</v>
      </c>
      <c t="s" s="13" r="D73">
        <v>47</v>
      </c>
      <c t="s" s="13" r="E73">
        <v>48</v>
      </c>
      <c s="18" r="F73">
        <v>40912</v>
      </c>
      <c t="str" s="22" r="G73">
        <f>hyperlink("http://espn.go.com/mlb/story/_/id/7423464/tampa-bay-rays-sign-closer-candidate-fernando-rodney","One-year contract with option")</f>
        <v>One-year contract with option</v>
      </c>
      <c s="43" r="H73">
        <v>2000000</v>
      </c>
    </row>
    <row r="74">
      <c s="31" r="A74">
        <v>72</v>
      </c>
      <c t="str" s="17" r="B74">
        <f>hyperlink("http://www.baseball-reference.com/players/k/kensilo01.shtml","Kensing, Logan")</f>
        <v>Kensing, Logan</v>
      </c>
      <c t="s" s="46" r="C74">
        <v>13</v>
      </c>
      <c t="s" s="46" r="D74">
        <v>45</v>
      </c>
      <c t="s" s="46" r="E74">
        <v>15</v>
      </c>
      <c s="32" r="F74">
        <v>40912</v>
      </c>
      <c t="s" s="1" r="G74">
        <v>16</v>
      </c>
      <c t="s" s="48" r="H74">
        <v>12</v>
      </c>
    </row>
    <row r="75">
      <c s="13" r="A75">
        <v>73</v>
      </c>
      <c t="str" s="45" r="B75">
        <f>hyperlink("http://www.baseball-reference.com/players/m/macdomi01.shtml","MacDougal, Mike")</f>
        <v>MacDougal, Mike</v>
      </c>
      <c t="s" s="13" r="C75">
        <v>13</v>
      </c>
      <c t="s" s="9" r="D75">
        <v>20</v>
      </c>
      <c t="s" s="9" r="E75">
        <v>20</v>
      </c>
      <c s="18" r="F75">
        <v>40913</v>
      </c>
      <c t="str" s="22" r="G75">
        <f>hyperlink("http://espn.go.com/los-angeles/mlb/story/_/id/7429203/los-angeles-dodgers-re-sign-mike-macdougal-one-year-deal","One-year contract with option")</f>
        <v>One-year contract with option</v>
      </c>
      <c s="43" r="H75">
        <v>1000000</v>
      </c>
    </row>
    <row r="76">
      <c s="31" r="A76">
        <v>74</v>
      </c>
      <c t="str" s="17" r="B76">
        <f>hyperlink("http://www.baseball-reference.com/players/c/cashnan01.shtml","Cashner, Andrew")</f>
        <v>Cashner, Andrew</v>
      </c>
      <c t="s" s="46" r="C76">
        <v>13</v>
      </c>
      <c t="s" s="46" r="D76">
        <v>35</v>
      </c>
      <c t="s" s="46" r="E76">
        <v>42</v>
      </c>
      <c s="32" r="F76">
        <v>40914</v>
      </c>
      <c t="str" s="30" r="G76">
        <f>hyperlink("http://espn.go.com/chicago/mlb/story/_/id/7432801/chicago-cubs-acquire-1b-anthony-rizzo-san-diego-padres-andrew-cashner","Traded w minor leaguer for Rizzo &amp; minor leaguer")</f>
        <v>Traded w minor leaguer for Rizzo &amp; minor leaguer</v>
      </c>
      <c t="s" s="48" r="H76">
        <v>12</v>
      </c>
    </row>
    <row r="77">
      <c s="13" r="A77">
        <v>75</v>
      </c>
      <c t="str" s="45" r="B77">
        <f>hyperlink("http://www.baseball-reference.com/players/o/oliveda02.shtml","Oliver, Darren")</f>
        <v>Oliver, Darren</v>
      </c>
      <c t="s" s="13" r="C77">
        <v>13</v>
      </c>
      <c t="s" s="13" r="D77">
        <v>14</v>
      </c>
      <c t="s" s="13" r="E77">
        <v>25</v>
      </c>
      <c s="18" r="F77">
        <v>40917</v>
      </c>
      <c t="str" s="22" r="G77">
        <f>hyperlink("http://espn.go.com/blog/dallas/texas-rangers/post/_/id/4877052/darren-oliver-i-wish-them-luck","One-year contract with option")</f>
        <v>One-year contract with option</v>
      </c>
      <c s="43" r="H77">
        <v>4000000</v>
      </c>
    </row>
    <row r="78">
      <c s="31" r="A78">
        <v>76</v>
      </c>
      <c t="str" s="17" r="B78">
        <f>hyperlink("http://www.baseball-reference.com/players/b/beltrfr01.shtml","Beltran, Francis")</f>
        <v>Beltran, Francis</v>
      </c>
      <c t="s" s="31" r="C78">
        <v>13</v>
      </c>
      <c t="s" s="31" r="D78">
        <v>31</v>
      </c>
      <c t="s" s="31" r="E78">
        <v>33</v>
      </c>
      <c s="37" r="F78">
        <v>40917</v>
      </c>
      <c t="s" s="1" r="G78">
        <v>16</v>
      </c>
      <c t="s" s="6" r="H78">
        <v>12</v>
      </c>
    </row>
    <row r="79">
      <c s="13" r="A79">
        <v>77</v>
      </c>
      <c t="str" s="45" r="B79">
        <f>hyperlink("http://www.baseball-reference.com/players/b/batismi01.shtml","Batista, Miguel")</f>
        <v>Batista, Miguel</v>
      </c>
      <c t="s" s="13" r="C79">
        <v>13</v>
      </c>
      <c t="s" s="9" r="D79">
        <v>38</v>
      </c>
      <c t="s" s="9" r="E79">
        <v>38</v>
      </c>
      <c s="18" r="F79">
        <v>40918</v>
      </c>
      <c t="s" s="1" r="G79">
        <v>16</v>
      </c>
      <c t="s" s="43" r="H79">
        <v>12</v>
      </c>
    </row>
    <row r="80">
      <c s="31" r="A80">
        <v>78</v>
      </c>
      <c t="str" s="44" r="B80">
        <f>hyperlink("http://www.baseball-reference.com/players/c/cabrefe01.shtml","Cabrera, Fernando")</f>
        <v>Cabrera, Fernando</v>
      </c>
      <c t="s" s="31" r="C80">
        <v>13</v>
      </c>
      <c t="s" s="31" r="D80">
        <v>23</v>
      </c>
      <c t="s" s="31" r="E80">
        <v>38</v>
      </c>
      <c s="37" r="F80">
        <v>40918</v>
      </c>
      <c t="s" s="1" r="G80">
        <v>16</v>
      </c>
      <c t="s" s="6" r="H80">
        <v>12</v>
      </c>
    </row>
    <row r="81">
      <c s="13" r="A81">
        <v>79</v>
      </c>
      <c t="str" s="45" r="B81">
        <f>hyperlink("http://www.baseball-reference.com/players/h/heilmaa01.shtml","Heilman, Aaron")</f>
        <v>Heilman, Aaron</v>
      </c>
      <c t="s" s="13" r="C81">
        <v>13</v>
      </c>
      <c t="s" s="13" r="D81">
        <v>15</v>
      </c>
      <c t="s" s="13" r="E81">
        <v>44</v>
      </c>
      <c s="18" r="F81">
        <v>40918</v>
      </c>
      <c t="s" s="1" r="G81">
        <v>16</v>
      </c>
      <c t="s" s="43" r="H81">
        <v>12</v>
      </c>
    </row>
    <row r="82">
      <c s="31" r="A82">
        <v>80</v>
      </c>
      <c t="str" s="44" r="B82">
        <f>hyperlink("http://www.baseball-reference.com/players/m/madsory01.shtml","Madson, Ryan")</f>
        <v>Madson, Ryan</v>
      </c>
      <c t="s" s="31" r="C82">
        <v>13</v>
      </c>
      <c t="s" s="31" r="D82">
        <v>27</v>
      </c>
      <c t="s" s="31" r="E82">
        <v>36</v>
      </c>
      <c s="37" r="F82">
        <v>40919</v>
      </c>
      <c t="str" s="2" r="G82">
        <f>hyperlink("http://cincinnati.reds.mlb.com/news/article.jsp?ymd=20120110&amp;content_id=26308146&amp;vkey=news_cin&amp;c_id=cin","One-year contract")</f>
        <v>One-year contract</v>
      </c>
      <c s="6" r="H82">
        <v>10000000</v>
      </c>
    </row>
    <row r="83">
      <c s="13" r="A83">
        <v>81</v>
      </c>
      <c t="str" s="45" r="B83">
        <f>hyperlink("http://www.baseball-reference.com/players/r/raych01.shtml","Ray, Chris")</f>
        <v>Ray, Chris</v>
      </c>
      <c t="s" s="13" r="C83">
        <v>13</v>
      </c>
      <c t="s" s="13" r="D83">
        <v>44</v>
      </c>
      <c t="s" s="13" r="E83">
        <v>11</v>
      </c>
      <c s="18" r="F83">
        <v>40920</v>
      </c>
      <c t="s" s="1" r="G83">
        <v>16</v>
      </c>
      <c t="s" s="43" r="H83">
        <v>12</v>
      </c>
    </row>
    <row r="84">
      <c s="31" r="A84">
        <v>82</v>
      </c>
      <c t="str" s="44" r="B84">
        <f>hyperlink("http://www.baseball-reference.com/players/w/woodke02.shtml","Wood, Kerry")</f>
        <v>Wood, Kerry</v>
      </c>
      <c t="s" s="31" r="C84">
        <v>13</v>
      </c>
      <c t="s" s="9" r="D84">
        <v>35</v>
      </c>
      <c t="s" s="9" r="E84">
        <v>35</v>
      </c>
      <c s="37" r="F84">
        <v>40921</v>
      </c>
      <c t="str" s="2" r="G84">
        <f>hyperlink("http://espn.go.com/chicago/mlb/story/_/id/7460180/kerry-wood-chicago-cubs-agree-one-year-3-million-deal","One-year contract with option")</f>
        <v>One-year contract with option</v>
      </c>
      <c s="6" r="H84">
        <v>3000000</v>
      </c>
    </row>
    <row r="85">
      <c s="13" r="A85">
        <v>83</v>
      </c>
      <c t="str" s="45" r="B85">
        <f>hyperlink("http://www.baseball-reference.com/players/z/zavadcl01.shtml","Zavada, Clay")</f>
        <v>Zavada, Clay</v>
      </c>
      <c t="s" s="13" r="C85">
        <v>13</v>
      </c>
      <c t="s" s="13" r="D85">
        <v>18</v>
      </c>
      <c t="s" s="13" r="E85">
        <v>36</v>
      </c>
      <c s="18" r="F85">
        <v>40921</v>
      </c>
      <c t="s" s="1" r="G85">
        <v>16</v>
      </c>
      <c t="s" s="43" r="H85">
        <v>12</v>
      </c>
    </row>
    <row r="86">
      <c s="31" r="A86">
        <v>84</v>
      </c>
      <c t="str" s="44" r="B86">
        <f>hyperlink("http://www.baseball-reference.com/players/m/mahayro01.shtml","Mahay, Ron")</f>
        <v>Mahay, Ron</v>
      </c>
      <c t="s" s="31" r="C86">
        <v>13</v>
      </c>
      <c t="s" s="31" r="D86">
        <v>46</v>
      </c>
      <c t="s" s="31" r="E86">
        <v>36</v>
      </c>
      <c s="37" r="F86">
        <v>40921</v>
      </c>
      <c t="s" s="1" r="G86">
        <v>16</v>
      </c>
      <c t="s" s="6" r="H86">
        <v>12</v>
      </c>
    </row>
    <row r="87">
      <c s="13" r="A87">
        <v>85</v>
      </c>
      <c t="str" s="45" r="B87">
        <f>hyperlink("http://www.baseball-reference.com/players/s/slatedo01.shtml","Slaten, Doug")</f>
        <v>Slaten, Doug</v>
      </c>
      <c t="s" s="13" r="C87">
        <v>13</v>
      </c>
      <c t="s" s="13" r="D87">
        <v>24</v>
      </c>
      <c t="s" s="13" r="E87">
        <v>15</v>
      </c>
      <c s="18" r="F87">
        <v>40925</v>
      </c>
      <c t="s" s="1" r="G87">
        <v>16</v>
      </c>
      <c t="s" s="43" r="H87">
        <v>12</v>
      </c>
    </row>
    <row r="88">
      <c s="31" r="A88">
        <v>86</v>
      </c>
      <c t="str" s="17" r="B88">
        <f>hyperlink("http://www.baseball-reference.com/players/s/sanchro01.shtml","Sanchez, Romulo")</f>
        <v>Sanchez, Romulo</v>
      </c>
      <c t="s" s="31" r="C88">
        <v>13</v>
      </c>
      <c t="s" s="31" r="D88">
        <v>45</v>
      </c>
      <c t="s" s="31" r="E88">
        <v>48</v>
      </c>
      <c s="37" r="F88">
        <v>40925</v>
      </c>
      <c t="s" s="1" r="G88">
        <v>16</v>
      </c>
      <c t="s" s="6" r="H88">
        <v>12</v>
      </c>
    </row>
    <row r="89">
      <c s="13" r="A89">
        <v>87</v>
      </c>
      <c t="str" s="45" r="B89">
        <f>hyperlink("http://www.baseball-reference.com/players/z/zumayjo01.shtml","Zumaya, Joel")</f>
        <v>Zumaya, Joel</v>
      </c>
      <c t="s" s="13" r="C89">
        <v>13</v>
      </c>
      <c t="s" s="13" r="D89">
        <v>30</v>
      </c>
      <c t="s" s="13" r="E89">
        <v>37</v>
      </c>
      <c s="18" r="F89">
        <v>40926</v>
      </c>
      <c t="str" s="22" r="G89">
        <f>hyperlink("http://espn.go.com/mlb/story/_/id/7476783/joel-zumaya-minnesota-twins-finalize-contract","One-year contract")</f>
        <v>One-year contract</v>
      </c>
      <c s="43" r="H89">
        <v>850000</v>
      </c>
    </row>
    <row r="90">
      <c s="31" r="A90">
        <v>88</v>
      </c>
      <c t="str" s="17" r="B90">
        <f>hyperlink("http://www.baseball-reference.com/players/a/accarje01.shtml","Accardo, Jeremy")</f>
        <v>Accardo, Jeremy</v>
      </c>
      <c t="s" s="31" r="C90">
        <v>13</v>
      </c>
      <c t="s" s="31" r="D90">
        <v>33</v>
      </c>
      <c t="s" s="31" r="E90">
        <v>11</v>
      </c>
      <c s="37" r="F90">
        <v>40927</v>
      </c>
      <c t="s" s="1" r="G90">
        <v>16</v>
      </c>
      <c t="s" s="6" r="H90">
        <v>12</v>
      </c>
    </row>
    <row r="91">
      <c s="13" r="A91">
        <v>89</v>
      </c>
      <c t="str" s="45" r="B91">
        <f>hyperlink("http://www.baseball-reference.com/players/g/glovega01.shtml","Glover, Gary")</f>
        <v>Glover, Gary</v>
      </c>
      <c t="s" s="13" r="C91">
        <v>13</v>
      </c>
      <c t="s" s="9" r="D91">
        <v>40</v>
      </c>
      <c t="s" s="9" r="E91">
        <v>40</v>
      </c>
      <c s="18" r="F91">
        <v>40928</v>
      </c>
      <c t="s" s="1" r="G91">
        <v>16</v>
      </c>
      <c t="s" s="43" r="H91">
        <v>12</v>
      </c>
    </row>
    <row r="92">
      <c s="31" r="A92">
        <v>90</v>
      </c>
      <c t="str" s="36" r="B92">
        <f>hyperlink("http://www.baseball-reference.com/players/p/putnaza01.shtml","Putnam, Zach")</f>
        <v>Putnam, Zach</v>
      </c>
      <c t="s" s="31" r="C92">
        <v>13</v>
      </c>
      <c t="s" s="31" r="D92">
        <v>11</v>
      </c>
      <c t="s" s="31" r="E92">
        <v>22</v>
      </c>
      <c s="37" r="F92">
        <v>40928</v>
      </c>
      <c t="str" s="30" r="G92">
        <f>hyperlink("http://espn.go.com/mlb/story/_/id/7485048/cleveland-indians-acquire-kevin-slowey-rotation-depth","Traded for Kevin Slowey")</f>
        <v>Traded for Kevin Slowey</v>
      </c>
      <c t="s" s="6" r="H92">
        <v>12</v>
      </c>
    </row>
    <row r="93">
      <c s="13" r="A93">
        <v>91</v>
      </c>
      <c t="str" s="23" r="B93">
        <f>hyperlink("http://www.baseball-reference.com/players/a/augenbr01.shtml","Augenstein, Bryan")</f>
        <v>Augenstein, Bryan</v>
      </c>
      <c t="s" s="13" r="C93">
        <v>13</v>
      </c>
      <c t="s" s="13" r="D93">
        <v>46</v>
      </c>
      <c t="s" s="13" r="E93">
        <v>48</v>
      </c>
      <c s="18" r="F93">
        <v>40932</v>
      </c>
      <c t="s" s="1" r="G93">
        <v>16</v>
      </c>
      <c t="s" s="43" r="H93">
        <v>12</v>
      </c>
    </row>
    <row r="94">
      <c s="31" r="A94">
        <v>92</v>
      </c>
      <c t="str" s="33" r="B94">
        <f>hyperlink("http://www.baseball-reference.com/players/h/horstje01.shtml","Horst, Jeremy")</f>
        <v>Horst, Jeremy</v>
      </c>
      <c t="s" s="31" r="C94">
        <v>13</v>
      </c>
      <c t="s" s="31" r="D94">
        <v>36</v>
      </c>
      <c t="s" s="31" r="E94">
        <v>27</v>
      </c>
      <c s="37" r="F94">
        <v>40933</v>
      </c>
      <c t="str" s="30" r="G94">
        <f>hyperlink("http://espn.go.com/mlb/story/_/id/7503563/cincinnati-reds-land-infielder-wilson-valdez-trade-philadelphia-phillies","Traded for Wilson Valdez")</f>
        <v>Traded for Wilson Valdez</v>
      </c>
      <c t="s" s="6" r="H94">
        <v>12</v>
      </c>
    </row>
    <row r="95">
      <c s="13" r="A95">
        <v>93</v>
      </c>
      <c t="str" s="23" r="B95">
        <f>hyperlink("http://www.baseball-reference.com/players/l/lidgebr01.shtml","Lidge, Brad")</f>
        <v>Lidge, Brad</v>
      </c>
      <c t="s" s="13" r="C95">
        <v>13</v>
      </c>
      <c t="s" s="13" r="D95">
        <v>27</v>
      </c>
      <c t="s" s="13" r="E95">
        <v>24</v>
      </c>
      <c s="18" r="F95">
        <v>40934</v>
      </c>
      <c t="str" s="22" r="G95">
        <f>hyperlink("http://espn.go.com/mlb/story/_/id/7505959/washington-nationals-sign-reliever-brad-lidge-one-year-deal","One-year contract")</f>
        <v>One-year contract</v>
      </c>
      <c s="43" r="H95">
        <v>1000000</v>
      </c>
    </row>
    <row r="96">
      <c s="31" r="A96">
        <v>94</v>
      </c>
      <c t="str" s="33" r="B96">
        <f>hyperlink("http://www.baseball-reference.com/players/w/wheelda01.shtml","Wheeler, Dan")</f>
        <v>Wheeler, Dan</v>
      </c>
      <c t="s" s="31" r="C96">
        <v>13</v>
      </c>
      <c t="s" s="31" r="D96">
        <v>41</v>
      </c>
      <c t="s" s="31" r="E96">
        <v>11</v>
      </c>
      <c s="37" r="F96">
        <v>40934</v>
      </c>
      <c t="s" s="1" r="G96">
        <v>16</v>
      </c>
      <c t="s" s="6" r="H96">
        <v>12</v>
      </c>
    </row>
    <row r="97">
      <c s="13" r="A97">
        <v>95</v>
      </c>
      <c t="str" s="33" r="B97">
        <f>hyperlink("http://www.baseball-reference.com/players/d/delcama01.shtml","Delcarmen, Manny")</f>
        <v>Delcarmen, Manny</v>
      </c>
      <c t="s" s="31" r="C97">
        <v>13</v>
      </c>
      <c t="s" s="31" r="D97">
        <v>14</v>
      </c>
      <c t="s" s="31" r="E97">
        <v>45</v>
      </c>
      <c s="37" r="F97">
        <v>40935</v>
      </c>
      <c t="s" s="1" r="G97">
        <v>16</v>
      </c>
      <c t="s" s="6" r="H97">
        <v>12</v>
      </c>
    </row>
    <row r="98">
      <c s="31" r="A98">
        <v>96</v>
      </c>
      <c t="str" s="33" r="B98">
        <f>hyperlink("http://www.baseball-reference.com/players/m/milletr02.shtml","Miller, Trever")</f>
        <v>Miller, Trever</v>
      </c>
      <c t="s" s="31" r="C98">
        <v>13</v>
      </c>
      <c t="s" s="31" r="D98">
        <v>41</v>
      </c>
      <c t="s" s="31" r="E98">
        <v>35</v>
      </c>
      <c s="37" r="F98">
        <v>40938</v>
      </c>
      <c t="s" s="1" r="G98">
        <v>16</v>
      </c>
      <c t="s" s="6" r="H98">
        <v>12</v>
      </c>
    </row>
    <row r="99">
      <c s="13" r="A99">
        <v>97</v>
      </c>
      <c t="str" s="23" r="B99">
        <f>hyperlink("http://www.baseball-reference.com/players/n/neshepa01.shtml","Neshek, Pat")</f>
        <v>Neshek, Pat</v>
      </c>
      <c t="s" s="13" r="C99">
        <v>13</v>
      </c>
      <c t="s" s="13" r="D99">
        <v>42</v>
      </c>
      <c t="s" s="13" r="E99">
        <v>33</v>
      </c>
      <c s="18" r="F99">
        <v>40938</v>
      </c>
      <c t="s" s="1" r="G99">
        <v>16</v>
      </c>
      <c t="s" s="43" r="H99">
        <v>12</v>
      </c>
    </row>
    <row r="100">
      <c s="31" r="A100">
        <v>98</v>
      </c>
      <c t="str" s="33" r="B100">
        <f>hyperlink("http://www.baseball-reference.com/players/q/quallch01.shtml","Qualls, Chad")</f>
        <v>Qualls, Chad</v>
      </c>
      <c t="s" s="31" r="C100">
        <v>13</v>
      </c>
      <c t="s" s="31" r="D100">
        <v>42</v>
      </c>
      <c t="s" s="31" r="E100">
        <v>27</v>
      </c>
      <c s="37" r="F100">
        <v>40939</v>
      </c>
      <c t="str" s="42" r="G100">
        <f>hyperlink("http://espn.go.com/mlb/story/_/id/7523367/philadelphia-phillies-sign-reliever-chad-qualls-one-year-deal","One-year contract")</f>
        <v>One-year contract</v>
      </c>
      <c s="6" r="H100">
        <v>1150000</v>
      </c>
    </row>
    <row r="101">
      <c s="13" r="A101">
        <v>99</v>
      </c>
      <c t="str" s="23" r="B101">
        <f>hyperlink("http://www.baseball-reference.com/players/c/cordefr01.shtml","Cordero, Francisco")</f>
        <v>Cordero, Francisco</v>
      </c>
      <c t="s" s="13" r="C101">
        <v>13</v>
      </c>
      <c t="s" s="13" r="D101">
        <v>36</v>
      </c>
      <c t="s" s="13" r="E101">
        <v>25</v>
      </c>
      <c s="18" r="F101">
        <v>40940</v>
      </c>
      <c t="str" s="22" r="G101">
        <f>hyperlink("http://espn.go.com/mlb/story/_/id/7529227/francisco-cordero-toronto-blue-jays-finalize-one-year-deal","One-year contract")</f>
        <v>One-year contract</v>
      </c>
      <c s="43" r="H101">
        <v>4500000</v>
      </c>
    </row>
    <row r="102">
      <c s="31" r="A102">
        <v>100</v>
      </c>
      <c t="str" s="36" r="B102">
        <f>hyperlink("http://www.baseball-reference.com/players/c/cruzju02.shtml","Cruz, Juan")</f>
        <v>Cruz, Juan</v>
      </c>
      <c t="s" s="31" r="C102">
        <v>13</v>
      </c>
      <c t="s" s="31" r="D102">
        <v>48</v>
      </c>
      <c t="s" s="31" r="E102">
        <v>15</v>
      </c>
      <c s="37" r="F102">
        <v>40940</v>
      </c>
      <c t="s" s="1" r="G102">
        <v>16</v>
      </c>
      <c t="s" s="6" r="H102">
        <v>12</v>
      </c>
    </row>
    <row r="103">
      <c s="13" r="A103">
        <v>101</v>
      </c>
      <c t="str" s="23" r="B103">
        <f>hyperlink("http://www.baseball-reference.com/players/m/moylape01.shtml","Moylan, Peter")</f>
        <v>Moylan, Peter</v>
      </c>
      <c t="s" s="13" r="C103">
        <v>13</v>
      </c>
      <c t="s" s="13" r="D103">
        <v>10</v>
      </c>
      <c t="s" s="13" r="E103">
        <v>10</v>
      </c>
      <c s="18" r="F103">
        <v>40941</v>
      </c>
      <c t="s" s="1" r="G103">
        <v>16</v>
      </c>
      <c t="s" s="43" r="H103">
        <v>12</v>
      </c>
    </row>
    <row r="104">
      <c s="31" r="A104">
        <v>102</v>
      </c>
      <c t="str" s="33" r="B104">
        <f>hyperlink("http://www.baseball-reference.com/players/a/atkinmi01.shtml","Atkins, Mitch")</f>
        <v>Atkins, Mitch</v>
      </c>
      <c t="s" s="31" r="C104">
        <v>13</v>
      </c>
      <c t="s" s="31" r="D104">
        <v>33</v>
      </c>
      <c t="s" s="31" r="E104">
        <v>24</v>
      </c>
      <c s="37" r="F104">
        <v>40942</v>
      </c>
      <c t="s" s="1" r="G104">
        <v>16</v>
      </c>
      <c t="s" s="6" r="H104">
        <v>12</v>
      </c>
    </row>
    <row r="105">
      <c s="13" r="A105">
        <v>103</v>
      </c>
      <c t="str" s="23" r="B105">
        <f>hyperlink("http://www.baseball-reference.com/players/c/coffeto01.shtml","Coffey, Todd")</f>
        <v>Coffey, Todd</v>
      </c>
      <c t="s" s="13" r="C105">
        <v>13</v>
      </c>
      <c t="s" s="13" r="D105">
        <v>24</v>
      </c>
      <c t="s" s="13" r="E105">
        <v>55</v>
      </c>
      <c s="18" r="F105">
        <v>40942</v>
      </c>
      <c t="str" s="22" r="G105">
        <f>hyperlink("http://espn.go.com/los-angeles/mlb/story/_/id/7538597/los-angeles-dodgers-reliever-todd-coffey-agree-deal","One-year contract with option")</f>
        <v>One-year contract with option</v>
      </c>
      <c s="43" r="H105">
        <v>1300000</v>
      </c>
    </row>
    <row r="106">
      <c s="31" r="A106">
        <v>104</v>
      </c>
      <c t="str" s="33" r="B106">
        <f>hyperlink("http://www.baseball-reference.com/players/s/siscoan01.shtml","Sisco, Andrew")</f>
        <v>Sisco, Andrew</v>
      </c>
      <c t="s" s="31" r="C106">
        <v>13</v>
      </c>
      <c t="s" s="31" r="D106">
        <v>45</v>
      </c>
      <c t="s" s="31" r="E106">
        <v>20</v>
      </c>
      <c s="37" r="F106">
        <v>40942</v>
      </c>
      <c t="s" s="1" r="G106">
        <v>16</v>
      </c>
      <c t="s" s="6" r="H106">
        <v>12</v>
      </c>
    </row>
    <row r="107">
      <c s="13" r="A107">
        <v>105</v>
      </c>
      <c t="str" s="23" r="B107">
        <f>hyperlink("http://www.baseball-reference.com/players/b/beimejo01.shtml","Beimel, Joe")</f>
        <v>Beimel, Joe</v>
      </c>
      <c t="s" s="13" r="C107">
        <v>13</v>
      </c>
      <c t="s" s="13" r="D107">
        <v>15</v>
      </c>
      <c t="s" s="13" r="E107">
        <v>14</v>
      </c>
      <c s="18" r="F107">
        <v>40945</v>
      </c>
      <c t="s" s="1" r="G107">
        <v>16</v>
      </c>
      <c t="s" s="43" r="H107">
        <v>12</v>
      </c>
    </row>
    <row r="108">
      <c s="31" r="A108">
        <v>106</v>
      </c>
      <c t="str" s="36" r="B108">
        <f>hyperlink("http://www.baseball-reference.com/players/c/campsh01.shtml","Camp, Shawn")</f>
        <v>Camp, Shawn</v>
      </c>
      <c t="s" s="31" r="C108">
        <v>13</v>
      </c>
      <c t="s" s="31" r="D108">
        <v>25</v>
      </c>
      <c t="s" s="31" r="E108">
        <v>44</v>
      </c>
      <c s="37" r="F108">
        <v>40945</v>
      </c>
      <c t="str" s="2" r="G108">
        <f>hyperlink("http://espn.go.com/mlb/story/_/id/7547196/hong-chih-kuo-shawn-camp-sign-seattle-mariners","One-year contract")</f>
        <v>One-year contract</v>
      </c>
      <c t="s" s="6" r="H108">
        <v>53</v>
      </c>
    </row>
    <row r="109">
      <c s="13" r="A109">
        <v>107</v>
      </c>
      <c t="str" s="23" r="B109">
        <f>hyperlink("http://www.baseball-reference.com/players/l/lindsma01.shtml","Lindstrom, Matt")</f>
        <v>Lindstrom, Matt</v>
      </c>
      <c t="s" s="13" r="C109">
        <v>13</v>
      </c>
      <c t="s" s="13" r="D109">
        <v>22</v>
      </c>
      <c t="s" s="13" r="E109">
        <v>33</v>
      </c>
      <c s="18" r="F109">
        <v>40945</v>
      </c>
      <c t="str" s="30" r="G109">
        <f>hyperlink("http://espn.go.com/mlb/story/_/id/7546101/jeremy-guthrie-baltimore-orioles-traded-colorado-rockies","Traded with Jason Hammel for Jeremy Guthrie")</f>
        <v>Traded with Jason Hammel for Jeremy Guthrie</v>
      </c>
      <c t="s" s="43" r="H109">
        <v>12</v>
      </c>
    </row>
    <row r="110">
      <c s="31" r="A110">
        <v>108</v>
      </c>
      <c t="str" s="36" r="B110">
        <f>hyperlink("http://www.baseball-reference.com/players/k/kuoho01.shtml","Kuo, Hong-Chih")</f>
        <v>Kuo, Hong-Chih</v>
      </c>
      <c t="s" s="31" r="C110">
        <v>13</v>
      </c>
      <c t="s" s="31" r="D110">
        <v>55</v>
      </c>
      <c t="s" s="31" r="E110">
        <v>44</v>
      </c>
      <c s="37" r="F110">
        <v>40945</v>
      </c>
      <c t="str" s="2" r="G110">
        <f>hyperlink("http://espn.go.com/mlb/story/_/id/7547196/hong-chih-kuo-shawn-camp-sign-seattle-mariners","One-year contract")</f>
        <v>One-year contract</v>
      </c>
      <c t="s" s="6" r="H110">
        <v>53</v>
      </c>
    </row>
    <row r="111">
      <c s="13" r="A111">
        <v>109</v>
      </c>
      <c t="str" s="23" r="B111">
        <f>hyperlink("http://www.baseball-reference.com/players/m/motagu01.shtml","Mota, Guillermo")</f>
        <v>Mota, Guillermo</v>
      </c>
      <c t="s" s="13" r="C111">
        <v>13</v>
      </c>
      <c t="s" s="13" r="D111">
        <v>29</v>
      </c>
      <c t="s" s="13" r="E111">
        <v>29</v>
      </c>
      <c s="18" r="F111">
        <v>40947</v>
      </c>
      <c t="str" s="22" r="G111">
        <f>hyperlink("http://espn.go.com/mlb/story/_/id/7559438/gu","One-year contract")</f>
        <v>One-year contract</v>
      </c>
      <c s="43" r="H111">
        <v>1000000</v>
      </c>
    </row>
    <row r="112">
      <c s="31" r="A112">
        <v>110</v>
      </c>
      <c t="str" s="33" r="B112">
        <f>hyperlink("http://www.baseball-reference.com/players/a/ayalalu01.shtml","Ayala, Luis")</f>
        <v>Ayala, Luis</v>
      </c>
      <c t="s" s="31" r="C112">
        <v>13</v>
      </c>
      <c t="s" s="31" r="D112">
        <v>45</v>
      </c>
      <c t="s" s="31" r="E112">
        <v>33</v>
      </c>
      <c s="37" r="F112">
        <v>40949</v>
      </c>
      <c t="str" s="42" r="G112">
        <f>hyperlink("http://baltimore.orioles.mlb.com/news/article.jsp?ymd=20120210&amp;content_id=26642086&amp;vkey=news_bal&amp;c_id=bal","One-year contract with option")</f>
        <v>One-year contract with option</v>
      </c>
      <c t="s" s="6" r="H112">
        <v>53</v>
      </c>
    </row>
    <row r="113">
      <c s="13" r="A113">
        <v>111</v>
      </c>
      <c t="str" s="23" r="B113">
        <f>hyperlink("http://www.baseball-reference.com/players/l/linebsc01.shtml","Linebrink, Scott")</f>
        <v>Linebrink, Scott</v>
      </c>
      <c t="s" s="13" r="C113">
        <v>13</v>
      </c>
      <c t="s" s="13" r="D113">
        <v>10</v>
      </c>
      <c t="s" s="13" r="E113">
        <v>46</v>
      </c>
      <c s="18" r="F113">
        <v>40949</v>
      </c>
      <c t="s" s="1" r="G113">
        <v>16</v>
      </c>
      <c t="s" s="43" r="H113">
        <v>12</v>
      </c>
    </row>
    <row r="114">
      <c s="31" r="A114">
        <v>112</v>
      </c>
      <c t="str" s="36" r="B114">
        <f>hyperlink("http://www.baseball-reference.com/players/b/burkegr01.shtml","Burke, Greg")</f>
        <v>Burke, Greg</v>
      </c>
      <c t="s" s="31" r="C114">
        <v>13</v>
      </c>
      <c t="s" s="31" r="D114">
        <v>42</v>
      </c>
      <c t="s" s="31" r="E114">
        <v>33</v>
      </c>
      <c s="37" r="F114">
        <v>40949</v>
      </c>
      <c t="s" s="1" r="G114">
        <v>16</v>
      </c>
      <c t="s" s="6" r="H114">
        <v>12</v>
      </c>
    </row>
    <row r="115">
      <c s="13" r="A115">
        <v>113</v>
      </c>
      <c t="str" s="23" r="B115">
        <f>hyperlink("http://www.baseball-reference.com/players/w/wrighja01.shtml","Wright, Jamey")</f>
        <v>Wright, Jamey</v>
      </c>
      <c t="s" s="13" r="C115">
        <v>13</v>
      </c>
      <c t="s" s="13" r="D115">
        <v>44</v>
      </c>
      <c t="s" s="13" r="E115">
        <v>20</v>
      </c>
      <c s="18" r="F115">
        <v>40954</v>
      </c>
      <c t="s" s="1" r="G115">
        <v>16</v>
      </c>
      <c t="s" s="43" r="H115">
        <v>12</v>
      </c>
    </row>
    <row r="116">
      <c s="31" r="A116">
        <v>114</v>
      </c>
      <c t="str" s="36" r="B116">
        <f>hyperlink("http://www.baseball-reference.com/players/o/ortizra02.shtml","Ortiz, Ramon")</f>
        <v>Ortiz, Ramon</v>
      </c>
      <c t="s" s="31" r="C116">
        <v>13</v>
      </c>
      <c t="s" s="31" r="D116">
        <v>35</v>
      </c>
      <c t="s" s="31" r="E116">
        <v>29</v>
      </c>
      <c s="37" r="F116">
        <v>40954</v>
      </c>
      <c t="s" s="1" r="G116">
        <v>16</v>
      </c>
      <c t="s" s="6" r="H116">
        <v>12</v>
      </c>
    </row>
    <row r="117">
      <c s="13" r="A117">
        <v>115</v>
      </c>
      <c t="str" s="23" r="B117">
        <f>hyperlink("http://www.baseball-reference.com/players/t/tomkobr01.shtml","Tomko, Brett")</f>
        <v>Tomko, Brett</v>
      </c>
      <c t="s" s="13" r="C117">
        <v>13</v>
      </c>
      <c t="s" s="13" r="D117">
        <v>14</v>
      </c>
      <c t="s" s="13" r="E117">
        <v>36</v>
      </c>
      <c s="18" r="F117">
        <v>40958</v>
      </c>
      <c t="s" s="1" r="G117">
        <v>16</v>
      </c>
      <c t="s" s="43" r="H117">
        <v>12</v>
      </c>
    </row>
    <row r="118">
      <c s="31" r="A118">
        <v>116</v>
      </c>
      <c t="str" s="33" r="B118">
        <f>hyperlink("http://www.baseball-reference.com/players/r/rapadcl01.shtml","Rapada, Clay")</f>
        <v>Rapada, Clay</v>
      </c>
      <c t="s" s="31" r="C118">
        <v>13</v>
      </c>
      <c t="s" s="31" r="D118">
        <v>33</v>
      </c>
      <c t="s" s="31" r="E118">
        <v>45</v>
      </c>
      <c s="37" r="F118">
        <v>40959</v>
      </c>
      <c t="s" s="1" r="G118">
        <v>16</v>
      </c>
      <c t="s" s="6" r="H118">
        <v>12</v>
      </c>
    </row>
    <row r="119">
      <c s="13" r="A119">
        <v>117</v>
      </c>
      <c t="str" s="23" r="B119">
        <f>hyperlink("http://www.baseball-reference.com/players/c/carpech02.shtml","Carpenter, Chris")</f>
        <v>Carpenter, Chris</v>
      </c>
      <c t="s" s="13" r="C119">
        <v>13</v>
      </c>
      <c t="s" s="13" r="D119">
        <v>35</v>
      </c>
      <c t="s" s="13" r="E119">
        <v>41</v>
      </c>
      <c s="18" r="F119">
        <v>40960</v>
      </c>
      <c t="str" s="35" r="G119">
        <f>hyperlink("http://espn.go.com/mlb/story/_/id/7597970/chicago-cubs-send-pitcher-chris-carpenter-boston-red-sox-comp-theo-epstein","Compensation for Theo Epstein")</f>
        <v>Compensation for Theo Epstein</v>
      </c>
      <c t="s" s="43" r="H119">
        <v>12</v>
      </c>
    </row>
    <row r="120">
      <c s="31" r="A120">
        <v>118</v>
      </c>
      <c t="str" s="36" r="B120">
        <f>hyperlink("http://www.baseball-reference.com/players/a/aardsda01.shtml","Aardsma, David")</f>
        <v>Aardsma, David</v>
      </c>
      <c t="s" s="31" r="C120">
        <v>13</v>
      </c>
      <c t="s" s="31" r="D120">
        <v>44</v>
      </c>
      <c t="s" s="31" r="E120">
        <v>45</v>
      </c>
      <c s="37" r="F120">
        <v>40961</v>
      </c>
      <c t="str" s="2" r="G120">
        <f>hyperlink("http://espn.go.com/blog/new-york/yankees/post/_/id/27652/yanks-add-aardsma","One-year contract with option")</f>
        <v>One-year contract with option</v>
      </c>
      <c s="6" r="H120">
        <v>500000</v>
      </c>
    </row>
    <row r="121">
      <c s="13" r="A121">
        <v>119</v>
      </c>
      <c s="23" r="B121"/>
      <c s="13" r="C121"/>
      <c s="13" r="D121"/>
      <c s="13" r="E121"/>
      <c s="13" r="F121"/>
      <c s="22" r="G121"/>
      <c s="43" r="H121"/>
    </row>
    <row r="122">
      <c s="31" r="A122">
        <v>120</v>
      </c>
      <c s="36" r="B122"/>
      <c s="31" r="C122"/>
      <c s="31" r="D122"/>
      <c s="31" r="E122"/>
      <c s="31" r="F122"/>
      <c s="2" r="G122"/>
      <c s="6" r="H122"/>
    </row>
    <row r="123">
      <c s="13" r="A123">
        <v>121</v>
      </c>
      <c s="23" r="B123"/>
      <c s="13" r="C123"/>
      <c s="13" r="D123"/>
      <c s="13" r="E123"/>
      <c s="13" r="F123"/>
      <c s="22" r="G123"/>
      <c s="43" r="H123"/>
    </row>
    <row r="124">
      <c s="31" r="A124">
        <v>122</v>
      </c>
      <c s="36" r="B124"/>
      <c s="31" r="C124"/>
      <c s="31" r="D124"/>
      <c s="31" r="E124"/>
      <c s="31" r="F124"/>
      <c s="2" r="G124"/>
      <c s="6" r="H124"/>
    </row>
    <row r="125">
      <c s="13" r="A125">
        <v>123</v>
      </c>
      <c s="23" r="B125"/>
      <c s="13" r="C125"/>
      <c s="13" r="D125"/>
      <c s="13" r="E125"/>
      <c s="13" r="F125"/>
      <c s="22" r="G125"/>
      <c s="43" r="H125"/>
    </row>
    <row r="126">
      <c s="31" r="A126">
        <v>124</v>
      </c>
      <c s="36" r="B126"/>
      <c s="31" r="C126"/>
      <c s="31" r="D126"/>
      <c s="31" r="E126"/>
      <c s="31" r="F126"/>
      <c s="2" r="G126"/>
      <c s="6" r="H126"/>
    </row>
    <row r="127">
      <c s="13" r="A127">
        <v>125</v>
      </c>
      <c s="23" r="B127"/>
      <c s="13" r="C127"/>
      <c s="13" r="D127"/>
      <c s="13" r="E127"/>
      <c s="13" r="F127"/>
      <c s="22" r="G127"/>
      <c s="43" r="H127"/>
    </row>
    <row r="128">
      <c s="31" r="A128">
        <v>126</v>
      </c>
      <c s="36" r="B128"/>
      <c s="31" r="C128"/>
      <c s="31" r="D128"/>
      <c s="31" r="E128"/>
      <c s="31" r="F128"/>
      <c s="2" r="G128"/>
      <c s="6" r="H128"/>
    </row>
    <row r="129">
      <c s="13" r="A129">
        <v>127</v>
      </c>
      <c s="23" r="B129"/>
      <c s="13" r="C129"/>
      <c s="13" r="D129"/>
      <c s="13" r="E129"/>
      <c s="13" r="F129"/>
      <c s="22" r="G129"/>
      <c s="43" r="H129"/>
    </row>
    <row r="130">
      <c s="31" r="A130">
        <v>128</v>
      </c>
      <c s="36" r="B130"/>
      <c s="31" r="C130"/>
      <c s="31" r="D130"/>
      <c s="31" r="E130"/>
      <c s="31" r="F130"/>
      <c s="2" r="G130"/>
      <c s="6" r="H130"/>
    </row>
    <row r="131">
      <c s="13" r="A131">
        <v>129</v>
      </c>
      <c s="23" r="B131"/>
      <c s="13" r="C131"/>
      <c s="13" r="D131"/>
      <c s="13" r="E131"/>
      <c s="13" r="F131"/>
      <c s="22" r="G131"/>
      <c s="43" r="H131"/>
    </row>
    <row r="132">
      <c s="31" r="A132">
        <v>130</v>
      </c>
      <c s="36" r="B132"/>
      <c s="31" r="C132"/>
      <c s="31" r="D132"/>
      <c s="31" r="E132"/>
      <c s="31" r="F132"/>
      <c s="2" r="G132"/>
      <c s="6" r="H132"/>
    </row>
    <row r="133">
      <c s="13" r="A133">
        <v>131</v>
      </c>
      <c s="23" r="B133"/>
      <c s="13" r="C133"/>
      <c s="13" r="D133"/>
      <c s="13" r="E133"/>
      <c s="13" r="F133"/>
      <c s="22" r="G133"/>
      <c s="43" r="H133"/>
    </row>
    <row r="134">
      <c s="31" r="A134">
        <v>132</v>
      </c>
      <c s="36" r="B134"/>
      <c s="31" r="C134"/>
      <c s="31" r="D134"/>
      <c s="31" r="E134"/>
      <c s="31" r="F134"/>
      <c s="2" r="G134"/>
      <c s="6" r="H134"/>
    </row>
    <row r="135">
      <c s="13" r="A135">
        <v>133</v>
      </c>
      <c s="23" r="B135"/>
      <c s="13" r="C135"/>
      <c s="13" r="D135"/>
      <c s="13" r="E135"/>
      <c s="13" r="F135"/>
      <c s="22" r="G135"/>
      <c s="43" r="H135"/>
    </row>
    <row r="136">
      <c s="31" r="A136">
        <v>134</v>
      </c>
      <c s="36" r="B136"/>
      <c s="31" r="C136"/>
      <c s="31" r="D136"/>
      <c s="31" r="E136"/>
      <c s="31" r="F136"/>
      <c s="2" r="G136"/>
      <c s="6" r="H136"/>
    </row>
    <row r="137">
      <c s="13" r="A137">
        <v>135</v>
      </c>
      <c s="23" r="B137"/>
      <c s="13" r="C137"/>
      <c s="13" r="D137"/>
      <c s="13" r="E137"/>
      <c s="13" r="F137"/>
      <c s="22" r="G137"/>
      <c s="43" r="H137"/>
    </row>
    <row r="138">
      <c s="31" r="A138">
        <v>136</v>
      </c>
      <c s="36" r="B138"/>
      <c s="31" r="C138"/>
      <c s="31" r="D138"/>
      <c s="31" r="E138"/>
      <c s="31" r="F138"/>
      <c s="2" r="G138"/>
      <c s="6" r="H138"/>
    </row>
    <row r="139">
      <c s="13" r="A139">
        <v>137</v>
      </c>
      <c s="23" r="B139"/>
      <c s="13" r="C139"/>
      <c s="13" r="D139"/>
      <c s="13" r="E139"/>
      <c s="13" r="F139"/>
      <c s="22" r="G139"/>
      <c s="43" r="H139"/>
    </row>
    <row r="140">
      <c s="31" r="A140">
        <v>138</v>
      </c>
      <c s="36" r="B140"/>
      <c s="31" r="C140"/>
      <c s="31" r="D140"/>
      <c s="31" r="E140"/>
      <c s="31" r="F140"/>
      <c s="2" r="G140"/>
      <c s="6" r="H140"/>
    </row>
    <row r="141">
      <c s="13" r="A141">
        <v>139</v>
      </c>
      <c s="23" r="B141"/>
      <c s="13" r="C141"/>
      <c s="13" r="D141"/>
      <c s="13" r="E141"/>
      <c s="13" r="F141"/>
      <c s="22" r="G141"/>
      <c s="43" r="H141"/>
    </row>
    <row r="142">
      <c s="31" r="A142">
        <v>140</v>
      </c>
      <c s="36" r="B142"/>
      <c s="31" r="C142"/>
      <c s="31" r="D142"/>
      <c s="31" r="E142"/>
      <c s="31" r="F142"/>
      <c s="2" r="G142"/>
      <c s="6" r="H142"/>
    </row>
    <row r="143">
      <c s="13" r="A143">
        <v>141</v>
      </c>
      <c s="23" r="B143"/>
      <c s="13" r="C143"/>
      <c s="13" r="D143"/>
      <c s="13" r="E143"/>
      <c s="13" r="F143"/>
      <c s="22" r="G143"/>
      <c s="43" r="H143"/>
    </row>
    <row r="144">
      <c s="31" r="A144">
        <v>142</v>
      </c>
      <c s="36" r="B144"/>
      <c s="31" r="C144"/>
      <c s="31" r="D144"/>
      <c s="31" r="E144"/>
      <c s="31" r="F144"/>
      <c s="2" r="G144"/>
      <c s="6" r="H144"/>
    </row>
    <row r="145">
      <c s="13" r="A145">
        <v>143</v>
      </c>
      <c s="23" r="B145"/>
      <c s="13" r="C145"/>
      <c s="13" r="D145"/>
      <c s="13" r="E145"/>
      <c s="13" r="F145"/>
      <c s="22" r="G145"/>
      <c s="43" r="H145"/>
    </row>
    <row r="146">
      <c s="31" r="A146">
        <v>144</v>
      </c>
      <c s="36" r="B146"/>
      <c s="31" r="C146"/>
      <c s="31" r="D146"/>
      <c s="31" r="E146"/>
      <c s="31" r="F146"/>
      <c s="2" r="G146"/>
      <c s="6" r="H146"/>
    </row>
    <row r="147">
      <c s="13" r="A147">
        <v>145</v>
      </c>
      <c s="23" r="B147"/>
      <c s="13" r="C147"/>
      <c s="13" r="D147"/>
      <c s="13" r="E147"/>
      <c s="13" r="F147"/>
      <c s="22" r="G147"/>
      <c s="43" r="H147"/>
    </row>
    <row r="148">
      <c s="31" r="A148">
        <v>146</v>
      </c>
      <c s="36" r="B148"/>
      <c s="31" r="C148"/>
      <c s="31" r="D148"/>
      <c s="31" r="E148"/>
      <c s="31" r="F148"/>
      <c s="2" r="G148"/>
      <c s="6" r="H148"/>
    </row>
    <row r="149">
      <c s="13" r="A149">
        <v>147</v>
      </c>
      <c s="23" r="B149"/>
      <c s="13" r="C149"/>
      <c s="13" r="D149"/>
      <c s="13" r="E149"/>
      <c s="13" r="F149"/>
      <c s="22" r="G149"/>
      <c s="43" r="H149"/>
    </row>
    <row r="150">
      <c s="31" r="A150">
        <v>148</v>
      </c>
      <c s="36" r="B150"/>
      <c s="31" r="C150"/>
      <c s="31" r="D150"/>
      <c s="31" r="E150"/>
      <c s="31" r="F150"/>
      <c s="2" r="G150"/>
      <c s="6" r="H150"/>
    </row>
    <row r="151">
      <c s="13" r="A151">
        <v>149</v>
      </c>
      <c s="23" r="B151"/>
      <c s="13" r="C151"/>
      <c s="13" r="D151"/>
      <c s="13" r="E151"/>
      <c s="13" r="F151"/>
      <c s="22" r="G151"/>
      <c s="43" r="H151"/>
    </row>
    <row r="152">
      <c s="31" r="A152">
        <v>150</v>
      </c>
      <c s="36" r="B152"/>
      <c s="31" r="C152"/>
      <c s="31" r="D152"/>
      <c s="31" r="E152"/>
      <c s="31" r="F152"/>
      <c s="2" r="G152"/>
      <c s="6" r="H152"/>
    </row>
  </sheetData>
  <mergeCells count="1">
    <mergeCell ref="A1:H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hyperlink("http://www.baseball-reference.com/players/b/blanche01.shtml","Blanco, Henry")</f>
        <v>Blanco, Henry</v>
      </c>
      <c t="s" s="13" r="C3">
        <v>21</v>
      </c>
      <c t="s" s="9" r="D3">
        <v>18</v>
      </c>
      <c t="s" s="9" r="E3">
        <v>18</v>
      </c>
      <c s="18" r="F3">
        <v>40850</v>
      </c>
      <c t="str" s="22" r="G3">
        <f>hyperlink("http://espn.go.com/mlb/story/_/id/7187736/veteran-c-henry-blanco-signs-1-year-deal-arizona-diamondbacks","One-year contract with option")</f>
        <v>One-year contract with option</v>
      </c>
      <c s="43" r="H3">
        <v>1250000</v>
      </c>
    </row>
    <row r="4">
      <c s="46" r="A4">
        <v>2</v>
      </c>
      <c t="str" s="44" r="B4">
        <f>hyperlink("http://www.baseball-reference.com/players/b/barajro01.shtml","Barajas, Rod")</f>
        <v>Barajas, Rod</v>
      </c>
      <c t="s" s="46" r="C4">
        <v>21</v>
      </c>
      <c t="s" s="46" r="D4">
        <v>20</v>
      </c>
      <c t="s" s="46" r="E4">
        <v>15</v>
      </c>
      <c s="32" r="F4">
        <v>40857</v>
      </c>
      <c t="str" s="42" r="G4">
        <f>hyperlink("http://espn.go.com/mlb/story/_/id/7215932/pittsburgh-pirates-sign-catcher-rod-barajas-formerly-los-angeles-dodgers-one-year-deal","One-year contract with option")</f>
        <v>One-year contract with option</v>
      </c>
      <c s="48" r="H4">
        <v>4000000</v>
      </c>
    </row>
    <row r="5">
      <c s="13" r="A5">
        <v>3</v>
      </c>
      <c t="str" s="45" r="B5">
        <f>hyperlink("http://www.baseball-reference.com/players/t/treanma01.shtml","Treanor, Matt")</f>
        <v>Treanor, Matt</v>
      </c>
      <c t="s" s="13" r="C5">
        <v>21</v>
      </c>
      <c t="s" s="13" r="D5">
        <v>14</v>
      </c>
      <c t="s" s="13" r="E5">
        <v>20</v>
      </c>
      <c s="18" r="F5">
        <v>40862</v>
      </c>
      <c t="str" s="22" r="G5">
        <f>hyperlink("http://mlb.mlb.com/news/article.jsp?ymd=20111115&amp;content_id=25975564&amp;vkey=news_mlb&amp;c_id=mlb","One-year contract with option")</f>
        <v>One-year contract with option</v>
      </c>
      <c s="43" r="H5">
        <v>850000</v>
      </c>
    </row>
    <row r="6">
      <c s="46" r="A6">
        <v>4</v>
      </c>
      <c t="str" s="44" r="B6">
        <f>hyperlink("http://www.baseball-reference.com/players/s/santoom01.shtml","Santos, Omir")</f>
        <v>Santos, Omir</v>
      </c>
      <c t="s" s="31" r="C6">
        <v>21</v>
      </c>
      <c t="s" s="9" r="D6">
        <v>30</v>
      </c>
      <c t="s" s="9" r="E6">
        <v>30</v>
      </c>
      <c s="37" r="F6">
        <v>40863</v>
      </c>
      <c t="s" s="1" r="G6">
        <v>16</v>
      </c>
      <c t="s" s="6" r="H6">
        <v>12</v>
      </c>
    </row>
    <row r="7">
      <c s="13" r="A7">
        <v>5</v>
      </c>
      <c t="str" s="45" r="B7">
        <f>hyperlink("http://www.baseball-reference.com/players/s/schnebr01.shtml","Schneider, Brian")</f>
        <v>Schneider, Brian</v>
      </c>
      <c t="s" s="13" r="C7">
        <v>21</v>
      </c>
      <c t="s" s="9" r="D7">
        <v>27</v>
      </c>
      <c t="s" s="9" r="E7">
        <v>27</v>
      </c>
      <c s="18" r="F7">
        <v>40864</v>
      </c>
      <c t="str" s="22" r="G7">
        <f>hyperlink("http://espn.go.com/mlb/story/_/id/7247215/brian-schneider-philadelphia-phillies-re-signs-one-year","One-year contract")</f>
        <v>One-year contract</v>
      </c>
      <c s="43" r="H7">
        <v>800000</v>
      </c>
    </row>
    <row r="8">
      <c s="46" r="A8">
        <v>6</v>
      </c>
      <c t="str" s="44" r="B8">
        <f>hyperlink("http://www.baseball-reference.com/players/l/lairdge01.shtml","Laird, Gerald")</f>
        <v>Laird, Gerald</v>
      </c>
      <c t="s" s="31" r="C8">
        <v>21</v>
      </c>
      <c t="s" s="31" r="D8">
        <v>46</v>
      </c>
      <c t="s" s="31" r="E8">
        <v>30</v>
      </c>
      <c s="37" r="F8">
        <v>40865</v>
      </c>
      <c t="str" s="2" r="G8">
        <f>hyperlink("http://detroit.tigers.mlb.com/news/article.jsp?ymd=20111117&amp;content_id=25992502&amp;vkey=news_det&amp;c_id=det","One-year contract")</f>
        <v>One-year contract</v>
      </c>
      <c s="6" r="H8">
        <v>1000000</v>
      </c>
    </row>
    <row r="9">
      <c s="13" r="A9">
        <v>7</v>
      </c>
      <c t="str" s="23" r="B9">
        <f>hyperlink("http://www.baseball-reference.com/players/b/bakerjo01.shtml","Baker, John")</f>
        <v>Baker, John</v>
      </c>
      <c t="s" s="13" r="C9">
        <v>21</v>
      </c>
      <c t="s" s="13" r="D9">
        <v>40</v>
      </c>
      <c t="s" s="13" r="E9">
        <v>42</v>
      </c>
      <c s="18" r="F9">
        <v>40869</v>
      </c>
      <c t="str" s="30" r="G9">
        <f>hyperlink("http://mlb.mlb.com/news/article.jsp?ymd=20111122&amp;content_id=26029700&amp;vkey=news_sd&amp;c_id=sd","Traded for LHP Wade LeBlanc")</f>
        <v>Traded for LHP Wade LeBlanc</v>
      </c>
      <c t="s" s="43" r="H9">
        <v>12</v>
      </c>
    </row>
    <row r="10">
      <c s="46" r="A10">
        <v>8</v>
      </c>
      <c t="str" s="36" r="B10">
        <f>hyperlink("http://www.baseball-reference.com/players/b/boscajc01.shtml","Boscan, J.C.")</f>
        <v>Boscan, J.C.</v>
      </c>
      <c t="s" s="31" r="C10">
        <v>21</v>
      </c>
      <c t="s" s="9" r="D10">
        <v>10</v>
      </c>
      <c t="s" s="9" r="E10">
        <v>10</v>
      </c>
      <c s="37" r="F10">
        <v>40869</v>
      </c>
      <c t="s" s="39" r="G10">
        <v>16</v>
      </c>
      <c t="s" s="6" r="H10">
        <v>12</v>
      </c>
    </row>
    <row r="11">
      <c s="13" r="A11">
        <v>9</v>
      </c>
      <c t="str" s="23" r="B11">
        <f>hyperlink("http://www.baseball-reference.com/players/f/foxja02.shtml","Fox, Jake")</f>
        <v>Fox, Jake</v>
      </c>
      <c t="s" s="13" r="C11">
        <v>21</v>
      </c>
      <c t="s" s="13" r="D11">
        <v>33</v>
      </c>
      <c t="s" s="13" r="E11">
        <v>15</v>
      </c>
      <c s="18" r="F11">
        <v>40870</v>
      </c>
      <c t="s" s="1" r="G11">
        <v>16</v>
      </c>
      <c t="s" s="43" r="H11">
        <v>12</v>
      </c>
    </row>
    <row r="12">
      <c s="46" r="A12">
        <v>10</v>
      </c>
      <c t="str" s="36" r="B12">
        <f>hyperlink("http://www.baseball-reference.com/players/d/doumiry01.shtml","Doumit, Ryan")</f>
        <v>Doumit, Ryan</v>
      </c>
      <c t="s" s="31" r="C12">
        <v>21</v>
      </c>
      <c t="s" s="31" r="D12">
        <v>15</v>
      </c>
      <c t="s" s="31" r="E12">
        <v>37</v>
      </c>
      <c s="37" r="F12">
        <v>40870</v>
      </c>
      <c t="str" s="2" r="G12">
        <f>hyperlink("http://espn.go.com/mlb/story/_/id/7273392/2011-free-agents-ryan-doumit-signs-minnesota-twins-one-year-3-million","One-year contract")</f>
        <v>One-year contract</v>
      </c>
      <c s="6" r="H12">
        <v>3000000</v>
      </c>
    </row>
    <row r="13">
      <c s="13" r="A13">
        <v>11</v>
      </c>
      <c t="str" s="23" r="B13">
        <f>hyperlink("http://www.baseball-reference.com/players/j/jasojo01.shtml","Jaso, John")</f>
        <v>Jaso, John</v>
      </c>
      <c t="s" s="13" r="C13">
        <v>21</v>
      </c>
      <c t="s" s="13" r="D13">
        <v>48</v>
      </c>
      <c t="s" s="13" r="E13">
        <v>44</v>
      </c>
      <c s="18" r="F13">
        <v>40874</v>
      </c>
      <c t="str" s="30" r="G13">
        <f>hyperlink("http://mlb.mlb.com/news/article.jsp?ymd=20111127&amp;content_id=26045430&amp;vkey=news_mlb&amp;c_id=mlb","Traded for RHP Josh Lueke &amp; PTBNL or cash")</f>
        <v>Traded for RHP Josh Lueke &amp; PTBNL or cash</v>
      </c>
      <c t="s" s="43" r="H13">
        <v>12</v>
      </c>
    </row>
    <row r="14">
      <c s="46" r="A14">
        <v>12</v>
      </c>
      <c t="str" s="36" r="B14">
        <f>hyperlink("http://www.baseball-reference.com/players/m/molinjo01.shtml","Molina, Jose")</f>
        <v>Molina, Jose</v>
      </c>
      <c t="s" s="31" r="C14">
        <v>21</v>
      </c>
      <c t="s" s="31" r="D14">
        <v>25</v>
      </c>
      <c t="s" s="31" r="E14">
        <v>48</v>
      </c>
      <c s="37" r="F14">
        <v>40875</v>
      </c>
      <c t="str" s="2" r="G14">
        <f>hyperlink("http://tampabay.rays.mlb.com/news/article.jsp?ymd=20111128&amp;content_id=26047164&amp;vkey=news_tb&amp;c_id=tb","One-year contract with option")</f>
        <v>One-year contract with option</v>
      </c>
      <c s="6" r="H14">
        <v>1500000</v>
      </c>
    </row>
    <row r="15">
      <c s="13" r="A15">
        <v>13</v>
      </c>
      <c t="str" s="23" r="B15">
        <f>hyperlink("http://www.baseball-reference.com/players/c/corpoca01.shtml","Corporan, Carlos")</f>
        <v>Corporan, Carlos</v>
      </c>
      <c t="s" s="13" r="C15">
        <v>21</v>
      </c>
      <c t="s" s="9" r="D15">
        <v>31</v>
      </c>
      <c t="s" s="9" r="E15">
        <v>31</v>
      </c>
      <c s="18" r="F15">
        <v>40876</v>
      </c>
      <c t="s" s="1" r="G15">
        <v>16</v>
      </c>
      <c t="s" s="43" r="H15">
        <v>12</v>
      </c>
    </row>
    <row r="16">
      <c s="46" r="A16">
        <v>14</v>
      </c>
      <c t="str" s="36" r="B16">
        <f>hyperlink("http://www.baseball-reference.com/players/i/iannech01.shtml","Iannetta, Chris")</f>
        <v>Iannetta, Chris</v>
      </c>
      <c t="s" s="31" r="C16">
        <v>21</v>
      </c>
      <c t="s" s="31" r="D16">
        <v>22</v>
      </c>
      <c t="s" s="31" r="E16">
        <v>47</v>
      </c>
      <c s="37" r="F16">
        <v>40877</v>
      </c>
      <c t="str" s="30" r="G16">
        <f>hyperlink("http://mlb.mlb.com/news/article.jsp?ymd=20111130&amp;content_id=26064500&amp;vkey=news_mlb&amp;c_id=mlb","Traded for Tyler Chatwood")</f>
        <v>Traded for Tyler Chatwood</v>
      </c>
      <c t="s" s="6" r="H16">
        <v>12</v>
      </c>
    </row>
    <row r="17">
      <c s="13" r="A17">
        <v>15</v>
      </c>
      <c t="str" s="23" r="B17">
        <f>hyperlink("http://www.baseball-reference.com/players/h/hernara02.shtml","Hernandez, Ramon")</f>
        <v>Hernandez, Ramon</v>
      </c>
      <c t="s" s="13" r="C17">
        <v>21</v>
      </c>
      <c t="s" s="13" r="D17">
        <v>36</v>
      </c>
      <c t="s" s="13" r="E17">
        <v>22</v>
      </c>
      <c s="18" r="F17">
        <v>40877</v>
      </c>
      <c t="str" s="22" r="G17">
        <f>hyperlink("http://espn.go.com/los-angeles/mlb/story/_/id/7300460/los-angeles-angels-acquire-catcher-chris-iannetta-colorado-rockies","Two-year contract")</f>
        <v>Two-year contract</v>
      </c>
      <c s="43" r="H17">
        <v>6400000</v>
      </c>
    </row>
    <row r="18">
      <c s="46" r="A18">
        <v>16</v>
      </c>
      <c t="str" s="36" r="B18">
        <f>hyperlink("http://www.baseball-reference.com/players/b/browndu01.shtml","Brown, Dusty")</f>
        <v>Brown, Dusty</v>
      </c>
      <c t="s" s="31" r="C18">
        <v>21</v>
      </c>
      <c t="s" s="31" r="D18">
        <v>15</v>
      </c>
      <c t="s" s="31" r="E18">
        <v>14</v>
      </c>
      <c s="37" r="F18">
        <v>40877</v>
      </c>
      <c t="s" s="1" r="G18">
        <v>16</v>
      </c>
      <c t="s" s="6" r="H18">
        <v>12</v>
      </c>
    </row>
    <row r="19">
      <c s="13" r="A19">
        <v>17</v>
      </c>
      <c t="str" s="23" r="B19">
        <f>hyperlink("http://www.baseball-reference.com/players/t/teagata01.shtml","Teagarden, Taylor")</f>
        <v>Teagarden, Taylor</v>
      </c>
      <c t="s" s="13" r="C19">
        <v>21</v>
      </c>
      <c t="s" s="13" r="D19">
        <v>14</v>
      </c>
      <c t="s" s="13" r="E19">
        <v>33</v>
      </c>
      <c s="18" r="F19">
        <v>40878</v>
      </c>
      <c t="str" s="30" r="G19">
        <f>hyperlink("http://espn.go.com/dallas/mlb/story/_/id/7303378/texas-rangers-trade-catcher-taylor-teagarden-baltimore-orioles","Traded for a minor leaguer and a PTBN")</f>
        <v>Traded for a minor leaguer and a PTBN</v>
      </c>
      <c t="s" s="43" r="H19">
        <v>12</v>
      </c>
    </row>
    <row r="20">
      <c s="46" r="A20">
        <v>18</v>
      </c>
      <c t="str" s="36" r="B20">
        <f>hyperlink("http://www.baseball-reference.com/players/p/pagnoma01.shtml","Pagnozzi, Matt")</f>
        <v>Pagnozzi, Matt</v>
      </c>
      <c t="s" s="31" r="C20">
        <v>21</v>
      </c>
      <c t="s" s="31" r="D20">
        <v>15</v>
      </c>
      <c t="s" s="31" r="E20">
        <v>11</v>
      </c>
      <c s="37" r="F20">
        <v>40879</v>
      </c>
      <c t="s" s="1" r="G20">
        <v>16</v>
      </c>
      <c t="s" s="6" r="H20">
        <v>12</v>
      </c>
    </row>
    <row r="21">
      <c s="13" r="A21">
        <v>19</v>
      </c>
      <c t="str" s="23" r="B21">
        <f>hyperlink("http://www.baseball-reference.com/players/m/mathije01.shtml","Mathis, Jeff")</f>
        <v>Mathis, Jeff</v>
      </c>
      <c t="s" s="13" r="C21">
        <v>21</v>
      </c>
      <c t="s" s="13" r="D21">
        <v>47</v>
      </c>
      <c t="s" s="13" r="E21">
        <v>25</v>
      </c>
      <c s="18" r="F21">
        <v>40880</v>
      </c>
      <c t="str" s="30" r="G21">
        <f>hyperlink("http://toronto.bluejays.mlb.com/news/article.jsp?ymd=20111203&amp;content_id=26086346&amp;vkey=news_tor&amp;c_id=tor","Traded for Brad Mills")</f>
        <v>Traded for Brad Mills</v>
      </c>
      <c t="s" s="43" r="H21">
        <v>12</v>
      </c>
    </row>
    <row r="22">
      <c s="46" r="A22">
        <v>20</v>
      </c>
      <c t="str" s="36" r="B22">
        <f>hyperlink("http://www.baseball-reference.com/players/m/moraljo02.shtml","Morales, Jose")</f>
        <v>Morales, Jose</v>
      </c>
      <c t="s" s="31" r="C22">
        <v>21</v>
      </c>
      <c t="s" s="31" r="D22">
        <v>22</v>
      </c>
      <c t="s" s="31" r="E22">
        <v>15</v>
      </c>
      <c s="37" r="F22">
        <v>40884</v>
      </c>
      <c t="s" s="1" r="G22">
        <v>16</v>
      </c>
      <c t="s" s="6" r="H22">
        <v>12</v>
      </c>
    </row>
    <row r="23">
      <c s="13" r="A23">
        <v>21</v>
      </c>
      <c t="str" s="23" r="B23">
        <f>hyperlink("http://www.baseball-reference.com/players/r/rivermi02.shtml","Rivera, Mike")</f>
        <v>Rivera, Mike</v>
      </c>
      <c t="s" s="13" r="C23">
        <v>21</v>
      </c>
      <c t="s" s="9" r="D23">
        <v>34</v>
      </c>
      <c t="s" s="9" r="E23">
        <v>34</v>
      </c>
      <c s="18" r="F23">
        <v>40884</v>
      </c>
      <c t="s" s="1" r="G23">
        <v>16</v>
      </c>
      <c t="s" s="43" r="H23">
        <v>12</v>
      </c>
    </row>
    <row r="24">
      <c s="46" r="A24">
        <v>22</v>
      </c>
      <c t="str" s="36" r="B24">
        <f>hyperlink("http://www.baseball-reference.com/players/r/ramirma03.shtml","Ramirez, Max")</f>
        <v>Ramirez, Max</v>
      </c>
      <c t="s" s="31" r="C24">
        <v>21</v>
      </c>
      <c t="s" s="31" r="D24">
        <v>29</v>
      </c>
      <c t="s" s="31" r="E24">
        <v>28</v>
      </c>
      <c s="37" r="F24">
        <v>40890</v>
      </c>
      <c t="s" s="1" r="G24">
        <v>16</v>
      </c>
      <c t="s" s="6" r="H24">
        <v>12</v>
      </c>
    </row>
    <row r="25">
      <c s="13" r="A25">
        <v>23</v>
      </c>
      <c t="str" s="23" r="B25">
        <f>hyperlink("http://www.baseball-reference.com/players/s/shoppke01.shtml","Shoppach, Kelly")</f>
        <v>Shoppach, Kelly</v>
      </c>
      <c t="s" s="13" r="C25">
        <v>21</v>
      </c>
      <c t="s" s="13" r="D25">
        <v>48</v>
      </c>
      <c t="s" s="13" r="E25">
        <v>41</v>
      </c>
      <c s="18" r="F25">
        <v>40890</v>
      </c>
      <c t="str" s="22" r="G25">
        <f>hyperlink("http://espn.go.com/boston/mlb/story/_/id/7348080/2011-free-agency-boston-red-sox-bring-back-kelly-shoppach","One-year contract")</f>
        <v>One-year contract</v>
      </c>
      <c s="43" r="H25">
        <v>1350000</v>
      </c>
    </row>
    <row r="26">
      <c s="46" r="A26">
        <v>24</v>
      </c>
      <c t="str" s="36" r="B26">
        <f>hyperlink("http://www.baseball-reference.com/players/m/maylu01.shtml","May, Lucas")</f>
        <v>May, Lucas</v>
      </c>
      <c t="s" s="31" r="C26">
        <v>21</v>
      </c>
      <c t="s" s="31" r="D26">
        <v>28</v>
      </c>
      <c t="s" s="31" r="E26">
        <v>38</v>
      </c>
      <c s="37" r="F26">
        <v>40890</v>
      </c>
      <c t="s" s="1" r="G26">
        <v>16</v>
      </c>
      <c t="s" s="6" r="H26">
        <v>12</v>
      </c>
    </row>
    <row r="27">
      <c s="13" r="A27">
        <v>25</v>
      </c>
      <c t="str" s="23" r="B27">
        <f>hyperlink("http://www.baseball-reference.com/players/b/bardjo01.shtml","Bard, Josh")</f>
        <v>Bard, Josh</v>
      </c>
      <c t="s" s="13" r="C27">
        <v>21</v>
      </c>
      <c t="s" s="13" r="D27">
        <v>44</v>
      </c>
      <c t="s" s="13" r="E27">
        <v>20</v>
      </c>
      <c s="18" r="F27">
        <v>40890</v>
      </c>
      <c t="s" s="1" r="G27">
        <v>16</v>
      </c>
      <c t="s" s="43" r="H27">
        <v>12</v>
      </c>
    </row>
    <row r="28">
      <c s="46" r="A28">
        <v>26</v>
      </c>
      <c t="str" s="33" r="B28">
        <f>hyperlink("http://www.baseball-reference.com/players/c/castial01.shtml","Castillo, Alberto")</f>
        <v>Castillo, Alberto</v>
      </c>
      <c t="s" s="31" r="C28">
        <v>21</v>
      </c>
      <c t="s" s="31" r="D28">
        <v>31</v>
      </c>
      <c t="s" s="31" r="E28">
        <v>20</v>
      </c>
      <c s="37" r="F28">
        <v>40890</v>
      </c>
      <c t="s" s="1" r="G28">
        <v>16</v>
      </c>
      <c t="s" s="6" r="H28">
        <v>12</v>
      </c>
    </row>
    <row r="29">
      <c s="13" r="A29">
        <v>27</v>
      </c>
      <c t="str" s="23" r="B29">
        <f>hyperlink("http://www.baseball-reference.com/players/q/quirogu01.shtml","Quiroz, Guillermo")</f>
        <v>Quiroz, Guillermo</v>
      </c>
      <c t="s" s="13" r="C29">
        <v>21</v>
      </c>
      <c t="s" s="13" r="D29">
        <v>42</v>
      </c>
      <c t="s" s="13" r="E29">
        <v>44</v>
      </c>
      <c s="18" r="F29">
        <v>40891</v>
      </c>
      <c t="s" s="1" r="G29">
        <v>16</v>
      </c>
      <c t="s" s="43" r="H29">
        <v>12</v>
      </c>
    </row>
    <row r="30">
      <c s="46" r="A30">
        <v>28</v>
      </c>
      <c t="str" s="36" r="B30">
        <f>hyperlink("http://www.baseball-reference.com/players/g/gimench01.shtml","Gimenez, Chris")</f>
        <v>Gimenez, Chris</v>
      </c>
      <c t="s" s="31" r="C30">
        <v>21</v>
      </c>
      <c t="s" s="9" r="D30">
        <v>44</v>
      </c>
      <c t="s" s="9" r="E30">
        <v>44</v>
      </c>
      <c s="37" r="F30">
        <v>40891</v>
      </c>
      <c t="str" s="2" r="G30">
        <f>hyperlink("http://mlb.mlb.com/news/article.jsp?ymd=20111214&amp;content_id=26169866&amp;vkey=news_mlb&amp;c_id=mlb","One-year contract")</f>
        <v>One-year contract</v>
      </c>
      <c s="6" r="H30">
        <v>480000</v>
      </c>
    </row>
    <row r="31">
      <c s="13" r="A31">
        <v>29</v>
      </c>
      <c t="str" s="23" r="B31">
        <f>hyperlink("http://www.baseball-reference.com/players/w/whiteel03.shtml","Whiteside, Eli")</f>
        <v>Whiteside, Eli</v>
      </c>
      <c t="s" s="13" r="C31">
        <v>21</v>
      </c>
      <c t="s" s="9" r="D31">
        <v>29</v>
      </c>
      <c t="s" s="9" r="E31">
        <v>29</v>
      </c>
      <c s="18" r="F31">
        <v>40892</v>
      </c>
      <c t="s" s="1" r="G31">
        <v>16</v>
      </c>
      <c t="s" s="43" r="H31">
        <v>12</v>
      </c>
    </row>
    <row r="32">
      <c s="46" r="A32">
        <v>30</v>
      </c>
      <c t="str" s="36" r="B32">
        <f>hyperlink("http://www.baseball-reference.com/players/n/nievewi01.shtml","Nieves, Wil")</f>
        <v>Nieves, Wil</v>
      </c>
      <c t="s" s="31" r="C32">
        <v>21</v>
      </c>
      <c t="s" s="31" r="D32">
        <v>10</v>
      </c>
      <c t="s" s="31" r="E32">
        <v>22</v>
      </c>
      <c s="37" r="F32">
        <v>40894</v>
      </c>
      <c t="s" s="1" r="G32">
        <v>16</v>
      </c>
      <c t="s" s="6" r="H32">
        <v>12</v>
      </c>
    </row>
    <row r="33">
      <c s="13" r="A33">
        <v>31</v>
      </c>
      <c t="str" s="45" r="B33">
        <f>hyperlink("http://www.baseball-reference.com/players/m/martilu02.shtml","Martinez, Luis")</f>
        <v>Martinez, Luis</v>
      </c>
      <c t="s" s="13" r="C33">
        <v>21</v>
      </c>
      <c t="s" s="13" r="D33">
        <v>42</v>
      </c>
      <c t="s" s="13" r="E33">
        <v>14</v>
      </c>
      <c s="18" r="F33">
        <v>40898</v>
      </c>
      <c t="str" s="30" r="G33">
        <f>hyperlink("http://texas.rangers.mlb.com/news/article.jsp?ymd=20111221&amp;content_id=26219918&amp;vkey=news_tex&amp;c_id=tex","Traded for a minor leaguer")</f>
        <v>Traded for a minor leaguer</v>
      </c>
      <c t="s" s="43" r="H33">
        <v>12</v>
      </c>
    </row>
    <row r="34">
      <c s="46" r="A34">
        <v>32</v>
      </c>
      <c t="str" s="36" r="B34">
        <f>hyperlink("http://www.baseball-reference.com/players/j/johnsro07.shtml","Johnson, Rob")</f>
        <v>Johnson, Rob</v>
      </c>
      <c t="s" s="31" r="C34">
        <v>21</v>
      </c>
      <c t="s" s="31" r="D34">
        <v>42</v>
      </c>
      <c t="s" s="31" r="E34">
        <v>38</v>
      </c>
      <c s="37" r="F34">
        <v>40899</v>
      </c>
      <c t="s" s="1" r="G34">
        <v>16</v>
      </c>
      <c t="s" s="6" r="H34">
        <v>12</v>
      </c>
    </row>
    <row r="35">
      <c s="13" r="A35">
        <v>33</v>
      </c>
      <c t="str" s="45" r="B35">
        <f>hyperlink("http://www.baseball-reference.com/players/t/towlejr01.shtml","Towles, J.R.")</f>
        <v>Towles, J.R.</v>
      </c>
      <c t="s" s="13" r="C35">
        <v>21</v>
      </c>
      <c t="s" s="13" r="D35">
        <v>31</v>
      </c>
      <c t="s" s="13" r="E35">
        <v>37</v>
      </c>
      <c s="18" r="F35">
        <v>40911</v>
      </c>
      <c t="s" s="1" r="G35">
        <v>16</v>
      </c>
      <c t="s" s="43" r="H35">
        <v>12</v>
      </c>
    </row>
    <row r="36">
      <c s="46" r="A36">
        <v>34</v>
      </c>
      <c t="str" s="17" r="B36">
        <f>hyperlink("http://www.baseball-reference.com/players/h/hillko01.shtml","Hill, Koyie")</f>
        <v>Hill, Koyie</v>
      </c>
      <c t="s" s="31" r="C36">
        <v>21</v>
      </c>
      <c t="s" s="31" r="D36">
        <v>35</v>
      </c>
      <c t="s" s="31" r="E36">
        <v>46</v>
      </c>
      <c s="37" r="F36">
        <v>40918</v>
      </c>
      <c t="s" s="1" r="G36">
        <v>16</v>
      </c>
      <c t="s" s="6" r="H36">
        <v>12</v>
      </c>
    </row>
    <row r="37">
      <c s="13" r="A37">
        <v>35</v>
      </c>
      <c t="str" s="45" r="B37">
        <f>hyperlink("http://www.baseball-reference.com/players/p/phillpa01.shtml","Phillips, Paul")</f>
        <v>Phillips, Paul</v>
      </c>
      <c t="s" s="13" r="C37">
        <v>21</v>
      </c>
      <c t="s" s="13" r="D37">
        <v>11</v>
      </c>
      <c t="s" s="13" r="E37">
        <v>34</v>
      </c>
      <c s="18" r="F37">
        <v>40919</v>
      </c>
      <c t="s" s="1" r="G37">
        <v>16</v>
      </c>
      <c t="s" s="43" r="H37">
        <v>12</v>
      </c>
    </row>
    <row r="38">
      <c s="46" r="A38">
        <v>36</v>
      </c>
      <c t="str" s="44" r="B38">
        <f>hyperlink("http://www.baseball-reference.com/players/m/monteje01.shtml","Montero, Jesus")</f>
        <v>Montero, Jesus</v>
      </c>
      <c t="s" s="31" r="C38">
        <v>21</v>
      </c>
      <c t="s" s="31" r="D38">
        <v>45</v>
      </c>
      <c t="s" s="31" r="E38">
        <v>44</v>
      </c>
      <c s="37" r="F38">
        <v>40921</v>
      </c>
      <c t="str" s="30" r="G38">
        <f>hyperlink("http://espn.go.com/new-york/mlb/story/_/id/7460297/new-york-yankees-deal-jesus-montero-seattle-mariners-michael-pineda-source-says","Traded w Noesi for Pineda &amp; minor leaguer")</f>
        <v>Traded w Noesi for Pineda &amp; minor leaguer</v>
      </c>
      <c t="s" s="6" r="H38">
        <v>12</v>
      </c>
    </row>
    <row r="39">
      <c s="13" r="A39">
        <v>37</v>
      </c>
      <c t="str" s="45" r="B39">
        <f>hyperlink("http://www.baseball-reference.com/players/n/navardi01.shtml","Navarro, Dioner")</f>
        <v>Navarro, Dioner</v>
      </c>
      <c t="s" s="13" r="C39">
        <v>21</v>
      </c>
      <c t="s" s="13" r="D39">
        <v>55</v>
      </c>
      <c t="s" s="13" r="E39">
        <v>36</v>
      </c>
      <c s="18" r="F39">
        <v>40925</v>
      </c>
      <c t="s" s="1" r="G39">
        <v>16</v>
      </c>
      <c t="s" s="43" r="H39">
        <v>12</v>
      </c>
    </row>
    <row r="40">
      <c s="46" r="A40">
        <v>38</v>
      </c>
      <c t="str" s="17" r="B40">
        <f>hyperlink("http://www.baseball-reference.com/players/s/snydech02.shtml","Snyder, Chris")</f>
        <v>Snyder, Chris</v>
      </c>
      <c t="s" s="31" r="C40">
        <v>21</v>
      </c>
      <c t="s" s="31" r="D40">
        <v>15</v>
      </c>
      <c t="s" s="31" r="E40">
        <v>31</v>
      </c>
      <c s="37" r="F40">
        <v>40928</v>
      </c>
      <c t="str" s="2" r="G40">
        <f>hyperlink("http://espn.go.com/mlb/story/_/id/7484250/houston-astros-agree-1-year-contract-chris-snyder","One-year contract with option")</f>
        <v>One-year contract with option</v>
      </c>
      <c t="s" s="6" r="H40">
        <v>53</v>
      </c>
    </row>
    <row r="41">
      <c s="13" r="A41">
        <v>39</v>
      </c>
      <c t="str" s="23" r="B41">
        <f>hyperlink("http://www.baseball-reference.com/players/p/pauliro01.shtml","Paulino, Ronny")</f>
        <v>Paulino, Ronny</v>
      </c>
      <c t="s" s="13" r="C41">
        <v>21</v>
      </c>
      <c t="s" s="13" r="D41">
        <v>38</v>
      </c>
      <c t="s" s="13" r="E41">
        <v>33</v>
      </c>
      <c s="18" r="F41">
        <v>40938</v>
      </c>
      <c t="s" s="1" r="G41">
        <v>16</v>
      </c>
      <c t="s" s="43" r="H41">
        <v>12</v>
      </c>
    </row>
    <row r="42">
      <c s="46" r="A42">
        <v>40</v>
      </c>
      <c t="str" s="33" r="B42">
        <f>hyperlink("http://www.baseball-reference.com/players/h/holmst01.shtml","Holm, Steve")</f>
        <v>Holm, Steve</v>
      </c>
      <c t="s" s="31" r="C42">
        <v>21</v>
      </c>
      <c t="s" s="31" r="D42">
        <v>37</v>
      </c>
      <c t="s" s="31" r="E42">
        <v>22</v>
      </c>
      <c s="37" r="F42">
        <v>40941</v>
      </c>
      <c t="s" s="1" r="G42">
        <v>16</v>
      </c>
      <c t="s" s="6" r="H42">
        <v>12</v>
      </c>
    </row>
    <row r="43">
      <c s="13" r="A43">
        <v>41</v>
      </c>
      <c t="str" s="23" r="B43">
        <f>hyperlink("http://www.baseball-reference.com/players/s/sardida01.shtml","Sardinha, Dane")</f>
        <v>Sardinha, Dane</v>
      </c>
      <c t="s" s="13" r="C43">
        <v>21</v>
      </c>
      <c t="s" s="13" r="D43">
        <v>27</v>
      </c>
      <c t="s" s="13" r="E43">
        <v>33</v>
      </c>
      <c s="18" r="F43">
        <v>40949</v>
      </c>
      <c t="s" s="1" r="G43">
        <v>16</v>
      </c>
      <c t="s" s="43" r="H43">
        <v>12</v>
      </c>
    </row>
    <row r="44">
      <c s="46" r="A44">
        <v>42</v>
      </c>
      <c t="str" s="33" r="B44">
        <f>hyperlink("http://www.baseball-reference.com/players/g/gimench01.shtml","Gimenez, Chris")</f>
        <v>Gimenez, Chris</v>
      </c>
      <c t="s" s="31" r="C44">
        <v>21</v>
      </c>
      <c t="s" s="31" r="D44">
        <v>44</v>
      </c>
      <c t="s" s="31" r="E44">
        <v>48</v>
      </c>
      <c s="37" r="F44">
        <v>40956</v>
      </c>
      <c t="s" s="1" r="G44">
        <v>16</v>
      </c>
      <c t="s" s="6" r="H44">
        <v>12</v>
      </c>
    </row>
    <row r="45">
      <c s="13" r="A45">
        <v>43</v>
      </c>
      <c s="23" r="B45"/>
      <c s="13" r="C45"/>
      <c s="13" r="D45"/>
      <c s="13" r="E45"/>
      <c s="13" r="F45"/>
      <c s="22" r="G45"/>
      <c s="43" r="H45"/>
    </row>
    <row r="46">
      <c s="46" r="A46">
        <v>44</v>
      </c>
      <c s="33" r="B46"/>
      <c s="46" r="C46"/>
      <c s="46" r="D46"/>
      <c s="46" r="E46"/>
      <c s="46" r="F46"/>
      <c s="42" r="G46"/>
      <c s="48" r="H46"/>
    </row>
    <row r="47">
      <c s="13" r="A47">
        <v>45</v>
      </c>
      <c s="23" r="B47"/>
      <c s="13" r="C47"/>
      <c s="13" r="D47"/>
      <c s="13" r="E47"/>
      <c s="13" r="F47"/>
      <c s="22" r="G47"/>
      <c s="43" r="H47"/>
    </row>
    <row r="48">
      <c s="46" r="A48">
        <v>46</v>
      </c>
      <c s="33" r="B48"/>
      <c s="46" r="C48"/>
      <c s="46" r="D48"/>
      <c s="46" r="E48"/>
      <c s="46" r="F48"/>
      <c s="42" r="G48"/>
      <c s="48" r="H48"/>
    </row>
    <row r="49">
      <c s="13" r="A49">
        <v>47</v>
      </c>
      <c s="23" r="B49"/>
      <c s="13" r="C49"/>
      <c s="13" r="D49"/>
      <c s="13" r="E49"/>
      <c s="13" r="F49"/>
      <c s="22" r="G49"/>
      <c s="43" r="H49"/>
    </row>
    <row r="50">
      <c s="46" r="A50">
        <v>48</v>
      </c>
      <c s="33" r="B50"/>
      <c s="46" r="C50"/>
      <c s="46" r="D50"/>
      <c s="46" r="E50"/>
      <c s="46" r="F50"/>
      <c s="42" r="G50"/>
      <c s="48" r="H50"/>
    </row>
    <row r="51">
      <c s="13" r="A51">
        <v>49</v>
      </c>
      <c s="23" r="B51"/>
      <c s="13" r="C51"/>
      <c s="13" r="D51"/>
      <c s="13" r="E51"/>
      <c s="13" r="F51"/>
      <c s="22" r="G51"/>
      <c s="43" r="H51"/>
    </row>
    <row r="52">
      <c s="46" r="A52">
        <v>50</v>
      </c>
      <c s="33" r="B52"/>
      <c s="46" r="C52"/>
      <c s="46" r="D52"/>
      <c s="46" r="E52"/>
      <c s="46" r="F52"/>
      <c s="42" r="G52"/>
      <c s="48" r="H52"/>
    </row>
    <row r="53">
      <c s="13" r="A53">
        <v>51</v>
      </c>
      <c s="23" r="B53"/>
      <c s="13" r="C53"/>
      <c s="13" r="D53"/>
      <c s="13" r="E53"/>
      <c s="13" r="F53"/>
      <c s="22" r="G53"/>
      <c s="43" r="H53"/>
    </row>
    <row r="54">
      <c s="46" r="A54">
        <v>52</v>
      </c>
      <c s="33" r="B54"/>
      <c s="46" r="C54"/>
      <c s="46" r="D54"/>
      <c s="46" r="E54"/>
      <c s="46" r="F54"/>
      <c s="42" r="G54"/>
      <c s="48" r="H54"/>
    </row>
    <row r="55">
      <c s="13" r="A55">
        <v>53</v>
      </c>
      <c s="23" r="B55"/>
      <c s="13" r="C55"/>
      <c s="13" r="D55"/>
      <c s="13" r="E55"/>
      <c s="13" r="F55"/>
      <c s="22" r="G55"/>
      <c s="43" r="H55"/>
    </row>
    <row r="56">
      <c s="46" r="A56">
        <v>54</v>
      </c>
      <c s="33" r="B56"/>
      <c s="46" r="C56"/>
      <c s="46" r="D56"/>
      <c s="46" r="E56"/>
      <c s="46" r="F56"/>
      <c s="42" r="G56"/>
      <c s="48" r="H56"/>
    </row>
    <row r="57">
      <c s="13" r="A57">
        <v>55</v>
      </c>
      <c s="23" r="B57"/>
      <c s="13" r="C57"/>
      <c s="13" r="D57"/>
      <c s="13" r="E57"/>
      <c s="13" r="F57"/>
      <c s="22" r="G57"/>
      <c s="43" r="H57"/>
    </row>
    <row r="58">
      <c s="31" r="A58">
        <v>56</v>
      </c>
      <c s="36" r="B58"/>
      <c s="31" r="C58"/>
      <c s="31" r="D58"/>
      <c s="31" r="E58"/>
      <c s="31" r="F58"/>
      <c s="2" r="G58"/>
      <c s="6" r="H58"/>
    </row>
    <row r="59">
      <c s="13" r="A59">
        <v>57</v>
      </c>
      <c s="23" r="B59"/>
      <c s="13" r="C59"/>
      <c s="13" r="D59"/>
      <c s="13" r="E59"/>
      <c s="13" r="F59"/>
      <c s="22" r="G59"/>
      <c s="43" r="H59"/>
    </row>
    <row r="60">
      <c s="31" r="A60">
        <v>58</v>
      </c>
      <c s="36" r="B60"/>
      <c s="31" r="C60"/>
      <c s="31" r="D60"/>
      <c s="31" r="E60"/>
      <c s="31" r="F60"/>
      <c s="2" r="G60"/>
      <c s="6" r="H60"/>
    </row>
    <row r="61">
      <c s="13" r="A61">
        <v>59</v>
      </c>
      <c s="23" r="B61"/>
      <c s="13" r="C61"/>
      <c s="13" r="D61"/>
      <c s="13" r="E61"/>
      <c s="13" r="F61"/>
      <c s="22" r="G61"/>
      <c s="43" r="H61"/>
    </row>
    <row r="62">
      <c s="31" r="A62">
        <v>60</v>
      </c>
      <c s="36" r="B62"/>
      <c s="31" r="C62"/>
      <c s="31" r="D62"/>
      <c s="31" r="E62"/>
      <c s="31" r="F62"/>
      <c s="2" r="G62"/>
      <c s="6" r="H62"/>
    </row>
    <row r="63">
      <c s="13" r="A63">
        <v>61</v>
      </c>
      <c s="23" r="B63"/>
      <c s="13" r="C63"/>
      <c s="13" r="D63"/>
      <c s="13" r="E63"/>
      <c s="13" r="F63"/>
      <c s="22" r="G63"/>
      <c s="43" r="H63"/>
    </row>
    <row r="64">
      <c s="31" r="A64">
        <v>62</v>
      </c>
      <c s="36" r="B64"/>
      <c s="31" r="C64"/>
      <c s="31" r="D64"/>
      <c s="31" r="E64"/>
      <c s="31" r="F64"/>
      <c s="2" r="G64"/>
      <c s="6" r="H64"/>
    </row>
    <row r="65">
      <c s="13" r="A65">
        <v>63</v>
      </c>
      <c s="23" r="B65"/>
      <c s="13" r="C65"/>
      <c s="13" r="D65"/>
      <c s="13" r="E65"/>
      <c s="13" r="F65"/>
      <c s="22" r="G65"/>
      <c s="43" r="H65"/>
    </row>
    <row r="66">
      <c s="31" r="A66">
        <v>64</v>
      </c>
      <c s="36" r="B66"/>
      <c s="31" r="C66"/>
      <c s="31" r="D66"/>
      <c s="31" r="E66"/>
      <c s="31" r="F66"/>
      <c s="2" r="G66"/>
      <c s="6" r="H66"/>
    </row>
    <row r="67">
      <c s="13" r="A67">
        <v>65</v>
      </c>
      <c s="23" r="B67"/>
      <c s="13" r="C67"/>
      <c s="13" r="D67"/>
      <c s="13" r="E67"/>
      <c s="13" r="F67"/>
      <c s="22" r="G67"/>
      <c s="43" r="H67"/>
    </row>
    <row r="68">
      <c s="31" r="A68">
        <v>66</v>
      </c>
      <c s="36" r="B68"/>
      <c s="31" r="C68"/>
      <c s="31" r="D68"/>
      <c s="31" r="E68"/>
      <c s="31" r="F68"/>
      <c s="2" r="G68"/>
      <c s="6" r="H68"/>
    </row>
    <row r="69">
      <c s="13" r="A69">
        <v>67</v>
      </c>
      <c s="23" r="B69"/>
      <c s="13" r="C69"/>
      <c s="13" r="D69"/>
      <c s="13" r="E69"/>
      <c s="13" r="F69"/>
      <c s="22" r="G69"/>
      <c s="43" r="H69"/>
    </row>
    <row r="70">
      <c s="31" r="A70">
        <v>68</v>
      </c>
      <c s="36" r="B70"/>
      <c s="31" r="C70"/>
      <c s="31" r="D70"/>
      <c s="31" r="E70"/>
      <c s="31" r="F70"/>
      <c s="2" r="G70"/>
      <c s="6" r="H70"/>
    </row>
    <row r="71">
      <c s="13" r="A71">
        <v>69</v>
      </c>
      <c s="23" r="B71"/>
      <c s="13" r="C71"/>
      <c s="13" r="D71"/>
      <c s="13" r="E71"/>
      <c s="13" r="F71"/>
      <c s="22" r="G71"/>
      <c s="43" r="H71"/>
    </row>
    <row r="72">
      <c s="31" r="A72">
        <v>70</v>
      </c>
      <c s="36" r="B72"/>
      <c s="31" r="C72"/>
      <c s="31" r="D72"/>
      <c s="31" r="E72"/>
      <c s="31" r="F72"/>
      <c s="2" r="G72"/>
      <c s="6" r="H72"/>
    </row>
    <row r="73">
      <c s="13" r="A73">
        <v>71</v>
      </c>
      <c s="23" r="B73"/>
      <c s="13" r="C73"/>
      <c s="13" r="D73"/>
      <c s="13" r="E73"/>
      <c s="13" r="F73"/>
      <c s="22" r="G73"/>
      <c s="43" r="H73"/>
    </row>
    <row r="74">
      <c s="31" r="A74">
        <v>72</v>
      </c>
      <c s="36" r="B74"/>
      <c s="31" r="C74"/>
      <c s="31" r="D74"/>
      <c s="31" r="E74"/>
      <c s="31" r="F74"/>
      <c s="2" r="G74"/>
      <c s="6" r="H74"/>
    </row>
    <row r="75">
      <c s="13" r="A75">
        <v>73</v>
      </c>
      <c s="23" r="B75"/>
      <c s="13" r="C75"/>
      <c s="13" r="D75"/>
      <c s="13" r="E75"/>
      <c s="13" r="F75"/>
      <c s="22" r="G75"/>
      <c s="43" r="H75"/>
    </row>
    <row r="76">
      <c s="31" r="A76">
        <v>74</v>
      </c>
      <c s="36" r="B76"/>
      <c s="31" r="C76"/>
      <c s="31" r="D76"/>
      <c s="31" r="E76"/>
      <c s="31" r="F76"/>
      <c s="2" r="G76"/>
      <c s="6" r="H76"/>
    </row>
    <row r="77">
      <c s="13" r="A77">
        <v>75</v>
      </c>
      <c s="23" r="B77"/>
      <c s="13" r="C77"/>
      <c s="13" r="D77"/>
      <c s="13" r="E77"/>
      <c s="13" r="F77"/>
      <c s="22" r="G77"/>
      <c s="43" r="H77"/>
    </row>
    <row r="78">
      <c s="31" r="A78">
        <v>76</v>
      </c>
      <c s="36" r="B78"/>
      <c s="31" r="C78"/>
      <c s="31" r="D78"/>
      <c s="31" r="E78"/>
      <c s="31" r="F78"/>
      <c s="2" r="G78"/>
      <c s="6" r="H78"/>
    </row>
    <row r="79">
      <c s="13" r="A79">
        <v>77</v>
      </c>
      <c s="23" r="B79"/>
      <c s="13" r="C79"/>
      <c s="13" r="D79"/>
      <c s="13" r="E79"/>
      <c s="13" r="F79"/>
      <c s="22" r="G79"/>
      <c s="43" r="H79"/>
    </row>
    <row r="80">
      <c s="31" r="A80">
        <v>78</v>
      </c>
      <c s="36" r="B80"/>
      <c s="31" r="C80"/>
      <c s="31" r="D80"/>
      <c s="31" r="E80"/>
      <c s="31" r="F80"/>
      <c s="2" r="G80"/>
      <c s="6" r="H80"/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hyperlink("http://www.baseball-reference.com/players/t/thomeji01.shtml","Thome, Jim")</f>
        <v>Thome, Jim</v>
      </c>
      <c t="s" s="13" r="C3">
        <v>26</v>
      </c>
      <c t="s" s="13" r="D3">
        <v>11</v>
      </c>
      <c t="s" s="13" r="E3">
        <v>27</v>
      </c>
      <c s="18" r="F3">
        <v>40852</v>
      </c>
      <c t="str" s="22" r="G3">
        <f>hyperlink("http://espn.go.com/mlb/story/_/id/7194344/jim-thome-re-signs-philadelphia-phillies-1-year-deal","One-year contract")</f>
        <v>One-year contract</v>
      </c>
      <c s="43" r="H3">
        <v>1250000</v>
      </c>
    </row>
    <row r="4">
      <c s="46" r="A4">
        <v>2</v>
      </c>
      <c t="str" s="44" r="B4">
        <f>hyperlink("http://www.baseball-reference.com/players/p/pascuva01.shtml","Pascucci, Valentino")</f>
        <v>Pascucci, Valentino</v>
      </c>
      <c t="s" s="31" r="C4">
        <v>43</v>
      </c>
      <c t="s" s="9" r="D4">
        <v>38</v>
      </c>
      <c t="s" s="9" r="E4">
        <v>38</v>
      </c>
      <c s="37" r="F4">
        <v>40864</v>
      </c>
      <c t="s" s="1" r="G4">
        <v>16</v>
      </c>
      <c t="s" s="6" r="H4">
        <v>12</v>
      </c>
    </row>
    <row r="5">
      <c s="13" r="A5">
        <v>3</v>
      </c>
      <c t="str" s="23" r="B5">
        <f>hyperlink("http://www.baseball-reference.com/players/e/evansni01.shtml","Evans, Nick")</f>
        <v>Evans, Nick</v>
      </c>
      <c t="s" s="13" r="C5">
        <v>43</v>
      </c>
      <c t="s" s="13" r="D5">
        <v>38</v>
      </c>
      <c t="s" s="13" r="E5">
        <v>15</v>
      </c>
      <c s="18" r="F5">
        <v>40877</v>
      </c>
      <c t="s" s="1" r="G5">
        <v>16</v>
      </c>
      <c t="s" s="43" r="H5">
        <v>12</v>
      </c>
    </row>
    <row r="6">
      <c s="46" r="A6">
        <v>4</v>
      </c>
      <c t="str" s="36" r="B6">
        <f>hyperlink("http://www.baseball-reference.com/players/m/miranju01.shtml","Miranda, Juan")</f>
        <v>Miranda, Juan</v>
      </c>
      <c t="s" s="31" r="C6">
        <v>43</v>
      </c>
      <c t="s" s="31" r="D6">
        <v>18</v>
      </c>
      <c t="s" s="31" r="E6">
        <v>48</v>
      </c>
      <c s="37" r="F6">
        <v>40883</v>
      </c>
      <c t="s" s="1" r="G6">
        <v>16</v>
      </c>
      <c t="s" s="6" r="H6">
        <v>12</v>
      </c>
    </row>
    <row r="7">
      <c s="13" r="A7">
        <v>5</v>
      </c>
      <c t="str" s="23" r="B7">
        <f>hyperlink("http://www.baseball-reference.com/players/o/ortizda01.shtml","Ortiz, David")</f>
        <v>Ortiz, David</v>
      </c>
      <c t="s" s="13" r="C7">
        <v>26</v>
      </c>
      <c t="s" s="9" r="D7">
        <v>41</v>
      </c>
      <c t="s" s="9" r="E7">
        <v>41</v>
      </c>
      <c s="18" r="F7">
        <v>40884</v>
      </c>
      <c t="s" s="12" r="G7">
        <v>50</v>
      </c>
      <c t="s" s="43" r="H7">
        <v>12</v>
      </c>
    </row>
    <row r="8">
      <c s="46" r="A8">
        <v>6</v>
      </c>
      <c t="str" s="36" r="B8">
        <f>hyperlink("http://www.baseball-reference.com/players/p/pujolal01.shtml","Pujols, Albert")</f>
        <v>Pujols, Albert</v>
      </c>
      <c t="s" s="31" r="C8">
        <v>43</v>
      </c>
      <c t="s" s="31" r="D8">
        <v>46</v>
      </c>
      <c t="s" s="31" r="E8">
        <v>47</v>
      </c>
      <c s="37" r="F8">
        <v>40885</v>
      </c>
      <c t="str" s="2" r="G8">
        <f>hyperlink("http://espn.go.com/los-angeles/mlb/story/_/id/7330066/sources-albert-pujols-cj-wilson-agreed-angels","Ten-year contract")</f>
        <v>Ten-year contract</v>
      </c>
      <c s="6" r="H8">
        <v>254000000</v>
      </c>
    </row>
    <row r="9">
      <c s="13" r="A9">
        <v>7</v>
      </c>
      <c t="str" s="23" r="B9">
        <f>hyperlink("http://www.baseball-reference.com/players/o/overbly01.shtml","Overbay, Lyle")</f>
        <v>Overbay, Lyle</v>
      </c>
      <c t="s" s="13" r="C9">
        <v>43</v>
      </c>
      <c t="s" s="9" r="D9">
        <v>18</v>
      </c>
      <c t="s" s="9" r="E9">
        <v>18</v>
      </c>
      <c s="18" r="F9">
        <v>40886</v>
      </c>
      <c t="str" s="22" r="G9">
        <f>hyperlink("http://mlb.mlb.com/news/article.jsp?ymd=20111209&amp;content_id=26138094&amp;vkey=news_ari&amp;c_id=ari&amp;partnerId=rss_ari","One-year contract")</f>
        <v>One-year contract</v>
      </c>
      <c s="43" r="H9">
        <v>1000000</v>
      </c>
    </row>
    <row r="10">
      <c s="46" r="A10">
        <v>8</v>
      </c>
      <c t="str" s="36" r="B10">
        <f>hyperlink("http://www.baseball-reference.com/players/i/ishiktr01.shtml","Ishikawa, Travis")</f>
        <v>Ishikawa, Travis</v>
      </c>
      <c t="s" s="31" r="C10">
        <v>43</v>
      </c>
      <c t="s" s="31" r="D10">
        <v>29</v>
      </c>
      <c t="s" s="31" r="E10">
        <v>34</v>
      </c>
      <c s="37" r="F10">
        <v>40889</v>
      </c>
      <c t="s" s="1" r="G10">
        <v>16</v>
      </c>
      <c t="s" s="6" r="H10">
        <v>12</v>
      </c>
    </row>
    <row r="11">
      <c s="13" r="A11">
        <v>9</v>
      </c>
      <c t="str" s="45" r="B11">
        <f>hyperlink("http://www.baseball-reference.com/players/c/clemeje01.shtml","Clement, Jeff")</f>
        <v>Clement, Jeff</v>
      </c>
      <c t="s" s="13" r="C11">
        <v>43</v>
      </c>
      <c t="s" s="9" r="D11">
        <v>15</v>
      </c>
      <c t="s" s="9" r="E11">
        <v>15</v>
      </c>
      <c s="18" r="F11">
        <v>40897</v>
      </c>
      <c t="s" s="1" r="G11">
        <v>16</v>
      </c>
      <c t="s" s="43" r="H11">
        <v>12</v>
      </c>
    </row>
    <row r="12">
      <c s="46" r="A12">
        <v>10</v>
      </c>
      <c t="str" s="17" r="B12">
        <f>hyperlink("http://www.baseball-reference.com/players/p/pearcst01.shtml","Pearce, Steve")</f>
        <v>Pearce, Steve</v>
      </c>
      <c t="s" s="31" r="C12">
        <v>32</v>
      </c>
      <c t="s" s="31" r="D12">
        <v>15</v>
      </c>
      <c t="s" s="31" r="E12">
        <v>37</v>
      </c>
      <c s="37" r="F12">
        <v>40911</v>
      </c>
      <c t="s" s="1" r="G12">
        <v>16</v>
      </c>
      <c t="s" s="6" r="H12">
        <v>12</v>
      </c>
    </row>
    <row r="13">
      <c s="13" r="A13">
        <v>11</v>
      </c>
      <c t="str" s="45" r="B13">
        <f>hyperlink("http://www.baseball-reference.com/players/s/snydebr03.shtml","Snyder, Brandon")</f>
        <v>Snyder, Brandon</v>
      </c>
      <c t="s" s="13" r="C13">
        <v>43</v>
      </c>
      <c t="s" s="13" r="D13">
        <v>33</v>
      </c>
      <c t="s" s="13" r="E13">
        <v>14</v>
      </c>
      <c s="18" r="F13">
        <v>40911</v>
      </c>
      <c t="str" s="30" r="G13">
        <f>hyperlink("http://mlb.mlb.com/news/article.jsp?ymd=20120103&amp;content_id=26255870&amp;notebook_id=26255874&amp;vkey=notebook_tex&amp;c_id=tex","Traded for cash")</f>
        <v>Traded for cash</v>
      </c>
      <c t="s" s="43" r="H13">
        <v>12</v>
      </c>
    </row>
    <row r="14">
      <c s="46" r="A14">
        <v>12</v>
      </c>
      <c t="str" s="44" r="B14">
        <f>hyperlink("http://www.baseball-reference.com/players/r/rizzoan01.shtml","Rizzo, Anthony")</f>
        <v>Rizzo, Anthony</v>
      </c>
      <c t="s" s="31" r="C14">
        <v>43</v>
      </c>
      <c t="s" s="31" r="D14">
        <v>42</v>
      </c>
      <c t="s" s="31" r="E14">
        <v>35</v>
      </c>
      <c s="37" r="F14">
        <v>40914</v>
      </c>
      <c t="str" s="30" r="G14">
        <f>hyperlink("http://espn.go.com/chicago/mlb/story/_/id/7432801/chicago-cubs-acquire-1b-anthony-rizzo-san-diego-padres-andrew-cashner","Traded w minor leaguer for Cashner &amp; minor leaguer")</f>
        <v>Traded w minor leaguer for Cashner &amp; minor leaguer</v>
      </c>
      <c t="s" s="6" r="H14">
        <v>12</v>
      </c>
    </row>
    <row r="15">
      <c s="13" r="A15">
        <v>13</v>
      </c>
      <c t="str" s="45" r="B15">
        <f>hyperlink("http://www.baseball-reference.com/players/n/nelsobr02.shtml","Nelson, Brad")</f>
        <v>Nelson, Brad</v>
      </c>
      <c t="s" s="13" r="C15">
        <v>43</v>
      </c>
      <c t="s" s="9" r="D15">
        <v>14</v>
      </c>
      <c t="s" s="9" r="E15">
        <v>14</v>
      </c>
      <c s="18" r="F15">
        <v>40918</v>
      </c>
      <c t="s" s="1" r="G15">
        <v>16</v>
      </c>
      <c t="s" s="43" r="H15">
        <v>12</v>
      </c>
    </row>
    <row r="16">
      <c s="46" r="A16">
        <v>14</v>
      </c>
      <c t="str" s="33" r="B16">
        <f>hyperlink("http://www.baseball-reference.com/players/h/hawpebr01.shtml","Hawpe, Brad")</f>
        <v>Hawpe, Brad</v>
      </c>
      <c t="s" s="31" r="C16">
        <v>43</v>
      </c>
      <c t="s" s="31" r="D16">
        <v>42</v>
      </c>
      <c t="s" s="31" r="E16">
        <v>14</v>
      </c>
      <c s="37" r="F16">
        <v>40928</v>
      </c>
      <c t="s" s="1" r="G16">
        <v>16</v>
      </c>
      <c t="s" s="6" r="H16">
        <v>12</v>
      </c>
    </row>
    <row r="17">
      <c s="13" r="A17">
        <v>15</v>
      </c>
      <c t="str" s="23" r="B17">
        <f>hyperlink("http://www.baseball-reference.com/players/p/penaca01.shtml","Pena, Carlos")</f>
        <v>Pena, Carlos</v>
      </c>
      <c t="s" s="13" r="C17">
        <v>43</v>
      </c>
      <c t="s" s="13" r="D17">
        <v>35</v>
      </c>
      <c t="s" s="13" r="E17">
        <v>48</v>
      </c>
      <c s="18" r="F17">
        <v>40932</v>
      </c>
      <c t="str" s="22" r="G17">
        <f>hyperlink("http://espn.go.com/mlb/story/_/id/7483618/tampa-bay-rays-carlos-pena-agree-one-year-deal","One-year contract")</f>
        <v>One-year contract</v>
      </c>
      <c s="43" r="H17">
        <v>7250000</v>
      </c>
    </row>
    <row r="18">
      <c s="46" r="A18">
        <v>16</v>
      </c>
      <c t="str" s="33" r="B18">
        <f>hyperlink("http://www.baseball-reference.com/players/f/fieldpr01.shtml","Fielder, Prince")</f>
        <v>Fielder, Prince</v>
      </c>
      <c t="s" s="31" r="C18">
        <v>43</v>
      </c>
      <c t="s" s="31" r="D18">
        <v>34</v>
      </c>
      <c t="s" s="31" r="E18">
        <v>30</v>
      </c>
      <c s="37" r="F18">
        <v>40934</v>
      </c>
      <c t="str" s="42" r="G18">
        <f>hyperlink("http://espn.go.com/mlb/story/_/id/7498284/source-detroit-tigers-land-prince-fielder-nine-year-214-million-deal","Nine-year contract")</f>
        <v>Nine-year contract</v>
      </c>
      <c s="6" r="H18">
        <v>214000000</v>
      </c>
    </row>
    <row r="19">
      <c s="13" r="A19">
        <v>17</v>
      </c>
      <c t="str" s="23" r="B19">
        <f>hyperlink("http://www.baseball-reference.com/players/c/canzlru01.shtml","Canzler, Russ")</f>
        <v>Canzler, Russ</v>
      </c>
      <c t="s" s="13" r="C19">
        <v>32</v>
      </c>
      <c t="s" s="13" r="D19">
        <v>48</v>
      </c>
      <c t="s" s="13" r="E19">
        <v>11</v>
      </c>
      <c s="18" r="F19">
        <v>40939</v>
      </c>
      <c t="str" s="22" r="G19">
        <f>hyperlink("http://espn.go.com/mlb/story/_/id/7522833/cleveland-indians-get-international-league-mvp-russ-canzler-tampa-bay-rays","Traded for cash")</f>
        <v>Traded for cash</v>
      </c>
      <c t="s" s="43" r="H19">
        <v>12</v>
      </c>
    </row>
    <row r="20">
      <c s="46" r="A20">
        <v>18</v>
      </c>
      <c t="str" s="33" r="B20">
        <f>hyperlink("http://www.baseball-reference.com/players/j/johnsda06.shtml","Johnson, Dan")</f>
        <v>Johnson, Dan</v>
      </c>
      <c t="s" s="31" r="C20">
        <v>43</v>
      </c>
      <c t="s" s="31" r="D20">
        <v>48</v>
      </c>
      <c t="s" s="31" r="E20">
        <v>54</v>
      </c>
      <c s="37" r="F20">
        <v>40942</v>
      </c>
      <c t="s" s="1" r="G20">
        <v>16</v>
      </c>
      <c t="s" s="6" r="H20">
        <v>12</v>
      </c>
    </row>
    <row r="21">
      <c s="13" r="A21">
        <v>19</v>
      </c>
      <c t="str" s="23" r="B21">
        <f>hyperlink("http://www.baseball-reference.com/players/k/kotchca01.shtml","Kotchman, Casey")</f>
        <v>Kotchman, Casey</v>
      </c>
      <c t="s" s="13" r="C21">
        <v>43</v>
      </c>
      <c t="s" s="13" r="D21">
        <v>48</v>
      </c>
      <c t="s" s="13" r="E21">
        <v>11</v>
      </c>
      <c s="18" r="F21">
        <v>40942</v>
      </c>
      <c t="str" s="22" r="G21">
        <f>hyperlink("http://espn.go.com/mlb/story/_/id/7534750/casey-kotchman-cleveland-indians-agree-one-year-deal","One-year contract")</f>
        <v>One-year contract</v>
      </c>
      <c s="43" r="H21">
        <v>3000000</v>
      </c>
    </row>
    <row r="22">
      <c s="46" r="A22">
        <v>20</v>
      </c>
      <c t="str" s="33" r="B22">
        <f>hyperlink("http://www.baseball-reference.com/players/b/branyru01.shtml","Branyan, Russell")</f>
        <v>Branyan, Russell</v>
      </c>
      <c t="s" s="31" r="C22">
        <v>43</v>
      </c>
      <c t="s" s="31" r="D22">
        <v>47</v>
      </c>
      <c t="s" s="31" r="E22">
        <v>45</v>
      </c>
      <c s="37" r="F22">
        <v>40947</v>
      </c>
      <c t="s" s="1" r="G22">
        <v>16</v>
      </c>
      <c t="s" s="6" r="H22">
        <v>12</v>
      </c>
    </row>
    <row r="23">
      <c s="13" r="A23">
        <v>21</v>
      </c>
      <c s="23" r="B23"/>
      <c s="13" r="C23"/>
      <c s="13" r="D23"/>
      <c s="13" r="E23"/>
      <c s="13" r="F23"/>
      <c s="22" r="G23"/>
      <c s="43" r="H23"/>
    </row>
    <row r="24">
      <c s="46" r="A24">
        <v>22</v>
      </c>
      <c s="36" r="B24"/>
      <c s="31" r="C24"/>
      <c s="31" r="D24"/>
      <c s="31" r="E24"/>
      <c s="31" r="F24"/>
      <c s="2" r="G24"/>
      <c s="6" r="H24"/>
    </row>
    <row r="25">
      <c s="13" r="A25">
        <v>23</v>
      </c>
      <c s="23" r="B25"/>
      <c s="13" r="C25"/>
      <c s="13" r="D25"/>
      <c s="13" r="E25"/>
      <c s="13" r="F25"/>
      <c s="22" r="G25"/>
      <c s="43" r="H25"/>
    </row>
    <row r="26">
      <c s="46" r="A26">
        <v>24</v>
      </c>
      <c s="36" r="B26"/>
      <c s="31" r="C26"/>
      <c s="31" r="D26"/>
      <c s="31" r="E26"/>
      <c s="31" r="F26"/>
      <c s="2" r="G26"/>
      <c s="6" r="H26"/>
    </row>
    <row r="27">
      <c s="13" r="A27">
        <v>25</v>
      </c>
      <c s="23" r="B27"/>
      <c s="13" r="C27"/>
      <c s="13" r="D27"/>
      <c s="13" r="E27"/>
      <c s="13" r="F27"/>
      <c s="22" r="G27"/>
      <c s="43" r="H27"/>
    </row>
    <row r="28">
      <c s="46" r="A28">
        <v>26</v>
      </c>
      <c s="36" r="B28"/>
      <c s="31" r="C28"/>
      <c s="31" r="D28"/>
      <c s="31" r="E28"/>
      <c s="31" r="F28"/>
      <c s="2" r="G28"/>
      <c s="6" r="H28"/>
    </row>
    <row r="29">
      <c s="13" r="A29">
        <v>27</v>
      </c>
      <c s="23" r="B29"/>
      <c s="13" r="C29"/>
      <c s="13" r="D29"/>
      <c s="13" r="E29"/>
      <c s="13" r="F29"/>
      <c s="22" r="G29"/>
      <c s="43" r="H29"/>
    </row>
    <row r="30">
      <c s="46" r="A30">
        <v>28</v>
      </c>
      <c s="33" r="B30"/>
      <c s="46" r="C30"/>
      <c s="46" r="D30"/>
      <c s="46" r="E30"/>
      <c s="46" r="F30"/>
      <c s="42" r="G30"/>
      <c s="48" r="H30"/>
    </row>
    <row r="31">
      <c s="13" r="A31">
        <v>29</v>
      </c>
      <c s="23" r="B31"/>
      <c s="13" r="C31"/>
      <c s="13" r="D31"/>
      <c s="13" r="E31"/>
      <c s="13" r="F31"/>
      <c s="22" r="G31"/>
      <c s="43" r="H31"/>
    </row>
    <row r="32">
      <c s="46" r="A32">
        <v>30</v>
      </c>
      <c s="33" r="B32"/>
      <c s="46" r="C32"/>
      <c s="46" r="D32"/>
      <c s="46" r="E32"/>
      <c s="46" r="F32"/>
      <c s="42" r="G32"/>
      <c s="48" r="H32"/>
    </row>
    <row r="33">
      <c s="13" r="A33">
        <v>31</v>
      </c>
      <c s="23" r="B33"/>
      <c s="13" r="C33"/>
      <c s="13" r="D33"/>
      <c s="13" r="E33"/>
      <c s="13" r="F33"/>
      <c s="22" r="G33"/>
      <c s="43" r="H33"/>
    </row>
    <row r="34">
      <c s="46" r="A34">
        <v>32</v>
      </c>
      <c s="33" r="B34"/>
      <c s="46" r="C34"/>
      <c s="46" r="D34"/>
      <c s="46" r="E34"/>
      <c s="46" r="F34"/>
      <c s="42" r="G34"/>
      <c s="48" r="H34"/>
    </row>
    <row r="35">
      <c s="13" r="A35">
        <v>33</v>
      </c>
      <c s="23" r="B35"/>
      <c s="13" r="C35"/>
      <c s="13" r="D35"/>
      <c s="13" r="E35"/>
      <c s="13" r="F35"/>
      <c s="22" r="G35"/>
      <c s="43" r="H35"/>
    </row>
    <row r="36">
      <c s="46" r="A36">
        <v>34</v>
      </c>
      <c s="33" r="B36"/>
      <c s="46" r="C36"/>
      <c s="46" r="D36"/>
      <c s="46" r="E36"/>
      <c s="46" r="F36"/>
      <c s="42" r="G36"/>
      <c s="48" r="H36"/>
    </row>
    <row r="37">
      <c s="13" r="A37">
        <v>35</v>
      </c>
      <c s="23" r="B37"/>
      <c s="13" r="C37"/>
      <c s="13" r="D37"/>
      <c s="13" r="E37"/>
      <c s="13" r="F37"/>
      <c s="22" r="G37"/>
      <c s="43" r="H37"/>
    </row>
    <row r="38">
      <c s="46" r="A38">
        <v>36</v>
      </c>
      <c s="33" r="B38"/>
      <c s="46" r="C38"/>
      <c s="46" r="D38"/>
      <c s="46" r="E38"/>
      <c s="46" r="F38"/>
      <c s="42" r="G38"/>
      <c s="48" r="H38"/>
    </row>
    <row r="39">
      <c s="13" r="A39">
        <v>37</v>
      </c>
      <c s="23" r="B39"/>
      <c s="13" r="C39"/>
      <c s="13" r="D39"/>
      <c s="13" r="E39"/>
      <c s="13" r="F39"/>
      <c s="22" r="G39"/>
      <c s="43" r="H39"/>
    </row>
    <row r="40">
      <c s="46" r="A40">
        <v>38</v>
      </c>
      <c s="33" r="B40"/>
      <c s="46" r="C40"/>
      <c s="46" r="D40"/>
      <c s="46" r="E40"/>
      <c s="46" r="F40"/>
      <c s="42" r="G40"/>
      <c s="48" r="H40"/>
    </row>
    <row r="41">
      <c s="13" r="A41">
        <v>39</v>
      </c>
      <c s="23" r="B41"/>
      <c s="13" r="C41"/>
      <c s="13" r="D41"/>
      <c s="13" r="E41"/>
      <c s="13" r="F41"/>
      <c s="22" r="G41"/>
      <c s="43" r="H41"/>
    </row>
    <row r="42">
      <c s="46" r="A42">
        <v>40</v>
      </c>
      <c s="33" r="B42"/>
      <c s="46" r="C42"/>
      <c s="46" r="D42"/>
      <c s="46" r="E42"/>
      <c s="46" r="F42"/>
      <c s="42" r="G42"/>
      <c s="48" r="H42"/>
    </row>
    <row r="43">
      <c s="13" r="A43">
        <v>41</v>
      </c>
      <c s="23" r="B43"/>
      <c s="13" r="C43"/>
      <c s="13" r="D43"/>
      <c s="13" r="E43"/>
      <c s="13" r="F43"/>
      <c s="22" r="G43"/>
      <c s="43" r="H43"/>
    </row>
    <row r="44">
      <c s="46" r="A44">
        <v>42</v>
      </c>
      <c s="33" r="B44"/>
      <c s="46" r="C44"/>
      <c s="46" r="D44"/>
      <c s="46" r="E44"/>
      <c s="46" r="F44"/>
      <c s="42" r="G44"/>
      <c s="48" r="H44"/>
    </row>
    <row r="45">
      <c s="13" r="A45">
        <v>43</v>
      </c>
      <c s="23" r="B45"/>
      <c s="13" r="C45"/>
      <c s="13" r="D45"/>
      <c s="13" r="E45"/>
      <c s="13" r="F45"/>
      <c s="22" r="G45"/>
      <c s="43" r="H45"/>
    </row>
    <row r="46">
      <c s="46" r="A46">
        <v>44</v>
      </c>
      <c s="36" r="B46"/>
      <c s="31" r="C46"/>
      <c s="31" r="D46"/>
      <c s="31" r="E46"/>
      <c s="31" r="F46"/>
      <c s="2" r="G46"/>
      <c s="6" r="H46"/>
    </row>
    <row r="47">
      <c s="13" r="A47">
        <v>45</v>
      </c>
      <c s="23" r="B47"/>
      <c s="13" r="C47"/>
      <c s="13" r="D47"/>
      <c s="13" r="E47"/>
      <c s="13" r="F47"/>
      <c s="22" r="G47"/>
      <c s="43" r="H47"/>
    </row>
    <row r="48">
      <c s="46" r="A48">
        <v>46</v>
      </c>
      <c s="36" r="B48"/>
      <c s="31" r="C48"/>
      <c s="31" r="D48"/>
      <c s="31" r="E48"/>
      <c s="31" r="F48"/>
      <c s="2" r="G48"/>
      <c s="6" r="H48"/>
    </row>
    <row r="49">
      <c s="13" r="A49">
        <v>47</v>
      </c>
      <c s="23" r="B49"/>
      <c s="13" r="C49"/>
      <c s="13" r="D49"/>
      <c s="13" r="E49"/>
      <c s="13" r="F49"/>
      <c s="22" r="G49"/>
      <c s="43" r="H49"/>
    </row>
    <row r="50">
      <c s="46" r="A50">
        <v>48</v>
      </c>
      <c s="33" r="B50"/>
      <c s="46" r="C50"/>
      <c s="46" r="D50"/>
      <c s="46" r="E50"/>
      <c s="46" r="F50"/>
      <c s="42" r="G50"/>
      <c s="48" r="H50"/>
    </row>
    <row r="51">
      <c s="13" r="A51">
        <v>49</v>
      </c>
      <c s="23" r="B51"/>
      <c s="13" r="C51"/>
      <c s="13" r="D51"/>
      <c s="13" r="E51"/>
      <c s="13" r="F51"/>
      <c s="22" r="G51"/>
      <c s="43" r="H51"/>
    </row>
    <row r="52">
      <c s="46" r="A52">
        <v>50</v>
      </c>
      <c s="33" r="B52"/>
      <c s="46" r="C52"/>
      <c s="46" r="D52"/>
      <c s="46" r="E52"/>
      <c s="46" r="F52"/>
      <c s="42" r="G52"/>
      <c s="48" r="H52"/>
    </row>
    <row r="53">
      <c s="13" r="A53">
        <v>51</v>
      </c>
      <c s="23" r="B53"/>
      <c s="13" r="C53"/>
      <c s="13" r="D53"/>
      <c s="13" r="E53"/>
      <c s="13" r="F53"/>
      <c s="22" r="G53"/>
      <c s="43" r="H53"/>
    </row>
    <row r="54">
      <c s="46" r="A54">
        <v>52</v>
      </c>
      <c s="33" r="B54"/>
      <c s="46" r="C54"/>
      <c s="46" r="D54"/>
      <c s="46" r="E54"/>
      <c s="46" r="F54"/>
      <c s="42" r="G54"/>
      <c s="48" r="H54"/>
    </row>
    <row r="55">
      <c s="13" r="A55">
        <v>53</v>
      </c>
      <c s="23" r="B55"/>
      <c s="13" r="C55"/>
      <c s="13" r="D55"/>
      <c s="13" r="E55"/>
      <c s="13" r="F55"/>
      <c s="22" r="G55"/>
      <c s="43" r="H55"/>
    </row>
    <row r="56">
      <c s="46" r="A56">
        <v>54</v>
      </c>
      <c s="33" r="B56"/>
      <c s="46" r="C56"/>
      <c s="46" r="D56"/>
      <c s="46" r="E56"/>
      <c s="46" r="F56"/>
      <c s="42" r="G56"/>
      <c s="48" r="H56"/>
    </row>
    <row r="57">
      <c s="13" r="A57">
        <v>55</v>
      </c>
      <c s="23" r="B57"/>
      <c s="13" r="C57"/>
      <c s="13" r="D57"/>
      <c s="13" r="E57"/>
      <c s="13" r="F57"/>
      <c s="22" r="G57"/>
      <c s="43" r="H57"/>
    </row>
    <row r="58">
      <c s="31" r="A58">
        <v>56</v>
      </c>
      <c s="36" r="B58"/>
      <c s="31" r="C58"/>
      <c s="31" r="D58"/>
      <c s="31" r="E58"/>
      <c s="31" r="F58"/>
      <c s="2" r="G58"/>
      <c s="6" r="H58"/>
    </row>
    <row r="59">
      <c s="13" r="A59">
        <v>57</v>
      </c>
      <c s="23" r="B59"/>
      <c s="13" r="C59"/>
      <c s="13" r="D59"/>
      <c s="13" r="E59"/>
      <c s="13" r="F59"/>
      <c s="22" r="G59"/>
      <c s="43" r="H59"/>
    </row>
    <row r="60">
      <c s="31" r="A60">
        <v>58</v>
      </c>
      <c s="36" r="B60"/>
      <c s="31" r="C60"/>
      <c s="31" r="D60"/>
      <c s="31" r="E60"/>
      <c s="31" r="F60"/>
      <c s="2" r="G60"/>
      <c s="6" r="H60"/>
    </row>
    <row r="61">
      <c s="13" r="A61">
        <v>59</v>
      </c>
      <c s="23" r="B61"/>
      <c s="13" r="C61"/>
      <c s="13" r="D61"/>
      <c s="13" r="E61"/>
      <c s="13" r="F61"/>
      <c s="22" r="G61"/>
      <c s="43" r="H61"/>
    </row>
    <row r="62">
      <c s="31" r="A62">
        <v>60</v>
      </c>
      <c s="36" r="B62"/>
      <c s="31" r="C62"/>
      <c s="31" r="D62"/>
      <c s="31" r="E62"/>
      <c s="31" r="F62"/>
      <c s="2" r="G62"/>
      <c s="6" r="H62"/>
    </row>
    <row r="63">
      <c s="13" r="A63">
        <v>61</v>
      </c>
      <c s="23" r="B63"/>
      <c s="13" r="C63"/>
      <c s="13" r="D63"/>
      <c s="13" r="E63"/>
      <c s="13" r="F63"/>
      <c s="22" r="G63"/>
      <c s="43" r="H63"/>
    </row>
    <row r="64">
      <c s="31" r="A64">
        <v>62</v>
      </c>
      <c s="36" r="B64"/>
      <c s="31" r="C64"/>
      <c s="31" r="D64"/>
      <c s="31" r="E64"/>
      <c s="31" r="F64"/>
      <c s="2" r="G64"/>
      <c s="6" r="H64"/>
    </row>
    <row r="65">
      <c s="13" r="A65">
        <v>63</v>
      </c>
      <c s="23" r="B65"/>
      <c s="13" r="C65"/>
      <c s="13" r="D65"/>
      <c s="13" r="E65"/>
      <c s="13" r="F65"/>
      <c s="22" r="G65"/>
      <c s="43" r="H65"/>
    </row>
    <row r="66">
      <c s="31" r="A66">
        <v>64</v>
      </c>
      <c s="36" r="B66"/>
      <c s="31" r="C66"/>
      <c s="31" r="D66"/>
      <c s="31" r="E66"/>
      <c s="31" r="F66"/>
      <c s="2" r="G66"/>
      <c s="6" r="H66"/>
    </row>
    <row r="67">
      <c s="13" r="A67">
        <v>65</v>
      </c>
      <c s="23" r="B67"/>
      <c s="13" r="C67"/>
      <c s="13" r="D67"/>
      <c s="13" r="E67"/>
      <c s="13" r="F67"/>
      <c s="22" r="G67"/>
      <c s="43" r="H67"/>
    </row>
    <row r="68">
      <c s="31" r="A68">
        <v>66</v>
      </c>
      <c s="36" r="B68"/>
      <c s="31" r="C68"/>
      <c s="31" r="D68"/>
      <c s="31" r="E68"/>
      <c s="31" r="F68"/>
      <c s="2" r="G68"/>
      <c s="6" r="H68"/>
    </row>
    <row r="69">
      <c s="13" r="A69">
        <v>67</v>
      </c>
      <c s="23" r="B69"/>
      <c s="13" r="C69"/>
      <c s="13" r="D69"/>
      <c s="13" r="E69"/>
      <c s="13" r="F69"/>
      <c s="22" r="G69"/>
      <c s="43" r="H69"/>
    </row>
    <row r="70">
      <c s="31" r="A70">
        <v>68</v>
      </c>
      <c s="36" r="B70"/>
      <c s="31" r="C70"/>
      <c s="31" r="D70"/>
      <c s="31" r="E70"/>
      <c s="31" r="F70"/>
      <c s="2" r="G70"/>
      <c s="6" r="H70"/>
    </row>
    <row r="71">
      <c s="13" r="A71">
        <v>69</v>
      </c>
      <c s="23" r="B71"/>
      <c s="13" r="C71"/>
      <c s="13" r="D71"/>
      <c s="13" r="E71"/>
      <c s="13" r="F71"/>
      <c s="22" r="G71"/>
      <c s="43" r="H71"/>
    </row>
    <row r="72">
      <c s="31" r="A72">
        <v>70</v>
      </c>
      <c s="36" r="B72"/>
      <c s="31" r="C72"/>
      <c s="31" r="D72"/>
      <c s="31" r="E72"/>
      <c s="31" r="F72"/>
      <c s="2" r="G72"/>
      <c s="6" r="H72"/>
    </row>
    <row r="73">
      <c s="13" r="A73">
        <v>71</v>
      </c>
      <c s="23" r="B73"/>
      <c s="13" r="C73"/>
      <c s="13" r="D73"/>
      <c s="13" r="E73"/>
      <c s="13" r="F73"/>
      <c s="22" r="G73"/>
      <c s="43" r="H73"/>
    </row>
    <row r="74">
      <c s="31" r="A74">
        <v>72</v>
      </c>
      <c s="36" r="B74"/>
      <c s="31" r="C74"/>
      <c s="31" r="D74"/>
      <c s="31" r="E74"/>
      <c s="31" r="F74"/>
      <c s="2" r="G74"/>
      <c s="6" r="H74"/>
    </row>
    <row r="75">
      <c s="13" r="A75">
        <v>73</v>
      </c>
      <c s="23" r="B75"/>
      <c s="13" r="C75"/>
      <c s="13" r="D75"/>
      <c s="13" r="E75"/>
      <c s="13" r="F75"/>
      <c s="22" r="G75"/>
      <c s="43" r="H75"/>
    </row>
    <row r="76">
      <c s="31" r="A76">
        <v>74</v>
      </c>
      <c s="36" r="B76"/>
      <c s="31" r="C76"/>
      <c s="31" r="D76"/>
      <c s="31" r="E76"/>
      <c s="31" r="F76"/>
      <c s="2" r="G76"/>
      <c s="6" r="H76"/>
    </row>
    <row r="77">
      <c s="13" r="A77">
        <v>75</v>
      </c>
      <c s="23" r="B77"/>
      <c s="13" r="C77"/>
      <c s="13" r="D77"/>
      <c s="13" r="E77"/>
      <c s="13" r="F77"/>
      <c s="22" r="G77"/>
      <c s="43" r="H77"/>
    </row>
    <row r="78">
      <c s="31" r="A78">
        <v>76</v>
      </c>
      <c s="36" r="B78"/>
      <c s="31" r="C78"/>
      <c s="31" r="D78"/>
      <c s="31" r="E78"/>
      <c s="31" r="F78"/>
      <c s="2" r="G78"/>
      <c s="6" r="H78"/>
    </row>
    <row r="79">
      <c s="13" r="A79">
        <v>77</v>
      </c>
      <c s="23" r="B79"/>
      <c s="13" r="C79"/>
      <c s="13" r="D79"/>
      <c s="13" r="E79"/>
      <c s="13" r="F79"/>
      <c s="22" r="G79"/>
      <c s="43" r="H79"/>
    </row>
    <row r="80">
      <c s="31" r="A80">
        <v>78</v>
      </c>
      <c s="36" r="B80"/>
      <c s="31" r="C80"/>
      <c s="31" r="D80"/>
      <c s="31" r="E80"/>
      <c s="31" r="F80"/>
      <c s="2" r="G80"/>
      <c s="6" r="H80"/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hyperlink("http://www.baseball-reference.com/players/t/thursjo01.shtml","Thurston, Joe")</f>
        <v>Thurston, Joe</v>
      </c>
      <c t="s" s="13" r="C3">
        <v>39</v>
      </c>
      <c t="s" s="13" r="D3">
        <v>40</v>
      </c>
      <c t="s" s="13" r="E3">
        <v>31</v>
      </c>
      <c s="18" r="F3">
        <v>40860</v>
      </c>
      <c t="str" s="1" r="G3">
        <f>hyperlink("http://mlb.mlb.com/news/article.jsp?ymd=20111113&amp;content_id=25966074&amp;vkey=news_hou&amp;c_id=hou","Minor league contract")</f>
        <v>Minor league contract</v>
      </c>
      <c t="s" s="43" r="H3">
        <v>12</v>
      </c>
    </row>
    <row r="4">
      <c s="46" r="A4">
        <v>2</v>
      </c>
      <c t="str" s="44" r="B4">
        <f>hyperlink("http://www.baseball-reference.com/players/h/hillaa01.shtml","Hill, Aaron")</f>
        <v>Hill, Aaron</v>
      </c>
      <c t="s" s="31" r="C4">
        <v>39</v>
      </c>
      <c t="s" s="9" r="D4">
        <v>18</v>
      </c>
      <c t="s" s="9" r="E4">
        <v>18</v>
      </c>
      <c s="37" r="F4">
        <v>40861</v>
      </c>
      <c t="str" s="2" r="G4">
        <f>hyperlink("http://mlb.mlb.com/news/article.jsp?ymd=20111114&amp;content_id=25968620&amp;vkey=news_mlb&amp;c_id=mlb","Two-year contract")</f>
        <v>Two-year contract</v>
      </c>
      <c s="6" r="H4">
        <v>11000000</v>
      </c>
    </row>
    <row r="5">
      <c s="13" r="A5">
        <v>3</v>
      </c>
      <c t="str" s="45" r="B5">
        <f>hyperlink("http://www.baseball-reference.com/players/e/ellisma01.shtml","Ellis, Mark")</f>
        <v>Ellis, Mark</v>
      </c>
      <c t="s" s="13" r="C5">
        <v>39</v>
      </c>
      <c t="s" s="13" r="D5">
        <v>22</v>
      </c>
      <c t="s" s="13" r="E5">
        <v>20</v>
      </c>
      <c s="18" r="F5">
        <v>40862</v>
      </c>
      <c t="str" s="22" r="G5">
        <f>hyperlink("http://espn.go.com/los-angeles/mlb/story/_/id/7238265/los-angeles-dodgers-sign-second-baseman-mark-ellis-two-year-deal","Two-year contract with option")</f>
        <v>Two-year contract with option</v>
      </c>
      <c s="43" r="H5">
        <v>8750000</v>
      </c>
    </row>
    <row r="6">
      <c s="46" r="A6">
        <v>4</v>
      </c>
      <c t="str" s="44" r="B6">
        <f>hyperlink("http://www.baseball-reference.com/players/c/carroja01.shtml","Carroll, Jamey")</f>
        <v>Carroll, Jamey</v>
      </c>
      <c t="s" s="46" r="C6">
        <v>39</v>
      </c>
      <c t="s" s="46" r="D6">
        <v>20</v>
      </c>
      <c t="s" s="46" r="E6">
        <v>37</v>
      </c>
      <c s="32" r="F6">
        <v>40863</v>
      </c>
      <c t="str" s="42" r="G6">
        <f>hyperlink("http://minnesota.twins.mlb.com/news/article.jsp?ymd=20111116&amp;content_id=25983608&amp;vkey=news_min&amp;c_id=min","Two-year contract with option")</f>
        <v>Two-year contract with option</v>
      </c>
      <c s="48" r="H6">
        <v>6750000</v>
      </c>
    </row>
    <row r="7">
      <c s="13" r="A7">
        <v>5</v>
      </c>
      <c t="str" s="23" r="B7">
        <f>hyperlink("http://www.baseball-reference.com/players/v/valbulu01.shtml","Valbuena, Luis")</f>
        <v>Valbuena, Luis</v>
      </c>
      <c t="s" s="13" r="C7">
        <v>32</v>
      </c>
      <c t="s" s="13" r="D7">
        <v>11</v>
      </c>
      <c t="s" s="13" r="E7">
        <v>25</v>
      </c>
      <c s="18" r="F7">
        <v>40873</v>
      </c>
      <c t="str" s="30" r="G7">
        <f>hyperlink("http://toronto.bluejays.mlb.com/news/article.jsp?ymd=20111126&amp;content_id=26043990&amp;vkey=news_tor&amp;c_id=tor","Traded for cash considerations.")</f>
        <v>Traded for cash considerations.</v>
      </c>
      <c t="s" s="43" r="H7">
        <v>12</v>
      </c>
    </row>
    <row r="8">
      <c s="46" r="A8">
        <v>6</v>
      </c>
      <c t="str" s="36" r="B8">
        <f>hyperlink("http://www.baseball-reference.com/players/o/orrpe01.shtml","Orr, Pete")</f>
        <v>Orr, Pete</v>
      </c>
      <c t="s" s="31" r="C8">
        <v>39</v>
      </c>
      <c t="s" s="9" r="D8">
        <v>27</v>
      </c>
      <c t="s" s="9" r="E8">
        <v>27</v>
      </c>
      <c s="37" r="F8">
        <v>40877</v>
      </c>
      <c t="s" s="1" r="G8">
        <v>16</v>
      </c>
      <c t="s" s="6" r="H8">
        <v>12</v>
      </c>
    </row>
    <row r="9">
      <c s="13" r="A9">
        <v>7</v>
      </c>
      <c t="str" s="23" r="B9">
        <f>hyperlink("http://www.baseball-reference.com/players/s/santira01.shtml","Santiago, Ramon")</f>
        <v>Santiago, Ramon</v>
      </c>
      <c t="s" s="13" r="C9">
        <v>39</v>
      </c>
      <c t="s" s="9" r="D9">
        <v>30</v>
      </c>
      <c t="s" s="9" r="E9">
        <v>30</v>
      </c>
      <c s="18" r="F9">
        <v>40877</v>
      </c>
      <c t="str" s="22" r="G9">
        <f>hyperlink("http://mlb.mlb.com/news/article.jsp?ymd=20111130&amp;content_id=26061882&amp;vkey=news_mlb&amp;c_id=mlb","Two-year contract")</f>
        <v>Two-year contract</v>
      </c>
      <c s="43" r="H9">
        <v>4000000</v>
      </c>
    </row>
    <row r="10">
      <c s="46" r="A10">
        <v>8</v>
      </c>
      <c t="str" s="36" r="B10">
        <f>hyperlink("http://www.baseball-reference.com/players/k/kennead01.shtml","Kennedy, Adam")</f>
        <v>Kennedy, Adam</v>
      </c>
      <c t="s" s="31" r="C10">
        <v>39</v>
      </c>
      <c t="s" s="31" r="D10">
        <v>44</v>
      </c>
      <c t="s" s="31" r="E10">
        <v>20</v>
      </c>
      <c s="37" r="F10">
        <v>40877</v>
      </c>
      <c t="str" s="2" r="G10">
        <f>hyperlink("http://espn.go.com/los-angeles/mlb/story/_/id/7303328/los-angeles-dodgers-finalize-1-year-deal-inf-adam-kennedy","One-year contract")</f>
        <v>One-year contract</v>
      </c>
      <c s="6" r="H10">
        <v>800000</v>
      </c>
    </row>
    <row r="11">
      <c s="13" r="A11">
        <v>9</v>
      </c>
      <c t="str" s="23" r="B11">
        <f>hyperlink("http://www.baseball-reference.com/players/j/johnske05.shtml","Johnson, Kelly")</f>
        <v>Johnson, Kelly</v>
      </c>
      <c t="s" s="13" r="C11">
        <v>39</v>
      </c>
      <c t="s" s="9" r="D11">
        <v>25</v>
      </c>
      <c t="s" s="9" r="E11">
        <v>25</v>
      </c>
      <c s="18" r="F11">
        <v>40884</v>
      </c>
      <c t="s" s="12" r="G11">
        <v>50</v>
      </c>
      <c t="s" s="43" r="H11">
        <v>12</v>
      </c>
    </row>
    <row r="12">
      <c s="46" r="A12">
        <v>10</v>
      </c>
      <c t="str" s="36" r="B12">
        <f>hyperlink("http://www.baseball-reference.com/players/l/lemahdj01.shtml","LeMahieu, DJ")</f>
        <v>LeMahieu, DJ</v>
      </c>
      <c t="s" s="31" r="C12">
        <v>32</v>
      </c>
      <c t="s" s="31" r="D12">
        <v>35</v>
      </c>
      <c t="s" s="31" r="E12">
        <v>22</v>
      </c>
      <c s="37" r="F12">
        <v>40885</v>
      </c>
      <c t="str" s="30" r="G12">
        <f>hyperlink("http://espn.go.com/chicago/mlb/story/_/id/7333696/chicago-cubs-trade-tyler-colvin-dj-lemahieu-colorado-rockies-ian-stewart-casey-weathers","Traded w T. Colvin for I. Stewart and C. Weathers")</f>
        <v>Traded w T. Colvin for I. Stewart and C. Weathers</v>
      </c>
      <c t="s" s="6" r="H12">
        <v>12</v>
      </c>
    </row>
    <row r="13">
      <c s="13" r="A13">
        <v>11</v>
      </c>
      <c t="str" s="23" r="B13">
        <f>hyperlink("http://www.baseball-reference.com/players/g/gonzaal03.shtml","Gonzalez, Alberto")</f>
        <v>Gonzalez, Alberto</v>
      </c>
      <c t="s" s="13" r="C13">
        <v>39</v>
      </c>
      <c t="s" s="13" r="D13">
        <v>42</v>
      </c>
      <c t="s" s="13" r="E13">
        <v>14</v>
      </c>
      <c s="18" r="F13">
        <v>40886</v>
      </c>
      <c t="s" s="1" r="G13">
        <v>16</v>
      </c>
      <c t="s" s="43" r="H13">
        <v>12</v>
      </c>
    </row>
    <row r="14">
      <c s="46" r="A14">
        <v>12</v>
      </c>
      <c t="str" s="36" r="B14">
        <f>hyperlink("http://www.baseball-reference.com/players/p/puntoni01.shtml","Punto, Nick")</f>
        <v>Punto, Nick</v>
      </c>
      <c t="s" s="31" r="C14">
        <v>39</v>
      </c>
      <c t="s" s="31" r="D14">
        <v>46</v>
      </c>
      <c t="s" s="31" r="E14">
        <v>41</v>
      </c>
      <c s="37" r="F14">
        <v>40891</v>
      </c>
      <c t="str" s="2" r="G14">
        <f>hyperlink("http://mlb.mlb.com/news/article.jsp?ymd=20111214&amp;content_id=26166940&amp;vkey=news_bos&amp;c_id=bos","Two-year contract")</f>
        <v>Two-year contract</v>
      </c>
      <c s="6" r="H14">
        <v>3000000</v>
      </c>
    </row>
    <row r="15">
      <c s="13" r="A15">
        <v>13</v>
      </c>
      <c t="str" s="45" r="B15">
        <f>hyperlink("http://www.baseball-reference.com/players/h/hernaan01.shtml","Hernandez, Anderson")</f>
        <v>Hernandez, Anderson</v>
      </c>
      <c t="s" s="13" r="C15">
        <v>39</v>
      </c>
      <c t="s" s="13" r="D15">
        <v>31</v>
      </c>
      <c t="s" s="13" r="E15">
        <v>15</v>
      </c>
      <c s="18" r="F15">
        <v>40898</v>
      </c>
      <c t="s" s="1" r="G15">
        <v>16</v>
      </c>
      <c t="s" s="43" r="H15">
        <v>12</v>
      </c>
    </row>
    <row r="16">
      <c s="46" r="A16">
        <v>14</v>
      </c>
      <c t="str" s="17" r="B16">
        <f>hyperlink("http://www.baseball-reference.com/players/l/lunahe01.shtml","Luna, Hector")</f>
        <v>Luna, Hector</v>
      </c>
      <c t="s" s="31" r="C16">
        <v>39</v>
      </c>
      <c t="s" s="31" r="D16">
        <v>41</v>
      </c>
      <c t="s" s="31" r="E16">
        <v>27</v>
      </c>
      <c s="37" r="F16">
        <v>40898</v>
      </c>
      <c t="s" s="1" r="G16">
        <v>16</v>
      </c>
      <c t="s" s="6" r="H16">
        <v>12</v>
      </c>
    </row>
    <row r="17">
      <c s="13" r="A17">
        <v>15</v>
      </c>
      <c t="str" s="45" r="B17">
        <f>hyperlink("http://www.baseball-reference.com/players/r/rhymewi01.shtml","Rhymes, Will")</f>
        <v>Rhymes, Will</v>
      </c>
      <c t="s" s="13" r="C17">
        <v>39</v>
      </c>
      <c t="s" s="13" r="D17">
        <v>30</v>
      </c>
      <c t="s" s="13" r="E17">
        <v>48</v>
      </c>
      <c s="18" r="F17">
        <v>40921</v>
      </c>
      <c t="s" s="1" r="G17">
        <v>16</v>
      </c>
      <c t="s" s="43" r="H17">
        <v>12</v>
      </c>
    </row>
    <row r="18">
      <c s="46" r="A18">
        <v>16</v>
      </c>
      <c t="str" s="17" r="B18">
        <f>hyperlink("http://www.baseball-reference.com/players/a/amezaal01.shtml","Amezaga, Alfredo")</f>
        <v>Amezaga, Alfredo</v>
      </c>
      <c t="s" s="31" r="C18">
        <v>39</v>
      </c>
      <c t="s" s="31" r="D18">
        <v>40</v>
      </c>
      <c t="s" s="31" r="E18">
        <v>35</v>
      </c>
      <c s="37" r="F18">
        <v>40921</v>
      </c>
      <c t="s" s="1" r="G18">
        <v>16</v>
      </c>
      <c t="s" s="6" r="H18">
        <v>12</v>
      </c>
    </row>
    <row r="19">
      <c s="13" r="A19">
        <v>17</v>
      </c>
      <c t="str" s="45" r="B19">
        <f>hyperlink("http://www.baseball-reference.com/players/p/petitgr01.shtml","Petit, Gregorio")</f>
        <v>Petit, Gregorio</v>
      </c>
      <c t="s" s="13" r="C19">
        <v>39</v>
      </c>
      <c t="s" s="13" r="D19">
        <v>42</v>
      </c>
      <c t="s" s="13" r="E19">
        <v>11</v>
      </c>
      <c s="18" r="F19">
        <v>40928</v>
      </c>
      <c t="s" s="1" r="G19">
        <v>16</v>
      </c>
      <c t="s" s="43" r="H19">
        <v>12</v>
      </c>
    </row>
    <row r="20">
      <c s="46" r="A20">
        <v>18</v>
      </c>
      <c t="str" s="36" r="B20">
        <f>hyperlink("http://www.baseball-reference.com/players/k/keppije01.shtml","Keppinger, Jeff")</f>
        <v>Keppinger, Jeff</v>
      </c>
      <c t="s" s="31" r="C20">
        <v>39</v>
      </c>
      <c t="s" s="31" r="D20">
        <v>29</v>
      </c>
      <c t="s" s="31" r="E20">
        <v>48</v>
      </c>
      <c s="37" r="F20">
        <v>40933</v>
      </c>
      <c t="str" s="2" r="G20">
        <f>hyperlink("http://espn.go.com/mlb/story/_/id/7504330/source-tampa-bay-rays-agree-utilityman-jeff-keppinger","One-year contract")</f>
        <v>One-year contract</v>
      </c>
      <c t="s" s="6" r="H20">
        <v>53</v>
      </c>
    </row>
    <row r="21">
      <c s="13" r="A21">
        <v>19</v>
      </c>
      <c t="str" s="23" r="B21">
        <f>hyperlink("http://www.baseball-reference.com/players/t/tuiasma01.shtml","Tuiasosopo, Matt")</f>
        <v>Tuiasosopo, Matt</v>
      </c>
      <c t="s" s="13" r="C21">
        <v>39</v>
      </c>
      <c t="s" s="13" r="D21">
        <v>44</v>
      </c>
      <c t="s" s="13" r="E21">
        <v>38</v>
      </c>
      <c s="18" r="F21">
        <v>40935</v>
      </c>
      <c t="s" s="1" r="G21">
        <v>16</v>
      </c>
      <c t="s" s="43" r="H21">
        <v>12</v>
      </c>
    </row>
    <row r="22">
      <c s="46" r="A22">
        <v>20</v>
      </c>
      <c t="str" s="36" r="B22">
        <f>hyperlink("http://www.baseball-reference.com/players/h/hallbi03.shtml","Hall, Bill")</f>
        <v>Hall, Bill</v>
      </c>
      <c t="s" s="31" r="C22">
        <v>39</v>
      </c>
      <c t="s" s="31" r="D22">
        <v>29</v>
      </c>
      <c t="s" s="31" r="E22">
        <v>45</v>
      </c>
      <c s="37" r="F22">
        <v>40947</v>
      </c>
      <c t="s" s="1" r="G22">
        <v>16</v>
      </c>
      <c t="s" s="6" r="H22">
        <v>12</v>
      </c>
    </row>
    <row r="23">
      <c s="13" r="A23">
        <v>21</v>
      </c>
      <c t="str" s="23" r="B23">
        <f>hyperlink("http://www.baseball-reference.com/players/g/guzmacr01.shtml","Guzman, Cristian")</f>
        <v>Guzman, Cristian</v>
      </c>
      <c t="s" s="13" r="C23">
        <v>39</v>
      </c>
      <c t="s" s="13" r="D23">
        <v>14</v>
      </c>
      <c t="s" s="13" r="E23">
        <v>11</v>
      </c>
      <c s="18" r="F23">
        <v>40961</v>
      </c>
      <c t="s" s="1" r="G23">
        <v>16</v>
      </c>
      <c t="s" s="43" r="H23">
        <v>12</v>
      </c>
    </row>
    <row r="24">
      <c s="46" r="A24">
        <v>22</v>
      </c>
      <c s="33" r="B24"/>
      <c s="46" r="C24"/>
      <c s="46" r="D24"/>
      <c s="46" r="E24"/>
      <c s="46" r="F24"/>
      <c s="42" r="G24"/>
      <c s="48" r="H24"/>
    </row>
    <row r="25">
      <c s="13" r="A25">
        <v>23</v>
      </c>
      <c s="23" r="B25"/>
      <c s="13" r="C25"/>
      <c s="13" r="D25"/>
      <c s="13" r="E25"/>
      <c s="13" r="F25"/>
      <c s="22" r="G25"/>
      <c s="43" r="H25"/>
    </row>
    <row r="26">
      <c s="46" r="A26">
        <v>24</v>
      </c>
      <c s="33" r="B26"/>
      <c s="46" r="C26"/>
      <c s="46" r="D26"/>
      <c s="46" r="E26"/>
      <c s="46" r="F26"/>
      <c s="42" r="G26"/>
      <c s="48" r="H26"/>
    </row>
    <row r="27">
      <c s="13" r="A27">
        <v>25</v>
      </c>
      <c s="23" r="B27"/>
      <c s="13" r="C27"/>
      <c s="13" r="D27"/>
      <c s="13" r="E27"/>
      <c s="13" r="F27"/>
      <c s="22" r="G27"/>
      <c s="43" r="H27"/>
    </row>
    <row r="28">
      <c s="46" r="A28">
        <v>26</v>
      </c>
      <c s="36" r="B28"/>
      <c s="31" r="C28"/>
      <c s="31" r="D28"/>
      <c s="31" r="E28"/>
      <c s="31" r="F28"/>
      <c s="2" r="G28"/>
      <c s="6" r="H28"/>
    </row>
    <row r="29">
      <c s="13" r="A29">
        <v>27</v>
      </c>
      <c s="23" r="B29"/>
      <c s="13" r="C29"/>
      <c s="13" r="D29"/>
      <c s="13" r="E29"/>
      <c s="13" r="F29"/>
      <c s="22" r="G29"/>
      <c s="43" r="H29"/>
    </row>
    <row r="30">
      <c s="46" r="A30">
        <v>28</v>
      </c>
      <c s="36" r="B30"/>
      <c s="31" r="C30"/>
      <c s="31" r="D30"/>
      <c s="31" r="E30"/>
      <c s="31" r="F30"/>
      <c s="2" r="G30"/>
      <c s="6" r="H30"/>
    </row>
    <row r="31">
      <c s="13" r="A31">
        <v>29</v>
      </c>
      <c s="23" r="B31"/>
      <c s="13" r="C31"/>
      <c s="13" r="D31"/>
      <c s="13" r="E31"/>
      <c s="13" r="F31"/>
      <c s="22" r="G31"/>
      <c s="43" r="H31"/>
    </row>
    <row r="32">
      <c s="46" r="A32">
        <v>30</v>
      </c>
      <c s="36" r="B32"/>
      <c s="31" r="C32"/>
      <c s="31" r="D32"/>
      <c s="31" r="E32"/>
      <c s="31" r="F32"/>
      <c s="2" r="G32"/>
      <c s="6" r="H32"/>
    </row>
    <row r="33">
      <c s="13" r="A33">
        <v>31</v>
      </c>
      <c s="23" r="B33"/>
      <c s="13" r="C33"/>
      <c s="13" r="D33"/>
      <c s="13" r="E33"/>
      <c s="13" r="F33"/>
      <c s="22" r="G33"/>
      <c s="43" r="H33"/>
    </row>
    <row r="34">
      <c s="46" r="A34">
        <v>32</v>
      </c>
      <c s="33" r="B34"/>
      <c s="46" r="C34"/>
      <c s="46" r="D34"/>
      <c s="46" r="E34"/>
      <c s="46" r="F34"/>
      <c s="42" r="G34"/>
      <c s="48" r="H34"/>
    </row>
    <row r="35">
      <c s="13" r="A35">
        <v>33</v>
      </c>
      <c s="23" r="B35"/>
      <c s="13" r="C35"/>
      <c s="13" r="D35"/>
      <c s="13" r="E35"/>
      <c s="13" r="F35"/>
      <c s="22" r="G35"/>
      <c s="43" r="H35"/>
    </row>
    <row r="36">
      <c s="46" r="A36">
        <v>34</v>
      </c>
      <c s="33" r="B36"/>
      <c s="46" r="C36"/>
      <c s="46" r="D36"/>
      <c s="46" r="E36"/>
      <c s="46" r="F36"/>
      <c s="42" r="G36"/>
      <c s="48" r="H36"/>
    </row>
    <row r="37">
      <c s="13" r="A37">
        <v>35</v>
      </c>
      <c s="23" r="B37"/>
      <c s="13" r="C37"/>
      <c s="13" r="D37"/>
      <c s="13" r="E37"/>
      <c s="13" r="F37"/>
      <c s="22" r="G37"/>
      <c s="43" r="H37"/>
    </row>
    <row r="38">
      <c s="46" r="A38">
        <v>36</v>
      </c>
      <c s="33" r="B38"/>
      <c s="46" r="C38"/>
      <c s="46" r="D38"/>
      <c s="46" r="E38"/>
      <c s="46" r="F38"/>
      <c s="42" r="G38"/>
      <c s="48" r="H38"/>
    </row>
    <row r="39">
      <c s="13" r="A39">
        <v>37</v>
      </c>
      <c s="23" r="B39"/>
      <c s="13" r="C39"/>
      <c s="13" r="D39"/>
      <c s="13" r="E39"/>
      <c s="13" r="F39"/>
      <c s="22" r="G39"/>
      <c s="43" r="H39"/>
    </row>
    <row r="40">
      <c s="46" r="A40">
        <v>38</v>
      </c>
      <c s="33" r="B40"/>
      <c s="46" r="C40"/>
      <c s="46" r="D40"/>
      <c s="46" r="E40"/>
      <c s="46" r="F40"/>
      <c s="42" r="G40"/>
      <c s="48" r="H40"/>
    </row>
    <row r="41">
      <c s="13" r="A41">
        <v>39</v>
      </c>
      <c s="23" r="B41"/>
      <c s="13" r="C41"/>
      <c s="13" r="D41"/>
      <c s="13" r="E41"/>
      <c s="13" r="F41"/>
      <c s="22" r="G41"/>
      <c s="43" r="H41"/>
    </row>
    <row r="42">
      <c s="46" r="A42">
        <v>40</v>
      </c>
      <c s="33" r="B42"/>
      <c s="46" r="C42"/>
      <c s="46" r="D42"/>
      <c s="46" r="E42"/>
      <c s="46" r="F42"/>
      <c s="42" r="G42"/>
      <c s="48" r="H42"/>
    </row>
    <row r="43">
      <c s="13" r="A43">
        <v>41</v>
      </c>
      <c s="23" r="B43"/>
      <c s="13" r="C43"/>
      <c s="13" r="D43"/>
      <c s="13" r="E43"/>
      <c s="13" r="F43"/>
      <c s="22" r="G43"/>
      <c s="43" r="H43"/>
    </row>
    <row r="44">
      <c s="46" r="A44">
        <v>42</v>
      </c>
      <c s="33" r="B44"/>
      <c s="46" r="C44"/>
      <c s="46" r="D44"/>
      <c s="46" r="E44"/>
      <c s="46" r="F44"/>
      <c s="42" r="G44"/>
      <c s="48" r="H44"/>
    </row>
    <row r="45">
      <c s="13" r="A45">
        <v>43</v>
      </c>
      <c s="23" r="B45"/>
      <c s="13" r="C45"/>
      <c s="13" r="D45"/>
      <c s="13" r="E45"/>
      <c s="13" r="F45"/>
      <c s="22" r="G45"/>
      <c s="43" r="H45"/>
    </row>
    <row r="46">
      <c s="46" r="A46">
        <v>44</v>
      </c>
      <c s="33" r="B46"/>
      <c s="46" r="C46"/>
      <c s="46" r="D46"/>
      <c s="46" r="E46"/>
      <c s="46" r="F46"/>
      <c s="42" r="G46"/>
      <c s="48" r="H46"/>
    </row>
    <row r="47">
      <c s="13" r="A47">
        <v>45</v>
      </c>
      <c s="23" r="B47"/>
      <c s="13" r="C47"/>
      <c s="13" r="D47"/>
      <c s="13" r="E47"/>
      <c s="13" r="F47"/>
      <c s="22" r="G47"/>
      <c s="43" r="H47"/>
    </row>
    <row r="48">
      <c s="46" r="A48">
        <v>46</v>
      </c>
      <c s="33" r="B48"/>
      <c s="46" r="C48"/>
      <c s="46" r="D48"/>
      <c s="46" r="E48"/>
      <c s="46" r="F48"/>
      <c s="42" r="G48"/>
      <c s="48" r="H48"/>
    </row>
    <row r="49">
      <c s="13" r="A49">
        <v>47</v>
      </c>
      <c s="23" r="B49"/>
      <c s="13" r="C49"/>
      <c s="13" r="D49"/>
      <c s="13" r="E49"/>
      <c s="13" r="F49"/>
      <c s="22" r="G49"/>
      <c s="43" r="H49"/>
    </row>
    <row r="50">
      <c s="46" r="A50">
        <v>48</v>
      </c>
      <c s="33" r="B50"/>
      <c s="46" r="C50"/>
      <c s="46" r="D50"/>
      <c s="46" r="E50"/>
      <c s="46" r="F50"/>
      <c s="42" r="G50"/>
      <c s="48" r="H50"/>
    </row>
    <row r="51">
      <c s="13" r="A51">
        <v>49</v>
      </c>
      <c s="23" r="B51"/>
      <c s="13" r="C51"/>
      <c s="13" r="D51"/>
      <c s="13" r="E51"/>
      <c s="13" r="F51"/>
      <c s="22" r="G51"/>
      <c s="43" r="H51"/>
    </row>
    <row r="52">
      <c s="46" r="A52">
        <v>50</v>
      </c>
      <c s="33" r="B52"/>
      <c s="46" r="C52"/>
      <c s="46" r="D52"/>
      <c s="46" r="E52"/>
      <c s="46" r="F52"/>
      <c s="42" r="G52"/>
      <c s="48" r="H52"/>
    </row>
    <row r="53">
      <c s="13" r="A53">
        <v>51</v>
      </c>
      <c s="23" r="B53"/>
      <c s="13" r="C53"/>
      <c s="13" r="D53"/>
      <c s="13" r="E53"/>
      <c s="13" r="F53"/>
      <c s="22" r="G53"/>
      <c s="43" r="H53"/>
    </row>
    <row r="54">
      <c s="46" r="A54">
        <v>52</v>
      </c>
      <c s="33" r="B54"/>
      <c s="46" r="C54"/>
      <c s="46" r="D54"/>
      <c s="46" r="E54"/>
      <c s="46" r="F54"/>
      <c s="42" r="G54"/>
      <c s="48" r="H54"/>
    </row>
    <row r="55">
      <c s="13" r="A55">
        <v>53</v>
      </c>
      <c s="23" r="B55"/>
      <c s="13" r="C55"/>
      <c s="13" r="D55"/>
      <c s="13" r="E55"/>
      <c s="13" r="F55"/>
      <c s="22" r="G55"/>
      <c s="43" r="H55"/>
    </row>
    <row r="56">
      <c s="46" r="A56">
        <v>54</v>
      </c>
      <c s="33" r="B56"/>
      <c s="46" r="C56"/>
      <c s="46" r="D56"/>
      <c s="46" r="E56"/>
      <c s="46" r="F56"/>
      <c s="42" r="G56"/>
      <c s="48" r="H56"/>
    </row>
    <row r="57">
      <c s="13" r="A57">
        <v>55</v>
      </c>
      <c s="23" r="B57"/>
      <c s="13" r="C57"/>
      <c s="13" r="D57"/>
      <c s="13" r="E57"/>
      <c s="13" r="F57"/>
      <c s="22" r="G57"/>
      <c s="43" r="H57"/>
    </row>
    <row r="58">
      <c s="31" r="A58">
        <v>56</v>
      </c>
      <c s="36" r="B58"/>
      <c s="31" r="C58"/>
      <c s="31" r="D58"/>
      <c s="31" r="E58"/>
      <c s="31" r="F58"/>
      <c s="2" r="G58"/>
      <c s="6" r="H58"/>
    </row>
    <row r="59">
      <c s="13" r="A59">
        <v>57</v>
      </c>
      <c s="23" r="B59"/>
      <c s="13" r="C59"/>
      <c s="13" r="D59"/>
      <c s="13" r="E59"/>
      <c s="13" r="F59"/>
      <c s="22" r="G59"/>
      <c s="43" r="H59"/>
    </row>
    <row r="60">
      <c s="31" r="A60">
        <v>58</v>
      </c>
      <c s="36" r="B60"/>
      <c s="31" r="C60"/>
      <c s="31" r="D60"/>
      <c s="31" r="E60"/>
      <c s="31" r="F60"/>
      <c s="2" r="G60"/>
      <c s="6" r="H60"/>
    </row>
    <row r="61">
      <c s="13" r="A61">
        <v>59</v>
      </c>
      <c s="23" r="B61"/>
      <c s="13" r="C61"/>
      <c s="13" r="D61"/>
      <c s="13" r="E61"/>
      <c s="13" r="F61"/>
      <c s="22" r="G61"/>
      <c s="43" r="H61"/>
    </row>
    <row r="62">
      <c s="31" r="A62">
        <v>60</v>
      </c>
      <c s="36" r="B62"/>
      <c s="31" r="C62"/>
      <c s="31" r="D62"/>
      <c s="31" r="E62"/>
      <c s="31" r="F62"/>
      <c s="2" r="G62"/>
      <c s="6" r="H62"/>
    </row>
    <row r="63">
      <c s="13" r="A63">
        <v>61</v>
      </c>
      <c s="23" r="B63"/>
      <c s="13" r="C63"/>
      <c s="13" r="D63"/>
      <c s="13" r="E63"/>
      <c s="13" r="F63"/>
      <c s="22" r="G63"/>
      <c s="43" r="H63"/>
    </row>
    <row r="64">
      <c s="31" r="A64">
        <v>62</v>
      </c>
      <c s="36" r="B64"/>
      <c s="31" r="C64"/>
      <c s="31" r="D64"/>
      <c s="31" r="E64"/>
      <c s="31" r="F64"/>
      <c s="2" r="G64"/>
      <c s="6" r="H64"/>
    </row>
    <row r="65">
      <c s="13" r="A65">
        <v>63</v>
      </c>
      <c s="23" r="B65"/>
      <c s="13" r="C65"/>
      <c s="13" r="D65"/>
      <c s="13" r="E65"/>
      <c s="13" r="F65"/>
      <c s="22" r="G65"/>
      <c s="43" r="H65"/>
    </row>
    <row r="66">
      <c s="31" r="A66">
        <v>64</v>
      </c>
      <c s="36" r="B66"/>
      <c s="31" r="C66"/>
      <c s="31" r="D66"/>
      <c s="31" r="E66"/>
      <c s="31" r="F66"/>
      <c s="2" r="G66"/>
      <c s="6" r="H66"/>
    </row>
    <row r="67">
      <c s="13" r="A67">
        <v>65</v>
      </c>
      <c s="23" r="B67"/>
      <c s="13" r="C67"/>
      <c s="13" r="D67"/>
      <c s="13" r="E67"/>
      <c s="13" r="F67"/>
      <c s="22" r="G67"/>
      <c s="43" r="H67"/>
    </row>
    <row r="68">
      <c s="31" r="A68">
        <v>66</v>
      </c>
      <c s="36" r="B68"/>
      <c s="31" r="C68"/>
      <c s="31" r="D68"/>
      <c s="31" r="E68"/>
      <c s="31" r="F68"/>
      <c s="2" r="G68"/>
      <c s="6" r="H68"/>
    </row>
    <row r="69">
      <c s="13" r="A69">
        <v>67</v>
      </c>
      <c s="23" r="B69"/>
      <c s="13" r="C69"/>
      <c s="13" r="D69"/>
      <c s="13" r="E69"/>
      <c s="13" r="F69"/>
      <c s="22" r="G69"/>
      <c s="43" r="H69"/>
    </row>
    <row r="70">
      <c s="31" r="A70">
        <v>68</v>
      </c>
      <c s="36" r="B70"/>
      <c s="31" r="C70"/>
      <c s="31" r="D70"/>
      <c s="31" r="E70"/>
      <c s="31" r="F70"/>
      <c s="2" r="G70"/>
      <c s="6" r="H70"/>
    </row>
    <row r="71">
      <c s="13" r="A71">
        <v>69</v>
      </c>
      <c s="23" r="B71"/>
      <c s="13" r="C71"/>
      <c s="13" r="D71"/>
      <c s="13" r="E71"/>
      <c s="13" r="F71"/>
      <c s="22" r="G71"/>
      <c s="43" r="H71"/>
    </row>
    <row r="72">
      <c s="31" r="A72">
        <v>70</v>
      </c>
      <c s="36" r="B72"/>
      <c s="31" r="C72"/>
      <c s="31" r="D72"/>
      <c s="31" r="E72"/>
      <c s="31" r="F72"/>
      <c s="2" r="G72"/>
      <c s="6" r="H72"/>
    </row>
    <row r="73">
      <c s="13" r="A73">
        <v>71</v>
      </c>
      <c s="23" r="B73"/>
      <c s="13" r="C73"/>
      <c s="13" r="D73"/>
      <c s="13" r="E73"/>
      <c s="13" r="F73"/>
      <c s="22" r="G73"/>
      <c s="43" r="H73"/>
    </row>
    <row r="74">
      <c s="31" r="A74">
        <v>72</v>
      </c>
      <c s="36" r="B74"/>
      <c s="31" r="C74"/>
      <c s="31" r="D74"/>
      <c s="31" r="E74"/>
      <c s="31" r="F74"/>
      <c s="2" r="G74"/>
      <c s="6" r="H74"/>
    </row>
    <row r="75">
      <c s="13" r="A75">
        <v>73</v>
      </c>
      <c s="23" r="B75"/>
      <c s="13" r="C75"/>
      <c s="13" r="D75"/>
      <c s="13" r="E75"/>
      <c s="13" r="F75"/>
      <c s="22" r="G75"/>
      <c s="43" r="H75"/>
    </row>
    <row r="76">
      <c s="31" r="A76">
        <v>74</v>
      </c>
      <c s="36" r="B76"/>
      <c s="31" r="C76"/>
      <c s="31" r="D76"/>
      <c s="31" r="E76"/>
      <c s="31" r="F76"/>
      <c s="2" r="G76"/>
      <c s="6" r="H76"/>
    </row>
    <row r="77">
      <c s="13" r="A77">
        <v>75</v>
      </c>
      <c s="23" r="B77"/>
      <c s="13" r="C77"/>
      <c s="13" r="D77"/>
      <c s="13" r="E77"/>
      <c s="13" r="F77"/>
      <c s="22" r="G77"/>
      <c s="43" r="H77"/>
    </row>
    <row r="78">
      <c s="31" r="A78">
        <v>76</v>
      </c>
      <c s="36" r="B78"/>
      <c s="31" r="C78"/>
      <c s="31" r="D78"/>
      <c s="31" r="E78"/>
      <c s="31" r="F78"/>
      <c s="2" r="G78"/>
      <c s="6" r="H78"/>
    </row>
    <row r="79">
      <c s="13" r="A79">
        <v>77</v>
      </c>
      <c s="23" r="B79"/>
      <c s="13" r="C79"/>
      <c s="13" r="D79"/>
      <c s="13" r="E79"/>
      <c s="13" r="F79"/>
      <c s="22" r="G79"/>
      <c s="43" r="H79"/>
    </row>
    <row r="80">
      <c s="31" r="A80">
        <v>78</v>
      </c>
      <c s="36" r="B80"/>
      <c s="31" r="C80"/>
      <c s="31" r="D80"/>
      <c s="31" r="E80"/>
      <c s="31" r="F80"/>
      <c s="2" r="G80"/>
      <c s="6" r="H80"/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hyperlink("http://www.baseball-reference.com/players/w/woodbr01.shtml","Wood, Brandon")</f>
        <v>Wood, Brandon</v>
      </c>
      <c t="s" s="13" r="C3">
        <v>32</v>
      </c>
      <c t="s" s="13" r="D3">
        <v>15</v>
      </c>
      <c t="s" s="13" r="E3">
        <v>22</v>
      </c>
      <c s="18" r="F3">
        <v>40864</v>
      </c>
      <c t="str" s="1" r="G3">
        <f>hyperlink("http://colorado.rockies.mlb.com/news/article.jsp?ymd=20111117&amp;content_id=25998352&amp;vkey=news_col&amp;c_id=col","Minor league contract")</f>
        <v>Minor league contract</v>
      </c>
      <c t="s" s="43" r="H3">
        <v>12</v>
      </c>
    </row>
    <row r="4">
      <c s="46" r="A4">
        <v>2</v>
      </c>
      <c t="str" s="36" r="B4">
        <f>hyperlink("http://www.baseball-reference.com/players/w/wiggity01.shtml","Wigginton, Ty")</f>
        <v>Wigginton, Ty</v>
      </c>
      <c t="s" s="31" r="C4">
        <v>32</v>
      </c>
      <c t="s" s="31" r="D4">
        <v>22</v>
      </c>
      <c t="s" s="31" r="E4">
        <v>27</v>
      </c>
      <c s="37" r="F4">
        <v>40867</v>
      </c>
      <c t="str" s="30" r="G4">
        <f>hyperlink("http://espn.go.com/mlb/story/_/id/7262907/philadelphia-phillies-acquire-ty-wigginton-trade-colorado-rockies","Traded with cash for player to be named or cash")</f>
        <v>Traded with cash for player to be named or cash</v>
      </c>
      <c t="s" s="6" r="H4">
        <v>12</v>
      </c>
    </row>
    <row r="5">
      <c s="13" r="A5">
        <v>3</v>
      </c>
      <c t="str" s="23" r="B5">
        <f>hyperlink("http://www.baseball-reference.com/players/n/navarya01.shtml","Navarro, Yamaico")</f>
        <v>Navarro, Yamaico</v>
      </c>
      <c t="s" s="13" r="C5">
        <v>32</v>
      </c>
      <c t="s" s="13" r="D5">
        <v>28</v>
      </c>
      <c t="s" s="13" r="E5">
        <v>15</v>
      </c>
      <c s="18" r="F5">
        <v>40884</v>
      </c>
      <c t="str" s="30" r="G5">
        <f>hyperlink("http://espn.go.com/mlb/story/_/id/7328029/pittsburgh-pirates-sign-lefty-erik-bedard-outfielder-nate-mclouth","Traded for two minor leaguers")</f>
        <v>Traded for two minor leaguers</v>
      </c>
      <c t="s" s="43" r="H5">
        <v>12</v>
      </c>
    </row>
    <row r="6">
      <c s="46" r="A6">
        <v>4</v>
      </c>
      <c t="str" s="36" r="B6">
        <f>hyperlink("http://www.baseball-reference.com/players/s/stewaia01.shtml","Stewart, Ian")</f>
        <v>Stewart, Ian</v>
      </c>
      <c t="s" s="31" r="C6">
        <v>51</v>
      </c>
      <c t="s" s="31" r="D6">
        <v>22</v>
      </c>
      <c t="s" s="31" r="E6">
        <v>35</v>
      </c>
      <c s="37" r="F6">
        <v>40885</v>
      </c>
      <c t="str" s="30" r="G6">
        <f>hyperlink("http://espn.go.com/chicago/mlb/story/_/id/7333696/chicago-cubs-trade-tyler-colvin-dj-lemahieu-colorado-rockies-ian-stewart-casey-weathers","Traded w C. Weathers for T. Colvin and LeMahieu")</f>
        <v>Traded w C. Weathers for T. Colvin and LeMahieu</v>
      </c>
      <c t="s" s="6" r="H6">
        <v>12</v>
      </c>
    </row>
    <row r="7">
      <c s="13" r="A7">
        <v>5</v>
      </c>
      <c t="str" s="23" r="B7">
        <f>hyperlink("http://www.baseball-reference.com/players/r/ramirar01.shtml","Ramirez, Aramis")</f>
        <v>Ramirez, Aramis</v>
      </c>
      <c t="s" s="13" r="C7">
        <v>51</v>
      </c>
      <c t="s" s="13" r="D7">
        <v>35</v>
      </c>
      <c t="s" s="13" r="E7">
        <v>34</v>
      </c>
      <c s="18" r="F7">
        <v>40889</v>
      </c>
      <c t="str" s="22" r="G7">
        <f>hyperlink("http://mlb.mlb.com/news/article.jsp?ymd=20111212&amp;content_id=26148942&amp;vkey=news_mlb&amp;c_id=mlb","Three-year contract with option")</f>
        <v>Three-year contract with option</v>
      </c>
      <c s="43" r="H7">
        <v>36000000</v>
      </c>
    </row>
    <row r="8">
      <c s="46" r="A8">
        <v>6</v>
      </c>
      <c t="str" s="36" r="B8">
        <f>hyperlink("http://www.baseball-reference.com/players/m/mcgehca01.shtml","McGehee, Casey")</f>
        <v>McGehee, Casey</v>
      </c>
      <c t="s" s="31" r="C8">
        <v>51</v>
      </c>
      <c t="s" s="31" r="D8">
        <v>34</v>
      </c>
      <c t="s" s="31" r="E8">
        <v>15</v>
      </c>
      <c s="37" r="F8">
        <v>40889</v>
      </c>
      <c t="str" s="30" r="G8">
        <f>hyperlink("http://milwaukee.brewers.mlb.com/news/article.jsp?ymd=20111212&amp;content_id=26153012&amp;vkey=news_mil&amp;c_id=mil","Traded for Jose Veras")</f>
        <v>Traded for Jose Veras</v>
      </c>
      <c t="s" s="6" r="H8">
        <v>12</v>
      </c>
    </row>
    <row r="9">
      <c s="13" r="A9">
        <v>7</v>
      </c>
      <c t="str" s="23" r="B9">
        <f>hyperlink("http://www.baseball-reference.com/players/r/ransoco01.shtml","Ransom, Cody")</f>
        <v>Ransom, Cody</v>
      </c>
      <c t="s" s="13" r="C9">
        <v>51</v>
      </c>
      <c t="s" s="9" r="D9">
        <v>18</v>
      </c>
      <c t="s" s="9" r="E9">
        <v>18</v>
      </c>
      <c s="18" r="F9">
        <v>40890</v>
      </c>
      <c t="s" s="1" r="G9">
        <v>16</v>
      </c>
      <c t="s" s="43" r="H9">
        <v>12</v>
      </c>
    </row>
    <row r="10">
      <c s="46" r="A10">
        <v>8</v>
      </c>
      <c t="str" s="33" r="B10">
        <f>hyperlink("http://www.baseball-reference.com/players/split.cgi?id=baislje01&amp;year=Career&amp;t=b","Baisley, Jeff")</f>
        <v>Baisley, Jeff</v>
      </c>
      <c t="s" s="31" r="C10">
        <v>51</v>
      </c>
      <c t="s" s="31" r="D10">
        <v>47</v>
      </c>
      <c t="s" s="31" r="E10">
        <v>20</v>
      </c>
      <c s="37" r="F10">
        <v>40890</v>
      </c>
      <c t="s" s="1" r="G10">
        <v>16</v>
      </c>
      <c t="s" s="6" r="H10">
        <v>12</v>
      </c>
    </row>
    <row r="11">
      <c s="13" r="A11">
        <v>9</v>
      </c>
      <c t="str" s="45" r="B11">
        <f>hyperlink("http://www.baseball-reference.com/players/l/lopezjo01.shtml","Lopez, Jose")</f>
        <v>Lopez, Jose</v>
      </c>
      <c t="s" s="13" r="C11">
        <v>51</v>
      </c>
      <c t="s" s="13" r="D11">
        <v>40</v>
      </c>
      <c t="s" s="13" r="E11">
        <v>11</v>
      </c>
      <c s="18" r="F11">
        <v>40893</v>
      </c>
      <c t="s" s="1" r="G11">
        <v>16</v>
      </c>
      <c t="s" s="43" r="H11">
        <v>12</v>
      </c>
    </row>
    <row r="12">
      <c s="46" r="A12">
        <v>10</v>
      </c>
      <c t="str" s="44" r="B12">
        <f>hyperlink("http://www.baseball-reference.com/players/t/tracych01.shtml","Tracy, Chad")</f>
        <v>Tracy, Chad</v>
      </c>
      <c t="s" s="31" r="C12">
        <v>51</v>
      </c>
      <c t="s" s="31" r="D12">
        <v>40</v>
      </c>
      <c t="s" s="31" r="E12">
        <v>24</v>
      </c>
      <c s="37" r="F12">
        <v>40897</v>
      </c>
      <c t="s" s="1" r="G12">
        <v>16</v>
      </c>
      <c t="s" s="6" r="H12">
        <v>12</v>
      </c>
    </row>
    <row r="13">
      <c s="13" r="A13">
        <v>11</v>
      </c>
      <c t="str" s="45" r="B13">
        <f>hyperlink("http://www.baseball-reference.com/players/h/hoffpja01.shtml","Hoffpauir, Jarrett")</f>
        <v>Hoffpauir, Jarrett</v>
      </c>
      <c t="s" s="13" r="C13">
        <v>51</v>
      </c>
      <c t="s" s="13" r="D13">
        <v>42</v>
      </c>
      <c t="s" s="13" r="E13">
        <v>24</v>
      </c>
      <c s="18" r="F13">
        <v>40897</v>
      </c>
      <c t="s" s="1" r="G13">
        <v>16</v>
      </c>
      <c t="s" s="43" r="H13">
        <v>12</v>
      </c>
    </row>
    <row r="14">
      <c s="46" r="A14">
        <v>12</v>
      </c>
      <c t="str" s="36" r="B14">
        <f>hyperlink("http://www.baseball-reference.com/players/b/blakeca01.shtml","Blake, Casey")</f>
        <v>Blake, Casey</v>
      </c>
      <c t="s" s="31" r="C14">
        <v>51</v>
      </c>
      <c t="s" s="31" r="D14">
        <v>20</v>
      </c>
      <c t="s" s="31" r="E14">
        <v>22</v>
      </c>
      <c s="37" r="F14">
        <v>40897</v>
      </c>
      <c t="str" s="2" r="G14">
        <f>hyperlink("http://espn.go.com/mlb/story/_/id/7374022/rockies-dan-odowd-says-michael-cuddyer-perfect-fit-colorado","One-year contract")</f>
        <v>One-year contract</v>
      </c>
      <c s="6" r="H14">
        <v>2000000</v>
      </c>
    </row>
    <row r="15">
      <c s="13" r="A15">
        <v>13</v>
      </c>
      <c t="str" s="45" r="B15">
        <f>hyperlink("http://www.baseball-reference.com/players/l/larocan01.shtml","LaRoche, Andy")</f>
        <v>LaRoche, Andy</v>
      </c>
      <c t="s" s="13" r="C15">
        <v>51</v>
      </c>
      <c t="s" s="13" r="D15">
        <v>23</v>
      </c>
      <c t="s" s="13" r="E15">
        <v>11</v>
      </c>
      <c s="18" r="F15">
        <v>40898</v>
      </c>
      <c t="s" s="1" r="G15">
        <v>16</v>
      </c>
      <c t="s" s="43" r="H15">
        <v>12</v>
      </c>
    </row>
    <row r="16">
      <c s="46" r="A16">
        <v>14</v>
      </c>
      <c t="str" s="44" r="B16">
        <f>hyperlink("http://www.baseball-reference.com/players/d/derosma01.shtml","DeRosa, Mark")</f>
        <v>DeRosa, Mark</v>
      </c>
      <c t="s" s="31" r="C16">
        <v>51</v>
      </c>
      <c t="s" s="31" r="D16">
        <v>29</v>
      </c>
      <c t="s" s="31" r="E16">
        <v>24</v>
      </c>
      <c s="37" r="F16">
        <v>40900</v>
      </c>
      <c t="str" s="2" r="G16">
        <f>hyperlink("http://mlb.mlb.com/news/article.jsp?ymd=20111221&amp;content_id=26224262&amp;vkey=news_mlb&amp;c_id=mlb","One-year contract")</f>
        <v>One-year contract</v>
      </c>
      <c t="s" s="6" r="H16">
        <v>53</v>
      </c>
    </row>
    <row r="17">
      <c s="13" r="A17">
        <v>15</v>
      </c>
      <c t="str" s="45" r="B17">
        <f>hyperlink("http://www.baseball-reference.com/players/b/burrose01.shtml","Burroughs, Sean")</f>
        <v>Burroughs, Sean</v>
      </c>
      <c t="s" s="13" r="C17">
        <v>51</v>
      </c>
      <c t="s" s="13" r="D17">
        <v>18</v>
      </c>
      <c t="s" s="13" r="E17">
        <v>37</v>
      </c>
      <c s="18" r="F17">
        <v>40911</v>
      </c>
      <c t="s" s="1" r="G17">
        <v>16</v>
      </c>
      <c t="s" s="43" r="H17">
        <v>12</v>
      </c>
    </row>
    <row r="18">
      <c s="46" r="A18">
        <v>16</v>
      </c>
      <c t="str" s="17" r="B18">
        <f>hyperlink("http://www.baseball-reference.com/players/c/ciriape01.shtml","Ciriaco, Pedro")</f>
        <v>Ciriaco, Pedro</v>
      </c>
      <c t="s" s="31" r="C18">
        <v>51</v>
      </c>
      <c t="s" s="31" r="D18">
        <v>15</v>
      </c>
      <c t="s" s="31" r="E18">
        <v>41</v>
      </c>
      <c s="37" r="F18">
        <v>40911</v>
      </c>
      <c t="s" s="1" r="G18">
        <v>16</v>
      </c>
      <c t="s" s="6" r="H18">
        <v>12</v>
      </c>
    </row>
    <row r="19">
      <c s="13" r="A19">
        <v>17</v>
      </c>
      <c t="str" s="45" r="B19">
        <f>hyperlink("http://www.baseball-reference.com/players/d/dobbsgr01.shtml","Dobbs, Greg")</f>
        <v>Dobbs, Greg</v>
      </c>
      <c t="s" s="13" r="C19">
        <v>51</v>
      </c>
      <c t="s" s="9" r="D19">
        <v>40</v>
      </c>
      <c t="s" s="9" r="E19">
        <v>40</v>
      </c>
      <c s="18" r="F19">
        <v>40913</v>
      </c>
      <c t="str" s="22" r="G19">
        <f>hyperlink("http://hardballtalk.nbcsports.com/2012/01/03/report-marlins-re-sign-greg-dobbs-to-two-year-3-million-contract/","Two-year contract")</f>
        <v>Two-year contract</v>
      </c>
      <c s="43" r="H19">
        <v>3000000</v>
      </c>
    </row>
    <row r="20">
      <c s="46" r="A20">
        <v>18</v>
      </c>
      <c t="str" s="44" r="B20">
        <f>hyperlink("http://www.baseball-reference.com/players/c/conrabr01.shtml","Conrad, Brooks")</f>
        <v>Conrad, Brooks</v>
      </c>
      <c t="s" s="31" r="C20">
        <v>32</v>
      </c>
      <c t="s" s="31" r="D20">
        <v>10</v>
      </c>
      <c t="s" s="31" r="E20">
        <v>34</v>
      </c>
      <c s="37" r="F20">
        <v>40917</v>
      </c>
      <c t="s" s="1" r="G20">
        <v>16</v>
      </c>
      <c t="s" s="6" r="H20">
        <v>12</v>
      </c>
    </row>
    <row r="21">
      <c s="13" r="A21">
        <v>19</v>
      </c>
      <c t="str" s="45" r="B21">
        <f>hyperlink("http://www.baseball-reference.com/players/k/kouzmke01.shtml","Kouzmanoff, Kevin")</f>
        <v>Kouzmanoff, Kevin</v>
      </c>
      <c t="s" s="13" r="C21">
        <v>51</v>
      </c>
      <c t="s" s="13" r="D21">
        <v>22</v>
      </c>
      <c t="s" s="13" r="E21">
        <v>28</v>
      </c>
      <c s="18" r="F21">
        <v>40922</v>
      </c>
      <c t="s" s="1" r="G21">
        <v>16</v>
      </c>
      <c t="s" s="43" r="H21">
        <v>12</v>
      </c>
    </row>
    <row r="22">
      <c s="46" r="A22">
        <v>20</v>
      </c>
      <c t="str" s="17" r="B22">
        <f>hyperlink("http://www.baseball-reference.com/players/c/cantujo01.shtml","Cantu, Jorge")</f>
        <v>Cantu, Jorge</v>
      </c>
      <c t="s" s="31" r="C22">
        <v>32</v>
      </c>
      <c t="s" s="31" r="D22">
        <v>22</v>
      </c>
      <c t="s" s="31" r="E22">
        <v>47</v>
      </c>
      <c s="37" r="F22">
        <v>40918</v>
      </c>
      <c t="s" s="1" r="G22">
        <v>16</v>
      </c>
      <c t="s" s="6" r="H22">
        <v>12</v>
      </c>
    </row>
    <row r="23">
      <c s="13" r="A23">
        <v>21</v>
      </c>
      <c t="str" s="45" r="B23">
        <f>hyperlink("http://www.baseball-reference.com/players/g/guzmajo03.shtml","Guzman, Joel")</f>
        <v>Guzman, Joel</v>
      </c>
      <c t="s" s="13" r="C23">
        <v>51</v>
      </c>
      <c t="s" s="13" r="D23">
        <v>33</v>
      </c>
      <c t="s" s="13" r="E23">
        <v>36</v>
      </c>
      <c s="18" r="F23">
        <v>40918</v>
      </c>
      <c t="s" s="1" r="G23">
        <v>16</v>
      </c>
      <c t="s" s="43" r="H23">
        <v>12</v>
      </c>
    </row>
    <row r="24">
      <c s="46" r="A24">
        <v>22</v>
      </c>
      <c t="str" s="17" r="B24">
        <f>hyperlink("http://www.baseball-reference.com/players/t/tiffete01.shtml","Tiffee, Terry")</f>
        <v>Tiffee, Terry</v>
      </c>
      <c t="s" s="31" r="C24">
        <v>51</v>
      </c>
      <c t="s" s="31" r="D24">
        <v>45</v>
      </c>
      <c t="s" s="31" r="E24">
        <v>40</v>
      </c>
      <c s="37" r="F24">
        <v>40928</v>
      </c>
      <c t="s" s="1" r="G24">
        <v>16</v>
      </c>
      <c t="s" s="6" r="H24">
        <v>12</v>
      </c>
    </row>
    <row r="25">
      <c s="13" r="A25">
        <v>23</v>
      </c>
      <c t="str" s="23" r="B25">
        <f>hyperlink("http://www.baseball-reference.com/players/b/betemwi01.shtml","Betemit, Wilson")</f>
        <v>Betemit, Wilson</v>
      </c>
      <c t="s" s="13" r="C25">
        <v>51</v>
      </c>
      <c t="s" s="13" r="D25">
        <v>30</v>
      </c>
      <c t="s" s="13" r="E25">
        <v>33</v>
      </c>
      <c s="18" r="F25">
        <v>40932</v>
      </c>
      <c t="str" s="22" r="G25">
        <f>hyperlink("http://espn.go.com/mlb/story/_/id/7498279/baltimore-orioles-sign-infielder-wilson-betemit-two-year-deal","Two-year contract with option")</f>
        <v>Two-year contract with option</v>
      </c>
      <c s="43" r="H25">
        <v>3250000</v>
      </c>
    </row>
    <row r="26">
      <c s="46" r="A26">
        <v>24</v>
      </c>
      <c t="str" s="33" r="B26">
        <f>hyperlink("http://www.baseball-reference.com/players/v/vizquom01.shtml","Vizquel, Omar")</f>
        <v>Vizquel, Omar</v>
      </c>
      <c t="s" s="31" r="C26">
        <v>32</v>
      </c>
      <c t="s" s="31" r="D26">
        <v>54</v>
      </c>
      <c t="s" s="31" r="E26">
        <v>25</v>
      </c>
      <c s="37" r="F26">
        <v>40932</v>
      </c>
      <c t="s" s="1" r="G26">
        <v>16</v>
      </c>
      <c t="s" s="6" r="H26">
        <v>12</v>
      </c>
    </row>
    <row r="27">
      <c s="13" r="A27">
        <v>25</v>
      </c>
      <c t="str" s="23" r="B27">
        <f>hyperlink("http://www.baseball-reference.com/players/r/rohliry01.shtml","Rohlinger, Ryan")</f>
        <v>Rohlinger, Ryan</v>
      </c>
      <c t="s" s="13" r="C27">
        <v>51</v>
      </c>
      <c t="s" s="13" r="D27">
        <v>22</v>
      </c>
      <c t="s" s="13" r="E27">
        <v>11</v>
      </c>
      <c s="18" r="F27">
        <v>40934</v>
      </c>
      <c t="s" s="1" r="G27">
        <v>16</v>
      </c>
      <c t="s" s="43" r="H27">
        <v>12</v>
      </c>
    </row>
    <row r="28">
      <c s="46" r="A28">
        <v>26</v>
      </c>
      <c t="str" s="33" r="B28">
        <f>hyperlink("http://www.baseball-reference.com/players/c/coraal01.shtml","Cora, Alex")</f>
        <v>Cora, Alex</v>
      </c>
      <c t="s" s="31" r="C28">
        <v>51</v>
      </c>
      <c t="s" s="31" r="D28">
        <v>24</v>
      </c>
      <c t="s" s="31" r="E28">
        <v>46</v>
      </c>
      <c s="37" r="F28">
        <v>40945</v>
      </c>
      <c t="s" s="1" r="G28">
        <v>16</v>
      </c>
      <c t="s" s="6" r="H28">
        <v>12</v>
      </c>
    </row>
    <row r="29">
      <c s="13" r="A29">
        <v>27</v>
      </c>
      <c t="str" s="23" r="B29">
        <f>hyperlink("http://www.baseball-reference.com/players/t/teahema01.shtml","Teahen, Mark")</f>
        <v>Teahen, Mark</v>
      </c>
      <c t="s" s="13" r="C29">
        <v>32</v>
      </c>
      <c t="s" s="13" r="D29">
        <v>25</v>
      </c>
      <c t="s" s="13" r="E29">
        <v>24</v>
      </c>
      <c s="18" r="F29">
        <v>40945</v>
      </c>
      <c t="s" s="1" r="G29">
        <v>16</v>
      </c>
      <c t="s" s="43" r="H29">
        <v>12</v>
      </c>
    </row>
    <row r="30">
      <c s="46" r="A30">
        <v>28</v>
      </c>
      <c s="33" r="B30"/>
      <c s="46" r="C30"/>
      <c s="46" r="D30"/>
      <c s="46" r="E30"/>
      <c s="46" r="F30"/>
      <c s="42" r="G30"/>
      <c s="48" r="H30"/>
    </row>
    <row r="31">
      <c s="13" r="A31">
        <v>29</v>
      </c>
      <c s="23" r="B31"/>
      <c s="13" r="C31"/>
      <c s="13" r="D31"/>
      <c s="13" r="E31"/>
      <c s="13" r="F31"/>
      <c s="22" r="G31"/>
      <c s="43" r="H31"/>
    </row>
    <row r="32">
      <c s="46" r="A32">
        <v>30</v>
      </c>
      <c s="33" r="B32"/>
      <c s="46" r="C32"/>
      <c s="46" r="D32"/>
      <c s="46" r="E32"/>
      <c s="46" r="F32"/>
      <c s="42" r="G32"/>
      <c s="48" r="H32"/>
    </row>
    <row r="33">
      <c s="13" r="A33">
        <v>31</v>
      </c>
      <c s="23" r="B33"/>
      <c s="13" r="C33"/>
      <c s="13" r="D33"/>
      <c s="13" r="E33"/>
      <c s="13" r="F33"/>
      <c s="22" r="G33"/>
      <c s="43" r="H33"/>
    </row>
    <row r="34">
      <c s="46" r="A34">
        <v>32</v>
      </c>
      <c s="33" r="B34"/>
      <c s="46" r="C34"/>
      <c s="46" r="D34"/>
      <c s="46" r="E34"/>
      <c s="46" r="F34"/>
      <c s="42" r="G34"/>
      <c s="48" r="H34"/>
    </row>
    <row r="35">
      <c s="13" r="A35">
        <v>33</v>
      </c>
      <c s="23" r="B35"/>
      <c s="13" r="C35"/>
      <c s="13" r="D35"/>
      <c s="13" r="E35"/>
      <c s="13" r="F35"/>
      <c s="22" r="G35"/>
      <c s="43" r="H35"/>
    </row>
    <row r="36">
      <c s="46" r="A36">
        <v>34</v>
      </c>
      <c s="33" r="B36"/>
      <c s="46" r="C36"/>
      <c s="46" r="D36"/>
      <c s="46" r="E36"/>
      <c s="46" r="F36"/>
      <c s="42" r="G36"/>
      <c s="48" r="H36"/>
    </row>
    <row r="37">
      <c s="13" r="A37">
        <v>35</v>
      </c>
      <c s="23" r="B37"/>
      <c s="13" r="C37"/>
      <c s="13" r="D37"/>
      <c s="13" r="E37"/>
      <c s="13" r="F37"/>
      <c s="22" r="G37"/>
      <c s="43" r="H37"/>
    </row>
    <row r="38">
      <c s="46" r="A38">
        <v>36</v>
      </c>
      <c s="33" r="B38"/>
      <c s="46" r="C38"/>
      <c s="46" r="D38"/>
      <c s="46" r="E38"/>
      <c s="46" r="F38"/>
      <c s="42" r="G38"/>
      <c s="48" r="H38"/>
    </row>
    <row r="39">
      <c s="13" r="A39">
        <v>37</v>
      </c>
      <c s="23" r="B39"/>
      <c s="13" r="C39"/>
      <c s="13" r="D39"/>
      <c s="13" r="E39"/>
      <c s="13" r="F39"/>
      <c s="22" r="G39"/>
      <c s="43" r="H39"/>
    </row>
    <row r="40">
      <c s="46" r="A40">
        <v>38</v>
      </c>
      <c s="33" r="B40"/>
      <c s="46" r="C40"/>
      <c s="46" r="D40"/>
      <c s="46" r="E40"/>
      <c s="46" r="F40"/>
      <c s="42" r="G40"/>
      <c s="48" r="H40"/>
    </row>
    <row r="41">
      <c s="13" r="A41">
        <v>39</v>
      </c>
      <c s="23" r="B41"/>
      <c s="13" r="C41"/>
      <c s="13" r="D41"/>
      <c s="13" r="E41"/>
      <c s="13" r="F41"/>
      <c s="22" r="G41"/>
      <c s="43" r="H41"/>
    </row>
    <row r="42">
      <c s="46" r="A42">
        <v>40</v>
      </c>
      <c s="33" r="B42"/>
      <c s="46" r="C42"/>
      <c s="46" r="D42"/>
      <c s="46" r="E42"/>
      <c s="46" r="F42"/>
      <c s="42" r="G42"/>
      <c s="48" r="H42"/>
    </row>
    <row r="43">
      <c s="13" r="A43">
        <v>41</v>
      </c>
      <c s="23" r="B43"/>
      <c s="13" r="C43"/>
      <c s="13" r="D43"/>
      <c s="13" r="E43"/>
      <c s="13" r="F43"/>
      <c s="22" r="G43"/>
      <c s="43" r="H43"/>
    </row>
    <row r="44">
      <c s="46" r="A44">
        <v>42</v>
      </c>
      <c s="33" r="B44"/>
      <c s="46" r="C44"/>
      <c s="46" r="D44"/>
      <c s="46" r="E44"/>
      <c s="46" r="F44"/>
      <c s="42" r="G44"/>
      <c s="48" r="H44"/>
    </row>
    <row r="45">
      <c s="13" r="A45">
        <v>43</v>
      </c>
      <c s="23" r="B45"/>
      <c s="13" r="C45"/>
      <c s="13" r="D45"/>
      <c s="13" r="E45"/>
      <c s="13" r="F45"/>
      <c s="22" r="G45"/>
      <c s="43" r="H45"/>
    </row>
    <row r="46">
      <c s="46" r="A46">
        <v>44</v>
      </c>
      <c s="33" r="B46"/>
      <c s="46" r="C46"/>
      <c s="46" r="D46"/>
      <c s="46" r="E46"/>
      <c s="46" r="F46"/>
      <c s="42" r="G46"/>
      <c s="48" r="H46"/>
    </row>
    <row r="47">
      <c s="13" r="A47">
        <v>45</v>
      </c>
      <c s="23" r="B47"/>
      <c s="13" r="C47"/>
      <c s="13" r="D47"/>
      <c s="13" r="E47"/>
      <c s="13" r="F47"/>
      <c s="22" r="G47"/>
      <c s="43" r="H47"/>
    </row>
    <row r="48">
      <c s="46" r="A48">
        <v>46</v>
      </c>
      <c s="33" r="B48"/>
      <c s="46" r="C48"/>
      <c s="46" r="D48"/>
      <c s="46" r="E48"/>
      <c s="46" r="F48"/>
      <c s="42" r="G48"/>
      <c s="48" r="H48"/>
    </row>
    <row r="49">
      <c s="13" r="A49">
        <v>47</v>
      </c>
      <c s="23" r="B49"/>
      <c s="13" r="C49"/>
      <c s="13" r="D49"/>
      <c s="13" r="E49"/>
      <c s="13" r="F49"/>
      <c s="22" r="G49"/>
      <c s="43" r="H49"/>
    </row>
    <row r="50">
      <c s="46" r="A50">
        <v>48</v>
      </c>
      <c s="36" r="B50"/>
      <c s="31" r="C50"/>
      <c s="31" r="D50"/>
      <c s="31" r="E50"/>
      <c s="31" r="F50"/>
      <c s="2" r="G50"/>
      <c s="6" r="H50"/>
    </row>
    <row r="51">
      <c s="13" r="A51">
        <v>49</v>
      </c>
      <c s="23" r="B51"/>
      <c s="13" r="C51"/>
      <c s="13" r="D51"/>
      <c s="13" r="E51"/>
      <c s="13" r="F51"/>
      <c s="22" r="G51"/>
      <c s="43" r="H51"/>
    </row>
    <row r="52">
      <c s="46" r="A52">
        <v>50</v>
      </c>
      <c s="36" r="B52"/>
      <c s="31" r="C52"/>
      <c s="31" r="D52"/>
      <c s="31" r="E52"/>
      <c s="31" r="F52"/>
      <c s="2" r="G52"/>
      <c s="6" r="H52"/>
    </row>
    <row r="53">
      <c s="13" r="A53">
        <v>51</v>
      </c>
      <c s="23" r="B53"/>
      <c s="13" r="C53"/>
      <c s="13" r="D53"/>
      <c s="13" r="E53"/>
      <c s="13" r="F53"/>
      <c s="22" r="G53"/>
      <c s="43" r="H53"/>
    </row>
    <row r="54">
      <c s="46" r="A54">
        <v>52</v>
      </c>
      <c s="33" r="B54"/>
      <c s="46" r="C54"/>
      <c s="46" r="D54"/>
      <c s="46" r="E54"/>
      <c s="46" r="F54"/>
      <c s="42" r="G54"/>
      <c s="48" r="H54"/>
    </row>
    <row r="55">
      <c s="13" r="A55">
        <v>53</v>
      </c>
      <c s="23" r="B55"/>
      <c s="13" r="C55"/>
      <c s="13" r="D55"/>
      <c s="13" r="E55"/>
      <c s="13" r="F55"/>
      <c s="22" r="G55"/>
      <c s="43" r="H55"/>
    </row>
    <row r="56">
      <c s="46" r="A56">
        <v>54</v>
      </c>
      <c s="33" r="B56"/>
      <c s="46" r="C56"/>
      <c s="46" r="D56"/>
      <c s="46" r="E56"/>
      <c s="46" r="F56"/>
      <c s="42" r="G56"/>
      <c s="48" r="H56"/>
    </row>
    <row r="57">
      <c s="13" r="A57">
        <v>55</v>
      </c>
      <c s="23" r="B57"/>
      <c s="13" r="C57"/>
      <c s="13" r="D57"/>
      <c s="13" r="E57"/>
      <c s="13" r="F57"/>
      <c s="22" r="G57"/>
      <c s="43" r="H57"/>
    </row>
    <row r="58">
      <c s="31" r="A58">
        <v>56</v>
      </c>
      <c s="36" r="B58"/>
      <c s="31" r="C58"/>
      <c s="31" r="D58"/>
      <c s="31" r="E58"/>
      <c s="31" r="F58"/>
      <c s="2" r="G58"/>
      <c s="6" r="H58"/>
    </row>
    <row r="59">
      <c s="13" r="A59">
        <v>57</v>
      </c>
      <c s="23" r="B59"/>
      <c s="13" r="C59"/>
      <c s="13" r="D59"/>
      <c s="13" r="E59"/>
      <c s="13" r="F59"/>
      <c s="22" r="G59"/>
      <c s="43" r="H59"/>
    </row>
    <row r="60">
      <c s="31" r="A60">
        <v>58</v>
      </c>
      <c s="36" r="B60"/>
      <c s="31" r="C60"/>
      <c s="31" r="D60"/>
      <c s="31" r="E60"/>
      <c s="31" r="F60"/>
      <c s="2" r="G60"/>
      <c s="6" r="H60"/>
    </row>
    <row r="61">
      <c s="13" r="A61">
        <v>59</v>
      </c>
      <c s="23" r="B61"/>
      <c s="13" r="C61"/>
      <c s="13" r="D61"/>
      <c s="13" r="E61"/>
      <c s="13" r="F61"/>
      <c s="22" r="G61"/>
      <c s="43" r="H61"/>
    </row>
    <row r="62">
      <c s="31" r="A62">
        <v>60</v>
      </c>
      <c s="36" r="B62"/>
      <c s="31" r="C62"/>
      <c s="31" r="D62"/>
      <c s="31" r="E62"/>
      <c s="31" r="F62"/>
      <c s="2" r="G62"/>
      <c s="6" r="H62"/>
    </row>
    <row r="63">
      <c s="13" r="A63">
        <v>61</v>
      </c>
      <c s="23" r="B63"/>
      <c s="13" r="C63"/>
      <c s="13" r="D63"/>
      <c s="13" r="E63"/>
      <c s="13" r="F63"/>
      <c s="22" r="G63"/>
      <c s="43" r="H63"/>
    </row>
    <row r="64">
      <c s="31" r="A64">
        <v>62</v>
      </c>
      <c s="36" r="B64"/>
      <c s="31" r="C64"/>
      <c s="31" r="D64"/>
      <c s="31" r="E64"/>
      <c s="31" r="F64"/>
      <c s="2" r="G64"/>
      <c s="6" r="H64"/>
    </row>
    <row r="65">
      <c s="13" r="A65">
        <v>63</v>
      </c>
      <c s="23" r="B65"/>
      <c s="13" r="C65"/>
      <c s="13" r="D65"/>
      <c s="13" r="E65"/>
      <c s="13" r="F65"/>
      <c s="22" r="G65"/>
      <c s="43" r="H65"/>
    </row>
    <row r="66">
      <c s="31" r="A66">
        <v>64</v>
      </c>
      <c s="36" r="B66"/>
      <c s="31" r="C66"/>
      <c s="31" r="D66"/>
      <c s="31" r="E66"/>
      <c s="31" r="F66"/>
      <c s="2" r="G66"/>
      <c s="6" r="H66"/>
    </row>
    <row r="67">
      <c s="13" r="A67">
        <v>65</v>
      </c>
      <c s="23" r="B67"/>
      <c s="13" r="C67"/>
      <c s="13" r="D67"/>
      <c s="13" r="E67"/>
      <c s="13" r="F67"/>
      <c s="22" r="G67"/>
      <c s="43" r="H67"/>
    </row>
    <row r="68">
      <c s="31" r="A68">
        <v>66</v>
      </c>
      <c s="36" r="B68"/>
      <c s="31" r="C68"/>
      <c s="31" r="D68"/>
      <c s="31" r="E68"/>
      <c s="31" r="F68"/>
      <c s="2" r="G68"/>
      <c s="6" r="H68"/>
    </row>
    <row r="69">
      <c s="13" r="A69">
        <v>67</v>
      </c>
      <c s="23" r="B69"/>
      <c s="13" r="C69"/>
      <c s="13" r="D69"/>
      <c s="13" r="E69"/>
      <c s="13" r="F69"/>
      <c s="22" r="G69"/>
      <c s="43" r="H69"/>
    </row>
    <row r="70">
      <c s="31" r="A70">
        <v>68</v>
      </c>
      <c s="36" r="B70"/>
      <c s="31" r="C70"/>
      <c s="31" r="D70"/>
      <c s="31" r="E70"/>
      <c s="31" r="F70"/>
      <c s="2" r="G70"/>
      <c s="6" r="H70"/>
    </row>
    <row r="71">
      <c s="13" r="A71">
        <v>69</v>
      </c>
      <c s="23" r="B71"/>
      <c s="13" r="C71"/>
      <c s="13" r="D71"/>
      <c s="13" r="E71"/>
      <c s="13" r="F71"/>
      <c s="22" r="G71"/>
      <c s="43" r="H71"/>
    </row>
    <row r="72">
      <c s="31" r="A72">
        <v>70</v>
      </c>
      <c s="36" r="B72"/>
      <c s="31" r="C72"/>
      <c s="31" r="D72"/>
      <c s="31" r="E72"/>
      <c s="31" r="F72"/>
      <c s="2" r="G72"/>
      <c s="6" r="H72"/>
    </row>
    <row r="73">
      <c s="13" r="A73">
        <v>71</v>
      </c>
      <c s="23" r="B73"/>
      <c s="13" r="C73"/>
      <c s="13" r="D73"/>
      <c s="13" r="E73"/>
      <c s="13" r="F73"/>
      <c s="22" r="G73"/>
      <c s="43" r="H73"/>
    </row>
    <row r="74">
      <c s="31" r="A74">
        <v>72</v>
      </c>
      <c s="36" r="B74"/>
      <c s="31" r="C74"/>
      <c s="31" r="D74"/>
      <c s="31" r="E74"/>
      <c s="31" r="F74"/>
      <c s="2" r="G74"/>
      <c s="6" r="H74"/>
    </row>
    <row r="75">
      <c s="13" r="A75">
        <v>73</v>
      </c>
      <c s="23" r="B75"/>
      <c s="13" r="C75"/>
      <c s="13" r="D75"/>
      <c s="13" r="E75"/>
      <c s="13" r="F75"/>
      <c s="22" r="G75"/>
      <c s="43" r="H75"/>
    </row>
    <row r="76">
      <c s="31" r="A76">
        <v>74</v>
      </c>
      <c s="36" r="B76"/>
      <c s="31" r="C76"/>
      <c s="31" r="D76"/>
      <c s="31" r="E76"/>
      <c s="31" r="F76"/>
      <c s="2" r="G76"/>
      <c s="6" r="H76"/>
    </row>
    <row r="77">
      <c s="13" r="A77">
        <v>75</v>
      </c>
      <c s="23" r="B77"/>
      <c s="13" r="C77"/>
      <c s="13" r="D77"/>
      <c s="13" r="E77"/>
      <c s="13" r="F77"/>
      <c s="22" r="G77"/>
      <c s="43" r="H77"/>
    </row>
    <row r="78">
      <c s="31" r="A78">
        <v>76</v>
      </c>
      <c s="36" r="B78"/>
      <c s="31" r="C78"/>
      <c s="31" r="D78"/>
      <c s="31" r="E78"/>
      <c s="31" r="F78"/>
      <c s="2" r="G78"/>
      <c s="6" r="H78"/>
    </row>
    <row r="79">
      <c s="13" r="A79">
        <v>77</v>
      </c>
      <c s="23" r="B79"/>
      <c s="13" r="C79"/>
      <c s="13" r="D79"/>
      <c s="13" r="E79"/>
      <c s="13" r="F79"/>
      <c s="22" r="G79"/>
      <c s="43" r="H79"/>
    </row>
    <row r="80">
      <c s="31" r="A80">
        <v>78</v>
      </c>
      <c s="36" r="B80"/>
      <c s="31" r="C80"/>
      <c s="31" r="D80"/>
      <c s="31" r="E80"/>
      <c s="31" r="F80"/>
      <c s="2" r="G80"/>
      <c s="6" r="H80"/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hyperlink("http://www.baseball-reference.com/players/m/mcdonjo03.shtml","McDonald, John")</f>
        <v>McDonald, John</v>
      </c>
      <c t="s" s="13" r="C3">
        <v>17</v>
      </c>
      <c t="s" s="9" r="D3">
        <v>18</v>
      </c>
      <c t="s" s="9" r="E3">
        <v>18</v>
      </c>
      <c s="18" r="F3">
        <v>40849</v>
      </c>
      <c t="str" s="22" r="G3">
        <f>hyperlink("http://espn.go.com/mlb/story/_/id/7183758/infielder-john-mcdonald-agrees-two-year-deal-arizona-diamondbacks","Two-year contract")</f>
        <v>Two-year contract</v>
      </c>
      <c s="43" r="H3">
        <v>3000000</v>
      </c>
    </row>
    <row r="4">
      <c s="46" r="A4">
        <v>2</v>
      </c>
      <c t="str" s="44" r="B4">
        <f>hyperlink("http://www.baseball-reference.com/players/b/bloomwi01.shtml","Bloomquist, Willie")</f>
        <v>Bloomquist, Willie</v>
      </c>
      <c t="s" s="46" r="C4">
        <v>32</v>
      </c>
      <c t="s" s="9" r="D4">
        <v>18</v>
      </c>
      <c t="s" s="9" r="E4">
        <v>18</v>
      </c>
      <c s="32" r="F4">
        <v>40856</v>
      </c>
      <c t="str" s="42" r="G4">
        <f>hyperlink("http://espn.go.com/mlb/story/_/id/7213139/arizona-diamondbacks-agree-two-year-deal-willie-bloomquist","Two-year contract")</f>
        <v>Two-year contract</v>
      </c>
      <c s="48" r="H4">
        <v>3800000</v>
      </c>
    </row>
    <row r="5">
      <c s="13" r="A5">
        <v>3</v>
      </c>
      <c t="str" s="45" r="B5">
        <f>hyperlink("http://www.baseball-reference.com/players/r/rodrilu01.shtml","Rodriguez, Luis")</f>
        <v>Rodriguez, Luis</v>
      </c>
      <c t="s" s="13" r="C5">
        <v>17</v>
      </c>
      <c t="s" s="9" r="D5">
        <v>44</v>
      </c>
      <c t="s" s="9" r="E5">
        <v>44</v>
      </c>
      <c s="18" r="F5">
        <v>40864</v>
      </c>
      <c t="s" s="1" r="G5">
        <v>16</v>
      </c>
      <c t="s" s="43" r="H5">
        <v>12</v>
      </c>
    </row>
    <row r="6">
      <c s="46" r="A6">
        <v>4</v>
      </c>
      <c t="str" s="36" r="B6">
        <f>hyperlink("http://www.baseball-reference.com/players/b/barmecl01.shtml","Barmes, Clint")</f>
        <v>Barmes, Clint</v>
      </c>
      <c t="s" s="31" r="C6">
        <v>17</v>
      </c>
      <c t="s" s="31" r="D6">
        <v>31</v>
      </c>
      <c t="s" s="31" r="E6">
        <v>15</v>
      </c>
      <c s="37" r="F6">
        <v>40868</v>
      </c>
      <c t="str" s="2" r="G6">
        <f>hyperlink("http://pittsburgh.pirates.mlb.com/news/article.jsp?ymd=20111121&amp;content_id=26016208&amp;vkey=news_pit&amp;c_id=pit","Two-year contract")</f>
        <v>Two-year contract</v>
      </c>
      <c s="6" r="H6">
        <v>10500000</v>
      </c>
    </row>
    <row r="7">
      <c s="13" r="A7">
        <v>5</v>
      </c>
      <c t="str" s="23" r="B7">
        <f>hyperlink("http://www.baseball-reference.com/players/w/wilsojo03.shtml","Wilson, Josh")</f>
        <v>Wilson, Josh</v>
      </c>
      <c t="s" s="13" r="C7">
        <v>32</v>
      </c>
      <c t="s" s="13" r="D7">
        <v>34</v>
      </c>
      <c t="s" s="13" r="E7">
        <v>10</v>
      </c>
      <c s="18" r="F7">
        <v>40869</v>
      </c>
      <c t="s" s="39" r="G7">
        <v>16</v>
      </c>
      <c t="s" s="43" r="H7">
        <v>12</v>
      </c>
    </row>
    <row r="8">
      <c s="46" r="A8">
        <v>6</v>
      </c>
      <c t="str" s="36" r="B8">
        <f>hyperlink("http://www.baseball-reference.com/players/h/hernadi01.shtml","Hernandez, Diory")</f>
        <v>Hernandez, Diory</v>
      </c>
      <c t="s" s="31" r="C8">
        <v>32</v>
      </c>
      <c t="s" s="31" r="D8">
        <v>10</v>
      </c>
      <c t="s" s="31" r="E8">
        <v>31</v>
      </c>
      <c s="37" r="F8">
        <v>40879</v>
      </c>
      <c t="s" s="1" r="G8">
        <v>16</v>
      </c>
      <c t="s" s="6" r="H8">
        <v>12</v>
      </c>
    </row>
    <row r="9">
      <c s="13" r="A9">
        <v>7</v>
      </c>
      <c t="str" s="23" r="B9">
        <f>hyperlink("http://www.baseball-reference.com/players/r/reyesjo01.shtml","Reyes, Jose")</f>
        <v>Reyes, Jose</v>
      </c>
      <c t="s" s="13" r="C9">
        <v>17</v>
      </c>
      <c t="s" s="13" r="D9">
        <v>38</v>
      </c>
      <c t="s" s="13" r="E9">
        <v>40</v>
      </c>
      <c s="18" r="F9">
        <v>40884</v>
      </c>
      <c t="str" s="22" r="G9">
        <f>hyperlink("http://aol.sportingnews.com/mlb/feed/2011-10/hot-stove-league/story/marlins-formally-announce-signing-of-ss-jose-reyes","Six-year contract with option")</f>
        <v>Six-year contract with option</v>
      </c>
      <c s="43" r="H9">
        <v>106000000</v>
      </c>
    </row>
    <row r="10">
      <c s="46" r="A10">
        <v>8</v>
      </c>
      <c t="str" s="36" r="B10">
        <f>hyperlink("http://www.baseball-reference.com/players/f/furcara02.shtml","Furcal, Rafael")</f>
        <v>Furcal, Rafael</v>
      </c>
      <c t="s" s="31" r="C10">
        <v>17</v>
      </c>
      <c t="s" s="9" r="D10">
        <v>46</v>
      </c>
      <c t="s" s="9" r="E10">
        <v>46</v>
      </c>
      <c s="37" r="F10">
        <v>40887</v>
      </c>
      <c t="str" s="2" r="G10">
        <f>hyperlink("http://mlb.mlb.com/news/article.jsp?ymd=20111210&amp;content_id=26143184&amp;vkey=news_mlb&amp;c_id=mlb","Two-year contract")</f>
        <v>Two-year contract</v>
      </c>
      <c s="6" r="H10">
        <v>14000000</v>
      </c>
    </row>
    <row r="11">
      <c s="13" r="A11">
        <v>9</v>
      </c>
      <c t="str" s="23" r="B11">
        <f>hyperlink("http://www.baseball-reference.com/players/g/gonzaal02.shtml","Gonzalez, Alex")</f>
        <v>Gonzalez, Alex</v>
      </c>
      <c t="s" s="13" r="C11">
        <v>17</v>
      </c>
      <c t="s" s="13" r="D11">
        <v>10</v>
      </c>
      <c t="s" s="13" r="E11">
        <v>34</v>
      </c>
      <c s="18" r="F11">
        <v>40889</v>
      </c>
      <c t="str" s="22" r="G11">
        <f>hyperlink("http://hardballtalk.nbcsports.com/2011/12/14/alex-gonzalezs-one-year-4-25-million-deal-with-brewers-has-vesting-option-for-2013/","One-year contract with option")</f>
        <v>One-year contract with option</v>
      </c>
      <c s="43" r="H11">
        <v>4250000</v>
      </c>
    </row>
    <row r="12">
      <c s="46" r="A12">
        <v>10</v>
      </c>
      <c t="str" s="36" r="B12">
        <f>hyperlink("http://www.baseball-reference.com/players/l/lowrije01.shtml","Lowrie, Jed")</f>
        <v>Lowrie, Jed</v>
      </c>
      <c t="s" s="31" r="C12">
        <v>17</v>
      </c>
      <c t="s" s="31" r="D12">
        <v>41</v>
      </c>
      <c t="s" s="31" r="E12">
        <v>31</v>
      </c>
      <c s="37" r="F12">
        <v>40891</v>
      </c>
      <c t="str" s="30" r="G12">
        <f>hyperlink("http://mlb.mlb.com/news/article.jsp?ymd=20111214&amp;content_id=26162792&amp;vkey=news_mlb&amp;c_id=mlb","Traded with Kyle Weiland for Mark Melancon")</f>
        <v>Traded with Kyle Weiland for Mark Melancon</v>
      </c>
      <c t="s" s="6" r="H12">
        <v>12</v>
      </c>
    </row>
    <row r="13">
      <c s="13" r="A13">
        <v>11</v>
      </c>
      <c t="str" s="23" r="B13">
        <f>hyperlink("http://www.baseball-reference.com/players/b/blancan01.shtml","Blanco, Andres")</f>
        <v>Blanco, Andres</v>
      </c>
      <c t="s" s="13" r="C13">
        <v>17</v>
      </c>
      <c t="s" s="13" r="D13">
        <v>14</v>
      </c>
      <c t="s" s="13" r="E13">
        <v>24</v>
      </c>
      <c s="18" r="F13">
        <v>40893</v>
      </c>
      <c t="s" s="1" r="G13">
        <v>16</v>
      </c>
      <c t="s" s="43" r="H13">
        <v>12</v>
      </c>
    </row>
    <row r="14">
      <c s="46" r="A14">
        <v>12</v>
      </c>
      <c t="str" s="44" r="B14">
        <f>hyperlink("http://www.baseball-reference.com/players/r/rolliji01.shtml","Rollins, Jimmy")</f>
        <v>Rollins, Jimmy</v>
      </c>
      <c t="s" s="31" r="C14">
        <v>17</v>
      </c>
      <c t="s" s="9" r="D14">
        <v>27</v>
      </c>
      <c t="s" s="9" r="E14">
        <v>27</v>
      </c>
      <c s="37" r="F14">
        <v>40894</v>
      </c>
      <c t="str" s="2" r="G14">
        <f>hyperlink("http://espn.go.com/mlb/story/_/id/7362574/2011-mlb-free-agency-jimmy-rollins-philadelphia-phillies-agree-three-year-33m-deal-source-says","Three-year contract with option")</f>
        <v>Three-year contract with option</v>
      </c>
      <c s="6" r="H14">
        <v>33000000</v>
      </c>
    </row>
    <row r="15">
      <c s="13" r="A15">
        <v>13</v>
      </c>
      <c t="str" s="45" r="B15">
        <f>hyperlink("http://www.baseball-reference.com/players/b/betanyu01.shtml","Betancourt, Yuniesky")</f>
        <v>Betancourt, Yuniesky</v>
      </c>
      <c t="s" s="13" r="C15">
        <v>17</v>
      </c>
      <c t="s" s="13" r="D15">
        <v>34</v>
      </c>
      <c t="s" s="13" r="E15">
        <v>28</v>
      </c>
      <c s="18" r="F15">
        <v>40897</v>
      </c>
      <c t="str" s="22" r="G15">
        <f>hyperlink("http://www.kansascity.com/2011/12/20/3330163/royals.html","One-year contract")</f>
        <v>One-year contract</v>
      </c>
      <c s="43" r="H15">
        <v>2000000</v>
      </c>
    </row>
    <row r="16">
      <c s="46" r="A16">
        <v>14</v>
      </c>
      <c t="str" s="44" r="B16">
        <f>hyperlink("http://www.baseball-reference.com/players/i/izturce01.shtml","Izturis, Cesar")</f>
        <v>Izturis, Cesar</v>
      </c>
      <c t="s" s="31" r="C16">
        <v>17</v>
      </c>
      <c t="s" s="31" r="D16">
        <v>33</v>
      </c>
      <c t="s" s="31" r="E16">
        <v>34</v>
      </c>
      <c s="37" r="F16">
        <v>40898</v>
      </c>
      <c t="s" s="1" r="G16">
        <v>16</v>
      </c>
      <c s="6" r="H16"/>
    </row>
    <row r="17">
      <c s="13" r="A17">
        <v>15</v>
      </c>
      <c t="str" s="45" r="B17">
        <f>hyperlink("http://www.baseball-reference.com/players/b/bococbr01.shtml","Bocock, Brian")</f>
        <v>Bocock, Brian</v>
      </c>
      <c t="s" s="13" r="C17">
        <v>17</v>
      </c>
      <c t="s" s="13" r="D17">
        <v>15</v>
      </c>
      <c t="s" s="13" r="E17">
        <v>25</v>
      </c>
      <c s="18" r="F17">
        <v>40908</v>
      </c>
      <c t="s" s="1" r="G17">
        <v>16</v>
      </c>
      <c t="s" s="13" r="H17">
        <v>12</v>
      </c>
    </row>
    <row r="18">
      <c s="46" r="A18">
        <v>16</v>
      </c>
      <c t="str" s="44" r="B18">
        <f>hyperlink("http://www.baseball-reference.com/players/g/gilje01.shtml","Gil, Jerry")</f>
        <v>Gil, Jerry</v>
      </c>
      <c t="s" s="31" r="C18">
        <v>17</v>
      </c>
      <c t="s" s="31" r="D18">
        <v>36</v>
      </c>
      <c t="s" s="31" r="E18">
        <v>25</v>
      </c>
      <c s="37" r="F18">
        <v>40908</v>
      </c>
      <c t="s" s="1" r="G18">
        <v>16</v>
      </c>
      <c t="s" s="31" r="H18">
        <v>12</v>
      </c>
    </row>
    <row r="19">
      <c s="13" r="A19">
        <v>17</v>
      </c>
      <c t="str" s="45" r="B19">
        <f>hyperlink("http://www.baseball-reference.com/players/q/quintom01.shtml","Quintanilla, Omar")</f>
        <v>Quintanilla, Omar</v>
      </c>
      <c t="s" s="13" r="C19">
        <v>32</v>
      </c>
      <c t="s" s="13" r="D19">
        <v>14</v>
      </c>
      <c t="s" s="13" r="E19">
        <v>38</v>
      </c>
      <c s="18" r="F19">
        <v>40911</v>
      </c>
      <c t="s" s="1" r="G19">
        <v>16</v>
      </c>
      <c t="s" s="43" r="H19">
        <v>12</v>
      </c>
    </row>
    <row r="20">
      <c s="46" r="A20">
        <v>18</v>
      </c>
      <c t="str" s="33" r="B20">
        <f>hyperlink("http://www.baseball-reference.com/players/c/cedenro02.shtml","Cedeno, Ronny")</f>
        <v>Cedeno, Ronny</v>
      </c>
      <c t="s" s="46" r="C20">
        <v>17</v>
      </c>
      <c t="s" s="46" r="D20">
        <v>15</v>
      </c>
      <c t="s" s="46" r="E20">
        <v>38</v>
      </c>
      <c s="32" r="F20">
        <v>40914</v>
      </c>
      <c t="str" s="42" r="G20">
        <f>hyperlink("http://espn.go.com/blog/new-york/mets/post/_/id/37442/mets-cedeno-reach-deal","One-year contract")</f>
        <v>One-year contract</v>
      </c>
      <c s="48" r="H20">
        <v>1100000</v>
      </c>
    </row>
    <row r="21">
      <c s="13" r="A21">
        <v>19</v>
      </c>
      <c t="str" s="45" r="B21">
        <f>hyperlink("http://www.baseball-reference.com/players/h/huch01.shtml","Hu, Chin-lung")</f>
        <v>Hu, Chin-lung</v>
      </c>
      <c t="s" s="13" r="C21">
        <v>17</v>
      </c>
      <c t="s" s="13" r="D21">
        <v>38</v>
      </c>
      <c t="s" s="13" r="E21">
        <v>11</v>
      </c>
      <c s="18" r="F21">
        <v>40917</v>
      </c>
      <c t="s" s="1" r="G21">
        <v>16</v>
      </c>
      <c t="s" s="43" r="H21">
        <v>12</v>
      </c>
    </row>
    <row r="22">
      <c s="46" r="A22">
        <v>20</v>
      </c>
      <c t="str" s="44" r="B22">
        <f>hyperlink("http://www.baseball-reference.com/players/k/kazmase01.shtml","Kazmar, Sean")</f>
        <v>Kazmar, Sean</v>
      </c>
      <c t="s" s="31" r="C22">
        <v>17</v>
      </c>
      <c t="s" s="31" r="D22">
        <v>44</v>
      </c>
      <c t="s" s="31" r="E22">
        <v>38</v>
      </c>
      <c s="37" r="F22">
        <v>40918</v>
      </c>
      <c t="s" s="1" r="G22">
        <v>16</v>
      </c>
      <c t="s" s="6" r="H22">
        <v>12</v>
      </c>
    </row>
    <row r="23">
      <c s="13" r="A23">
        <v>21</v>
      </c>
      <c t="str" s="45" r="B23">
        <f>hyperlink("http://www.baseball-reference.com/players/w/wilsoja02.shtml","Wilson, Jack")</f>
        <v>Wilson, Jack</v>
      </c>
      <c t="s" s="13" r="C23">
        <v>32</v>
      </c>
      <c t="s" s="9" r="D23">
        <v>10</v>
      </c>
      <c t="s" s="9" r="E23">
        <v>10</v>
      </c>
      <c s="18" r="F23">
        <v>40921</v>
      </c>
      <c t="str" s="22" r="G23">
        <f>hyperlink("http://espn.go.com/mlb/story/_/id/7460130/martin-prado-agrees-475-million-deal-atlanta-braves","One-year contract")</f>
        <v>One-year contract</v>
      </c>
      <c s="43" r="H23">
        <v>1000000</v>
      </c>
    </row>
    <row r="24">
      <c s="46" r="A24">
        <v>22</v>
      </c>
      <c t="str" s="33" r="B24">
        <f>hyperlink("http://www.baseball-reference.com/players/s/scutama01.shtml","Scutaro, Marco")</f>
        <v>Scutaro, Marco</v>
      </c>
      <c t="s" s="31" r="C24">
        <v>17</v>
      </c>
      <c t="s" s="31" r="D24">
        <v>41</v>
      </c>
      <c t="s" s="31" r="E24">
        <v>22</v>
      </c>
      <c s="37" r="F24">
        <v>40929</v>
      </c>
      <c t="str" s="30" r="G24">
        <f>hyperlink("http://espn.go.com/boston/mlb/story/_/id/7487532/boston-red-sox-deal-marco-scutaro-colorado-rockies-clayton-mortensen","Traded for Clayton Mortensen")</f>
        <v>Traded for Clayton Mortensen</v>
      </c>
      <c t="s" s="6" r="H24">
        <v>12</v>
      </c>
    </row>
    <row r="25">
      <c s="13" r="A25">
        <v>23</v>
      </c>
      <c t="str" s="23" r="B25">
        <f>hyperlink("http://www.baseball-reference.com/players/v/valdewi01.shtml","Valdez, Wilson")</f>
        <v>Valdez, Wilson</v>
      </c>
      <c t="s" s="13" r="C25">
        <v>32</v>
      </c>
      <c t="s" s="13" r="D25">
        <v>27</v>
      </c>
      <c t="s" s="13" r="E25">
        <v>36</v>
      </c>
      <c s="18" r="F25">
        <v>40933</v>
      </c>
      <c t="str" s="30" r="G25">
        <f>hyperlink("http://espn.go.com/mlb/story/_/id/7503563/cincinnati-reds-land-infielder-wilson-valdez-trade-philadelphia-phillies","Traded for Jeremy Horst")</f>
        <v>Traded for Jeremy Horst</v>
      </c>
      <c t="s" s="43" r="H25">
        <v>12</v>
      </c>
    </row>
    <row r="26">
      <c s="46" r="A26">
        <v>24</v>
      </c>
      <c t="str" s="36" r="B26">
        <f>hyperlink("http://www.baseball-reference.com/players/t/theriry01.shtml","Theriot, Ryan")</f>
        <v>Theriot, Ryan</v>
      </c>
      <c t="s" s="31" r="C26">
        <v>32</v>
      </c>
      <c t="s" s="31" r="D26">
        <v>46</v>
      </c>
      <c t="s" s="31" r="E26">
        <v>29</v>
      </c>
      <c s="37" r="F26">
        <v>40947</v>
      </c>
      <c t="str" s="2" r="G26">
        <f>hyperlink("http://espn.go.com/mlb/story/_/id/7510521/ryan-theriot-san-francisco-giants-agree-125m-deal","One-year contract")</f>
        <v>One-year contract</v>
      </c>
      <c s="6" r="H26">
        <v>1250000</v>
      </c>
    </row>
    <row r="27">
      <c s="13" r="A27">
        <v>25</v>
      </c>
      <c t="str" s="23" r="B27">
        <f>hyperlink("http://www.baseball-reference.com/players/b/bernido01.shtml","Bernier, Doug")</f>
        <v>Bernier, Doug</v>
      </c>
      <c t="s" s="13" r="C27">
        <v>17</v>
      </c>
      <c t="s" s="13" r="D27">
        <v>45</v>
      </c>
      <c t="s" s="13" r="E27">
        <v>45</v>
      </c>
      <c s="18" r="F27">
        <v>40947</v>
      </c>
      <c t="s" s="1" r="G27">
        <v>16</v>
      </c>
      <c t="s" s="43" r="H27">
        <v>12</v>
      </c>
    </row>
    <row r="28">
      <c s="46" r="A28">
        <v>26</v>
      </c>
      <c s="36" r="B28"/>
      <c s="31" r="C28"/>
      <c s="31" r="D28"/>
      <c s="31" r="E28"/>
      <c s="31" r="F28"/>
      <c s="2" r="G28"/>
      <c s="6" r="H28"/>
    </row>
    <row r="29">
      <c s="13" r="A29">
        <v>27</v>
      </c>
      <c s="23" r="B29"/>
      <c s="13" r="C29"/>
      <c s="13" r="D29"/>
      <c s="13" r="E29"/>
      <c s="13" r="F29"/>
      <c s="22" r="G29"/>
      <c s="43" r="H29"/>
    </row>
    <row r="30">
      <c s="46" r="A30">
        <v>28</v>
      </c>
      <c s="33" r="B30"/>
      <c s="46" r="C30"/>
      <c s="46" r="D30"/>
      <c s="46" r="E30"/>
      <c s="46" r="F30"/>
      <c s="42" r="G30"/>
      <c s="48" r="H30"/>
    </row>
    <row r="31">
      <c s="13" r="A31">
        <v>29</v>
      </c>
      <c s="23" r="B31"/>
      <c s="13" r="C31"/>
      <c s="13" r="D31"/>
      <c s="13" r="E31"/>
      <c s="13" r="F31"/>
      <c s="22" r="G31"/>
      <c s="43" r="H31"/>
    </row>
    <row r="32">
      <c s="46" r="A32">
        <v>30</v>
      </c>
      <c s="33" r="B32"/>
      <c s="46" r="C32"/>
      <c s="46" r="D32"/>
      <c s="46" r="E32"/>
      <c s="46" r="F32"/>
      <c s="42" r="G32"/>
      <c s="48" r="H32"/>
    </row>
    <row r="33">
      <c s="13" r="A33">
        <v>31</v>
      </c>
      <c s="23" r="B33"/>
      <c s="13" r="C33"/>
      <c s="13" r="D33"/>
      <c s="13" r="E33"/>
      <c s="13" r="F33"/>
      <c s="22" r="G33"/>
      <c s="43" r="H33"/>
    </row>
    <row r="34">
      <c s="46" r="A34">
        <v>32</v>
      </c>
      <c s="33" r="B34"/>
      <c s="46" r="C34"/>
      <c s="46" r="D34"/>
      <c s="46" r="E34"/>
      <c s="46" r="F34"/>
      <c s="42" r="G34"/>
      <c s="48" r="H34"/>
    </row>
    <row r="35">
      <c s="13" r="A35">
        <v>33</v>
      </c>
      <c s="23" r="B35"/>
      <c s="13" r="C35"/>
      <c s="13" r="D35"/>
      <c s="13" r="E35"/>
      <c s="13" r="F35"/>
      <c s="22" r="G35"/>
      <c s="43" r="H35"/>
    </row>
    <row r="36">
      <c s="46" r="A36">
        <v>34</v>
      </c>
      <c s="33" r="B36"/>
      <c s="46" r="C36"/>
      <c s="46" r="D36"/>
      <c s="46" r="E36"/>
      <c s="46" r="F36"/>
      <c s="42" r="G36"/>
      <c s="48" r="H36"/>
    </row>
    <row r="37">
      <c s="13" r="A37">
        <v>35</v>
      </c>
      <c s="23" r="B37"/>
      <c s="13" r="C37"/>
      <c s="13" r="D37"/>
      <c s="13" r="E37"/>
      <c s="13" r="F37"/>
      <c s="22" r="G37"/>
      <c s="43" r="H37"/>
    </row>
    <row r="38">
      <c s="46" r="A38">
        <v>36</v>
      </c>
      <c s="33" r="B38"/>
      <c s="46" r="C38"/>
      <c s="46" r="D38"/>
      <c s="46" r="E38"/>
      <c s="46" r="F38"/>
      <c s="42" r="G38"/>
      <c s="48" r="H38"/>
    </row>
    <row r="39">
      <c s="13" r="A39">
        <v>37</v>
      </c>
      <c s="23" r="B39"/>
      <c s="13" r="C39"/>
      <c s="13" r="D39"/>
      <c s="13" r="E39"/>
      <c s="13" r="F39"/>
      <c s="22" r="G39"/>
      <c s="43" r="H39"/>
    </row>
    <row r="40">
      <c s="46" r="A40">
        <v>38</v>
      </c>
      <c s="33" r="B40"/>
      <c s="46" r="C40"/>
      <c s="46" r="D40"/>
      <c s="46" r="E40"/>
      <c s="46" r="F40"/>
      <c s="42" r="G40"/>
      <c s="48" r="H40"/>
    </row>
    <row r="41">
      <c s="13" r="A41">
        <v>39</v>
      </c>
      <c s="23" r="B41"/>
      <c s="13" r="C41"/>
      <c s="13" r="D41"/>
      <c s="13" r="E41"/>
      <c s="13" r="F41"/>
      <c s="22" r="G41"/>
      <c s="43" r="H41"/>
    </row>
    <row r="42">
      <c s="46" r="A42">
        <v>40</v>
      </c>
      <c s="33" r="B42"/>
      <c s="46" r="C42"/>
      <c s="46" r="D42"/>
      <c s="46" r="E42"/>
      <c s="46" r="F42"/>
      <c s="42" r="G42"/>
      <c s="48" r="H42"/>
    </row>
    <row r="43">
      <c s="13" r="A43">
        <v>41</v>
      </c>
      <c s="23" r="B43"/>
      <c s="13" r="C43"/>
      <c s="13" r="D43"/>
      <c s="13" r="E43"/>
      <c s="13" r="F43"/>
      <c s="22" r="G43"/>
      <c s="43" r="H43"/>
    </row>
    <row r="44">
      <c s="46" r="A44">
        <v>42</v>
      </c>
      <c s="33" r="B44"/>
      <c s="46" r="C44"/>
      <c s="46" r="D44"/>
      <c s="46" r="E44"/>
      <c s="46" r="F44"/>
      <c s="42" r="G44"/>
      <c s="48" r="H44"/>
    </row>
    <row r="45">
      <c s="13" r="A45">
        <v>43</v>
      </c>
      <c s="23" r="B45"/>
      <c s="13" r="C45"/>
      <c s="13" r="D45"/>
      <c s="13" r="E45"/>
      <c s="13" r="F45"/>
      <c s="22" r="G45"/>
      <c s="43" r="H45"/>
    </row>
    <row r="46">
      <c s="46" r="A46">
        <v>44</v>
      </c>
      <c s="33" r="B46"/>
      <c s="46" r="C46"/>
      <c s="46" r="D46"/>
      <c s="46" r="E46"/>
      <c s="46" r="F46"/>
      <c s="42" r="G46"/>
      <c s="48" r="H46"/>
    </row>
    <row r="47">
      <c s="13" r="A47">
        <v>45</v>
      </c>
      <c s="23" r="B47"/>
      <c s="13" r="C47"/>
      <c s="13" r="D47"/>
      <c s="13" r="E47"/>
      <c s="13" r="F47"/>
      <c s="22" r="G47"/>
      <c s="43" r="H47"/>
    </row>
    <row r="48">
      <c s="46" r="A48">
        <v>46</v>
      </c>
      <c s="36" r="B48"/>
      <c s="31" r="C48"/>
      <c s="31" r="D48"/>
      <c s="31" r="E48"/>
      <c s="31" r="F48"/>
      <c s="2" r="G48"/>
      <c s="6" r="H48"/>
    </row>
    <row r="49">
      <c s="13" r="A49">
        <v>47</v>
      </c>
      <c s="23" r="B49"/>
      <c s="13" r="C49"/>
      <c s="13" r="D49"/>
      <c s="13" r="E49"/>
      <c s="13" r="F49"/>
      <c s="22" r="G49"/>
      <c s="43" r="H49"/>
    </row>
    <row r="50">
      <c s="46" r="A50">
        <v>48</v>
      </c>
      <c s="36" r="B50"/>
      <c s="31" r="C50"/>
      <c s="31" r="D50"/>
      <c s="31" r="E50"/>
      <c s="31" r="F50"/>
      <c s="2" r="G50"/>
      <c s="6" r="H50"/>
    </row>
    <row r="51">
      <c s="13" r="A51">
        <v>49</v>
      </c>
      <c s="23" r="B51"/>
      <c s="13" r="C51"/>
      <c s="13" r="D51"/>
      <c s="13" r="E51"/>
      <c s="13" r="F51"/>
      <c s="22" r="G51"/>
      <c s="43" r="H51"/>
    </row>
    <row r="52">
      <c s="46" r="A52">
        <v>50</v>
      </c>
      <c s="36" r="B52"/>
      <c s="31" r="C52"/>
      <c s="31" r="D52"/>
      <c s="31" r="E52"/>
      <c s="31" r="F52"/>
      <c s="2" r="G52"/>
      <c s="6" r="H52"/>
    </row>
    <row r="53">
      <c s="13" r="A53">
        <v>51</v>
      </c>
      <c s="23" r="B53"/>
      <c s="13" r="C53"/>
      <c s="13" r="D53"/>
      <c s="13" r="E53"/>
      <c s="13" r="F53"/>
      <c s="22" r="G53"/>
      <c s="43" r="H53"/>
    </row>
    <row r="54">
      <c s="46" r="A54">
        <v>52</v>
      </c>
      <c s="33" r="B54"/>
      <c s="46" r="C54"/>
      <c s="46" r="D54"/>
      <c s="46" r="E54"/>
      <c s="46" r="F54"/>
      <c s="42" r="G54"/>
      <c s="48" r="H54"/>
    </row>
    <row r="55">
      <c s="13" r="A55">
        <v>53</v>
      </c>
      <c s="23" r="B55"/>
      <c s="13" r="C55"/>
      <c s="13" r="D55"/>
      <c s="13" r="E55"/>
      <c s="13" r="F55"/>
      <c s="22" r="G55"/>
      <c s="43" r="H55"/>
    </row>
    <row r="56">
      <c s="46" r="A56">
        <v>54</v>
      </c>
      <c s="33" r="B56"/>
      <c s="46" r="C56"/>
      <c s="46" r="D56"/>
      <c s="46" r="E56"/>
      <c s="46" r="F56"/>
      <c s="42" r="G56"/>
      <c s="48" r="H56"/>
    </row>
    <row r="57">
      <c s="13" r="A57">
        <v>55</v>
      </c>
      <c s="23" r="B57"/>
      <c s="13" r="C57"/>
      <c s="13" r="D57"/>
      <c s="13" r="E57"/>
      <c s="13" r="F57"/>
      <c s="22" r="G57"/>
      <c s="43" r="H57"/>
    </row>
    <row r="58">
      <c s="31" r="A58">
        <v>56</v>
      </c>
      <c s="36" r="B58"/>
      <c s="31" r="C58"/>
      <c s="31" r="D58"/>
      <c s="31" r="E58"/>
      <c s="31" r="F58"/>
      <c s="2" r="G58"/>
      <c s="6" r="H58"/>
    </row>
    <row r="59">
      <c s="13" r="A59">
        <v>57</v>
      </c>
      <c s="23" r="B59"/>
      <c s="13" r="C59"/>
      <c s="13" r="D59"/>
      <c s="13" r="E59"/>
      <c s="13" r="F59"/>
      <c s="22" r="G59"/>
      <c s="43" r="H59"/>
    </row>
    <row r="60">
      <c s="31" r="A60">
        <v>58</v>
      </c>
      <c s="36" r="B60"/>
      <c s="31" r="C60"/>
      <c s="31" r="D60"/>
      <c s="31" r="E60"/>
      <c s="31" r="F60"/>
      <c s="2" r="G60"/>
      <c s="6" r="H60"/>
    </row>
    <row r="61">
      <c s="13" r="A61">
        <v>59</v>
      </c>
      <c s="23" r="B61"/>
      <c s="13" r="C61"/>
      <c s="13" r="D61"/>
      <c s="13" r="E61"/>
      <c s="13" r="F61"/>
      <c s="22" r="G61"/>
      <c s="43" r="H61"/>
    </row>
    <row r="62">
      <c s="31" r="A62">
        <v>60</v>
      </c>
      <c s="36" r="B62"/>
      <c s="31" r="C62"/>
      <c s="31" r="D62"/>
      <c s="31" r="E62"/>
      <c s="31" r="F62"/>
      <c s="2" r="G62"/>
      <c s="6" r="H62"/>
    </row>
    <row r="63">
      <c s="13" r="A63">
        <v>61</v>
      </c>
      <c s="23" r="B63"/>
      <c s="13" r="C63"/>
      <c s="13" r="D63"/>
      <c s="13" r="E63"/>
      <c s="13" r="F63"/>
      <c s="22" r="G63"/>
      <c s="43" r="H63"/>
    </row>
    <row r="64">
      <c s="31" r="A64">
        <v>62</v>
      </c>
      <c s="36" r="B64"/>
      <c s="31" r="C64"/>
      <c s="31" r="D64"/>
      <c s="31" r="E64"/>
      <c s="31" r="F64"/>
      <c s="2" r="G64"/>
      <c s="6" r="H64"/>
    </row>
    <row r="65">
      <c s="13" r="A65">
        <v>63</v>
      </c>
      <c s="23" r="B65"/>
      <c s="13" r="C65"/>
      <c s="13" r="D65"/>
      <c s="13" r="E65"/>
      <c s="13" r="F65"/>
      <c s="22" r="G65"/>
      <c s="43" r="H65"/>
    </row>
    <row r="66">
      <c s="31" r="A66">
        <v>64</v>
      </c>
      <c s="36" r="B66"/>
      <c s="31" r="C66"/>
      <c s="31" r="D66"/>
      <c s="31" r="E66"/>
      <c s="31" r="F66"/>
      <c s="2" r="G66"/>
      <c s="6" r="H66"/>
    </row>
    <row r="67">
      <c s="13" r="A67">
        <v>65</v>
      </c>
      <c s="23" r="B67"/>
      <c s="13" r="C67"/>
      <c s="13" r="D67"/>
      <c s="13" r="E67"/>
      <c s="13" r="F67"/>
      <c s="22" r="G67"/>
      <c s="43" r="H67"/>
    </row>
    <row r="68">
      <c s="31" r="A68">
        <v>66</v>
      </c>
      <c s="36" r="B68"/>
      <c s="31" r="C68"/>
      <c s="31" r="D68"/>
      <c s="31" r="E68"/>
      <c s="31" r="F68"/>
      <c s="2" r="G68"/>
      <c s="6" r="H68"/>
    </row>
    <row r="69">
      <c s="13" r="A69">
        <v>67</v>
      </c>
      <c s="23" r="B69"/>
      <c s="13" r="C69"/>
      <c s="13" r="D69"/>
      <c s="13" r="E69"/>
      <c s="13" r="F69"/>
      <c s="22" r="G69"/>
      <c s="43" r="H69"/>
    </row>
    <row r="70">
      <c s="31" r="A70">
        <v>68</v>
      </c>
      <c s="36" r="B70"/>
      <c s="31" r="C70"/>
      <c s="31" r="D70"/>
      <c s="31" r="E70"/>
      <c s="31" r="F70"/>
      <c s="2" r="G70"/>
      <c s="6" r="H70"/>
    </row>
    <row r="71">
      <c s="13" r="A71">
        <v>69</v>
      </c>
      <c s="23" r="B71"/>
      <c s="13" r="C71"/>
      <c s="13" r="D71"/>
      <c s="13" r="E71"/>
      <c s="13" r="F71"/>
      <c s="22" r="G71"/>
      <c s="43" r="H71"/>
    </row>
    <row r="72">
      <c s="31" r="A72">
        <v>70</v>
      </c>
      <c s="36" r="B72"/>
      <c s="31" r="C72"/>
      <c s="31" r="D72"/>
      <c s="31" r="E72"/>
      <c s="31" r="F72"/>
      <c s="2" r="G72"/>
      <c s="6" r="H72"/>
    </row>
    <row r="73">
      <c s="13" r="A73">
        <v>71</v>
      </c>
      <c s="23" r="B73"/>
      <c s="13" r="C73"/>
      <c s="13" r="D73"/>
      <c s="13" r="E73"/>
      <c s="13" r="F73"/>
      <c s="22" r="G73"/>
      <c s="43" r="H73"/>
    </row>
    <row r="74">
      <c s="31" r="A74">
        <v>72</v>
      </c>
      <c s="36" r="B74"/>
      <c s="31" r="C74"/>
      <c s="31" r="D74"/>
      <c s="31" r="E74"/>
      <c s="31" r="F74"/>
      <c s="2" r="G74"/>
      <c s="6" r="H74"/>
    </row>
    <row r="75">
      <c s="13" r="A75">
        <v>73</v>
      </c>
      <c s="23" r="B75"/>
      <c s="13" r="C75"/>
      <c s="13" r="D75"/>
      <c s="13" r="E75"/>
      <c s="13" r="F75"/>
      <c s="22" r="G75"/>
      <c s="43" r="H75"/>
    </row>
    <row r="76">
      <c s="31" r="A76">
        <v>74</v>
      </c>
      <c s="36" r="B76"/>
      <c s="31" r="C76"/>
      <c s="31" r="D76"/>
      <c s="31" r="E76"/>
      <c s="31" r="F76"/>
      <c s="2" r="G76"/>
      <c s="6" r="H76"/>
    </row>
    <row r="77">
      <c s="13" r="A77">
        <v>75</v>
      </c>
      <c s="23" r="B77"/>
      <c s="13" r="C77"/>
      <c s="13" r="D77"/>
      <c s="13" r="E77"/>
      <c s="13" r="F77"/>
      <c s="22" r="G77"/>
      <c s="43" r="H77"/>
    </row>
    <row r="78">
      <c s="31" r="A78">
        <v>76</v>
      </c>
      <c s="36" r="B78"/>
      <c s="31" r="C78"/>
      <c s="31" r="D78"/>
      <c s="31" r="E78"/>
      <c s="31" r="F78"/>
      <c s="2" r="G78"/>
      <c s="6" r="H78"/>
    </row>
    <row r="79">
      <c s="13" r="A79">
        <v>77</v>
      </c>
      <c s="23" r="B79"/>
      <c s="13" r="C79"/>
      <c s="13" r="D79"/>
      <c s="13" r="E79"/>
      <c s="13" r="F79"/>
      <c s="22" r="G79"/>
      <c s="43" r="H79"/>
    </row>
    <row r="80">
      <c s="31" r="A80">
        <v>78</v>
      </c>
      <c s="36" r="B80"/>
      <c s="31" r="C80"/>
      <c s="31" r="D80"/>
      <c s="31" r="E80"/>
      <c s="31" r="F80"/>
      <c s="2" r="G80"/>
      <c s="6" r="H80"/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4" r="G1"/>
      <c s="48" r="H1"/>
    </row>
    <row r="2">
      <c t="s" s="29" r="A2">
        <v>1</v>
      </c>
      <c t="s" s="29" r="B2">
        <v>2</v>
      </c>
      <c t="s" s="29" r="C2">
        <v>3</v>
      </c>
      <c t="s" s="29" r="D2">
        <v>4</v>
      </c>
      <c t="s" s="29" r="E2">
        <v>5</v>
      </c>
      <c t="s" s="29" r="F2">
        <v>6</v>
      </c>
      <c t="s" s="29" r="G2">
        <v>7</v>
      </c>
      <c t="s" s="10" r="H2">
        <v>8</v>
      </c>
    </row>
    <row r="3">
      <c s="13" r="A3">
        <v>1</v>
      </c>
      <c t="str" s="45" r="B3">
        <f>hyperlink("http://www.baseball-reference.com/players/r/riverju01.shtml","Rivera, Juan")</f>
        <v>Rivera, Juan</v>
      </c>
      <c t="s" s="13" r="C3">
        <v>19</v>
      </c>
      <c t="s" s="9" r="D3">
        <v>20</v>
      </c>
      <c t="s" s="9" r="E3">
        <v>20</v>
      </c>
      <c s="18" r="F3">
        <v>40850</v>
      </c>
      <c t="str" s="22" r="G3">
        <f>hyperlink("http://mlb.mlb.com/news/article.jsp?ymd=20111103&amp;content_id=25893800&amp;vkey=news_la&amp;c_id=la","One-year contract")</f>
        <v>One-year contract</v>
      </c>
      <c s="43" r="H3">
        <v>4500000</v>
      </c>
    </row>
    <row r="4">
      <c s="46" r="A4">
        <v>2</v>
      </c>
      <c t="str" s="44" r="B4">
        <f>hyperlink("http://www.baseball-reference.com/players/c/cabreme01.shtml","Cabrera, Melky")</f>
        <v>Cabrera, Melky</v>
      </c>
      <c t="s" s="46" r="C4">
        <v>19</v>
      </c>
      <c t="s" s="46" r="D4">
        <v>28</v>
      </c>
      <c t="s" s="46" r="E4">
        <v>29</v>
      </c>
      <c s="32" r="F4">
        <v>40854</v>
      </c>
      <c t="str" s="30" r="G4">
        <f>hyperlink("http://espn.go.com/mlb/story/_/id/7203609/kansas-city-royals-trade-melky-cabrera-san-francisco-giants-jonathan-sanchez","Traded for Jonathan Sanchez and a minor leaguer")</f>
        <v>Traded for Jonathan Sanchez and a minor leaguer</v>
      </c>
      <c t="s" s="48" r="H4">
        <v>12</v>
      </c>
    </row>
    <row r="5">
      <c s="13" r="A5">
        <v>3</v>
      </c>
      <c t="str" s="45" r="B5">
        <f>hyperlink("http://www.baseball-reference.com/players/y/youngma02.shtml","Young, Matt")</f>
        <v>Young, Matt</v>
      </c>
      <c t="s" s="13" r="C5">
        <v>19</v>
      </c>
      <c t="s" s="13" r="D5">
        <v>10</v>
      </c>
      <c t="s" s="13" r="E5">
        <v>30</v>
      </c>
      <c s="18" r="F5">
        <v>40854</v>
      </c>
      <c t="s" s="1" r="G5">
        <v>16</v>
      </c>
      <c t="s" s="43" r="H5">
        <v>12</v>
      </c>
    </row>
    <row r="6">
      <c s="46" r="A6">
        <v>4</v>
      </c>
      <c t="str" s="44" r="B6">
        <f>hyperlink("http://www.baseball-reference.com/players/b/bucktr01.shtml","Buck, Travis")</f>
        <v>Buck, Travis</v>
      </c>
      <c t="s" s="31" r="C6">
        <v>19</v>
      </c>
      <c t="s" s="31" r="D6">
        <v>11</v>
      </c>
      <c t="s" s="31" r="E6">
        <v>31</v>
      </c>
      <c s="37" r="F6">
        <v>40856</v>
      </c>
      <c t="s" s="1" r="G6">
        <v>16</v>
      </c>
      <c t="s" s="6" r="H6">
        <v>12</v>
      </c>
    </row>
    <row r="7">
      <c s="13" r="A7">
        <v>5</v>
      </c>
      <c t="str" s="45" r="B7">
        <f>hyperlink("http://www.baseball-reference.com/players/a/almoner01.shtml","Almonte, Erick")</f>
        <v>Almonte, Erick</v>
      </c>
      <c t="s" s="13" r="C7">
        <v>19</v>
      </c>
      <c t="s" s="9" r="D7">
        <v>34</v>
      </c>
      <c t="s" s="9" r="E7">
        <v>34</v>
      </c>
      <c s="18" r="F7">
        <v>40857</v>
      </c>
      <c t="s" s="1" r="G7">
        <v>16</v>
      </c>
      <c t="s" s="43" r="H7">
        <v>12</v>
      </c>
    </row>
    <row r="8">
      <c s="46" r="A8">
        <v>6</v>
      </c>
      <c t="str" s="44" r="B8">
        <f>hyperlink("http://www.baseball-reference.com/players/s/snydebr02.shtml","Snyder, Brad")</f>
        <v>Snyder, Brad</v>
      </c>
      <c t="s" s="31" r="C8">
        <v>19</v>
      </c>
      <c t="s" s="31" r="D8">
        <v>35</v>
      </c>
      <c t="s" s="31" r="E8">
        <v>31</v>
      </c>
      <c s="37" r="F8">
        <v>40859</v>
      </c>
      <c t="s" s="1" r="G8">
        <v>16</v>
      </c>
      <c t="s" s="6" r="H8">
        <v>12</v>
      </c>
    </row>
    <row r="9">
      <c s="13" r="A9">
        <v>7</v>
      </c>
      <c t="str" s="45" r="B9">
        <f>hyperlink("http://www.baseball-reference.com/players/l/loewead01.shtml","Loewen, Adam")</f>
        <v>Loewen, Adam</v>
      </c>
      <c t="s" s="13" r="C9">
        <v>19</v>
      </c>
      <c t="s" s="13" r="D9">
        <v>25</v>
      </c>
      <c t="s" s="13" r="E9">
        <v>38</v>
      </c>
      <c s="18" r="F9">
        <v>40859</v>
      </c>
      <c t="s" s="1" r="G9">
        <v>16</v>
      </c>
      <c t="s" s="43" r="H9">
        <v>12</v>
      </c>
    </row>
    <row r="10">
      <c s="46" r="A10">
        <v>8</v>
      </c>
      <c t="str" s="44" r="B10">
        <f>hyperlink("http://www.baseball-reference.com/players/k/kotsama01.shtml","Kotsay, Mark")</f>
        <v>Kotsay, Mark</v>
      </c>
      <c t="s" s="31" r="C10">
        <v>19</v>
      </c>
      <c t="s" s="31" r="D10">
        <v>34</v>
      </c>
      <c t="s" s="31" r="E10">
        <v>42</v>
      </c>
      <c s="37" r="F10">
        <v>40863</v>
      </c>
      <c t="str" s="2" r="G10">
        <f>hyperlink("http://espn.go.com/mlb/story/_/id/7245278/san-diego-padres-sign-mark-kotsay-125m-one-year-deal","One-year contract")</f>
        <v>One-year contract</v>
      </c>
      <c s="6" r="H10">
        <v>1250000</v>
      </c>
    </row>
    <row r="11">
      <c s="13" r="A11">
        <v>9</v>
      </c>
      <c t="str" s="45" r="B11">
        <f>hyperlink("http://www.baseball-reference.com/players/r/rottivi01.shtml","Rottino, Vinny")</f>
        <v>Rottino, Vinny</v>
      </c>
      <c t="s" s="13" r="C11">
        <v>19</v>
      </c>
      <c t="s" s="13" r="D11">
        <v>40</v>
      </c>
      <c t="s" s="13" r="E11">
        <v>38</v>
      </c>
      <c s="18" r="F11">
        <v>40864</v>
      </c>
      <c t="s" s="1" r="G11">
        <v>16</v>
      </c>
      <c t="s" s="43" r="H11">
        <v>12</v>
      </c>
    </row>
    <row r="12">
      <c s="46" r="A12">
        <v>10</v>
      </c>
      <c t="str" s="44" r="B12">
        <f>hyperlink("http://www.baseball-reference.com/players/p/pridija01.shtml","Pridie, Jason")</f>
        <v>Pridie, Jason</v>
      </c>
      <c t="s" s="31" r="C12">
        <v>19</v>
      </c>
      <c t="s" s="31" r="D12">
        <v>38</v>
      </c>
      <c t="s" s="31" r="E12">
        <v>23</v>
      </c>
      <c s="37" r="F12">
        <v>40865</v>
      </c>
      <c t="s" s="1" r="G12">
        <v>16</v>
      </c>
      <c t="s" s="6" r="H12">
        <v>12</v>
      </c>
    </row>
    <row r="13">
      <c s="13" r="A13">
        <v>11</v>
      </c>
      <c t="str" s="45" r="B13">
        <f>hyperlink("http://www.baseball-reference.com/players/r/ramirwi01.shtml","Ramirez, Wilkin")</f>
        <v>Ramirez, Wilkin</v>
      </c>
      <c t="s" s="13" r="C13">
        <v>19</v>
      </c>
      <c t="s" s="13" r="D13">
        <v>10</v>
      </c>
      <c t="s" s="13" r="E13">
        <v>37</v>
      </c>
      <c s="18" r="F13">
        <v>40865</v>
      </c>
      <c t="s" s="1" r="G13">
        <v>16</v>
      </c>
      <c t="s" s="43" r="H13">
        <v>12</v>
      </c>
    </row>
    <row r="14">
      <c s="46" r="A14">
        <v>12</v>
      </c>
      <c t="str" s="36" r="B14">
        <f>hyperlink("http://www.baseball-reference.com/players/m/mossbr01.shtml","Moss, Brandon")</f>
        <v>Moss, Brandon</v>
      </c>
      <c t="s" s="31" r="C14">
        <v>19</v>
      </c>
      <c t="s" s="31" r="D14">
        <v>27</v>
      </c>
      <c t="s" s="31" r="E14">
        <v>23</v>
      </c>
      <c s="37" r="F14">
        <v>40866</v>
      </c>
      <c t="s" s="1" r="G14">
        <v>16</v>
      </c>
      <c t="s" s="6" r="H14">
        <v>12</v>
      </c>
    </row>
    <row r="15">
      <c s="13" r="A15">
        <v>13</v>
      </c>
      <c t="str" s="23" r="B15">
        <f>hyperlink("http://www.baseball-reference.com/players/h/headje01.shtml","Head, Jerad")</f>
        <v>Head, Jerad</v>
      </c>
      <c t="s" s="13" r="C15">
        <v>19</v>
      </c>
      <c t="s" s="13" r="D15">
        <v>11</v>
      </c>
      <c t="s" s="13" r="E15">
        <v>30</v>
      </c>
      <c s="18" r="F15">
        <v>40868</v>
      </c>
      <c t="s" s="1" r="G15">
        <v>16</v>
      </c>
      <c t="s" s="43" r="H15">
        <v>12</v>
      </c>
    </row>
    <row r="16">
      <c s="46" r="A16">
        <v>14</v>
      </c>
      <c t="str" s="36" r="B16">
        <f>hyperlink("http://www.baseball-reference.com/players/d/duranlu01.shtml","Durango, Luis")</f>
        <v>Durango, Luis</v>
      </c>
      <c t="s" s="31" r="C16">
        <v>19</v>
      </c>
      <c t="s" s="31" r="D16">
        <v>31</v>
      </c>
      <c t="s" s="31" r="E16">
        <v>10</v>
      </c>
      <c s="37" r="F16">
        <v>40869</v>
      </c>
      <c t="s" s="1" r="G16">
        <v>16</v>
      </c>
      <c t="s" s="6" r="H16">
        <v>12</v>
      </c>
    </row>
    <row r="17">
      <c s="13" r="A17">
        <v>15</v>
      </c>
      <c t="str" s="23" r="B17">
        <f>hyperlink("http://www.baseball-reference.com/players/s/sizemgr01.shtml","Sizemore, Grady")</f>
        <v>Sizemore, Grady</v>
      </c>
      <c t="s" s="13" r="C17">
        <v>19</v>
      </c>
      <c t="s" s="9" r="D17">
        <v>11</v>
      </c>
      <c t="s" s="9" r="E17">
        <v>11</v>
      </c>
      <c s="18" r="F17">
        <v>40870</v>
      </c>
      <c t="str" s="22" r="G17">
        <f>hyperlink("http://espn.go.com/mlb/story/_/id/7273292/2011-free-agents-grady-sizemore-cleveland-indians-sign-one-year-5-million-deal","One-year contract")</f>
        <v>One-year contract</v>
      </c>
      <c s="43" r="H17">
        <v>5000000</v>
      </c>
    </row>
    <row r="18">
      <c s="46" r="A18">
        <v>16</v>
      </c>
      <c t="str" s="36" r="B18">
        <f>hyperlink("http://www.baseball-reference.com/players/b/boggsbr01.shtml","Boggs, Brandon")</f>
        <v>Boggs, Brandon</v>
      </c>
      <c t="s" s="31" r="C18">
        <v>19</v>
      </c>
      <c t="s" s="31" r="D18">
        <v>34</v>
      </c>
      <c t="s" s="31" r="E18">
        <v>15</v>
      </c>
      <c s="37" r="F18">
        <v>40870</v>
      </c>
      <c t="s" s="1" r="G18">
        <v>16</v>
      </c>
      <c t="s" s="6" r="H18">
        <v>12</v>
      </c>
    </row>
    <row r="19">
      <c s="13" r="A19">
        <v>17</v>
      </c>
      <c t="str" s="23" r="B19">
        <f>hyperlink("http://www.baseball-reference.com/players/d/dejesda01.shtml","DeJesus, David")</f>
        <v>DeJesus, David</v>
      </c>
      <c t="s" s="13" r="C19">
        <v>19</v>
      </c>
      <c t="s" s="13" r="D19">
        <v>23</v>
      </c>
      <c t="s" s="13" r="E19">
        <v>35</v>
      </c>
      <c s="18" r="F19">
        <v>40877</v>
      </c>
      <c t="str" s="22" r="G19">
        <f>hyperlink("http://espn.go.com/chicago/mlb/story/_/id/7294530/chicago-cubs-sign-david-dejesus","Two-year contract with option")</f>
        <v>Two-year contract with option</v>
      </c>
      <c s="43" r="H19">
        <v>8500000</v>
      </c>
    </row>
    <row r="20">
      <c s="46" r="A20">
        <v>18</v>
      </c>
      <c t="str" s="36" r="B20">
        <f>hyperlink("http://www.baseball-reference.com/players/h/hairsje02.shtml","Hairston, Jerry")</f>
        <v>Hairston, Jerry</v>
      </c>
      <c t="s" s="31" r="C20">
        <v>19</v>
      </c>
      <c t="s" s="31" r="D20">
        <v>34</v>
      </c>
      <c t="s" s="31" r="E20">
        <v>20</v>
      </c>
      <c s="37" r="F20">
        <v>40882</v>
      </c>
      <c t="str" s="2" r="G20">
        <f>hyperlink("http://mlb.mlb.com/news/article.jsp?ymd=20111205&amp;content_id=26096534&amp;vkey=news_la&amp;c_id=la","Two-year contract")</f>
        <v>Two-year contract</v>
      </c>
      <c s="6" r="H20">
        <v>6000000</v>
      </c>
    </row>
    <row r="21">
      <c s="13" r="A21">
        <v>19</v>
      </c>
      <c t="str" s="23" r="B21">
        <f>hyperlink("http://www.baseball-reference.com/players/m/mclouna01.shtml","McLouth, Nate")</f>
        <v>McLouth, Nate</v>
      </c>
      <c t="s" s="13" r="C21">
        <v>19</v>
      </c>
      <c t="s" s="13" r="D21">
        <v>10</v>
      </c>
      <c t="s" s="13" r="E21">
        <v>15</v>
      </c>
      <c s="18" r="F21">
        <v>40884</v>
      </c>
      <c t="str" s="22" r="G21">
        <f>hyperlink("http://mlb.mlb.com/news/article.jsp?ymd=20111205&amp;content_id=26095288&amp;vkey=news_mlb&amp;c_id=mlb","One-year contract")</f>
        <v>One-year contract</v>
      </c>
      <c s="43" r="H21">
        <v>1750000</v>
      </c>
    </row>
    <row r="22">
      <c s="46" r="A22">
        <v>20</v>
      </c>
      <c t="str" s="36" r="B22">
        <f>hyperlink("http://www.baseball-reference.com/players/p/paganan01.shtml","Pagan, Angel")</f>
        <v>Pagan, Angel</v>
      </c>
      <c t="s" s="31" r="C22">
        <v>19</v>
      </c>
      <c t="s" s="31" r="D22">
        <v>38</v>
      </c>
      <c t="s" s="31" r="E22">
        <v>29</v>
      </c>
      <c s="37" r="F22">
        <v>40884</v>
      </c>
      <c t="str" s="30" r="G22">
        <f>hyperlink("http://newyork.mets.mlb.com/news/article.jsp?ymd=20111206&amp;content_id=26112382&amp;vkey=news_nym&amp;c_id=nym","Traded for Ramon Ramirez and Andres Torres")</f>
        <v>Traded for Ramon Ramirez and Andres Torres</v>
      </c>
      <c t="s" s="6" r="H22">
        <v>12</v>
      </c>
    </row>
    <row r="23">
      <c s="13" r="A23">
        <v>21</v>
      </c>
      <c t="str" s="23" r="B23">
        <f>hyperlink("http://www.baseball-reference.com/players/t/torrean02.shtml","Torres, Andres")</f>
        <v>Torres, Andres</v>
      </c>
      <c t="s" s="13" r="C23">
        <v>19</v>
      </c>
      <c t="s" s="13" r="D23">
        <v>29</v>
      </c>
      <c t="s" s="13" r="E23">
        <v>38</v>
      </c>
      <c s="18" r="F23">
        <v>40884</v>
      </c>
      <c t="str" s="30" r="G23">
        <f>hyperlink("http://sanfrancisco.giants.mlb.com/news/article.jsp?ymd=20111206&amp;content_id=26107960&amp;vkey=news_sf&amp;c_id=sf","Traded with Ramon Ramirez for Angel Pagan")</f>
        <v>Traded with Ramon Ramirez for Angel Pagan</v>
      </c>
      <c t="s" s="43" r="H23">
        <v>12</v>
      </c>
    </row>
    <row r="24">
      <c s="46" r="A24">
        <v>22</v>
      </c>
      <c t="str" s="36" r="B24">
        <f>hyperlink("http://www.baseball-reference.com/players/c/colvity01.shtml","Colvin, Tyler")</f>
        <v>Colvin, Tyler</v>
      </c>
      <c t="s" s="31" r="C24">
        <v>19</v>
      </c>
      <c t="s" s="31" r="D24">
        <v>35</v>
      </c>
      <c t="s" s="31" r="E24">
        <v>22</v>
      </c>
      <c s="37" r="F24">
        <v>40885</v>
      </c>
      <c t="str" s="30" r="G24">
        <f>hyperlink("http://espn.go.com/chicago/mlb/story/_/id/7333696/chicago-cubs-trade-tyler-colvin-dj-lemahieu-colorado-rockies-ian-stewart-casey-weathers","Traded w LeMahieu for I. Stewart and C. Weathers")</f>
        <v>Traded w LeMahieu for I. Stewart and C. Weathers</v>
      </c>
      <c t="s" s="6" r="H24">
        <v>12</v>
      </c>
    </row>
    <row r="25">
      <c s="13" r="A25">
        <v>23</v>
      </c>
      <c t="str" s="23" r="B25">
        <f>hyperlink("http://www.baseball-reference.com/players/n/nixla01.shtml","Nix, Laynce")</f>
        <v>Nix, Laynce</v>
      </c>
      <c t="s" s="13" r="C25">
        <v>19</v>
      </c>
      <c t="s" s="13" r="D25">
        <v>24</v>
      </c>
      <c t="s" s="13" r="E25">
        <v>27</v>
      </c>
      <c s="18" r="F25">
        <v>40885</v>
      </c>
      <c t="str" s="22" r="G25">
        <f>hyperlink("http://espn.go.com/mlb/story/_/id/7333500/philadelphia-phillies-sign-washington-nationals-laynce-nix-two-year-deal","Two-year contract")</f>
        <v>Two-year contract</v>
      </c>
      <c s="43" r="H25">
        <v>2500000</v>
      </c>
    </row>
    <row r="26">
      <c s="46" r="A26">
        <v>24</v>
      </c>
      <c t="str" s="36" r="B26">
        <f>hyperlink("http://www.baseball-reference.com/players/c/cowgico01.shtml","Cowgill, Collin")</f>
        <v>Cowgill, Collin</v>
      </c>
      <c t="s" s="31" r="C26">
        <v>19</v>
      </c>
      <c t="s" s="31" r="D26">
        <v>18</v>
      </c>
      <c t="s" s="31" r="E26">
        <v>23</v>
      </c>
      <c s="37" r="F26">
        <v>40886</v>
      </c>
      <c t="str" s="30" r="G26">
        <f>hyperlink("http://espn.go.com/mlb/story/_/id/7336925/arizona-diamondbacks-acquire-trevor-cahill-oakland-athletics-five-player-deal","Traded w Parker &amp; Cook for Breslow, Cahill &amp; cash")</f>
        <v>Traded w Parker &amp; Cook for Breslow, Cahill &amp; cash</v>
      </c>
      <c t="s" s="6" r="H26">
        <v>12</v>
      </c>
    </row>
    <row r="27">
      <c s="13" r="A27">
        <v>25</v>
      </c>
      <c t="str" s="23" r="B27">
        <f>hyperlink("http://www.baseball-reference.com/players/f/francbe01.shtml","Francisco, Ben")</f>
        <v>Francisco, Ben</v>
      </c>
      <c t="s" s="13" r="C27">
        <v>19</v>
      </c>
      <c t="s" s="13" r="D27">
        <v>27</v>
      </c>
      <c t="s" s="13" r="E27">
        <v>25</v>
      </c>
      <c s="18" r="F27">
        <v>40889</v>
      </c>
      <c t="str" s="30" r="G27">
        <f>hyperlink("http://espn.go.com/mlb/story/_/id/7345212/philadelphia-phillies-trade-ben-francisco-toronto-blue-jays","Traded for minor leaguer")</f>
        <v>Traded for minor leaguer</v>
      </c>
      <c t="s" s="43" r="H27">
        <v>12</v>
      </c>
    </row>
    <row r="28">
      <c s="46" r="A28">
        <v>26</v>
      </c>
      <c t="str" s="36" r="B28">
        <f>hyperlink("http://www.baseball-reference.com/players/r/rowanaa01.shtml","Rowand, Aaron")</f>
        <v>Rowand, Aaron</v>
      </c>
      <c t="s" s="31" r="C28">
        <v>19</v>
      </c>
      <c t="s" s="31" r="D28">
        <v>29</v>
      </c>
      <c t="s" s="31" r="E28">
        <v>40</v>
      </c>
      <c s="37" r="F28">
        <v>40889</v>
      </c>
      <c t="s" s="1" r="G28">
        <v>16</v>
      </c>
      <c t="s" s="6" r="H28">
        <v>12</v>
      </c>
    </row>
    <row r="29">
      <c s="13" r="A29">
        <v>27</v>
      </c>
      <c t="str" s="23" r="B29">
        <f>hyperlink("http://www.baseball-reference.com/players/g/golsogr01.shtml","Golson, Greg")</f>
        <v>Golson, Greg</v>
      </c>
      <c t="s" s="13" r="C29">
        <v>19</v>
      </c>
      <c t="s" s="13" r="D29">
        <v>45</v>
      </c>
      <c t="s" s="13" r="E29">
        <v>28</v>
      </c>
      <c s="18" r="F29">
        <v>40890</v>
      </c>
      <c t="s" s="1" r="G29">
        <v>16</v>
      </c>
      <c t="s" s="43" r="H29">
        <v>12</v>
      </c>
    </row>
    <row r="30">
      <c s="46" r="A30">
        <v>28</v>
      </c>
      <c t="str" s="33" r="B30">
        <f>hyperlink("http://www.baseball-reference.com/players/s/sullico01.shtml","Sullivan, Cory")</f>
        <v>Sullivan, Cory</v>
      </c>
      <c t="s" s="46" r="C30">
        <v>19</v>
      </c>
      <c t="s" s="46" r="D30">
        <v>27</v>
      </c>
      <c t="s" s="46" r="E30">
        <v>20</v>
      </c>
      <c s="32" r="F30">
        <v>40890</v>
      </c>
      <c t="s" s="1" r="G30">
        <v>16</v>
      </c>
      <c t="s" s="48" r="H30">
        <v>12</v>
      </c>
    </row>
    <row r="31">
      <c s="13" r="A31">
        <v>29</v>
      </c>
      <c t="str" s="23" r="B31">
        <f>hyperlink("http://www.baseball-reference.com/players/w/willijo03.shtml","Willingham, Josh")</f>
        <v>Willingham, Josh</v>
      </c>
      <c t="s" s="13" r="C31">
        <v>19</v>
      </c>
      <c t="s" s="13" r="D31">
        <v>23</v>
      </c>
      <c t="s" s="13" r="E31">
        <v>37</v>
      </c>
      <c s="18" r="F31">
        <v>40892</v>
      </c>
      <c t="str" s="22" r="G31">
        <f>hyperlink("http://espn.go.com/mlb/story/_/id/7355732/2011-mlb-free-agency-josh-willingham-minnesota-twins-deal-3-years-21m","Three-year contract")</f>
        <v>Three-year contract</v>
      </c>
      <c s="43" r="H31">
        <v>21000000</v>
      </c>
    </row>
    <row r="32">
      <c s="46" r="A32">
        <v>30</v>
      </c>
      <c t="str" s="36" r="B32">
        <f>hyperlink("http://www.baseball-reference.com/players/c/cuddymi01.shtml","Cuddyer, Michael")</f>
        <v>Cuddyer, Michael</v>
      </c>
      <c t="s" s="31" r="C32">
        <v>19</v>
      </c>
      <c t="s" s="31" r="D32">
        <v>37</v>
      </c>
      <c t="s" s="31" r="E32">
        <v>22</v>
      </c>
      <c s="37" r="F32">
        <v>40893</v>
      </c>
      <c t="str" s="2" r="G32">
        <f>hyperlink("http://mlb.mlb.com/news/article.jsp?ymd=20111215&amp;content_id=26177782&amp;vkey=news_mlb&amp;c_id=mlb","Three-year contract")</f>
        <v>Three-year contract</v>
      </c>
      <c s="6" r="H32">
        <v>31500000</v>
      </c>
    </row>
    <row r="33">
      <c s="13" r="A33">
        <v>31</v>
      </c>
      <c t="str" s="45" r="B33">
        <f>hyperlink("http://www.baseball-reference.com/players/b/baxtemi01.shtml","Baxter, Mike")</f>
        <v>Baxter, Mike</v>
      </c>
      <c t="s" s="13" r="C33">
        <v>19</v>
      </c>
      <c t="s" s="9" r="D33">
        <v>38</v>
      </c>
      <c t="s" s="9" r="E33">
        <v>38</v>
      </c>
      <c s="18" r="F33">
        <v>40893</v>
      </c>
      <c t="s" s="1" r="G33">
        <v>16</v>
      </c>
      <c t="s" s="43" r="H33">
        <v>12</v>
      </c>
    </row>
    <row r="34">
      <c s="46" r="A34">
        <v>32</v>
      </c>
      <c t="str" s="17" r="B34">
        <f>hyperlink("http://www.baseball-reference.com/players/p/piefe01.shtml","Pie, Felix")</f>
        <v>Pie, Felix</v>
      </c>
      <c t="s" s="31" r="C34">
        <v>19</v>
      </c>
      <c t="s" s="31" r="D34">
        <v>33</v>
      </c>
      <c t="s" s="31" r="E34">
        <v>11</v>
      </c>
      <c s="37" r="F34">
        <v>40893</v>
      </c>
      <c t="s" s="1" r="G34">
        <v>16</v>
      </c>
      <c t="s" s="6" r="H34">
        <v>12</v>
      </c>
    </row>
    <row r="35">
      <c s="13" r="A35">
        <v>33</v>
      </c>
      <c t="str" s="45" r="B35">
        <f>hyperlink("http://www.baseball-reference.com/players/c/cunniaa01.shtml","Cunningham, Aaron")</f>
        <v>Cunningham, Aaron</v>
      </c>
      <c t="s" s="13" r="C35">
        <v>19</v>
      </c>
      <c t="s" s="13" r="D35">
        <v>42</v>
      </c>
      <c t="s" s="13" r="E35">
        <v>11</v>
      </c>
      <c s="18" r="F35">
        <v>40893</v>
      </c>
      <c t="str" s="30" r="G35">
        <f>hyperlink("http://mlb.mlb.com/news/article.jsp?ymd=20111216&amp;content_id=26184830&amp;vkey=news_mlb&amp;c_id=mlb","Traded for a minor leaguer")</f>
        <v>Traded for a minor leaguer</v>
      </c>
      <c t="s" s="43" r="H35">
        <v>12</v>
      </c>
    </row>
    <row r="36">
      <c s="46" r="A36">
        <v>34</v>
      </c>
      <c t="str" s="36" r="B36">
        <f>hyperlink("http://www.baseball-reference.com/players/r/richaan01.shtml","Richardson, Antoan")</f>
        <v>Richardson, Antoan</v>
      </c>
      <c t="s" s="31" r="C36">
        <v>19</v>
      </c>
      <c t="s" s="31" r="D36">
        <v>10</v>
      </c>
      <c t="s" s="31" r="E36">
        <v>33</v>
      </c>
      <c s="37" r="F36">
        <v>40893</v>
      </c>
      <c t="s" s="1" r="G36">
        <v>16</v>
      </c>
      <c t="s" s="6" r="H36">
        <v>12</v>
      </c>
    </row>
    <row r="37">
      <c s="13" r="A37">
        <v>35</v>
      </c>
      <c t="str" s="45" r="B37">
        <f>hyperlink("http://www.baseball-reference.com/players/a/alonsyo01.shtml","Alonso, Yonder")</f>
        <v>Alonso, Yonder</v>
      </c>
      <c t="s" s="13" r="C37">
        <v>19</v>
      </c>
      <c t="s" s="13" r="D37">
        <v>36</v>
      </c>
      <c t="s" s="13" r="E37">
        <v>42</v>
      </c>
      <c s="18" r="F37">
        <v>40894</v>
      </c>
      <c t="str" s="30" r="G37">
        <f>hyperlink("http://mlb.mlb.com/news/article.jsp?ymd=20111217&amp;content_id=26190592&amp;vkey=news_sd&amp;c_id=sd&amp;partnerId=rss_sd","Traded w Volquez &amp; 2 minor leaguers for Matt Latos")</f>
        <v>Traded w Volquez &amp; 2 minor leaguers for Matt Latos</v>
      </c>
      <c t="s" s="43" r="H37">
        <v>12</v>
      </c>
    </row>
    <row r="38">
      <c s="46" r="A38">
        <v>36</v>
      </c>
      <c t="str" s="36" r="B38">
        <f>hyperlink("http://www.baseball-reference.com/players/k/kubelja01.shtml","Kubel, Jason")</f>
        <v>Kubel, Jason</v>
      </c>
      <c t="s" s="31" r="C38">
        <v>19</v>
      </c>
      <c t="s" s="31" r="D38">
        <v>37</v>
      </c>
      <c t="s" s="31" r="E38">
        <v>18</v>
      </c>
      <c s="37" r="F38">
        <v>40896</v>
      </c>
      <c t="str" s="2" r="G38">
        <f>hyperlink("http://msn.foxsports.com/mlb/story/arizona-diamondbacks-reach-deal-with-jason-kubel-source-121911","Two-year contract with option")</f>
        <v>Two-year contract with option</v>
      </c>
      <c s="6" r="H38">
        <v>15000000</v>
      </c>
    </row>
    <row r="39">
      <c s="13" r="A39">
        <v>37</v>
      </c>
      <c t="str" s="45" r="B39">
        <f>hyperlink("http://www.baseball-reference.com/players/c/camermi01.shtml","Cameron, Mike")</f>
        <v>Cameron, Mike</v>
      </c>
      <c t="s" s="13" r="C39">
        <v>19</v>
      </c>
      <c t="s" s="13" r="D39">
        <v>40</v>
      </c>
      <c t="s" s="13" r="E39">
        <v>24</v>
      </c>
      <c s="18" r="F39">
        <v>40896</v>
      </c>
      <c t="s" s="1" r="G39">
        <v>16</v>
      </c>
      <c t="s" s="43" r="H39">
        <v>12</v>
      </c>
    </row>
    <row r="40">
      <c s="46" r="A40">
        <v>38</v>
      </c>
      <c t="str" s="17" r="B40">
        <f>hyperlink("http://www.baseball-reference.com/players/c/chaveen01.shtml","Chavez, Endy")</f>
        <v>Chavez, Endy</v>
      </c>
      <c t="s" s="31" r="C40">
        <v>19</v>
      </c>
      <c t="s" s="31" r="D40">
        <v>14</v>
      </c>
      <c t="s" s="31" r="E40">
        <v>33</v>
      </c>
      <c s="37" r="F40">
        <v>40897</v>
      </c>
      <c t="str" s="2" r="G40">
        <f>hyperlink("http://hardballtalk.nbcsports.com/2011/12/20/endy-chavezs-one-year-deal-with-orioles-worth-1-5-million/","One-year contract")</f>
        <v>One-year contract</v>
      </c>
      <c s="6" r="H40">
        <v>1500000</v>
      </c>
    </row>
    <row r="41">
      <c s="13" r="A41">
        <v>39</v>
      </c>
      <c t="str" s="45" r="B41">
        <f>hyperlink("http://www.baseball-reference.com/players/p/paulxa01.shtml","Paul, Xavier")</f>
        <v>Paul, Xavier</v>
      </c>
      <c t="s" s="13" r="C41">
        <v>19</v>
      </c>
      <c t="s" s="13" r="D41">
        <v>15</v>
      </c>
      <c t="s" s="13" r="E41">
        <v>24</v>
      </c>
      <c s="18" r="F41">
        <v>40897</v>
      </c>
      <c t="s" s="1" r="G41">
        <v>16</v>
      </c>
      <c t="s" s="43" r="H41">
        <v>12</v>
      </c>
    </row>
    <row r="42">
      <c s="46" r="A42">
        <v>40</v>
      </c>
      <c t="str" s="17" r="B42">
        <f>hyperlink("http://www.baseball-reference.com/players/h/hermije01.shtml","Hermida, Jeremy")</f>
        <v>Hermida, Jeremy</v>
      </c>
      <c t="s" s="31" r="C42">
        <v>19</v>
      </c>
      <c t="s" s="9" r="D42">
        <v>42</v>
      </c>
      <c t="s" s="9" r="E42">
        <v>42</v>
      </c>
      <c s="37" r="F42">
        <v>40898</v>
      </c>
      <c t="s" s="1" r="G42">
        <v>16</v>
      </c>
      <c s="6" r="H42"/>
    </row>
    <row r="43">
      <c s="13" r="A43">
        <v>41</v>
      </c>
      <c t="str" s="45" r="B43">
        <f>hyperlink("http://www.baseball-reference.com/players/m/montalu01.shtml","Montanez, Lou")</f>
        <v>Montanez, Lou</v>
      </c>
      <c t="s" s="13" r="C43">
        <v>19</v>
      </c>
      <c t="s" s="13" r="D43">
        <v>35</v>
      </c>
      <c t="s" s="13" r="E43">
        <v>27</v>
      </c>
      <c s="18" r="F43">
        <v>40898</v>
      </c>
      <c t="s" s="1" r="G43">
        <v>16</v>
      </c>
      <c t="s" s="43" r="H43">
        <v>12</v>
      </c>
    </row>
    <row r="44">
      <c s="46" r="A44">
        <v>42</v>
      </c>
      <c t="str" s="44" r="B44">
        <f>hyperlink("http://www.baseball-reference.com/players/b/beltrca01.shtml","Beltran, Carlos")</f>
        <v>Beltran, Carlos</v>
      </c>
      <c t="s" s="31" r="C44">
        <v>19</v>
      </c>
      <c t="s" s="31" r="D44">
        <v>29</v>
      </c>
      <c t="s" s="31" r="E44">
        <v>46</v>
      </c>
      <c s="37" r="F44">
        <v>40900</v>
      </c>
      <c t="str" s="2" r="G44">
        <f>hyperlink("http://espn.go.com/mlb/story/_/id/7381622/carlos-beltran-st-louis-cardinals-agree-two-year-deal","Two-year contract")</f>
        <v>Two-year contract</v>
      </c>
      <c s="6" r="H44">
        <v>26000000</v>
      </c>
    </row>
    <row r="45">
      <c s="13" r="A45">
        <v>43</v>
      </c>
      <c t="str" s="45" r="B45">
        <f>hyperlink("http://www.baseball-reference.com/players/s/sappeda01.shtml","Sappelt, Dave")</f>
        <v>Sappelt, Dave</v>
      </c>
      <c t="s" s="13" r="C45">
        <v>19</v>
      </c>
      <c t="s" s="13" r="D45">
        <v>36</v>
      </c>
      <c t="s" s="13" r="E45">
        <v>35</v>
      </c>
      <c s="18" r="F45">
        <v>40900</v>
      </c>
      <c t="str" s="30" r="G45">
        <f>hyperlink("http://espn.go.com/chicago/mlb/story/_/id/7383879/chicago-cubs-trade-sean-marshall-cincinnati-reds-travis-wood-others","Traded w Wood &amp; Minor Leaguer for Marshall")</f>
        <v>Traded w Wood &amp; Minor Leaguer for Marshall</v>
      </c>
      <c t="s" s="43" r="H45">
        <v>12</v>
      </c>
    </row>
    <row r="46">
      <c s="46" r="A46">
        <v>44</v>
      </c>
      <c t="str" s="17" r="B46">
        <f>hyperlink("http://www.baseball-reference.com/players/s/sweenry01.shtml","Sweeney, Ryan")</f>
        <v>Sweeney, Ryan</v>
      </c>
      <c t="s" s="31" r="C46">
        <v>19</v>
      </c>
      <c t="s" s="31" r="D46">
        <v>23</v>
      </c>
      <c t="s" s="31" r="E46">
        <v>41</v>
      </c>
      <c s="37" r="F46">
        <v>40905</v>
      </c>
      <c t="str" s="30" r="G46">
        <f>hyperlink("http://espn.go.com/boston/mlb/story/_/id/7397557/andrew-bailey-traded-oakland-athletics-boston-red-sox","Traded w Bailey for Reddick &amp; 2 minor leaguers")</f>
        <v>Traded w Bailey for Reddick &amp; 2 minor leaguers</v>
      </c>
      <c t="s" s="6" r="H46">
        <v>12</v>
      </c>
    </row>
    <row r="47">
      <c s="13" r="A47">
        <v>45</v>
      </c>
      <c t="str" s="45" r="B47">
        <f>hyperlink("http://www.baseball-reference.com/players/r/reddijo01.shtml","Reddick, Josh")</f>
        <v>Reddick, Josh</v>
      </c>
      <c t="s" s="13" r="C47">
        <v>19</v>
      </c>
      <c t="s" s="13" r="D47">
        <v>41</v>
      </c>
      <c t="s" s="13" r="E47">
        <v>23</v>
      </c>
      <c s="18" r="F47">
        <v>40905</v>
      </c>
      <c t="str" s="30" r="G47">
        <f>hyperlink("http://espn.go.com/boston/mlb/story/_/id/7397557/andrew-bailey-traded-oakland-athletics-boston-red-sox","Traded w 2 minor leaguers for Bailey &amp; Sweeney")</f>
        <v>Traded w 2 minor leaguers for Bailey &amp; Sweeney</v>
      </c>
      <c t="s" s="43" r="H47">
        <v>12</v>
      </c>
    </row>
    <row r="48">
      <c s="46" r="A48">
        <v>46</v>
      </c>
      <c t="str" s="17" r="B48">
        <f>hyperlink("http://www.baseball-reference.com/players/j/jonesan01.shtml","Jones, Andruw")</f>
        <v>Jones, Andruw</v>
      </c>
      <c t="s" s="31" r="C48">
        <v>19</v>
      </c>
      <c t="s" s="9" r="D48">
        <v>45</v>
      </c>
      <c t="s" s="9" r="E48">
        <v>45</v>
      </c>
      <c s="37" r="F48">
        <v>40907</v>
      </c>
      <c t="str" s="42" r="G48">
        <f>hyperlink("http://espn.go.com/new-york/mlb/story/_/id/7405245/new-york-yankees-bringing-back-andruw-jones","One-year contract")</f>
        <v>One-year contract</v>
      </c>
      <c s="6" r="H48">
        <v>2000000</v>
      </c>
    </row>
    <row r="49">
      <c s="13" r="A49">
        <v>47</v>
      </c>
      <c t="str" s="45" r="B49">
        <f>hyperlink("http://www.baseball-reference.com/players/q/quentca01.shtml","Quentin, Carlos")</f>
        <v>Quentin, Carlos</v>
      </c>
      <c t="s" s="13" r="C49">
        <v>19</v>
      </c>
      <c t="s" s="13" r="D49">
        <v>54</v>
      </c>
      <c t="s" s="13" r="E49">
        <v>42</v>
      </c>
      <c s="18" r="F49">
        <v>40908</v>
      </c>
      <c t="str" s="30" r="G49">
        <f>hyperlink("http://espn.go.com/chicago/mlb/story/_/id/7407804/chicago-white-sox-trade-carlos-quentin-san-diego-padres-two-minor-leaguers","Traded for 2 minor leaguers")</f>
        <v>Traded for 2 minor leaguers</v>
      </c>
      <c t="s" s="43" r="H49">
        <v>12</v>
      </c>
    </row>
    <row r="50">
      <c s="46" r="A50">
        <v>48</v>
      </c>
      <c t="str" s="17" r="B50">
        <f>hyperlink("http://www.baseball-reference.com/players/j/johnsre02.shtml","Johnson, Reed")</f>
        <v>Johnson, Reed</v>
      </c>
      <c t="s" s="31" r="C50">
        <v>19</v>
      </c>
      <c t="s" s="31" r="D50">
        <v>35</v>
      </c>
      <c t="s" s="31" r="E50">
        <v>35</v>
      </c>
      <c s="37" r="F50">
        <v>40911</v>
      </c>
      <c t="str" s="2" r="G50">
        <f>hyperlink("http://espn.go.com/chicago/mlb/story/_/id/7421123/chicago-cubs-agree-115m-contract-reed-johnson","One-year contract")</f>
        <v>One-year contract</v>
      </c>
      <c s="6" r="H50">
        <v>1150000</v>
      </c>
    </row>
    <row r="51">
      <c s="13" r="A51">
        <v>49</v>
      </c>
      <c t="str" s="45" r="B51">
        <f>hyperlink("http://www.baseball-reference.com/players/m/milleja04.shtml","Miller, Jai")</f>
        <v>Miller, Jai</v>
      </c>
      <c t="s" s="13" r="C51">
        <v>19</v>
      </c>
      <c t="s" s="13" r="D51">
        <v>23</v>
      </c>
      <c t="s" s="13" r="E51">
        <v>33</v>
      </c>
      <c s="18" r="F51">
        <v>40911</v>
      </c>
      <c t="str" s="30" r="G51">
        <f>hyperlink("http://espn.go.com/mlb/story/_/id/7420216/oakland-athletics-trade-jai-miller-baltimore-orioles-cash","Traded for cash")</f>
        <v>Traded for cash</v>
      </c>
      <c t="s" s="43" r="H51">
        <v>12</v>
      </c>
    </row>
    <row r="52">
      <c s="46" r="A52">
        <v>50</v>
      </c>
      <c t="str" s="44" r="B52">
        <f>hyperlink("http://www.baseball-reference.com/players/c/crispco01.shtml","Crisp, Coco")</f>
        <v>Crisp, Coco</v>
      </c>
      <c t="s" s="31" r="C52">
        <v>19</v>
      </c>
      <c t="s" s="31" r="D52">
        <v>23</v>
      </c>
      <c t="s" s="31" r="E52">
        <v>23</v>
      </c>
      <c s="37" r="F52">
        <v>40913</v>
      </c>
      <c t="str" s="2" r="G52">
        <f>hyperlink("http://espn.go.com/mlb/story/_/id/7429720/coco-crisp-returns-oakland-athletics-two-year-deal","Two-year contract with option")</f>
        <v>Two-year contract with option</v>
      </c>
      <c s="6" r="H52">
        <v>14000000</v>
      </c>
    </row>
    <row r="53">
      <c s="13" r="A53">
        <v>51</v>
      </c>
      <c t="str" s="45" r="B53">
        <f>hyperlink("http://www.baseball-reference.com/players/m/maciadr01.shtml","Macias, Drew")</f>
        <v>Macias, Drew</v>
      </c>
      <c t="s" s="13" r="C53">
        <v>19</v>
      </c>
      <c t="s" s="13" r="D53">
        <v>42</v>
      </c>
      <c t="s" s="13" r="E53">
        <v>47</v>
      </c>
      <c s="18" r="F53">
        <v>40917</v>
      </c>
      <c t="s" s="1" r="G53">
        <v>16</v>
      </c>
      <c t="s" s="43" r="H53">
        <v>12</v>
      </c>
    </row>
    <row r="54">
      <c s="46" r="A54">
        <v>52</v>
      </c>
      <c t="str" s="17" r="B54">
        <f>hyperlink("http://www.baseball-reference.com/players/r/repkoja01.shtml","Repko, Jason")</f>
        <v>Repko, Jason</v>
      </c>
      <c t="s" s="31" r="C54">
        <v>19</v>
      </c>
      <c t="s" s="31" r="D54">
        <v>37</v>
      </c>
      <c t="s" s="31" r="E54">
        <v>41</v>
      </c>
      <c s="37" r="F54">
        <v>40918</v>
      </c>
      <c t="s" s="1" r="G54">
        <v>16</v>
      </c>
      <c t="s" s="6" r="H54">
        <v>12</v>
      </c>
    </row>
    <row r="55">
      <c s="13" r="A55">
        <v>53</v>
      </c>
      <c t="str" s="45" r="B55">
        <f>hyperlink("http://www.baseball-reference.com/players/h/hairssc01.shtml","Hairston, Scott")</f>
        <v>Hairston, Scott</v>
      </c>
      <c t="s" s="13" r="C55">
        <v>19</v>
      </c>
      <c t="s" s="9" r="D55">
        <v>38</v>
      </c>
      <c t="s" s="9" r="E55">
        <v>38</v>
      </c>
      <c s="18" r="F55">
        <v>40919</v>
      </c>
      <c t="str" s="22" r="G55">
        <f>hyperlink("http://sports.espn.go.com/espn/wire?section=mlb&amp;id=7452095","One-year contract")</f>
        <v>One-year contract</v>
      </c>
      <c s="43" r="H55">
        <v>1100000</v>
      </c>
    </row>
    <row r="56">
      <c s="46" r="A56">
        <v>54</v>
      </c>
      <c t="str" s="44" r="B56">
        <f>hyperlink("http://www.baseball-reference.com/players/s/scottlu01.shtml","Scott, Luke")</f>
        <v>Scott, Luke</v>
      </c>
      <c t="s" s="31" r="C56">
        <v>19</v>
      </c>
      <c t="s" s="31" r="D56">
        <v>33</v>
      </c>
      <c t="s" s="31" r="E56">
        <v>48</v>
      </c>
      <c s="37" r="F56">
        <v>40920</v>
      </c>
      <c t="str" s="2" r="G56">
        <f>hyperlink("http://espn.go.com/mlb/story/_/id/7455067/luke-scott-agrees-1-year-contract-tampa-bay-rays-dh","One-year contract with option")</f>
        <v>One-year contract with option</v>
      </c>
      <c s="6" r="H56">
        <v>5000000</v>
      </c>
    </row>
    <row r="57">
      <c s="13" r="A57">
        <v>55</v>
      </c>
      <c t="str" s="45" r="B57">
        <f>hyperlink("http://www.baseball-reference.com/players/s/smithse01.shtml","Smith, Seth")</f>
        <v>Smith, Seth</v>
      </c>
      <c t="s" s="13" r="C57">
        <v>19</v>
      </c>
      <c t="s" s="13" r="D57">
        <v>22</v>
      </c>
      <c t="s" s="13" r="E57">
        <v>23</v>
      </c>
      <c s="18" r="F57">
        <v>40924</v>
      </c>
      <c t="str" s="30" r="G57">
        <f>hyperlink("http://espn.go.com/mlb/story/_/id/7467972/oakland-athletics-acquire-outfielder-seth-smith-deal-colorado-rockies","Traded for Moscoso &amp; Outman")</f>
        <v>Traded for Moscoso &amp; Outman</v>
      </c>
      <c t="s" s="43" r="H57">
        <v>12</v>
      </c>
    </row>
    <row r="58">
      <c s="31" r="A58">
        <v>56</v>
      </c>
      <c t="str" s="17" r="B58">
        <f>hyperlink("http://www.baseball-reference.com/players/f/felicje01.shtml","Feliciano, Jesus")</f>
        <v>Feliciano, Jesus</v>
      </c>
      <c t="s" s="31" r="C58">
        <v>19</v>
      </c>
      <c t="s" s="31" r="D58">
        <v>38</v>
      </c>
      <c t="s" s="31" r="E58">
        <v>48</v>
      </c>
      <c s="37" r="F58">
        <v>40925</v>
      </c>
      <c t="s" s="1" r="G58">
        <v>16</v>
      </c>
      <c t="s" s="6" r="H58">
        <v>12</v>
      </c>
    </row>
    <row r="59">
      <c s="13" r="A59">
        <v>57</v>
      </c>
      <c t="str" s="45" r="B59">
        <f>hyperlink("http://www.baseball-reference.com/minors/player.cgi?id=aoki--001nor","Aoki, Norichika")</f>
        <v>Aoki, Norichika</v>
      </c>
      <c t="s" s="13" r="C59">
        <v>19</v>
      </c>
      <c t="s" s="13" r="D59">
        <v>52</v>
      </c>
      <c t="s" s="13" r="E59">
        <v>34</v>
      </c>
      <c s="18" r="F59">
        <v>40925</v>
      </c>
      <c t="str" s="22" r="G59">
        <f>hyperlink("http://espn.go.com/mlb/story/_/id/7482633/japan-norichika-aoki-cashes-milwaukee-brewers-longtime-dream","Two-year contract with option")</f>
        <v>Two-year contract with option</v>
      </c>
      <c s="43" r="H59">
        <v>2250000</v>
      </c>
    </row>
    <row r="60">
      <c s="31" r="A60">
        <v>58</v>
      </c>
      <c t="str" s="17" r="B60">
        <f>hyperlink("http://www.baseball-reference.com/players/c/custja01.shtml","Cust, Jack")</f>
        <v>Cust, Jack</v>
      </c>
      <c t="s" s="31" r="C60">
        <v>19</v>
      </c>
      <c t="s" s="31" r="D60">
        <v>27</v>
      </c>
      <c t="s" s="31" r="E60">
        <v>31</v>
      </c>
      <c s="37" r="F60">
        <v>40926</v>
      </c>
      <c t="str" s="2" r="G60">
        <f>hyperlink("http://espn.go.com/mlb/story/_/id/7475673/jack-cust-houston-astros-agree-one-year-600000-deal","One-year contract with option")</f>
        <v>One-year contract with option</v>
      </c>
      <c s="6" r="H60">
        <v>600000</v>
      </c>
    </row>
    <row r="61">
      <c s="13" r="A61">
        <v>59</v>
      </c>
      <c t="str" s="45" r="B61">
        <f>hyperlink("http://www.baseball-reference.com/players/b/blancgr01.shtml","Blanco, Gregor")</f>
        <v>Blanco, Gregor</v>
      </c>
      <c t="s" s="13" r="C61">
        <v>19</v>
      </c>
      <c t="s" s="13" r="D61">
        <v>24</v>
      </c>
      <c t="s" s="13" r="E61">
        <v>29</v>
      </c>
      <c s="18" r="F61">
        <v>40926</v>
      </c>
      <c t="s" s="1" r="G61">
        <v>16</v>
      </c>
      <c t="s" s="43" r="H61">
        <v>12</v>
      </c>
    </row>
    <row r="62">
      <c s="31" r="A62">
        <v>60</v>
      </c>
      <c t="str" s="17" r="B62">
        <f>hyperlink("http://www.baseball-reference.com/players/l/lewisfr02.shtml","Lewis, Fred")</f>
        <v>Lewis, Fred</v>
      </c>
      <c t="s" s="31" r="C62">
        <v>19</v>
      </c>
      <c t="s" s="31" r="D62">
        <v>36</v>
      </c>
      <c t="s" s="31" r="E62">
        <v>11</v>
      </c>
      <c s="37" r="F62">
        <v>40927</v>
      </c>
      <c t="s" s="1" r="G62">
        <v>16</v>
      </c>
      <c t="s" s="6" r="H62">
        <v>12</v>
      </c>
    </row>
    <row r="63">
      <c s="13" r="A63">
        <v>61</v>
      </c>
      <c t="str" s="45" r="B63">
        <f>hyperlink("http://www.baseball-reference.com/players/s/spilbry01.shtml","Spilborghs, Ryan")</f>
        <v>Spilborghs, Ryan</v>
      </c>
      <c t="s" s="13" r="C63">
        <v>19</v>
      </c>
      <c t="s" s="13" r="D63">
        <v>22</v>
      </c>
      <c t="s" s="13" r="E63">
        <v>11</v>
      </c>
      <c s="18" r="F63">
        <v>40928</v>
      </c>
      <c t="s" s="1" r="G63">
        <v>16</v>
      </c>
      <c t="s" s="43" r="H63">
        <v>12</v>
      </c>
    </row>
    <row r="64">
      <c s="31" r="A64">
        <v>62</v>
      </c>
      <c t="str" s="36" r="B64">
        <f>hyperlink("http://www.baseball-reference.com/players/y/youngde04.shtml","Young, Delwyn")</f>
        <v>Young, Delwyn</v>
      </c>
      <c t="s" s="31" r="C64">
        <v>19</v>
      </c>
      <c t="s" s="31" r="D64">
        <v>27</v>
      </c>
      <c t="s" s="31" r="E64">
        <v>49</v>
      </c>
      <c s="37" r="F64">
        <v>40931</v>
      </c>
      <c t="s" s="1" r="G64">
        <v>16</v>
      </c>
      <c t="s" s="6" r="H64">
        <v>12</v>
      </c>
    </row>
    <row r="65">
      <c s="13" r="A65">
        <v>63</v>
      </c>
      <c t="str" s="23" r="B65">
        <f>hyperlink("http://www.baseball-reference.com/players/r/rossco01.shtml","Ross, Cody")</f>
        <v>Ross, Cody</v>
      </c>
      <c t="s" s="13" r="C65">
        <v>19</v>
      </c>
      <c t="s" s="13" r="D65">
        <v>29</v>
      </c>
      <c t="s" s="13" r="E65">
        <v>41</v>
      </c>
      <c s="18" r="F65">
        <v>40931</v>
      </c>
      <c t="str" s="22" r="G65">
        <f>hyperlink("http://espn.go.com/boston/mlb/story/_/id/7495385/cody-ross-agrees-boston-red-sox-source-says","One-year contract")</f>
        <v>One-year contract</v>
      </c>
      <c s="43" r="H65">
        <v>3000000</v>
      </c>
    </row>
    <row r="66">
      <c s="31" r="A66">
        <v>64</v>
      </c>
      <c t="str" s="36" r="B66">
        <f>hyperlink("http://www.baseball-reference.com/players/h/harriwi02.shtml","Harris, Willie")</f>
        <v>Harris, Willie</v>
      </c>
      <c t="s" s="31" r="C66">
        <v>19</v>
      </c>
      <c t="s" s="31" r="D66">
        <v>38</v>
      </c>
      <c t="s" s="31" r="E66">
        <v>36</v>
      </c>
      <c s="37" r="F66">
        <v>40931</v>
      </c>
      <c t="s" s="1" r="G66">
        <v>16</v>
      </c>
      <c t="s" s="6" r="H66">
        <v>12</v>
      </c>
    </row>
    <row r="67">
      <c s="13" r="A67">
        <v>65</v>
      </c>
      <c t="str" s="23" r="B67">
        <f>hyperlink("http://www.baseball-reference.com/players/k/kearnau01.shtml","Kearns, Austin")</f>
        <v>Kearns, Austin</v>
      </c>
      <c t="s" s="13" r="C67">
        <v>19</v>
      </c>
      <c t="s" s="13" r="D67">
        <v>11</v>
      </c>
      <c t="s" s="13" r="E67">
        <v>40</v>
      </c>
      <c s="18" r="F67">
        <v>40933</v>
      </c>
      <c t="s" s="1" r="G67">
        <v>16</v>
      </c>
      <c t="s" s="43" r="H67">
        <v>12</v>
      </c>
    </row>
    <row r="68">
      <c s="31" r="A68">
        <v>66</v>
      </c>
      <c t="str" s="36" r="B68">
        <f>hyperlink("http://www.baseball-reference.com/players/g/gomesjo01.shtml","Gomes, Jonny")</f>
        <v>Gomes, Jonny</v>
      </c>
      <c t="s" s="31" r="C68">
        <v>19</v>
      </c>
      <c t="s" s="31" r="D68">
        <v>24</v>
      </c>
      <c t="s" s="31" r="E68">
        <v>23</v>
      </c>
      <c s="37" r="F68">
        <v>40934</v>
      </c>
      <c t="str" s="2" r="G68">
        <f>hyperlink("http://espn.go.com/mlb/story/_/id/7506886/oakland-athletics-jonny-gomes-agree-one-year-contract","One-year contract")</f>
        <v>One-year contract</v>
      </c>
      <c s="6" r="H68">
        <v>1000000</v>
      </c>
    </row>
    <row r="69">
      <c s="13" r="A69">
        <v>67</v>
      </c>
      <c t="str" s="23" r="B69">
        <f>hyperlink("http://www.baseball-reference.com/players/p/pierrju01.shtml","Pierre, Juan")</f>
        <v>Pierre, Juan</v>
      </c>
      <c t="s" s="13" r="C69">
        <v>19</v>
      </c>
      <c t="s" s="13" r="D69">
        <v>54</v>
      </c>
      <c t="s" s="13" r="E69">
        <v>27</v>
      </c>
      <c s="18" r="F69">
        <v>40935</v>
      </c>
      <c t="s" s="1" r="G69">
        <v>16</v>
      </c>
      <c t="s" s="43" r="H69">
        <v>12</v>
      </c>
    </row>
    <row r="70">
      <c s="31" r="A70">
        <v>68</v>
      </c>
      <c t="str" s="33" r="B70">
        <f>hyperlink("http://www.baseball-reference.com/players/h/hudsoky01.shtml","Hudson, Kyle")</f>
        <v>Hudson, Kyle</v>
      </c>
      <c t="s" s="31" r="C70">
        <v>19</v>
      </c>
      <c t="s" s="31" r="D70">
        <v>33</v>
      </c>
      <c t="s" s="31" r="E70">
        <v>14</v>
      </c>
      <c s="37" r="F70">
        <v>40936</v>
      </c>
      <c t="s" s="1" r="G70">
        <v>16</v>
      </c>
      <c t="s" s="6" r="H70">
        <v>12</v>
      </c>
    </row>
    <row r="71">
      <c s="13" r="A71">
        <v>69</v>
      </c>
      <c t="str" s="23" r="B71">
        <f>hyperlink("http://www.baseball-reference.com/players/a/ankieri01.shtml","Ankiel, Rick")</f>
        <v>Ankiel, Rick</v>
      </c>
      <c t="s" s="13" r="C71">
        <v>19</v>
      </c>
      <c t="s" s="13" r="D71">
        <v>24</v>
      </c>
      <c t="s" s="13" r="E71">
        <v>24</v>
      </c>
      <c s="18" r="F71">
        <v>40945</v>
      </c>
      <c t="s" s="1" r="G71">
        <v>16</v>
      </c>
      <c t="s" s="43" r="H71">
        <v>12</v>
      </c>
    </row>
    <row r="72">
      <c s="31" r="A72">
        <v>70</v>
      </c>
      <c t="str" s="33" r="B72">
        <f>hyperlink("http://www.baseball-reference.com/players/j/jacksco01.shtml","Jackson, Conor")</f>
        <v>Jackson, Conor</v>
      </c>
      <c t="s" s="31" r="C72">
        <v>19</v>
      </c>
      <c t="s" s="31" r="D72">
        <v>41</v>
      </c>
      <c t="s" s="31" r="E72">
        <v>14</v>
      </c>
      <c s="37" r="F72">
        <v>40945</v>
      </c>
      <c t="s" s="1" r="G72">
        <v>16</v>
      </c>
      <c t="s" s="6" r="H72">
        <v>12</v>
      </c>
    </row>
    <row r="73">
      <c s="13" r="A73">
        <v>71</v>
      </c>
      <c t="str" s="23" r="B73">
        <f>hyperlink("http://www.baseball-reference.com/players/r/ruggiju01.shtml","Ruggiano, Justin")</f>
        <v>Ruggiano, Justin</v>
      </c>
      <c t="s" s="13" r="C73">
        <v>19</v>
      </c>
      <c t="s" s="13" r="D73">
        <v>48</v>
      </c>
      <c t="s" s="13" r="E73">
        <v>31</v>
      </c>
      <c s="18" r="F73">
        <v>40945</v>
      </c>
      <c t="s" s="1" r="G73">
        <v>16</v>
      </c>
      <c t="s" s="43" r="H73">
        <v>12</v>
      </c>
    </row>
    <row r="74">
      <c s="31" r="A74">
        <v>72</v>
      </c>
      <c t="str" s="36" r="B74">
        <f>hyperlink("http://www.baseball-reference.com/players/l/ludwiry01.shtml","Ludwick, Ryan")</f>
        <v>Ludwick, Ryan</v>
      </c>
      <c t="s" s="31" r="C74">
        <v>19</v>
      </c>
      <c t="s" s="31" r="D74">
        <v>15</v>
      </c>
      <c t="s" s="31" r="E74">
        <v>36</v>
      </c>
      <c s="37" r="F74">
        <v>40947</v>
      </c>
      <c t="str" s="2" r="G74">
        <f>hyperlink("http://espn.go.com/mlb/story/_/id/7558836/cincinnati-reds-ryan-ludwick-jeff-francis-finalize-contracts","One-year contract with option")</f>
        <v>One-year contract with option</v>
      </c>
      <c s="6" r="H74">
        <v>2500000</v>
      </c>
    </row>
    <row r="75">
      <c s="13" r="A75">
        <v>73</v>
      </c>
      <c t="str" s="23" r="B75">
        <f>hyperlink("http://www.baseball-reference.com/players/f/fukudko01.shtml","Fukudome, Kosuke")</f>
        <v>Fukudome, Kosuke</v>
      </c>
      <c t="s" s="13" r="C75">
        <v>19</v>
      </c>
      <c t="s" s="13" r="D75">
        <v>11</v>
      </c>
      <c t="s" s="13" r="E75">
        <v>54</v>
      </c>
      <c s="18" r="F75">
        <v>40953</v>
      </c>
      <c t="str" s="22" r="G75">
        <f>hyperlink("http://espn.go.com/chicago/mlb/story/_/id/7574610/chicago-white-sox-agree-former-chicago-cubs-kosuke-fukudome","One-year contract with option")</f>
        <v>One-year contract with option</v>
      </c>
      <c s="43" r="H75">
        <v>1000000</v>
      </c>
    </row>
    <row r="76">
      <c s="31" r="A76">
        <v>74</v>
      </c>
      <c t="str" s="36" r="B76">
        <f>hyperlink("http://www.baseball-reference.com/players/s/salazje01.shtml","Salazar, Jeff")</f>
        <v>Salazar, Jeff</v>
      </c>
      <c t="s" s="31" r="C76">
        <v>19</v>
      </c>
      <c t="s" s="31" r="D76">
        <v>30</v>
      </c>
      <c t="s" s="31" r="E76">
        <v>48</v>
      </c>
      <c s="37" r="F76">
        <v>40953</v>
      </c>
      <c t="s" s="1" r="G76">
        <v>16</v>
      </c>
      <c t="s" s="6" r="H76">
        <v>12</v>
      </c>
    </row>
    <row r="77">
      <c s="13" r="A77">
        <v>75</v>
      </c>
      <c t="str" s="23" r="B77">
        <f>hyperlink("http://www.baseball-reference.com/players/c/chrisju01.shtml","Christian, Justin")</f>
        <v>Christian, Justin</v>
      </c>
      <c t="s" s="13" r="C77">
        <v>19</v>
      </c>
      <c t="s" s="13" r="D77">
        <v>29</v>
      </c>
      <c t="s" s="13" r="E77">
        <v>29</v>
      </c>
      <c s="18" r="F77">
        <v>40955</v>
      </c>
      <c t="s" s="1" r="G77">
        <v>16</v>
      </c>
      <c t="s" s="43" r="H77">
        <v>12</v>
      </c>
    </row>
    <row r="78">
      <c s="31" r="A78">
        <v>76</v>
      </c>
      <c t="str" s="36" r="B78">
        <f>hyperlink("http://www.baseball-reference.com/players/r/ramirma02.shtml","Ramirez, Manny")</f>
        <v>Ramirez, Manny</v>
      </c>
      <c t="s" s="31" r="C78">
        <v>19</v>
      </c>
      <c t="s" s="31" r="D78">
        <v>48</v>
      </c>
      <c t="s" s="31" r="E78">
        <v>23</v>
      </c>
      <c s="37" r="F78">
        <v>40959</v>
      </c>
      <c t="s" s="1" r="G78">
        <v>16</v>
      </c>
      <c t="s" s="6" r="H78">
        <v>12</v>
      </c>
    </row>
    <row r="79">
      <c s="13" r="A79">
        <v>77</v>
      </c>
      <c t="str" s="23" r="B79">
        <f>hyperlink("http://www.baseball-reference.com/players/i/ibanera01.shtml","Ibanez, Raul")</f>
        <v>Ibanez, Raul</v>
      </c>
      <c t="s" s="13" r="C79">
        <v>19</v>
      </c>
      <c t="s" s="13" r="D79">
        <v>27</v>
      </c>
      <c t="s" s="13" r="E79">
        <v>45</v>
      </c>
      <c s="18" r="F79">
        <v>40960</v>
      </c>
      <c t="str" s="22" r="G79">
        <f>hyperlink("http://sports.espn.go.com/espn/wire?section=mlb&amp;id=7598353","One-year contract")</f>
        <v>One-year contract</v>
      </c>
      <c s="43" r="H79">
        <v>1100000</v>
      </c>
    </row>
    <row r="80">
      <c s="31" r="A80">
        <v>78</v>
      </c>
      <c s="36" r="B80"/>
      <c s="31" r="C80"/>
      <c s="31" r="D80"/>
      <c s="31" r="E80"/>
      <c s="31" r="F80"/>
      <c s="2" r="G80"/>
      <c s="6" r="H80"/>
    </row>
    <row r="81">
      <c s="13" r="A81">
        <v>79</v>
      </c>
      <c s="23" r="B81"/>
      <c s="13" r="C81"/>
      <c s="13" r="D81"/>
      <c s="13" r="E81"/>
      <c s="13" r="F81"/>
      <c s="22" r="G81"/>
      <c s="43" r="H81"/>
    </row>
    <row r="82">
      <c s="31" r="A82">
        <v>80</v>
      </c>
      <c s="36" r="B82"/>
      <c s="31" r="C82"/>
      <c s="31" r="D82"/>
      <c s="31" r="E82"/>
      <c s="31" r="F82"/>
      <c s="2" r="G82"/>
      <c s="6" r="H82"/>
    </row>
    <row r="83">
      <c s="13" r="A83">
        <v>81</v>
      </c>
      <c s="23" r="B83"/>
      <c s="13" r="C83"/>
      <c s="13" r="D83"/>
      <c s="13" r="E83"/>
      <c s="13" r="F83"/>
      <c s="22" r="G83"/>
      <c s="43" r="H83"/>
    </row>
    <row r="84">
      <c s="31" r="A84">
        <v>82</v>
      </c>
      <c s="36" r="B84"/>
      <c s="31" r="C84"/>
      <c s="31" r="D84"/>
      <c s="31" r="E84"/>
      <c s="31" r="F84"/>
      <c s="2" r="G84"/>
      <c s="6" r="H84"/>
    </row>
    <row r="85">
      <c s="13" r="A85">
        <v>83</v>
      </c>
      <c s="23" r="B85"/>
      <c s="13" r="C85"/>
      <c s="13" r="D85"/>
      <c s="13" r="E85"/>
      <c s="13" r="F85"/>
      <c s="22" r="G85"/>
      <c s="43" r="H85"/>
    </row>
    <row r="86">
      <c s="31" r="A86">
        <v>84</v>
      </c>
      <c s="36" r="B86"/>
      <c s="31" r="C86"/>
      <c s="31" r="D86"/>
      <c s="31" r="E86"/>
      <c s="31" r="F86"/>
      <c s="2" r="G86"/>
      <c s="6" r="H86"/>
    </row>
    <row r="87">
      <c s="13" r="A87">
        <v>85</v>
      </c>
      <c s="23" r="B87"/>
      <c s="13" r="C87"/>
      <c s="13" r="D87"/>
      <c s="13" r="E87"/>
      <c s="13" r="F87"/>
      <c s="22" r="G87"/>
      <c s="43" r="H87"/>
    </row>
    <row r="88">
      <c s="31" r="A88">
        <v>86</v>
      </c>
      <c s="36" r="B88"/>
      <c s="31" r="C88"/>
      <c s="31" r="D88"/>
      <c s="31" r="E88"/>
      <c s="31" r="F88"/>
      <c s="2" r="G88"/>
      <c s="6" r="H88"/>
    </row>
    <row r="89">
      <c s="13" r="A89">
        <v>87</v>
      </c>
      <c s="23" r="B89"/>
      <c s="13" r="C89"/>
      <c s="13" r="D89"/>
      <c s="13" r="E89"/>
      <c s="13" r="F89"/>
      <c s="22" r="G89"/>
      <c s="43" r="H89"/>
    </row>
    <row r="90">
      <c s="31" r="A90">
        <v>88</v>
      </c>
      <c s="36" r="B90"/>
      <c s="31" r="C90"/>
      <c s="31" r="D90"/>
      <c s="31" r="E90"/>
      <c s="31" r="F90"/>
      <c s="2" r="G90"/>
      <c s="6" r="H90"/>
    </row>
    <row r="91">
      <c s="13" r="A91">
        <v>89</v>
      </c>
      <c s="23" r="B91"/>
      <c s="13" r="C91"/>
      <c s="13" r="D91"/>
      <c s="13" r="E91"/>
      <c s="13" r="F91"/>
      <c s="22" r="G91"/>
      <c s="43" r="H91"/>
    </row>
    <row r="92">
      <c s="31" r="A92">
        <v>90</v>
      </c>
      <c s="36" r="B92"/>
      <c s="31" r="C92"/>
      <c s="31" r="D92"/>
      <c s="31" r="E92"/>
      <c s="31" r="F92"/>
      <c s="2" r="G92"/>
      <c s="6" r="H92"/>
    </row>
    <row r="93">
      <c s="13" r="A93">
        <v>91</v>
      </c>
      <c s="23" r="B93"/>
      <c s="13" r="C93"/>
      <c s="13" r="D93"/>
      <c s="13" r="E93"/>
      <c s="13" r="F93"/>
      <c s="22" r="G93"/>
      <c s="43" r="H93"/>
    </row>
    <row r="94">
      <c s="31" r="A94">
        <v>92</v>
      </c>
      <c s="36" r="B94"/>
      <c s="31" r="C94"/>
      <c s="31" r="D94"/>
      <c s="31" r="E94"/>
      <c s="31" r="F94"/>
      <c s="2" r="G94"/>
      <c s="6" r="H94"/>
    </row>
    <row r="95">
      <c s="13" r="A95">
        <v>93</v>
      </c>
      <c s="23" r="B95"/>
      <c s="13" r="C95"/>
      <c s="13" r="D95"/>
      <c s="13" r="E95"/>
      <c s="13" r="F95"/>
      <c s="22" r="G95"/>
      <c s="43" r="H95"/>
    </row>
    <row r="96">
      <c s="31" r="A96">
        <v>94</v>
      </c>
      <c s="36" r="B96"/>
      <c s="31" r="C96"/>
      <c s="31" r="D96"/>
      <c s="31" r="E96"/>
      <c s="31" r="F96"/>
      <c s="2" r="G96"/>
      <c s="6" r="H96"/>
    </row>
    <row r="97">
      <c s="13" r="A97">
        <v>95</v>
      </c>
      <c s="23" r="B97"/>
      <c s="13" r="C97"/>
      <c s="13" r="D97"/>
      <c s="13" r="E97"/>
      <c s="13" r="F97"/>
      <c s="22" r="G97"/>
      <c s="43" r="H97"/>
    </row>
    <row r="98">
      <c s="31" r="A98">
        <v>96</v>
      </c>
      <c s="36" r="B98"/>
      <c s="31" r="C98"/>
      <c s="31" r="D98"/>
      <c s="31" r="E98"/>
      <c s="31" r="F98"/>
      <c s="2" r="G98"/>
      <c s="6" r="H98"/>
    </row>
    <row r="99">
      <c s="13" r="A99">
        <v>97</v>
      </c>
      <c s="23" r="B99"/>
      <c s="13" r="C99"/>
      <c s="13" r="D99"/>
      <c s="13" r="E99"/>
      <c s="13" r="F99"/>
      <c s="22" r="G99"/>
      <c s="43" r="H99"/>
    </row>
    <row r="100">
      <c s="31" r="A100">
        <v>98</v>
      </c>
      <c s="36" r="B100"/>
      <c s="31" r="C100"/>
      <c s="31" r="D100"/>
      <c s="31" r="E100"/>
      <c s="31" r="F100"/>
      <c s="2" r="G100"/>
      <c s="6" r="H100"/>
    </row>
    <row r="101">
      <c s="13" r="A101">
        <v>99</v>
      </c>
      <c s="23" r="B101"/>
      <c s="13" r="C101"/>
      <c s="13" r="D101"/>
      <c s="13" r="E101"/>
      <c s="13" r="F101"/>
      <c s="22" r="G101"/>
      <c s="43" r="H101"/>
    </row>
    <row r="102">
      <c s="31" r="A102">
        <v>100</v>
      </c>
      <c s="36" r="B102"/>
      <c s="31" r="C102"/>
      <c s="31" r="D102"/>
      <c s="31" r="E102"/>
      <c s="31" r="F102"/>
      <c s="2" r="G102"/>
      <c s="6" r="H102"/>
    </row>
  </sheetData>
  <mergeCells count="1">
    <mergeCell ref="A1:H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5.29"/>
    <col min="2" customWidth="1" max="2" width="12.14"/>
    <col min="3" customWidth="1" max="3" width="9.0"/>
    <col min="4" customWidth="1" max="4" width="11.14"/>
    <col min="5" customWidth="1" max="5" width="8.86"/>
    <col min="6" customWidth="1" max="6" width="18.57"/>
  </cols>
  <sheetData/>
</worksheet>
</file>