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4780" windowHeight="11385"/>
  </bookViews>
  <sheets>
    <sheet name="Report" sheetId="2" r:id="rId1"/>
    <sheet name="Details" sheetId="1" r:id="rId2"/>
    <sheet name="Fund4" sheetId="3" r:id="rId3"/>
    <sheet name="Lunch" sheetId="4" r:id="rId4"/>
  </sheets>
  <definedNames>
    <definedName name="TitleRegion1.a1.g37.1">Report!$A$2</definedName>
    <definedName name="TitleRegion1.a1.j537.4">Lunch!$J$537</definedName>
    <definedName name="TitleRegion1.a2.bf555.2">Details!$BF$555</definedName>
    <definedName name="TitleRegion1.a5.n506.3">Fund4!$N$506</definedName>
    <definedName name="TitleRegion2.p4.ad540.3">Fund4!$AD$540</definedName>
  </definedNames>
  <calcPr calcId="145621"/>
</workbook>
</file>

<file path=xl/calcChain.xml><?xml version="1.0" encoding="utf-8"?>
<calcChain xmlns="http://schemas.openxmlformats.org/spreadsheetml/2006/main">
  <c r="BB546" i="1" l="1"/>
  <c r="BB545" i="1"/>
  <c r="BB544" i="1"/>
  <c r="BB543" i="1"/>
  <c r="BB542" i="1"/>
  <c r="BB541" i="1"/>
  <c r="BB540" i="1"/>
  <c r="BB539" i="1"/>
  <c r="BB538" i="1"/>
  <c r="BB537" i="1"/>
  <c r="BB536" i="1"/>
  <c r="BB535" i="1"/>
  <c r="BB534" i="1"/>
  <c r="BB533" i="1"/>
  <c r="BB532" i="1"/>
  <c r="BB531" i="1"/>
  <c r="BB530" i="1"/>
  <c r="BB529" i="1"/>
  <c r="BB528" i="1"/>
  <c r="BB527" i="1"/>
  <c r="BB526" i="1"/>
  <c r="BB525" i="1"/>
  <c r="BB524" i="1"/>
  <c r="BB523" i="1"/>
  <c r="BB522" i="1"/>
  <c r="BB521" i="1"/>
  <c r="BB520" i="1"/>
  <c r="BB519" i="1"/>
  <c r="BB518" i="1"/>
  <c r="BB517" i="1"/>
  <c r="BB516" i="1"/>
  <c r="BB515" i="1"/>
  <c r="BB514" i="1"/>
  <c r="BB513" i="1"/>
  <c r="BB512" i="1"/>
  <c r="BB511" i="1"/>
  <c r="BB510" i="1"/>
  <c r="BB509" i="1"/>
  <c r="BB508" i="1"/>
  <c r="BB507" i="1"/>
  <c r="BB506" i="1"/>
  <c r="BB505" i="1"/>
  <c r="BB504" i="1"/>
  <c r="BB503" i="1"/>
  <c r="BB502" i="1"/>
  <c r="BB501" i="1"/>
  <c r="BB500" i="1"/>
  <c r="BB499" i="1"/>
  <c r="BB498" i="1"/>
  <c r="BB497" i="1"/>
  <c r="BB496" i="1"/>
  <c r="BB495" i="1"/>
  <c r="BB494" i="1"/>
  <c r="BB493" i="1"/>
  <c r="BB492" i="1"/>
  <c r="BB491" i="1"/>
  <c r="BB490" i="1"/>
  <c r="BB489" i="1"/>
  <c r="BB488" i="1"/>
  <c r="BB487" i="1"/>
  <c r="BB486" i="1"/>
  <c r="BB485" i="1"/>
  <c r="BB484" i="1"/>
  <c r="BB483" i="1"/>
  <c r="BB482" i="1"/>
  <c r="BB481" i="1"/>
  <c r="BB480" i="1"/>
  <c r="BB479" i="1"/>
  <c r="BB478" i="1"/>
  <c r="BB477" i="1"/>
  <c r="BB476" i="1"/>
  <c r="BB475" i="1"/>
  <c r="BB474" i="1"/>
  <c r="BB473" i="1"/>
  <c r="BB472" i="1"/>
  <c r="BB471" i="1"/>
  <c r="BB470" i="1"/>
  <c r="BB469" i="1"/>
  <c r="BB468" i="1"/>
  <c r="BB467" i="1"/>
  <c r="BB466" i="1"/>
  <c r="BB465" i="1"/>
  <c r="BB464" i="1"/>
  <c r="BB463" i="1"/>
  <c r="BB462" i="1"/>
  <c r="BB461" i="1"/>
  <c r="BB460" i="1"/>
  <c r="BB459" i="1"/>
  <c r="BB458" i="1"/>
  <c r="BB457" i="1"/>
  <c r="BB456" i="1"/>
  <c r="BB455" i="1"/>
  <c r="BB454" i="1"/>
  <c r="BB453" i="1"/>
  <c r="BB452" i="1"/>
  <c r="BB451" i="1"/>
  <c r="BB450" i="1"/>
  <c r="BB449" i="1"/>
  <c r="BB448" i="1"/>
  <c r="BB447" i="1"/>
  <c r="BB446" i="1"/>
  <c r="BB445" i="1"/>
  <c r="BB444" i="1"/>
  <c r="BB443" i="1"/>
  <c r="BB442" i="1"/>
  <c r="BB441" i="1"/>
  <c r="BB440" i="1"/>
  <c r="BB439" i="1"/>
  <c r="BB438" i="1"/>
  <c r="BB437" i="1"/>
  <c r="BB436" i="1"/>
  <c r="BB435" i="1"/>
  <c r="BB434" i="1"/>
  <c r="BB433" i="1"/>
  <c r="BB432" i="1"/>
  <c r="BB431" i="1"/>
  <c r="BB430" i="1"/>
  <c r="BB429" i="1"/>
  <c r="BB428" i="1"/>
  <c r="BB427" i="1"/>
  <c r="BB426" i="1"/>
  <c r="BB425" i="1"/>
  <c r="BB424" i="1"/>
  <c r="BB423" i="1"/>
  <c r="BB422" i="1"/>
  <c r="BB421" i="1"/>
  <c r="BB420" i="1"/>
  <c r="BB419" i="1"/>
  <c r="BB418" i="1"/>
  <c r="BB417" i="1"/>
  <c r="BB416" i="1"/>
  <c r="BB415" i="1"/>
  <c r="BB414" i="1"/>
  <c r="BB413" i="1"/>
  <c r="BB412" i="1"/>
  <c r="BB411" i="1"/>
  <c r="BB410" i="1"/>
  <c r="BB409" i="1"/>
  <c r="BB408" i="1"/>
  <c r="BB407" i="1"/>
  <c r="BB406" i="1"/>
  <c r="BB405" i="1"/>
  <c r="BB404" i="1"/>
  <c r="BB403" i="1"/>
  <c r="BB402" i="1"/>
  <c r="BB401" i="1"/>
  <c r="BB400" i="1"/>
  <c r="BB399" i="1"/>
  <c r="BB398" i="1"/>
  <c r="BB397" i="1"/>
  <c r="BB396" i="1"/>
  <c r="BB395" i="1"/>
  <c r="BB394" i="1"/>
  <c r="BB393" i="1"/>
  <c r="BB392" i="1"/>
  <c r="BB391" i="1"/>
  <c r="BB390" i="1"/>
  <c r="BB389" i="1"/>
  <c r="BB388" i="1"/>
  <c r="BB387" i="1"/>
  <c r="BB386" i="1"/>
  <c r="BB385" i="1"/>
  <c r="BB384" i="1"/>
  <c r="BB383" i="1"/>
  <c r="BB382" i="1"/>
  <c r="BB381" i="1"/>
  <c r="BB380" i="1"/>
  <c r="BB379" i="1"/>
  <c r="BB378" i="1"/>
  <c r="BB377" i="1"/>
  <c r="BB376" i="1"/>
  <c r="BB375" i="1"/>
  <c r="BB374" i="1"/>
  <c r="BB373" i="1"/>
  <c r="BB372" i="1"/>
  <c r="BB371" i="1"/>
  <c r="BB370" i="1"/>
  <c r="BB369" i="1"/>
  <c r="BB368" i="1"/>
  <c r="BB367" i="1"/>
  <c r="BB366" i="1"/>
  <c r="BB365" i="1"/>
  <c r="BB364" i="1"/>
  <c r="BB363" i="1"/>
  <c r="BB362" i="1"/>
  <c r="BB361" i="1"/>
  <c r="BB360" i="1"/>
  <c r="BB359" i="1"/>
  <c r="BB358" i="1"/>
  <c r="BB357" i="1"/>
  <c r="BB356" i="1"/>
  <c r="BB355" i="1"/>
  <c r="BB354" i="1"/>
  <c r="BB353" i="1"/>
  <c r="BB352" i="1"/>
  <c r="BB351" i="1"/>
  <c r="BB350" i="1"/>
  <c r="BB349" i="1"/>
  <c r="BB348" i="1"/>
  <c r="BB347" i="1"/>
  <c r="BB346" i="1"/>
  <c r="BB345" i="1"/>
  <c r="BB344" i="1"/>
  <c r="BB343" i="1"/>
  <c r="BB342" i="1"/>
  <c r="BB341" i="1"/>
  <c r="BB340" i="1"/>
  <c r="BB339" i="1"/>
  <c r="BB338" i="1"/>
  <c r="BB337" i="1"/>
  <c r="BB336" i="1"/>
  <c r="BB335" i="1"/>
  <c r="BB334" i="1"/>
  <c r="BB333" i="1"/>
  <c r="BB332" i="1"/>
  <c r="BB331" i="1"/>
  <c r="BB330" i="1"/>
  <c r="BB329" i="1"/>
  <c r="BB328" i="1"/>
  <c r="BB327" i="1"/>
  <c r="BB326" i="1"/>
  <c r="BB325" i="1"/>
  <c r="BB324" i="1"/>
  <c r="BB323" i="1"/>
  <c r="BB322" i="1"/>
  <c r="BB321" i="1"/>
  <c r="BB320" i="1"/>
  <c r="BB319" i="1"/>
  <c r="BB318" i="1"/>
  <c r="BB317" i="1"/>
  <c r="BB316" i="1"/>
  <c r="BB315" i="1"/>
  <c r="BB314" i="1"/>
  <c r="BB313" i="1"/>
  <c r="BB312" i="1"/>
  <c r="BB311" i="1"/>
  <c r="BB310" i="1"/>
  <c r="BB309" i="1"/>
  <c r="BB308" i="1"/>
  <c r="BB307" i="1"/>
  <c r="BB306" i="1"/>
  <c r="BB305" i="1"/>
  <c r="BB304" i="1"/>
  <c r="BB303" i="1"/>
  <c r="BB302" i="1"/>
  <c r="BB301" i="1"/>
  <c r="BB300" i="1"/>
  <c r="BB299" i="1"/>
  <c r="BB298" i="1"/>
  <c r="BB297" i="1"/>
  <c r="BB296" i="1"/>
  <c r="BB295" i="1"/>
  <c r="BB294" i="1"/>
  <c r="BB293" i="1"/>
  <c r="BB292" i="1"/>
  <c r="BB291" i="1"/>
  <c r="BB290" i="1"/>
  <c r="BB289" i="1"/>
  <c r="BB288" i="1"/>
  <c r="BB287" i="1"/>
  <c r="BB286" i="1"/>
  <c r="BB285" i="1"/>
  <c r="BB284" i="1"/>
  <c r="BB283" i="1"/>
  <c r="BB282" i="1"/>
  <c r="BB281" i="1"/>
  <c r="BB280" i="1"/>
  <c r="BB279" i="1"/>
  <c r="BB278" i="1"/>
  <c r="BB277" i="1"/>
  <c r="BB276" i="1"/>
  <c r="BB275" i="1"/>
  <c r="BB274" i="1"/>
  <c r="BB273" i="1"/>
  <c r="BB272" i="1"/>
  <c r="BB271" i="1"/>
  <c r="BB270" i="1"/>
  <c r="BB269" i="1"/>
  <c r="BB268" i="1"/>
  <c r="BB267" i="1"/>
  <c r="BB266" i="1"/>
  <c r="BB265" i="1"/>
  <c r="BB264" i="1"/>
  <c r="BB263" i="1"/>
  <c r="BB262" i="1"/>
  <c r="BB261" i="1"/>
  <c r="BB260" i="1"/>
  <c r="BB259" i="1"/>
  <c r="BB258" i="1"/>
  <c r="BB257" i="1"/>
  <c r="BB256" i="1"/>
  <c r="BB255" i="1"/>
  <c r="BB254" i="1"/>
  <c r="BB253" i="1"/>
  <c r="BB252" i="1"/>
  <c r="BB251" i="1"/>
  <c r="BB250" i="1"/>
  <c r="BB249" i="1"/>
  <c r="BB248" i="1"/>
  <c r="BB247" i="1"/>
  <c r="BB246" i="1"/>
  <c r="BB245" i="1"/>
  <c r="BB244" i="1"/>
  <c r="BB243" i="1"/>
  <c r="BB242" i="1"/>
  <c r="BB241" i="1"/>
  <c r="BB240" i="1"/>
  <c r="BB239" i="1"/>
  <c r="BB238" i="1"/>
  <c r="BB237" i="1"/>
  <c r="BB236" i="1"/>
  <c r="BB235" i="1"/>
  <c r="BB234" i="1"/>
  <c r="BB233" i="1"/>
  <c r="BB232" i="1"/>
  <c r="BB231" i="1"/>
  <c r="BB230" i="1"/>
  <c r="BB229" i="1"/>
  <c r="BB228" i="1"/>
  <c r="BB227" i="1"/>
  <c r="BB226" i="1"/>
  <c r="BB225" i="1"/>
  <c r="BB224" i="1"/>
  <c r="BB223" i="1"/>
  <c r="BB222" i="1"/>
  <c r="BB221" i="1"/>
  <c r="BB220" i="1"/>
  <c r="BB219" i="1"/>
  <c r="BB218" i="1"/>
  <c r="BB217" i="1"/>
  <c r="BB216" i="1"/>
  <c r="BB215" i="1"/>
  <c r="BB214" i="1"/>
  <c r="BB213" i="1"/>
  <c r="BB212" i="1"/>
  <c r="BB211" i="1"/>
  <c r="BB210" i="1"/>
  <c r="BB209" i="1"/>
  <c r="BB208" i="1"/>
  <c r="BB207" i="1"/>
  <c r="BB206" i="1"/>
  <c r="BB205" i="1"/>
  <c r="BB204" i="1"/>
  <c r="BB203" i="1"/>
  <c r="BB202" i="1"/>
  <c r="BB201" i="1"/>
  <c r="BB200" i="1"/>
  <c r="BB199" i="1"/>
  <c r="BB198" i="1"/>
  <c r="BB197" i="1"/>
  <c r="BB196" i="1"/>
  <c r="BB195" i="1"/>
  <c r="BB194" i="1"/>
  <c r="BB193" i="1"/>
  <c r="BB192" i="1"/>
  <c r="BB191" i="1"/>
  <c r="BB190" i="1"/>
  <c r="BB189" i="1"/>
  <c r="BB188" i="1"/>
  <c r="BB187" i="1"/>
  <c r="BB186" i="1"/>
  <c r="BB185" i="1"/>
  <c r="BB184" i="1"/>
  <c r="BB183" i="1"/>
  <c r="BB182" i="1"/>
  <c r="BB181" i="1"/>
  <c r="BB180" i="1"/>
  <c r="BB179" i="1"/>
  <c r="BB178" i="1"/>
  <c r="BB177" i="1"/>
  <c r="BB176" i="1"/>
  <c r="BB175" i="1"/>
  <c r="BB174" i="1"/>
  <c r="BB173" i="1"/>
  <c r="BB172" i="1"/>
  <c r="BB171" i="1"/>
  <c r="BB170" i="1"/>
  <c r="BB169" i="1"/>
  <c r="BB168" i="1"/>
  <c r="BB167" i="1"/>
  <c r="BB166" i="1"/>
  <c r="BB165" i="1"/>
  <c r="BB164" i="1"/>
  <c r="BB163" i="1"/>
  <c r="BB162" i="1"/>
  <c r="BB161" i="1"/>
  <c r="BB160" i="1"/>
  <c r="BB159" i="1"/>
  <c r="BB158" i="1"/>
  <c r="BB157" i="1"/>
  <c r="BB156" i="1"/>
  <c r="BB155" i="1"/>
  <c r="BB154" i="1"/>
  <c r="BB153" i="1"/>
  <c r="BB152" i="1"/>
  <c r="BB151" i="1"/>
  <c r="BB150" i="1"/>
  <c r="BB149" i="1"/>
  <c r="BB148" i="1"/>
  <c r="BB147" i="1"/>
  <c r="BB146" i="1"/>
  <c r="BB145" i="1"/>
  <c r="BB144" i="1"/>
  <c r="BB143" i="1"/>
  <c r="BB142" i="1"/>
  <c r="BB141" i="1"/>
  <c r="BB140" i="1"/>
  <c r="BB139" i="1"/>
  <c r="BB138" i="1"/>
  <c r="BB137" i="1"/>
  <c r="BB136" i="1"/>
  <c r="BB135" i="1"/>
  <c r="BB134" i="1"/>
  <c r="BB133" i="1"/>
  <c r="BB132" i="1"/>
  <c r="BB131" i="1"/>
  <c r="BB130" i="1"/>
  <c r="BB129" i="1"/>
  <c r="BB128" i="1"/>
  <c r="BB127" i="1"/>
  <c r="BB126" i="1"/>
  <c r="BB125" i="1"/>
  <c r="BB124" i="1"/>
  <c r="BB123" i="1"/>
  <c r="BB122" i="1"/>
  <c r="BB121" i="1"/>
  <c r="BB120" i="1"/>
  <c r="BB119" i="1"/>
  <c r="BB118" i="1"/>
  <c r="BB117" i="1"/>
  <c r="BB116" i="1"/>
  <c r="BB115" i="1"/>
  <c r="BB114" i="1"/>
  <c r="BB113" i="1"/>
  <c r="BB112" i="1"/>
  <c r="BB111" i="1"/>
  <c r="BB110" i="1"/>
  <c r="BB109" i="1"/>
  <c r="BB108" i="1"/>
  <c r="BB107" i="1"/>
  <c r="BB106" i="1"/>
  <c r="BB105" i="1"/>
  <c r="BB104" i="1"/>
  <c r="BB103" i="1"/>
  <c r="BB102" i="1"/>
  <c r="BB101" i="1"/>
  <c r="BB100" i="1"/>
  <c r="BB99" i="1"/>
  <c r="BB98" i="1"/>
  <c r="BB97" i="1"/>
  <c r="BB96" i="1"/>
  <c r="BB95" i="1"/>
  <c r="BB94" i="1"/>
  <c r="BB93" i="1"/>
  <c r="BB92" i="1"/>
  <c r="BB91" i="1"/>
  <c r="BB90" i="1"/>
  <c r="BB89" i="1"/>
  <c r="BB88" i="1"/>
  <c r="BB87" i="1"/>
  <c r="BB86" i="1"/>
  <c r="BB85" i="1"/>
  <c r="BB84" i="1"/>
  <c r="BB83" i="1"/>
  <c r="BB82" i="1"/>
  <c r="BB81" i="1"/>
  <c r="BB80" i="1"/>
  <c r="BB79" i="1"/>
  <c r="BB78" i="1"/>
  <c r="BB77" i="1"/>
  <c r="BB76" i="1"/>
  <c r="BB75" i="1"/>
  <c r="BB74" i="1"/>
  <c r="BB73" i="1"/>
  <c r="BB72" i="1"/>
  <c r="BB71" i="1"/>
  <c r="BB70" i="1"/>
  <c r="BB69" i="1"/>
  <c r="BB68" i="1"/>
  <c r="BB67" i="1"/>
  <c r="BB66" i="1"/>
  <c r="BB65" i="1"/>
  <c r="BB64" i="1"/>
  <c r="BB63" i="1"/>
  <c r="BB62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16" i="1"/>
  <c r="G537" i="4"/>
  <c r="H537" i="4" s="1"/>
  <c r="I537" i="4" s="1"/>
  <c r="J537" i="4" s="1"/>
  <c r="G536" i="4"/>
  <c r="H536" i="4" s="1"/>
  <c r="I536" i="4" s="1"/>
  <c r="J536" i="4" s="1"/>
  <c r="G535" i="4"/>
  <c r="H535" i="4" s="1"/>
  <c r="I535" i="4" s="1"/>
  <c r="J535" i="4" s="1"/>
  <c r="G534" i="4"/>
  <c r="H534" i="4" s="1"/>
  <c r="I534" i="4" s="1"/>
  <c r="J534" i="4" s="1"/>
  <c r="G533" i="4"/>
  <c r="H533" i="4" s="1"/>
  <c r="I533" i="4" s="1"/>
  <c r="J533" i="4" s="1"/>
  <c r="G532" i="4"/>
  <c r="H532" i="4" s="1"/>
  <c r="I532" i="4" s="1"/>
  <c r="J532" i="4" s="1"/>
  <c r="G531" i="4"/>
  <c r="H531" i="4" s="1"/>
  <c r="I531" i="4" s="1"/>
  <c r="J531" i="4" s="1"/>
  <c r="G530" i="4"/>
  <c r="H530" i="4" s="1"/>
  <c r="I530" i="4" s="1"/>
  <c r="J530" i="4" s="1"/>
  <c r="G529" i="4"/>
  <c r="H529" i="4" s="1"/>
  <c r="I529" i="4" s="1"/>
  <c r="J529" i="4" s="1"/>
  <c r="G528" i="4"/>
  <c r="H528" i="4" s="1"/>
  <c r="I528" i="4" s="1"/>
  <c r="J528" i="4" s="1"/>
  <c r="G527" i="4"/>
  <c r="H527" i="4" s="1"/>
  <c r="I527" i="4" s="1"/>
  <c r="J527" i="4" s="1"/>
  <c r="G526" i="4"/>
  <c r="H526" i="4" s="1"/>
  <c r="I526" i="4" s="1"/>
  <c r="J526" i="4" s="1"/>
  <c r="G525" i="4"/>
  <c r="H525" i="4" s="1"/>
  <c r="I525" i="4" s="1"/>
  <c r="J525" i="4" s="1"/>
  <c r="G524" i="4"/>
  <c r="H524" i="4" s="1"/>
  <c r="I524" i="4" s="1"/>
  <c r="J524" i="4" s="1"/>
  <c r="G523" i="4"/>
  <c r="H523" i="4" s="1"/>
  <c r="I523" i="4" s="1"/>
  <c r="J523" i="4" s="1"/>
  <c r="G522" i="4"/>
  <c r="H522" i="4" s="1"/>
  <c r="I522" i="4" s="1"/>
  <c r="J522" i="4" s="1"/>
  <c r="G521" i="4"/>
  <c r="H521" i="4" s="1"/>
  <c r="I521" i="4" s="1"/>
  <c r="J521" i="4" s="1"/>
  <c r="G520" i="4"/>
  <c r="H520" i="4" s="1"/>
  <c r="I520" i="4" s="1"/>
  <c r="J520" i="4" s="1"/>
  <c r="G519" i="4"/>
  <c r="H519" i="4" s="1"/>
  <c r="I519" i="4" s="1"/>
  <c r="J519" i="4" s="1"/>
  <c r="G518" i="4"/>
  <c r="H518" i="4" s="1"/>
  <c r="I518" i="4" s="1"/>
  <c r="J518" i="4" s="1"/>
  <c r="G517" i="4"/>
  <c r="H517" i="4" s="1"/>
  <c r="I517" i="4" s="1"/>
  <c r="J517" i="4" s="1"/>
  <c r="G516" i="4"/>
  <c r="H516" i="4" s="1"/>
  <c r="I516" i="4" s="1"/>
  <c r="J516" i="4" s="1"/>
  <c r="G515" i="4"/>
  <c r="H515" i="4" s="1"/>
  <c r="I515" i="4" s="1"/>
  <c r="J515" i="4" s="1"/>
  <c r="G514" i="4"/>
  <c r="H514" i="4" s="1"/>
  <c r="I514" i="4" s="1"/>
  <c r="J514" i="4" s="1"/>
  <c r="G513" i="4"/>
  <c r="H513" i="4" s="1"/>
  <c r="I513" i="4" s="1"/>
  <c r="J513" i="4" s="1"/>
  <c r="G512" i="4"/>
  <c r="H512" i="4" s="1"/>
  <c r="I512" i="4" s="1"/>
  <c r="J512" i="4" s="1"/>
  <c r="G511" i="4"/>
  <c r="H511" i="4" s="1"/>
  <c r="I511" i="4" s="1"/>
  <c r="J511" i="4" s="1"/>
  <c r="G510" i="4"/>
  <c r="H510" i="4" s="1"/>
  <c r="I510" i="4" s="1"/>
  <c r="J510" i="4" s="1"/>
  <c r="G509" i="4"/>
  <c r="H509" i="4" s="1"/>
  <c r="I509" i="4" s="1"/>
  <c r="J509" i="4" s="1"/>
  <c r="G508" i="4"/>
  <c r="H508" i="4" s="1"/>
  <c r="I508" i="4" s="1"/>
  <c r="J508" i="4" s="1"/>
  <c r="G507" i="4"/>
  <c r="H507" i="4" s="1"/>
  <c r="I507" i="4" s="1"/>
  <c r="J507" i="4" s="1"/>
  <c r="G506" i="4"/>
  <c r="H506" i="4" s="1"/>
  <c r="I506" i="4" s="1"/>
  <c r="J506" i="4" s="1"/>
  <c r="G505" i="4"/>
  <c r="H505" i="4" s="1"/>
  <c r="I505" i="4" s="1"/>
  <c r="J505" i="4" s="1"/>
  <c r="G504" i="4"/>
  <c r="H504" i="4" s="1"/>
  <c r="I504" i="4" s="1"/>
  <c r="J504" i="4" s="1"/>
  <c r="G503" i="4"/>
  <c r="H503" i="4" s="1"/>
  <c r="I503" i="4" s="1"/>
  <c r="J503" i="4" s="1"/>
  <c r="G502" i="4"/>
  <c r="H502" i="4" s="1"/>
  <c r="I502" i="4" s="1"/>
  <c r="J502" i="4" s="1"/>
  <c r="G501" i="4"/>
  <c r="H501" i="4" s="1"/>
  <c r="I501" i="4" s="1"/>
  <c r="J501" i="4" s="1"/>
  <c r="G500" i="4"/>
  <c r="H500" i="4" s="1"/>
  <c r="I500" i="4" s="1"/>
  <c r="J500" i="4" s="1"/>
  <c r="G499" i="4"/>
  <c r="H499" i="4" s="1"/>
  <c r="I499" i="4" s="1"/>
  <c r="J499" i="4" s="1"/>
  <c r="G498" i="4"/>
  <c r="H498" i="4" s="1"/>
  <c r="I498" i="4" s="1"/>
  <c r="J498" i="4" s="1"/>
  <c r="G497" i="4"/>
  <c r="H497" i="4" s="1"/>
  <c r="I497" i="4" s="1"/>
  <c r="J497" i="4" s="1"/>
  <c r="G496" i="4"/>
  <c r="H496" i="4" s="1"/>
  <c r="I496" i="4" s="1"/>
  <c r="J496" i="4" s="1"/>
  <c r="G495" i="4"/>
  <c r="H495" i="4" s="1"/>
  <c r="I495" i="4" s="1"/>
  <c r="J495" i="4" s="1"/>
  <c r="G494" i="4"/>
  <c r="H494" i="4" s="1"/>
  <c r="I494" i="4" s="1"/>
  <c r="J494" i="4" s="1"/>
  <c r="G493" i="4"/>
  <c r="H493" i="4" s="1"/>
  <c r="I493" i="4" s="1"/>
  <c r="J493" i="4" s="1"/>
  <c r="G492" i="4"/>
  <c r="H492" i="4" s="1"/>
  <c r="I492" i="4" s="1"/>
  <c r="J492" i="4" s="1"/>
  <c r="G491" i="4"/>
  <c r="H491" i="4" s="1"/>
  <c r="I491" i="4" s="1"/>
  <c r="J491" i="4" s="1"/>
  <c r="G490" i="4"/>
  <c r="H490" i="4" s="1"/>
  <c r="I490" i="4" s="1"/>
  <c r="J490" i="4" s="1"/>
  <c r="G489" i="4"/>
  <c r="H489" i="4" s="1"/>
  <c r="I489" i="4" s="1"/>
  <c r="J489" i="4" s="1"/>
  <c r="G488" i="4"/>
  <c r="H488" i="4" s="1"/>
  <c r="I488" i="4" s="1"/>
  <c r="J488" i="4" s="1"/>
  <c r="G487" i="4"/>
  <c r="H487" i="4" s="1"/>
  <c r="I487" i="4" s="1"/>
  <c r="J487" i="4" s="1"/>
  <c r="G486" i="4"/>
  <c r="H486" i="4" s="1"/>
  <c r="I486" i="4" s="1"/>
  <c r="J486" i="4" s="1"/>
  <c r="G485" i="4"/>
  <c r="H485" i="4" s="1"/>
  <c r="I485" i="4" s="1"/>
  <c r="J485" i="4" s="1"/>
  <c r="G484" i="4"/>
  <c r="H484" i="4" s="1"/>
  <c r="I484" i="4" s="1"/>
  <c r="J484" i="4" s="1"/>
  <c r="G483" i="4"/>
  <c r="H483" i="4" s="1"/>
  <c r="I483" i="4" s="1"/>
  <c r="J483" i="4" s="1"/>
  <c r="G482" i="4"/>
  <c r="H482" i="4" s="1"/>
  <c r="I482" i="4" s="1"/>
  <c r="J482" i="4" s="1"/>
  <c r="G481" i="4"/>
  <c r="H481" i="4" s="1"/>
  <c r="I481" i="4" s="1"/>
  <c r="J481" i="4" s="1"/>
  <c r="G480" i="4"/>
  <c r="H480" i="4" s="1"/>
  <c r="I480" i="4" s="1"/>
  <c r="J480" i="4" s="1"/>
  <c r="G479" i="4"/>
  <c r="H479" i="4" s="1"/>
  <c r="I479" i="4" s="1"/>
  <c r="J479" i="4" s="1"/>
  <c r="G478" i="4"/>
  <c r="H478" i="4" s="1"/>
  <c r="I478" i="4" s="1"/>
  <c r="J478" i="4" s="1"/>
  <c r="G477" i="4"/>
  <c r="H477" i="4" s="1"/>
  <c r="I477" i="4" s="1"/>
  <c r="J477" i="4" s="1"/>
  <c r="G476" i="4"/>
  <c r="H476" i="4" s="1"/>
  <c r="I476" i="4" s="1"/>
  <c r="J476" i="4" s="1"/>
  <c r="G475" i="4"/>
  <c r="H475" i="4" s="1"/>
  <c r="I475" i="4" s="1"/>
  <c r="J475" i="4" s="1"/>
  <c r="G474" i="4"/>
  <c r="H474" i="4" s="1"/>
  <c r="I474" i="4" s="1"/>
  <c r="J474" i="4" s="1"/>
  <c r="G473" i="4"/>
  <c r="H473" i="4" s="1"/>
  <c r="I473" i="4" s="1"/>
  <c r="J473" i="4" s="1"/>
  <c r="G472" i="4"/>
  <c r="H472" i="4" s="1"/>
  <c r="I472" i="4" s="1"/>
  <c r="J472" i="4" s="1"/>
  <c r="G471" i="4"/>
  <c r="H471" i="4" s="1"/>
  <c r="I471" i="4" s="1"/>
  <c r="J471" i="4" s="1"/>
  <c r="G470" i="4"/>
  <c r="H470" i="4" s="1"/>
  <c r="I470" i="4" s="1"/>
  <c r="J470" i="4" s="1"/>
  <c r="G469" i="4"/>
  <c r="H469" i="4" s="1"/>
  <c r="I469" i="4" s="1"/>
  <c r="J469" i="4" s="1"/>
  <c r="G468" i="4"/>
  <c r="H468" i="4" s="1"/>
  <c r="I468" i="4" s="1"/>
  <c r="J468" i="4" s="1"/>
  <c r="G467" i="4"/>
  <c r="H467" i="4" s="1"/>
  <c r="I467" i="4" s="1"/>
  <c r="J467" i="4" s="1"/>
  <c r="G466" i="4"/>
  <c r="H466" i="4" s="1"/>
  <c r="I466" i="4" s="1"/>
  <c r="J466" i="4" s="1"/>
  <c r="G465" i="4"/>
  <c r="H465" i="4" s="1"/>
  <c r="I465" i="4" s="1"/>
  <c r="J465" i="4" s="1"/>
  <c r="G464" i="4"/>
  <c r="H464" i="4" s="1"/>
  <c r="I464" i="4" s="1"/>
  <c r="J464" i="4" s="1"/>
  <c r="G463" i="4"/>
  <c r="H463" i="4" s="1"/>
  <c r="I463" i="4" s="1"/>
  <c r="J463" i="4" s="1"/>
  <c r="G462" i="4"/>
  <c r="H462" i="4" s="1"/>
  <c r="I462" i="4" s="1"/>
  <c r="J462" i="4" s="1"/>
  <c r="G461" i="4"/>
  <c r="H461" i="4" s="1"/>
  <c r="I461" i="4" s="1"/>
  <c r="J461" i="4" s="1"/>
  <c r="G460" i="4"/>
  <c r="H460" i="4" s="1"/>
  <c r="I460" i="4" s="1"/>
  <c r="J460" i="4" s="1"/>
  <c r="G459" i="4"/>
  <c r="H459" i="4" s="1"/>
  <c r="I459" i="4" s="1"/>
  <c r="J459" i="4" s="1"/>
  <c r="G458" i="4"/>
  <c r="H458" i="4" s="1"/>
  <c r="I458" i="4" s="1"/>
  <c r="J458" i="4" s="1"/>
  <c r="G457" i="4"/>
  <c r="H457" i="4" s="1"/>
  <c r="I457" i="4" s="1"/>
  <c r="J457" i="4" s="1"/>
  <c r="G456" i="4"/>
  <c r="H456" i="4" s="1"/>
  <c r="I456" i="4" s="1"/>
  <c r="J456" i="4" s="1"/>
  <c r="G455" i="4"/>
  <c r="H455" i="4" s="1"/>
  <c r="I455" i="4" s="1"/>
  <c r="J455" i="4" s="1"/>
  <c r="G454" i="4"/>
  <c r="H454" i="4" s="1"/>
  <c r="I454" i="4" s="1"/>
  <c r="J454" i="4" s="1"/>
  <c r="G453" i="4"/>
  <c r="H453" i="4" s="1"/>
  <c r="I453" i="4" s="1"/>
  <c r="J453" i="4" s="1"/>
  <c r="G452" i="4"/>
  <c r="H452" i="4" s="1"/>
  <c r="I452" i="4" s="1"/>
  <c r="J452" i="4" s="1"/>
  <c r="G451" i="4"/>
  <c r="H451" i="4" s="1"/>
  <c r="I451" i="4" s="1"/>
  <c r="J451" i="4" s="1"/>
  <c r="G450" i="4"/>
  <c r="H450" i="4" s="1"/>
  <c r="I450" i="4" s="1"/>
  <c r="J450" i="4" s="1"/>
  <c r="G449" i="4"/>
  <c r="H449" i="4" s="1"/>
  <c r="I449" i="4" s="1"/>
  <c r="J449" i="4" s="1"/>
  <c r="G448" i="4"/>
  <c r="H448" i="4" s="1"/>
  <c r="I448" i="4" s="1"/>
  <c r="J448" i="4" s="1"/>
  <c r="G447" i="4"/>
  <c r="H447" i="4" s="1"/>
  <c r="I447" i="4" s="1"/>
  <c r="J447" i="4" s="1"/>
  <c r="G446" i="4"/>
  <c r="H446" i="4" s="1"/>
  <c r="I446" i="4" s="1"/>
  <c r="J446" i="4" s="1"/>
  <c r="G445" i="4"/>
  <c r="H445" i="4" s="1"/>
  <c r="I445" i="4" s="1"/>
  <c r="J445" i="4" s="1"/>
  <c r="G444" i="4"/>
  <c r="H444" i="4" s="1"/>
  <c r="I444" i="4" s="1"/>
  <c r="J444" i="4" s="1"/>
  <c r="G443" i="4"/>
  <c r="H443" i="4" s="1"/>
  <c r="I443" i="4" s="1"/>
  <c r="J443" i="4" s="1"/>
  <c r="G442" i="4"/>
  <c r="H442" i="4" s="1"/>
  <c r="I442" i="4" s="1"/>
  <c r="J442" i="4" s="1"/>
  <c r="G441" i="4"/>
  <c r="H441" i="4" s="1"/>
  <c r="I441" i="4" s="1"/>
  <c r="J441" i="4" s="1"/>
  <c r="G440" i="4"/>
  <c r="H440" i="4" s="1"/>
  <c r="I440" i="4" s="1"/>
  <c r="J440" i="4" s="1"/>
  <c r="G439" i="4"/>
  <c r="H439" i="4" s="1"/>
  <c r="I439" i="4" s="1"/>
  <c r="J439" i="4" s="1"/>
  <c r="G438" i="4"/>
  <c r="H438" i="4" s="1"/>
  <c r="I438" i="4" s="1"/>
  <c r="J438" i="4" s="1"/>
  <c r="G437" i="4"/>
  <c r="H437" i="4" s="1"/>
  <c r="I437" i="4" s="1"/>
  <c r="J437" i="4" s="1"/>
  <c r="G436" i="4"/>
  <c r="H436" i="4" s="1"/>
  <c r="I436" i="4" s="1"/>
  <c r="J436" i="4" s="1"/>
  <c r="G435" i="4"/>
  <c r="H435" i="4" s="1"/>
  <c r="I435" i="4" s="1"/>
  <c r="J435" i="4" s="1"/>
  <c r="G434" i="4"/>
  <c r="H434" i="4" s="1"/>
  <c r="I434" i="4" s="1"/>
  <c r="J434" i="4" s="1"/>
  <c r="G433" i="4"/>
  <c r="H433" i="4" s="1"/>
  <c r="I433" i="4" s="1"/>
  <c r="J433" i="4" s="1"/>
  <c r="G432" i="4"/>
  <c r="H432" i="4" s="1"/>
  <c r="I432" i="4" s="1"/>
  <c r="J432" i="4" s="1"/>
  <c r="G431" i="4"/>
  <c r="H431" i="4" s="1"/>
  <c r="I431" i="4" s="1"/>
  <c r="J431" i="4" s="1"/>
  <c r="G430" i="4"/>
  <c r="H430" i="4" s="1"/>
  <c r="I430" i="4" s="1"/>
  <c r="J430" i="4" s="1"/>
  <c r="G429" i="4"/>
  <c r="H429" i="4" s="1"/>
  <c r="I429" i="4" s="1"/>
  <c r="J429" i="4" s="1"/>
  <c r="G428" i="4"/>
  <c r="H428" i="4" s="1"/>
  <c r="I428" i="4" s="1"/>
  <c r="J428" i="4" s="1"/>
  <c r="G427" i="4"/>
  <c r="H427" i="4" s="1"/>
  <c r="I427" i="4" s="1"/>
  <c r="J427" i="4" s="1"/>
  <c r="G426" i="4"/>
  <c r="H426" i="4" s="1"/>
  <c r="I426" i="4" s="1"/>
  <c r="J426" i="4" s="1"/>
  <c r="G425" i="4"/>
  <c r="H425" i="4" s="1"/>
  <c r="I425" i="4" s="1"/>
  <c r="J425" i="4" s="1"/>
  <c r="G424" i="4"/>
  <c r="H424" i="4" s="1"/>
  <c r="I424" i="4" s="1"/>
  <c r="J424" i="4" s="1"/>
  <c r="G423" i="4"/>
  <c r="H423" i="4" s="1"/>
  <c r="I423" i="4" s="1"/>
  <c r="J423" i="4" s="1"/>
  <c r="G422" i="4"/>
  <c r="H422" i="4" s="1"/>
  <c r="I422" i="4" s="1"/>
  <c r="J422" i="4" s="1"/>
  <c r="G421" i="4"/>
  <c r="H421" i="4" s="1"/>
  <c r="I421" i="4" s="1"/>
  <c r="J421" i="4" s="1"/>
  <c r="G420" i="4"/>
  <c r="H420" i="4" s="1"/>
  <c r="I420" i="4" s="1"/>
  <c r="J420" i="4" s="1"/>
  <c r="G419" i="4"/>
  <c r="H419" i="4" s="1"/>
  <c r="I419" i="4" s="1"/>
  <c r="J419" i="4" s="1"/>
  <c r="G418" i="4"/>
  <c r="H418" i="4" s="1"/>
  <c r="I418" i="4" s="1"/>
  <c r="J418" i="4" s="1"/>
  <c r="G417" i="4"/>
  <c r="H417" i="4" s="1"/>
  <c r="I417" i="4" s="1"/>
  <c r="J417" i="4" s="1"/>
  <c r="G416" i="4"/>
  <c r="H416" i="4" s="1"/>
  <c r="I416" i="4" s="1"/>
  <c r="J416" i="4" s="1"/>
  <c r="G415" i="4"/>
  <c r="H415" i="4" s="1"/>
  <c r="I415" i="4" s="1"/>
  <c r="J415" i="4" s="1"/>
  <c r="G414" i="4"/>
  <c r="H414" i="4" s="1"/>
  <c r="I414" i="4" s="1"/>
  <c r="J414" i="4" s="1"/>
  <c r="G413" i="4"/>
  <c r="H413" i="4" s="1"/>
  <c r="I413" i="4" s="1"/>
  <c r="J413" i="4" s="1"/>
  <c r="G412" i="4"/>
  <c r="H412" i="4" s="1"/>
  <c r="I412" i="4" s="1"/>
  <c r="J412" i="4" s="1"/>
  <c r="G411" i="4"/>
  <c r="H411" i="4" s="1"/>
  <c r="I411" i="4" s="1"/>
  <c r="J411" i="4" s="1"/>
  <c r="G410" i="4"/>
  <c r="H410" i="4" s="1"/>
  <c r="I410" i="4" s="1"/>
  <c r="J410" i="4" s="1"/>
  <c r="G409" i="4"/>
  <c r="H409" i="4" s="1"/>
  <c r="I409" i="4" s="1"/>
  <c r="J409" i="4" s="1"/>
  <c r="G408" i="4"/>
  <c r="H408" i="4" s="1"/>
  <c r="I408" i="4" s="1"/>
  <c r="J408" i="4" s="1"/>
  <c r="G407" i="4"/>
  <c r="H407" i="4" s="1"/>
  <c r="I407" i="4" s="1"/>
  <c r="J407" i="4" s="1"/>
  <c r="G406" i="4"/>
  <c r="H406" i="4" s="1"/>
  <c r="I406" i="4" s="1"/>
  <c r="J406" i="4" s="1"/>
  <c r="G405" i="4"/>
  <c r="H405" i="4" s="1"/>
  <c r="I405" i="4" s="1"/>
  <c r="J405" i="4" s="1"/>
  <c r="G404" i="4"/>
  <c r="H404" i="4" s="1"/>
  <c r="I404" i="4" s="1"/>
  <c r="J404" i="4" s="1"/>
  <c r="G403" i="4"/>
  <c r="H403" i="4" s="1"/>
  <c r="I403" i="4" s="1"/>
  <c r="J403" i="4" s="1"/>
  <c r="G402" i="4"/>
  <c r="H402" i="4" s="1"/>
  <c r="I402" i="4" s="1"/>
  <c r="J402" i="4" s="1"/>
  <c r="G401" i="4"/>
  <c r="H401" i="4" s="1"/>
  <c r="I401" i="4" s="1"/>
  <c r="J401" i="4" s="1"/>
  <c r="G400" i="4"/>
  <c r="H400" i="4" s="1"/>
  <c r="I400" i="4" s="1"/>
  <c r="J400" i="4" s="1"/>
  <c r="G399" i="4"/>
  <c r="H399" i="4" s="1"/>
  <c r="I399" i="4" s="1"/>
  <c r="J399" i="4" s="1"/>
  <c r="G398" i="4"/>
  <c r="H398" i="4" s="1"/>
  <c r="I398" i="4" s="1"/>
  <c r="J398" i="4" s="1"/>
  <c r="H397" i="4"/>
  <c r="I397" i="4" s="1"/>
  <c r="J397" i="4" s="1"/>
  <c r="G397" i="4"/>
  <c r="G396" i="4"/>
  <c r="H396" i="4" s="1"/>
  <c r="I396" i="4" s="1"/>
  <c r="J396" i="4" s="1"/>
  <c r="G395" i="4"/>
  <c r="H395" i="4" s="1"/>
  <c r="I395" i="4" s="1"/>
  <c r="J395" i="4" s="1"/>
  <c r="G394" i="4"/>
  <c r="H394" i="4" s="1"/>
  <c r="I394" i="4" s="1"/>
  <c r="J394" i="4" s="1"/>
  <c r="G393" i="4"/>
  <c r="H393" i="4" s="1"/>
  <c r="I393" i="4" s="1"/>
  <c r="J393" i="4" s="1"/>
  <c r="G392" i="4"/>
  <c r="H392" i="4" s="1"/>
  <c r="I392" i="4" s="1"/>
  <c r="J392" i="4" s="1"/>
  <c r="G391" i="4"/>
  <c r="H391" i="4" s="1"/>
  <c r="I391" i="4" s="1"/>
  <c r="J391" i="4" s="1"/>
  <c r="G390" i="4"/>
  <c r="H390" i="4" s="1"/>
  <c r="I390" i="4" s="1"/>
  <c r="J390" i="4" s="1"/>
  <c r="G389" i="4"/>
  <c r="H389" i="4" s="1"/>
  <c r="I389" i="4" s="1"/>
  <c r="J389" i="4" s="1"/>
  <c r="G388" i="4"/>
  <c r="H388" i="4" s="1"/>
  <c r="I388" i="4" s="1"/>
  <c r="J388" i="4" s="1"/>
  <c r="G387" i="4"/>
  <c r="H387" i="4" s="1"/>
  <c r="I387" i="4" s="1"/>
  <c r="J387" i="4" s="1"/>
  <c r="G386" i="4"/>
  <c r="H386" i="4" s="1"/>
  <c r="I386" i="4" s="1"/>
  <c r="J386" i="4" s="1"/>
  <c r="G385" i="4"/>
  <c r="H385" i="4" s="1"/>
  <c r="I385" i="4" s="1"/>
  <c r="J385" i="4" s="1"/>
  <c r="G384" i="4"/>
  <c r="H384" i="4" s="1"/>
  <c r="I384" i="4" s="1"/>
  <c r="J384" i="4" s="1"/>
  <c r="G383" i="4"/>
  <c r="H383" i="4" s="1"/>
  <c r="I383" i="4" s="1"/>
  <c r="J383" i="4" s="1"/>
  <c r="G382" i="4"/>
  <c r="H382" i="4" s="1"/>
  <c r="I382" i="4" s="1"/>
  <c r="J382" i="4" s="1"/>
  <c r="G381" i="4"/>
  <c r="H381" i="4" s="1"/>
  <c r="I381" i="4" s="1"/>
  <c r="J381" i="4" s="1"/>
  <c r="G380" i="4"/>
  <c r="H380" i="4" s="1"/>
  <c r="I380" i="4" s="1"/>
  <c r="J380" i="4" s="1"/>
  <c r="G379" i="4"/>
  <c r="H379" i="4" s="1"/>
  <c r="I379" i="4" s="1"/>
  <c r="J379" i="4" s="1"/>
  <c r="G378" i="4"/>
  <c r="H378" i="4" s="1"/>
  <c r="I378" i="4" s="1"/>
  <c r="J378" i="4" s="1"/>
  <c r="G377" i="4"/>
  <c r="H377" i="4" s="1"/>
  <c r="I377" i="4" s="1"/>
  <c r="J377" i="4" s="1"/>
  <c r="G376" i="4"/>
  <c r="H376" i="4" s="1"/>
  <c r="I376" i="4" s="1"/>
  <c r="J376" i="4" s="1"/>
  <c r="G375" i="4"/>
  <c r="H375" i="4" s="1"/>
  <c r="I375" i="4" s="1"/>
  <c r="J375" i="4" s="1"/>
  <c r="G374" i="4"/>
  <c r="H374" i="4" s="1"/>
  <c r="I374" i="4" s="1"/>
  <c r="J374" i="4" s="1"/>
  <c r="G373" i="4"/>
  <c r="H373" i="4" s="1"/>
  <c r="I373" i="4" s="1"/>
  <c r="J373" i="4" s="1"/>
  <c r="G372" i="4"/>
  <c r="H372" i="4" s="1"/>
  <c r="I372" i="4" s="1"/>
  <c r="J372" i="4" s="1"/>
  <c r="G371" i="4"/>
  <c r="H371" i="4" s="1"/>
  <c r="I371" i="4" s="1"/>
  <c r="J371" i="4" s="1"/>
  <c r="G370" i="4"/>
  <c r="H370" i="4" s="1"/>
  <c r="I370" i="4" s="1"/>
  <c r="J370" i="4" s="1"/>
  <c r="G369" i="4"/>
  <c r="H369" i="4" s="1"/>
  <c r="I369" i="4" s="1"/>
  <c r="J369" i="4" s="1"/>
  <c r="G368" i="4"/>
  <c r="H368" i="4" s="1"/>
  <c r="I368" i="4" s="1"/>
  <c r="J368" i="4" s="1"/>
  <c r="G367" i="4"/>
  <c r="H367" i="4" s="1"/>
  <c r="I367" i="4" s="1"/>
  <c r="J367" i="4" s="1"/>
  <c r="G366" i="4"/>
  <c r="H366" i="4" s="1"/>
  <c r="I366" i="4" s="1"/>
  <c r="J366" i="4" s="1"/>
  <c r="G365" i="4"/>
  <c r="H365" i="4" s="1"/>
  <c r="I365" i="4" s="1"/>
  <c r="J365" i="4" s="1"/>
  <c r="G364" i="4"/>
  <c r="H364" i="4" s="1"/>
  <c r="I364" i="4" s="1"/>
  <c r="J364" i="4" s="1"/>
  <c r="G363" i="4"/>
  <c r="H363" i="4" s="1"/>
  <c r="I363" i="4" s="1"/>
  <c r="J363" i="4" s="1"/>
  <c r="G362" i="4"/>
  <c r="H362" i="4" s="1"/>
  <c r="I362" i="4" s="1"/>
  <c r="J362" i="4" s="1"/>
  <c r="G361" i="4"/>
  <c r="H361" i="4" s="1"/>
  <c r="I361" i="4" s="1"/>
  <c r="J361" i="4" s="1"/>
  <c r="G360" i="4"/>
  <c r="H360" i="4" s="1"/>
  <c r="I360" i="4" s="1"/>
  <c r="J360" i="4" s="1"/>
  <c r="G359" i="4"/>
  <c r="H359" i="4" s="1"/>
  <c r="I359" i="4" s="1"/>
  <c r="J359" i="4" s="1"/>
  <c r="G358" i="4"/>
  <c r="H358" i="4" s="1"/>
  <c r="I358" i="4" s="1"/>
  <c r="J358" i="4" s="1"/>
  <c r="G357" i="4"/>
  <c r="H357" i="4" s="1"/>
  <c r="I357" i="4" s="1"/>
  <c r="J357" i="4" s="1"/>
  <c r="G356" i="4"/>
  <c r="H356" i="4" s="1"/>
  <c r="I356" i="4" s="1"/>
  <c r="J356" i="4" s="1"/>
  <c r="G355" i="4"/>
  <c r="H355" i="4" s="1"/>
  <c r="I355" i="4" s="1"/>
  <c r="J355" i="4" s="1"/>
  <c r="G354" i="4"/>
  <c r="H354" i="4" s="1"/>
  <c r="I354" i="4" s="1"/>
  <c r="J354" i="4" s="1"/>
  <c r="G353" i="4"/>
  <c r="H353" i="4" s="1"/>
  <c r="I353" i="4" s="1"/>
  <c r="J353" i="4" s="1"/>
  <c r="G352" i="4"/>
  <c r="H352" i="4" s="1"/>
  <c r="I352" i="4" s="1"/>
  <c r="J352" i="4" s="1"/>
  <c r="G351" i="4"/>
  <c r="H351" i="4" s="1"/>
  <c r="I351" i="4" s="1"/>
  <c r="J351" i="4" s="1"/>
  <c r="G350" i="4"/>
  <c r="H350" i="4" s="1"/>
  <c r="I350" i="4" s="1"/>
  <c r="J350" i="4" s="1"/>
  <c r="G349" i="4"/>
  <c r="H349" i="4" s="1"/>
  <c r="I349" i="4" s="1"/>
  <c r="J349" i="4" s="1"/>
  <c r="G348" i="4"/>
  <c r="H348" i="4" s="1"/>
  <c r="I348" i="4" s="1"/>
  <c r="J348" i="4" s="1"/>
  <c r="G347" i="4"/>
  <c r="H347" i="4" s="1"/>
  <c r="I347" i="4" s="1"/>
  <c r="J347" i="4" s="1"/>
  <c r="G346" i="4"/>
  <c r="H346" i="4" s="1"/>
  <c r="I346" i="4" s="1"/>
  <c r="J346" i="4" s="1"/>
  <c r="G345" i="4"/>
  <c r="H345" i="4" s="1"/>
  <c r="I345" i="4" s="1"/>
  <c r="J345" i="4" s="1"/>
  <c r="G344" i="4"/>
  <c r="H344" i="4" s="1"/>
  <c r="I344" i="4" s="1"/>
  <c r="J344" i="4" s="1"/>
  <c r="I343" i="4"/>
  <c r="J343" i="4" s="1"/>
  <c r="G343" i="4"/>
  <c r="H343" i="4" s="1"/>
  <c r="G342" i="4"/>
  <c r="H342" i="4" s="1"/>
  <c r="I342" i="4" s="1"/>
  <c r="J342" i="4" s="1"/>
  <c r="G341" i="4"/>
  <c r="H341" i="4" s="1"/>
  <c r="I341" i="4" s="1"/>
  <c r="J341" i="4" s="1"/>
  <c r="G340" i="4"/>
  <c r="H340" i="4" s="1"/>
  <c r="I340" i="4" s="1"/>
  <c r="J340" i="4" s="1"/>
  <c r="G339" i="4"/>
  <c r="H339" i="4" s="1"/>
  <c r="I339" i="4" s="1"/>
  <c r="J339" i="4" s="1"/>
  <c r="G338" i="4"/>
  <c r="H338" i="4" s="1"/>
  <c r="I338" i="4" s="1"/>
  <c r="J338" i="4" s="1"/>
  <c r="G337" i="4"/>
  <c r="H337" i="4" s="1"/>
  <c r="I337" i="4" s="1"/>
  <c r="J337" i="4" s="1"/>
  <c r="G336" i="4"/>
  <c r="H336" i="4" s="1"/>
  <c r="I336" i="4" s="1"/>
  <c r="J336" i="4" s="1"/>
  <c r="G335" i="4"/>
  <c r="H335" i="4" s="1"/>
  <c r="I335" i="4" s="1"/>
  <c r="J335" i="4" s="1"/>
  <c r="G334" i="4"/>
  <c r="H334" i="4" s="1"/>
  <c r="I334" i="4" s="1"/>
  <c r="J334" i="4" s="1"/>
  <c r="G333" i="4"/>
  <c r="H333" i="4" s="1"/>
  <c r="I333" i="4" s="1"/>
  <c r="J333" i="4" s="1"/>
  <c r="G332" i="4"/>
  <c r="H332" i="4" s="1"/>
  <c r="I332" i="4" s="1"/>
  <c r="J332" i="4" s="1"/>
  <c r="G331" i="4"/>
  <c r="H331" i="4" s="1"/>
  <c r="I331" i="4" s="1"/>
  <c r="J331" i="4" s="1"/>
  <c r="G330" i="4"/>
  <c r="H330" i="4" s="1"/>
  <c r="I330" i="4" s="1"/>
  <c r="J330" i="4" s="1"/>
  <c r="G329" i="4"/>
  <c r="H329" i="4" s="1"/>
  <c r="I329" i="4" s="1"/>
  <c r="J329" i="4" s="1"/>
  <c r="G328" i="4"/>
  <c r="H328" i="4" s="1"/>
  <c r="I328" i="4" s="1"/>
  <c r="J328" i="4" s="1"/>
  <c r="G327" i="4"/>
  <c r="H327" i="4" s="1"/>
  <c r="I327" i="4" s="1"/>
  <c r="J327" i="4" s="1"/>
  <c r="G326" i="4"/>
  <c r="H326" i="4" s="1"/>
  <c r="I326" i="4" s="1"/>
  <c r="J326" i="4" s="1"/>
  <c r="G325" i="4"/>
  <c r="H325" i="4" s="1"/>
  <c r="I325" i="4" s="1"/>
  <c r="J325" i="4" s="1"/>
  <c r="G324" i="4"/>
  <c r="H324" i="4" s="1"/>
  <c r="I324" i="4" s="1"/>
  <c r="J324" i="4" s="1"/>
  <c r="G323" i="4"/>
  <c r="H323" i="4" s="1"/>
  <c r="I323" i="4" s="1"/>
  <c r="J323" i="4" s="1"/>
  <c r="G322" i="4"/>
  <c r="H322" i="4" s="1"/>
  <c r="I322" i="4" s="1"/>
  <c r="J322" i="4" s="1"/>
  <c r="G321" i="4"/>
  <c r="H321" i="4" s="1"/>
  <c r="I321" i="4" s="1"/>
  <c r="J321" i="4" s="1"/>
  <c r="G320" i="4"/>
  <c r="H320" i="4" s="1"/>
  <c r="I320" i="4" s="1"/>
  <c r="J320" i="4" s="1"/>
  <c r="G319" i="4"/>
  <c r="H319" i="4" s="1"/>
  <c r="I319" i="4" s="1"/>
  <c r="J319" i="4" s="1"/>
  <c r="G318" i="4"/>
  <c r="H318" i="4" s="1"/>
  <c r="I318" i="4" s="1"/>
  <c r="J318" i="4" s="1"/>
  <c r="G317" i="4"/>
  <c r="H317" i="4" s="1"/>
  <c r="I317" i="4" s="1"/>
  <c r="J317" i="4" s="1"/>
  <c r="G316" i="4"/>
  <c r="H316" i="4" s="1"/>
  <c r="I316" i="4" s="1"/>
  <c r="J316" i="4" s="1"/>
  <c r="G315" i="4"/>
  <c r="H315" i="4" s="1"/>
  <c r="I315" i="4" s="1"/>
  <c r="J315" i="4" s="1"/>
  <c r="G314" i="4"/>
  <c r="H314" i="4" s="1"/>
  <c r="I314" i="4" s="1"/>
  <c r="J314" i="4" s="1"/>
  <c r="G313" i="4"/>
  <c r="H313" i="4" s="1"/>
  <c r="I313" i="4" s="1"/>
  <c r="J313" i="4" s="1"/>
  <c r="G312" i="4"/>
  <c r="H312" i="4" s="1"/>
  <c r="I312" i="4" s="1"/>
  <c r="J312" i="4" s="1"/>
  <c r="I311" i="4"/>
  <c r="J311" i="4" s="1"/>
  <c r="G311" i="4"/>
  <c r="H311" i="4" s="1"/>
  <c r="G310" i="4"/>
  <c r="H310" i="4" s="1"/>
  <c r="I310" i="4" s="1"/>
  <c r="J310" i="4" s="1"/>
  <c r="G309" i="4"/>
  <c r="H309" i="4" s="1"/>
  <c r="I309" i="4" s="1"/>
  <c r="J309" i="4" s="1"/>
  <c r="G308" i="4"/>
  <c r="H308" i="4" s="1"/>
  <c r="I308" i="4" s="1"/>
  <c r="J308" i="4" s="1"/>
  <c r="G307" i="4"/>
  <c r="H307" i="4" s="1"/>
  <c r="I307" i="4" s="1"/>
  <c r="J307" i="4" s="1"/>
  <c r="G306" i="4"/>
  <c r="H306" i="4" s="1"/>
  <c r="I306" i="4" s="1"/>
  <c r="J306" i="4" s="1"/>
  <c r="G305" i="4"/>
  <c r="H305" i="4" s="1"/>
  <c r="I305" i="4" s="1"/>
  <c r="J305" i="4" s="1"/>
  <c r="G304" i="4"/>
  <c r="H304" i="4" s="1"/>
  <c r="I304" i="4" s="1"/>
  <c r="J304" i="4" s="1"/>
  <c r="G303" i="4"/>
  <c r="H303" i="4" s="1"/>
  <c r="I303" i="4" s="1"/>
  <c r="J303" i="4" s="1"/>
  <c r="G302" i="4"/>
  <c r="H302" i="4" s="1"/>
  <c r="I302" i="4" s="1"/>
  <c r="J302" i="4" s="1"/>
  <c r="G301" i="4"/>
  <c r="H301" i="4" s="1"/>
  <c r="I301" i="4" s="1"/>
  <c r="J301" i="4" s="1"/>
  <c r="G300" i="4"/>
  <c r="H300" i="4" s="1"/>
  <c r="I300" i="4" s="1"/>
  <c r="J300" i="4" s="1"/>
  <c r="G299" i="4"/>
  <c r="H299" i="4" s="1"/>
  <c r="I299" i="4" s="1"/>
  <c r="J299" i="4" s="1"/>
  <c r="G298" i="4"/>
  <c r="H298" i="4" s="1"/>
  <c r="I298" i="4" s="1"/>
  <c r="J298" i="4" s="1"/>
  <c r="G297" i="4"/>
  <c r="H297" i="4" s="1"/>
  <c r="I297" i="4" s="1"/>
  <c r="J297" i="4" s="1"/>
  <c r="G296" i="4"/>
  <c r="H296" i="4" s="1"/>
  <c r="I296" i="4" s="1"/>
  <c r="J296" i="4" s="1"/>
  <c r="G295" i="4"/>
  <c r="H295" i="4" s="1"/>
  <c r="I295" i="4" s="1"/>
  <c r="J295" i="4" s="1"/>
  <c r="G294" i="4"/>
  <c r="H294" i="4" s="1"/>
  <c r="I294" i="4" s="1"/>
  <c r="J294" i="4" s="1"/>
  <c r="G293" i="4"/>
  <c r="H293" i="4" s="1"/>
  <c r="I293" i="4" s="1"/>
  <c r="J293" i="4" s="1"/>
  <c r="G292" i="4"/>
  <c r="H292" i="4" s="1"/>
  <c r="I292" i="4" s="1"/>
  <c r="J292" i="4" s="1"/>
  <c r="G291" i="4"/>
  <c r="H291" i="4" s="1"/>
  <c r="I291" i="4" s="1"/>
  <c r="J291" i="4" s="1"/>
  <c r="G290" i="4"/>
  <c r="H290" i="4" s="1"/>
  <c r="I290" i="4" s="1"/>
  <c r="J290" i="4" s="1"/>
  <c r="G289" i="4"/>
  <c r="H289" i="4" s="1"/>
  <c r="I289" i="4" s="1"/>
  <c r="J289" i="4" s="1"/>
  <c r="G288" i="4"/>
  <c r="H288" i="4" s="1"/>
  <c r="I288" i="4" s="1"/>
  <c r="J288" i="4" s="1"/>
  <c r="G287" i="4"/>
  <c r="H287" i="4" s="1"/>
  <c r="I287" i="4" s="1"/>
  <c r="J287" i="4" s="1"/>
  <c r="G286" i="4"/>
  <c r="H286" i="4" s="1"/>
  <c r="I286" i="4" s="1"/>
  <c r="J286" i="4" s="1"/>
  <c r="G285" i="4"/>
  <c r="H285" i="4" s="1"/>
  <c r="I285" i="4" s="1"/>
  <c r="J285" i="4" s="1"/>
  <c r="G284" i="4"/>
  <c r="H284" i="4" s="1"/>
  <c r="I284" i="4" s="1"/>
  <c r="J284" i="4" s="1"/>
  <c r="G283" i="4"/>
  <c r="H283" i="4" s="1"/>
  <c r="I283" i="4" s="1"/>
  <c r="J283" i="4" s="1"/>
  <c r="G282" i="4"/>
  <c r="H282" i="4" s="1"/>
  <c r="I282" i="4" s="1"/>
  <c r="J282" i="4" s="1"/>
  <c r="G281" i="4"/>
  <c r="H281" i="4" s="1"/>
  <c r="I281" i="4" s="1"/>
  <c r="J281" i="4" s="1"/>
  <c r="G280" i="4"/>
  <c r="H280" i="4" s="1"/>
  <c r="I280" i="4" s="1"/>
  <c r="J280" i="4" s="1"/>
  <c r="G279" i="4"/>
  <c r="H279" i="4" s="1"/>
  <c r="I279" i="4" s="1"/>
  <c r="J279" i="4" s="1"/>
  <c r="G278" i="4"/>
  <c r="H278" i="4" s="1"/>
  <c r="I278" i="4" s="1"/>
  <c r="J278" i="4" s="1"/>
  <c r="G277" i="4"/>
  <c r="H277" i="4" s="1"/>
  <c r="I277" i="4" s="1"/>
  <c r="J277" i="4" s="1"/>
  <c r="G276" i="4"/>
  <c r="H276" i="4" s="1"/>
  <c r="I276" i="4" s="1"/>
  <c r="J276" i="4" s="1"/>
  <c r="G275" i="4"/>
  <c r="H275" i="4" s="1"/>
  <c r="I275" i="4" s="1"/>
  <c r="J275" i="4" s="1"/>
  <c r="G274" i="4"/>
  <c r="H274" i="4" s="1"/>
  <c r="I274" i="4" s="1"/>
  <c r="J274" i="4" s="1"/>
  <c r="G273" i="4"/>
  <c r="H273" i="4" s="1"/>
  <c r="I273" i="4" s="1"/>
  <c r="J273" i="4" s="1"/>
  <c r="G272" i="4"/>
  <c r="H272" i="4" s="1"/>
  <c r="I272" i="4" s="1"/>
  <c r="J272" i="4" s="1"/>
  <c r="G271" i="4"/>
  <c r="H271" i="4" s="1"/>
  <c r="I271" i="4" s="1"/>
  <c r="J271" i="4" s="1"/>
  <c r="G270" i="4"/>
  <c r="H270" i="4" s="1"/>
  <c r="I270" i="4" s="1"/>
  <c r="J270" i="4" s="1"/>
  <c r="G269" i="4"/>
  <c r="H269" i="4" s="1"/>
  <c r="I269" i="4" s="1"/>
  <c r="J269" i="4" s="1"/>
  <c r="G268" i="4"/>
  <c r="H268" i="4" s="1"/>
  <c r="I268" i="4" s="1"/>
  <c r="J268" i="4" s="1"/>
  <c r="G267" i="4"/>
  <c r="H267" i="4" s="1"/>
  <c r="I267" i="4" s="1"/>
  <c r="J267" i="4" s="1"/>
  <c r="G266" i="4"/>
  <c r="H266" i="4" s="1"/>
  <c r="I266" i="4" s="1"/>
  <c r="J266" i="4" s="1"/>
  <c r="G265" i="4"/>
  <c r="H265" i="4" s="1"/>
  <c r="I265" i="4" s="1"/>
  <c r="J265" i="4" s="1"/>
  <c r="G264" i="4"/>
  <c r="H264" i="4" s="1"/>
  <c r="I264" i="4" s="1"/>
  <c r="J264" i="4" s="1"/>
  <c r="G263" i="4"/>
  <c r="H263" i="4" s="1"/>
  <c r="I263" i="4" s="1"/>
  <c r="J263" i="4" s="1"/>
  <c r="G262" i="4"/>
  <c r="H262" i="4" s="1"/>
  <c r="I262" i="4" s="1"/>
  <c r="J262" i="4" s="1"/>
  <c r="H261" i="4"/>
  <c r="I261" i="4" s="1"/>
  <c r="J261" i="4" s="1"/>
  <c r="G261" i="4"/>
  <c r="G260" i="4"/>
  <c r="H260" i="4" s="1"/>
  <c r="I260" i="4" s="1"/>
  <c r="J260" i="4" s="1"/>
  <c r="G259" i="4"/>
  <c r="H259" i="4" s="1"/>
  <c r="I259" i="4" s="1"/>
  <c r="J259" i="4" s="1"/>
  <c r="G258" i="4"/>
  <c r="H258" i="4" s="1"/>
  <c r="I258" i="4" s="1"/>
  <c r="J258" i="4" s="1"/>
  <c r="G257" i="4"/>
  <c r="H257" i="4" s="1"/>
  <c r="I257" i="4" s="1"/>
  <c r="J257" i="4" s="1"/>
  <c r="G256" i="4"/>
  <c r="H256" i="4" s="1"/>
  <c r="I256" i="4" s="1"/>
  <c r="J256" i="4" s="1"/>
  <c r="G255" i="4"/>
  <c r="H255" i="4" s="1"/>
  <c r="I255" i="4" s="1"/>
  <c r="J255" i="4" s="1"/>
  <c r="G254" i="4"/>
  <c r="H254" i="4" s="1"/>
  <c r="I254" i="4" s="1"/>
  <c r="J254" i="4" s="1"/>
  <c r="G253" i="4"/>
  <c r="H253" i="4" s="1"/>
  <c r="I253" i="4" s="1"/>
  <c r="J253" i="4" s="1"/>
  <c r="G252" i="4"/>
  <c r="H252" i="4" s="1"/>
  <c r="I252" i="4" s="1"/>
  <c r="J252" i="4" s="1"/>
  <c r="G251" i="4"/>
  <c r="H251" i="4" s="1"/>
  <c r="I251" i="4" s="1"/>
  <c r="J251" i="4" s="1"/>
  <c r="G250" i="4"/>
  <c r="H250" i="4" s="1"/>
  <c r="I250" i="4" s="1"/>
  <c r="J250" i="4" s="1"/>
  <c r="G249" i="4"/>
  <c r="H249" i="4" s="1"/>
  <c r="I249" i="4" s="1"/>
  <c r="J249" i="4" s="1"/>
  <c r="G248" i="4"/>
  <c r="H248" i="4" s="1"/>
  <c r="I248" i="4" s="1"/>
  <c r="J248" i="4" s="1"/>
  <c r="G247" i="4"/>
  <c r="H247" i="4" s="1"/>
  <c r="I247" i="4" s="1"/>
  <c r="J247" i="4" s="1"/>
  <c r="G246" i="4"/>
  <c r="H246" i="4" s="1"/>
  <c r="I246" i="4" s="1"/>
  <c r="J246" i="4" s="1"/>
  <c r="G245" i="4"/>
  <c r="H245" i="4" s="1"/>
  <c r="I245" i="4" s="1"/>
  <c r="J245" i="4" s="1"/>
  <c r="G244" i="4"/>
  <c r="H244" i="4" s="1"/>
  <c r="I244" i="4" s="1"/>
  <c r="J244" i="4" s="1"/>
  <c r="G243" i="4"/>
  <c r="H243" i="4" s="1"/>
  <c r="I243" i="4" s="1"/>
  <c r="J243" i="4" s="1"/>
  <c r="G242" i="4"/>
  <c r="H242" i="4" s="1"/>
  <c r="I242" i="4" s="1"/>
  <c r="J242" i="4" s="1"/>
  <c r="G241" i="4"/>
  <c r="H241" i="4" s="1"/>
  <c r="I241" i="4" s="1"/>
  <c r="J241" i="4" s="1"/>
  <c r="G240" i="4"/>
  <c r="H240" i="4" s="1"/>
  <c r="I240" i="4" s="1"/>
  <c r="J240" i="4" s="1"/>
  <c r="G239" i="4"/>
  <c r="H239" i="4" s="1"/>
  <c r="I239" i="4" s="1"/>
  <c r="J239" i="4" s="1"/>
  <c r="G238" i="4"/>
  <c r="H238" i="4" s="1"/>
  <c r="I238" i="4" s="1"/>
  <c r="J238" i="4" s="1"/>
  <c r="G237" i="4"/>
  <c r="H237" i="4" s="1"/>
  <c r="I237" i="4" s="1"/>
  <c r="J237" i="4" s="1"/>
  <c r="G236" i="4"/>
  <c r="H236" i="4" s="1"/>
  <c r="I236" i="4" s="1"/>
  <c r="J236" i="4" s="1"/>
  <c r="G235" i="4"/>
  <c r="H235" i="4" s="1"/>
  <c r="I235" i="4" s="1"/>
  <c r="J235" i="4" s="1"/>
  <c r="G234" i="4"/>
  <c r="H234" i="4" s="1"/>
  <c r="I234" i="4" s="1"/>
  <c r="J234" i="4" s="1"/>
  <c r="G233" i="4"/>
  <c r="H233" i="4" s="1"/>
  <c r="I233" i="4" s="1"/>
  <c r="J233" i="4" s="1"/>
  <c r="G232" i="4"/>
  <c r="H232" i="4" s="1"/>
  <c r="I232" i="4" s="1"/>
  <c r="J232" i="4" s="1"/>
  <c r="G231" i="4"/>
  <c r="H231" i="4" s="1"/>
  <c r="I231" i="4" s="1"/>
  <c r="J231" i="4" s="1"/>
  <c r="G230" i="4"/>
  <c r="H230" i="4" s="1"/>
  <c r="I230" i="4" s="1"/>
  <c r="J230" i="4" s="1"/>
  <c r="G229" i="4"/>
  <c r="H229" i="4" s="1"/>
  <c r="I229" i="4" s="1"/>
  <c r="J229" i="4" s="1"/>
  <c r="G228" i="4"/>
  <c r="H228" i="4" s="1"/>
  <c r="I228" i="4" s="1"/>
  <c r="J228" i="4" s="1"/>
  <c r="G227" i="4"/>
  <c r="H227" i="4" s="1"/>
  <c r="I227" i="4" s="1"/>
  <c r="J227" i="4" s="1"/>
  <c r="G226" i="4"/>
  <c r="H226" i="4" s="1"/>
  <c r="I226" i="4" s="1"/>
  <c r="J226" i="4" s="1"/>
  <c r="G225" i="4"/>
  <c r="H225" i="4" s="1"/>
  <c r="I225" i="4" s="1"/>
  <c r="J225" i="4" s="1"/>
  <c r="G224" i="4"/>
  <c r="H224" i="4" s="1"/>
  <c r="I224" i="4" s="1"/>
  <c r="J224" i="4" s="1"/>
  <c r="G223" i="4"/>
  <c r="H223" i="4" s="1"/>
  <c r="I223" i="4" s="1"/>
  <c r="J223" i="4" s="1"/>
  <c r="G222" i="4"/>
  <c r="H222" i="4" s="1"/>
  <c r="I222" i="4" s="1"/>
  <c r="J222" i="4" s="1"/>
  <c r="G221" i="4"/>
  <c r="H221" i="4" s="1"/>
  <c r="I221" i="4" s="1"/>
  <c r="J221" i="4" s="1"/>
  <c r="G220" i="4"/>
  <c r="H220" i="4" s="1"/>
  <c r="I220" i="4" s="1"/>
  <c r="J220" i="4" s="1"/>
  <c r="G219" i="4"/>
  <c r="H219" i="4" s="1"/>
  <c r="I219" i="4" s="1"/>
  <c r="J219" i="4" s="1"/>
  <c r="G218" i="4"/>
  <c r="H218" i="4" s="1"/>
  <c r="I218" i="4" s="1"/>
  <c r="J218" i="4" s="1"/>
  <c r="G217" i="4"/>
  <c r="H217" i="4" s="1"/>
  <c r="I217" i="4" s="1"/>
  <c r="J217" i="4" s="1"/>
  <c r="G216" i="4"/>
  <c r="H216" i="4" s="1"/>
  <c r="I216" i="4" s="1"/>
  <c r="J216" i="4" s="1"/>
  <c r="H215" i="4"/>
  <c r="I215" i="4" s="1"/>
  <c r="J215" i="4" s="1"/>
  <c r="G215" i="4"/>
  <c r="G214" i="4"/>
  <c r="H214" i="4" s="1"/>
  <c r="I214" i="4" s="1"/>
  <c r="J214" i="4" s="1"/>
  <c r="G213" i="4"/>
  <c r="H213" i="4" s="1"/>
  <c r="I213" i="4" s="1"/>
  <c r="J213" i="4" s="1"/>
  <c r="G212" i="4"/>
  <c r="H212" i="4" s="1"/>
  <c r="I212" i="4" s="1"/>
  <c r="J212" i="4" s="1"/>
  <c r="G211" i="4"/>
  <c r="H211" i="4" s="1"/>
  <c r="I211" i="4" s="1"/>
  <c r="J211" i="4" s="1"/>
  <c r="G210" i="4"/>
  <c r="H210" i="4" s="1"/>
  <c r="I210" i="4" s="1"/>
  <c r="J210" i="4" s="1"/>
  <c r="G209" i="4"/>
  <c r="H209" i="4" s="1"/>
  <c r="I209" i="4" s="1"/>
  <c r="J209" i="4" s="1"/>
  <c r="G208" i="4"/>
  <c r="H208" i="4" s="1"/>
  <c r="I208" i="4" s="1"/>
  <c r="J208" i="4" s="1"/>
  <c r="G207" i="4"/>
  <c r="H207" i="4" s="1"/>
  <c r="I207" i="4" s="1"/>
  <c r="J207" i="4" s="1"/>
  <c r="G206" i="4"/>
  <c r="H206" i="4" s="1"/>
  <c r="I206" i="4" s="1"/>
  <c r="J206" i="4" s="1"/>
  <c r="G205" i="4"/>
  <c r="H205" i="4" s="1"/>
  <c r="I205" i="4" s="1"/>
  <c r="J205" i="4" s="1"/>
  <c r="G204" i="4"/>
  <c r="H204" i="4" s="1"/>
  <c r="I204" i="4" s="1"/>
  <c r="J204" i="4" s="1"/>
  <c r="G203" i="4"/>
  <c r="H203" i="4" s="1"/>
  <c r="I203" i="4" s="1"/>
  <c r="J203" i="4" s="1"/>
  <c r="G202" i="4"/>
  <c r="H202" i="4" s="1"/>
  <c r="I202" i="4" s="1"/>
  <c r="J202" i="4" s="1"/>
  <c r="G201" i="4"/>
  <c r="H201" i="4" s="1"/>
  <c r="I201" i="4" s="1"/>
  <c r="J201" i="4" s="1"/>
  <c r="G200" i="4"/>
  <c r="H200" i="4" s="1"/>
  <c r="I200" i="4" s="1"/>
  <c r="J200" i="4" s="1"/>
  <c r="G199" i="4"/>
  <c r="H199" i="4" s="1"/>
  <c r="I199" i="4" s="1"/>
  <c r="J199" i="4" s="1"/>
  <c r="G198" i="4"/>
  <c r="H198" i="4" s="1"/>
  <c r="I198" i="4" s="1"/>
  <c r="J198" i="4" s="1"/>
  <c r="G197" i="4"/>
  <c r="H197" i="4" s="1"/>
  <c r="I197" i="4" s="1"/>
  <c r="J197" i="4" s="1"/>
  <c r="G196" i="4"/>
  <c r="H196" i="4" s="1"/>
  <c r="I196" i="4" s="1"/>
  <c r="J196" i="4" s="1"/>
  <c r="G195" i="4"/>
  <c r="H195" i="4" s="1"/>
  <c r="I195" i="4" s="1"/>
  <c r="J195" i="4" s="1"/>
  <c r="G194" i="4"/>
  <c r="H194" i="4" s="1"/>
  <c r="I194" i="4" s="1"/>
  <c r="J194" i="4" s="1"/>
  <c r="G193" i="4"/>
  <c r="H193" i="4" s="1"/>
  <c r="I193" i="4" s="1"/>
  <c r="J193" i="4" s="1"/>
  <c r="G192" i="4"/>
  <c r="H192" i="4" s="1"/>
  <c r="I192" i="4" s="1"/>
  <c r="J192" i="4" s="1"/>
  <c r="G191" i="4"/>
  <c r="H191" i="4" s="1"/>
  <c r="I191" i="4" s="1"/>
  <c r="J191" i="4" s="1"/>
  <c r="G190" i="4"/>
  <c r="H190" i="4" s="1"/>
  <c r="I190" i="4" s="1"/>
  <c r="J190" i="4" s="1"/>
  <c r="G189" i="4"/>
  <c r="H189" i="4" s="1"/>
  <c r="I189" i="4" s="1"/>
  <c r="J189" i="4" s="1"/>
  <c r="G188" i="4"/>
  <c r="H188" i="4" s="1"/>
  <c r="I188" i="4" s="1"/>
  <c r="J188" i="4" s="1"/>
  <c r="G187" i="4"/>
  <c r="H187" i="4" s="1"/>
  <c r="I187" i="4" s="1"/>
  <c r="J187" i="4" s="1"/>
  <c r="G186" i="4"/>
  <c r="H186" i="4" s="1"/>
  <c r="I186" i="4" s="1"/>
  <c r="J186" i="4" s="1"/>
  <c r="G185" i="4"/>
  <c r="H185" i="4" s="1"/>
  <c r="I185" i="4" s="1"/>
  <c r="J185" i="4" s="1"/>
  <c r="G184" i="4"/>
  <c r="H184" i="4" s="1"/>
  <c r="I184" i="4" s="1"/>
  <c r="J184" i="4" s="1"/>
  <c r="G183" i="4"/>
  <c r="H183" i="4" s="1"/>
  <c r="I183" i="4" s="1"/>
  <c r="J183" i="4" s="1"/>
  <c r="G182" i="4"/>
  <c r="H182" i="4" s="1"/>
  <c r="I182" i="4" s="1"/>
  <c r="J182" i="4" s="1"/>
  <c r="G181" i="4"/>
  <c r="H181" i="4" s="1"/>
  <c r="I181" i="4" s="1"/>
  <c r="J181" i="4" s="1"/>
  <c r="G180" i="4"/>
  <c r="H180" i="4" s="1"/>
  <c r="I180" i="4" s="1"/>
  <c r="J180" i="4" s="1"/>
  <c r="G179" i="4"/>
  <c r="H179" i="4" s="1"/>
  <c r="I179" i="4" s="1"/>
  <c r="J179" i="4" s="1"/>
  <c r="G178" i="4"/>
  <c r="H178" i="4" s="1"/>
  <c r="I178" i="4" s="1"/>
  <c r="J178" i="4" s="1"/>
  <c r="G177" i="4"/>
  <c r="H177" i="4" s="1"/>
  <c r="I177" i="4" s="1"/>
  <c r="J177" i="4" s="1"/>
  <c r="G176" i="4"/>
  <c r="H176" i="4" s="1"/>
  <c r="I176" i="4" s="1"/>
  <c r="J176" i="4" s="1"/>
  <c r="H175" i="4"/>
  <c r="I175" i="4" s="1"/>
  <c r="J175" i="4" s="1"/>
  <c r="G175" i="4"/>
  <c r="G174" i="4"/>
  <c r="H174" i="4" s="1"/>
  <c r="I174" i="4" s="1"/>
  <c r="J174" i="4" s="1"/>
  <c r="G173" i="4"/>
  <c r="H173" i="4" s="1"/>
  <c r="I173" i="4" s="1"/>
  <c r="J173" i="4" s="1"/>
  <c r="G172" i="4"/>
  <c r="H172" i="4" s="1"/>
  <c r="I172" i="4" s="1"/>
  <c r="J172" i="4" s="1"/>
  <c r="G171" i="4"/>
  <c r="H171" i="4" s="1"/>
  <c r="I171" i="4" s="1"/>
  <c r="J171" i="4" s="1"/>
  <c r="G170" i="4"/>
  <c r="H170" i="4" s="1"/>
  <c r="I170" i="4" s="1"/>
  <c r="J170" i="4" s="1"/>
  <c r="G169" i="4"/>
  <c r="H169" i="4" s="1"/>
  <c r="I169" i="4" s="1"/>
  <c r="J169" i="4" s="1"/>
  <c r="G168" i="4"/>
  <c r="H168" i="4" s="1"/>
  <c r="I168" i="4" s="1"/>
  <c r="J168" i="4" s="1"/>
  <c r="G167" i="4"/>
  <c r="H167" i="4" s="1"/>
  <c r="I167" i="4" s="1"/>
  <c r="J167" i="4" s="1"/>
  <c r="G166" i="4"/>
  <c r="H166" i="4" s="1"/>
  <c r="I166" i="4" s="1"/>
  <c r="J166" i="4" s="1"/>
  <c r="G165" i="4"/>
  <c r="H165" i="4" s="1"/>
  <c r="I165" i="4" s="1"/>
  <c r="J165" i="4" s="1"/>
  <c r="G164" i="4"/>
  <c r="H164" i="4" s="1"/>
  <c r="I164" i="4" s="1"/>
  <c r="J164" i="4" s="1"/>
  <c r="G163" i="4"/>
  <c r="H163" i="4" s="1"/>
  <c r="I163" i="4" s="1"/>
  <c r="J163" i="4" s="1"/>
  <c r="G162" i="4"/>
  <c r="H162" i="4" s="1"/>
  <c r="I162" i="4" s="1"/>
  <c r="J162" i="4" s="1"/>
  <c r="G161" i="4"/>
  <c r="H161" i="4" s="1"/>
  <c r="I161" i="4" s="1"/>
  <c r="J161" i="4" s="1"/>
  <c r="G160" i="4"/>
  <c r="H160" i="4" s="1"/>
  <c r="I160" i="4" s="1"/>
  <c r="J160" i="4" s="1"/>
  <c r="G159" i="4"/>
  <c r="H159" i="4" s="1"/>
  <c r="I159" i="4" s="1"/>
  <c r="J159" i="4" s="1"/>
  <c r="G158" i="4"/>
  <c r="H158" i="4" s="1"/>
  <c r="I158" i="4" s="1"/>
  <c r="J158" i="4" s="1"/>
  <c r="G157" i="4"/>
  <c r="H157" i="4" s="1"/>
  <c r="I157" i="4" s="1"/>
  <c r="J157" i="4" s="1"/>
  <c r="G156" i="4"/>
  <c r="H156" i="4" s="1"/>
  <c r="I156" i="4" s="1"/>
  <c r="J156" i="4" s="1"/>
  <c r="G155" i="4"/>
  <c r="H155" i="4" s="1"/>
  <c r="I155" i="4" s="1"/>
  <c r="J155" i="4" s="1"/>
  <c r="G154" i="4"/>
  <c r="H154" i="4" s="1"/>
  <c r="I154" i="4" s="1"/>
  <c r="J154" i="4" s="1"/>
  <c r="G153" i="4"/>
  <c r="H153" i="4" s="1"/>
  <c r="I153" i="4" s="1"/>
  <c r="J153" i="4" s="1"/>
  <c r="G152" i="4"/>
  <c r="H152" i="4" s="1"/>
  <c r="I152" i="4" s="1"/>
  <c r="J152" i="4" s="1"/>
  <c r="G151" i="4"/>
  <c r="H151" i="4" s="1"/>
  <c r="I151" i="4" s="1"/>
  <c r="J151" i="4" s="1"/>
  <c r="G150" i="4"/>
  <c r="H150" i="4" s="1"/>
  <c r="I150" i="4" s="1"/>
  <c r="J150" i="4" s="1"/>
  <c r="G149" i="4"/>
  <c r="H149" i="4" s="1"/>
  <c r="I149" i="4" s="1"/>
  <c r="J149" i="4" s="1"/>
  <c r="G148" i="4"/>
  <c r="H148" i="4" s="1"/>
  <c r="I148" i="4" s="1"/>
  <c r="J148" i="4" s="1"/>
  <c r="G147" i="4"/>
  <c r="H147" i="4" s="1"/>
  <c r="I147" i="4" s="1"/>
  <c r="J147" i="4" s="1"/>
  <c r="G146" i="4"/>
  <c r="H146" i="4" s="1"/>
  <c r="I146" i="4" s="1"/>
  <c r="J146" i="4" s="1"/>
  <c r="G145" i="4"/>
  <c r="H145" i="4" s="1"/>
  <c r="I145" i="4" s="1"/>
  <c r="J145" i="4" s="1"/>
  <c r="G144" i="4"/>
  <c r="H144" i="4" s="1"/>
  <c r="I144" i="4" s="1"/>
  <c r="J144" i="4" s="1"/>
  <c r="G143" i="4"/>
  <c r="H143" i="4" s="1"/>
  <c r="I143" i="4" s="1"/>
  <c r="J143" i="4" s="1"/>
  <c r="G142" i="4"/>
  <c r="H142" i="4" s="1"/>
  <c r="I142" i="4" s="1"/>
  <c r="J142" i="4" s="1"/>
  <c r="G141" i="4"/>
  <c r="H141" i="4" s="1"/>
  <c r="I141" i="4" s="1"/>
  <c r="J141" i="4" s="1"/>
  <c r="G140" i="4"/>
  <c r="H140" i="4" s="1"/>
  <c r="I140" i="4" s="1"/>
  <c r="J140" i="4" s="1"/>
  <c r="G139" i="4"/>
  <c r="H139" i="4" s="1"/>
  <c r="I139" i="4" s="1"/>
  <c r="J139" i="4" s="1"/>
  <c r="G138" i="4"/>
  <c r="H138" i="4" s="1"/>
  <c r="I138" i="4" s="1"/>
  <c r="J138" i="4" s="1"/>
  <c r="G137" i="4"/>
  <c r="H137" i="4" s="1"/>
  <c r="I137" i="4" s="1"/>
  <c r="J137" i="4" s="1"/>
  <c r="G136" i="4"/>
  <c r="H136" i="4" s="1"/>
  <c r="I136" i="4" s="1"/>
  <c r="J136" i="4" s="1"/>
  <c r="H135" i="4"/>
  <c r="I135" i="4" s="1"/>
  <c r="J135" i="4" s="1"/>
  <c r="G135" i="4"/>
  <c r="G134" i="4"/>
  <c r="H134" i="4" s="1"/>
  <c r="I134" i="4" s="1"/>
  <c r="J134" i="4" s="1"/>
  <c r="G133" i="4"/>
  <c r="H133" i="4" s="1"/>
  <c r="I133" i="4" s="1"/>
  <c r="J133" i="4" s="1"/>
  <c r="G132" i="4"/>
  <c r="H132" i="4" s="1"/>
  <c r="I132" i="4" s="1"/>
  <c r="J132" i="4" s="1"/>
  <c r="G131" i="4"/>
  <c r="H131" i="4" s="1"/>
  <c r="I131" i="4" s="1"/>
  <c r="J131" i="4" s="1"/>
  <c r="G130" i="4"/>
  <c r="H130" i="4" s="1"/>
  <c r="I130" i="4" s="1"/>
  <c r="J130" i="4" s="1"/>
  <c r="G129" i="4"/>
  <c r="H129" i="4" s="1"/>
  <c r="I129" i="4" s="1"/>
  <c r="J129" i="4" s="1"/>
  <c r="G128" i="4"/>
  <c r="H128" i="4" s="1"/>
  <c r="I128" i="4" s="1"/>
  <c r="J128" i="4" s="1"/>
  <c r="G127" i="4"/>
  <c r="H127" i="4" s="1"/>
  <c r="I127" i="4" s="1"/>
  <c r="J127" i="4" s="1"/>
  <c r="G126" i="4"/>
  <c r="H126" i="4" s="1"/>
  <c r="I126" i="4" s="1"/>
  <c r="J126" i="4" s="1"/>
  <c r="G125" i="4"/>
  <c r="H125" i="4" s="1"/>
  <c r="I125" i="4" s="1"/>
  <c r="J125" i="4" s="1"/>
  <c r="G124" i="4"/>
  <c r="H124" i="4" s="1"/>
  <c r="I124" i="4" s="1"/>
  <c r="J124" i="4" s="1"/>
  <c r="G123" i="4"/>
  <c r="H123" i="4" s="1"/>
  <c r="I123" i="4" s="1"/>
  <c r="J123" i="4" s="1"/>
  <c r="G122" i="4"/>
  <c r="H122" i="4" s="1"/>
  <c r="I122" i="4" s="1"/>
  <c r="J122" i="4" s="1"/>
  <c r="G121" i="4"/>
  <c r="H121" i="4" s="1"/>
  <c r="I121" i="4" s="1"/>
  <c r="J121" i="4" s="1"/>
  <c r="G120" i="4"/>
  <c r="H120" i="4" s="1"/>
  <c r="I120" i="4" s="1"/>
  <c r="J120" i="4" s="1"/>
  <c r="G119" i="4"/>
  <c r="H119" i="4" s="1"/>
  <c r="I119" i="4" s="1"/>
  <c r="J119" i="4" s="1"/>
  <c r="G118" i="4"/>
  <c r="H118" i="4" s="1"/>
  <c r="I118" i="4" s="1"/>
  <c r="J118" i="4" s="1"/>
  <c r="G117" i="4"/>
  <c r="H117" i="4" s="1"/>
  <c r="I117" i="4" s="1"/>
  <c r="J117" i="4" s="1"/>
  <c r="G116" i="4"/>
  <c r="H116" i="4" s="1"/>
  <c r="I116" i="4" s="1"/>
  <c r="J116" i="4" s="1"/>
  <c r="G115" i="4"/>
  <c r="H115" i="4" s="1"/>
  <c r="I115" i="4" s="1"/>
  <c r="J115" i="4" s="1"/>
  <c r="G114" i="4"/>
  <c r="H114" i="4" s="1"/>
  <c r="I114" i="4" s="1"/>
  <c r="J114" i="4" s="1"/>
  <c r="G113" i="4"/>
  <c r="H113" i="4" s="1"/>
  <c r="I113" i="4" s="1"/>
  <c r="J113" i="4" s="1"/>
  <c r="G112" i="4"/>
  <c r="H112" i="4" s="1"/>
  <c r="I112" i="4" s="1"/>
  <c r="J112" i="4" s="1"/>
  <c r="G111" i="4"/>
  <c r="H111" i="4" s="1"/>
  <c r="I111" i="4" s="1"/>
  <c r="J111" i="4" s="1"/>
  <c r="G110" i="4"/>
  <c r="H110" i="4" s="1"/>
  <c r="I110" i="4" s="1"/>
  <c r="J110" i="4" s="1"/>
  <c r="G109" i="4"/>
  <c r="H109" i="4" s="1"/>
  <c r="I109" i="4" s="1"/>
  <c r="J109" i="4" s="1"/>
  <c r="G108" i="4"/>
  <c r="H108" i="4" s="1"/>
  <c r="I108" i="4" s="1"/>
  <c r="J108" i="4" s="1"/>
  <c r="G107" i="4"/>
  <c r="H107" i="4" s="1"/>
  <c r="I107" i="4" s="1"/>
  <c r="J107" i="4" s="1"/>
  <c r="G106" i="4"/>
  <c r="H106" i="4" s="1"/>
  <c r="I106" i="4" s="1"/>
  <c r="J106" i="4" s="1"/>
  <c r="G105" i="4"/>
  <c r="H105" i="4" s="1"/>
  <c r="I105" i="4" s="1"/>
  <c r="J105" i="4" s="1"/>
  <c r="G104" i="4"/>
  <c r="H104" i="4" s="1"/>
  <c r="I104" i="4" s="1"/>
  <c r="J104" i="4" s="1"/>
  <c r="G103" i="4"/>
  <c r="H103" i="4" s="1"/>
  <c r="I103" i="4" s="1"/>
  <c r="J103" i="4" s="1"/>
  <c r="G102" i="4"/>
  <c r="H102" i="4" s="1"/>
  <c r="I102" i="4" s="1"/>
  <c r="J102" i="4" s="1"/>
  <c r="G101" i="4"/>
  <c r="H101" i="4" s="1"/>
  <c r="I101" i="4" s="1"/>
  <c r="J101" i="4" s="1"/>
  <c r="G100" i="4"/>
  <c r="H100" i="4" s="1"/>
  <c r="I100" i="4" s="1"/>
  <c r="J100" i="4" s="1"/>
  <c r="G99" i="4"/>
  <c r="H99" i="4" s="1"/>
  <c r="I99" i="4" s="1"/>
  <c r="J99" i="4" s="1"/>
  <c r="G98" i="4"/>
  <c r="H98" i="4" s="1"/>
  <c r="I98" i="4" s="1"/>
  <c r="J98" i="4" s="1"/>
  <c r="G97" i="4"/>
  <c r="H97" i="4" s="1"/>
  <c r="I97" i="4" s="1"/>
  <c r="J97" i="4" s="1"/>
  <c r="G96" i="4"/>
  <c r="H96" i="4" s="1"/>
  <c r="I96" i="4" s="1"/>
  <c r="J96" i="4" s="1"/>
  <c r="G95" i="4"/>
  <c r="H95" i="4" s="1"/>
  <c r="I95" i="4" s="1"/>
  <c r="J95" i="4" s="1"/>
  <c r="G94" i="4"/>
  <c r="H94" i="4" s="1"/>
  <c r="I94" i="4" s="1"/>
  <c r="J94" i="4" s="1"/>
  <c r="G93" i="4"/>
  <c r="H93" i="4" s="1"/>
  <c r="I93" i="4" s="1"/>
  <c r="J93" i="4" s="1"/>
  <c r="G92" i="4"/>
  <c r="H92" i="4" s="1"/>
  <c r="I92" i="4" s="1"/>
  <c r="J92" i="4" s="1"/>
  <c r="G91" i="4"/>
  <c r="H91" i="4" s="1"/>
  <c r="I91" i="4" s="1"/>
  <c r="J91" i="4" s="1"/>
  <c r="G90" i="4"/>
  <c r="H90" i="4" s="1"/>
  <c r="I90" i="4" s="1"/>
  <c r="J90" i="4" s="1"/>
  <c r="G89" i="4"/>
  <c r="H89" i="4" s="1"/>
  <c r="I89" i="4" s="1"/>
  <c r="J89" i="4" s="1"/>
  <c r="G88" i="4"/>
  <c r="H88" i="4" s="1"/>
  <c r="I88" i="4" s="1"/>
  <c r="J88" i="4" s="1"/>
  <c r="G87" i="4"/>
  <c r="H87" i="4" s="1"/>
  <c r="I87" i="4" s="1"/>
  <c r="J87" i="4" s="1"/>
  <c r="G86" i="4"/>
  <c r="H86" i="4" s="1"/>
  <c r="I86" i="4" s="1"/>
  <c r="J86" i="4" s="1"/>
  <c r="G85" i="4"/>
  <c r="H85" i="4" s="1"/>
  <c r="I85" i="4" s="1"/>
  <c r="J85" i="4" s="1"/>
  <c r="G84" i="4"/>
  <c r="H84" i="4" s="1"/>
  <c r="I84" i="4" s="1"/>
  <c r="J84" i="4" s="1"/>
  <c r="G83" i="4"/>
  <c r="H83" i="4" s="1"/>
  <c r="I83" i="4" s="1"/>
  <c r="J83" i="4" s="1"/>
  <c r="G82" i="4"/>
  <c r="H82" i="4" s="1"/>
  <c r="I82" i="4" s="1"/>
  <c r="J82" i="4" s="1"/>
  <c r="G81" i="4"/>
  <c r="H81" i="4" s="1"/>
  <c r="I81" i="4" s="1"/>
  <c r="J81" i="4" s="1"/>
  <c r="G80" i="4"/>
  <c r="H80" i="4" s="1"/>
  <c r="I80" i="4" s="1"/>
  <c r="J80" i="4" s="1"/>
  <c r="G79" i="4"/>
  <c r="H79" i="4" s="1"/>
  <c r="I79" i="4" s="1"/>
  <c r="J79" i="4" s="1"/>
  <c r="G78" i="4"/>
  <c r="H78" i="4" s="1"/>
  <c r="I78" i="4" s="1"/>
  <c r="J78" i="4" s="1"/>
  <c r="G77" i="4"/>
  <c r="H77" i="4" s="1"/>
  <c r="I77" i="4" s="1"/>
  <c r="J77" i="4" s="1"/>
  <c r="G76" i="4"/>
  <c r="H76" i="4" s="1"/>
  <c r="I76" i="4" s="1"/>
  <c r="J76" i="4" s="1"/>
  <c r="G75" i="4"/>
  <c r="H75" i="4" s="1"/>
  <c r="I75" i="4" s="1"/>
  <c r="J75" i="4" s="1"/>
  <c r="G74" i="4"/>
  <c r="H74" i="4" s="1"/>
  <c r="I74" i="4" s="1"/>
  <c r="J74" i="4" s="1"/>
  <c r="G73" i="4"/>
  <c r="H73" i="4" s="1"/>
  <c r="I73" i="4" s="1"/>
  <c r="J73" i="4" s="1"/>
  <c r="G72" i="4"/>
  <c r="H72" i="4" s="1"/>
  <c r="I72" i="4" s="1"/>
  <c r="J72" i="4" s="1"/>
  <c r="G71" i="4"/>
  <c r="H71" i="4" s="1"/>
  <c r="I71" i="4" s="1"/>
  <c r="J71" i="4" s="1"/>
  <c r="G70" i="4"/>
  <c r="H70" i="4" s="1"/>
  <c r="I70" i="4" s="1"/>
  <c r="J70" i="4" s="1"/>
  <c r="G69" i="4"/>
  <c r="H69" i="4" s="1"/>
  <c r="I69" i="4" s="1"/>
  <c r="J69" i="4" s="1"/>
  <c r="G68" i="4"/>
  <c r="H68" i="4" s="1"/>
  <c r="I68" i="4" s="1"/>
  <c r="J68" i="4" s="1"/>
  <c r="G67" i="4"/>
  <c r="H67" i="4" s="1"/>
  <c r="I67" i="4" s="1"/>
  <c r="J67" i="4" s="1"/>
  <c r="G66" i="4"/>
  <c r="H66" i="4" s="1"/>
  <c r="I66" i="4" s="1"/>
  <c r="J66" i="4" s="1"/>
  <c r="G65" i="4"/>
  <c r="H65" i="4" s="1"/>
  <c r="I65" i="4" s="1"/>
  <c r="J65" i="4" s="1"/>
  <c r="G64" i="4"/>
  <c r="H64" i="4" s="1"/>
  <c r="I64" i="4" s="1"/>
  <c r="J64" i="4" s="1"/>
  <c r="G63" i="4"/>
  <c r="H63" i="4" s="1"/>
  <c r="I63" i="4" s="1"/>
  <c r="J63" i="4" s="1"/>
  <c r="G62" i="4"/>
  <c r="H62" i="4" s="1"/>
  <c r="I62" i="4" s="1"/>
  <c r="J62" i="4" s="1"/>
  <c r="G61" i="4"/>
  <c r="H61" i="4" s="1"/>
  <c r="I61" i="4" s="1"/>
  <c r="J61" i="4" s="1"/>
  <c r="G60" i="4"/>
  <c r="H60" i="4" s="1"/>
  <c r="I60" i="4" s="1"/>
  <c r="J60" i="4" s="1"/>
  <c r="G59" i="4"/>
  <c r="H59" i="4" s="1"/>
  <c r="I59" i="4" s="1"/>
  <c r="J59" i="4" s="1"/>
  <c r="G58" i="4"/>
  <c r="H58" i="4" s="1"/>
  <c r="I58" i="4" s="1"/>
  <c r="J58" i="4" s="1"/>
  <c r="G57" i="4"/>
  <c r="H57" i="4" s="1"/>
  <c r="I57" i="4" s="1"/>
  <c r="J57" i="4" s="1"/>
  <c r="G56" i="4"/>
  <c r="H56" i="4" s="1"/>
  <c r="I56" i="4" s="1"/>
  <c r="J56" i="4" s="1"/>
  <c r="G55" i="4"/>
  <c r="H55" i="4" s="1"/>
  <c r="I55" i="4" s="1"/>
  <c r="J55" i="4" s="1"/>
  <c r="G54" i="4"/>
  <c r="H54" i="4" s="1"/>
  <c r="I54" i="4" s="1"/>
  <c r="J54" i="4" s="1"/>
  <c r="G53" i="4"/>
  <c r="H53" i="4" s="1"/>
  <c r="I53" i="4" s="1"/>
  <c r="J53" i="4" s="1"/>
  <c r="G52" i="4"/>
  <c r="H52" i="4" s="1"/>
  <c r="I52" i="4" s="1"/>
  <c r="J52" i="4" s="1"/>
  <c r="G51" i="4"/>
  <c r="H51" i="4" s="1"/>
  <c r="I51" i="4" s="1"/>
  <c r="J51" i="4" s="1"/>
  <c r="G50" i="4"/>
  <c r="H50" i="4" s="1"/>
  <c r="I50" i="4" s="1"/>
  <c r="J50" i="4" s="1"/>
  <c r="G49" i="4"/>
  <c r="H49" i="4" s="1"/>
  <c r="I49" i="4" s="1"/>
  <c r="J49" i="4" s="1"/>
  <c r="G48" i="4"/>
  <c r="H48" i="4" s="1"/>
  <c r="I48" i="4" s="1"/>
  <c r="J48" i="4" s="1"/>
  <c r="G47" i="4"/>
  <c r="H47" i="4" s="1"/>
  <c r="I47" i="4" s="1"/>
  <c r="J47" i="4" s="1"/>
  <c r="G46" i="4"/>
  <c r="H46" i="4" s="1"/>
  <c r="I46" i="4" s="1"/>
  <c r="J46" i="4" s="1"/>
  <c r="G45" i="4"/>
  <c r="H45" i="4" s="1"/>
  <c r="I45" i="4" s="1"/>
  <c r="J45" i="4" s="1"/>
  <c r="G44" i="4"/>
  <c r="H44" i="4" s="1"/>
  <c r="I44" i="4" s="1"/>
  <c r="J44" i="4" s="1"/>
  <c r="G43" i="4"/>
  <c r="H43" i="4" s="1"/>
  <c r="I43" i="4" s="1"/>
  <c r="J43" i="4" s="1"/>
  <c r="G42" i="4"/>
  <c r="H42" i="4" s="1"/>
  <c r="I42" i="4" s="1"/>
  <c r="J42" i="4" s="1"/>
  <c r="G41" i="4"/>
  <c r="H41" i="4" s="1"/>
  <c r="I41" i="4" s="1"/>
  <c r="J41" i="4" s="1"/>
  <c r="G40" i="4"/>
  <c r="H40" i="4" s="1"/>
  <c r="I40" i="4" s="1"/>
  <c r="J40" i="4" s="1"/>
  <c r="G39" i="4"/>
  <c r="H39" i="4" s="1"/>
  <c r="I39" i="4" s="1"/>
  <c r="J39" i="4" s="1"/>
  <c r="G38" i="4"/>
  <c r="H38" i="4" s="1"/>
  <c r="I38" i="4" s="1"/>
  <c r="J38" i="4" s="1"/>
  <c r="G37" i="4"/>
  <c r="H37" i="4" s="1"/>
  <c r="I37" i="4" s="1"/>
  <c r="J37" i="4" s="1"/>
  <c r="G36" i="4"/>
  <c r="H36" i="4" s="1"/>
  <c r="I36" i="4" s="1"/>
  <c r="J36" i="4" s="1"/>
  <c r="G35" i="4"/>
  <c r="H35" i="4" s="1"/>
  <c r="I35" i="4" s="1"/>
  <c r="J35" i="4" s="1"/>
  <c r="G34" i="4"/>
  <c r="H34" i="4" s="1"/>
  <c r="I34" i="4" s="1"/>
  <c r="J34" i="4" s="1"/>
  <c r="G33" i="4"/>
  <c r="H33" i="4" s="1"/>
  <c r="I33" i="4" s="1"/>
  <c r="J33" i="4" s="1"/>
  <c r="G32" i="4"/>
  <c r="H32" i="4" s="1"/>
  <c r="I32" i="4" s="1"/>
  <c r="J32" i="4" s="1"/>
  <c r="G31" i="4"/>
  <c r="H31" i="4" s="1"/>
  <c r="I31" i="4" s="1"/>
  <c r="J31" i="4" s="1"/>
  <c r="G30" i="4"/>
  <c r="H30" i="4" s="1"/>
  <c r="I30" i="4" s="1"/>
  <c r="J30" i="4" s="1"/>
  <c r="G29" i="4"/>
  <c r="H29" i="4" s="1"/>
  <c r="I29" i="4" s="1"/>
  <c r="J29" i="4" s="1"/>
  <c r="G28" i="4"/>
  <c r="H28" i="4" s="1"/>
  <c r="I28" i="4" s="1"/>
  <c r="J28" i="4" s="1"/>
  <c r="G27" i="4"/>
  <c r="H27" i="4" s="1"/>
  <c r="I27" i="4" s="1"/>
  <c r="J27" i="4" s="1"/>
  <c r="G26" i="4"/>
  <c r="H26" i="4" s="1"/>
  <c r="I26" i="4" s="1"/>
  <c r="J26" i="4" s="1"/>
  <c r="G25" i="4"/>
  <c r="H25" i="4" s="1"/>
  <c r="I25" i="4" s="1"/>
  <c r="J25" i="4" s="1"/>
  <c r="G24" i="4"/>
  <c r="H24" i="4" s="1"/>
  <c r="I24" i="4" s="1"/>
  <c r="J24" i="4" s="1"/>
  <c r="G23" i="4"/>
  <c r="H23" i="4" s="1"/>
  <c r="I23" i="4" s="1"/>
  <c r="J23" i="4" s="1"/>
  <c r="G22" i="4"/>
  <c r="H22" i="4" s="1"/>
  <c r="I22" i="4" s="1"/>
  <c r="J22" i="4" s="1"/>
  <c r="G21" i="4"/>
  <c r="H21" i="4" s="1"/>
  <c r="I21" i="4" s="1"/>
  <c r="J21" i="4" s="1"/>
  <c r="G20" i="4"/>
  <c r="H20" i="4" s="1"/>
  <c r="I20" i="4" s="1"/>
  <c r="J20" i="4" s="1"/>
  <c r="G19" i="4"/>
  <c r="H19" i="4" s="1"/>
  <c r="I19" i="4" s="1"/>
  <c r="J19" i="4" s="1"/>
  <c r="G18" i="4"/>
  <c r="H18" i="4" s="1"/>
  <c r="I18" i="4" s="1"/>
  <c r="J18" i="4" s="1"/>
  <c r="G17" i="4"/>
  <c r="H17" i="4" s="1"/>
  <c r="I17" i="4" s="1"/>
  <c r="J17" i="4" s="1"/>
  <c r="G16" i="4"/>
  <c r="H16" i="4" s="1"/>
  <c r="I16" i="4" s="1"/>
  <c r="J16" i="4" s="1"/>
  <c r="G15" i="4"/>
  <c r="H15" i="4" s="1"/>
  <c r="I15" i="4" s="1"/>
  <c r="J15" i="4" s="1"/>
  <c r="G14" i="4"/>
  <c r="H14" i="4" s="1"/>
  <c r="I14" i="4" s="1"/>
  <c r="J14" i="4" s="1"/>
  <c r="G13" i="4"/>
  <c r="H13" i="4" s="1"/>
  <c r="I13" i="4" s="1"/>
  <c r="J13" i="4" s="1"/>
  <c r="G12" i="4"/>
  <c r="H12" i="4" s="1"/>
  <c r="I12" i="4" s="1"/>
  <c r="J12" i="4" s="1"/>
  <c r="G11" i="4"/>
  <c r="H11" i="4" s="1"/>
  <c r="I11" i="4" s="1"/>
  <c r="J11" i="4" s="1"/>
  <c r="G10" i="4"/>
  <c r="H10" i="4" s="1"/>
  <c r="I10" i="4" s="1"/>
  <c r="J10" i="4" s="1"/>
  <c r="G9" i="4"/>
  <c r="H9" i="4" s="1"/>
  <c r="I9" i="4" s="1"/>
  <c r="J9" i="4" s="1"/>
  <c r="G8" i="4"/>
  <c r="H8" i="4" s="1"/>
  <c r="I8" i="4" s="1"/>
  <c r="J8" i="4" s="1"/>
  <c r="G7" i="4"/>
  <c r="H7" i="4" s="1"/>
  <c r="F5" i="4"/>
  <c r="E5" i="4"/>
  <c r="D5" i="4"/>
  <c r="J4" i="4"/>
  <c r="I4" i="4"/>
  <c r="H4" i="4"/>
  <c r="G4" i="4"/>
  <c r="I7" i="4" l="1"/>
  <c r="H5" i="4"/>
  <c r="G5" i="4"/>
  <c r="M6" i="1"/>
  <c r="J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M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M348" i="1"/>
  <c r="K349" i="1"/>
  <c r="K350" i="1"/>
  <c r="K351" i="1"/>
  <c r="K352" i="1"/>
  <c r="K353" i="1"/>
  <c r="K354" i="1"/>
  <c r="K355" i="1"/>
  <c r="M355" i="1"/>
  <c r="K356" i="1"/>
  <c r="K357" i="1"/>
  <c r="K358" i="1"/>
  <c r="K359" i="1"/>
  <c r="M359" i="1"/>
  <c r="K360" i="1"/>
  <c r="K361" i="1"/>
  <c r="K362" i="1"/>
  <c r="K363" i="1"/>
  <c r="K364" i="1"/>
  <c r="M364" i="1"/>
  <c r="K365" i="1"/>
  <c r="K366" i="1"/>
  <c r="M366" i="1"/>
  <c r="K367" i="1"/>
  <c r="K368" i="1"/>
  <c r="K369" i="1"/>
  <c r="K370" i="1"/>
  <c r="M370" i="1"/>
  <c r="K371" i="1"/>
  <c r="K372" i="1"/>
  <c r="K373" i="1"/>
  <c r="K374" i="1"/>
  <c r="K375" i="1"/>
  <c r="K376" i="1"/>
  <c r="K377" i="1"/>
  <c r="K378" i="1"/>
  <c r="K379" i="1"/>
  <c r="M379" i="1"/>
  <c r="K380" i="1"/>
  <c r="K381" i="1"/>
  <c r="K382" i="1"/>
  <c r="M382" i="1"/>
  <c r="K383" i="1"/>
  <c r="M383" i="1"/>
  <c r="K384" i="1"/>
  <c r="M384" i="1"/>
  <c r="K385" i="1"/>
  <c r="M385" i="1"/>
  <c r="K386" i="1"/>
  <c r="K387" i="1"/>
  <c r="K388" i="1"/>
  <c r="M388" i="1"/>
  <c r="K389" i="1"/>
  <c r="M389" i="1"/>
  <c r="K390" i="1"/>
  <c r="K391" i="1"/>
  <c r="K392" i="1"/>
  <c r="K393" i="1"/>
  <c r="K394" i="1"/>
  <c r="K395" i="1"/>
  <c r="K396" i="1"/>
  <c r="K397" i="1"/>
  <c r="M397" i="1"/>
  <c r="K398" i="1"/>
  <c r="M398" i="1"/>
  <c r="K399" i="1"/>
  <c r="M399" i="1"/>
  <c r="K400" i="1"/>
  <c r="K401" i="1"/>
  <c r="M401" i="1"/>
  <c r="K402" i="1"/>
  <c r="K403" i="1"/>
  <c r="K404" i="1"/>
  <c r="K405" i="1"/>
  <c r="M405" i="1"/>
  <c r="K406" i="1"/>
  <c r="K407" i="1"/>
  <c r="M407" i="1"/>
  <c r="K408" i="1"/>
  <c r="M408" i="1"/>
  <c r="K409" i="1"/>
  <c r="K410" i="1"/>
  <c r="K411" i="1"/>
  <c r="K412" i="1"/>
  <c r="M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M431" i="1"/>
  <c r="K432" i="1"/>
  <c r="K433" i="1"/>
  <c r="K434" i="1"/>
  <c r="M434" i="1"/>
  <c r="K435" i="1"/>
  <c r="K436" i="1"/>
  <c r="M436" i="1"/>
  <c r="K437" i="1"/>
  <c r="K438" i="1"/>
  <c r="K439" i="1"/>
  <c r="K440" i="1"/>
  <c r="K441" i="1"/>
  <c r="K442" i="1"/>
  <c r="K443" i="1"/>
  <c r="M443" i="1"/>
  <c r="K444" i="1"/>
  <c r="M444" i="1"/>
  <c r="K445" i="1"/>
  <c r="K446" i="1"/>
  <c r="K447" i="1"/>
  <c r="K448" i="1"/>
  <c r="K449" i="1"/>
  <c r="M449" i="1"/>
  <c r="K450" i="1"/>
  <c r="K451" i="1"/>
  <c r="K452" i="1"/>
  <c r="K453" i="1"/>
  <c r="K454" i="1"/>
  <c r="K455" i="1"/>
  <c r="K456" i="1"/>
  <c r="K457" i="1"/>
  <c r="K458" i="1"/>
  <c r="K459" i="1"/>
  <c r="M459" i="1"/>
  <c r="K460" i="1"/>
  <c r="K461" i="1"/>
  <c r="K462" i="1"/>
  <c r="M462" i="1"/>
  <c r="K463" i="1"/>
  <c r="M463" i="1"/>
  <c r="K464" i="1"/>
  <c r="K465" i="1"/>
  <c r="K466" i="1"/>
  <c r="K467" i="1"/>
  <c r="K468" i="1"/>
  <c r="M468" i="1"/>
  <c r="K469" i="1"/>
  <c r="K470" i="1"/>
  <c r="K471" i="1"/>
  <c r="K472" i="1"/>
  <c r="K473" i="1"/>
  <c r="K474" i="1"/>
  <c r="K475" i="1"/>
  <c r="K476" i="1"/>
  <c r="K477" i="1"/>
  <c r="K478" i="1"/>
  <c r="K479" i="1"/>
  <c r="M479" i="1"/>
  <c r="K480" i="1"/>
  <c r="M480" i="1"/>
  <c r="K481" i="1"/>
  <c r="K482" i="1"/>
  <c r="K483" i="1"/>
  <c r="K484" i="1"/>
  <c r="K485" i="1"/>
  <c r="M485" i="1"/>
  <c r="K486" i="1"/>
  <c r="K487" i="1"/>
  <c r="M487" i="1"/>
  <c r="K488" i="1"/>
  <c r="M488" i="1"/>
  <c r="K489" i="1"/>
  <c r="K490" i="1"/>
  <c r="K491" i="1"/>
  <c r="K492" i="1"/>
  <c r="K493" i="1"/>
  <c r="K494" i="1"/>
  <c r="K495" i="1"/>
  <c r="M495" i="1"/>
  <c r="K496" i="1"/>
  <c r="K497" i="1"/>
  <c r="K498" i="1"/>
  <c r="K499" i="1"/>
  <c r="K500" i="1"/>
  <c r="K501" i="1"/>
  <c r="K502" i="1"/>
  <c r="K503" i="1"/>
  <c r="M503" i="1"/>
  <c r="K504" i="1"/>
  <c r="M504" i="1"/>
  <c r="K505" i="1"/>
  <c r="M505" i="1"/>
  <c r="K506" i="1"/>
  <c r="M506" i="1"/>
  <c r="K507" i="1"/>
  <c r="K508" i="1"/>
  <c r="K509" i="1"/>
  <c r="M509" i="1"/>
  <c r="K510" i="1"/>
  <c r="K511" i="1"/>
  <c r="M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M525" i="1"/>
  <c r="K526" i="1"/>
  <c r="M526" i="1"/>
  <c r="K527" i="1"/>
  <c r="K528" i="1"/>
  <c r="K529" i="1"/>
  <c r="K530" i="1"/>
  <c r="K531" i="1"/>
  <c r="M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M545" i="1"/>
  <c r="K546" i="1"/>
  <c r="M546" i="1"/>
  <c r="K16" i="1"/>
  <c r="I5" i="4" l="1"/>
  <c r="J7" i="4"/>
  <c r="J5" i="4" s="1"/>
  <c r="K555" i="1"/>
  <c r="K7" i="1" s="1"/>
  <c r="E23" i="2"/>
  <c r="AU547" i="1"/>
  <c r="AV547" i="1"/>
  <c r="AV8" i="1" s="1"/>
  <c r="AW547" i="1"/>
  <c r="AW8" i="1" s="1"/>
  <c r="AY547" i="1"/>
  <c r="AZ547" i="1"/>
  <c r="AZ8" i="1" s="1"/>
  <c r="BA547" i="1"/>
  <c r="BA8" i="1" s="1"/>
  <c r="BC547" i="1"/>
  <c r="BC8" i="1" s="1"/>
  <c r="BD547" i="1"/>
  <c r="BD8" i="1" s="1"/>
  <c r="BE547" i="1"/>
  <c r="BE8" i="1" s="1"/>
  <c r="BF547" i="1"/>
  <c r="AU548" i="1"/>
  <c r="AV548" i="1"/>
  <c r="AV9" i="1" s="1"/>
  <c r="AW548" i="1"/>
  <c r="AW9" i="1" s="1"/>
  <c r="AY548" i="1"/>
  <c r="AZ548" i="1"/>
  <c r="AZ9" i="1" s="1"/>
  <c r="BA548" i="1"/>
  <c r="BA9" i="1" s="1"/>
  <c r="BC548" i="1"/>
  <c r="BC9" i="1" s="1"/>
  <c r="BD548" i="1"/>
  <c r="BD9" i="1" s="1"/>
  <c r="BE548" i="1"/>
  <c r="BE9" i="1" s="1"/>
  <c r="BF548" i="1"/>
  <c r="AU549" i="1"/>
  <c r="AV549" i="1"/>
  <c r="AV10" i="1" s="1"/>
  <c r="AW549" i="1"/>
  <c r="AW10" i="1" s="1"/>
  <c r="AY549" i="1"/>
  <c r="AZ549" i="1"/>
  <c r="AZ10" i="1" s="1"/>
  <c r="BA549" i="1"/>
  <c r="BA10" i="1" s="1"/>
  <c r="BC549" i="1"/>
  <c r="BC10" i="1" s="1"/>
  <c r="BD549" i="1"/>
  <c r="BD10" i="1" s="1"/>
  <c r="BE549" i="1"/>
  <c r="BE10" i="1" s="1"/>
  <c r="BF549" i="1"/>
  <c r="AU550" i="1"/>
  <c r="AV550" i="1"/>
  <c r="AV11" i="1" s="1"/>
  <c r="AW550" i="1"/>
  <c r="AW11" i="1" s="1"/>
  <c r="AY550" i="1"/>
  <c r="AZ550" i="1"/>
  <c r="AZ11" i="1" s="1"/>
  <c r="BA550" i="1"/>
  <c r="BA11" i="1" s="1"/>
  <c r="BC550" i="1"/>
  <c r="BC11" i="1" s="1"/>
  <c r="BD550" i="1"/>
  <c r="BD11" i="1" s="1"/>
  <c r="BE550" i="1"/>
  <c r="BE11" i="1" s="1"/>
  <c r="BF550" i="1"/>
  <c r="AU551" i="1"/>
  <c r="AV551" i="1"/>
  <c r="AV12" i="1" s="1"/>
  <c r="AW551" i="1"/>
  <c r="AW12" i="1" s="1"/>
  <c r="AY551" i="1"/>
  <c r="AZ551" i="1"/>
  <c r="AZ12" i="1" s="1"/>
  <c r="BA551" i="1"/>
  <c r="BA12" i="1" s="1"/>
  <c r="BC551" i="1"/>
  <c r="BC12" i="1" s="1"/>
  <c r="BD551" i="1"/>
  <c r="BD12" i="1" s="1"/>
  <c r="BE551" i="1"/>
  <c r="BE12" i="1" s="1"/>
  <c r="BF551" i="1"/>
  <c r="AU552" i="1"/>
  <c r="AV552" i="1"/>
  <c r="AV13" i="1" s="1"/>
  <c r="AW552" i="1"/>
  <c r="AW13" i="1" s="1"/>
  <c r="AY552" i="1"/>
  <c r="AZ552" i="1"/>
  <c r="AZ13" i="1" s="1"/>
  <c r="BA552" i="1"/>
  <c r="BA13" i="1" s="1"/>
  <c r="BC552" i="1"/>
  <c r="BC13" i="1" s="1"/>
  <c r="BD552" i="1"/>
  <c r="BD13" i="1" s="1"/>
  <c r="BE552" i="1"/>
  <c r="BE13" i="1" s="1"/>
  <c r="BF552" i="1"/>
  <c r="AU553" i="1"/>
  <c r="AV553" i="1"/>
  <c r="AW553" i="1"/>
  <c r="AY553" i="1"/>
  <c r="AZ553" i="1"/>
  <c r="BA553" i="1"/>
  <c r="BC553" i="1"/>
  <c r="BD553" i="1"/>
  <c r="BE553" i="1"/>
  <c r="BF553" i="1"/>
  <c r="K553" i="1" s="1"/>
  <c r="AU554" i="1"/>
  <c r="AV554" i="1"/>
  <c r="AV14" i="1" s="1"/>
  <c r="AW554" i="1"/>
  <c r="AW14" i="1" s="1"/>
  <c r="AY554" i="1"/>
  <c r="AZ554" i="1"/>
  <c r="AZ14" i="1" s="1"/>
  <c r="BA554" i="1"/>
  <c r="BA14" i="1" s="1"/>
  <c r="BC554" i="1"/>
  <c r="BC14" i="1" s="1"/>
  <c r="BD554" i="1"/>
  <c r="BD14" i="1" s="1"/>
  <c r="BE554" i="1"/>
  <c r="BE14" i="1" s="1"/>
  <c r="BF554" i="1"/>
  <c r="AU555" i="1"/>
  <c r="D21" i="2" s="1"/>
  <c r="AV555" i="1"/>
  <c r="D22" i="2" s="1"/>
  <c r="AW555" i="1"/>
  <c r="D23" i="2" s="1"/>
  <c r="AX555" i="1"/>
  <c r="AY555" i="1"/>
  <c r="E21" i="2" s="1"/>
  <c r="AZ555" i="1"/>
  <c r="E22" i="2" s="1"/>
  <c r="BA555" i="1"/>
  <c r="BB555" i="1"/>
  <c r="BC555" i="1"/>
  <c r="BD555" i="1"/>
  <c r="BE555" i="1"/>
  <c r="BF555" i="1"/>
  <c r="BF7" i="1"/>
  <c r="BE7" i="1"/>
  <c r="BD7" i="1"/>
  <c r="BC7" i="1"/>
  <c r="BB7" i="1"/>
  <c r="BA7" i="1"/>
  <c r="AZ7" i="1"/>
  <c r="AY7" i="1"/>
  <c r="AX7" i="1"/>
  <c r="AW7" i="1"/>
  <c r="AV7" i="1"/>
  <c r="AU7" i="1"/>
  <c r="T8" i="3"/>
  <c r="U8" i="3"/>
  <c r="V8" i="3"/>
  <c r="AA8" i="3"/>
  <c r="AB8" i="3"/>
  <c r="AC8" i="3"/>
  <c r="AD8" i="3"/>
  <c r="W8" i="3"/>
  <c r="X8" i="3"/>
  <c r="Y8" i="3"/>
  <c r="Z8" i="3"/>
  <c r="S8" i="3"/>
  <c r="BB553" i="1" l="1"/>
  <c r="AY14" i="1"/>
  <c r="BB554" i="1"/>
  <c r="BB14" i="1" s="1"/>
  <c r="AU14" i="1"/>
  <c r="AX554" i="1"/>
  <c r="AX14" i="1" s="1"/>
  <c r="AX553" i="1"/>
  <c r="AY13" i="1"/>
  <c r="BB552" i="1"/>
  <c r="BB13" i="1" s="1"/>
  <c r="AU13" i="1"/>
  <c r="AX552" i="1"/>
  <c r="AX13" i="1" s="1"/>
  <c r="AY12" i="1"/>
  <c r="BB551" i="1"/>
  <c r="BB12" i="1" s="1"/>
  <c r="AU12" i="1"/>
  <c r="AX551" i="1"/>
  <c r="AX12" i="1" s="1"/>
  <c r="AY11" i="1"/>
  <c r="BB550" i="1"/>
  <c r="BB11" i="1" s="1"/>
  <c r="AU11" i="1"/>
  <c r="AX550" i="1"/>
  <c r="AX11" i="1" s="1"/>
  <c r="AY10" i="1"/>
  <c r="BB549" i="1"/>
  <c r="BB10" i="1" s="1"/>
  <c r="AU10" i="1"/>
  <c r="AX549" i="1"/>
  <c r="AX10" i="1" s="1"/>
  <c r="AY9" i="1"/>
  <c r="BB548" i="1"/>
  <c r="BB9" i="1" s="1"/>
  <c r="AU9" i="1"/>
  <c r="AX548" i="1"/>
  <c r="AX9" i="1" s="1"/>
  <c r="AY8" i="1"/>
  <c r="BB547" i="1"/>
  <c r="BB8" i="1" s="1"/>
  <c r="AU8" i="1"/>
  <c r="AX547" i="1"/>
  <c r="AX8" i="1" s="1"/>
  <c r="K552" i="1"/>
  <c r="K13" i="1" s="1"/>
  <c r="BF13" i="1"/>
  <c r="K550" i="1"/>
  <c r="K11" i="1" s="1"/>
  <c r="BF11" i="1"/>
  <c r="K548" i="1"/>
  <c r="K9" i="1" s="1"/>
  <c r="BF9" i="1"/>
  <c r="K554" i="1"/>
  <c r="K14" i="1" s="1"/>
  <c r="BF14" i="1"/>
  <c r="K551" i="1"/>
  <c r="K12" i="1" s="1"/>
  <c r="BF12" i="1"/>
  <c r="K549" i="1"/>
  <c r="K10" i="1" s="1"/>
  <c r="BF10" i="1"/>
  <c r="K547" i="1"/>
  <c r="K8" i="1" s="1"/>
  <c r="BF8" i="1"/>
  <c r="F22" i="2"/>
  <c r="F23" i="2"/>
  <c r="G23" i="2" s="1"/>
  <c r="E24" i="2"/>
  <c r="F21" i="2"/>
  <c r="G21" i="2" s="1"/>
  <c r="G22" i="2"/>
  <c r="D24" i="2"/>
  <c r="Y547" i="1"/>
  <c r="Y8" i="1" s="1"/>
  <c r="Z547" i="1"/>
  <c r="Z8" i="1" s="1"/>
  <c r="AA547" i="1"/>
  <c r="AA8" i="1" s="1"/>
  <c r="AB547" i="1"/>
  <c r="AB8" i="1" s="1"/>
  <c r="AC547" i="1"/>
  <c r="AC8" i="1" s="1"/>
  <c r="AD547" i="1"/>
  <c r="AD8" i="1" s="1"/>
  <c r="AE547" i="1"/>
  <c r="AE8" i="1" s="1"/>
  <c r="AF547" i="1"/>
  <c r="AF8" i="1" s="1"/>
  <c r="AG547" i="1"/>
  <c r="AG8" i="1" s="1"/>
  <c r="AI547" i="1"/>
  <c r="AI8" i="1" s="1"/>
  <c r="AJ547" i="1"/>
  <c r="AJ8" i="1" s="1"/>
  <c r="AK547" i="1"/>
  <c r="AK8" i="1" s="1"/>
  <c r="AL547" i="1"/>
  <c r="AL8" i="1" s="1"/>
  <c r="AM547" i="1"/>
  <c r="AM8" i="1" s="1"/>
  <c r="AN547" i="1"/>
  <c r="AN8" i="1" s="1"/>
  <c r="AO547" i="1"/>
  <c r="AO8" i="1" s="1"/>
  <c r="AP547" i="1"/>
  <c r="AP8" i="1" s="1"/>
  <c r="AQ547" i="1"/>
  <c r="AQ8" i="1" s="1"/>
  <c r="AR547" i="1"/>
  <c r="AR8" i="1" s="1"/>
  <c r="AT547" i="1"/>
  <c r="AT8" i="1" s="1"/>
  <c r="Y548" i="1"/>
  <c r="Y9" i="1" s="1"/>
  <c r="Z548" i="1"/>
  <c r="Z9" i="1" s="1"/>
  <c r="AA548" i="1"/>
  <c r="AA9" i="1" s="1"/>
  <c r="AB548" i="1"/>
  <c r="AB9" i="1" s="1"/>
  <c r="AC548" i="1"/>
  <c r="AC9" i="1" s="1"/>
  <c r="AD548" i="1"/>
  <c r="AD9" i="1" s="1"/>
  <c r="AE548" i="1"/>
  <c r="AE9" i="1" s="1"/>
  <c r="AF548" i="1"/>
  <c r="AF9" i="1" s="1"/>
  <c r="AG548" i="1"/>
  <c r="AG9" i="1" s="1"/>
  <c r="AI548" i="1"/>
  <c r="AI9" i="1" s="1"/>
  <c r="AJ548" i="1"/>
  <c r="AJ9" i="1" s="1"/>
  <c r="AK548" i="1"/>
  <c r="AK9" i="1" s="1"/>
  <c r="AL548" i="1"/>
  <c r="AL9" i="1" s="1"/>
  <c r="AM548" i="1"/>
  <c r="AM9" i="1" s="1"/>
  <c r="AN548" i="1"/>
  <c r="AN9" i="1" s="1"/>
  <c r="AO548" i="1"/>
  <c r="AO9" i="1" s="1"/>
  <c r="AP548" i="1"/>
  <c r="AP9" i="1" s="1"/>
  <c r="AQ548" i="1"/>
  <c r="AQ9" i="1" s="1"/>
  <c r="AR548" i="1"/>
  <c r="AR9" i="1" s="1"/>
  <c r="AT548" i="1"/>
  <c r="AT9" i="1" s="1"/>
  <c r="Y549" i="1"/>
  <c r="Y10" i="1" s="1"/>
  <c r="Z549" i="1"/>
  <c r="Z10" i="1" s="1"/>
  <c r="AA549" i="1"/>
  <c r="AA10" i="1" s="1"/>
  <c r="AB549" i="1"/>
  <c r="AB10" i="1" s="1"/>
  <c r="AC549" i="1"/>
  <c r="AC10" i="1" s="1"/>
  <c r="AD549" i="1"/>
  <c r="AD10" i="1" s="1"/>
  <c r="AE549" i="1"/>
  <c r="AE10" i="1" s="1"/>
  <c r="AF549" i="1"/>
  <c r="AF10" i="1" s="1"/>
  <c r="AG549" i="1"/>
  <c r="AG10" i="1" s="1"/>
  <c r="AI549" i="1"/>
  <c r="AI10" i="1" s="1"/>
  <c r="AJ549" i="1"/>
  <c r="AJ10" i="1" s="1"/>
  <c r="AK549" i="1"/>
  <c r="AK10" i="1" s="1"/>
  <c r="AL549" i="1"/>
  <c r="AL10" i="1" s="1"/>
  <c r="AM549" i="1"/>
  <c r="AM10" i="1" s="1"/>
  <c r="AN549" i="1"/>
  <c r="AN10" i="1" s="1"/>
  <c r="AO549" i="1"/>
  <c r="AO10" i="1" s="1"/>
  <c r="AP549" i="1"/>
  <c r="AP10" i="1" s="1"/>
  <c r="AQ549" i="1"/>
  <c r="AQ10" i="1" s="1"/>
  <c r="AR549" i="1"/>
  <c r="AR10" i="1" s="1"/>
  <c r="AT549" i="1"/>
  <c r="AT10" i="1" s="1"/>
  <c r="Y550" i="1"/>
  <c r="Y11" i="1" s="1"/>
  <c r="Z550" i="1"/>
  <c r="Z11" i="1" s="1"/>
  <c r="AA550" i="1"/>
  <c r="AA11" i="1" s="1"/>
  <c r="AB550" i="1"/>
  <c r="AB11" i="1" s="1"/>
  <c r="AC550" i="1"/>
  <c r="AC11" i="1" s="1"/>
  <c r="AD550" i="1"/>
  <c r="AD11" i="1" s="1"/>
  <c r="AE550" i="1"/>
  <c r="AE11" i="1" s="1"/>
  <c r="AF550" i="1"/>
  <c r="AF11" i="1" s="1"/>
  <c r="AG550" i="1"/>
  <c r="AG11" i="1" s="1"/>
  <c r="AI550" i="1"/>
  <c r="AI11" i="1" s="1"/>
  <c r="AJ550" i="1"/>
  <c r="AJ11" i="1" s="1"/>
  <c r="AK550" i="1"/>
  <c r="AK11" i="1" s="1"/>
  <c r="AL550" i="1"/>
  <c r="AL11" i="1" s="1"/>
  <c r="AM550" i="1"/>
  <c r="AM11" i="1" s="1"/>
  <c r="AN550" i="1"/>
  <c r="AN11" i="1" s="1"/>
  <c r="AO550" i="1"/>
  <c r="AO11" i="1" s="1"/>
  <c r="AP550" i="1"/>
  <c r="AP11" i="1" s="1"/>
  <c r="AQ550" i="1"/>
  <c r="AQ11" i="1" s="1"/>
  <c r="AR550" i="1"/>
  <c r="AR11" i="1" s="1"/>
  <c r="AT550" i="1"/>
  <c r="AT11" i="1" s="1"/>
  <c r="Y551" i="1"/>
  <c r="Y12" i="1" s="1"/>
  <c r="Z551" i="1"/>
  <c r="Z12" i="1" s="1"/>
  <c r="AA551" i="1"/>
  <c r="AA12" i="1" s="1"/>
  <c r="AB551" i="1"/>
  <c r="AB12" i="1" s="1"/>
  <c r="AC551" i="1"/>
  <c r="AC12" i="1" s="1"/>
  <c r="AD551" i="1"/>
  <c r="AD12" i="1" s="1"/>
  <c r="AE551" i="1"/>
  <c r="AE12" i="1" s="1"/>
  <c r="AF551" i="1"/>
  <c r="AF12" i="1" s="1"/>
  <c r="AG551" i="1"/>
  <c r="AG12" i="1" s="1"/>
  <c r="AI551" i="1"/>
  <c r="AI12" i="1" s="1"/>
  <c r="AJ551" i="1"/>
  <c r="AJ12" i="1" s="1"/>
  <c r="AK551" i="1"/>
  <c r="AK12" i="1" s="1"/>
  <c r="AL551" i="1"/>
  <c r="AL12" i="1" s="1"/>
  <c r="AM551" i="1"/>
  <c r="AM12" i="1" s="1"/>
  <c r="AN551" i="1"/>
  <c r="AN12" i="1" s="1"/>
  <c r="AO551" i="1"/>
  <c r="AO12" i="1" s="1"/>
  <c r="AP551" i="1"/>
  <c r="AP12" i="1" s="1"/>
  <c r="AQ551" i="1"/>
  <c r="AQ12" i="1" s="1"/>
  <c r="AR551" i="1"/>
  <c r="AR12" i="1" s="1"/>
  <c r="AT551" i="1"/>
  <c r="AT12" i="1" s="1"/>
  <c r="Y552" i="1"/>
  <c r="Y13" i="1" s="1"/>
  <c r="Z552" i="1"/>
  <c r="Z13" i="1" s="1"/>
  <c r="AA552" i="1"/>
  <c r="AA13" i="1" s="1"/>
  <c r="AB552" i="1"/>
  <c r="AB13" i="1" s="1"/>
  <c r="AC552" i="1"/>
  <c r="AC13" i="1" s="1"/>
  <c r="AD552" i="1"/>
  <c r="AD13" i="1" s="1"/>
  <c r="AE552" i="1"/>
  <c r="AE13" i="1" s="1"/>
  <c r="AF552" i="1"/>
  <c r="AF13" i="1" s="1"/>
  <c r="AG552" i="1"/>
  <c r="AG13" i="1" s="1"/>
  <c r="AI552" i="1"/>
  <c r="AI13" i="1" s="1"/>
  <c r="AJ552" i="1"/>
  <c r="AJ13" i="1" s="1"/>
  <c r="AK552" i="1"/>
  <c r="AK13" i="1" s="1"/>
  <c r="AL552" i="1"/>
  <c r="AL13" i="1" s="1"/>
  <c r="AM552" i="1"/>
  <c r="AM13" i="1" s="1"/>
  <c r="AN552" i="1"/>
  <c r="AN13" i="1" s="1"/>
  <c r="AO552" i="1"/>
  <c r="AO13" i="1" s="1"/>
  <c r="AP552" i="1"/>
  <c r="AP13" i="1" s="1"/>
  <c r="AQ552" i="1"/>
  <c r="AQ13" i="1" s="1"/>
  <c r="AR552" i="1"/>
  <c r="AR13" i="1" s="1"/>
  <c r="AT552" i="1"/>
  <c r="AT13" i="1" s="1"/>
  <c r="Y553" i="1"/>
  <c r="Z553" i="1"/>
  <c r="AA553" i="1"/>
  <c r="AB553" i="1"/>
  <c r="AC553" i="1"/>
  <c r="AD553" i="1"/>
  <c r="AE553" i="1"/>
  <c r="AF553" i="1"/>
  <c r="AG553" i="1"/>
  <c r="AI553" i="1"/>
  <c r="AJ553" i="1"/>
  <c r="AK553" i="1"/>
  <c r="AL553" i="1"/>
  <c r="AM553" i="1"/>
  <c r="AN553" i="1"/>
  <c r="AO553" i="1"/>
  <c r="AP553" i="1"/>
  <c r="AQ553" i="1"/>
  <c r="AR553" i="1"/>
  <c r="AT553" i="1"/>
  <c r="Y554" i="1"/>
  <c r="Y14" i="1" s="1"/>
  <c r="Z554" i="1"/>
  <c r="Z14" i="1" s="1"/>
  <c r="AA554" i="1"/>
  <c r="AA14" i="1" s="1"/>
  <c r="AB554" i="1"/>
  <c r="AB14" i="1" s="1"/>
  <c r="AC554" i="1"/>
  <c r="AC14" i="1" s="1"/>
  <c r="AD554" i="1"/>
  <c r="AD14" i="1" s="1"/>
  <c r="AE554" i="1"/>
  <c r="AE14" i="1" s="1"/>
  <c r="AF554" i="1"/>
  <c r="AF14" i="1" s="1"/>
  <c r="AG554" i="1"/>
  <c r="AG14" i="1" s="1"/>
  <c r="AI554" i="1"/>
  <c r="AI14" i="1" s="1"/>
  <c r="AJ554" i="1"/>
  <c r="AJ14" i="1" s="1"/>
  <c r="AK554" i="1"/>
  <c r="AK14" i="1" s="1"/>
  <c r="AL554" i="1"/>
  <c r="AL14" i="1" s="1"/>
  <c r="AM554" i="1"/>
  <c r="AM14" i="1" s="1"/>
  <c r="AN554" i="1"/>
  <c r="AN14" i="1" s="1"/>
  <c r="AO554" i="1"/>
  <c r="AO14" i="1" s="1"/>
  <c r="AP554" i="1"/>
  <c r="AP14" i="1" s="1"/>
  <c r="AQ554" i="1"/>
  <c r="AQ14" i="1" s="1"/>
  <c r="AR554" i="1"/>
  <c r="AR14" i="1" s="1"/>
  <c r="AT554" i="1"/>
  <c r="AT14" i="1" s="1"/>
  <c r="Y555" i="1"/>
  <c r="Z555" i="1"/>
  <c r="AA555" i="1"/>
  <c r="AB555" i="1"/>
  <c r="AC555" i="1"/>
  <c r="AD555" i="1"/>
  <c r="AE555" i="1"/>
  <c r="AF555" i="1"/>
  <c r="AG555" i="1"/>
  <c r="AI555" i="1"/>
  <c r="AJ555" i="1"/>
  <c r="AK555" i="1"/>
  <c r="AL555" i="1"/>
  <c r="AM555" i="1"/>
  <c r="AN555" i="1"/>
  <c r="AO555" i="1"/>
  <c r="AP555" i="1"/>
  <c r="AQ555" i="1"/>
  <c r="AR555" i="1"/>
  <c r="AT555" i="1"/>
  <c r="E555" i="1"/>
  <c r="E554" i="1"/>
  <c r="E14" i="1" s="1"/>
  <c r="E553" i="1"/>
  <c r="E548" i="1"/>
  <c r="E9" i="1" s="1"/>
  <c r="E549" i="1"/>
  <c r="E10" i="1" s="1"/>
  <c r="E550" i="1"/>
  <c r="E11" i="1" s="1"/>
  <c r="E551" i="1"/>
  <c r="E12" i="1" s="1"/>
  <c r="E552" i="1"/>
  <c r="E13" i="1" s="1"/>
  <c r="E547" i="1"/>
  <c r="E8" i="1" s="1"/>
  <c r="F24" i="2" l="1"/>
  <c r="G24" i="2" s="1"/>
  <c r="A5" i="2"/>
  <c r="D7" i="2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E19" i="2"/>
  <c r="E25" i="2" s="1"/>
  <c r="E17" i="2"/>
  <c r="E16" i="2"/>
  <c r="E15" i="2"/>
  <c r="E14" i="2"/>
  <c r="E13" i="2"/>
  <c r="E12" i="2"/>
  <c r="E11" i="2"/>
  <c r="E10" i="2"/>
  <c r="E9" i="2"/>
  <c r="D10" i="2"/>
  <c r="D11" i="2"/>
  <c r="D12" i="2"/>
  <c r="D13" i="2"/>
  <c r="D14" i="2"/>
  <c r="D15" i="2"/>
  <c r="D16" i="2"/>
  <c r="D17" i="2"/>
  <c r="D19" i="2"/>
  <c r="D25" i="2" s="1"/>
  <c r="D9" i="2"/>
  <c r="C27" i="2" l="1"/>
  <c r="A21" i="2"/>
  <c r="E7" i="2"/>
  <c r="F7" i="2" s="1"/>
  <c r="G7" i="2" s="1"/>
  <c r="C30" i="2"/>
  <c r="C34" i="2"/>
  <c r="D37" i="2"/>
  <c r="D33" i="2"/>
  <c r="D29" i="2"/>
  <c r="D32" i="2"/>
  <c r="D28" i="2"/>
  <c r="D35" i="2"/>
  <c r="D31" i="2"/>
  <c r="C36" i="2"/>
  <c r="C32" i="2"/>
  <c r="C28" i="2"/>
  <c r="C37" i="2"/>
  <c r="C33" i="2"/>
  <c r="C29" i="2"/>
  <c r="C35" i="2"/>
  <c r="C31" i="2"/>
  <c r="D34" i="2"/>
  <c r="D30" i="2"/>
  <c r="F9" i="2"/>
  <c r="G9" i="2" s="1"/>
  <c r="D27" i="2"/>
  <c r="F11" i="2"/>
  <c r="G11" i="2" s="1"/>
  <c r="F19" i="2"/>
  <c r="F12" i="2"/>
  <c r="G12" i="2" s="1"/>
  <c r="F16" i="2"/>
  <c r="G16" i="2" s="1"/>
  <c r="F15" i="2"/>
  <c r="G15" i="2" s="1"/>
  <c r="F13" i="2"/>
  <c r="G13" i="2" s="1"/>
  <c r="F17" i="2"/>
  <c r="G17" i="2" s="1"/>
  <c r="F10" i="2"/>
  <c r="G10" i="2" s="1"/>
  <c r="F14" i="2"/>
  <c r="G14" i="2" s="1"/>
  <c r="N17" i="1"/>
  <c r="O17" i="1"/>
  <c r="P17" i="1"/>
  <c r="Q17" i="1"/>
  <c r="R17" i="1"/>
  <c r="S17" i="1"/>
  <c r="T17" i="1"/>
  <c r="U17" i="1"/>
  <c r="V17" i="1"/>
  <c r="X17" i="1"/>
  <c r="N18" i="1"/>
  <c r="O18" i="1"/>
  <c r="P18" i="1"/>
  <c r="Q18" i="1"/>
  <c r="R18" i="1"/>
  <c r="S18" i="1"/>
  <c r="T18" i="1"/>
  <c r="U18" i="1"/>
  <c r="V18" i="1"/>
  <c r="X18" i="1"/>
  <c r="N19" i="1"/>
  <c r="O19" i="1"/>
  <c r="P19" i="1"/>
  <c r="Q19" i="1"/>
  <c r="R19" i="1"/>
  <c r="S19" i="1"/>
  <c r="T19" i="1"/>
  <c r="G19" i="1" s="1"/>
  <c r="U19" i="1"/>
  <c r="H19" i="1" s="1"/>
  <c r="V19" i="1"/>
  <c r="X19" i="1"/>
  <c r="J19" i="1" s="1"/>
  <c r="N20" i="1"/>
  <c r="O20" i="1"/>
  <c r="P20" i="1"/>
  <c r="Q20" i="1"/>
  <c r="R20" i="1"/>
  <c r="S20" i="1"/>
  <c r="T20" i="1"/>
  <c r="U20" i="1"/>
  <c r="V20" i="1"/>
  <c r="X20" i="1"/>
  <c r="N21" i="1"/>
  <c r="O21" i="1"/>
  <c r="P21" i="1"/>
  <c r="Q21" i="1"/>
  <c r="R21" i="1"/>
  <c r="S21" i="1"/>
  <c r="T21" i="1"/>
  <c r="U21" i="1"/>
  <c r="V21" i="1"/>
  <c r="X21" i="1"/>
  <c r="N22" i="1"/>
  <c r="O22" i="1"/>
  <c r="P22" i="1"/>
  <c r="Q22" i="1"/>
  <c r="R22" i="1"/>
  <c r="S22" i="1"/>
  <c r="T22" i="1"/>
  <c r="G22" i="1" s="1"/>
  <c r="U22" i="1"/>
  <c r="H22" i="1" s="1"/>
  <c r="V22" i="1"/>
  <c r="X22" i="1"/>
  <c r="J22" i="1" s="1"/>
  <c r="N23" i="1"/>
  <c r="O23" i="1"/>
  <c r="P23" i="1"/>
  <c r="Q23" i="1"/>
  <c r="R23" i="1"/>
  <c r="S23" i="1"/>
  <c r="T23" i="1"/>
  <c r="G23" i="1" s="1"/>
  <c r="U23" i="1"/>
  <c r="H23" i="1" s="1"/>
  <c r="V23" i="1"/>
  <c r="X23" i="1"/>
  <c r="J23" i="1" s="1"/>
  <c r="N24" i="1"/>
  <c r="O24" i="1"/>
  <c r="P24" i="1"/>
  <c r="Q24" i="1"/>
  <c r="R24" i="1"/>
  <c r="S24" i="1"/>
  <c r="T24" i="1"/>
  <c r="G24" i="1" s="1"/>
  <c r="U24" i="1"/>
  <c r="H24" i="1" s="1"/>
  <c r="V24" i="1"/>
  <c r="X24" i="1"/>
  <c r="J24" i="1" s="1"/>
  <c r="N25" i="1"/>
  <c r="O25" i="1"/>
  <c r="P25" i="1"/>
  <c r="Q25" i="1"/>
  <c r="R25" i="1"/>
  <c r="S25" i="1"/>
  <c r="T25" i="1"/>
  <c r="G25" i="1" s="1"/>
  <c r="U25" i="1"/>
  <c r="H25" i="1" s="1"/>
  <c r="V25" i="1"/>
  <c r="X25" i="1"/>
  <c r="J25" i="1" s="1"/>
  <c r="N26" i="1"/>
  <c r="O26" i="1"/>
  <c r="P26" i="1"/>
  <c r="Q26" i="1"/>
  <c r="R26" i="1"/>
  <c r="S26" i="1"/>
  <c r="T26" i="1"/>
  <c r="G26" i="1" s="1"/>
  <c r="U26" i="1"/>
  <c r="H26" i="1" s="1"/>
  <c r="V26" i="1"/>
  <c r="X26" i="1"/>
  <c r="J26" i="1" s="1"/>
  <c r="N27" i="1"/>
  <c r="O27" i="1"/>
  <c r="P27" i="1"/>
  <c r="Q27" i="1"/>
  <c r="R27" i="1"/>
  <c r="S27" i="1"/>
  <c r="T27" i="1"/>
  <c r="U27" i="1"/>
  <c r="V27" i="1"/>
  <c r="X27" i="1"/>
  <c r="N28" i="1"/>
  <c r="O28" i="1"/>
  <c r="P28" i="1"/>
  <c r="Q28" i="1"/>
  <c r="R28" i="1"/>
  <c r="S28" i="1"/>
  <c r="T28" i="1"/>
  <c r="G28" i="1" s="1"/>
  <c r="U28" i="1"/>
  <c r="H28" i="1" s="1"/>
  <c r="V28" i="1"/>
  <c r="X28" i="1"/>
  <c r="J28" i="1" s="1"/>
  <c r="N29" i="1"/>
  <c r="O29" i="1"/>
  <c r="P29" i="1"/>
  <c r="Q29" i="1"/>
  <c r="R29" i="1"/>
  <c r="S29" i="1"/>
  <c r="T29" i="1"/>
  <c r="G29" i="1" s="1"/>
  <c r="U29" i="1"/>
  <c r="H29" i="1" s="1"/>
  <c r="V29" i="1"/>
  <c r="X29" i="1"/>
  <c r="J29" i="1" s="1"/>
  <c r="N30" i="1"/>
  <c r="O30" i="1"/>
  <c r="P30" i="1"/>
  <c r="Q30" i="1"/>
  <c r="R30" i="1"/>
  <c r="S30" i="1"/>
  <c r="T30" i="1"/>
  <c r="G30" i="1" s="1"/>
  <c r="U30" i="1"/>
  <c r="H30" i="1" s="1"/>
  <c r="V30" i="1"/>
  <c r="X30" i="1"/>
  <c r="J30" i="1" s="1"/>
  <c r="N31" i="1"/>
  <c r="O31" i="1"/>
  <c r="P31" i="1"/>
  <c r="Q31" i="1"/>
  <c r="R31" i="1"/>
  <c r="S31" i="1"/>
  <c r="T31" i="1"/>
  <c r="G31" i="1" s="1"/>
  <c r="U31" i="1"/>
  <c r="H31" i="1" s="1"/>
  <c r="V31" i="1"/>
  <c r="X31" i="1"/>
  <c r="J31" i="1" s="1"/>
  <c r="N32" i="1"/>
  <c r="O32" i="1"/>
  <c r="P32" i="1"/>
  <c r="Q32" i="1"/>
  <c r="R32" i="1"/>
  <c r="S32" i="1"/>
  <c r="T32" i="1"/>
  <c r="G32" i="1" s="1"/>
  <c r="U32" i="1"/>
  <c r="H32" i="1" s="1"/>
  <c r="V32" i="1"/>
  <c r="X32" i="1"/>
  <c r="J32" i="1" s="1"/>
  <c r="N33" i="1"/>
  <c r="O33" i="1"/>
  <c r="P33" i="1"/>
  <c r="Q33" i="1"/>
  <c r="R33" i="1"/>
  <c r="S33" i="1"/>
  <c r="T33" i="1"/>
  <c r="G33" i="1" s="1"/>
  <c r="U33" i="1"/>
  <c r="H33" i="1" s="1"/>
  <c r="V33" i="1"/>
  <c r="X33" i="1"/>
  <c r="J33" i="1" s="1"/>
  <c r="N34" i="1"/>
  <c r="O34" i="1"/>
  <c r="P34" i="1"/>
  <c r="Q34" i="1"/>
  <c r="R34" i="1"/>
  <c r="S34" i="1"/>
  <c r="T34" i="1"/>
  <c r="G34" i="1" s="1"/>
  <c r="U34" i="1"/>
  <c r="H34" i="1" s="1"/>
  <c r="V34" i="1"/>
  <c r="X34" i="1"/>
  <c r="J34" i="1" s="1"/>
  <c r="N35" i="1"/>
  <c r="O35" i="1"/>
  <c r="P35" i="1"/>
  <c r="Q35" i="1"/>
  <c r="R35" i="1"/>
  <c r="S35" i="1"/>
  <c r="T35" i="1"/>
  <c r="G35" i="1" s="1"/>
  <c r="U35" i="1"/>
  <c r="H35" i="1" s="1"/>
  <c r="V35" i="1"/>
  <c r="X35" i="1"/>
  <c r="J35" i="1" s="1"/>
  <c r="N36" i="1"/>
  <c r="O36" i="1"/>
  <c r="P36" i="1"/>
  <c r="Q36" i="1"/>
  <c r="R36" i="1"/>
  <c r="S36" i="1"/>
  <c r="T36" i="1"/>
  <c r="G36" i="1" s="1"/>
  <c r="U36" i="1"/>
  <c r="H36" i="1" s="1"/>
  <c r="V36" i="1"/>
  <c r="X36" i="1"/>
  <c r="J36" i="1" s="1"/>
  <c r="N37" i="1"/>
  <c r="O37" i="1"/>
  <c r="P37" i="1"/>
  <c r="Q37" i="1"/>
  <c r="R37" i="1"/>
  <c r="S37" i="1"/>
  <c r="T37" i="1"/>
  <c r="G37" i="1" s="1"/>
  <c r="U37" i="1"/>
  <c r="H37" i="1" s="1"/>
  <c r="V37" i="1"/>
  <c r="X37" i="1"/>
  <c r="J37" i="1" s="1"/>
  <c r="N38" i="1"/>
  <c r="O38" i="1"/>
  <c r="P38" i="1"/>
  <c r="Q38" i="1"/>
  <c r="R38" i="1"/>
  <c r="S38" i="1"/>
  <c r="T38" i="1"/>
  <c r="G38" i="1" s="1"/>
  <c r="U38" i="1"/>
  <c r="H38" i="1" s="1"/>
  <c r="V38" i="1"/>
  <c r="X38" i="1"/>
  <c r="J38" i="1" s="1"/>
  <c r="N39" i="1"/>
  <c r="O39" i="1"/>
  <c r="P39" i="1"/>
  <c r="Q39" i="1"/>
  <c r="R39" i="1"/>
  <c r="S39" i="1"/>
  <c r="T39" i="1"/>
  <c r="G39" i="1" s="1"/>
  <c r="U39" i="1"/>
  <c r="H39" i="1" s="1"/>
  <c r="V39" i="1"/>
  <c r="X39" i="1"/>
  <c r="J39" i="1" s="1"/>
  <c r="N40" i="1"/>
  <c r="O40" i="1"/>
  <c r="P40" i="1"/>
  <c r="Q40" i="1"/>
  <c r="R40" i="1"/>
  <c r="S40" i="1"/>
  <c r="T40" i="1"/>
  <c r="G40" i="1" s="1"/>
  <c r="U40" i="1"/>
  <c r="H40" i="1" s="1"/>
  <c r="V40" i="1"/>
  <c r="X40" i="1"/>
  <c r="J40" i="1" s="1"/>
  <c r="N41" i="1"/>
  <c r="O41" i="1"/>
  <c r="P41" i="1"/>
  <c r="Q41" i="1"/>
  <c r="R41" i="1"/>
  <c r="S41" i="1"/>
  <c r="T41" i="1"/>
  <c r="G41" i="1" s="1"/>
  <c r="U41" i="1"/>
  <c r="H41" i="1" s="1"/>
  <c r="V41" i="1"/>
  <c r="X41" i="1"/>
  <c r="J41" i="1" s="1"/>
  <c r="N42" i="1"/>
  <c r="O42" i="1"/>
  <c r="P42" i="1"/>
  <c r="Q42" i="1"/>
  <c r="R42" i="1"/>
  <c r="S42" i="1"/>
  <c r="T42" i="1"/>
  <c r="G42" i="1" s="1"/>
  <c r="U42" i="1"/>
  <c r="H42" i="1" s="1"/>
  <c r="V42" i="1"/>
  <c r="X42" i="1"/>
  <c r="J42" i="1" s="1"/>
  <c r="N43" i="1"/>
  <c r="O43" i="1"/>
  <c r="P43" i="1"/>
  <c r="Q43" i="1"/>
  <c r="R43" i="1"/>
  <c r="S43" i="1"/>
  <c r="T43" i="1"/>
  <c r="G43" i="1" s="1"/>
  <c r="U43" i="1"/>
  <c r="H43" i="1" s="1"/>
  <c r="V43" i="1"/>
  <c r="X43" i="1"/>
  <c r="J43" i="1" s="1"/>
  <c r="N44" i="1"/>
  <c r="O44" i="1"/>
  <c r="P44" i="1"/>
  <c r="Q44" i="1"/>
  <c r="R44" i="1"/>
  <c r="S44" i="1"/>
  <c r="T44" i="1"/>
  <c r="G44" i="1" s="1"/>
  <c r="U44" i="1"/>
  <c r="H44" i="1" s="1"/>
  <c r="V44" i="1"/>
  <c r="X44" i="1"/>
  <c r="J44" i="1" s="1"/>
  <c r="N45" i="1"/>
  <c r="O45" i="1"/>
  <c r="P45" i="1"/>
  <c r="Q45" i="1"/>
  <c r="R45" i="1"/>
  <c r="S45" i="1"/>
  <c r="T45" i="1"/>
  <c r="G45" i="1" s="1"/>
  <c r="U45" i="1"/>
  <c r="H45" i="1" s="1"/>
  <c r="V45" i="1"/>
  <c r="X45" i="1"/>
  <c r="J45" i="1" s="1"/>
  <c r="N46" i="1"/>
  <c r="O46" i="1"/>
  <c r="P46" i="1"/>
  <c r="Q46" i="1"/>
  <c r="R46" i="1"/>
  <c r="S46" i="1"/>
  <c r="T46" i="1"/>
  <c r="G46" i="1" s="1"/>
  <c r="U46" i="1"/>
  <c r="H46" i="1" s="1"/>
  <c r="V46" i="1"/>
  <c r="X46" i="1"/>
  <c r="J46" i="1" s="1"/>
  <c r="N47" i="1"/>
  <c r="O47" i="1"/>
  <c r="P47" i="1"/>
  <c r="Q47" i="1"/>
  <c r="R47" i="1"/>
  <c r="S47" i="1"/>
  <c r="T47" i="1"/>
  <c r="G47" i="1" s="1"/>
  <c r="U47" i="1"/>
  <c r="H47" i="1" s="1"/>
  <c r="V47" i="1"/>
  <c r="X47" i="1"/>
  <c r="J47" i="1" s="1"/>
  <c r="N48" i="1"/>
  <c r="O48" i="1"/>
  <c r="P48" i="1"/>
  <c r="Q48" i="1"/>
  <c r="R48" i="1"/>
  <c r="S48" i="1"/>
  <c r="T48" i="1"/>
  <c r="G48" i="1" s="1"/>
  <c r="U48" i="1"/>
  <c r="H48" i="1" s="1"/>
  <c r="V48" i="1"/>
  <c r="X48" i="1"/>
  <c r="J48" i="1" s="1"/>
  <c r="N49" i="1"/>
  <c r="O49" i="1"/>
  <c r="P49" i="1"/>
  <c r="Q49" i="1"/>
  <c r="R49" i="1"/>
  <c r="S49" i="1"/>
  <c r="T49" i="1"/>
  <c r="G49" i="1" s="1"/>
  <c r="U49" i="1"/>
  <c r="H49" i="1" s="1"/>
  <c r="V49" i="1"/>
  <c r="X49" i="1"/>
  <c r="J49" i="1" s="1"/>
  <c r="N50" i="1"/>
  <c r="O50" i="1"/>
  <c r="P50" i="1"/>
  <c r="Q50" i="1"/>
  <c r="R50" i="1"/>
  <c r="S50" i="1"/>
  <c r="T50" i="1"/>
  <c r="G50" i="1" s="1"/>
  <c r="U50" i="1"/>
  <c r="H50" i="1" s="1"/>
  <c r="V50" i="1"/>
  <c r="X50" i="1"/>
  <c r="J50" i="1" s="1"/>
  <c r="N51" i="1"/>
  <c r="O51" i="1"/>
  <c r="P51" i="1"/>
  <c r="Q51" i="1"/>
  <c r="R51" i="1"/>
  <c r="S51" i="1"/>
  <c r="T51" i="1"/>
  <c r="G51" i="1" s="1"/>
  <c r="U51" i="1"/>
  <c r="H51" i="1" s="1"/>
  <c r="V51" i="1"/>
  <c r="X51" i="1"/>
  <c r="J51" i="1" s="1"/>
  <c r="N52" i="1"/>
  <c r="O52" i="1"/>
  <c r="P52" i="1"/>
  <c r="Q52" i="1"/>
  <c r="R52" i="1"/>
  <c r="S52" i="1"/>
  <c r="T52" i="1"/>
  <c r="G52" i="1" s="1"/>
  <c r="U52" i="1"/>
  <c r="H52" i="1" s="1"/>
  <c r="V52" i="1"/>
  <c r="X52" i="1"/>
  <c r="J52" i="1" s="1"/>
  <c r="N53" i="1"/>
  <c r="O53" i="1"/>
  <c r="P53" i="1"/>
  <c r="Q53" i="1"/>
  <c r="R53" i="1"/>
  <c r="S53" i="1"/>
  <c r="T53" i="1"/>
  <c r="G53" i="1" s="1"/>
  <c r="U53" i="1"/>
  <c r="H53" i="1" s="1"/>
  <c r="V53" i="1"/>
  <c r="X53" i="1"/>
  <c r="J53" i="1" s="1"/>
  <c r="N54" i="1"/>
  <c r="O54" i="1"/>
  <c r="P54" i="1"/>
  <c r="Q54" i="1"/>
  <c r="R54" i="1"/>
  <c r="S54" i="1"/>
  <c r="T54" i="1"/>
  <c r="G54" i="1" s="1"/>
  <c r="U54" i="1"/>
  <c r="H54" i="1" s="1"/>
  <c r="V54" i="1"/>
  <c r="X54" i="1"/>
  <c r="J54" i="1" s="1"/>
  <c r="N55" i="1"/>
  <c r="O55" i="1"/>
  <c r="P55" i="1"/>
  <c r="Q55" i="1"/>
  <c r="R55" i="1"/>
  <c r="S55" i="1"/>
  <c r="T55" i="1"/>
  <c r="G55" i="1" s="1"/>
  <c r="U55" i="1"/>
  <c r="H55" i="1" s="1"/>
  <c r="V55" i="1"/>
  <c r="X55" i="1"/>
  <c r="J55" i="1" s="1"/>
  <c r="N56" i="1"/>
  <c r="O56" i="1"/>
  <c r="P56" i="1"/>
  <c r="Q56" i="1"/>
  <c r="R56" i="1"/>
  <c r="S56" i="1"/>
  <c r="T56" i="1"/>
  <c r="G56" i="1" s="1"/>
  <c r="U56" i="1"/>
  <c r="H56" i="1" s="1"/>
  <c r="V56" i="1"/>
  <c r="X56" i="1"/>
  <c r="J56" i="1" s="1"/>
  <c r="N57" i="1"/>
  <c r="O57" i="1"/>
  <c r="P57" i="1"/>
  <c r="Q57" i="1"/>
  <c r="R57" i="1"/>
  <c r="S57" i="1"/>
  <c r="T57" i="1"/>
  <c r="G57" i="1" s="1"/>
  <c r="U57" i="1"/>
  <c r="H57" i="1" s="1"/>
  <c r="V57" i="1"/>
  <c r="X57" i="1"/>
  <c r="J57" i="1" s="1"/>
  <c r="N58" i="1"/>
  <c r="O58" i="1"/>
  <c r="P58" i="1"/>
  <c r="Q58" i="1"/>
  <c r="R58" i="1"/>
  <c r="S58" i="1"/>
  <c r="T58" i="1"/>
  <c r="G58" i="1" s="1"/>
  <c r="U58" i="1"/>
  <c r="H58" i="1" s="1"/>
  <c r="V58" i="1"/>
  <c r="X58" i="1"/>
  <c r="J58" i="1" s="1"/>
  <c r="N59" i="1"/>
  <c r="O59" i="1"/>
  <c r="P59" i="1"/>
  <c r="Q59" i="1"/>
  <c r="R59" i="1"/>
  <c r="S59" i="1"/>
  <c r="T59" i="1"/>
  <c r="G59" i="1" s="1"/>
  <c r="U59" i="1"/>
  <c r="H59" i="1" s="1"/>
  <c r="V59" i="1"/>
  <c r="X59" i="1"/>
  <c r="J59" i="1" s="1"/>
  <c r="N60" i="1"/>
  <c r="O60" i="1"/>
  <c r="P60" i="1"/>
  <c r="Q60" i="1"/>
  <c r="R60" i="1"/>
  <c r="S60" i="1"/>
  <c r="T60" i="1"/>
  <c r="G60" i="1" s="1"/>
  <c r="U60" i="1"/>
  <c r="H60" i="1" s="1"/>
  <c r="V60" i="1"/>
  <c r="X60" i="1"/>
  <c r="J60" i="1" s="1"/>
  <c r="N61" i="1"/>
  <c r="O61" i="1"/>
  <c r="P61" i="1"/>
  <c r="Q61" i="1"/>
  <c r="R61" i="1"/>
  <c r="S61" i="1"/>
  <c r="T61" i="1"/>
  <c r="G61" i="1" s="1"/>
  <c r="U61" i="1"/>
  <c r="H61" i="1" s="1"/>
  <c r="V61" i="1"/>
  <c r="X61" i="1"/>
  <c r="J61" i="1" s="1"/>
  <c r="N62" i="1"/>
  <c r="O62" i="1"/>
  <c r="P62" i="1"/>
  <c r="Q62" i="1"/>
  <c r="R62" i="1"/>
  <c r="S62" i="1"/>
  <c r="T62" i="1"/>
  <c r="G62" i="1" s="1"/>
  <c r="U62" i="1"/>
  <c r="H62" i="1" s="1"/>
  <c r="V62" i="1"/>
  <c r="X62" i="1"/>
  <c r="J62" i="1" s="1"/>
  <c r="N63" i="1"/>
  <c r="O63" i="1"/>
  <c r="P63" i="1"/>
  <c r="Q63" i="1"/>
  <c r="R63" i="1"/>
  <c r="S63" i="1"/>
  <c r="T63" i="1"/>
  <c r="G63" i="1" s="1"/>
  <c r="U63" i="1"/>
  <c r="H63" i="1" s="1"/>
  <c r="V63" i="1"/>
  <c r="X63" i="1"/>
  <c r="J63" i="1" s="1"/>
  <c r="N64" i="1"/>
  <c r="O64" i="1"/>
  <c r="P64" i="1"/>
  <c r="Q64" i="1"/>
  <c r="R64" i="1"/>
  <c r="S64" i="1"/>
  <c r="T64" i="1"/>
  <c r="G64" i="1" s="1"/>
  <c r="U64" i="1"/>
  <c r="H64" i="1" s="1"/>
  <c r="V64" i="1"/>
  <c r="X64" i="1"/>
  <c r="J64" i="1" s="1"/>
  <c r="N65" i="1"/>
  <c r="O65" i="1"/>
  <c r="P65" i="1"/>
  <c r="Q65" i="1"/>
  <c r="R65" i="1"/>
  <c r="S65" i="1"/>
  <c r="T65" i="1"/>
  <c r="G65" i="1" s="1"/>
  <c r="U65" i="1"/>
  <c r="H65" i="1" s="1"/>
  <c r="V65" i="1"/>
  <c r="X65" i="1"/>
  <c r="J65" i="1" s="1"/>
  <c r="N66" i="1"/>
  <c r="O66" i="1"/>
  <c r="P66" i="1"/>
  <c r="Q66" i="1"/>
  <c r="R66" i="1"/>
  <c r="S66" i="1"/>
  <c r="T66" i="1"/>
  <c r="G66" i="1" s="1"/>
  <c r="U66" i="1"/>
  <c r="H66" i="1" s="1"/>
  <c r="V66" i="1"/>
  <c r="X66" i="1"/>
  <c r="J66" i="1" s="1"/>
  <c r="N67" i="1"/>
  <c r="O67" i="1"/>
  <c r="P67" i="1"/>
  <c r="Q67" i="1"/>
  <c r="R67" i="1"/>
  <c r="S67" i="1"/>
  <c r="T67" i="1"/>
  <c r="G67" i="1" s="1"/>
  <c r="U67" i="1"/>
  <c r="H67" i="1" s="1"/>
  <c r="V67" i="1"/>
  <c r="X67" i="1"/>
  <c r="J67" i="1" s="1"/>
  <c r="N68" i="1"/>
  <c r="O68" i="1"/>
  <c r="P68" i="1"/>
  <c r="Q68" i="1"/>
  <c r="R68" i="1"/>
  <c r="S68" i="1"/>
  <c r="T68" i="1"/>
  <c r="G68" i="1" s="1"/>
  <c r="U68" i="1"/>
  <c r="H68" i="1" s="1"/>
  <c r="V68" i="1"/>
  <c r="X68" i="1"/>
  <c r="J68" i="1" s="1"/>
  <c r="N69" i="1"/>
  <c r="O69" i="1"/>
  <c r="P69" i="1"/>
  <c r="Q69" i="1"/>
  <c r="R69" i="1"/>
  <c r="S69" i="1"/>
  <c r="T69" i="1"/>
  <c r="G69" i="1" s="1"/>
  <c r="U69" i="1"/>
  <c r="H69" i="1" s="1"/>
  <c r="V69" i="1"/>
  <c r="X69" i="1"/>
  <c r="J69" i="1" s="1"/>
  <c r="N70" i="1"/>
  <c r="O70" i="1"/>
  <c r="P70" i="1"/>
  <c r="Q70" i="1"/>
  <c r="R70" i="1"/>
  <c r="S70" i="1"/>
  <c r="T70" i="1"/>
  <c r="G70" i="1" s="1"/>
  <c r="U70" i="1"/>
  <c r="H70" i="1" s="1"/>
  <c r="V70" i="1"/>
  <c r="X70" i="1"/>
  <c r="J70" i="1" s="1"/>
  <c r="N71" i="1"/>
  <c r="O71" i="1"/>
  <c r="P71" i="1"/>
  <c r="Q71" i="1"/>
  <c r="R71" i="1"/>
  <c r="S71" i="1"/>
  <c r="T71" i="1"/>
  <c r="G71" i="1" s="1"/>
  <c r="U71" i="1"/>
  <c r="H71" i="1" s="1"/>
  <c r="V71" i="1"/>
  <c r="X71" i="1"/>
  <c r="J71" i="1" s="1"/>
  <c r="N72" i="1"/>
  <c r="O72" i="1"/>
  <c r="P72" i="1"/>
  <c r="Q72" i="1"/>
  <c r="R72" i="1"/>
  <c r="S72" i="1"/>
  <c r="T72" i="1"/>
  <c r="G72" i="1" s="1"/>
  <c r="U72" i="1"/>
  <c r="H72" i="1" s="1"/>
  <c r="V72" i="1"/>
  <c r="X72" i="1"/>
  <c r="J72" i="1" s="1"/>
  <c r="N73" i="1"/>
  <c r="O73" i="1"/>
  <c r="P73" i="1"/>
  <c r="Q73" i="1"/>
  <c r="R73" i="1"/>
  <c r="S73" i="1"/>
  <c r="T73" i="1"/>
  <c r="G73" i="1" s="1"/>
  <c r="U73" i="1"/>
  <c r="H73" i="1" s="1"/>
  <c r="V73" i="1"/>
  <c r="X73" i="1"/>
  <c r="J73" i="1" s="1"/>
  <c r="N74" i="1"/>
  <c r="O74" i="1"/>
  <c r="P74" i="1"/>
  <c r="Q74" i="1"/>
  <c r="R74" i="1"/>
  <c r="S74" i="1"/>
  <c r="T74" i="1"/>
  <c r="G74" i="1" s="1"/>
  <c r="U74" i="1"/>
  <c r="H74" i="1" s="1"/>
  <c r="V74" i="1"/>
  <c r="X74" i="1"/>
  <c r="J74" i="1" s="1"/>
  <c r="N75" i="1"/>
  <c r="O75" i="1"/>
  <c r="P75" i="1"/>
  <c r="Q75" i="1"/>
  <c r="R75" i="1"/>
  <c r="S75" i="1"/>
  <c r="T75" i="1"/>
  <c r="G75" i="1" s="1"/>
  <c r="U75" i="1"/>
  <c r="H75" i="1" s="1"/>
  <c r="V75" i="1"/>
  <c r="X75" i="1"/>
  <c r="J75" i="1" s="1"/>
  <c r="N76" i="1"/>
  <c r="O76" i="1"/>
  <c r="P76" i="1"/>
  <c r="Q76" i="1"/>
  <c r="R76" i="1"/>
  <c r="S76" i="1"/>
  <c r="T76" i="1"/>
  <c r="G76" i="1" s="1"/>
  <c r="U76" i="1"/>
  <c r="H76" i="1" s="1"/>
  <c r="V76" i="1"/>
  <c r="X76" i="1"/>
  <c r="J76" i="1" s="1"/>
  <c r="N77" i="1"/>
  <c r="O77" i="1"/>
  <c r="P77" i="1"/>
  <c r="Q77" i="1"/>
  <c r="R77" i="1"/>
  <c r="S77" i="1"/>
  <c r="T77" i="1"/>
  <c r="G77" i="1" s="1"/>
  <c r="U77" i="1"/>
  <c r="H77" i="1" s="1"/>
  <c r="V77" i="1"/>
  <c r="X77" i="1"/>
  <c r="J77" i="1" s="1"/>
  <c r="N78" i="1"/>
  <c r="O78" i="1"/>
  <c r="P78" i="1"/>
  <c r="Q78" i="1"/>
  <c r="R78" i="1"/>
  <c r="S78" i="1"/>
  <c r="T78" i="1"/>
  <c r="G78" i="1" s="1"/>
  <c r="U78" i="1"/>
  <c r="H78" i="1" s="1"/>
  <c r="V78" i="1"/>
  <c r="X78" i="1"/>
  <c r="J78" i="1" s="1"/>
  <c r="N79" i="1"/>
  <c r="O79" i="1"/>
  <c r="P79" i="1"/>
  <c r="Q79" i="1"/>
  <c r="R79" i="1"/>
  <c r="S79" i="1"/>
  <c r="T79" i="1"/>
  <c r="G79" i="1" s="1"/>
  <c r="U79" i="1"/>
  <c r="H79" i="1" s="1"/>
  <c r="V79" i="1"/>
  <c r="X79" i="1"/>
  <c r="J79" i="1" s="1"/>
  <c r="N80" i="1"/>
  <c r="O80" i="1"/>
  <c r="P80" i="1"/>
  <c r="Q80" i="1"/>
  <c r="R80" i="1"/>
  <c r="S80" i="1"/>
  <c r="T80" i="1"/>
  <c r="G80" i="1" s="1"/>
  <c r="U80" i="1"/>
  <c r="H80" i="1" s="1"/>
  <c r="V80" i="1"/>
  <c r="X80" i="1"/>
  <c r="J80" i="1" s="1"/>
  <c r="N81" i="1"/>
  <c r="O81" i="1"/>
  <c r="P81" i="1"/>
  <c r="Q81" i="1"/>
  <c r="R81" i="1"/>
  <c r="S81" i="1"/>
  <c r="T81" i="1"/>
  <c r="G81" i="1" s="1"/>
  <c r="U81" i="1"/>
  <c r="H81" i="1" s="1"/>
  <c r="V81" i="1"/>
  <c r="X81" i="1"/>
  <c r="J81" i="1" s="1"/>
  <c r="N82" i="1"/>
  <c r="O82" i="1"/>
  <c r="P82" i="1"/>
  <c r="Q82" i="1"/>
  <c r="R82" i="1"/>
  <c r="S82" i="1"/>
  <c r="T82" i="1"/>
  <c r="G82" i="1" s="1"/>
  <c r="U82" i="1"/>
  <c r="H82" i="1" s="1"/>
  <c r="V82" i="1"/>
  <c r="X82" i="1"/>
  <c r="J82" i="1" s="1"/>
  <c r="N83" i="1"/>
  <c r="O83" i="1"/>
  <c r="P83" i="1"/>
  <c r="Q83" i="1"/>
  <c r="R83" i="1"/>
  <c r="S83" i="1"/>
  <c r="T83" i="1"/>
  <c r="G83" i="1" s="1"/>
  <c r="U83" i="1"/>
  <c r="H83" i="1" s="1"/>
  <c r="V83" i="1"/>
  <c r="X83" i="1"/>
  <c r="J83" i="1" s="1"/>
  <c r="N84" i="1"/>
  <c r="O84" i="1"/>
  <c r="P84" i="1"/>
  <c r="Q84" i="1"/>
  <c r="R84" i="1"/>
  <c r="S84" i="1"/>
  <c r="T84" i="1"/>
  <c r="G84" i="1" s="1"/>
  <c r="U84" i="1"/>
  <c r="H84" i="1" s="1"/>
  <c r="V84" i="1"/>
  <c r="X84" i="1"/>
  <c r="J84" i="1" s="1"/>
  <c r="N85" i="1"/>
  <c r="O85" i="1"/>
  <c r="P85" i="1"/>
  <c r="Q85" i="1"/>
  <c r="R85" i="1"/>
  <c r="S85" i="1"/>
  <c r="T85" i="1"/>
  <c r="G85" i="1" s="1"/>
  <c r="U85" i="1"/>
  <c r="H85" i="1" s="1"/>
  <c r="V85" i="1"/>
  <c r="X85" i="1"/>
  <c r="J85" i="1" s="1"/>
  <c r="N86" i="1"/>
  <c r="O86" i="1"/>
  <c r="P86" i="1"/>
  <c r="Q86" i="1"/>
  <c r="R86" i="1"/>
  <c r="S86" i="1"/>
  <c r="T86" i="1"/>
  <c r="G86" i="1" s="1"/>
  <c r="U86" i="1"/>
  <c r="H86" i="1" s="1"/>
  <c r="V86" i="1"/>
  <c r="X86" i="1"/>
  <c r="J86" i="1" s="1"/>
  <c r="N87" i="1"/>
  <c r="O87" i="1"/>
  <c r="P87" i="1"/>
  <c r="Q87" i="1"/>
  <c r="R87" i="1"/>
  <c r="S87" i="1"/>
  <c r="T87" i="1"/>
  <c r="G87" i="1" s="1"/>
  <c r="U87" i="1"/>
  <c r="H87" i="1" s="1"/>
  <c r="V87" i="1"/>
  <c r="X87" i="1"/>
  <c r="J87" i="1" s="1"/>
  <c r="N88" i="1"/>
  <c r="O88" i="1"/>
  <c r="P88" i="1"/>
  <c r="Q88" i="1"/>
  <c r="R88" i="1"/>
  <c r="S88" i="1"/>
  <c r="T88" i="1"/>
  <c r="G88" i="1" s="1"/>
  <c r="U88" i="1"/>
  <c r="H88" i="1" s="1"/>
  <c r="V88" i="1"/>
  <c r="X88" i="1"/>
  <c r="J88" i="1" s="1"/>
  <c r="N89" i="1"/>
  <c r="O89" i="1"/>
  <c r="P89" i="1"/>
  <c r="Q89" i="1"/>
  <c r="R89" i="1"/>
  <c r="S89" i="1"/>
  <c r="T89" i="1"/>
  <c r="G89" i="1" s="1"/>
  <c r="U89" i="1"/>
  <c r="H89" i="1" s="1"/>
  <c r="V89" i="1"/>
  <c r="X89" i="1"/>
  <c r="J89" i="1" s="1"/>
  <c r="N90" i="1"/>
  <c r="O90" i="1"/>
  <c r="P90" i="1"/>
  <c r="Q90" i="1"/>
  <c r="R90" i="1"/>
  <c r="S90" i="1"/>
  <c r="T90" i="1"/>
  <c r="G90" i="1" s="1"/>
  <c r="U90" i="1"/>
  <c r="H90" i="1" s="1"/>
  <c r="V90" i="1"/>
  <c r="X90" i="1"/>
  <c r="J90" i="1" s="1"/>
  <c r="N91" i="1"/>
  <c r="O91" i="1"/>
  <c r="P91" i="1"/>
  <c r="Q91" i="1"/>
  <c r="R91" i="1"/>
  <c r="S91" i="1"/>
  <c r="T91" i="1"/>
  <c r="G91" i="1" s="1"/>
  <c r="U91" i="1"/>
  <c r="H91" i="1" s="1"/>
  <c r="V91" i="1"/>
  <c r="X91" i="1"/>
  <c r="J91" i="1" s="1"/>
  <c r="N92" i="1"/>
  <c r="O92" i="1"/>
  <c r="P92" i="1"/>
  <c r="Q92" i="1"/>
  <c r="R92" i="1"/>
  <c r="S92" i="1"/>
  <c r="T92" i="1"/>
  <c r="G92" i="1" s="1"/>
  <c r="U92" i="1"/>
  <c r="H92" i="1" s="1"/>
  <c r="V92" i="1"/>
  <c r="X92" i="1"/>
  <c r="J92" i="1" s="1"/>
  <c r="N93" i="1"/>
  <c r="O93" i="1"/>
  <c r="P93" i="1"/>
  <c r="Q93" i="1"/>
  <c r="R93" i="1"/>
  <c r="S93" i="1"/>
  <c r="T93" i="1"/>
  <c r="G93" i="1" s="1"/>
  <c r="U93" i="1"/>
  <c r="H93" i="1" s="1"/>
  <c r="V93" i="1"/>
  <c r="X93" i="1"/>
  <c r="J93" i="1" s="1"/>
  <c r="N94" i="1"/>
  <c r="O94" i="1"/>
  <c r="P94" i="1"/>
  <c r="Q94" i="1"/>
  <c r="R94" i="1"/>
  <c r="S94" i="1"/>
  <c r="T94" i="1"/>
  <c r="G94" i="1" s="1"/>
  <c r="U94" i="1"/>
  <c r="H94" i="1" s="1"/>
  <c r="V94" i="1"/>
  <c r="X94" i="1"/>
  <c r="J94" i="1" s="1"/>
  <c r="N95" i="1"/>
  <c r="O95" i="1"/>
  <c r="P95" i="1"/>
  <c r="Q95" i="1"/>
  <c r="R95" i="1"/>
  <c r="S95" i="1"/>
  <c r="T95" i="1"/>
  <c r="G95" i="1" s="1"/>
  <c r="U95" i="1"/>
  <c r="H95" i="1" s="1"/>
  <c r="V95" i="1"/>
  <c r="X95" i="1"/>
  <c r="J95" i="1" s="1"/>
  <c r="N96" i="1"/>
  <c r="O96" i="1"/>
  <c r="P96" i="1"/>
  <c r="Q96" i="1"/>
  <c r="R96" i="1"/>
  <c r="S96" i="1"/>
  <c r="T96" i="1"/>
  <c r="G96" i="1" s="1"/>
  <c r="U96" i="1"/>
  <c r="H96" i="1" s="1"/>
  <c r="V96" i="1"/>
  <c r="X96" i="1"/>
  <c r="J96" i="1" s="1"/>
  <c r="N97" i="1"/>
  <c r="O97" i="1"/>
  <c r="P97" i="1"/>
  <c r="Q97" i="1"/>
  <c r="R97" i="1"/>
  <c r="S97" i="1"/>
  <c r="T97" i="1"/>
  <c r="G97" i="1" s="1"/>
  <c r="U97" i="1"/>
  <c r="H97" i="1" s="1"/>
  <c r="V97" i="1"/>
  <c r="X97" i="1"/>
  <c r="J97" i="1" s="1"/>
  <c r="N98" i="1"/>
  <c r="O98" i="1"/>
  <c r="P98" i="1"/>
  <c r="Q98" i="1"/>
  <c r="R98" i="1"/>
  <c r="S98" i="1"/>
  <c r="T98" i="1"/>
  <c r="G98" i="1" s="1"/>
  <c r="U98" i="1"/>
  <c r="H98" i="1" s="1"/>
  <c r="V98" i="1"/>
  <c r="X98" i="1"/>
  <c r="J98" i="1" s="1"/>
  <c r="N99" i="1"/>
  <c r="O99" i="1"/>
  <c r="P99" i="1"/>
  <c r="Q99" i="1"/>
  <c r="R99" i="1"/>
  <c r="S99" i="1"/>
  <c r="T99" i="1"/>
  <c r="G99" i="1" s="1"/>
  <c r="U99" i="1"/>
  <c r="H99" i="1" s="1"/>
  <c r="V99" i="1"/>
  <c r="X99" i="1"/>
  <c r="J99" i="1" s="1"/>
  <c r="N100" i="1"/>
  <c r="O100" i="1"/>
  <c r="P100" i="1"/>
  <c r="Q100" i="1"/>
  <c r="R100" i="1"/>
  <c r="S100" i="1"/>
  <c r="T100" i="1"/>
  <c r="G100" i="1" s="1"/>
  <c r="U100" i="1"/>
  <c r="H100" i="1" s="1"/>
  <c r="V100" i="1"/>
  <c r="X100" i="1"/>
  <c r="J100" i="1" s="1"/>
  <c r="N101" i="1"/>
  <c r="O101" i="1"/>
  <c r="P101" i="1"/>
  <c r="Q101" i="1"/>
  <c r="R101" i="1"/>
  <c r="S101" i="1"/>
  <c r="T101" i="1"/>
  <c r="G101" i="1" s="1"/>
  <c r="U101" i="1"/>
  <c r="H101" i="1" s="1"/>
  <c r="V101" i="1"/>
  <c r="X101" i="1"/>
  <c r="J101" i="1" s="1"/>
  <c r="N102" i="1"/>
  <c r="O102" i="1"/>
  <c r="P102" i="1"/>
  <c r="Q102" i="1"/>
  <c r="R102" i="1"/>
  <c r="S102" i="1"/>
  <c r="T102" i="1"/>
  <c r="G102" i="1" s="1"/>
  <c r="U102" i="1"/>
  <c r="H102" i="1" s="1"/>
  <c r="V102" i="1"/>
  <c r="X102" i="1"/>
  <c r="J102" i="1" s="1"/>
  <c r="N103" i="1"/>
  <c r="O103" i="1"/>
  <c r="P103" i="1"/>
  <c r="Q103" i="1"/>
  <c r="R103" i="1"/>
  <c r="S103" i="1"/>
  <c r="T103" i="1"/>
  <c r="G103" i="1" s="1"/>
  <c r="U103" i="1"/>
  <c r="H103" i="1" s="1"/>
  <c r="V103" i="1"/>
  <c r="X103" i="1"/>
  <c r="J103" i="1" s="1"/>
  <c r="N104" i="1"/>
  <c r="O104" i="1"/>
  <c r="P104" i="1"/>
  <c r="Q104" i="1"/>
  <c r="R104" i="1"/>
  <c r="S104" i="1"/>
  <c r="T104" i="1"/>
  <c r="G104" i="1" s="1"/>
  <c r="U104" i="1"/>
  <c r="H104" i="1" s="1"/>
  <c r="V104" i="1"/>
  <c r="X104" i="1"/>
  <c r="J104" i="1" s="1"/>
  <c r="N105" i="1"/>
  <c r="O105" i="1"/>
  <c r="P105" i="1"/>
  <c r="Q105" i="1"/>
  <c r="R105" i="1"/>
  <c r="S105" i="1"/>
  <c r="T105" i="1"/>
  <c r="G105" i="1" s="1"/>
  <c r="U105" i="1"/>
  <c r="H105" i="1" s="1"/>
  <c r="V105" i="1"/>
  <c r="X105" i="1"/>
  <c r="J105" i="1" s="1"/>
  <c r="N106" i="1"/>
  <c r="O106" i="1"/>
  <c r="P106" i="1"/>
  <c r="Q106" i="1"/>
  <c r="R106" i="1"/>
  <c r="S106" i="1"/>
  <c r="T106" i="1"/>
  <c r="G106" i="1" s="1"/>
  <c r="U106" i="1"/>
  <c r="H106" i="1" s="1"/>
  <c r="V106" i="1"/>
  <c r="X106" i="1"/>
  <c r="J106" i="1" s="1"/>
  <c r="N107" i="1"/>
  <c r="O107" i="1"/>
  <c r="P107" i="1"/>
  <c r="Q107" i="1"/>
  <c r="R107" i="1"/>
  <c r="S107" i="1"/>
  <c r="T107" i="1"/>
  <c r="G107" i="1" s="1"/>
  <c r="U107" i="1"/>
  <c r="H107" i="1" s="1"/>
  <c r="V107" i="1"/>
  <c r="X107" i="1"/>
  <c r="J107" i="1" s="1"/>
  <c r="N108" i="1"/>
  <c r="O108" i="1"/>
  <c r="P108" i="1"/>
  <c r="Q108" i="1"/>
  <c r="R108" i="1"/>
  <c r="S108" i="1"/>
  <c r="T108" i="1"/>
  <c r="G108" i="1" s="1"/>
  <c r="U108" i="1"/>
  <c r="H108" i="1" s="1"/>
  <c r="V108" i="1"/>
  <c r="X108" i="1"/>
  <c r="J108" i="1" s="1"/>
  <c r="N109" i="1"/>
  <c r="O109" i="1"/>
  <c r="P109" i="1"/>
  <c r="Q109" i="1"/>
  <c r="R109" i="1"/>
  <c r="S109" i="1"/>
  <c r="T109" i="1"/>
  <c r="G109" i="1" s="1"/>
  <c r="U109" i="1"/>
  <c r="H109" i="1" s="1"/>
  <c r="V109" i="1"/>
  <c r="X109" i="1"/>
  <c r="J109" i="1" s="1"/>
  <c r="N110" i="1"/>
  <c r="O110" i="1"/>
  <c r="P110" i="1"/>
  <c r="Q110" i="1"/>
  <c r="R110" i="1"/>
  <c r="S110" i="1"/>
  <c r="T110" i="1"/>
  <c r="G110" i="1" s="1"/>
  <c r="U110" i="1"/>
  <c r="H110" i="1" s="1"/>
  <c r="V110" i="1"/>
  <c r="X110" i="1"/>
  <c r="J110" i="1" s="1"/>
  <c r="N111" i="1"/>
  <c r="O111" i="1"/>
  <c r="P111" i="1"/>
  <c r="Q111" i="1"/>
  <c r="R111" i="1"/>
  <c r="S111" i="1"/>
  <c r="T111" i="1"/>
  <c r="G111" i="1" s="1"/>
  <c r="U111" i="1"/>
  <c r="H111" i="1" s="1"/>
  <c r="V111" i="1"/>
  <c r="X111" i="1"/>
  <c r="J111" i="1" s="1"/>
  <c r="N112" i="1"/>
  <c r="O112" i="1"/>
  <c r="P112" i="1"/>
  <c r="Q112" i="1"/>
  <c r="R112" i="1"/>
  <c r="S112" i="1"/>
  <c r="T112" i="1"/>
  <c r="G112" i="1" s="1"/>
  <c r="U112" i="1"/>
  <c r="H112" i="1" s="1"/>
  <c r="V112" i="1"/>
  <c r="X112" i="1"/>
  <c r="J112" i="1" s="1"/>
  <c r="N113" i="1"/>
  <c r="O113" i="1"/>
  <c r="P113" i="1"/>
  <c r="Q113" i="1"/>
  <c r="R113" i="1"/>
  <c r="S113" i="1"/>
  <c r="T113" i="1"/>
  <c r="G113" i="1" s="1"/>
  <c r="U113" i="1"/>
  <c r="H113" i="1" s="1"/>
  <c r="V113" i="1"/>
  <c r="X113" i="1"/>
  <c r="J113" i="1" s="1"/>
  <c r="N114" i="1"/>
  <c r="O114" i="1"/>
  <c r="P114" i="1"/>
  <c r="Q114" i="1"/>
  <c r="R114" i="1"/>
  <c r="S114" i="1"/>
  <c r="T114" i="1"/>
  <c r="G114" i="1" s="1"/>
  <c r="U114" i="1"/>
  <c r="H114" i="1" s="1"/>
  <c r="V114" i="1"/>
  <c r="X114" i="1"/>
  <c r="J114" i="1" s="1"/>
  <c r="N115" i="1"/>
  <c r="O115" i="1"/>
  <c r="P115" i="1"/>
  <c r="Q115" i="1"/>
  <c r="R115" i="1"/>
  <c r="S115" i="1"/>
  <c r="T115" i="1"/>
  <c r="G115" i="1" s="1"/>
  <c r="U115" i="1"/>
  <c r="H115" i="1" s="1"/>
  <c r="V115" i="1"/>
  <c r="X115" i="1"/>
  <c r="J115" i="1" s="1"/>
  <c r="N116" i="1"/>
  <c r="O116" i="1"/>
  <c r="P116" i="1"/>
  <c r="Q116" i="1"/>
  <c r="R116" i="1"/>
  <c r="S116" i="1"/>
  <c r="T116" i="1"/>
  <c r="G116" i="1" s="1"/>
  <c r="U116" i="1"/>
  <c r="H116" i="1" s="1"/>
  <c r="V116" i="1"/>
  <c r="X116" i="1"/>
  <c r="J116" i="1" s="1"/>
  <c r="N117" i="1"/>
  <c r="O117" i="1"/>
  <c r="P117" i="1"/>
  <c r="Q117" i="1"/>
  <c r="R117" i="1"/>
  <c r="S117" i="1"/>
  <c r="T117" i="1"/>
  <c r="G117" i="1" s="1"/>
  <c r="U117" i="1"/>
  <c r="H117" i="1" s="1"/>
  <c r="V117" i="1"/>
  <c r="X117" i="1"/>
  <c r="J117" i="1" s="1"/>
  <c r="N118" i="1"/>
  <c r="O118" i="1"/>
  <c r="P118" i="1"/>
  <c r="Q118" i="1"/>
  <c r="R118" i="1"/>
  <c r="S118" i="1"/>
  <c r="T118" i="1"/>
  <c r="G118" i="1" s="1"/>
  <c r="U118" i="1"/>
  <c r="H118" i="1" s="1"/>
  <c r="V118" i="1"/>
  <c r="X118" i="1"/>
  <c r="J118" i="1" s="1"/>
  <c r="N119" i="1"/>
  <c r="O119" i="1"/>
  <c r="P119" i="1"/>
  <c r="Q119" i="1"/>
  <c r="R119" i="1"/>
  <c r="S119" i="1"/>
  <c r="T119" i="1"/>
  <c r="G119" i="1" s="1"/>
  <c r="U119" i="1"/>
  <c r="H119" i="1" s="1"/>
  <c r="V119" i="1"/>
  <c r="X119" i="1"/>
  <c r="J119" i="1" s="1"/>
  <c r="N120" i="1"/>
  <c r="O120" i="1"/>
  <c r="P120" i="1"/>
  <c r="Q120" i="1"/>
  <c r="R120" i="1"/>
  <c r="S120" i="1"/>
  <c r="T120" i="1"/>
  <c r="G120" i="1" s="1"/>
  <c r="U120" i="1"/>
  <c r="H120" i="1" s="1"/>
  <c r="V120" i="1"/>
  <c r="X120" i="1"/>
  <c r="J120" i="1" s="1"/>
  <c r="N121" i="1"/>
  <c r="O121" i="1"/>
  <c r="P121" i="1"/>
  <c r="Q121" i="1"/>
  <c r="R121" i="1"/>
  <c r="S121" i="1"/>
  <c r="T121" i="1"/>
  <c r="G121" i="1" s="1"/>
  <c r="U121" i="1"/>
  <c r="H121" i="1" s="1"/>
  <c r="V121" i="1"/>
  <c r="X121" i="1"/>
  <c r="J121" i="1" s="1"/>
  <c r="N122" i="1"/>
  <c r="O122" i="1"/>
  <c r="P122" i="1"/>
  <c r="Q122" i="1"/>
  <c r="R122" i="1"/>
  <c r="S122" i="1"/>
  <c r="T122" i="1"/>
  <c r="G122" i="1" s="1"/>
  <c r="U122" i="1"/>
  <c r="H122" i="1" s="1"/>
  <c r="V122" i="1"/>
  <c r="X122" i="1"/>
  <c r="J122" i="1" s="1"/>
  <c r="N123" i="1"/>
  <c r="O123" i="1"/>
  <c r="P123" i="1"/>
  <c r="Q123" i="1"/>
  <c r="R123" i="1"/>
  <c r="S123" i="1"/>
  <c r="T123" i="1"/>
  <c r="G123" i="1" s="1"/>
  <c r="U123" i="1"/>
  <c r="H123" i="1" s="1"/>
  <c r="V123" i="1"/>
  <c r="X123" i="1"/>
  <c r="J123" i="1" s="1"/>
  <c r="N124" i="1"/>
  <c r="O124" i="1"/>
  <c r="P124" i="1"/>
  <c r="Q124" i="1"/>
  <c r="R124" i="1"/>
  <c r="S124" i="1"/>
  <c r="T124" i="1"/>
  <c r="G124" i="1" s="1"/>
  <c r="U124" i="1"/>
  <c r="H124" i="1" s="1"/>
  <c r="V124" i="1"/>
  <c r="X124" i="1"/>
  <c r="J124" i="1" s="1"/>
  <c r="N125" i="1"/>
  <c r="O125" i="1"/>
  <c r="P125" i="1"/>
  <c r="Q125" i="1"/>
  <c r="R125" i="1"/>
  <c r="S125" i="1"/>
  <c r="T125" i="1"/>
  <c r="G125" i="1" s="1"/>
  <c r="U125" i="1"/>
  <c r="H125" i="1" s="1"/>
  <c r="V125" i="1"/>
  <c r="X125" i="1"/>
  <c r="J125" i="1" s="1"/>
  <c r="N126" i="1"/>
  <c r="O126" i="1"/>
  <c r="P126" i="1"/>
  <c r="Q126" i="1"/>
  <c r="R126" i="1"/>
  <c r="S126" i="1"/>
  <c r="T126" i="1"/>
  <c r="G126" i="1" s="1"/>
  <c r="U126" i="1"/>
  <c r="H126" i="1" s="1"/>
  <c r="V126" i="1"/>
  <c r="X126" i="1"/>
  <c r="J126" i="1" s="1"/>
  <c r="N127" i="1"/>
  <c r="O127" i="1"/>
  <c r="P127" i="1"/>
  <c r="Q127" i="1"/>
  <c r="R127" i="1"/>
  <c r="S127" i="1"/>
  <c r="T127" i="1"/>
  <c r="G127" i="1" s="1"/>
  <c r="U127" i="1"/>
  <c r="H127" i="1" s="1"/>
  <c r="V127" i="1"/>
  <c r="X127" i="1"/>
  <c r="J127" i="1" s="1"/>
  <c r="N128" i="1"/>
  <c r="O128" i="1"/>
  <c r="P128" i="1"/>
  <c r="Q128" i="1"/>
  <c r="R128" i="1"/>
  <c r="S128" i="1"/>
  <c r="T128" i="1"/>
  <c r="G128" i="1" s="1"/>
  <c r="U128" i="1"/>
  <c r="H128" i="1" s="1"/>
  <c r="V128" i="1"/>
  <c r="X128" i="1"/>
  <c r="J128" i="1" s="1"/>
  <c r="N129" i="1"/>
  <c r="O129" i="1"/>
  <c r="P129" i="1"/>
  <c r="Q129" i="1"/>
  <c r="R129" i="1"/>
  <c r="S129" i="1"/>
  <c r="T129" i="1"/>
  <c r="G129" i="1" s="1"/>
  <c r="U129" i="1"/>
  <c r="H129" i="1" s="1"/>
  <c r="V129" i="1"/>
  <c r="X129" i="1"/>
  <c r="J129" i="1" s="1"/>
  <c r="N130" i="1"/>
  <c r="O130" i="1"/>
  <c r="P130" i="1"/>
  <c r="Q130" i="1"/>
  <c r="R130" i="1"/>
  <c r="S130" i="1"/>
  <c r="T130" i="1"/>
  <c r="G130" i="1" s="1"/>
  <c r="U130" i="1"/>
  <c r="H130" i="1" s="1"/>
  <c r="V130" i="1"/>
  <c r="X130" i="1"/>
  <c r="J130" i="1" s="1"/>
  <c r="N131" i="1"/>
  <c r="O131" i="1"/>
  <c r="P131" i="1"/>
  <c r="Q131" i="1"/>
  <c r="R131" i="1"/>
  <c r="S131" i="1"/>
  <c r="T131" i="1"/>
  <c r="G131" i="1" s="1"/>
  <c r="U131" i="1"/>
  <c r="H131" i="1" s="1"/>
  <c r="V131" i="1"/>
  <c r="X131" i="1"/>
  <c r="J131" i="1" s="1"/>
  <c r="N132" i="1"/>
  <c r="O132" i="1"/>
  <c r="P132" i="1"/>
  <c r="Q132" i="1"/>
  <c r="R132" i="1"/>
  <c r="S132" i="1"/>
  <c r="T132" i="1"/>
  <c r="G132" i="1" s="1"/>
  <c r="U132" i="1"/>
  <c r="H132" i="1" s="1"/>
  <c r="V132" i="1"/>
  <c r="X132" i="1"/>
  <c r="J132" i="1" s="1"/>
  <c r="N133" i="1"/>
  <c r="O133" i="1"/>
  <c r="P133" i="1"/>
  <c r="Q133" i="1"/>
  <c r="R133" i="1"/>
  <c r="S133" i="1"/>
  <c r="T133" i="1"/>
  <c r="G133" i="1" s="1"/>
  <c r="U133" i="1"/>
  <c r="H133" i="1" s="1"/>
  <c r="V133" i="1"/>
  <c r="X133" i="1"/>
  <c r="J133" i="1" s="1"/>
  <c r="N134" i="1"/>
  <c r="O134" i="1"/>
  <c r="P134" i="1"/>
  <c r="Q134" i="1"/>
  <c r="R134" i="1"/>
  <c r="S134" i="1"/>
  <c r="T134" i="1"/>
  <c r="G134" i="1" s="1"/>
  <c r="U134" i="1"/>
  <c r="H134" i="1" s="1"/>
  <c r="V134" i="1"/>
  <c r="X134" i="1"/>
  <c r="J134" i="1" s="1"/>
  <c r="N135" i="1"/>
  <c r="O135" i="1"/>
  <c r="P135" i="1"/>
  <c r="Q135" i="1"/>
  <c r="R135" i="1"/>
  <c r="S135" i="1"/>
  <c r="T135" i="1"/>
  <c r="G135" i="1" s="1"/>
  <c r="U135" i="1"/>
  <c r="H135" i="1" s="1"/>
  <c r="V135" i="1"/>
  <c r="X135" i="1"/>
  <c r="J135" i="1" s="1"/>
  <c r="N136" i="1"/>
  <c r="O136" i="1"/>
  <c r="P136" i="1"/>
  <c r="Q136" i="1"/>
  <c r="R136" i="1"/>
  <c r="S136" i="1"/>
  <c r="T136" i="1"/>
  <c r="G136" i="1" s="1"/>
  <c r="U136" i="1"/>
  <c r="H136" i="1" s="1"/>
  <c r="V136" i="1"/>
  <c r="X136" i="1"/>
  <c r="J136" i="1" s="1"/>
  <c r="N137" i="1"/>
  <c r="O137" i="1"/>
  <c r="P137" i="1"/>
  <c r="Q137" i="1"/>
  <c r="R137" i="1"/>
  <c r="S137" i="1"/>
  <c r="T137" i="1"/>
  <c r="G137" i="1" s="1"/>
  <c r="U137" i="1"/>
  <c r="H137" i="1" s="1"/>
  <c r="V137" i="1"/>
  <c r="X137" i="1"/>
  <c r="J137" i="1" s="1"/>
  <c r="N138" i="1"/>
  <c r="O138" i="1"/>
  <c r="P138" i="1"/>
  <c r="Q138" i="1"/>
  <c r="R138" i="1"/>
  <c r="S138" i="1"/>
  <c r="T138" i="1"/>
  <c r="G138" i="1" s="1"/>
  <c r="U138" i="1"/>
  <c r="H138" i="1" s="1"/>
  <c r="V138" i="1"/>
  <c r="X138" i="1"/>
  <c r="J138" i="1" s="1"/>
  <c r="N139" i="1"/>
  <c r="O139" i="1"/>
  <c r="P139" i="1"/>
  <c r="Q139" i="1"/>
  <c r="R139" i="1"/>
  <c r="S139" i="1"/>
  <c r="T139" i="1"/>
  <c r="G139" i="1" s="1"/>
  <c r="U139" i="1"/>
  <c r="H139" i="1" s="1"/>
  <c r="V139" i="1"/>
  <c r="X139" i="1"/>
  <c r="J139" i="1" s="1"/>
  <c r="N140" i="1"/>
  <c r="O140" i="1"/>
  <c r="P140" i="1"/>
  <c r="Q140" i="1"/>
  <c r="R140" i="1"/>
  <c r="S140" i="1"/>
  <c r="T140" i="1"/>
  <c r="G140" i="1" s="1"/>
  <c r="U140" i="1"/>
  <c r="H140" i="1" s="1"/>
  <c r="V140" i="1"/>
  <c r="X140" i="1"/>
  <c r="J140" i="1" s="1"/>
  <c r="N141" i="1"/>
  <c r="O141" i="1"/>
  <c r="P141" i="1"/>
  <c r="Q141" i="1"/>
  <c r="R141" i="1"/>
  <c r="S141" i="1"/>
  <c r="T141" i="1"/>
  <c r="G141" i="1" s="1"/>
  <c r="U141" i="1"/>
  <c r="H141" i="1" s="1"/>
  <c r="V141" i="1"/>
  <c r="X141" i="1"/>
  <c r="J141" i="1" s="1"/>
  <c r="N142" i="1"/>
  <c r="O142" i="1"/>
  <c r="P142" i="1"/>
  <c r="Q142" i="1"/>
  <c r="R142" i="1"/>
  <c r="S142" i="1"/>
  <c r="T142" i="1"/>
  <c r="G142" i="1" s="1"/>
  <c r="U142" i="1"/>
  <c r="H142" i="1" s="1"/>
  <c r="V142" i="1"/>
  <c r="X142" i="1"/>
  <c r="J142" i="1" s="1"/>
  <c r="N143" i="1"/>
  <c r="O143" i="1"/>
  <c r="P143" i="1"/>
  <c r="Q143" i="1"/>
  <c r="R143" i="1"/>
  <c r="S143" i="1"/>
  <c r="T143" i="1"/>
  <c r="G143" i="1" s="1"/>
  <c r="U143" i="1"/>
  <c r="H143" i="1" s="1"/>
  <c r="V143" i="1"/>
  <c r="X143" i="1"/>
  <c r="J143" i="1" s="1"/>
  <c r="N144" i="1"/>
  <c r="O144" i="1"/>
  <c r="P144" i="1"/>
  <c r="Q144" i="1"/>
  <c r="R144" i="1"/>
  <c r="S144" i="1"/>
  <c r="T144" i="1"/>
  <c r="G144" i="1" s="1"/>
  <c r="U144" i="1"/>
  <c r="H144" i="1" s="1"/>
  <c r="V144" i="1"/>
  <c r="X144" i="1"/>
  <c r="J144" i="1" s="1"/>
  <c r="N145" i="1"/>
  <c r="O145" i="1"/>
  <c r="P145" i="1"/>
  <c r="Q145" i="1"/>
  <c r="R145" i="1"/>
  <c r="S145" i="1"/>
  <c r="T145" i="1"/>
  <c r="G145" i="1" s="1"/>
  <c r="U145" i="1"/>
  <c r="H145" i="1" s="1"/>
  <c r="V145" i="1"/>
  <c r="X145" i="1"/>
  <c r="J145" i="1" s="1"/>
  <c r="N146" i="1"/>
  <c r="O146" i="1"/>
  <c r="P146" i="1"/>
  <c r="Q146" i="1"/>
  <c r="R146" i="1"/>
  <c r="S146" i="1"/>
  <c r="T146" i="1"/>
  <c r="G146" i="1" s="1"/>
  <c r="U146" i="1"/>
  <c r="H146" i="1" s="1"/>
  <c r="V146" i="1"/>
  <c r="X146" i="1"/>
  <c r="J146" i="1" s="1"/>
  <c r="N147" i="1"/>
  <c r="O147" i="1"/>
  <c r="P147" i="1"/>
  <c r="Q147" i="1"/>
  <c r="R147" i="1"/>
  <c r="S147" i="1"/>
  <c r="T147" i="1"/>
  <c r="G147" i="1" s="1"/>
  <c r="U147" i="1"/>
  <c r="H147" i="1" s="1"/>
  <c r="V147" i="1"/>
  <c r="X147" i="1"/>
  <c r="J147" i="1" s="1"/>
  <c r="N148" i="1"/>
  <c r="O148" i="1"/>
  <c r="P148" i="1"/>
  <c r="Q148" i="1"/>
  <c r="R148" i="1"/>
  <c r="S148" i="1"/>
  <c r="T148" i="1"/>
  <c r="G148" i="1" s="1"/>
  <c r="U148" i="1"/>
  <c r="H148" i="1" s="1"/>
  <c r="V148" i="1"/>
  <c r="X148" i="1"/>
  <c r="J148" i="1" s="1"/>
  <c r="N149" i="1"/>
  <c r="O149" i="1"/>
  <c r="P149" i="1"/>
  <c r="Q149" i="1"/>
  <c r="R149" i="1"/>
  <c r="S149" i="1"/>
  <c r="T149" i="1"/>
  <c r="G149" i="1" s="1"/>
  <c r="U149" i="1"/>
  <c r="H149" i="1" s="1"/>
  <c r="V149" i="1"/>
  <c r="X149" i="1"/>
  <c r="J149" i="1" s="1"/>
  <c r="N150" i="1"/>
  <c r="O150" i="1"/>
  <c r="P150" i="1"/>
  <c r="Q150" i="1"/>
  <c r="R150" i="1"/>
  <c r="S150" i="1"/>
  <c r="T150" i="1"/>
  <c r="G150" i="1" s="1"/>
  <c r="U150" i="1"/>
  <c r="H150" i="1" s="1"/>
  <c r="V150" i="1"/>
  <c r="X150" i="1"/>
  <c r="J150" i="1" s="1"/>
  <c r="N151" i="1"/>
  <c r="O151" i="1"/>
  <c r="P151" i="1"/>
  <c r="Q151" i="1"/>
  <c r="R151" i="1"/>
  <c r="S151" i="1"/>
  <c r="T151" i="1"/>
  <c r="G151" i="1" s="1"/>
  <c r="U151" i="1"/>
  <c r="H151" i="1" s="1"/>
  <c r="V151" i="1"/>
  <c r="X151" i="1"/>
  <c r="J151" i="1" s="1"/>
  <c r="N152" i="1"/>
  <c r="O152" i="1"/>
  <c r="P152" i="1"/>
  <c r="Q152" i="1"/>
  <c r="R152" i="1"/>
  <c r="S152" i="1"/>
  <c r="T152" i="1"/>
  <c r="G152" i="1" s="1"/>
  <c r="U152" i="1"/>
  <c r="H152" i="1" s="1"/>
  <c r="V152" i="1"/>
  <c r="X152" i="1"/>
  <c r="J152" i="1" s="1"/>
  <c r="N153" i="1"/>
  <c r="O153" i="1"/>
  <c r="P153" i="1"/>
  <c r="Q153" i="1"/>
  <c r="R153" i="1"/>
  <c r="S153" i="1"/>
  <c r="T153" i="1"/>
  <c r="G153" i="1" s="1"/>
  <c r="U153" i="1"/>
  <c r="H153" i="1" s="1"/>
  <c r="V153" i="1"/>
  <c r="X153" i="1"/>
  <c r="J153" i="1" s="1"/>
  <c r="N154" i="1"/>
  <c r="O154" i="1"/>
  <c r="P154" i="1"/>
  <c r="Q154" i="1"/>
  <c r="R154" i="1"/>
  <c r="S154" i="1"/>
  <c r="T154" i="1"/>
  <c r="G154" i="1" s="1"/>
  <c r="U154" i="1"/>
  <c r="H154" i="1" s="1"/>
  <c r="V154" i="1"/>
  <c r="X154" i="1"/>
  <c r="J154" i="1" s="1"/>
  <c r="N155" i="1"/>
  <c r="O155" i="1"/>
  <c r="P155" i="1"/>
  <c r="Q155" i="1"/>
  <c r="R155" i="1"/>
  <c r="S155" i="1"/>
  <c r="T155" i="1"/>
  <c r="G155" i="1" s="1"/>
  <c r="U155" i="1"/>
  <c r="H155" i="1" s="1"/>
  <c r="V155" i="1"/>
  <c r="X155" i="1"/>
  <c r="J155" i="1" s="1"/>
  <c r="N156" i="1"/>
  <c r="O156" i="1"/>
  <c r="P156" i="1"/>
  <c r="Q156" i="1"/>
  <c r="R156" i="1"/>
  <c r="S156" i="1"/>
  <c r="T156" i="1"/>
  <c r="G156" i="1" s="1"/>
  <c r="U156" i="1"/>
  <c r="H156" i="1" s="1"/>
  <c r="V156" i="1"/>
  <c r="X156" i="1"/>
  <c r="J156" i="1" s="1"/>
  <c r="N157" i="1"/>
  <c r="O157" i="1"/>
  <c r="P157" i="1"/>
  <c r="Q157" i="1"/>
  <c r="R157" i="1"/>
  <c r="S157" i="1"/>
  <c r="T157" i="1"/>
  <c r="G157" i="1" s="1"/>
  <c r="U157" i="1"/>
  <c r="H157" i="1" s="1"/>
  <c r="V157" i="1"/>
  <c r="X157" i="1"/>
  <c r="J157" i="1" s="1"/>
  <c r="N158" i="1"/>
  <c r="O158" i="1"/>
  <c r="P158" i="1"/>
  <c r="Q158" i="1"/>
  <c r="R158" i="1"/>
  <c r="S158" i="1"/>
  <c r="T158" i="1"/>
  <c r="G158" i="1" s="1"/>
  <c r="U158" i="1"/>
  <c r="H158" i="1" s="1"/>
  <c r="V158" i="1"/>
  <c r="X158" i="1"/>
  <c r="J158" i="1" s="1"/>
  <c r="N159" i="1"/>
  <c r="O159" i="1"/>
  <c r="P159" i="1"/>
  <c r="Q159" i="1"/>
  <c r="R159" i="1"/>
  <c r="S159" i="1"/>
  <c r="T159" i="1"/>
  <c r="G159" i="1" s="1"/>
  <c r="U159" i="1"/>
  <c r="H159" i="1" s="1"/>
  <c r="V159" i="1"/>
  <c r="X159" i="1"/>
  <c r="J159" i="1" s="1"/>
  <c r="N160" i="1"/>
  <c r="O160" i="1"/>
  <c r="P160" i="1"/>
  <c r="Q160" i="1"/>
  <c r="R160" i="1"/>
  <c r="S160" i="1"/>
  <c r="T160" i="1"/>
  <c r="G160" i="1" s="1"/>
  <c r="U160" i="1"/>
  <c r="H160" i="1" s="1"/>
  <c r="V160" i="1"/>
  <c r="X160" i="1"/>
  <c r="J160" i="1" s="1"/>
  <c r="N161" i="1"/>
  <c r="O161" i="1"/>
  <c r="P161" i="1"/>
  <c r="Q161" i="1"/>
  <c r="R161" i="1"/>
  <c r="S161" i="1"/>
  <c r="T161" i="1"/>
  <c r="G161" i="1" s="1"/>
  <c r="U161" i="1"/>
  <c r="H161" i="1" s="1"/>
  <c r="V161" i="1"/>
  <c r="X161" i="1"/>
  <c r="J161" i="1" s="1"/>
  <c r="N162" i="1"/>
  <c r="O162" i="1"/>
  <c r="P162" i="1"/>
  <c r="Q162" i="1"/>
  <c r="R162" i="1"/>
  <c r="S162" i="1"/>
  <c r="T162" i="1"/>
  <c r="G162" i="1" s="1"/>
  <c r="U162" i="1"/>
  <c r="H162" i="1" s="1"/>
  <c r="V162" i="1"/>
  <c r="X162" i="1"/>
  <c r="J162" i="1" s="1"/>
  <c r="N163" i="1"/>
  <c r="O163" i="1"/>
  <c r="P163" i="1"/>
  <c r="Q163" i="1"/>
  <c r="R163" i="1"/>
  <c r="S163" i="1"/>
  <c r="T163" i="1"/>
  <c r="G163" i="1" s="1"/>
  <c r="U163" i="1"/>
  <c r="H163" i="1" s="1"/>
  <c r="V163" i="1"/>
  <c r="X163" i="1"/>
  <c r="J163" i="1" s="1"/>
  <c r="N164" i="1"/>
  <c r="O164" i="1"/>
  <c r="P164" i="1"/>
  <c r="Q164" i="1"/>
  <c r="R164" i="1"/>
  <c r="S164" i="1"/>
  <c r="T164" i="1"/>
  <c r="G164" i="1" s="1"/>
  <c r="U164" i="1"/>
  <c r="H164" i="1" s="1"/>
  <c r="V164" i="1"/>
  <c r="X164" i="1"/>
  <c r="J164" i="1" s="1"/>
  <c r="N165" i="1"/>
  <c r="O165" i="1"/>
  <c r="P165" i="1"/>
  <c r="Q165" i="1"/>
  <c r="R165" i="1"/>
  <c r="S165" i="1"/>
  <c r="T165" i="1"/>
  <c r="G165" i="1" s="1"/>
  <c r="U165" i="1"/>
  <c r="H165" i="1" s="1"/>
  <c r="V165" i="1"/>
  <c r="X165" i="1"/>
  <c r="J165" i="1" s="1"/>
  <c r="N166" i="1"/>
  <c r="O166" i="1"/>
  <c r="P166" i="1"/>
  <c r="Q166" i="1"/>
  <c r="R166" i="1"/>
  <c r="S166" i="1"/>
  <c r="T166" i="1"/>
  <c r="G166" i="1" s="1"/>
  <c r="U166" i="1"/>
  <c r="H166" i="1" s="1"/>
  <c r="V166" i="1"/>
  <c r="X166" i="1"/>
  <c r="J166" i="1" s="1"/>
  <c r="N167" i="1"/>
  <c r="O167" i="1"/>
  <c r="P167" i="1"/>
  <c r="Q167" i="1"/>
  <c r="R167" i="1"/>
  <c r="S167" i="1"/>
  <c r="T167" i="1"/>
  <c r="G167" i="1" s="1"/>
  <c r="U167" i="1"/>
  <c r="H167" i="1" s="1"/>
  <c r="V167" i="1"/>
  <c r="X167" i="1"/>
  <c r="J167" i="1" s="1"/>
  <c r="N168" i="1"/>
  <c r="O168" i="1"/>
  <c r="P168" i="1"/>
  <c r="Q168" i="1"/>
  <c r="R168" i="1"/>
  <c r="S168" i="1"/>
  <c r="T168" i="1"/>
  <c r="G168" i="1" s="1"/>
  <c r="U168" i="1"/>
  <c r="H168" i="1" s="1"/>
  <c r="V168" i="1"/>
  <c r="X168" i="1"/>
  <c r="J168" i="1" s="1"/>
  <c r="N169" i="1"/>
  <c r="O169" i="1"/>
  <c r="P169" i="1"/>
  <c r="Q169" i="1"/>
  <c r="R169" i="1"/>
  <c r="S169" i="1"/>
  <c r="T169" i="1"/>
  <c r="G169" i="1" s="1"/>
  <c r="U169" i="1"/>
  <c r="H169" i="1" s="1"/>
  <c r="V169" i="1"/>
  <c r="X169" i="1"/>
  <c r="J169" i="1" s="1"/>
  <c r="N170" i="1"/>
  <c r="O170" i="1"/>
  <c r="P170" i="1"/>
  <c r="Q170" i="1"/>
  <c r="R170" i="1"/>
  <c r="S170" i="1"/>
  <c r="T170" i="1"/>
  <c r="G170" i="1" s="1"/>
  <c r="U170" i="1"/>
  <c r="H170" i="1" s="1"/>
  <c r="V170" i="1"/>
  <c r="X170" i="1"/>
  <c r="J170" i="1" s="1"/>
  <c r="N171" i="1"/>
  <c r="O171" i="1"/>
  <c r="P171" i="1"/>
  <c r="Q171" i="1"/>
  <c r="R171" i="1"/>
  <c r="S171" i="1"/>
  <c r="T171" i="1"/>
  <c r="G171" i="1" s="1"/>
  <c r="U171" i="1"/>
  <c r="H171" i="1" s="1"/>
  <c r="V171" i="1"/>
  <c r="X171" i="1"/>
  <c r="J171" i="1" s="1"/>
  <c r="N172" i="1"/>
  <c r="O172" i="1"/>
  <c r="P172" i="1"/>
  <c r="Q172" i="1"/>
  <c r="R172" i="1"/>
  <c r="S172" i="1"/>
  <c r="T172" i="1"/>
  <c r="G172" i="1" s="1"/>
  <c r="U172" i="1"/>
  <c r="H172" i="1" s="1"/>
  <c r="V172" i="1"/>
  <c r="X172" i="1"/>
  <c r="J172" i="1" s="1"/>
  <c r="N173" i="1"/>
  <c r="O173" i="1"/>
  <c r="P173" i="1"/>
  <c r="Q173" i="1"/>
  <c r="R173" i="1"/>
  <c r="S173" i="1"/>
  <c r="T173" i="1"/>
  <c r="G173" i="1" s="1"/>
  <c r="U173" i="1"/>
  <c r="H173" i="1" s="1"/>
  <c r="V173" i="1"/>
  <c r="X173" i="1"/>
  <c r="J173" i="1" s="1"/>
  <c r="N174" i="1"/>
  <c r="O174" i="1"/>
  <c r="P174" i="1"/>
  <c r="Q174" i="1"/>
  <c r="R174" i="1"/>
  <c r="S174" i="1"/>
  <c r="T174" i="1"/>
  <c r="G174" i="1" s="1"/>
  <c r="U174" i="1"/>
  <c r="H174" i="1" s="1"/>
  <c r="V174" i="1"/>
  <c r="X174" i="1"/>
  <c r="J174" i="1" s="1"/>
  <c r="N175" i="1"/>
  <c r="O175" i="1"/>
  <c r="P175" i="1"/>
  <c r="Q175" i="1"/>
  <c r="R175" i="1"/>
  <c r="S175" i="1"/>
  <c r="T175" i="1"/>
  <c r="G175" i="1" s="1"/>
  <c r="U175" i="1"/>
  <c r="H175" i="1" s="1"/>
  <c r="V175" i="1"/>
  <c r="X175" i="1"/>
  <c r="J175" i="1" s="1"/>
  <c r="N176" i="1"/>
  <c r="O176" i="1"/>
  <c r="P176" i="1"/>
  <c r="Q176" i="1"/>
  <c r="R176" i="1"/>
  <c r="S176" i="1"/>
  <c r="T176" i="1"/>
  <c r="G176" i="1" s="1"/>
  <c r="U176" i="1"/>
  <c r="H176" i="1" s="1"/>
  <c r="V176" i="1"/>
  <c r="X176" i="1"/>
  <c r="J176" i="1" s="1"/>
  <c r="N177" i="1"/>
  <c r="O177" i="1"/>
  <c r="P177" i="1"/>
  <c r="Q177" i="1"/>
  <c r="R177" i="1"/>
  <c r="S177" i="1"/>
  <c r="T177" i="1"/>
  <c r="G177" i="1" s="1"/>
  <c r="U177" i="1"/>
  <c r="H177" i="1" s="1"/>
  <c r="V177" i="1"/>
  <c r="X177" i="1"/>
  <c r="J177" i="1" s="1"/>
  <c r="N178" i="1"/>
  <c r="O178" i="1"/>
  <c r="P178" i="1"/>
  <c r="Q178" i="1"/>
  <c r="R178" i="1"/>
  <c r="S178" i="1"/>
  <c r="T178" i="1"/>
  <c r="G178" i="1" s="1"/>
  <c r="U178" i="1"/>
  <c r="H178" i="1" s="1"/>
  <c r="V178" i="1"/>
  <c r="X178" i="1"/>
  <c r="J178" i="1" s="1"/>
  <c r="N179" i="1"/>
  <c r="O179" i="1"/>
  <c r="P179" i="1"/>
  <c r="Q179" i="1"/>
  <c r="R179" i="1"/>
  <c r="S179" i="1"/>
  <c r="T179" i="1"/>
  <c r="G179" i="1" s="1"/>
  <c r="U179" i="1"/>
  <c r="H179" i="1" s="1"/>
  <c r="V179" i="1"/>
  <c r="X179" i="1"/>
  <c r="J179" i="1" s="1"/>
  <c r="N180" i="1"/>
  <c r="O180" i="1"/>
  <c r="P180" i="1"/>
  <c r="Q180" i="1"/>
  <c r="R180" i="1"/>
  <c r="S180" i="1"/>
  <c r="T180" i="1"/>
  <c r="G180" i="1" s="1"/>
  <c r="U180" i="1"/>
  <c r="H180" i="1" s="1"/>
  <c r="V180" i="1"/>
  <c r="X180" i="1"/>
  <c r="J180" i="1" s="1"/>
  <c r="N181" i="1"/>
  <c r="O181" i="1"/>
  <c r="P181" i="1"/>
  <c r="Q181" i="1"/>
  <c r="R181" i="1"/>
  <c r="S181" i="1"/>
  <c r="T181" i="1"/>
  <c r="G181" i="1" s="1"/>
  <c r="U181" i="1"/>
  <c r="H181" i="1" s="1"/>
  <c r="V181" i="1"/>
  <c r="X181" i="1"/>
  <c r="J181" i="1" s="1"/>
  <c r="N182" i="1"/>
  <c r="O182" i="1"/>
  <c r="P182" i="1"/>
  <c r="Q182" i="1"/>
  <c r="R182" i="1"/>
  <c r="S182" i="1"/>
  <c r="T182" i="1"/>
  <c r="G182" i="1" s="1"/>
  <c r="U182" i="1"/>
  <c r="H182" i="1" s="1"/>
  <c r="V182" i="1"/>
  <c r="X182" i="1"/>
  <c r="J182" i="1" s="1"/>
  <c r="N183" i="1"/>
  <c r="O183" i="1"/>
  <c r="P183" i="1"/>
  <c r="Q183" i="1"/>
  <c r="R183" i="1"/>
  <c r="S183" i="1"/>
  <c r="T183" i="1"/>
  <c r="G183" i="1" s="1"/>
  <c r="U183" i="1"/>
  <c r="H183" i="1" s="1"/>
  <c r="V183" i="1"/>
  <c r="X183" i="1"/>
  <c r="J183" i="1" s="1"/>
  <c r="N184" i="1"/>
  <c r="O184" i="1"/>
  <c r="P184" i="1"/>
  <c r="Q184" i="1"/>
  <c r="R184" i="1"/>
  <c r="S184" i="1"/>
  <c r="T184" i="1"/>
  <c r="G184" i="1" s="1"/>
  <c r="U184" i="1"/>
  <c r="H184" i="1" s="1"/>
  <c r="V184" i="1"/>
  <c r="X184" i="1"/>
  <c r="J184" i="1" s="1"/>
  <c r="N185" i="1"/>
  <c r="O185" i="1"/>
  <c r="P185" i="1"/>
  <c r="Q185" i="1"/>
  <c r="R185" i="1"/>
  <c r="S185" i="1"/>
  <c r="T185" i="1"/>
  <c r="G185" i="1" s="1"/>
  <c r="U185" i="1"/>
  <c r="H185" i="1" s="1"/>
  <c r="V185" i="1"/>
  <c r="X185" i="1"/>
  <c r="J185" i="1" s="1"/>
  <c r="N186" i="1"/>
  <c r="O186" i="1"/>
  <c r="P186" i="1"/>
  <c r="Q186" i="1"/>
  <c r="R186" i="1"/>
  <c r="S186" i="1"/>
  <c r="T186" i="1"/>
  <c r="G186" i="1" s="1"/>
  <c r="U186" i="1"/>
  <c r="H186" i="1" s="1"/>
  <c r="V186" i="1"/>
  <c r="X186" i="1"/>
  <c r="J186" i="1" s="1"/>
  <c r="N187" i="1"/>
  <c r="O187" i="1"/>
  <c r="P187" i="1"/>
  <c r="Q187" i="1"/>
  <c r="R187" i="1"/>
  <c r="S187" i="1"/>
  <c r="T187" i="1"/>
  <c r="G187" i="1" s="1"/>
  <c r="U187" i="1"/>
  <c r="H187" i="1" s="1"/>
  <c r="V187" i="1"/>
  <c r="X187" i="1"/>
  <c r="J187" i="1" s="1"/>
  <c r="N188" i="1"/>
  <c r="O188" i="1"/>
  <c r="P188" i="1"/>
  <c r="Q188" i="1"/>
  <c r="R188" i="1"/>
  <c r="S188" i="1"/>
  <c r="T188" i="1"/>
  <c r="G188" i="1" s="1"/>
  <c r="U188" i="1"/>
  <c r="H188" i="1" s="1"/>
  <c r="V188" i="1"/>
  <c r="X188" i="1"/>
  <c r="J188" i="1" s="1"/>
  <c r="N189" i="1"/>
  <c r="O189" i="1"/>
  <c r="P189" i="1"/>
  <c r="Q189" i="1"/>
  <c r="R189" i="1"/>
  <c r="S189" i="1"/>
  <c r="T189" i="1"/>
  <c r="G189" i="1" s="1"/>
  <c r="U189" i="1"/>
  <c r="H189" i="1" s="1"/>
  <c r="V189" i="1"/>
  <c r="X189" i="1"/>
  <c r="J189" i="1" s="1"/>
  <c r="N190" i="1"/>
  <c r="O190" i="1"/>
  <c r="P190" i="1"/>
  <c r="Q190" i="1"/>
  <c r="R190" i="1"/>
  <c r="S190" i="1"/>
  <c r="T190" i="1"/>
  <c r="G190" i="1" s="1"/>
  <c r="U190" i="1"/>
  <c r="H190" i="1" s="1"/>
  <c r="V190" i="1"/>
  <c r="X190" i="1"/>
  <c r="J190" i="1" s="1"/>
  <c r="N191" i="1"/>
  <c r="O191" i="1"/>
  <c r="P191" i="1"/>
  <c r="Q191" i="1"/>
  <c r="R191" i="1"/>
  <c r="S191" i="1"/>
  <c r="T191" i="1"/>
  <c r="G191" i="1" s="1"/>
  <c r="U191" i="1"/>
  <c r="H191" i="1" s="1"/>
  <c r="V191" i="1"/>
  <c r="X191" i="1"/>
  <c r="J191" i="1" s="1"/>
  <c r="N192" i="1"/>
  <c r="O192" i="1"/>
  <c r="P192" i="1"/>
  <c r="Q192" i="1"/>
  <c r="R192" i="1"/>
  <c r="S192" i="1"/>
  <c r="T192" i="1"/>
  <c r="G192" i="1" s="1"/>
  <c r="U192" i="1"/>
  <c r="H192" i="1" s="1"/>
  <c r="V192" i="1"/>
  <c r="X192" i="1"/>
  <c r="J192" i="1" s="1"/>
  <c r="N193" i="1"/>
  <c r="O193" i="1"/>
  <c r="P193" i="1"/>
  <c r="Q193" i="1"/>
  <c r="R193" i="1"/>
  <c r="S193" i="1"/>
  <c r="T193" i="1"/>
  <c r="G193" i="1" s="1"/>
  <c r="U193" i="1"/>
  <c r="H193" i="1" s="1"/>
  <c r="V193" i="1"/>
  <c r="X193" i="1"/>
  <c r="J193" i="1" s="1"/>
  <c r="N194" i="1"/>
  <c r="O194" i="1"/>
  <c r="P194" i="1"/>
  <c r="Q194" i="1"/>
  <c r="R194" i="1"/>
  <c r="S194" i="1"/>
  <c r="T194" i="1"/>
  <c r="G194" i="1" s="1"/>
  <c r="U194" i="1"/>
  <c r="H194" i="1" s="1"/>
  <c r="V194" i="1"/>
  <c r="X194" i="1"/>
  <c r="J194" i="1" s="1"/>
  <c r="N195" i="1"/>
  <c r="O195" i="1"/>
  <c r="P195" i="1"/>
  <c r="Q195" i="1"/>
  <c r="R195" i="1"/>
  <c r="S195" i="1"/>
  <c r="T195" i="1"/>
  <c r="G195" i="1" s="1"/>
  <c r="U195" i="1"/>
  <c r="H195" i="1" s="1"/>
  <c r="V195" i="1"/>
  <c r="X195" i="1"/>
  <c r="J195" i="1" s="1"/>
  <c r="N196" i="1"/>
  <c r="O196" i="1"/>
  <c r="P196" i="1"/>
  <c r="Q196" i="1"/>
  <c r="R196" i="1"/>
  <c r="S196" i="1"/>
  <c r="T196" i="1"/>
  <c r="G196" i="1" s="1"/>
  <c r="U196" i="1"/>
  <c r="H196" i="1" s="1"/>
  <c r="V196" i="1"/>
  <c r="X196" i="1"/>
  <c r="J196" i="1" s="1"/>
  <c r="N197" i="1"/>
  <c r="O197" i="1"/>
  <c r="P197" i="1"/>
  <c r="Q197" i="1"/>
  <c r="R197" i="1"/>
  <c r="S197" i="1"/>
  <c r="T197" i="1"/>
  <c r="G197" i="1" s="1"/>
  <c r="U197" i="1"/>
  <c r="H197" i="1" s="1"/>
  <c r="V197" i="1"/>
  <c r="X197" i="1"/>
  <c r="J197" i="1" s="1"/>
  <c r="N198" i="1"/>
  <c r="O198" i="1"/>
  <c r="P198" i="1"/>
  <c r="Q198" i="1"/>
  <c r="R198" i="1"/>
  <c r="S198" i="1"/>
  <c r="T198" i="1"/>
  <c r="G198" i="1" s="1"/>
  <c r="U198" i="1"/>
  <c r="H198" i="1" s="1"/>
  <c r="V198" i="1"/>
  <c r="X198" i="1"/>
  <c r="J198" i="1" s="1"/>
  <c r="N199" i="1"/>
  <c r="O199" i="1"/>
  <c r="P199" i="1"/>
  <c r="Q199" i="1"/>
  <c r="R199" i="1"/>
  <c r="S199" i="1"/>
  <c r="T199" i="1"/>
  <c r="G199" i="1" s="1"/>
  <c r="U199" i="1"/>
  <c r="H199" i="1" s="1"/>
  <c r="V199" i="1"/>
  <c r="X199" i="1"/>
  <c r="J199" i="1" s="1"/>
  <c r="N200" i="1"/>
  <c r="O200" i="1"/>
  <c r="P200" i="1"/>
  <c r="Q200" i="1"/>
  <c r="R200" i="1"/>
  <c r="S200" i="1"/>
  <c r="T200" i="1"/>
  <c r="G200" i="1" s="1"/>
  <c r="U200" i="1"/>
  <c r="H200" i="1" s="1"/>
  <c r="V200" i="1"/>
  <c r="X200" i="1"/>
  <c r="J200" i="1" s="1"/>
  <c r="N201" i="1"/>
  <c r="O201" i="1"/>
  <c r="P201" i="1"/>
  <c r="Q201" i="1"/>
  <c r="R201" i="1"/>
  <c r="S201" i="1"/>
  <c r="T201" i="1"/>
  <c r="G201" i="1" s="1"/>
  <c r="U201" i="1"/>
  <c r="H201" i="1" s="1"/>
  <c r="V201" i="1"/>
  <c r="X201" i="1"/>
  <c r="J201" i="1" s="1"/>
  <c r="N202" i="1"/>
  <c r="O202" i="1"/>
  <c r="P202" i="1"/>
  <c r="Q202" i="1"/>
  <c r="R202" i="1"/>
  <c r="S202" i="1"/>
  <c r="T202" i="1"/>
  <c r="G202" i="1" s="1"/>
  <c r="U202" i="1"/>
  <c r="H202" i="1" s="1"/>
  <c r="V202" i="1"/>
  <c r="X202" i="1"/>
  <c r="J202" i="1" s="1"/>
  <c r="N203" i="1"/>
  <c r="O203" i="1"/>
  <c r="P203" i="1"/>
  <c r="Q203" i="1"/>
  <c r="R203" i="1"/>
  <c r="S203" i="1"/>
  <c r="T203" i="1"/>
  <c r="G203" i="1" s="1"/>
  <c r="U203" i="1"/>
  <c r="H203" i="1" s="1"/>
  <c r="V203" i="1"/>
  <c r="X203" i="1"/>
  <c r="J203" i="1" s="1"/>
  <c r="N204" i="1"/>
  <c r="O204" i="1"/>
  <c r="P204" i="1"/>
  <c r="Q204" i="1"/>
  <c r="R204" i="1"/>
  <c r="S204" i="1"/>
  <c r="T204" i="1"/>
  <c r="G204" i="1" s="1"/>
  <c r="U204" i="1"/>
  <c r="H204" i="1" s="1"/>
  <c r="V204" i="1"/>
  <c r="X204" i="1"/>
  <c r="J204" i="1" s="1"/>
  <c r="N205" i="1"/>
  <c r="O205" i="1"/>
  <c r="P205" i="1"/>
  <c r="Q205" i="1"/>
  <c r="R205" i="1"/>
  <c r="S205" i="1"/>
  <c r="T205" i="1"/>
  <c r="G205" i="1" s="1"/>
  <c r="U205" i="1"/>
  <c r="H205" i="1" s="1"/>
  <c r="V205" i="1"/>
  <c r="X205" i="1"/>
  <c r="J205" i="1" s="1"/>
  <c r="N206" i="1"/>
  <c r="O206" i="1"/>
  <c r="P206" i="1"/>
  <c r="Q206" i="1"/>
  <c r="R206" i="1"/>
  <c r="S206" i="1"/>
  <c r="T206" i="1"/>
  <c r="G206" i="1" s="1"/>
  <c r="U206" i="1"/>
  <c r="H206" i="1" s="1"/>
  <c r="V206" i="1"/>
  <c r="X206" i="1"/>
  <c r="J206" i="1" s="1"/>
  <c r="N207" i="1"/>
  <c r="O207" i="1"/>
  <c r="P207" i="1"/>
  <c r="Q207" i="1"/>
  <c r="R207" i="1"/>
  <c r="S207" i="1"/>
  <c r="T207" i="1"/>
  <c r="G207" i="1" s="1"/>
  <c r="U207" i="1"/>
  <c r="H207" i="1" s="1"/>
  <c r="V207" i="1"/>
  <c r="X207" i="1"/>
  <c r="J207" i="1" s="1"/>
  <c r="N208" i="1"/>
  <c r="O208" i="1"/>
  <c r="P208" i="1"/>
  <c r="Q208" i="1"/>
  <c r="R208" i="1"/>
  <c r="S208" i="1"/>
  <c r="T208" i="1"/>
  <c r="G208" i="1" s="1"/>
  <c r="U208" i="1"/>
  <c r="H208" i="1" s="1"/>
  <c r="V208" i="1"/>
  <c r="X208" i="1"/>
  <c r="J208" i="1" s="1"/>
  <c r="N209" i="1"/>
  <c r="O209" i="1"/>
  <c r="P209" i="1"/>
  <c r="Q209" i="1"/>
  <c r="R209" i="1"/>
  <c r="S209" i="1"/>
  <c r="T209" i="1"/>
  <c r="G209" i="1" s="1"/>
  <c r="U209" i="1"/>
  <c r="H209" i="1" s="1"/>
  <c r="V209" i="1"/>
  <c r="X209" i="1"/>
  <c r="J209" i="1" s="1"/>
  <c r="N210" i="1"/>
  <c r="O210" i="1"/>
  <c r="P210" i="1"/>
  <c r="Q210" i="1"/>
  <c r="R210" i="1"/>
  <c r="S210" i="1"/>
  <c r="T210" i="1"/>
  <c r="G210" i="1" s="1"/>
  <c r="U210" i="1"/>
  <c r="H210" i="1" s="1"/>
  <c r="V210" i="1"/>
  <c r="X210" i="1"/>
  <c r="J210" i="1" s="1"/>
  <c r="N211" i="1"/>
  <c r="O211" i="1"/>
  <c r="P211" i="1"/>
  <c r="Q211" i="1"/>
  <c r="R211" i="1"/>
  <c r="S211" i="1"/>
  <c r="T211" i="1"/>
  <c r="G211" i="1" s="1"/>
  <c r="U211" i="1"/>
  <c r="H211" i="1" s="1"/>
  <c r="V211" i="1"/>
  <c r="X211" i="1"/>
  <c r="J211" i="1" s="1"/>
  <c r="N212" i="1"/>
  <c r="O212" i="1"/>
  <c r="P212" i="1"/>
  <c r="Q212" i="1"/>
  <c r="R212" i="1"/>
  <c r="S212" i="1"/>
  <c r="T212" i="1"/>
  <c r="G212" i="1" s="1"/>
  <c r="U212" i="1"/>
  <c r="H212" i="1" s="1"/>
  <c r="V212" i="1"/>
  <c r="X212" i="1"/>
  <c r="J212" i="1" s="1"/>
  <c r="N213" i="1"/>
  <c r="O213" i="1"/>
  <c r="P213" i="1"/>
  <c r="Q213" i="1"/>
  <c r="R213" i="1"/>
  <c r="S213" i="1"/>
  <c r="T213" i="1"/>
  <c r="G213" i="1" s="1"/>
  <c r="U213" i="1"/>
  <c r="H213" i="1" s="1"/>
  <c r="V213" i="1"/>
  <c r="X213" i="1"/>
  <c r="J213" i="1" s="1"/>
  <c r="N214" i="1"/>
  <c r="O214" i="1"/>
  <c r="P214" i="1"/>
  <c r="Q214" i="1"/>
  <c r="R214" i="1"/>
  <c r="S214" i="1"/>
  <c r="T214" i="1"/>
  <c r="G214" i="1" s="1"/>
  <c r="U214" i="1"/>
  <c r="H214" i="1" s="1"/>
  <c r="V214" i="1"/>
  <c r="X214" i="1"/>
  <c r="J214" i="1" s="1"/>
  <c r="N215" i="1"/>
  <c r="O215" i="1"/>
  <c r="P215" i="1"/>
  <c r="Q215" i="1"/>
  <c r="R215" i="1"/>
  <c r="S215" i="1"/>
  <c r="T215" i="1"/>
  <c r="G215" i="1" s="1"/>
  <c r="U215" i="1"/>
  <c r="H215" i="1" s="1"/>
  <c r="V215" i="1"/>
  <c r="X215" i="1"/>
  <c r="J215" i="1" s="1"/>
  <c r="N216" i="1"/>
  <c r="O216" i="1"/>
  <c r="P216" i="1"/>
  <c r="Q216" i="1"/>
  <c r="R216" i="1"/>
  <c r="S216" i="1"/>
  <c r="T216" i="1"/>
  <c r="G216" i="1" s="1"/>
  <c r="U216" i="1"/>
  <c r="H216" i="1" s="1"/>
  <c r="V216" i="1"/>
  <c r="X216" i="1"/>
  <c r="J216" i="1" s="1"/>
  <c r="N217" i="1"/>
  <c r="O217" i="1"/>
  <c r="P217" i="1"/>
  <c r="Q217" i="1"/>
  <c r="R217" i="1"/>
  <c r="S217" i="1"/>
  <c r="T217" i="1"/>
  <c r="G217" i="1" s="1"/>
  <c r="U217" i="1"/>
  <c r="H217" i="1" s="1"/>
  <c r="V217" i="1"/>
  <c r="X217" i="1"/>
  <c r="J217" i="1" s="1"/>
  <c r="N218" i="1"/>
  <c r="O218" i="1"/>
  <c r="P218" i="1"/>
  <c r="Q218" i="1"/>
  <c r="R218" i="1"/>
  <c r="S218" i="1"/>
  <c r="T218" i="1"/>
  <c r="G218" i="1" s="1"/>
  <c r="U218" i="1"/>
  <c r="H218" i="1" s="1"/>
  <c r="V218" i="1"/>
  <c r="X218" i="1"/>
  <c r="J218" i="1" s="1"/>
  <c r="N219" i="1"/>
  <c r="O219" i="1"/>
  <c r="P219" i="1"/>
  <c r="Q219" i="1"/>
  <c r="R219" i="1"/>
  <c r="S219" i="1"/>
  <c r="T219" i="1"/>
  <c r="G219" i="1" s="1"/>
  <c r="U219" i="1"/>
  <c r="H219" i="1" s="1"/>
  <c r="V219" i="1"/>
  <c r="X219" i="1"/>
  <c r="J219" i="1" s="1"/>
  <c r="N220" i="1"/>
  <c r="O220" i="1"/>
  <c r="P220" i="1"/>
  <c r="Q220" i="1"/>
  <c r="R220" i="1"/>
  <c r="S220" i="1"/>
  <c r="T220" i="1"/>
  <c r="G220" i="1" s="1"/>
  <c r="U220" i="1"/>
  <c r="H220" i="1" s="1"/>
  <c r="V220" i="1"/>
  <c r="X220" i="1"/>
  <c r="J220" i="1" s="1"/>
  <c r="N221" i="1"/>
  <c r="O221" i="1"/>
  <c r="P221" i="1"/>
  <c r="Q221" i="1"/>
  <c r="R221" i="1"/>
  <c r="S221" i="1"/>
  <c r="T221" i="1"/>
  <c r="G221" i="1" s="1"/>
  <c r="U221" i="1"/>
  <c r="H221" i="1" s="1"/>
  <c r="V221" i="1"/>
  <c r="X221" i="1"/>
  <c r="J221" i="1" s="1"/>
  <c r="N222" i="1"/>
  <c r="O222" i="1"/>
  <c r="P222" i="1"/>
  <c r="Q222" i="1"/>
  <c r="R222" i="1"/>
  <c r="S222" i="1"/>
  <c r="T222" i="1"/>
  <c r="G222" i="1" s="1"/>
  <c r="U222" i="1"/>
  <c r="H222" i="1" s="1"/>
  <c r="V222" i="1"/>
  <c r="X222" i="1"/>
  <c r="J222" i="1" s="1"/>
  <c r="N223" i="1"/>
  <c r="O223" i="1"/>
  <c r="P223" i="1"/>
  <c r="Q223" i="1"/>
  <c r="R223" i="1"/>
  <c r="S223" i="1"/>
  <c r="T223" i="1"/>
  <c r="G223" i="1" s="1"/>
  <c r="U223" i="1"/>
  <c r="H223" i="1" s="1"/>
  <c r="V223" i="1"/>
  <c r="X223" i="1"/>
  <c r="J223" i="1" s="1"/>
  <c r="N224" i="1"/>
  <c r="O224" i="1"/>
  <c r="P224" i="1"/>
  <c r="Q224" i="1"/>
  <c r="R224" i="1"/>
  <c r="S224" i="1"/>
  <c r="T224" i="1"/>
  <c r="G224" i="1" s="1"/>
  <c r="U224" i="1"/>
  <c r="H224" i="1" s="1"/>
  <c r="V224" i="1"/>
  <c r="X224" i="1"/>
  <c r="J224" i="1" s="1"/>
  <c r="N225" i="1"/>
  <c r="O225" i="1"/>
  <c r="P225" i="1"/>
  <c r="Q225" i="1"/>
  <c r="R225" i="1"/>
  <c r="S225" i="1"/>
  <c r="T225" i="1"/>
  <c r="G225" i="1" s="1"/>
  <c r="U225" i="1"/>
  <c r="H225" i="1" s="1"/>
  <c r="V225" i="1"/>
  <c r="X225" i="1"/>
  <c r="J225" i="1" s="1"/>
  <c r="N226" i="1"/>
  <c r="O226" i="1"/>
  <c r="P226" i="1"/>
  <c r="Q226" i="1"/>
  <c r="R226" i="1"/>
  <c r="S226" i="1"/>
  <c r="T226" i="1"/>
  <c r="G226" i="1" s="1"/>
  <c r="U226" i="1"/>
  <c r="H226" i="1" s="1"/>
  <c r="V226" i="1"/>
  <c r="X226" i="1"/>
  <c r="J226" i="1" s="1"/>
  <c r="N227" i="1"/>
  <c r="O227" i="1"/>
  <c r="P227" i="1"/>
  <c r="Q227" i="1"/>
  <c r="R227" i="1"/>
  <c r="S227" i="1"/>
  <c r="T227" i="1"/>
  <c r="G227" i="1" s="1"/>
  <c r="U227" i="1"/>
  <c r="H227" i="1" s="1"/>
  <c r="V227" i="1"/>
  <c r="X227" i="1"/>
  <c r="J227" i="1" s="1"/>
  <c r="N228" i="1"/>
  <c r="O228" i="1"/>
  <c r="P228" i="1"/>
  <c r="Q228" i="1"/>
  <c r="R228" i="1"/>
  <c r="S228" i="1"/>
  <c r="T228" i="1"/>
  <c r="G228" i="1" s="1"/>
  <c r="U228" i="1"/>
  <c r="H228" i="1" s="1"/>
  <c r="V228" i="1"/>
  <c r="X228" i="1"/>
  <c r="J228" i="1" s="1"/>
  <c r="N229" i="1"/>
  <c r="O229" i="1"/>
  <c r="P229" i="1"/>
  <c r="Q229" i="1"/>
  <c r="R229" i="1"/>
  <c r="S229" i="1"/>
  <c r="T229" i="1"/>
  <c r="G229" i="1" s="1"/>
  <c r="U229" i="1"/>
  <c r="H229" i="1" s="1"/>
  <c r="V229" i="1"/>
  <c r="X229" i="1"/>
  <c r="J229" i="1" s="1"/>
  <c r="N230" i="1"/>
  <c r="O230" i="1"/>
  <c r="P230" i="1"/>
  <c r="Q230" i="1"/>
  <c r="R230" i="1"/>
  <c r="S230" i="1"/>
  <c r="T230" i="1"/>
  <c r="G230" i="1" s="1"/>
  <c r="U230" i="1"/>
  <c r="H230" i="1" s="1"/>
  <c r="V230" i="1"/>
  <c r="X230" i="1"/>
  <c r="J230" i="1" s="1"/>
  <c r="N231" i="1"/>
  <c r="O231" i="1"/>
  <c r="P231" i="1"/>
  <c r="Q231" i="1"/>
  <c r="R231" i="1"/>
  <c r="S231" i="1"/>
  <c r="T231" i="1"/>
  <c r="G231" i="1" s="1"/>
  <c r="U231" i="1"/>
  <c r="H231" i="1" s="1"/>
  <c r="V231" i="1"/>
  <c r="X231" i="1"/>
  <c r="J231" i="1" s="1"/>
  <c r="N232" i="1"/>
  <c r="O232" i="1"/>
  <c r="P232" i="1"/>
  <c r="Q232" i="1"/>
  <c r="R232" i="1"/>
  <c r="S232" i="1"/>
  <c r="T232" i="1"/>
  <c r="G232" i="1" s="1"/>
  <c r="U232" i="1"/>
  <c r="H232" i="1" s="1"/>
  <c r="V232" i="1"/>
  <c r="X232" i="1"/>
  <c r="J232" i="1" s="1"/>
  <c r="N233" i="1"/>
  <c r="O233" i="1"/>
  <c r="P233" i="1"/>
  <c r="Q233" i="1"/>
  <c r="R233" i="1"/>
  <c r="S233" i="1"/>
  <c r="T233" i="1"/>
  <c r="G233" i="1" s="1"/>
  <c r="U233" i="1"/>
  <c r="H233" i="1" s="1"/>
  <c r="V233" i="1"/>
  <c r="X233" i="1"/>
  <c r="J233" i="1" s="1"/>
  <c r="N234" i="1"/>
  <c r="O234" i="1"/>
  <c r="P234" i="1"/>
  <c r="Q234" i="1"/>
  <c r="R234" i="1"/>
  <c r="S234" i="1"/>
  <c r="T234" i="1"/>
  <c r="G234" i="1" s="1"/>
  <c r="U234" i="1"/>
  <c r="H234" i="1" s="1"/>
  <c r="V234" i="1"/>
  <c r="X234" i="1"/>
  <c r="J234" i="1" s="1"/>
  <c r="N235" i="1"/>
  <c r="O235" i="1"/>
  <c r="P235" i="1"/>
  <c r="Q235" i="1"/>
  <c r="R235" i="1"/>
  <c r="S235" i="1"/>
  <c r="T235" i="1"/>
  <c r="G235" i="1" s="1"/>
  <c r="U235" i="1"/>
  <c r="H235" i="1" s="1"/>
  <c r="V235" i="1"/>
  <c r="X235" i="1"/>
  <c r="J235" i="1" s="1"/>
  <c r="N236" i="1"/>
  <c r="O236" i="1"/>
  <c r="P236" i="1"/>
  <c r="Q236" i="1"/>
  <c r="R236" i="1"/>
  <c r="S236" i="1"/>
  <c r="T236" i="1"/>
  <c r="G236" i="1" s="1"/>
  <c r="U236" i="1"/>
  <c r="H236" i="1" s="1"/>
  <c r="V236" i="1"/>
  <c r="X236" i="1"/>
  <c r="J236" i="1" s="1"/>
  <c r="N237" i="1"/>
  <c r="O237" i="1"/>
  <c r="P237" i="1"/>
  <c r="Q237" i="1"/>
  <c r="R237" i="1"/>
  <c r="S237" i="1"/>
  <c r="T237" i="1"/>
  <c r="G237" i="1" s="1"/>
  <c r="U237" i="1"/>
  <c r="H237" i="1" s="1"/>
  <c r="V237" i="1"/>
  <c r="X237" i="1"/>
  <c r="J237" i="1" s="1"/>
  <c r="N238" i="1"/>
  <c r="O238" i="1"/>
  <c r="P238" i="1"/>
  <c r="Q238" i="1"/>
  <c r="R238" i="1"/>
  <c r="S238" i="1"/>
  <c r="T238" i="1"/>
  <c r="G238" i="1" s="1"/>
  <c r="U238" i="1"/>
  <c r="H238" i="1" s="1"/>
  <c r="V238" i="1"/>
  <c r="X238" i="1"/>
  <c r="J238" i="1" s="1"/>
  <c r="N239" i="1"/>
  <c r="O239" i="1"/>
  <c r="P239" i="1"/>
  <c r="Q239" i="1"/>
  <c r="R239" i="1"/>
  <c r="S239" i="1"/>
  <c r="T239" i="1"/>
  <c r="G239" i="1" s="1"/>
  <c r="U239" i="1"/>
  <c r="H239" i="1" s="1"/>
  <c r="V239" i="1"/>
  <c r="X239" i="1"/>
  <c r="J239" i="1" s="1"/>
  <c r="N240" i="1"/>
  <c r="O240" i="1"/>
  <c r="P240" i="1"/>
  <c r="Q240" i="1"/>
  <c r="R240" i="1"/>
  <c r="S240" i="1"/>
  <c r="T240" i="1"/>
  <c r="G240" i="1" s="1"/>
  <c r="U240" i="1"/>
  <c r="H240" i="1" s="1"/>
  <c r="V240" i="1"/>
  <c r="X240" i="1"/>
  <c r="J240" i="1" s="1"/>
  <c r="N241" i="1"/>
  <c r="O241" i="1"/>
  <c r="P241" i="1"/>
  <c r="Q241" i="1"/>
  <c r="R241" i="1"/>
  <c r="S241" i="1"/>
  <c r="T241" i="1"/>
  <c r="G241" i="1" s="1"/>
  <c r="U241" i="1"/>
  <c r="H241" i="1" s="1"/>
  <c r="V241" i="1"/>
  <c r="X241" i="1"/>
  <c r="J241" i="1" s="1"/>
  <c r="N242" i="1"/>
  <c r="O242" i="1"/>
  <c r="P242" i="1"/>
  <c r="Q242" i="1"/>
  <c r="R242" i="1"/>
  <c r="S242" i="1"/>
  <c r="T242" i="1"/>
  <c r="G242" i="1" s="1"/>
  <c r="U242" i="1"/>
  <c r="H242" i="1" s="1"/>
  <c r="V242" i="1"/>
  <c r="X242" i="1"/>
  <c r="J242" i="1" s="1"/>
  <c r="N243" i="1"/>
  <c r="O243" i="1"/>
  <c r="P243" i="1"/>
  <c r="Q243" i="1"/>
  <c r="R243" i="1"/>
  <c r="S243" i="1"/>
  <c r="T243" i="1"/>
  <c r="G243" i="1" s="1"/>
  <c r="U243" i="1"/>
  <c r="H243" i="1" s="1"/>
  <c r="V243" i="1"/>
  <c r="X243" i="1"/>
  <c r="J243" i="1" s="1"/>
  <c r="N244" i="1"/>
  <c r="O244" i="1"/>
  <c r="P244" i="1"/>
  <c r="Q244" i="1"/>
  <c r="R244" i="1"/>
  <c r="S244" i="1"/>
  <c r="T244" i="1"/>
  <c r="G244" i="1" s="1"/>
  <c r="U244" i="1"/>
  <c r="H244" i="1" s="1"/>
  <c r="V244" i="1"/>
  <c r="X244" i="1"/>
  <c r="J244" i="1" s="1"/>
  <c r="N245" i="1"/>
  <c r="O245" i="1"/>
  <c r="P245" i="1"/>
  <c r="Q245" i="1"/>
  <c r="R245" i="1"/>
  <c r="S245" i="1"/>
  <c r="T245" i="1"/>
  <c r="G245" i="1" s="1"/>
  <c r="U245" i="1"/>
  <c r="H245" i="1" s="1"/>
  <c r="V245" i="1"/>
  <c r="X245" i="1"/>
  <c r="J245" i="1" s="1"/>
  <c r="N246" i="1"/>
  <c r="O246" i="1"/>
  <c r="P246" i="1"/>
  <c r="Q246" i="1"/>
  <c r="R246" i="1"/>
  <c r="S246" i="1"/>
  <c r="T246" i="1"/>
  <c r="G246" i="1" s="1"/>
  <c r="U246" i="1"/>
  <c r="H246" i="1" s="1"/>
  <c r="V246" i="1"/>
  <c r="X246" i="1"/>
  <c r="J246" i="1" s="1"/>
  <c r="N247" i="1"/>
  <c r="O247" i="1"/>
  <c r="P247" i="1"/>
  <c r="Q247" i="1"/>
  <c r="R247" i="1"/>
  <c r="S247" i="1"/>
  <c r="T247" i="1"/>
  <c r="G247" i="1" s="1"/>
  <c r="U247" i="1"/>
  <c r="H247" i="1" s="1"/>
  <c r="V247" i="1"/>
  <c r="X247" i="1"/>
  <c r="J247" i="1" s="1"/>
  <c r="N248" i="1"/>
  <c r="O248" i="1"/>
  <c r="P248" i="1"/>
  <c r="Q248" i="1"/>
  <c r="R248" i="1"/>
  <c r="S248" i="1"/>
  <c r="T248" i="1"/>
  <c r="G248" i="1" s="1"/>
  <c r="U248" i="1"/>
  <c r="H248" i="1" s="1"/>
  <c r="V248" i="1"/>
  <c r="X248" i="1"/>
  <c r="J248" i="1" s="1"/>
  <c r="N249" i="1"/>
  <c r="O249" i="1"/>
  <c r="P249" i="1"/>
  <c r="Q249" i="1"/>
  <c r="R249" i="1"/>
  <c r="S249" i="1"/>
  <c r="T249" i="1"/>
  <c r="G249" i="1" s="1"/>
  <c r="U249" i="1"/>
  <c r="H249" i="1" s="1"/>
  <c r="V249" i="1"/>
  <c r="X249" i="1"/>
  <c r="J249" i="1" s="1"/>
  <c r="N250" i="1"/>
  <c r="O250" i="1"/>
  <c r="P250" i="1"/>
  <c r="Q250" i="1"/>
  <c r="R250" i="1"/>
  <c r="S250" i="1"/>
  <c r="T250" i="1"/>
  <c r="G250" i="1" s="1"/>
  <c r="U250" i="1"/>
  <c r="H250" i="1" s="1"/>
  <c r="V250" i="1"/>
  <c r="X250" i="1"/>
  <c r="J250" i="1" s="1"/>
  <c r="N251" i="1"/>
  <c r="O251" i="1"/>
  <c r="P251" i="1"/>
  <c r="Q251" i="1"/>
  <c r="R251" i="1"/>
  <c r="S251" i="1"/>
  <c r="T251" i="1"/>
  <c r="G251" i="1" s="1"/>
  <c r="U251" i="1"/>
  <c r="H251" i="1" s="1"/>
  <c r="V251" i="1"/>
  <c r="X251" i="1"/>
  <c r="J251" i="1" s="1"/>
  <c r="N252" i="1"/>
  <c r="O252" i="1"/>
  <c r="P252" i="1"/>
  <c r="Q252" i="1"/>
  <c r="R252" i="1"/>
  <c r="S252" i="1"/>
  <c r="T252" i="1"/>
  <c r="G252" i="1" s="1"/>
  <c r="U252" i="1"/>
  <c r="H252" i="1" s="1"/>
  <c r="V252" i="1"/>
  <c r="X252" i="1"/>
  <c r="J252" i="1" s="1"/>
  <c r="N253" i="1"/>
  <c r="O253" i="1"/>
  <c r="P253" i="1"/>
  <c r="Q253" i="1"/>
  <c r="R253" i="1"/>
  <c r="S253" i="1"/>
  <c r="T253" i="1"/>
  <c r="G253" i="1" s="1"/>
  <c r="U253" i="1"/>
  <c r="H253" i="1" s="1"/>
  <c r="V253" i="1"/>
  <c r="X253" i="1"/>
  <c r="J253" i="1" s="1"/>
  <c r="N254" i="1"/>
  <c r="O254" i="1"/>
  <c r="P254" i="1"/>
  <c r="Q254" i="1"/>
  <c r="R254" i="1"/>
  <c r="S254" i="1"/>
  <c r="T254" i="1"/>
  <c r="G254" i="1" s="1"/>
  <c r="U254" i="1"/>
  <c r="H254" i="1" s="1"/>
  <c r="V254" i="1"/>
  <c r="X254" i="1"/>
  <c r="J254" i="1" s="1"/>
  <c r="N255" i="1"/>
  <c r="O255" i="1"/>
  <c r="P255" i="1"/>
  <c r="Q255" i="1"/>
  <c r="R255" i="1"/>
  <c r="S255" i="1"/>
  <c r="T255" i="1"/>
  <c r="G255" i="1" s="1"/>
  <c r="U255" i="1"/>
  <c r="H255" i="1" s="1"/>
  <c r="V255" i="1"/>
  <c r="X255" i="1"/>
  <c r="J255" i="1" s="1"/>
  <c r="N256" i="1"/>
  <c r="O256" i="1"/>
  <c r="P256" i="1"/>
  <c r="Q256" i="1"/>
  <c r="R256" i="1"/>
  <c r="S256" i="1"/>
  <c r="T256" i="1"/>
  <c r="G256" i="1" s="1"/>
  <c r="U256" i="1"/>
  <c r="H256" i="1" s="1"/>
  <c r="V256" i="1"/>
  <c r="X256" i="1"/>
  <c r="J256" i="1" s="1"/>
  <c r="N257" i="1"/>
  <c r="O257" i="1"/>
  <c r="P257" i="1"/>
  <c r="Q257" i="1"/>
  <c r="R257" i="1"/>
  <c r="S257" i="1"/>
  <c r="T257" i="1"/>
  <c r="G257" i="1" s="1"/>
  <c r="U257" i="1"/>
  <c r="H257" i="1" s="1"/>
  <c r="V257" i="1"/>
  <c r="X257" i="1"/>
  <c r="J257" i="1" s="1"/>
  <c r="N258" i="1"/>
  <c r="O258" i="1"/>
  <c r="P258" i="1"/>
  <c r="Q258" i="1"/>
  <c r="R258" i="1"/>
  <c r="S258" i="1"/>
  <c r="T258" i="1"/>
  <c r="G258" i="1" s="1"/>
  <c r="U258" i="1"/>
  <c r="H258" i="1" s="1"/>
  <c r="V258" i="1"/>
  <c r="X258" i="1"/>
  <c r="J258" i="1" s="1"/>
  <c r="N259" i="1"/>
  <c r="O259" i="1"/>
  <c r="P259" i="1"/>
  <c r="Q259" i="1"/>
  <c r="R259" i="1"/>
  <c r="S259" i="1"/>
  <c r="T259" i="1"/>
  <c r="G259" i="1" s="1"/>
  <c r="U259" i="1"/>
  <c r="H259" i="1" s="1"/>
  <c r="V259" i="1"/>
  <c r="X259" i="1"/>
  <c r="J259" i="1" s="1"/>
  <c r="N260" i="1"/>
  <c r="O260" i="1"/>
  <c r="P260" i="1"/>
  <c r="Q260" i="1"/>
  <c r="R260" i="1"/>
  <c r="S260" i="1"/>
  <c r="T260" i="1"/>
  <c r="G260" i="1" s="1"/>
  <c r="U260" i="1"/>
  <c r="H260" i="1" s="1"/>
  <c r="V260" i="1"/>
  <c r="X260" i="1"/>
  <c r="J260" i="1" s="1"/>
  <c r="N261" i="1"/>
  <c r="O261" i="1"/>
  <c r="P261" i="1"/>
  <c r="Q261" i="1"/>
  <c r="R261" i="1"/>
  <c r="S261" i="1"/>
  <c r="T261" i="1"/>
  <c r="G261" i="1" s="1"/>
  <c r="U261" i="1"/>
  <c r="H261" i="1" s="1"/>
  <c r="V261" i="1"/>
  <c r="X261" i="1"/>
  <c r="J261" i="1" s="1"/>
  <c r="N262" i="1"/>
  <c r="O262" i="1"/>
  <c r="P262" i="1"/>
  <c r="Q262" i="1"/>
  <c r="R262" i="1"/>
  <c r="S262" i="1"/>
  <c r="T262" i="1"/>
  <c r="G262" i="1" s="1"/>
  <c r="U262" i="1"/>
  <c r="H262" i="1" s="1"/>
  <c r="V262" i="1"/>
  <c r="X262" i="1"/>
  <c r="J262" i="1" s="1"/>
  <c r="N263" i="1"/>
  <c r="O263" i="1"/>
  <c r="P263" i="1"/>
  <c r="Q263" i="1"/>
  <c r="R263" i="1"/>
  <c r="S263" i="1"/>
  <c r="T263" i="1"/>
  <c r="G263" i="1" s="1"/>
  <c r="U263" i="1"/>
  <c r="H263" i="1" s="1"/>
  <c r="V263" i="1"/>
  <c r="X263" i="1"/>
  <c r="J263" i="1" s="1"/>
  <c r="N264" i="1"/>
  <c r="O264" i="1"/>
  <c r="P264" i="1"/>
  <c r="Q264" i="1"/>
  <c r="R264" i="1"/>
  <c r="S264" i="1"/>
  <c r="T264" i="1"/>
  <c r="G264" i="1" s="1"/>
  <c r="U264" i="1"/>
  <c r="H264" i="1" s="1"/>
  <c r="V264" i="1"/>
  <c r="X264" i="1"/>
  <c r="J264" i="1" s="1"/>
  <c r="N265" i="1"/>
  <c r="O265" i="1"/>
  <c r="P265" i="1"/>
  <c r="Q265" i="1"/>
  <c r="R265" i="1"/>
  <c r="S265" i="1"/>
  <c r="T265" i="1"/>
  <c r="G265" i="1" s="1"/>
  <c r="U265" i="1"/>
  <c r="H265" i="1" s="1"/>
  <c r="V265" i="1"/>
  <c r="X265" i="1"/>
  <c r="J265" i="1" s="1"/>
  <c r="N266" i="1"/>
  <c r="O266" i="1"/>
  <c r="P266" i="1"/>
  <c r="Q266" i="1"/>
  <c r="R266" i="1"/>
  <c r="S266" i="1"/>
  <c r="T266" i="1"/>
  <c r="G266" i="1" s="1"/>
  <c r="U266" i="1"/>
  <c r="H266" i="1" s="1"/>
  <c r="V266" i="1"/>
  <c r="X266" i="1"/>
  <c r="J266" i="1" s="1"/>
  <c r="N267" i="1"/>
  <c r="O267" i="1"/>
  <c r="P267" i="1"/>
  <c r="Q267" i="1"/>
  <c r="R267" i="1"/>
  <c r="S267" i="1"/>
  <c r="T267" i="1"/>
  <c r="G267" i="1" s="1"/>
  <c r="U267" i="1"/>
  <c r="H267" i="1" s="1"/>
  <c r="V267" i="1"/>
  <c r="X267" i="1"/>
  <c r="J267" i="1" s="1"/>
  <c r="N268" i="1"/>
  <c r="O268" i="1"/>
  <c r="P268" i="1"/>
  <c r="Q268" i="1"/>
  <c r="R268" i="1"/>
  <c r="S268" i="1"/>
  <c r="T268" i="1"/>
  <c r="G268" i="1" s="1"/>
  <c r="U268" i="1"/>
  <c r="H268" i="1" s="1"/>
  <c r="V268" i="1"/>
  <c r="X268" i="1"/>
  <c r="J268" i="1" s="1"/>
  <c r="N269" i="1"/>
  <c r="O269" i="1"/>
  <c r="P269" i="1"/>
  <c r="Q269" i="1"/>
  <c r="R269" i="1"/>
  <c r="S269" i="1"/>
  <c r="T269" i="1"/>
  <c r="G269" i="1" s="1"/>
  <c r="U269" i="1"/>
  <c r="H269" i="1" s="1"/>
  <c r="V269" i="1"/>
  <c r="X269" i="1"/>
  <c r="J269" i="1" s="1"/>
  <c r="N270" i="1"/>
  <c r="O270" i="1"/>
  <c r="P270" i="1"/>
  <c r="Q270" i="1"/>
  <c r="R270" i="1"/>
  <c r="S270" i="1"/>
  <c r="T270" i="1"/>
  <c r="G270" i="1" s="1"/>
  <c r="U270" i="1"/>
  <c r="H270" i="1" s="1"/>
  <c r="V270" i="1"/>
  <c r="X270" i="1"/>
  <c r="J270" i="1" s="1"/>
  <c r="N271" i="1"/>
  <c r="O271" i="1"/>
  <c r="P271" i="1"/>
  <c r="Q271" i="1"/>
  <c r="R271" i="1"/>
  <c r="S271" i="1"/>
  <c r="T271" i="1"/>
  <c r="G271" i="1" s="1"/>
  <c r="U271" i="1"/>
  <c r="H271" i="1" s="1"/>
  <c r="V271" i="1"/>
  <c r="X271" i="1"/>
  <c r="J271" i="1" s="1"/>
  <c r="N272" i="1"/>
  <c r="O272" i="1"/>
  <c r="P272" i="1"/>
  <c r="Q272" i="1"/>
  <c r="R272" i="1"/>
  <c r="S272" i="1"/>
  <c r="T272" i="1"/>
  <c r="G272" i="1" s="1"/>
  <c r="U272" i="1"/>
  <c r="H272" i="1" s="1"/>
  <c r="V272" i="1"/>
  <c r="X272" i="1"/>
  <c r="J272" i="1" s="1"/>
  <c r="N273" i="1"/>
  <c r="O273" i="1"/>
  <c r="P273" i="1"/>
  <c r="Q273" i="1"/>
  <c r="R273" i="1"/>
  <c r="S273" i="1"/>
  <c r="T273" i="1"/>
  <c r="G273" i="1" s="1"/>
  <c r="U273" i="1"/>
  <c r="H273" i="1" s="1"/>
  <c r="V273" i="1"/>
  <c r="X273" i="1"/>
  <c r="J273" i="1" s="1"/>
  <c r="N274" i="1"/>
  <c r="O274" i="1"/>
  <c r="P274" i="1"/>
  <c r="Q274" i="1"/>
  <c r="R274" i="1"/>
  <c r="S274" i="1"/>
  <c r="T274" i="1"/>
  <c r="G274" i="1" s="1"/>
  <c r="U274" i="1"/>
  <c r="H274" i="1" s="1"/>
  <c r="V274" i="1"/>
  <c r="X274" i="1"/>
  <c r="J274" i="1" s="1"/>
  <c r="N275" i="1"/>
  <c r="O275" i="1"/>
  <c r="P275" i="1"/>
  <c r="Q275" i="1"/>
  <c r="R275" i="1"/>
  <c r="S275" i="1"/>
  <c r="T275" i="1"/>
  <c r="G275" i="1" s="1"/>
  <c r="U275" i="1"/>
  <c r="H275" i="1" s="1"/>
  <c r="V275" i="1"/>
  <c r="X275" i="1"/>
  <c r="J275" i="1" s="1"/>
  <c r="N276" i="1"/>
  <c r="O276" i="1"/>
  <c r="P276" i="1"/>
  <c r="Q276" i="1"/>
  <c r="R276" i="1"/>
  <c r="S276" i="1"/>
  <c r="T276" i="1"/>
  <c r="G276" i="1" s="1"/>
  <c r="U276" i="1"/>
  <c r="H276" i="1" s="1"/>
  <c r="V276" i="1"/>
  <c r="X276" i="1"/>
  <c r="J276" i="1" s="1"/>
  <c r="N277" i="1"/>
  <c r="O277" i="1"/>
  <c r="P277" i="1"/>
  <c r="Q277" i="1"/>
  <c r="R277" i="1"/>
  <c r="S277" i="1"/>
  <c r="T277" i="1"/>
  <c r="G277" i="1" s="1"/>
  <c r="U277" i="1"/>
  <c r="H277" i="1" s="1"/>
  <c r="V277" i="1"/>
  <c r="X277" i="1"/>
  <c r="J277" i="1" s="1"/>
  <c r="N278" i="1"/>
  <c r="O278" i="1"/>
  <c r="P278" i="1"/>
  <c r="Q278" i="1"/>
  <c r="R278" i="1"/>
  <c r="S278" i="1"/>
  <c r="T278" i="1"/>
  <c r="G278" i="1" s="1"/>
  <c r="U278" i="1"/>
  <c r="H278" i="1" s="1"/>
  <c r="V278" i="1"/>
  <c r="X278" i="1"/>
  <c r="J278" i="1" s="1"/>
  <c r="N279" i="1"/>
  <c r="O279" i="1"/>
  <c r="P279" i="1"/>
  <c r="Q279" i="1"/>
  <c r="R279" i="1"/>
  <c r="S279" i="1"/>
  <c r="T279" i="1"/>
  <c r="G279" i="1" s="1"/>
  <c r="U279" i="1"/>
  <c r="H279" i="1" s="1"/>
  <c r="V279" i="1"/>
  <c r="X279" i="1"/>
  <c r="J279" i="1" s="1"/>
  <c r="N280" i="1"/>
  <c r="O280" i="1"/>
  <c r="P280" i="1"/>
  <c r="Q280" i="1"/>
  <c r="R280" i="1"/>
  <c r="S280" i="1"/>
  <c r="T280" i="1"/>
  <c r="G280" i="1" s="1"/>
  <c r="U280" i="1"/>
  <c r="H280" i="1" s="1"/>
  <c r="V280" i="1"/>
  <c r="X280" i="1"/>
  <c r="J280" i="1" s="1"/>
  <c r="N281" i="1"/>
  <c r="O281" i="1"/>
  <c r="P281" i="1"/>
  <c r="Q281" i="1"/>
  <c r="R281" i="1"/>
  <c r="S281" i="1"/>
  <c r="T281" i="1"/>
  <c r="G281" i="1" s="1"/>
  <c r="U281" i="1"/>
  <c r="H281" i="1" s="1"/>
  <c r="V281" i="1"/>
  <c r="X281" i="1"/>
  <c r="J281" i="1" s="1"/>
  <c r="N282" i="1"/>
  <c r="O282" i="1"/>
  <c r="P282" i="1"/>
  <c r="Q282" i="1"/>
  <c r="R282" i="1"/>
  <c r="S282" i="1"/>
  <c r="T282" i="1"/>
  <c r="G282" i="1" s="1"/>
  <c r="U282" i="1"/>
  <c r="H282" i="1" s="1"/>
  <c r="V282" i="1"/>
  <c r="X282" i="1"/>
  <c r="J282" i="1" s="1"/>
  <c r="N283" i="1"/>
  <c r="O283" i="1"/>
  <c r="P283" i="1"/>
  <c r="Q283" i="1"/>
  <c r="R283" i="1"/>
  <c r="S283" i="1"/>
  <c r="T283" i="1"/>
  <c r="G283" i="1" s="1"/>
  <c r="U283" i="1"/>
  <c r="H283" i="1" s="1"/>
  <c r="V283" i="1"/>
  <c r="X283" i="1"/>
  <c r="J283" i="1" s="1"/>
  <c r="N284" i="1"/>
  <c r="O284" i="1"/>
  <c r="P284" i="1"/>
  <c r="Q284" i="1"/>
  <c r="R284" i="1"/>
  <c r="S284" i="1"/>
  <c r="T284" i="1"/>
  <c r="G284" i="1" s="1"/>
  <c r="U284" i="1"/>
  <c r="H284" i="1" s="1"/>
  <c r="V284" i="1"/>
  <c r="X284" i="1"/>
  <c r="J284" i="1" s="1"/>
  <c r="N285" i="1"/>
  <c r="O285" i="1"/>
  <c r="P285" i="1"/>
  <c r="Q285" i="1"/>
  <c r="R285" i="1"/>
  <c r="S285" i="1"/>
  <c r="T285" i="1"/>
  <c r="G285" i="1" s="1"/>
  <c r="U285" i="1"/>
  <c r="H285" i="1" s="1"/>
  <c r="V285" i="1"/>
  <c r="X285" i="1"/>
  <c r="J285" i="1" s="1"/>
  <c r="N286" i="1"/>
  <c r="O286" i="1"/>
  <c r="P286" i="1"/>
  <c r="Q286" i="1"/>
  <c r="R286" i="1"/>
  <c r="S286" i="1"/>
  <c r="T286" i="1"/>
  <c r="G286" i="1" s="1"/>
  <c r="U286" i="1"/>
  <c r="H286" i="1" s="1"/>
  <c r="V286" i="1"/>
  <c r="X286" i="1"/>
  <c r="J286" i="1" s="1"/>
  <c r="N287" i="1"/>
  <c r="O287" i="1"/>
  <c r="P287" i="1"/>
  <c r="Q287" i="1"/>
  <c r="R287" i="1"/>
  <c r="S287" i="1"/>
  <c r="T287" i="1"/>
  <c r="G287" i="1" s="1"/>
  <c r="U287" i="1"/>
  <c r="H287" i="1" s="1"/>
  <c r="V287" i="1"/>
  <c r="X287" i="1"/>
  <c r="J287" i="1" s="1"/>
  <c r="N288" i="1"/>
  <c r="O288" i="1"/>
  <c r="P288" i="1"/>
  <c r="Q288" i="1"/>
  <c r="R288" i="1"/>
  <c r="S288" i="1"/>
  <c r="T288" i="1"/>
  <c r="G288" i="1" s="1"/>
  <c r="U288" i="1"/>
  <c r="H288" i="1" s="1"/>
  <c r="V288" i="1"/>
  <c r="X288" i="1"/>
  <c r="J288" i="1" s="1"/>
  <c r="N289" i="1"/>
  <c r="O289" i="1"/>
  <c r="P289" i="1"/>
  <c r="Q289" i="1"/>
  <c r="R289" i="1"/>
  <c r="S289" i="1"/>
  <c r="T289" i="1"/>
  <c r="G289" i="1" s="1"/>
  <c r="U289" i="1"/>
  <c r="H289" i="1" s="1"/>
  <c r="V289" i="1"/>
  <c r="X289" i="1"/>
  <c r="J289" i="1" s="1"/>
  <c r="N290" i="1"/>
  <c r="O290" i="1"/>
  <c r="P290" i="1"/>
  <c r="Q290" i="1"/>
  <c r="R290" i="1"/>
  <c r="S290" i="1"/>
  <c r="T290" i="1"/>
  <c r="G290" i="1" s="1"/>
  <c r="U290" i="1"/>
  <c r="H290" i="1" s="1"/>
  <c r="V290" i="1"/>
  <c r="X290" i="1"/>
  <c r="J290" i="1" s="1"/>
  <c r="N291" i="1"/>
  <c r="O291" i="1"/>
  <c r="P291" i="1"/>
  <c r="Q291" i="1"/>
  <c r="R291" i="1"/>
  <c r="S291" i="1"/>
  <c r="T291" i="1"/>
  <c r="G291" i="1" s="1"/>
  <c r="U291" i="1"/>
  <c r="H291" i="1" s="1"/>
  <c r="V291" i="1"/>
  <c r="X291" i="1"/>
  <c r="J291" i="1" s="1"/>
  <c r="N292" i="1"/>
  <c r="O292" i="1"/>
  <c r="P292" i="1"/>
  <c r="Q292" i="1"/>
  <c r="R292" i="1"/>
  <c r="S292" i="1"/>
  <c r="T292" i="1"/>
  <c r="G292" i="1" s="1"/>
  <c r="U292" i="1"/>
  <c r="H292" i="1" s="1"/>
  <c r="V292" i="1"/>
  <c r="X292" i="1"/>
  <c r="J292" i="1" s="1"/>
  <c r="N293" i="1"/>
  <c r="O293" i="1"/>
  <c r="P293" i="1"/>
  <c r="Q293" i="1"/>
  <c r="R293" i="1"/>
  <c r="S293" i="1"/>
  <c r="T293" i="1"/>
  <c r="G293" i="1" s="1"/>
  <c r="U293" i="1"/>
  <c r="H293" i="1" s="1"/>
  <c r="V293" i="1"/>
  <c r="X293" i="1"/>
  <c r="J293" i="1" s="1"/>
  <c r="N294" i="1"/>
  <c r="O294" i="1"/>
  <c r="P294" i="1"/>
  <c r="Q294" i="1"/>
  <c r="R294" i="1"/>
  <c r="S294" i="1"/>
  <c r="T294" i="1"/>
  <c r="G294" i="1" s="1"/>
  <c r="U294" i="1"/>
  <c r="H294" i="1" s="1"/>
  <c r="V294" i="1"/>
  <c r="X294" i="1"/>
  <c r="J294" i="1" s="1"/>
  <c r="N295" i="1"/>
  <c r="O295" i="1"/>
  <c r="P295" i="1"/>
  <c r="Q295" i="1"/>
  <c r="R295" i="1"/>
  <c r="S295" i="1"/>
  <c r="T295" i="1"/>
  <c r="G295" i="1" s="1"/>
  <c r="U295" i="1"/>
  <c r="H295" i="1" s="1"/>
  <c r="V295" i="1"/>
  <c r="X295" i="1"/>
  <c r="J295" i="1" s="1"/>
  <c r="N296" i="1"/>
  <c r="O296" i="1"/>
  <c r="P296" i="1"/>
  <c r="Q296" i="1"/>
  <c r="R296" i="1"/>
  <c r="S296" i="1"/>
  <c r="T296" i="1"/>
  <c r="G296" i="1" s="1"/>
  <c r="U296" i="1"/>
  <c r="H296" i="1" s="1"/>
  <c r="V296" i="1"/>
  <c r="X296" i="1"/>
  <c r="J296" i="1" s="1"/>
  <c r="N297" i="1"/>
  <c r="O297" i="1"/>
  <c r="P297" i="1"/>
  <c r="Q297" i="1"/>
  <c r="R297" i="1"/>
  <c r="S297" i="1"/>
  <c r="T297" i="1"/>
  <c r="G297" i="1" s="1"/>
  <c r="U297" i="1"/>
  <c r="H297" i="1" s="1"/>
  <c r="V297" i="1"/>
  <c r="X297" i="1"/>
  <c r="J297" i="1" s="1"/>
  <c r="N298" i="1"/>
  <c r="O298" i="1"/>
  <c r="P298" i="1"/>
  <c r="Q298" i="1"/>
  <c r="R298" i="1"/>
  <c r="S298" i="1"/>
  <c r="T298" i="1"/>
  <c r="G298" i="1" s="1"/>
  <c r="U298" i="1"/>
  <c r="H298" i="1" s="1"/>
  <c r="V298" i="1"/>
  <c r="X298" i="1"/>
  <c r="J298" i="1" s="1"/>
  <c r="N299" i="1"/>
  <c r="O299" i="1"/>
  <c r="P299" i="1"/>
  <c r="Q299" i="1"/>
  <c r="R299" i="1"/>
  <c r="S299" i="1"/>
  <c r="T299" i="1"/>
  <c r="G299" i="1" s="1"/>
  <c r="U299" i="1"/>
  <c r="H299" i="1" s="1"/>
  <c r="V299" i="1"/>
  <c r="X299" i="1"/>
  <c r="J299" i="1" s="1"/>
  <c r="N300" i="1"/>
  <c r="O300" i="1"/>
  <c r="P300" i="1"/>
  <c r="Q300" i="1"/>
  <c r="R300" i="1"/>
  <c r="S300" i="1"/>
  <c r="T300" i="1"/>
  <c r="G300" i="1" s="1"/>
  <c r="U300" i="1"/>
  <c r="H300" i="1" s="1"/>
  <c r="V300" i="1"/>
  <c r="X300" i="1"/>
  <c r="J300" i="1" s="1"/>
  <c r="N301" i="1"/>
  <c r="O301" i="1"/>
  <c r="P301" i="1"/>
  <c r="Q301" i="1"/>
  <c r="R301" i="1"/>
  <c r="S301" i="1"/>
  <c r="T301" i="1"/>
  <c r="G301" i="1" s="1"/>
  <c r="U301" i="1"/>
  <c r="H301" i="1" s="1"/>
  <c r="V301" i="1"/>
  <c r="X301" i="1"/>
  <c r="J301" i="1" s="1"/>
  <c r="N302" i="1"/>
  <c r="O302" i="1"/>
  <c r="P302" i="1"/>
  <c r="Q302" i="1"/>
  <c r="R302" i="1"/>
  <c r="S302" i="1"/>
  <c r="T302" i="1"/>
  <c r="G302" i="1" s="1"/>
  <c r="U302" i="1"/>
  <c r="H302" i="1" s="1"/>
  <c r="V302" i="1"/>
  <c r="X302" i="1"/>
  <c r="J302" i="1" s="1"/>
  <c r="N303" i="1"/>
  <c r="O303" i="1"/>
  <c r="P303" i="1"/>
  <c r="Q303" i="1"/>
  <c r="R303" i="1"/>
  <c r="S303" i="1"/>
  <c r="T303" i="1"/>
  <c r="G303" i="1" s="1"/>
  <c r="U303" i="1"/>
  <c r="H303" i="1" s="1"/>
  <c r="V303" i="1"/>
  <c r="X303" i="1"/>
  <c r="J303" i="1" s="1"/>
  <c r="N304" i="1"/>
  <c r="O304" i="1"/>
  <c r="P304" i="1"/>
  <c r="Q304" i="1"/>
  <c r="R304" i="1"/>
  <c r="S304" i="1"/>
  <c r="T304" i="1"/>
  <c r="G304" i="1" s="1"/>
  <c r="U304" i="1"/>
  <c r="H304" i="1" s="1"/>
  <c r="V304" i="1"/>
  <c r="X304" i="1"/>
  <c r="J304" i="1" s="1"/>
  <c r="N305" i="1"/>
  <c r="O305" i="1"/>
  <c r="P305" i="1"/>
  <c r="Q305" i="1"/>
  <c r="R305" i="1"/>
  <c r="S305" i="1"/>
  <c r="T305" i="1"/>
  <c r="G305" i="1" s="1"/>
  <c r="U305" i="1"/>
  <c r="H305" i="1" s="1"/>
  <c r="V305" i="1"/>
  <c r="X305" i="1"/>
  <c r="J305" i="1" s="1"/>
  <c r="N306" i="1"/>
  <c r="O306" i="1"/>
  <c r="P306" i="1"/>
  <c r="Q306" i="1"/>
  <c r="R306" i="1"/>
  <c r="S306" i="1"/>
  <c r="T306" i="1"/>
  <c r="G306" i="1" s="1"/>
  <c r="U306" i="1"/>
  <c r="H306" i="1" s="1"/>
  <c r="V306" i="1"/>
  <c r="X306" i="1"/>
  <c r="J306" i="1" s="1"/>
  <c r="N307" i="1"/>
  <c r="O307" i="1"/>
  <c r="P307" i="1"/>
  <c r="Q307" i="1"/>
  <c r="R307" i="1"/>
  <c r="S307" i="1"/>
  <c r="T307" i="1"/>
  <c r="G307" i="1" s="1"/>
  <c r="U307" i="1"/>
  <c r="H307" i="1" s="1"/>
  <c r="V307" i="1"/>
  <c r="X307" i="1"/>
  <c r="J307" i="1" s="1"/>
  <c r="N308" i="1"/>
  <c r="O308" i="1"/>
  <c r="P308" i="1"/>
  <c r="Q308" i="1"/>
  <c r="R308" i="1"/>
  <c r="S308" i="1"/>
  <c r="T308" i="1"/>
  <c r="G308" i="1" s="1"/>
  <c r="U308" i="1"/>
  <c r="H308" i="1" s="1"/>
  <c r="V308" i="1"/>
  <c r="X308" i="1"/>
  <c r="J308" i="1" s="1"/>
  <c r="N309" i="1"/>
  <c r="O309" i="1"/>
  <c r="P309" i="1"/>
  <c r="Q309" i="1"/>
  <c r="R309" i="1"/>
  <c r="S309" i="1"/>
  <c r="T309" i="1"/>
  <c r="G309" i="1" s="1"/>
  <c r="U309" i="1"/>
  <c r="H309" i="1" s="1"/>
  <c r="V309" i="1"/>
  <c r="X309" i="1"/>
  <c r="J309" i="1" s="1"/>
  <c r="N310" i="1"/>
  <c r="O310" i="1"/>
  <c r="P310" i="1"/>
  <c r="Q310" i="1"/>
  <c r="R310" i="1"/>
  <c r="S310" i="1"/>
  <c r="T310" i="1"/>
  <c r="G310" i="1" s="1"/>
  <c r="U310" i="1"/>
  <c r="H310" i="1" s="1"/>
  <c r="V310" i="1"/>
  <c r="X310" i="1"/>
  <c r="J310" i="1" s="1"/>
  <c r="N311" i="1"/>
  <c r="O311" i="1"/>
  <c r="P311" i="1"/>
  <c r="Q311" i="1"/>
  <c r="R311" i="1"/>
  <c r="S311" i="1"/>
  <c r="T311" i="1"/>
  <c r="G311" i="1" s="1"/>
  <c r="U311" i="1"/>
  <c r="H311" i="1" s="1"/>
  <c r="V311" i="1"/>
  <c r="X311" i="1"/>
  <c r="J311" i="1" s="1"/>
  <c r="N312" i="1"/>
  <c r="O312" i="1"/>
  <c r="P312" i="1"/>
  <c r="Q312" i="1"/>
  <c r="R312" i="1"/>
  <c r="S312" i="1"/>
  <c r="T312" i="1"/>
  <c r="G312" i="1" s="1"/>
  <c r="U312" i="1"/>
  <c r="H312" i="1" s="1"/>
  <c r="V312" i="1"/>
  <c r="X312" i="1"/>
  <c r="J312" i="1" s="1"/>
  <c r="N313" i="1"/>
  <c r="O313" i="1"/>
  <c r="P313" i="1"/>
  <c r="Q313" i="1"/>
  <c r="R313" i="1"/>
  <c r="S313" i="1"/>
  <c r="T313" i="1"/>
  <c r="G313" i="1" s="1"/>
  <c r="U313" i="1"/>
  <c r="H313" i="1" s="1"/>
  <c r="V313" i="1"/>
  <c r="X313" i="1"/>
  <c r="J313" i="1" s="1"/>
  <c r="N314" i="1"/>
  <c r="O314" i="1"/>
  <c r="P314" i="1"/>
  <c r="Q314" i="1"/>
  <c r="R314" i="1"/>
  <c r="S314" i="1"/>
  <c r="T314" i="1"/>
  <c r="G314" i="1" s="1"/>
  <c r="U314" i="1"/>
  <c r="H314" i="1" s="1"/>
  <c r="V314" i="1"/>
  <c r="X314" i="1"/>
  <c r="J314" i="1" s="1"/>
  <c r="N315" i="1"/>
  <c r="O315" i="1"/>
  <c r="P315" i="1"/>
  <c r="Q315" i="1"/>
  <c r="R315" i="1"/>
  <c r="S315" i="1"/>
  <c r="T315" i="1"/>
  <c r="G315" i="1" s="1"/>
  <c r="U315" i="1"/>
  <c r="H315" i="1" s="1"/>
  <c r="V315" i="1"/>
  <c r="X315" i="1"/>
  <c r="J315" i="1" s="1"/>
  <c r="N316" i="1"/>
  <c r="O316" i="1"/>
  <c r="P316" i="1"/>
  <c r="Q316" i="1"/>
  <c r="R316" i="1"/>
  <c r="S316" i="1"/>
  <c r="T316" i="1"/>
  <c r="G316" i="1" s="1"/>
  <c r="U316" i="1"/>
  <c r="H316" i="1" s="1"/>
  <c r="V316" i="1"/>
  <c r="X316" i="1"/>
  <c r="J316" i="1" s="1"/>
  <c r="N317" i="1"/>
  <c r="O317" i="1"/>
  <c r="P317" i="1"/>
  <c r="Q317" i="1"/>
  <c r="R317" i="1"/>
  <c r="S317" i="1"/>
  <c r="T317" i="1"/>
  <c r="G317" i="1" s="1"/>
  <c r="U317" i="1"/>
  <c r="H317" i="1" s="1"/>
  <c r="V317" i="1"/>
  <c r="X317" i="1"/>
  <c r="J317" i="1" s="1"/>
  <c r="N318" i="1"/>
  <c r="O318" i="1"/>
  <c r="P318" i="1"/>
  <c r="Q318" i="1"/>
  <c r="R318" i="1"/>
  <c r="S318" i="1"/>
  <c r="T318" i="1"/>
  <c r="G318" i="1" s="1"/>
  <c r="U318" i="1"/>
  <c r="H318" i="1" s="1"/>
  <c r="V318" i="1"/>
  <c r="X318" i="1"/>
  <c r="J318" i="1" s="1"/>
  <c r="N319" i="1"/>
  <c r="O319" i="1"/>
  <c r="P319" i="1"/>
  <c r="Q319" i="1"/>
  <c r="R319" i="1"/>
  <c r="S319" i="1"/>
  <c r="T319" i="1"/>
  <c r="G319" i="1" s="1"/>
  <c r="U319" i="1"/>
  <c r="H319" i="1" s="1"/>
  <c r="V319" i="1"/>
  <c r="X319" i="1"/>
  <c r="J319" i="1" s="1"/>
  <c r="N320" i="1"/>
  <c r="O320" i="1"/>
  <c r="P320" i="1"/>
  <c r="Q320" i="1"/>
  <c r="R320" i="1"/>
  <c r="S320" i="1"/>
  <c r="T320" i="1"/>
  <c r="G320" i="1" s="1"/>
  <c r="U320" i="1"/>
  <c r="H320" i="1" s="1"/>
  <c r="V320" i="1"/>
  <c r="X320" i="1"/>
  <c r="J320" i="1" s="1"/>
  <c r="N321" i="1"/>
  <c r="O321" i="1"/>
  <c r="P321" i="1"/>
  <c r="Q321" i="1"/>
  <c r="R321" i="1"/>
  <c r="S321" i="1"/>
  <c r="T321" i="1"/>
  <c r="G321" i="1" s="1"/>
  <c r="U321" i="1"/>
  <c r="H321" i="1" s="1"/>
  <c r="V321" i="1"/>
  <c r="X321" i="1"/>
  <c r="J321" i="1" s="1"/>
  <c r="N322" i="1"/>
  <c r="O322" i="1"/>
  <c r="P322" i="1"/>
  <c r="Q322" i="1"/>
  <c r="R322" i="1"/>
  <c r="S322" i="1"/>
  <c r="T322" i="1"/>
  <c r="G322" i="1" s="1"/>
  <c r="U322" i="1"/>
  <c r="H322" i="1" s="1"/>
  <c r="V322" i="1"/>
  <c r="X322" i="1"/>
  <c r="J322" i="1" s="1"/>
  <c r="N323" i="1"/>
  <c r="O323" i="1"/>
  <c r="P323" i="1"/>
  <c r="Q323" i="1"/>
  <c r="R323" i="1"/>
  <c r="S323" i="1"/>
  <c r="T323" i="1"/>
  <c r="G323" i="1" s="1"/>
  <c r="U323" i="1"/>
  <c r="H323" i="1" s="1"/>
  <c r="V323" i="1"/>
  <c r="X323" i="1"/>
  <c r="J323" i="1" s="1"/>
  <c r="N324" i="1"/>
  <c r="O324" i="1"/>
  <c r="P324" i="1"/>
  <c r="Q324" i="1"/>
  <c r="R324" i="1"/>
  <c r="S324" i="1"/>
  <c r="T324" i="1"/>
  <c r="G324" i="1" s="1"/>
  <c r="U324" i="1"/>
  <c r="H324" i="1" s="1"/>
  <c r="V324" i="1"/>
  <c r="X324" i="1"/>
  <c r="J324" i="1" s="1"/>
  <c r="N325" i="1"/>
  <c r="O325" i="1"/>
  <c r="P325" i="1"/>
  <c r="Q325" i="1"/>
  <c r="R325" i="1"/>
  <c r="S325" i="1"/>
  <c r="T325" i="1"/>
  <c r="G325" i="1" s="1"/>
  <c r="U325" i="1"/>
  <c r="H325" i="1" s="1"/>
  <c r="V325" i="1"/>
  <c r="X325" i="1"/>
  <c r="J325" i="1" s="1"/>
  <c r="N326" i="1"/>
  <c r="O326" i="1"/>
  <c r="P326" i="1"/>
  <c r="Q326" i="1"/>
  <c r="R326" i="1"/>
  <c r="S326" i="1"/>
  <c r="T326" i="1"/>
  <c r="G326" i="1" s="1"/>
  <c r="U326" i="1"/>
  <c r="H326" i="1" s="1"/>
  <c r="V326" i="1"/>
  <c r="X326" i="1"/>
  <c r="J326" i="1" s="1"/>
  <c r="N327" i="1"/>
  <c r="O327" i="1"/>
  <c r="P327" i="1"/>
  <c r="Q327" i="1"/>
  <c r="R327" i="1"/>
  <c r="S327" i="1"/>
  <c r="T327" i="1"/>
  <c r="G327" i="1" s="1"/>
  <c r="U327" i="1"/>
  <c r="H327" i="1" s="1"/>
  <c r="V327" i="1"/>
  <c r="X327" i="1"/>
  <c r="J327" i="1" s="1"/>
  <c r="N328" i="1"/>
  <c r="O328" i="1"/>
  <c r="P328" i="1"/>
  <c r="Q328" i="1"/>
  <c r="R328" i="1"/>
  <c r="S328" i="1"/>
  <c r="T328" i="1"/>
  <c r="G328" i="1" s="1"/>
  <c r="U328" i="1"/>
  <c r="H328" i="1" s="1"/>
  <c r="V328" i="1"/>
  <c r="X328" i="1"/>
  <c r="J328" i="1" s="1"/>
  <c r="N329" i="1"/>
  <c r="O329" i="1"/>
  <c r="P329" i="1"/>
  <c r="Q329" i="1"/>
  <c r="R329" i="1"/>
  <c r="S329" i="1"/>
  <c r="T329" i="1"/>
  <c r="G329" i="1" s="1"/>
  <c r="U329" i="1"/>
  <c r="H329" i="1" s="1"/>
  <c r="V329" i="1"/>
  <c r="X329" i="1"/>
  <c r="J329" i="1" s="1"/>
  <c r="N330" i="1"/>
  <c r="O330" i="1"/>
  <c r="P330" i="1"/>
  <c r="Q330" i="1"/>
  <c r="R330" i="1"/>
  <c r="S330" i="1"/>
  <c r="T330" i="1"/>
  <c r="G330" i="1" s="1"/>
  <c r="U330" i="1"/>
  <c r="H330" i="1" s="1"/>
  <c r="V330" i="1"/>
  <c r="X330" i="1"/>
  <c r="J330" i="1" s="1"/>
  <c r="N331" i="1"/>
  <c r="O331" i="1"/>
  <c r="P331" i="1"/>
  <c r="Q331" i="1"/>
  <c r="R331" i="1"/>
  <c r="S331" i="1"/>
  <c r="T331" i="1"/>
  <c r="G331" i="1" s="1"/>
  <c r="U331" i="1"/>
  <c r="H331" i="1" s="1"/>
  <c r="V331" i="1"/>
  <c r="X331" i="1"/>
  <c r="J331" i="1" s="1"/>
  <c r="N332" i="1"/>
  <c r="O332" i="1"/>
  <c r="P332" i="1"/>
  <c r="Q332" i="1"/>
  <c r="R332" i="1"/>
  <c r="S332" i="1"/>
  <c r="T332" i="1"/>
  <c r="G332" i="1" s="1"/>
  <c r="U332" i="1"/>
  <c r="H332" i="1" s="1"/>
  <c r="V332" i="1"/>
  <c r="X332" i="1"/>
  <c r="J332" i="1" s="1"/>
  <c r="N333" i="1"/>
  <c r="O333" i="1"/>
  <c r="P333" i="1"/>
  <c r="Q333" i="1"/>
  <c r="R333" i="1"/>
  <c r="S333" i="1"/>
  <c r="T333" i="1"/>
  <c r="G333" i="1" s="1"/>
  <c r="U333" i="1"/>
  <c r="H333" i="1" s="1"/>
  <c r="V333" i="1"/>
  <c r="X333" i="1"/>
  <c r="J333" i="1" s="1"/>
  <c r="N334" i="1"/>
  <c r="O334" i="1"/>
  <c r="P334" i="1"/>
  <c r="Q334" i="1"/>
  <c r="R334" i="1"/>
  <c r="S334" i="1"/>
  <c r="T334" i="1"/>
  <c r="G334" i="1" s="1"/>
  <c r="U334" i="1"/>
  <c r="H334" i="1" s="1"/>
  <c r="V334" i="1"/>
  <c r="X334" i="1"/>
  <c r="J334" i="1" s="1"/>
  <c r="N335" i="1"/>
  <c r="O335" i="1"/>
  <c r="P335" i="1"/>
  <c r="Q335" i="1"/>
  <c r="R335" i="1"/>
  <c r="S335" i="1"/>
  <c r="T335" i="1"/>
  <c r="G335" i="1" s="1"/>
  <c r="U335" i="1"/>
  <c r="H335" i="1" s="1"/>
  <c r="V335" i="1"/>
  <c r="X335" i="1"/>
  <c r="J335" i="1" s="1"/>
  <c r="N336" i="1"/>
  <c r="O336" i="1"/>
  <c r="P336" i="1"/>
  <c r="Q336" i="1"/>
  <c r="R336" i="1"/>
  <c r="S336" i="1"/>
  <c r="T336" i="1"/>
  <c r="G336" i="1" s="1"/>
  <c r="U336" i="1"/>
  <c r="H336" i="1" s="1"/>
  <c r="V336" i="1"/>
  <c r="X336" i="1"/>
  <c r="J336" i="1" s="1"/>
  <c r="N337" i="1"/>
  <c r="O337" i="1"/>
  <c r="P337" i="1"/>
  <c r="Q337" i="1"/>
  <c r="R337" i="1"/>
  <c r="S337" i="1"/>
  <c r="T337" i="1"/>
  <c r="G337" i="1" s="1"/>
  <c r="U337" i="1"/>
  <c r="H337" i="1" s="1"/>
  <c r="V337" i="1"/>
  <c r="X337" i="1"/>
  <c r="J337" i="1" s="1"/>
  <c r="N338" i="1"/>
  <c r="O338" i="1"/>
  <c r="P338" i="1"/>
  <c r="Q338" i="1"/>
  <c r="R338" i="1"/>
  <c r="S338" i="1"/>
  <c r="T338" i="1"/>
  <c r="G338" i="1" s="1"/>
  <c r="U338" i="1"/>
  <c r="H338" i="1" s="1"/>
  <c r="V338" i="1"/>
  <c r="X338" i="1"/>
  <c r="J338" i="1" s="1"/>
  <c r="N339" i="1"/>
  <c r="O339" i="1"/>
  <c r="P339" i="1"/>
  <c r="Q339" i="1"/>
  <c r="R339" i="1"/>
  <c r="S339" i="1"/>
  <c r="T339" i="1"/>
  <c r="G339" i="1" s="1"/>
  <c r="U339" i="1"/>
  <c r="H339" i="1" s="1"/>
  <c r="V339" i="1"/>
  <c r="X339" i="1"/>
  <c r="J339" i="1" s="1"/>
  <c r="N340" i="1"/>
  <c r="O340" i="1"/>
  <c r="P340" i="1"/>
  <c r="Q340" i="1"/>
  <c r="R340" i="1"/>
  <c r="S340" i="1"/>
  <c r="T340" i="1"/>
  <c r="G340" i="1" s="1"/>
  <c r="U340" i="1"/>
  <c r="H340" i="1" s="1"/>
  <c r="V340" i="1"/>
  <c r="X340" i="1"/>
  <c r="J340" i="1" s="1"/>
  <c r="N341" i="1"/>
  <c r="O341" i="1"/>
  <c r="P341" i="1"/>
  <c r="Q341" i="1"/>
  <c r="R341" i="1"/>
  <c r="S341" i="1"/>
  <c r="T341" i="1"/>
  <c r="G341" i="1" s="1"/>
  <c r="U341" i="1"/>
  <c r="H341" i="1" s="1"/>
  <c r="V341" i="1"/>
  <c r="X341" i="1"/>
  <c r="J341" i="1" s="1"/>
  <c r="N342" i="1"/>
  <c r="O342" i="1"/>
  <c r="P342" i="1"/>
  <c r="Q342" i="1"/>
  <c r="R342" i="1"/>
  <c r="S342" i="1"/>
  <c r="T342" i="1"/>
  <c r="G342" i="1" s="1"/>
  <c r="U342" i="1"/>
  <c r="H342" i="1" s="1"/>
  <c r="V342" i="1"/>
  <c r="X342" i="1"/>
  <c r="J342" i="1" s="1"/>
  <c r="N343" i="1"/>
  <c r="O343" i="1"/>
  <c r="P343" i="1"/>
  <c r="Q343" i="1"/>
  <c r="R343" i="1"/>
  <c r="S343" i="1"/>
  <c r="T343" i="1"/>
  <c r="G343" i="1" s="1"/>
  <c r="U343" i="1"/>
  <c r="H343" i="1" s="1"/>
  <c r="V343" i="1"/>
  <c r="X343" i="1"/>
  <c r="J343" i="1" s="1"/>
  <c r="N344" i="1"/>
  <c r="O344" i="1"/>
  <c r="P344" i="1"/>
  <c r="Q344" i="1"/>
  <c r="R344" i="1"/>
  <c r="S344" i="1"/>
  <c r="T344" i="1"/>
  <c r="G344" i="1" s="1"/>
  <c r="U344" i="1"/>
  <c r="H344" i="1" s="1"/>
  <c r="V344" i="1"/>
  <c r="X344" i="1"/>
  <c r="J344" i="1" s="1"/>
  <c r="N345" i="1"/>
  <c r="O345" i="1"/>
  <c r="P345" i="1"/>
  <c r="Q345" i="1"/>
  <c r="R345" i="1"/>
  <c r="S345" i="1"/>
  <c r="T345" i="1"/>
  <c r="G345" i="1" s="1"/>
  <c r="U345" i="1"/>
  <c r="H345" i="1" s="1"/>
  <c r="V345" i="1"/>
  <c r="X345" i="1"/>
  <c r="J345" i="1" s="1"/>
  <c r="N346" i="1"/>
  <c r="O346" i="1"/>
  <c r="P346" i="1"/>
  <c r="Q346" i="1"/>
  <c r="R346" i="1"/>
  <c r="S346" i="1"/>
  <c r="T346" i="1"/>
  <c r="G346" i="1" s="1"/>
  <c r="U346" i="1"/>
  <c r="H346" i="1" s="1"/>
  <c r="V346" i="1"/>
  <c r="X346" i="1"/>
  <c r="J346" i="1" s="1"/>
  <c r="N347" i="1"/>
  <c r="O347" i="1"/>
  <c r="P347" i="1"/>
  <c r="Q347" i="1"/>
  <c r="R347" i="1"/>
  <c r="S347" i="1"/>
  <c r="T347" i="1"/>
  <c r="G347" i="1" s="1"/>
  <c r="U347" i="1"/>
  <c r="H347" i="1" s="1"/>
  <c r="V347" i="1"/>
  <c r="X347" i="1"/>
  <c r="J347" i="1" s="1"/>
  <c r="N348" i="1"/>
  <c r="O348" i="1"/>
  <c r="P348" i="1"/>
  <c r="Q348" i="1"/>
  <c r="R348" i="1"/>
  <c r="S348" i="1"/>
  <c r="T348" i="1"/>
  <c r="G348" i="1" s="1"/>
  <c r="U348" i="1"/>
  <c r="H348" i="1" s="1"/>
  <c r="V348" i="1"/>
  <c r="X348" i="1"/>
  <c r="J348" i="1" s="1"/>
  <c r="N349" i="1"/>
  <c r="O349" i="1"/>
  <c r="P349" i="1"/>
  <c r="Q349" i="1"/>
  <c r="R349" i="1"/>
  <c r="S349" i="1"/>
  <c r="T349" i="1"/>
  <c r="G349" i="1" s="1"/>
  <c r="U349" i="1"/>
  <c r="H349" i="1" s="1"/>
  <c r="V349" i="1"/>
  <c r="X349" i="1"/>
  <c r="J349" i="1" s="1"/>
  <c r="N350" i="1"/>
  <c r="O350" i="1"/>
  <c r="P350" i="1"/>
  <c r="Q350" i="1"/>
  <c r="R350" i="1"/>
  <c r="S350" i="1"/>
  <c r="T350" i="1"/>
  <c r="U350" i="1"/>
  <c r="V350" i="1"/>
  <c r="X350" i="1"/>
  <c r="N351" i="1"/>
  <c r="O351" i="1"/>
  <c r="P351" i="1"/>
  <c r="Q351" i="1"/>
  <c r="R351" i="1"/>
  <c r="S351" i="1"/>
  <c r="T351" i="1"/>
  <c r="G351" i="1" s="1"/>
  <c r="U351" i="1"/>
  <c r="H351" i="1" s="1"/>
  <c r="V351" i="1"/>
  <c r="X351" i="1"/>
  <c r="J351" i="1" s="1"/>
  <c r="N352" i="1"/>
  <c r="O352" i="1"/>
  <c r="P352" i="1"/>
  <c r="Q352" i="1"/>
  <c r="R352" i="1"/>
  <c r="S352" i="1"/>
  <c r="T352" i="1"/>
  <c r="G352" i="1" s="1"/>
  <c r="U352" i="1"/>
  <c r="H352" i="1" s="1"/>
  <c r="V352" i="1"/>
  <c r="X352" i="1"/>
  <c r="J352" i="1" s="1"/>
  <c r="N353" i="1"/>
  <c r="O353" i="1"/>
  <c r="P353" i="1"/>
  <c r="Q353" i="1"/>
  <c r="R353" i="1"/>
  <c r="S353" i="1"/>
  <c r="T353" i="1"/>
  <c r="G353" i="1" s="1"/>
  <c r="U353" i="1"/>
  <c r="H353" i="1" s="1"/>
  <c r="V353" i="1"/>
  <c r="X353" i="1"/>
  <c r="J353" i="1" s="1"/>
  <c r="N354" i="1"/>
  <c r="O354" i="1"/>
  <c r="P354" i="1"/>
  <c r="Q354" i="1"/>
  <c r="R354" i="1"/>
  <c r="S354" i="1"/>
  <c r="T354" i="1"/>
  <c r="G354" i="1" s="1"/>
  <c r="U354" i="1"/>
  <c r="H354" i="1" s="1"/>
  <c r="V354" i="1"/>
  <c r="X354" i="1"/>
  <c r="J354" i="1" s="1"/>
  <c r="N355" i="1"/>
  <c r="O355" i="1"/>
  <c r="P355" i="1"/>
  <c r="Q355" i="1"/>
  <c r="R355" i="1"/>
  <c r="S355" i="1"/>
  <c r="T355" i="1"/>
  <c r="G355" i="1" s="1"/>
  <c r="U355" i="1"/>
  <c r="H355" i="1" s="1"/>
  <c r="V355" i="1"/>
  <c r="X355" i="1"/>
  <c r="J355" i="1" s="1"/>
  <c r="N356" i="1"/>
  <c r="O356" i="1"/>
  <c r="P356" i="1"/>
  <c r="Q356" i="1"/>
  <c r="R356" i="1"/>
  <c r="S356" i="1"/>
  <c r="T356" i="1"/>
  <c r="G356" i="1" s="1"/>
  <c r="U356" i="1"/>
  <c r="H356" i="1" s="1"/>
  <c r="V356" i="1"/>
  <c r="X356" i="1"/>
  <c r="J356" i="1" s="1"/>
  <c r="N357" i="1"/>
  <c r="O357" i="1"/>
  <c r="P357" i="1"/>
  <c r="Q357" i="1"/>
  <c r="R357" i="1"/>
  <c r="S357" i="1"/>
  <c r="T357" i="1"/>
  <c r="G357" i="1" s="1"/>
  <c r="U357" i="1"/>
  <c r="H357" i="1" s="1"/>
  <c r="V357" i="1"/>
  <c r="X357" i="1"/>
  <c r="J357" i="1" s="1"/>
  <c r="N358" i="1"/>
  <c r="O358" i="1"/>
  <c r="P358" i="1"/>
  <c r="Q358" i="1"/>
  <c r="R358" i="1"/>
  <c r="S358" i="1"/>
  <c r="T358" i="1"/>
  <c r="G358" i="1" s="1"/>
  <c r="U358" i="1"/>
  <c r="H358" i="1" s="1"/>
  <c r="V358" i="1"/>
  <c r="X358" i="1"/>
  <c r="J358" i="1" s="1"/>
  <c r="N359" i="1"/>
  <c r="O359" i="1"/>
  <c r="P359" i="1"/>
  <c r="Q359" i="1"/>
  <c r="R359" i="1"/>
  <c r="S359" i="1"/>
  <c r="T359" i="1"/>
  <c r="G359" i="1" s="1"/>
  <c r="U359" i="1"/>
  <c r="H359" i="1" s="1"/>
  <c r="V359" i="1"/>
  <c r="X359" i="1"/>
  <c r="J359" i="1" s="1"/>
  <c r="N360" i="1"/>
  <c r="O360" i="1"/>
  <c r="P360" i="1"/>
  <c r="Q360" i="1"/>
  <c r="R360" i="1"/>
  <c r="S360" i="1"/>
  <c r="T360" i="1"/>
  <c r="G360" i="1" s="1"/>
  <c r="U360" i="1"/>
  <c r="H360" i="1" s="1"/>
  <c r="V360" i="1"/>
  <c r="X360" i="1"/>
  <c r="J360" i="1" s="1"/>
  <c r="N361" i="1"/>
  <c r="O361" i="1"/>
  <c r="P361" i="1"/>
  <c r="Q361" i="1"/>
  <c r="R361" i="1"/>
  <c r="S361" i="1"/>
  <c r="T361" i="1"/>
  <c r="G361" i="1" s="1"/>
  <c r="U361" i="1"/>
  <c r="H361" i="1" s="1"/>
  <c r="V361" i="1"/>
  <c r="X361" i="1"/>
  <c r="J361" i="1" s="1"/>
  <c r="N362" i="1"/>
  <c r="O362" i="1"/>
  <c r="P362" i="1"/>
  <c r="Q362" i="1"/>
  <c r="R362" i="1"/>
  <c r="S362" i="1"/>
  <c r="T362" i="1"/>
  <c r="G362" i="1" s="1"/>
  <c r="U362" i="1"/>
  <c r="H362" i="1" s="1"/>
  <c r="V362" i="1"/>
  <c r="X362" i="1"/>
  <c r="J362" i="1" s="1"/>
  <c r="N363" i="1"/>
  <c r="O363" i="1"/>
  <c r="P363" i="1"/>
  <c r="Q363" i="1"/>
  <c r="R363" i="1"/>
  <c r="S363" i="1"/>
  <c r="T363" i="1"/>
  <c r="G363" i="1" s="1"/>
  <c r="U363" i="1"/>
  <c r="H363" i="1" s="1"/>
  <c r="V363" i="1"/>
  <c r="X363" i="1"/>
  <c r="J363" i="1" s="1"/>
  <c r="N364" i="1"/>
  <c r="O364" i="1"/>
  <c r="P364" i="1"/>
  <c r="Q364" i="1"/>
  <c r="R364" i="1"/>
  <c r="S364" i="1"/>
  <c r="T364" i="1"/>
  <c r="G364" i="1" s="1"/>
  <c r="U364" i="1"/>
  <c r="H364" i="1" s="1"/>
  <c r="V364" i="1"/>
  <c r="X364" i="1"/>
  <c r="J364" i="1" s="1"/>
  <c r="N365" i="1"/>
  <c r="O365" i="1"/>
  <c r="P365" i="1"/>
  <c r="Q365" i="1"/>
  <c r="R365" i="1"/>
  <c r="S365" i="1"/>
  <c r="T365" i="1"/>
  <c r="G365" i="1" s="1"/>
  <c r="U365" i="1"/>
  <c r="H365" i="1" s="1"/>
  <c r="V365" i="1"/>
  <c r="X365" i="1"/>
  <c r="J365" i="1" s="1"/>
  <c r="N366" i="1"/>
  <c r="O366" i="1"/>
  <c r="P366" i="1"/>
  <c r="Q366" i="1"/>
  <c r="R366" i="1"/>
  <c r="S366" i="1"/>
  <c r="T366" i="1"/>
  <c r="G366" i="1" s="1"/>
  <c r="U366" i="1"/>
  <c r="H366" i="1" s="1"/>
  <c r="V366" i="1"/>
  <c r="X366" i="1"/>
  <c r="J366" i="1" s="1"/>
  <c r="N367" i="1"/>
  <c r="O367" i="1"/>
  <c r="P367" i="1"/>
  <c r="Q367" i="1"/>
  <c r="R367" i="1"/>
  <c r="S367" i="1"/>
  <c r="T367" i="1"/>
  <c r="G367" i="1" s="1"/>
  <c r="U367" i="1"/>
  <c r="H367" i="1" s="1"/>
  <c r="V367" i="1"/>
  <c r="X367" i="1"/>
  <c r="J367" i="1" s="1"/>
  <c r="N368" i="1"/>
  <c r="O368" i="1"/>
  <c r="P368" i="1"/>
  <c r="Q368" i="1"/>
  <c r="R368" i="1"/>
  <c r="S368" i="1"/>
  <c r="T368" i="1"/>
  <c r="G368" i="1" s="1"/>
  <c r="U368" i="1"/>
  <c r="H368" i="1" s="1"/>
  <c r="V368" i="1"/>
  <c r="X368" i="1"/>
  <c r="J368" i="1" s="1"/>
  <c r="N369" i="1"/>
  <c r="O369" i="1"/>
  <c r="P369" i="1"/>
  <c r="Q369" i="1"/>
  <c r="R369" i="1"/>
  <c r="S369" i="1"/>
  <c r="T369" i="1"/>
  <c r="G369" i="1" s="1"/>
  <c r="U369" i="1"/>
  <c r="H369" i="1" s="1"/>
  <c r="V369" i="1"/>
  <c r="X369" i="1"/>
  <c r="J369" i="1" s="1"/>
  <c r="N370" i="1"/>
  <c r="O370" i="1"/>
  <c r="P370" i="1"/>
  <c r="Q370" i="1"/>
  <c r="R370" i="1"/>
  <c r="S370" i="1"/>
  <c r="T370" i="1"/>
  <c r="G370" i="1" s="1"/>
  <c r="U370" i="1"/>
  <c r="H370" i="1" s="1"/>
  <c r="V370" i="1"/>
  <c r="X370" i="1"/>
  <c r="J370" i="1" s="1"/>
  <c r="N371" i="1"/>
  <c r="O371" i="1"/>
  <c r="P371" i="1"/>
  <c r="Q371" i="1"/>
  <c r="R371" i="1"/>
  <c r="S371" i="1"/>
  <c r="T371" i="1"/>
  <c r="G371" i="1" s="1"/>
  <c r="U371" i="1"/>
  <c r="H371" i="1" s="1"/>
  <c r="V371" i="1"/>
  <c r="X371" i="1"/>
  <c r="J371" i="1" s="1"/>
  <c r="N372" i="1"/>
  <c r="O372" i="1"/>
  <c r="P372" i="1"/>
  <c r="Q372" i="1"/>
  <c r="R372" i="1"/>
  <c r="S372" i="1"/>
  <c r="T372" i="1"/>
  <c r="G372" i="1" s="1"/>
  <c r="U372" i="1"/>
  <c r="H372" i="1" s="1"/>
  <c r="V372" i="1"/>
  <c r="X372" i="1"/>
  <c r="J372" i="1" s="1"/>
  <c r="N373" i="1"/>
  <c r="O373" i="1"/>
  <c r="P373" i="1"/>
  <c r="Q373" i="1"/>
  <c r="R373" i="1"/>
  <c r="S373" i="1"/>
  <c r="T373" i="1"/>
  <c r="G373" i="1" s="1"/>
  <c r="U373" i="1"/>
  <c r="H373" i="1" s="1"/>
  <c r="V373" i="1"/>
  <c r="X373" i="1"/>
  <c r="J373" i="1" s="1"/>
  <c r="N374" i="1"/>
  <c r="O374" i="1"/>
  <c r="P374" i="1"/>
  <c r="Q374" i="1"/>
  <c r="R374" i="1"/>
  <c r="S374" i="1"/>
  <c r="T374" i="1"/>
  <c r="G374" i="1" s="1"/>
  <c r="U374" i="1"/>
  <c r="H374" i="1" s="1"/>
  <c r="V374" i="1"/>
  <c r="X374" i="1"/>
  <c r="J374" i="1" s="1"/>
  <c r="N375" i="1"/>
  <c r="O375" i="1"/>
  <c r="P375" i="1"/>
  <c r="Q375" i="1"/>
  <c r="R375" i="1"/>
  <c r="S375" i="1"/>
  <c r="T375" i="1"/>
  <c r="G375" i="1" s="1"/>
  <c r="U375" i="1"/>
  <c r="H375" i="1" s="1"/>
  <c r="V375" i="1"/>
  <c r="X375" i="1"/>
  <c r="J375" i="1" s="1"/>
  <c r="N376" i="1"/>
  <c r="O376" i="1"/>
  <c r="P376" i="1"/>
  <c r="Q376" i="1"/>
  <c r="R376" i="1"/>
  <c r="S376" i="1"/>
  <c r="T376" i="1"/>
  <c r="G376" i="1" s="1"/>
  <c r="U376" i="1"/>
  <c r="H376" i="1" s="1"/>
  <c r="V376" i="1"/>
  <c r="X376" i="1"/>
  <c r="J376" i="1" s="1"/>
  <c r="N377" i="1"/>
  <c r="O377" i="1"/>
  <c r="P377" i="1"/>
  <c r="Q377" i="1"/>
  <c r="R377" i="1"/>
  <c r="S377" i="1"/>
  <c r="T377" i="1"/>
  <c r="G377" i="1" s="1"/>
  <c r="U377" i="1"/>
  <c r="H377" i="1" s="1"/>
  <c r="V377" i="1"/>
  <c r="X377" i="1"/>
  <c r="J377" i="1" s="1"/>
  <c r="N378" i="1"/>
  <c r="O378" i="1"/>
  <c r="P378" i="1"/>
  <c r="Q378" i="1"/>
  <c r="R378" i="1"/>
  <c r="S378" i="1"/>
  <c r="T378" i="1"/>
  <c r="G378" i="1" s="1"/>
  <c r="U378" i="1"/>
  <c r="H378" i="1" s="1"/>
  <c r="V378" i="1"/>
  <c r="X378" i="1"/>
  <c r="J378" i="1" s="1"/>
  <c r="N379" i="1"/>
  <c r="O379" i="1"/>
  <c r="P379" i="1"/>
  <c r="Q379" i="1"/>
  <c r="R379" i="1"/>
  <c r="S379" i="1"/>
  <c r="T379" i="1"/>
  <c r="G379" i="1" s="1"/>
  <c r="U379" i="1"/>
  <c r="H379" i="1" s="1"/>
  <c r="V379" i="1"/>
  <c r="X379" i="1"/>
  <c r="J379" i="1" s="1"/>
  <c r="N380" i="1"/>
  <c r="O380" i="1"/>
  <c r="P380" i="1"/>
  <c r="Q380" i="1"/>
  <c r="R380" i="1"/>
  <c r="S380" i="1"/>
  <c r="T380" i="1"/>
  <c r="G380" i="1" s="1"/>
  <c r="U380" i="1"/>
  <c r="H380" i="1" s="1"/>
  <c r="V380" i="1"/>
  <c r="X380" i="1"/>
  <c r="J380" i="1" s="1"/>
  <c r="N381" i="1"/>
  <c r="O381" i="1"/>
  <c r="P381" i="1"/>
  <c r="Q381" i="1"/>
  <c r="R381" i="1"/>
  <c r="S381" i="1"/>
  <c r="T381" i="1"/>
  <c r="G381" i="1" s="1"/>
  <c r="U381" i="1"/>
  <c r="H381" i="1" s="1"/>
  <c r="V381" i="1"/>
  <c r="X381" i="1"/>
  <c r="J381" i="1" s="1"/>
  <c r="N382" i="1"/>
  <c r="O382" i="1"/>
  <c r="P382" i="1"/>
  <c r="Q382" i="1"/>
  <c r="R382" i="1"/>
  <c r="S382" i="1"/>
  <c r="T382" i="1"/>
  <c r="G382" i="1" s="1"/>
  <c r="U382" i="1"/>
  <c r="H382" i="1" s="1"/>
  <c r="V382" i="1"/>
  <c r="X382" i="1"/>
  <c r="J382" i="1" s="1"/>
  <c r="N383" i="1"/>
  <c r="O383" i="1"/>
  <c r="P383" i="1"/>
  <c r="Q383" i="1"/>
  <c r="R383" i="1"/>
  <c r="S383" i="1"/>
  <c r="T383" i="1"/>
  <c r="G383" i="1" s="1"/>
  <c r="U383" i="1"/>
  <c r="H383" i="1" s="1"/>
  <c r="V383" i="1"/>
  <c r="X383" i="1"/>
  <c r="J383" i="1" s="1"/>
  <c r="N384" i="1"/>
  <c r="O384" i="1"/>
  <c r="P384" i="1"/>
  <c r="Q384" i="1"/>
  <c r="R384" i="1"/>
  <c r="S384" i="1"/>
  <c r="T384" i="1"/>
  <c r="G384" i="1" s="1"/>
  <c r="U384" i="1"/>
  <c r="H384" i="1" s="1"/>
  <c r="V384" i="1"/>
  <c r="X384" i="1"/>
  <c r="J384" i="1" s="1"/>
  <c r="N385" i="1"/>
  <c r="O385" i="1"/>
  <c r="P385" i="1"/>
  <c r="Q385" i="1"/>
  <c r="R385" i="1"/>
  <c r="S385" i="1"/>
  <c r="T385" i="1"/>
  <c r="G385" i="1" s="1"/>
  <c r="U385" i="1"/>
  <c r="H385" i="1" s="1"/>
  <c r="V385" i="1"/>
  <c r="X385" i="1"/>
  <c r="J385" i="1" s="1"/>
  <c r="N386" i="1"/>
  <c r="O386" i="1"/>
  <c r="P386" i="1"/>
  <c r="Q386" i="1"/>
  <c r="R386" i="1"/>
  <c r="S386" i="1"/>
  <c r="T386" i="1"/>
  <c r="G386" i="1" s="1"/>
  <c r="U386" i="1"/>
  <c r="H386" i="1" s="1"/>
  <c r="V386" i="1"/>
  <c r="X386" i="1"/>
  <c r="J386" i="1" s="1"/>
  <c r="N387" i="1"/>
  <c r="O387" i="1"/>
  <c r="P387" i="1"/>
  <c r="Q387" i="1"/>
  <c r="R387" i="1"/>
  <c r="S387" i="1"/>
  <c r="T387" i="1"/>
  <c r="G387" i="1" s="1"/>
  <c r="U387" i="1"/>
  <c r="H387" i="1" s="1"/>
  <c r="V387" i="1"/>
  <c r="X387" i="1"/>
  <c r="J387" i="1" s="1"/>
  <c r="N388" i="1"/>
  <c r="O388" i="1"/>
  <c r="P388" i="1"/>
  <c r="Q388" i="1"/>
  <c r="R388" i="1"/>
  <c r="S388" i="1"/>
  <c r="T388" i="1"/>
  <c r="G388" i="1" s="1"/>
  <c r="U388" i="1"/>
  <c r="H388" i="1" s="1"/>
  <c r="V388" i="1"/>
  <c r="X388" i="1"/>
  <c r="J388" i="1" s="1"/>
  <c r="N389" i="1"/>
  <c r="O389" i="1"/>
  <c r="P389" i="1"/>
  <c r="Q389" i="1"/>
  <c r="R389" i="1"/>
  <c r="S389" i="1"/>
  <c r="T389" i="1"/>
  <c r="G389" i="1" s="1"/>
  <c r="U389" i="1"/>
  <c r="H389" i="1" s="1"/>
  <c r="V389" i="1"/>
  <c r="X389" i="1"/>
  <c r="J389" i="1" s="1"/>
  <c r="N390" i="1"/>
  <c r="O390" i="1"/>
  <c r="P390" i="1"/>
  <c r="Q390" i="1"/>
  <c r="R390" i="1"/>
  <c r="S390" i="1"/>
  <c r="T390" i="1"/>
  <c r="G390" i="1" s="1"/>
  <c r="U390" i="1"/>
  <c r="H390" i="1" s="1"/>
  <c r="V390" i="1"/>
  <c r="X390" i="1"/>
  <c r="J390" i="1" s="1"/>
  <c r="N391" i="1"/>
  <c r="O391" i="1"/>
  <c r="P391" i="1"/>
  <c r="Q391" i="1"/>
  <c r="R391" i="1"/>
  <c r="S391" i="1"/>
  <c r="T391" i="1"/>
  <c r="G391" i="1" s="1"/>
  <c r="U391" i="1"/>
  <c r="H391" i="1" s="1"/>
  <c r="V391" i="1"/>
  <c r="X391" i="1"/>
  <c r="J391" i="1" s="1"/>
  <c r="N392" i="1"/>
  <c r="O392" i="1"/>
  <c r="P392" i="1"/>
  <c r="Q392" i="1"/>
  <c r="R392" i="1"/>
  <c r="S392" i="1"/>
  <c r="T392" i="1"/>
  <c r="G392" i="1" s="1"/>
  <c r="U392" i="1"/>
  <c r="H392" i="1" s="1"/>
  <c r="V392" i="1"/>
  <c r="X392" i="1"/>
  <c r="J392" i="1" s="1"/>
  <c r="N393" i="1"/>
  <c r="O393" i="1"/>
  <c r="P393" i="1"/>
  <c r="Q393" i="1"/>
  <c r="R393" i="1"/>
  <c r="S393" i="1"/>
  <c r="T393" i="1"/>
  <c r="G393" i="1" s="1"/>
  <c r="U393" i="1"/>
  <c r="H393" i="1" s="1"/>
  <c r="V393" i="1"/>
  <c r="X393" i="1"/>
  <c r="J393" i="1" s="1"/>
  <c r="N394" i="1"/>
  <c r="O394" i="1"/>
  <c r="P394" i="1"/>
  <c r="Q394" i="1"/>
  <c r="R394" i="1"/>
  <c r="S394" i="1"/>
  <c r="T394" i="1"/>
  <c r="G394" i="1" s="1"/>
  <c r="U394" i="1"/>
  <c r="H394" i="1" s="1"/>
  <c r="V394" i="1"/>
  <c r="X394" i="1"/>
  <c r="J394" i="1" s="1"/>
  <c r="N395" i="1"/>
  <c r="O395" i="1"/>
  <c r="P395" i="1"/>
  <c r="Q395" i="1"/>
  <c r="R395" i="1"/>
  <c r="S395" i="1"/>
  <c r="T395" i="1"/>
  <c r="G395" i="1" s="1"/>
  <c r="U395" i="1"/>
  <c r="H395" i="1" s="1"/>
  <c r="V395" i="1"/>
  <c r="X395" i="1"/>
  <c r="J395" i="1" s="1"/>
  <c r="N396" i="1"/>
  <c r="O396" i="1"/>
  <c r="P396" i="1"/>
  <c r="Q396" i="1"/>
  <c r="R396" i="1"/>
  <c r="S396" i="1"/>
  <c r="T396" i="1"/>
  <c r="G396" i="1" s="1"/>
  <c r="U396" i="1"/>
  <c r="H396" i="1" s="1"/>
  <c r="V396" i="1"/>
  <c r="X396" i="1"/>
  <c r="J396" i="1" s="1"/>
  <c r="N397" i="1"/>
  <c r="O397" i="1"/>
  <c r="P397" i="1"/>
  <c r="Q397" i="1"/>
  <c r="R397" i="1"/>
  <c r="S397" i="1"/>
  <c r="T397" i="1"/>
  <c r="G397" i="1" s="1"/>
  <c r="U397" i="1"/>
  <c r="H397" i="1" s="1"/>
  <c r="V397" i="1"/>
  <c r="X397" i="1"/>
  <c r="J397" i="1" s="1"/>
  <c r="N398" i="1"/>
  <c r="O398" i="1"/>
  <c r="P398" i="1"/>
  <c r="Q398" i="1"/>
  <c r="R398" i="1"/>
  <c r="S398" i="1"/>
  <c r="T398" i="1"/>
  <c r="G398" i="1" s="1"/>
  <c r="U398" i="1"/>
  <c r="H398" i="1" s="1"/>
  <c r="V398" i="1"/>
  <c r="X398" i="1"/>
  <c r="J398" i="1" s="1"/>
  <c r="N399" i="1"/>
  <c r="O399" i="1"/>
  <c r="P399" i="1"/>
  <c r="Q399" i="1"/>
  <c r="R399" i="1"/>
  <c r="S399" i="1"/>
  <c r="T399" i="1"/>
  <c r="G399" i="1" s="1"/>
  <c r="U399" i="1"/>
  <c r="H399" i="1" s="1"/>
  <c r="V399" i="1"/>
  <c r="X399" i="1"/>
  <c r="J399" i="1" s="1"/>
  <c r="N400" i="1"/>
  <c r="O400" i="1"/>
  <c r="P400" i="1"/>
  <c r="Q400" i="1"/>
  <c r="R400" i="1"/>
  <c r="S400" i="1"/>
  <c r="T400" i="1"/>
  <c r="G400" i="1" s="1"/>
  <c r="U400" i="1"/>
  <c r="H400" i="1" s="1"/>
  <c r="V400" i="1"/>
  <c r="X400" i="1"/>
  <c r="J400" i="1" s="1"/>
  <c r="N401" i="1"/>
  <c r="O401" i="1"/>
  <c r="P401" i="1"/>
  <c r="Q401" i="1"/>
  <c r="R401" i="1"/>
  <c r="S401" i="1"/>
  <c r="T401" i="1"/>
  <c r="G401" i="1" s="1"/>
  <c r="U401" i="1"/>
  <c r="H401" i="1" s="1"/>
  <c r="V401" i="1"/>
  <c r="X401" i="1"/>
  <c r="J401" i="1" s="1"/>
  <c r="N402" i="1"/>
  <c r="O402" i="1"/>
  <c r="P402" i="1"/>
  <c r="Q402" i="1"/>
  <c r="R402" i="1"/>
  <c r="S402" i="1"/>
  <c r="T402" i="1"/>
  <c r="G402" i="1" s="1"/>
  <c r="U402" i="1"/>
  <c r="H402" i="1" s="1"/>
  <c r="V402" i="1"/>
  <c r="X402" i="1"/>
  <c r="J402" i="1" s="1"/>
  <c r="N403" i="1"/>
  <c r="O403" i="1"/>
  <c r="P403" i="1"/>
  <c r="Q403" i="1"/>
  <c r="R403" i="1"/>
  <c r="S403" i="1"/>
  <c r="T403" i="1"/>
  <c r="G403" i="1" s="1"/>
  <c r="U403" i="1"/>
  <c r="H403" i="1" s="1"/>
  <c r="V403" i="1"/>
  <c r="X403" i="1"/>
  <c r="J403" i="1" s="1"/>
  <c r="N404" i="1"/>
  <c r="O404" i="1"/>
  <c r="P404" i="1"/>
  <c r="Q404" i="1"/>
  <c r="R404" i="1"/>
  <c r="S404" i="1"/>
  <c r="T404" i="1"/>
  <c r="G404" i="1" s="1"/>
  <c r="U404" i="1"/>
  <c r="H404" i="1" s="1"/>
  <c r="V404" i="1"/>
  <c r="X404" i="1"/>
  <c r="J404" i="1" s="1"/>
  <c r="N405" i="1"/>
  <c r="O405" i="1"/>
  <c r="P405" i="1"/>
  <c r="Q405" i="1"/>
  <c r="R405" i="1"/>
  <c r="S405" i="1"/>
  <c r="T405" i="1"/>
  <c r="G405" i="1" s="1"/>
  <c r="U405" i="1"/>
  <c r="H405" i="1" s="1"/>
  <c r="V405" i="1"/>
  <c r="X405" i="1"/>
  <c r="J405" i="1" s="1"/>
  <c r="N406" i="1"/>
  <c r="O406" i="1"/>
  <c r="P406" i="1"/>
  <c r="Q406" i="1"/>
  <c r="R406" i="1"/>
  <c r="S406" i="1"/>
  <c r="T406" i="1"/>
  <c r="G406" i="1" s="1"/>
  <c r="U406" i="1"/>
  <c r="H406" i="1" s="1"/>
  <c r="V406" i="1"/>
  <c r="X406" i="1"/>
  <c r="J406" i="1" s="1"/>
  <c r="N407" i="1"/>
  <c r="O407" i="1"/>
  <c r="P407" i="1"/>
  <c r="Q407" i="1"/>
  <c r="R407" i="1"/>
  <c r="S407" i="1"/>
  <c r="T407" i="1"/>
  <c r="G407" i="1" s="1"/>
  <c r="U407" i="1"/>
  <c r="H407" i="1" s="1"/>
  <c r="V407" i="1"/>
  <c r="X407" i="1"/>
  <c r="J407" i="1" s="1"/>
  <c r="N408" i="1"/>
  <c r="O408" i="1"/>
  <c r="P408" i="1"/>
  <c r="Q408" i="1"/>
  <c r="R408" i="1"/>
  <c r="S408" i="1"/>
  <c r="T408" i="1"/>
  <c r="G408" i="1" s="1"/>
  <c r="U408" i="1"/>
  <c r="H408" i="1" s="1"/>
  <c r="V408" i="1"/>
  <c r="X408" i="1"/>
  <c r="J408" i="1" s="1"/>
  <c r="N409" i="1"/>
  <c r="O409" i="1"/>
  <c r="P409" i="1"/>
  <c r="Q409" i="1"/>
  <c r="R409" i="1"/>
  <c r="S409" i="1"/>
  <c r="T409" i="1"/>
  <c r="G409" i="1" s="1"/>
  <c r="U409" i="1"/>
  <c r="H409" i="1" s="1"/>
  <c r="V409" i="1"/>
  <c r="X409" i="1"/>
  <c r="J409" i="1" s="1"/>
  <c r="N410" i="1"/>
  <c r="O410" i="1"/>
  <c r="P410" i="1"/>
  <c r="Q410" i="1"/>
  <c r="R410" i="1"/>
  <c r="S410" i="1"/>
  <c r="T410" i="1"/>
  <c r="G410" i="1" s="1"/>
  <c r="U410" i="1"/>
  <c r="H410" i="1" s="1"/>
  <c r="V410" i="1"/>
  <c r="X410" i="1"/>
  <c r="J410" i="1" s="1"/>
  <c r="N411" i="1"/>
  <c r="O411" i="1"/>
  <c r="P411" i="1"/>
  <c r="Q411" i="1"/>
  <c r="R411" i="1"/>
  <c r="S411" i="1"/>
  <c r="T411" i="1"/>
  <c r="G411" i="1" s="1"/>
  <c r="U411" i="1"/>
  <c r="H411" i="1" s="1"/>
  <c r="V411" i="1"/>
  <c r="X411" i="1"/>
  <c r="J411" i="1" s="1"/>
  <c r="N412" i="1"/>
  <c r="O412" i="1"/>
  <c r="P412" i="1"/>
  <c r="Q412" i="1"/>
  <c r="R412" i="1"/>
  <c r="S412" i="1"/>
  <c r="T412" i="1"/>
  <c r="G412" i="1" s="1"/>
  <c r="U412" i="1"/>
  <c r="H412" i="1" s="1"/>
  <c r="V412" i="1"/>
  <c r="X412" i="1"/>
  <c r="J412" i="1" s="1"/>
  <c r="N413" i="1"/>
  <c r="O413" i="1"/>
  <c r="P413" i="1"/>
  <c r="Q413" i="1"/>
  <c r="R413" i="1"/>
  <c r="S413" i="1"/>
  <c r="T413" i="1"/>
  <c r="G413" i="1" s="1"/>
  <c r="U413" i="1"/>
  <c r="H413" i="1" s="1"/>
  <c r="V413" i="1"/>
  <c r="X413" i="1"/>
  <c r="J413" i="1" s="1"/>
  <c r="N414" i="1"/>
  <c r="O414" i="1"/>
  <c r="P414" i="1"/>
  <c r="Q414" i="1"/>
  <c r="R414" i="1"/>
  <c r="S414" i="1"/>
  <c r="T414" i="1"/>
  <c r="G414" i="1" s="1"/>
  <c r="U414" i="1"/>
  <c r="H414" i="1" s="1"/>
  <c r="V414" i="1"/>
  <c r="X414" i="1"/>
  <c r="J414" i="1" s="1"/>
  <c r="N415" i="1"/>
  <c r="O415" i="1"/>
  <c r="P415" i="1"/>
  <c r="Q415" i="1"/>
  <c r="R415" i="1"/>
  <c r="S415" i="1"/>
  <c r="T415" i="1"/>
  <c r="G415" i="1" s="1"/>
  <c r="U415" i="1"/>
  <c r="H415" i="1" s="1"/>
  <c r="V415" i="1"/>
  <c r="X415" i="1"/>
  <c r="J415" i="1" s="1"/>
  <c r="N416" i="1"/>
  <c r="O416" i="1"/>
  <c r="P416" i="1"/>
  <c r="Q416" i="1"/>
  <c r="R416" i="1"/>
  <c r="S416" i="1"/>
  <c r="T416" i="1"/>
  <c r="G416" i="1" s="1"/>
  <c r="U416" i="1"/>
  <c r="H416" i="1" s="1"/>
  <c r="V416" i="1"/>
  <c r="X416" i="1"/>
  <c r="J416" i="1" s="1"/>
  <c r="N417" i="1"/>
  <c r="O417" i="1"/>
  <c r="P417" i="1"/>
  <c r="Q417" i="1"/>
  <c r="R417" i="1"/>
  <c r="S417" i="1"/>
  <c r="T417" i="1"/>
  <c r="G417" i="1" s="1"/>
  <c r="U417" i="1"/>
  <c r="H417" i="1" s="1"/>
  <c r="V417" i="1"/>
  <c r="X417" i="1"/>
  <c r="J417" i="1" s="1"/>
  <c r="N418" i="1"/>
  <c r="O418" i="1"/>
  <c r="P418" i="1"/>
  <c r="Q418" i="1"/>
  <c r="R418" i="1"/>
  <c r="S418" i="1"/>
  <c r="T418" i="1"/>
  <c r="G418" i="1" s="1"/>
  <c r="U418" i="1"/>
  <c r="H418" i="1" s="1"/>
  <c r="V418" i="1"/>
  <c r="X418" i="1"/>
  <c r="J418" i="1" s="1"/>
  <c r="N419" i="1"/>
  <c r="O419" i="1"/>
  <c r="P419" i="1"/>
  <c r="Q419" i="1"/>
  <c r="R419" i="1"/>
  <c r="S419" i="1"/>
  <c r="T419" i="1"/>
  <c r="G419" i="1" s="1"/>
  <c r="U419" i="1"/>
  <c r="H419" i="1" s="1"/>
  <c r="V419" i="1"/>
  <c r="X419" i="1"/>
  <c r="J419" i="1" s="1"/>
  <c r="N420" i="1"/>
  <c r="O420" i="1"/>
  <c r="P420" i="1"/>
  <c r="Q420" i="1"/>
  <c r="R420" i="1"/>
  <c r="S420" i="1"/>
  <c r="T420" i="1"/>
  <c r="G420" i="1" s="1"/>
  <c r="U420" i="1"/>
  <c r="H420" i="1" s="1"/>
  <c r="V420" i="1"/>
  <c r="X420" i="1"/>
  <c r="J420" i="1" s="1"/>
  <c r="N421" i="1"/>
  <c r="O421" i="1"/>
  <c r="P421" i="1"/>
  <c r="Q421" i="1"/>
  <c r="R421" i="1"/>
  <c r="S421" i="1"/>
  <c r="T421" i="1"/>
  <c r="G421" i="1" s="1"/>
  <c r="U421" i="1"/>
  <c r="H421" i="1" s="1"/>
  <c r="V421" i="1"/>
  <c r="X421" i="1"/>
  <c r="J421" i="1" s="1"/>
  <c r="N422" i="1"/>
  <c r="O422" i="1"/>
  <c r="P422" i="1"/>
  <c r="Q422" i="1"/>
  <c r="R422" i="1"/>
  <c r="S422" i="1"/>
  <c r="T422" i="1"/>
  <c r="G422" i="1" s="1"/>
  <c r="U422" i="1"/>
  <c r="H422" i="1" s="1"/>
  <c r="V422" i="1"/>
  <c r="X422" i="1"/>
  <c r="J422" i="1" s="1"/>
  <c r="N423" i="1"/>
  <c r="O423" i="1"/>
  <c r="P423" i="1"/>
  <c r="Q423" i="1"/>
  <c r="R423" i="1"/>
  <c r="S423" i="1"/>
  <c r="T423" i="1"/>
  <c r="G423" i="1" s="1"/>
  <c r="U423" i="1"/>
  <c r="H423" i="1" s="1"/>
  <c r="V423" i="1"/>
  <c r="X423" i="1"/>
  <c r="J423" i="1" s="1"/>
  <c r="N424" i="1"/>
  <c r="O424" i="1"/>
  <c r="P424" i="1"/>
  <c r="Q424" i="1"/>
  <c r="R424" i="1"/>
  <c r="S424" i="1"/>
  <c r="T424" i="1"/>
  <c r="G424" i="1" s="1"/>
  <c r="U424" i="1"/>
  <c r="H424" i="1" s="1"/>
  <c r="V424" i="1"/>
  <c r="X424" i="1"/>
  <c r="J424" i="1" s="1"/>
  <c r="N425" i="1"/>
  <c r="O425" i="1"/>
  <c r="P425" i="1"/>
  <c r="Q425" i="1"/>
  <c r="R425" i="1"/>
  <c r="S425" i="1"/>
  <c r="T425" i="1"/>
  <c r="G425" i="1" s="1"/>
  <c r="U425" i="1"/>
  <c r="H425" i="1" s="1"/>
  <c r="V425" i="1"/>
  <c r="X425" i="1"/>
  <c r="J425" i="1" s="1"/>
  <c r="N426" i="1"/>
  <c r="O426" i="1"/>
  <c r="P426" i="1"/>
  <c r="Q426" i="1"/>
  <c r="R426" i="1"/>
  <c r="S426" i="1"/>
  <c r="T426" i="1"/>
  <c r="G426" i="1" s="1"/>
  <c r="U426" i="1"/>
  <c r="H426" i="1" s="1"/>
  <c r="V426" i="1"/>
  <c r="X426" i="1"/>
  <c r="J426" i="1" s="1"/>
  <c r="N427" i="1"/>
  <c r="O427" i="1"/>
  <c r="P427" i="1"/>
  <c r="Q427" i="1"/>
  <c r="R427" i="1"/>
  <c r="S427" i="1"/>
  <c r="T427" i="1"/>
  <c r="G427" i="1" s="1"/>
  <c r="U427" i="1"/>
  <c r="H427" i="1" s="1"/>
  <c r="V427" i="1"/>
  <c r="X427" i="1"/>
  <c r="J427" i="1" s="1"/>
  <c r="N428" i="1"/>
  <c r="O428" i="1"/>
  <c r="P428" i="1"/>
  <c r="Q428" i="1"/>
  <c r="R428" i="1"/>
  <c r="S428" i="1"/>
  <c r="T428" i="1"/>
  <c r="G428" i="1" s="1"/>
  <c r="U428" i="1"/>
  <c r="H428" i="1" s="1"/>
  <c r="V428" i="1"/>
  <c r="X428" i="1"/>
  <c r="J428" i="1" s="1"/>
  <c r="N429" i="1"/>
  <c r="O429" i="1"/>
  <c r="P429" i="1"/>
  <c r="Q429" i="1"/>
  <c r="R429" i="1"/>
  <c r="S429" i="1"/>
  <c r="T429" i="1"/>
  <c r="G429" i="1" s="1"/>
  <c r="U429" i="1"/>
  <c r="H429" i="1" s="1"/>
  <c r="V429" i="1"/>
  <c r="X429" i="1"/>
  <c r="J429" i="1" s="1"/>
  <c r="N430" i="1"/>
  <c r="O430" i="1"/>
  <c r="P430" i="1"/>
  <c r="Q430" i="1"/>
  <c r="R430" i="1"/>
  <c r="S430" i="1"/>
  <c r="T430" i="1"/>
  <c r="G430" i="1" s="1"/>
  <c r="U430" i="1"/>
  <c r="H430" i="1" s="1"/>
  <c r="V430" i="1"/>
  <c r="X430" i="1"/>
  <c r="J430" i="1" s="1"/>
  <c r="N431" i="1"/>
  <c r="O431" i="1"/>
  <c r="P431" i="1"/>
  <c r="Q431" i="1"/>
  <c r="R431" i="1"/>
  <c r="S431" i="1"/>
  <c r="T431" i="1"/>
  <c r="G431" i="1" s="1"/>
  <c r="U431" i="1"/>
  <c r="H431" i="1" s="1"/>
  <c r="V431" i="1"/>
  <c r="X431" i="1"/>
  <c r="J431" i="1" s="1"/>
  <c r="N432" i="1"/>
  <c r="O432" i="1"/>
  <c r="P432" i="1"/>
  <c r="Q432" i="1"/>
  <c r="R432" i="1"/>
  <c r="S432" i="1"/>
  <c r="T432" i="1"/>
  <c r="G432" i="1" s="1"/>
  <c r="U432" i="1"/>
  <c r="H432" i="1" s="1"/>
  <c r="V432" i="1"/>
  <c r="X432" i="1"/>
  <c r="J432" i="1" s="1"/>
  <c r="N433" i="1"/>
  <c r="O433" i="1"/>
  <c r="P433" i="1"/>
  <c r="Q433" i="1"/>
  <c r="R433" i="1"/>
  <c r="S433" i="1"/>
  <c r="T433" i="1"/>
  <c r="G433" i="1" s="1"/>
  <c r="U433" i="1"/>
  <c r="H433" i="1" s="1"/>
  <c r="V433" i="1"/>
  <c r="X433" i="1"/>
  <c r="J433" i="1" s="1"/>
  <c r="N434" i="1"/>
  <c r="O434" i="1"/>
  <c r="P434" i="1"/>
  <c r="Q434" i="1"/>
  <c r="R434" i="1"/>
  <c r="S434" i="1"/>
  <c r="T434" i="1"/>
  <c r="G434" i="1" s="1"/>
  <c r="U434" i="1"/>
  <c r="H434" i="1" s="1"/>
  <c r="V434" i="1"/>
  <c r="X434" i="1"/>
  <c r="J434" i="1" s="1"/>
  <c r="N435" i="1"/>
  <c r="O435" i="1"/>
  <c r="P435" i="1"/>
  <c r="Q435" i="1"/>
  <c r="R435" i="1"/>
  <c r="S435" i="1"/>
  <c r="T435" i="1"/>
  <c r="G435" i="1" s="1"/>
  <c r="U435" i="1"/>
  <c r="H435" i="1" s="1"/>
  <c r="V435" i="1"/>
  <c r="X435" i="1"/>
  <c r="J435" i="1" s="1"/>
  <c r="N436" i="1"/>
  <c r="O436" i="1"/>
  <c r="P436" i="1"/>
  <c r="Q436" i="1"/>
  <c r="R436" i="1"/>
  <c r="S436" i="1"/>
  <c r="T436" i="1"/>
  <c r="G436" i="1" s="1"/>
  <c r="U436" i="1"/>
  <c r="H436" i="1" s="1"/>
  <c r="V436" i="1"/>
  <c r="X436" i="1"/>
  <c r="J436" i="1" s="1"/>
  <c r="N437" i="1"/>
  <c r="O437" i="1"/>
  <c r="P437" i="1"/>
  <c r="Q437" i="1"/>
  <c r="R437" i="1"/>
  <c r="S437" i="1"/>
  <c r="T437" i="1"/>
  <c r="G437" i="1" s="1"/>
  <c r="U437" i="1"/>
  <c r="H437" i="1" s="1"/>
  <c r="V437" i="1"/>
  <c r="X437" i="1"/>
  <c r="J437" i="1" s="1"/>
  <c r="N438" i="1"/>
  <c r="O438" i="1"/>
  <c r="P438" i="1"/>
  <c r="Q438" i="1"/>
  <c r="R438" i="1"/>
  <c r="S438" i="1"/>
  <c r="T438" i="1"/>
  <c r="G438" i="1" s="1"/>
  <c r="U438" i="1"/>
  <c r="H438" i="1" s="1"/>
  <c r="V438" i="1"/>
  <c r="X438" i="1"/>
  <c r="J438" i="1" s="1"/>
  <c r="N439" i="1"/>
  <c r="O439" i="1"/>
  <c r="P439" i="1"/>
  <c r="Q439" i="1"/>
  <c r="R439" i="1"/>
  <c r="S439" i="1"/>
  <c r="T439" i="1"/>
  <c r="G439" i="1" s="1"/>
  <c r="U439" i="1"/>
  <c r="H439" i="1" s="1"/>
  <c r="V439" i="1"/>
  <c r="X439" i="1"/>
  <c r="J439" i="1" s="1"/>
  <c r="N440" i="1"/>
  <c r="O440" i="1"/>
  <c r="P440" i="1"/>
  <c r="Q440" i="1"/>
  <c r="R440" i="1"/>
  <c r="S440" i="1"/>
  <c r="T440" i="1"/>
  <c r="G440" i="1" s="1"/>
  <c r="U440" i="1"/>
  <c r="H440" i="1" s="1"/>
  <c r="V440" i="1"/>
  <c r="X440" i="1"/>
  <c r="J440" i="1" s="1"/>
  <c r="N441" i="1"/>
  <c r="O441" i="1"/>
  <c r="P441" i="1"/>
  <c r="Q441" i="1"/>
  <c r="R441" i="1"/>
  <c r="S441" i="1"/>
  <c r="T441" i="1"/>
  <c r="G441" i="1" s="1"/>
  <c r="U441" i="1"/>
  <c r="H441" i="1" s="1"/>
  <c r="V441" i="1"/>
  <c r="X441" i="1"/>
  <c r="J441" i="1" s="1"/>
  <c r="N442" i="1"/>
  <c r="O442" i="1"/>
  <c r="P442" i="1"/>
  <c r="Q442" i="1"/>
  <c r="R442" i="1"/>
  <c r="S442" i="1"/>
  <c r="T442" i="1"/>
  <c r="G442" i="1" s="1"/>
  <c r="U442" i="1"/>
  <c r="H442" i="1" s="1"/>
  <c r="V442" i="1"/>
  <c r="X442" i="1"/>
  <c r="J442" i="1" s="1"/>
  <c r="N443" i="1"/>
  <c r="O443" i="1"/>
  <c r="P443" i="1"/>
  <c r="Q443" i="1"/>
  <c r="R443" i="1"/>
  <c r="S443" i="1"/>
  <c r="T443" i="1"/>
  <c r="G443" i="1" s="1"/>
  <c r="U443" i="1"/>
  <c r="H443" i="1" s="1"/>
  <c r="V443" i="1"/>
  <c r="X443" i="1"/>
  <c r="J443" i="1" s="1"/>
  <c r="N444" i="1"/>
  <c r="O444" i="1"/>
  <c r="P444" i="1"/>
  <c r="Q444" i="1"/>
  <c r="R444" i="1"/>
  <c r="S444" i="1"/>
  <c r="T444" i="1"/>
  <c r="G444" i="1" s="1"/>
  <c r="U444" i="1"/>
  <c r="H444" i="1" s="1"/>
  <c r="V444" i="1"/>
  <c r="X444" i="1"/>
  <c r="J444" i="1" s="1"/>
  <c r="N445" i="1"/>
  <c r="O445" i="1"/>
  <c r="P445" i="1"/>
  <c r="Q445" i="1"/>
  <c r="R445" i="1"/>
  <c r="S445" i="1"/>
  <c r="T445" i="1"/>
  <c r="G445" i="1" s="1"/>
  <c r="U445" i="1"/>
  <c r="H445" i="1" s="1"/>
  <c r="V445" i="1"/>
  <c r="X445" i="1"/>
  <c r="J445" i="1" s="1"/>
  <c r="N446" i="1"/>
  <c r="O446" i="1"/>
  <c r="P446" i="1"/>
  <c r="Q446" i="1"/>
  <c r="R446" i="1"/>
  <c r="S446" i="1"/>
  <c r="T446" i="1"/>
  <c r="G446" i="1" s="1"/>
  <c r="U446" i="1"/>
  <c r="H446" i="1" s="1"/>
  <c r="V446" i="1"/>
  <c r="X446" i="1"/>
  <c r="J446" i="1" s="1"/>
  <c r="N447" i="1"/>
  <c r="O447" i="1"/>
  <c r="P447" i="1"/>
  <c r="Q447" i="1"/>
  <c r="R447" i="1"/>
  <c r="S447" i="1"/>
  <c r="T447" i="1"/>
  <c r="G447" i="1" s="1"/>
  <c r="U447" i="1"/>
  <c r="H447" i="1" s="1"/>
  <c r="V447" i="1"/>
  <c r="X447" i="1"/>
  <c r="J447" i="1" s="1"/>
  <c r="N448" i="1"/>
  <c r="O448" i="1"/>
  <c r="P448" i="1"/>
  <c r="Q448" i="1"/>
  <c r="R448" i="1"/>
  <c r="S448" i="1"/>
  <c r="T448" i="1"/>
  <c r="G448" i="1" s="1"/>
  <c r="U448" i="1"/>
  <c r="H448" i="1" s="1"/>
  <c r="V448" i="1"/>
  <c r="X448" i="1"/>
  <c r="J448" i="1" s="1"/>
  <c r="N449" i="1"/>
  <c r="O449" i="1"/>
  <c r="P449" i="1"/>
  <c r="Q449" i="1"/>
  <c r="R449" i="1"/>
  <c r="S449" i="1"/>
  <c r="T449" i="1"/>
  <c r="G449" i="1" s="1"/>
  <c r="U449" i="1"/>
  <c r="H449" i="1" s="1"/>
  <c r="V449" i="1"/>
  <c r="X449" i="1"/>
  <c r="J449" i="1" s="1"/>
  <c r="N450" i="1"/>
  <c r="O450" i="1"/>
  <c r="P450" i="1"/>
  <c r="Q450" i="1"/>
  <c r="R450" i="1"/>
  <c r="S450" i="1"/>
  <c r="T450" i="1"/>
  <c r="G450" i="1" s="1"/>
  <c r="U450" i="1"/>
  <c r="H450" i="1" s="1"/>
  <c r="V450" i="1"/>
  <c r="X450" i="1"/>
  <c r="J450" i="1" s="1"/>
  <c r="N451" i="1"/>
  <c r="O451" i="1"/>
  <c r="P451" i="1"/>
  <c r="Q451" i="1"/>
  <c r="R451" i="1"/>
  <c r="S451" i="1"/>
  <c r="T451" i="1"/>
  <c r="G451" i="1" s="1"/>
  <c r="U451" i="1"/>
  <c r="H451" i="1" s="1"/>
  <c r="V451" i="1"/>
  <c r="X451" i="1"/>
  <c r="J451" i="1" s="1"/>
  <c r="N452" i="1"/>
  <c r="O452" i="1"/>
  <c r="P452" i="1"/>
  <c r="Q452" i="1"/>
  <c r="R452" i="1"/>
  <c r="S452" i="1"/>
  <c r="T452" i="1"/>
  <c r="G452" i="1" s="1"/>
  <c r="U452" i="1"/>
  <c r="H452" i="1" s="1"/>
  <c r="V452" i="1"/>
  <c r="X452" i="1"/>
  <c r="J452" i="1" s="1"/>
  <c r="N453" i="1"/>
  <c r="O453" i="1"/>
  <c r="P453" i="1"/>
  <c r="Q453" i="1"/>
  <c r="R453" i="1"/>
  <c r="S453" i="1"/>
  <c r="T453" i="1"/>
  <c r="G453" i="1" s="1"/>
  <c r="U453" i="1"/>
  <c r="H453" i="1" s="1"/>
  <c r="V453" i="1"/>
  <c r="X453" i="1"/>
  <c r="J453" i="1" s="1"/>
  <c r="N454" i="1"/>
  <c r="O454" i="1"/>
  <c r="P454" i="1"/>
  <c r="Q454" i="1"/>
  <c r="R454" i="1"/>
  <c r="S454" i="1"/>
  <c r="T454" i="1"/>
  <c r="G454" i="1" s="1"/>
  <c r="U454" i="1"/>
  <c r="H454" i="1" s="1"/>
  <c r="V454" i="1"/>
  <c r="X454" i="1"/>
  <c r="J454" i="1" s="1"/>
  <c r="N455" i="1"/>
  <c r="O455" i="1"/>
  <c r="P455" i="1"/>
  <c r="Q455" i="1"/>
  <c r="R455" i="1"/>
  <c r="S455" i="1"/>
  <c r="T455" i="1"/>
  <c r="G455" i="1" s="1"/>
  <c r="U455" i="1"/>
  <c r="H455" i="1" s="1"/>
  <c r="V455" i="1"/>
  <c r="X455" i="1"/>
  <c r="J455" i="1" s="1"/>
  <c r="N456" i="1"/>
  <c r="O456" i="1"/>
  <c r="P456" i="1"/>
  <c r="Q456" i="1"/>
  <c r="R456" i="1"/>
  <c r="S456" i="1"/>
  <c r="T456" i="1"/>
  <c r="G456" i="1" s="1"/>
  <c r="U456" i="1"/>
  <c r="H456" i="1" s="1"/>
  <c r="V456" i="1"/>
  <c r="X456" i="1"/>
  <c r="J456" i="1" s="1"/>
  <c r="N457" i="1"/>
  <c r="O457" i="1"/>
  <c r="P457" i="1"/>
  <c r="Q457" i="1"/>
  <c r="R457" i="1"/>
  <c r="S457" i="1"/>
  <c r="T457" i="1"/>
  <c r="G457" i="1" s="1"/>
  <c r="U457" i="1"/>
  <c r="H457" i="1" s="1"/>
  <c r="V457" i="1"/>
  <c r="X457" i="1"/>
  <c r="J457" i="1" s="1"/>
  <c r="N458" i="1"/>
  <c r="O458" i="1"/>
  <c r="P458" i="1"/>
  <c r="Q458" i="1"/>
  <c r="R458" i="1"/>
  <c r="S458" i="1"/>
  <c r="T458" i="1"/>
  <c r="G458" i="1" s="1"/>
  <c r="U458" i="1"/>
  <c r="H458" i="1" s="1"/>
  <c r="V458" i="1"/>
  <c r="X458" i="1"/>
  <c r="J458" i="1" s="1"/>
  <c r="N459" i="1"/>
  <c r="O459" i="1"/>
  <c r="P459" i="1"/>
  <c r="Q459" i="1"/>
  <c r="R459" i="1"/>
  <c r="S459" i="1"/>
  <c r="T459" i="1"/>
  <c r="G459" i="1" s="1"/>
  <c r="U459" i="1"/>
  <c r="H459" i="1" s="1"/>
  <c r="V459" i="1"/>
  <c r="X459" i="1"/>
  <c r="J459" i="1" s="1"/>
  <c r="N460" i="1"/>
  <c r="O460" i="1"/>
  <c r="P460" i="1"/>
  <c r="Q460" i="1"/>
  <c r="R460" i="1"/>
  <c r="S460" i="1"/>
  <c r="T460" i="1"/>
  <c r="G460" i="1" s="1"/>
  <c r="U460" i="1"/>
  <c r="H460" i="1" s="1"/>
  <c r="V460" i="1"/>
  <c r="X460" i="1"/>
  <c r="J460" i="1" s="1"/>
  <c r="N461" i="1"/>
  <c r="O461" i="1"/>
  <c r="P461" i="1"/>
  <c r="Q461" i="1"/>
  <c r="R461" i="1"/>
  <c r="S461" i="1"/>
  <c r="T461" i="1"/>
  <c r="G461" i="1" s="1"/>
  <c r="U461" i="1"/>
  <c r="H461" i="1" s="1"/>
  <c r="V461" i="1"/>
  <c r="X461" i="1"/>
  <c r="J461" i="1" s="1"/>
  <c r="N462" i="1"/>
  <c r="O462" i="1"/>
  <c r="P462" i="1"/>
  <c r="Q462" i="1"/>
  <c r="R462" i="1"/>
  <c r="S462" i="1"/>
  <c r="T462" i="1"/>
  <c r="G462" i="1" s="1"/>
  <c r="U462" i="1"/>
  <c r="H462" i="1" s="1"/>
  <c r="V462" i="1"/>
  <c r="X462" i="1"/>
  <c r="J462" i="1" s="1"/>
  <c r="N463" i="1"/>
  <c r="O463" i="1"/>
  <c r="P463" i="1"/>
  <c r="Q463" i="1"/>
  <c r="R463" i="1"/>
  <c r="S463" i="1"/>
  <c r="T463" i="1"/>
  <c r="G463" i="1" s="1"/>
  <c r="U463" i="1"/>
  <c r="H463" i="1" s="1"/>
  <c r="V463" i="1"/>
  <c r="X463" i="1"/>
  <c r="J463" i="1" s="1"/>
  <c r="N464" i="1"/>
  <c r="O464" i="1"/>
  <c r="P464" i="1"/>
  <c r="Q464" i="1"/>
  <c r="R464" i="1"/>
  <c r="S464" i="1"/>
  <c r="T464" i="1"/>
  <c r="G464" i="1" s="1"/>
  <c r="U464" i="1"/>
  <c r="H464" i="1" s="1"/>
  <c r="V464" i="1"/>
  <c r="X464" i="1"/>
  <c r="J464" i="1" s="1"/>
  <c r="N465" i="1"/>
  <c r="O465" i="1"/>
  <c r="P465" i="1"/>
  <c r="Q465" i="1"/>
  <c r="R465" i="1"/>
  <c r="S465" i="1"/>
  <c r="T465" i="1"/>
  <c r="G465" i="1" s="1"/>
  <c r="U465" i="1"/>
  <c r="H465" i="1" s="1"/>
  <c r="V465" i="1"/>
  <c r="X465" i="1"/>
  <c r="J465" i="1" s="1"/>
  <c r="N466" i="1"/>
  <c r="O466" i="1"/>
  <c r="P466" i="1"/>
  <c r="Q466" i="1"/>
  <c r="R466" i="1"/>
  <c r="S466" i="1"/>
  <c r="T466" i="1"/>
  <c r="G466" i="1" s="1"/>
  <c r="U466" i="1"/>
  <c r="H466" i="1" s="1"/>
  <c r="V466" i="1"/>
  <c r="X466" i="1"/>
  <c r="J466" i="1" s="1"/>
  <c r="N467" i="1"/>
  <c r="O467" i="1"/>
  <c r="P467" i="1"/>
  <c r="Q467" i="1"/>
  <c r="R467" i="1"/>
  <c r="S467" i="1"/>
  <c r="T467" i="1"/>
  <c r="G467" i="1" s="1"/>
  <c r="U467" i="1"/>
  <c r="H467" i="1" s="1"/>
  <c r="V467" i="1"/>
  <c r="X467" i="1"/>
  <c r="J467" i="1" s="1"/>
  <c r="N468" i="1"/>
  <c r="O468" i="1"/>
  <c r="P468" i="1"/>
  <c r="Q468" i="1"/>
  <c r="R468" i="1"/>
  <c r="S468" i="1"/>
  <c r="T468" i="1"/>
  <c r="G468" i="1" s="1"/>
  <c r="U468" i="1"/>
  <c r="H468" i="1" s="1"/>
  <c r="V468" i="1"/>
  <c r="X468" i="1"/>
  <c r="J468" i="1" s="1"/>
  <c r="N469" i="1"/>
  <c r="O469" i="1"/>
  <c r="P469" i="1"/>
  <c r="Q469" i="1"/>
  <c r="R469" i="1"/>
  <c r="S469" i="1"/>
  <c r="T469" i="1"/>
  <c r="G469" i="1" s="1"/>
  <c r="U469" i="1"/>
  <c r="H469" i="1" s="1"/>
  <c r="V469" i="1"/>
  <c r="X469" i="1"/>
  <c r="J469" i="1" s="1"/>
  <c r="N470" i="1"/>
  <c r="O470" i="1"/>
  <c r="P470" i="1"/>
  <c r="Q470" i="1"/>
  <c r="R470" i="1"/>
  <c r="S470" i="1"/>
  <c r="T470" i="1"/>
  <c r="G470" i="1" s="1"/>
  <c r="U470" i="1"/>
  <c r="H470" i="1" s="1"/>
  <c r="V470" i="1"/>
  <c r="X470" i="1"/>
  <c r="J470" i="1" s="1"/>
  <c r="N471" i="1"/>
  <c r="O471" i="1"/>
  <c r="P471" i="1"/>
  <c r="Q471" i="1"/>
  <c r="R471" i="1"/>
  <c r="S471" i="1"/>
  <c r="T471" i="1"/>
  <c r="G471" i="1" s="1"/>
  <c r="U471" i="1"/>
  <c r="H471" i="1" s="1"/>
  <c r="V471" i="1"/>
  <c r="X471" i="1"/>
  <c r="J471" i="1" s="1"/>
  <c r="N472" i="1"/>
  <c r="O472" i="1"/>
  <c r="P472" i="1"/>
  <c r="Q472" i="1"/>
  <c r="R472" i="1"/>
  <c r="S472" i="1"/>
  <c r="T472" i="1"/>
  <c r="G472" i="1" s="1"/>
  <c r="U472" i="1"/>
  <c r="H472" i="1" s="1"/>
  <c r="V472" i="1"/>
  <c r="X472" i="1"/>
  <c r="J472" i="1" s="1"/>
  <c r="N473" i="1"/>
  <c r="O473" i="1"/>
  <c r="P473" i="1"/>
  <c r="Q473" i="1"/>
  <c r="R473" i="1"/>
  <c r="S473" i="1"/>
  <c r="T473" i="1"/>
  <c r="G473" i="1" s="1"/>
  <c r="U473" i="1"/>
  <c r="H473" i="1" s="1"/>
  <c r="V473" i="1"/>
  <c r="X473" i="1"/>
  <c r="J473" i="1" s="1"/>
  <c r="N474" i="1"/>
  <c r="O474" i="1"/>
  <c r="P474" i="1"/>
  <c r="Q474" i="1"/>
  <c r="R474" i="1"/>
  <c r="S474" i="1"/>
  <c r="T474" i="1"/>
  <c r="G474" i="1" s="1"/>
  <c r="U474" i="1"/>
  <c r="H474" i="1" s="1"/>
  <c r="V474" i="1"/>
  <c r="X474" i="1"/>
  <c r="J474" i="1" s="1"/>
  <c r="N475" i="1"/>
  <c r="O475" i="1"/>
  <c r="P475" i="1"/>
  <c r="Q475" i="1"/>
  <c r="R475" i="1"/>
  <c r="S475" i="1"/>
  <c r="T475" i="1"/>
  <c r="G475" i="1" s="1"/>
  <c r="U475" i="1"/>
  <c r="H475" i="1" s="1"/>
  <c r="V475" i="1"/>
  <c r="X475" i="1"/>
  <c r="J475" i="1" s="1"/>
  <c r="N476" i="1"/>
  <c r="O476" i="1"/>
  <c r="P476" i="1"/>
  <c r="Q476" i="1"/>
  <c r="R476" i="1"/>
  <c r="S476" i="1"/>
  <c r="T476" i="1"/>
  <c r="G476" i="1" s="1"/>
  <c r="U476" i="1"/>
  <c r="H476" i="1" s="1"/>
  <c r="V476" i="1"/>
  <c r="X476" i="1"/>
  <c r="J476" i="1" s="1"/>
  <c r="N477" i="1"/>
  <c r="O477" i="1"/>
  <c r="P477" i="1"/>
  <c r="Q477" i="1"/>
  <c r="R477" i="1"/>
  <c r="S477" i="1"/>
  <c r="T477" i="1"/>
  <c r="G477" i="1" s="1"/>
  <c r="U477" i="1"/>
  <c r="H477" i="1" s="1"/>
  <c r="V477" i="1"/>
  <c r="X477" i="1"/>
  <c r="J477" i="1" s="1"/>
  <c r="N478" i="1"/>
  <c r="O478" i="1"/>
  <c r="P478" i="1"/>
  <c r="Q478" i="1"/>
  <c r="R478" i="1"/>
  <c r="S478" i="1"/>
  <c r="T478" i="1"/>
  <c r="G478" i="1" s="1"/>
  <c r="U478" i="1"/>
  <c r="H478" i="1" s="1"/>
  <c r="V478" i="1"/>
  <c r="X478" i="1"/>
  <c r="J478" i="1" s="1"/>
  <c r="N479" i="1"/>
  <c r="O479" i="1"/>
  <c r="P479" i="1"/>
  <c r="Q479" i="1"/>
  <c r="R479" i="1"/>
  <c r="S479" i="1"/>
  <c r="T479" i="1"/>
  <c r="G479" i="1" s="1"/>
  <c r="U479" i="1"/>
  <c r="H479" i="1" s="1"/>
  <c r="V479" i="1"/>
  <c r="X479" i="1"/>
  <c r="J479" i="1" s="1"/>
  <c r="N480" i="1"/>
  <c r="O480" i="1"/>
  <c r="P480" i="1"/>
  <c r="Q480" i="1"/>
  <c r="R480" i="1"/>
  <c r="S480" i="1"/>
  <c r="T480" i="1"/>
  <c r="G480" i="1" s="1"/>
  <c r="U480" i="1"/>
  <c r="H480" i="1" s="1"/>
  <c r="V480" i="1"/>
  <c r="X480" i="1"/>
  <c r="J480" i="1" s="1"/>
  <c r="N481" i="1"/>
  <c r="O481" i="1"/>
  <c r="P481" i="1"/>
  <c r="Q481" i="1"/>
  <c r="R481" i="1"/>
  <c r="S481" i="1"/>
  <c r="T481" i="1"/>
  <c r="G481" i="1" s="1"/>
  <c r="U481" i="1"/>
  <c r="H481" i="1" s="1"/>
  <c r="V481" i="1"/>
  <c r="X481" i="1"/>
  <c r="J481" i="1" s="1"/>
  <c r="N482" i="1"/>
  <c r="O482" i="1"/>
  <c r="P482" i="1"/>
  <c r="Q482" i="1"/>
  <c r="R482" i="1"/>
  <c r="S482" i="1"/>
  <c r="T482" i="1"/>
  <c r="G482" i="1" s="1"/>
  <c r="U482" i="1"/>
  <c r="H482" i="1" s="1"/>
  <c r="V482" i="1"/>
  <c r="X482" i="1"/>
  <c r="J482" i="1" s="1"/>
  <c r="N483" i="1"/>
  <c r="O483" i="1"/>
  <c r="P483" i="1"/>
  <c r="Q483" i="1"/>
  <c r="R483" i="1"/>
  <c r="S483" i="1"/>
  <c r="T483" i="1"/>
  <c r="G483" i="1" s="1"/>
  <c r="U483" i="1"/>
  <c r="H483" i="1" s="1"/>
  <c r="V483" i="1"/>
  <c r="X483" i="1"/>
  <c r="J483" i="1" s="1"/>
  <c r="N484" i="1"/>
  <c r="O484" i="1"/>
  <c r="P484" i="1"/>
  <c r="Q484" i="1"/>
  <c r="R484" i="1"/>
  <c r="S484" i="1"/>
  <c r="T484" i="1"/>
  <c r="G484" i="1" s="1"/>
  <c r="U484" i="1"/>
  <c r="H484" i="1" s="1"/>
  <c r="V484" i="1"/>
  <c r="X484" i="1"/>
  <c r="J484" i="1" s="1"/>
  <c r="N485" i="1"/>
  <c r="O485" i="1"/>
  <c r="P485" i="1"/>
  <c r="Q485" i="1"/>
  <c r="R485" i="1"/>
  <c r="S485" i="1"/>
  <c r="T485" i="1"/>
  <c r="G485" i="1" s="1"/>
  <c r="U485" i="1"/>
  <c r="H485" i="1" s="1"/>
  <c r="V485" i="1"/>
  <c r="X485" i="1"/>
  <c r="J485" i="1" s="1"/>
  <c r="N486" i="1"/>
  <c r="O486" i="1"/>
  <c r="P486" i="1"/>
  <c r="Q486" i="1"/>
  <c r="R486" i="1"/>
  <c r="S486" i="1"/>
  <c r="T486" i="1"/>
  <c r="G486" i="1" s="1"/>
  <c r="U486" i="1"/>
  <c r="H486" i="1" s="1"/>
  <c r="V486" i="1"/>
  <c r="X486" i="1"/>
  <c r="J486" i="1" s="1"/>
  <c r="N487" i="1"/>
  <c r="O487" i="1"/>
  <c r="P487" i="1"/>
  <c r="Q487" i="1"/>
  <c r="R487" i="1"/>
  <c r="S487" i="1"/>
  <c r="T487" i="1"/>
  <c r="G487" i="1" s="1"/>
  <c r="U487" i="1"/>
  <c r="H487" i="1" s="1"/>
  <c r="V487" i="1"/>
  <c r="X487" i="1"/>
  <c r="J487" i="1" s="1"/>
  <c r="N488" i="1"/>
  <c r="O488" i="1"/>
  <c r="P488" i="1"/>
  <c r="Q488" i="1"/>
  <c r="R488" i="1"/>
  <c r="S488" i="1"/>
  <c r="T488" i="1"/>
  <c r="G488" i="1" s="1"/>
  <c r="U488" i="1"/>
  <c r="H488" i="1" s="1"/>
  <c r="V488" i="1"/>
  <c r="X488" i="1"/>
  <c r="J488" i="1" s="1"/>
  <c r="N489" i="1"/>
  <c r="O489" i="1"/>
  <c r="P489" i="1"/>
  <c r="Q489" i="1"/>
  <c r="R489" i="1"/>
  <c r="S489" i="1"/>
  <c r="T489" i="1"/>
  <c r="G489" i="1" s="1"/>
  <c r="U489" i="1"/>
  <c r="H489" i="1" s="1"/>
  <c r="V489" i="1"/>
  <c r="X489" i="1"/>
  <c r="J489" i="1" s="1"/>
  <c r="N490" i="1"/>
  <c r="O490" i="1"/>
  <c r="P490" i="1"/>
  <c r="Q490" i="1"/>
  <c r="R490" i="1"/>
  <c r="S490" i="1"/>
  <c r="T490" i="1"/>
  <c r="G490" i="1" s="1"/>
  <c r="U490" i="1"/>
  <c r="H490" i="1" s="1"/>
  <c r="V490" i="1"/>
  <c r="X490" i="1"/>
  <c r="J490" i="1" s="1"/>
  <c r="N491" i="1"/>
  <c r="O491" i="1"/>
  <c r="P491" i="1"/>
  <c r="Q491" i="1"/>
  <c r="R491" i="1"/>
  <c r="S491" i="1"/>
  <c r="T491" i="1"/>
  <c r="G491" i="1" s="1"/>
  <c r="U491" i="1"/>
  <c r="H491" i="1" s="1"/>
  <c r="V491" i="1"/>
  <c r="X491" i="1"/>
  <c r="J491" i="1" s="1"/>
  <c r="N492" i="1"/>
  <c r="O492" i="1"/>
  <c r="P492" i="1"/>
  <c r="Q492" i="1"/>
  <c r="R492" i="1"/>
  <c r="S492" i="1"/>
  <c r="T492" i="1"/>
  <c r="G492" i="1" s="1"/>
  <c r="U492" i="1"/>
  <c r="H492" i="1" s="1"/>
  <c r="V492" i="1"/>
  <c r="X492" i="1"/>
  <c r="J492" i="1" s="1"/>
  <c r="N493" i="1"/>
  <c r="O493" i="1"/>
  <c r="P493" i="1"/>
  <c r="Q493" i="1"/>
  <c r="R493" i="1"/>
  <c r="S493" i="1"/>
  <c r="T493" i="1"/>
  <c r="G493" i="1" s="1"/>
  <c r="U493" i="1"/>
  <c r="H493" i="1" s="1"/>
  <c r="V493" i="1"/>
  <c r="X493" i="1"/>
  <c r="J493" i="1" s="1"/>
  <c r="N494" i="1"/>
  <c r="O494" i="1"/>
  <c r="P494" i="1"/>
  <c r="Q494" i="1"/>
  <c r="R494" i="1"/>
  <c r="S494" i="1"/>
  <c r="T494" i="1"/>
  <c r="G494" i="1" s="1"/>
  <c r="U494" i="1"/>
  <c r="H494" i="1" s="1"/>
  <c r="V494" i="1"/>
  <c r="X494" i="1"/>
  <c r="J494" i="1" s="1"/>
  <c r="N495" i="1"/>
  <c r="O495" i="1"/>
  <c r="P495" i="1"/>
  <c r="Q495" i="1"/>
  <c r="R495" i="1"/>
  <c r="S495" i="1"/>
  <c r="T495" i="1"/>
  <c r="G495" i="1" s="1"/>
  <c r="U495" i="1"/>
  <c r="H495" i="1" s="1"/>
  <c r="V495" i="1"/>
  <c r="X495" i="1"/>
  <c r="J495" i="1" s="1"/>
  <c r="N496" i="1"/>
  <c r="O496" i="1"/>
  <c r="P496" i="1"/>
  <c r="Q496" i="1"/>
  <c r="R496" i="1"/>
  <c r="S496" i="1"/>
  <c r="T496" i="1"/>
  <c r="G496" i="1" s="1"/>
  <c r="U496" i="1"/>
  <c r="H496" i="1" s="1"/>
  <c r="V496" i="1"/>
  <c r="X496" i="1"/>
  <c r="J496" i="1" s="1"/>
  <c r="N497" i="1"/>
  <c r="O497" i="1"/>
  <c r="P497" i="1"/>
  <c r="Q497" i="1"/>
  <c r="R497" i="1"/>
  <c r="S497" i="1"/>
  <c r="T497" i="1"/>
  <c r="G497" i="1" s="1"/>
  <c r="U497" i="1"/>
  <c r="H497" i="1" s="1"/>
  <c r="V497" i="1"/>
  <c r="X497" i="1"/>
  <c r="J497" i="1" s="1"/>
  <c r="N498" i="1"/>
  <c r="O498" i="1"/>
  <c r="P498" i="1"/>
  <c r="Q498" i="1"/>
  <c r="R498" i="1"/>
  <c r="S498" i="1"/>
  <c r="T498" i="1"/>
  <c r="G498" i="1" s="1"/>
  <c r="U498" i="1"/>
  <c r="H498" i="1" s="1"/>
  <c r="V498" i="1"/>
  <c r="X498" i="1"/>
  <c r="J498" i="1" s="1"/>
  <c r="N499" i="1"/>
  <c r="O499" i="1"/>
  <c r="P499" i="1"/>
  <c r="Q499" i="1"/>
  <c r="R499" i="1"/>
  <c r="S499" i="1"/>
  <c r="T499" i="1"/>
  <c r="G499" i="1" s="1"/>
  <c r="U499" i="1"/>
  <c r="H499" i="1" s="1"/>
  <c r="V499" i="1"/>
  <c r="X499" i="1"/>
  <c r="J499" i="1" s="1"/>
  <c r="N500" i="1"/>
  <c r="O500" i="1"/>
  <c r="P500" i="1"/>
  <c r="Q500" i="1"/>
  <c r="R500" i="1"/>
  <c r="S500" i="1"/>
  <c r="T500" i="1"/>
  <c r="G500" i="1" s="1"/>
  <c r="U500" i="1"/>
  <c r="H500" i="1" s="1"/>
  <c r="V500" i="1"/>
  <c r="X500" i="1"/>
  <c r="J500" i="1" s="1"/>
  <c r="N501" i="1"/>
  <c r="O501" i="1"/>
  <c r="P501" i="1"/>
  <c r="Q501" i="1"/>
  <c r="R501" i="1"/>
  <c r="S501" i="1"/>
  <c r="T501" i="1"/>
  <c r="G501" i="1" s="1"/>
  <c r="U501" i="1"/>
  <c r="H501" i="1" s="1"/>
  <c r="V501" i="1"/>
  <c r="X501" i="1"/>
  <c r="J501" i="1" s="1"/>
  <c r="N502" i="1"/>
  <c r="O502" i="1"/>
  <c r="P502" i="1"/>
  <c r="Q502" i="1"/>
  <c r="R502" i="1"/>
  <c r="S502" i="1"/>
  <c r="T502" i="1"/>
  <c r="G502" i="1" s="1"/>
  <c r="U502" i="1"/>
  <c r="H502" i="1" s="1"/>
  <c r="V502" i="1"/>
  <c r="X502" i="1"/>
  <c r="J502" i="1" s="1"/>
  <c r="N503" i="1"/>
  <c r="O503" i="1"/>
  <c r="P503" i="1"/>
  <c r="Q503" i="1"/>
  <c r="R503" i="1"/>
  <c r="S503" i="1"/>
  <c r="T503" i="1"/>
  <c r="G503" i="1" s="1"/>
  <c r="U503" i="1"/>
  <c r="H503" i="1" s="1"/>
  <c r="V503" i="1"/>
  <c r="X503" i="1"/>
  <c r="J503" i="1" s="1"/>
  <c r="N504" i="1"/>
  <c r="O504" i="1"/>
  <c r="P504" i="1"/>
  <c r="Q504" i="1"/>
  <c r="R504" i="1"/>
  <c r="S504" i="1"/>
  <c r="T504" i="1"/>
  <c r="G504" i="1" s="1"/>
  <c r="U504" i="1"/>
  <c r="H504" i="1" s="1"/>
  <c r="V504" i="1"/>
  <c r="X504" i="1"/>
  <c r="J504" i="1" s="1"/>
  <c r="N505" i="1"/>
  <c r="O505" i="1"/>
  <c r="P505" i="1"/>
  <c r="Q505" i="1"/>
  <c r="R505" i="1"/>
  <c r="S505" i="1"/>
  <c r="T505" i="1"/>
  <c r="G505" i="1" s="1"/>
  <c r="U505" i="1"/>
  <c r="H505" i="1" s="1"/>
  <c r="V505" i="1"/>
  <c r="X505" i="1"/>
  <c r="J505" i="1" s="1"/>
  <c r="N506" i="1"/>
  <c r="O506" i="1"/>
  <c r="P506" i="1"/>
  <c r="Q506" i="1"/>
  <c r="R506" i="1"/>
  <c r="S506" i="1"/>
  <c r="T506" i="1"/>
  <c r="G506" i="1" s="1"/>
  <c r="U506" i="1"/>
  <c r="H506" i="1" s="1"/>
  <c r="V506" i="1"/>
  <c r="X506" i="1"/>
  <c r="J506" i="1" s="1"/>
  <c r="N507" i="1"/>
  <c r="O507" i="1"/>
  <c r="P507" i="1"/>
  <c r="Q507" i="1"/>
  <c r="R507" i="1"/>
  <c r="S507" i="1"/>
  <c r="T507" i="1"/>
  <c r="G507" i="1" s="1"/>
  <c r="U507" i="1"/>
  <c r="H507" i="1" s="1"/>
  <c r="V507" i="1"/>
  <c r="X507" i="1"/>
  <c r="J507" i="1" s="1"/>
  <c r="N508" i="1"/>
  <c r="O508" i="1"/>
  <c r="P508" i="1"/>
  <c r="Q508" i="1"/>
  <c r="R508" i="1"/>
  <c r="S508" i="1"/>
  <c r="T508" i="1"/>
  <c r="G508" i="1" s="1"/>
  <c r="U508" i="1"/>
  <c r="H508" i="1" s="1"/>
  <c r="V508" i="1"/>
  <c r="X508" i="1"/>
  <c r="J508" i="1" s="1"/>
  <c r="N509" i="1"/>
  <c r="O509" i="1"/>
  <c r="P509" i="1"/>
  <c r="Q509" i="1"/>
  <c r="R509" i="1"/>
  <c r="S509" i="1"/>
  <c r="T509" i="1"/>
  <c r="G509" i="1" s="1"/>
  <c r="U509" i="1"/>
  <c r="H509" i="1" s="1"/>
  <c r="V509" i="1"/>
  <c r="X509" i="1"/>
  <c r="J509" i="1" s="1"/>
  <c r="N510" i="1"/>
  <c r="O510" i="1"/>
  <c r="P510" i="1"/>
  <c r="Q510" i="1"/>
  <c r="R510" i="1"/>
  <c r="S510" i="1"/>
  <c r="T510" i="1"/>
  <c r="G510" i="1" s="1"/>
  <c r="U510" i="1"/>
  <c r="H510" i="1" s="1"/>
  <c r="V510" i="1"/>
  <c r="X510" i="1"/>
  <c r="J510" i="1" s="1"/>
  <c r="N511" i="1"/>
  <c r="O511" i="1"/>
  <c r="P511" i="1"/>
  <c r="Q511" i="1"/>
  <c r="R511" i="1"/>
  <c r="S511" i="1"/>
  <c r="T511" i="1"/>
  <c r="G511" i="1" s="1"/>
  <c r="U511" i="1"/>
  <c r="H511" i="1" s="1"/>
  <c r="V511" i="1"/>
  <c r="X511" i="1"/>
  <c r="J511" i="1" s="1"/>
  <c r="N512" i="1"/>
  <c r="O512" i="1"/>
  <c r="P512" i="1"/>
  <c r="Q512" i="1"/>
  <c r="R512" i="1"/>
  <c r="S512" i="1"/>
  <c r="T512" i="1"/>
  <c r="G512" i="1" s="1"/>
  <c r="U512" i="1"/>
  <c r="H512" i="1" s="1"/>
  <c r="V512" i="1"/>
  <c r="X512" i="1"/>
  <c r="J512" i="1" s="1"/>
  <c r="N513" i="1"/>
  <c r="O513" i="1"/>
  <c r="P513" i="1"/>
  <c r="Q513" i="1"/>
  <c r="R513" i="1"/>
  <c r="S513" i="1"/>
  <c r="T513" i="1"/>
  <c r="G513" i="1" s="1"/>
  <c r="U513" i="1"/>
  <c r="H513" i="1" s="1"/>
  <c r="V513" i="1"/>
  <c r="X513" i="1"/>
  <c r="J513" i="1" s="1"/>
  <c r="N514" i="1"/>
  <c r="O514" i="1"/>
  <c r="P514" i="1"/>
  <c r="Q514" i="1"/>
  <c r="R514" i="1"/>
  <c r="S514" i="1"/>
  <c r="T514" i="1"/>
  <c r="G514" i="1" s="1"/>
  <c r="U514" i="1"/>
  <c r="H514" i="1" s="1"/>
  <c r="V514" i="1"/>
  <c r="X514" i="1"/>
  <c r="J514" i="1" s="1"/>
  <c r="N515" i="1"/>
  <c r="O515" i="1"/>
  <c r="P515" i="1"/>
  <c r="Q515" i="1"/>
  <c r="R515" i="1"/>
  <c r="S515" i="1"/>
  <c r="T515" i="1"/>
  <c r="G515" i="1" s="1"/>
  <c r="U515" i="1"/>
  <c r="H515" i="1" s="1"/>
  <c r="V515" i="1"/>
  <c r="X515" i="1"/>
  <c r="J515" i="1" s="1"/>
  <c r="N516" i="1"/>
  <c r="O516" i="1"/>
  <c r="P516" i="1"/>
  <c r="Q516" i="1"/>
  <c r="R516" i="1"/>
  <c r="S516" i="1"/>
  <c r="T516" i="1"/>
  <c r="G516" i="1" s="1"/>
  <c r="U516" i="1"/>
  <c r="H516" i="1" s="1"/>
  <c r="V516" i="1"/>
  <c r="X516" i="1"/>
  <c r="J516" i="1" s="1"/>
  <c r="N517" i="1"/>
  <c r="O517" i="1"/>
  <c r="P517" i="1"/>
  <c r="Q517" i="1"/>
  <c r="R517" i="1"/>
  <c r="S517" i="1"/>
  <c r="T517" i="1"/>
  <c r="G517" i="1" s="1"/>
  <c r="U517" i="1"/>
  <c r="H517" i="1" s="1"/>
  <c r="V517" i="1"/>
  <c r="X517" i="1"/>
  <c r="J517" i="1" s="1"/>
  <c r="N518" i="1"/>
  <c r="O518" i="1"/>
  <c r="P518" i="1"/>
  <c r="Q518" i="1"/>
  <c r="R518" i="1"/>
  <c r="S518" i="1"/>
  <c r="T518" i="1"/>
  <c r="G518" i="1" s="1"/>
  <c r="U518" i="1"/>
  <c r="H518" i="1" s="1"/>
  <c r="V518" i="1"/>
  <c r="X518" i="1"/>
  <c r="J518" i="1" s="1"/>
  <c r="N519" i="1"/>
  <c r="O519" i="1"/>
  <c r="P519" i="1"/>
  <c r="Q519" i="1"/>
  <c r="R519" i="1"/>
  <c r="S519" i="1"/>
  <c r="T519" i="1"/>
  <c r="G519" i="1" s="1"/>
  <c r="U519" i="1"/>
  <c r="H519" i="1" s="1"/>
  <c r="V519" i="1"/>
  <c r="X519" i="1"/>
  <c r="J519" i="1" s="1"/>
  <c r="N520" i="1"/>
  <c r="O520" i="1"/>
  <c r="P520" i="1"/>
  <c r="Q520" i="1"/>
  <c r="R520" i="1"/>
  <c r="S520" i="1"/>
  <c r="T520" i="1"/>
  <c r="G520" i="1" s="1"/>
  <c r="U520" i="1"/>
  <c r="H520" i="1" s="1"/>
  <c r="V520" i="1"/>
  <c r="X520" i="1"/>
  <c r="J520" i="1" s="1"/>
  <c r="N521" i="1"/>
  <c r="O521" i="1"/>
  <c r="P521" i="1"/>
  <c r="Q521" i="1"/>
  <c r="R521" i="1"/>
  <c r="S521" i="1"/>
  <c r="T521" i="1"/>
  <c r="G521" i="1" s="1"/>
  <c r="U521" i="1"/>
  <c r="H521" i="1" s="1"/>
  <c r="V521" i="1"/>
  <c r="X521" i="1"/>
  <c r="J521" i="1" s="1"/>
  <c r="N522" i="1"/>
  <c r="O522" i="1"/>
  <c r="P522" i="1"/>
  <c r="Q522" i="1"/>
  <c r="R522" i="1"/>
  <c r="S522" i="1"/>
  <c r="T522" i="1"/>
  <c r="G522" i="1" s="1"/>
  <c r="U522" i="1"/>
  <c r="H522" i="1" s="1"/>
  <c r="V522" i="1"/>
  <c r="X522" i="1"/>
  <c r="J522" i="1" s="1"/>
  <c r="N523" i="1"/>
  <c r="O523" i="1"/>
  <c r="P523" i="1"/>
  <c r="Q523" i="1"/>
  <c r="R523" i="1"/>
  <c r="S523" i="1"/>
  <c r="T523" i="1"/>
  <c r="G523" i="1" s="1"/>
  <c r="U523" i="1"/>
  <c r="H523" i="1" s="1"/>
  <c r="V523" i="1"/>
  <c r="X523" i="1"/>
  <c r="J523" i="1" s="1"/>
  <c r="N524" i="1"/>
  <c r="O524" i="1"/>
  <c r="P524" i="1"/>
  <c r="Q524" i="1"/>
  <c r="R524" i="1"/>
  <c r="S524" i="1"/>
  <c r="T524" i="1"/>
  <c r="G524" i="1" s="1"/>
  <c r="U524" i="1"/>
  <c r="H524" i="1" s="1"/>
  <c r="V524" i="1"/>
  <c r="X524" i="1"/>
  <c r="J524" i="1" s="1"/>
  <c r="N525" i="1"/>
  <c r="O525" i="1"/>
  <c r="P525" i="1"/>
  <c r="Q525" i="1"/>
  <c r="R525" i="1"/>
  <c r="S525" i="1"/>
  <c r="T525" i="1"/>
  <c r="G525" i="1" s="1"/>
  <c r="U525" i="1"/>
  <c r="H525" i="1" s="1"/>
  <c r="V525" i="1"/>
  <c r="X525" i="1"/>
  <c r="J525" i="1" s="1"/>
  <c r="N526" i="1"/>
  <c r="O526" i="1"/>
  <c r="P526" i="1"/>
  <c r="Q526" i="1"/>
  <c r="R526" i="1"/>
  <c r="S526" i="1"/>
  <c r="T526" i="1"/>
  <c r="G526" i="1" s="1"/>
  <c r="U526" i="1"/>
  <c r="H526" i="1" s="1"/>
  <c r="V526" i="1"/>
  <c r="X526" i="1"/>
  <c r="J526" i="1" s="1"/>
  <c r="N527" i="1"/>
  <c r="O527" i="1"/>
  <c r="P527" i="1"/>
  <c r="Q527" i="1"/>
  <c r="R527" i="1"/>
  <c r="S527" i="1"/>
  <c r="T527" i="1"/>
  <c r="G527" i="1" s="1"/>
  <c r="U527" i="1"/>
  <c r="H527" i="1" s="1"/>
  <c r="V527" i="1"/>
  <c r="X527" i="1"/>
  <c r="J527" i="1" s="1"/>
  <c r="N528" i="1"/>
  <c r="O528" i="1"/>
  <c r="P528" i="1"/>
  <c r="Q528" i="1"/>
  <c r="R528" i="1"/>
  <c r="S528" i="1"/>
  <c r="T528" i="1"/>
  <c r="G528" i="1" s="1"/>
  <c r="U528" i="1"/>
  <c r="H528" i="1" s="1"/>
  <c r="V528" i="1"/>
  <c r="X528" i="1"/>
  <c r="J528" i="1" s="1"/>
  <c r="N529" i="1"/>
  <c r="O529" i="1"/>
  <c r="P529" i="1"/>
  <c r="Q529" i="1"/>
  <c r="R529" i="1"/>
  <c r="S529" i="1"/>
  <c r="T529" i="1"/>
  <c r="G529" i="1" s="1"/>
  <c r="U529" i="1"/>
  <c r="H529" i="1" s="1"/>
  <c r="V529" i="1"/>
  <c r="X529" i="1"/>
  <c r="J529" i="1" s="1"/>
  <c r="N530" i="1"/>
  <c r="O530" i="1"/>
  <c r="P530" i="1"/>
  <c r="Q530" i="1"/>
  <c r="R530" i="1"/>
  <c r="S530" i="1"/>
  <c r="T530" i="1"/>
  <c r="G530" i="1" s="1"/>
  <c r="U530" i="1"/>
  <c r="H530" i="1" s="1"/>
  <c r="V530" i="1"/>
  <c r="X530" i="1"/>
  <c r="J530" i="1" s="1"/>
  <c r="N531" i="1"/>
  <c r="O531" i="1"/>
  <c r="P531" i="1"/>
  <c r="Q531" i="1"/>
  <c r="R531" i="1"/>
  <c r="S531" i="1"/>
  <c r="T531" i="1"/>
  <c r="G531" i="1" s="1"/>
  <c r="U531" i="1"/>
  <c r="H531" i="1" s="1"/>
  <c r="V531" i="1"/>
  <c r="X531" i="1"/>
  <c r="J531" i="1" s="1"/>
  <c r="N532" i="1"/>
  <c r="O532" i="1"/>
  <c r="P532" i="1"/>
  <c r="Q532" i="1"/>
  <c r="R532" i="1"/>
  <c r="S532" i="1"/>
  <c r="T532" i="1"/>
  <c r="G532" i="1" s="1"/>
  <c r="U532" i="1"/>
  <c r="H532" i="1" s="1"/>
  <c r="V532" i="1"/>
  <c r="X532" i="1"/>
  <c r="J532" i="1" s="1"/>
  <c r="N533" i="1"/>
  <c r="O533" i="1"/>
  <c r="P533" i="1"/>
  <c r="Q533" i="1"/>
  <c r="R533" i="1"/>
  <c r="S533" i="1"/>
  <c r="T533" i="1"/>
  <c r="G533" i="1" s="1"/>
  <c r="U533" i="1"/>
  <c r="H533" i="1" s="1"/>
  <c r="V533" i="1"/>
  <c r="X533" i="1"/>
  <c r="J533" i="1" s="1"/>
  <c r="N534" i="1"/>
  <c r="O534" i="1"/>
  <c r="P534" i="1"/>
  <c r="Q534" i="1"/>
  <c r="R534" i="1"/>
  <c r="S534" i="1"/>
  <c r="T534" i="1"/>
  <c r="G534" i="1" s="1"/>
  <c r="U534" i="1"/>
  <c r="H534" i="1" s="1"/>
  <c r="V534" i="1"/>
  <c r="X534" i="1"/>
  <c r="J534" i="1" s="1"/>
  <c r="N535" i="1"/>
  <c r="O535" i="1"/>
  <c r="P535" i="1"/>
  <c r="Q535" i="1"/>
  <c r="R535" i="1"/>
  <c r="S535" i="1"/>
  <c r="T535" i="1"/>
  <c r="G535" i="1" s="1"/>
  <c r="U535" i="1"/>
  <c r="H535" i="1" s="1"/>
  <c r="V535" i="1"/>
  <c r="X535" i="1"/>
  <c r="J535" i="1" s="1"/>
  <c r="N536" i="1"/>
  <c r="O536" i="1"/>
  <c r="P536" i="1"/>
  <c r="Q536" i="1"/>
  <c r="R536" i="1"/>
  <c r="S536" i="1"/>
  <c r="T536" i="1"/>
  <c r="G536" i="1" s="1"/>
  <c r="U536" i="1"/>
  <c r="H536" i="1" s="1"/>
  <c r="V536" i="1"/>
  <c r="X536" i="1"/>
  <c r="J536" i="1" s="1"/>
  <c r="N537" i="1"/>
  <c r="O537" i="1"/>
  <c r="P537" i="1"/>
  <c r="Q537" i="1"/>
  <c r="R537" i="1"/>
  <c r="S537" i="1"/>
  <c r="T537" i="1"/>
  <c r="G537" i="1" s="1"/>
  <c r="U537" i="1"/>
  <c r="H537" i="1" s="1"/>
  <c r="V537" i="1"/>
  <c r="X537" i="1"/>
  <c r="J537" i="1" s="1"/>
  <c r="N538" i="1"/>
  <c r="O538" i="1"/>
  <c r="P538" i="1"/>
  <c r="Q538" i="1"/>
  <c r="R538" i="1"/>
  <c r="S538" i="1"/>
  <c r="T538" i="1"/>
  <c r="G538" i="1" s="1"/>
  <c r="U538" i="1"/>
  <c r="H538" i="1" s="1"/>
  <c r="V538" i="1"/>
  <c r="X538" i="1"/>
  <c r="J538" i="1" s="1"/>
  <c r="N539" i="1"/>
  <c r="O539" i="1"/>
  <c r="P539" i="1"/>
  <c r="Q539" i="1"/>
  <c r="R539" i="1"/>
  <c r="S539" i="1"/>
  <c r="T539" i="1"/>
  <c r="G539" i="1" s="1"/>
  <c r="U539" i="1"/>
  <c r="H539" i="1" s="1"/>
  <c r="V539" i="1"/>
  <c r="X539" i="1"/>
  <c r="J539" i="1" s="1"/>
  <c r="N540" i="1"/>
  <c r="O540" i="1"/>
  <c r="P540" i="1"/>
  <c r="Q540" i="1"/>
  <c r="R540" i="1"/>
  <c r="S540" i="1"/>
  <c r="T540" i="1"/>
  <c r="G540" i="1" s="1"/>
  <c r="U540" i="1"/>
  <c r="H540" i="1" s="1"/>
  <c r="V540" i="1"/>
  <c r="X540" i="1"/>
  <c r="J540" i="1" s="1"/>
  <c r="N541" i="1"/>
  <c r="O541" i="1"/>
  <c r="P541" i="1"/>
  <c r="Q541" i="1"/>
  <c r="R541" i="1"/>
  <c r="S541" i="1"/>
  <c r="T541" i="1"/>
  <c r="G541" i="1" s="1"/>
  <c r="U541" i="1"/>
  <c r="H541" i="1" s="1"/>
  <c r="V541" i="1"/>
  <c r="X541" i="1"/>
  <c r="J541" i="1" s="1"/>
  <c r="N542" i="1"/>
  <c r="O542" i="1"/>
  <c r="P542" i="1"/>
  <c r="Q542" i="1"/>
  <c r="R542" i="1"/>
  <c r="S542" i="1"/>
  <c r="T542" i="1"/>
  <c r="G542" i="1" s="1"/>
  <c r="U542" i="1"/>
  <c r="H542" i="1" s="1"/>
  <c r="V542" i="1"/>
  <c r="X542" i="1"/>
  <c r="J542" i="1" s="1"/>
  <c r="N543" i="1"/>
  <c r="O543" i="1"/>
  <c r="P543" i="1"/>
  <c r="Q543" i="1"/>
  <c r="R543" i="1"/>
  <c r="S543" i="1"/>
  <c r="T543" i="1"/>
  <c r="G543" i="1" s="1"/>
  <c r="U543" i="1"/>
  <c r="H543" i="1" s="1"/>
  <c r="V543" i="1"/>
  <c r="X543" i="1"/>
  <c r="J543" i="1" s="1"/>
  <c r="N544" i="1"/>
  <c r="O544" i="1"/>
  <c r="P544" i="1"/>
  <c r="Q544" i="1"/>
  <c r="R544" i="1"/>
  <c r="S544" i="1"/>
  <c r="T544" i="1"/>
  <c r="G544" i="1" s="1"/>
  <c r="U544" i="1"/>
  <c r="H544" i="1" s="1"/>
  <c r="V544" i="1"/>
  <c r="X544" i="1"/>
  <c r="J544" i="1" s="1"/>
  <c r="N545" i="1"/>
  <c r="O545" i="1"/>
  <c r="P545" i="1"/>
  <c r="Q545" i="1"/>
  <c r="R545" i="1"/>
  <c r="S545" i="1"/>
  <c r="T545" i="1"/>
  <c r="G545" i="1" s="1"/>
  <c r="U545" i="1"/>
  <c r="H545" i="1" s="1"/>
  <c r="V545" i="1"/>
  <c r="X545" i="1"/>
  <c r="J545" i="1" s="1"/>
  <c r="N546" i="1"/>
  <c r="O546" i="1"/>
  <c r="P546" i="1"/>
  <c r="Q546" i="1"/>
  <c r="R546" i="1"/>
  <c r="S546" i="1"/>
  <c r="T546" i="1"/>
  <c r="G546" i="1" s="1"/>
  <c r="U546" i="1"/>
  <c r="H546" i="1" s="1"/>
  <c r="V546" i="1"/>
  <c r="X546" i="1"/>
  <c r="J546" i="1" s="1"/>
  <c r="O16" i="1"/>
  <c r="P16" i="1"/>
  <c r="Q16" i="1"/>
  <c r="R16" i="1"/>
  <c r="S16" i="1"/>
  <c r="T16" i="1"/>
  <c r="U16" i="1"/>
  <c r="V16" i="1"/>
  <c r="X16" i="1"/>
  <c r="N16" i="1"/>
  <c r="Y7" i="1"/>
  <c r="Z7" i="1"/>
  <c r="AA7" i="1"/>
  <c r="AB7" i="1"/>
  <c r="AC7" i="1"/>
  <c r="AD7" i="1"/>
  <c r="AE7" i="1"/>
  <c r="AF7" i="1"/>
  <c r="AG7" i="1"/>
  <c r="AI7" i="1"/>
  <c r="AJ7" i="1"/>
  <c r="AK7" i="1"/>
  <c r="AL7" i="1"/>
  <c r="AM7" i="1"/>
  <c r="AN7" i="1"/>
  <c r="AO7" i="1"/>
  <c r="AP7" i="1"/>
  <c r="AQ7" i="1"/>
  <c r="AR7" i="1"/>
  <c r="AT7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16" i="1"/>
  <c r="AH554" i="1" l="1"/>
  <c r="AH14" i="1" s="1"/>
  <c r="F544" i="1"/>
  <c r="F542" i="1"/>
  <c r="I542" i="1" s="1"/>
  <c r="F540" i="1"/>
  <c r="I540" i="1" s="1"/>
  <c r="W501" i="1"/>
  <c r="W485" i="1"/>
  <c r="W469" i="1"/>
  <c r="W453" i="1"/>
  <c r="W437" i="1"/>
  <c r="W421" i="1"/>
  <c r="W405" i="1"/>
  <c r="W389" i="1"/>
  <c r="W373" i="1"/>
  <c r="W357" i="1"/>
  <c r="W329" i="1"/>
  <c r="W317" i="1"/>
  <c r="AS554" i="1"/>
  <c r="AS14" i="1" s="1"/>
  <c r="Q547" i="1"/>
  <c r="Q8" i="1" s="1"/>
  <c r="W505" i="1"/>
  <c r="W539" i="1"/>
  <c r="V547" i="1"/>
  <c r="V8" i="1" s="1"/>
  <c r="R547" i="1"/>
  <c r="R8" i="1" s="1"/>
  <c r="W282" i="1"/>
  <c r="W258" i="1"/>
  <c r="W242" i="1"/>
  <c r="W210" i="1"/>
  <c r="W162" i="1"/>
  <c r="W146" i="1"/>
  <c r="W114" i="1"/>
  <c r="W98" i="1"/>
  <c r="W82" i="1"/>
  <c r="W66" i="1"/>
  <c r="W50" i="1"/>
  <c r="W34" i="1"/>
  <c r="W18" i="1"/>
  <c r="AS552" i="1"/>
  <c r="AS13" i="1" s="1"/>
  <c r="R553" i="1"/>
  <c r="R551" i="1"/>
  <c r="R12" i="1" s="1"/>
  <c r="R555" i="1"/>
  <c r="R7" i="1" s="1"/>
  <c r="F546" i="1"/>
  <c r="I546" i="1" s="1"/>
  <c r="M524" i="1"/>
  <c r="L524" i="1"/>
  <c r="M522" i="1"/>
  <c r="L522" i="1"/>
  <c r="M510" i="1"/>
  <c r="L510" i="1"/>
  <c r="M508" i="1"/>
  <c r="L508" i="1"/>
  <c r="L506" i="1"/>
  <c r="L504" i="1"/>
  <c r="M502" i="1"/>
  <c r="L502" i="1"/>
  <c r="M494" i="1"/>
  <c r="L494" i="1"/>
  <c r="M492" i="1"/>
  <c r="L492" i="1"/>
  <c r="M490" i="1"/>
  <c r="L490" i="1"/>
  <c r="M456" i="1"/>
  <c r="L456" i="1"/>
  <c r="M448" i="1"/>
  <c r="L448" i="1"/>
  <c r="M446" i="1"/>
  <c r="L446" i="1"/>
  <c r="L444" i="1"/>
  <c r="M440" i="1"/>
  <c r="L440" i="1"/>
  <c r="M438" i="1"/>
  <c r="L438" i="1"/>
  <c r="M432" i="1"/>
  <c r="L432" i="1"/>
  <c r="M430" i="1"/>
  <c r="L430" i="1"/>
  <c r="M428" i="1"/>
  <c r="L428" i="1"/>
  <c r="M416" i="1"/>
  <c r="L416" i="1"/>
  <c r="AH553" i="1"/>
  <c r="AH551" i="1"/>
  <c r="AH12" i="1" s="1"/>
  <c r="AH555" i="1"/>
  <c r="AH548" i="1"/>
  <c r="AH9" i="1" s="1"/>
  <c r="AS551" i="1"/>
  <c r="AS12" i="1" s="1"/>
  <c r="AS555" i="1"/>
  <c r="AS553" i="1"/>
  <c r="W508" i="1"/>
  <c r="W504" i="1"/>
  <c r="AS548" i="1"/>
  <c r="AS9" i="1" s="1"/>
  <c r="F16" i="1"/>
  <c r="N553" i="1"/>
  <c r="N551" i="1"/>
  <c r="N12" i="1" s="1"/>
  <c r="N555" i="1"/>
  <c r="N7" i="1" s="1"/>
  <c r="G16" i="1"/>
  <c r="T551" i="1"/>
  <c r="T555" i="1"/>
  <c r="T7" i="1" s="1"/>
  <c r="T553" i="1"/>
  <c r="G553" i="1" s="1"/>
  <c r="P551" i="1"/>
  <c r="P12" i="1" s="1"/>
  <c r="P555" i="1"/>
  <c r="P7" i="1" s="1"/>
  <c r="P553" i="1"/>
  <c r="F545" i="1"/>
  <c r="I545" i="1" s="1"/>
  <c r="F543" i="1"/>
  <c r="I543" i="1" s="1"/>
  <c r="F541" i="1"/>
  <c r="M537" i="1"/>
  <c r="L537" i="1"/>
  <c r="M535" i="1"/>
  <c r="L535" i="1"/>
  <c r="M533" i="1"/>
  <c r="L533" i="1"/>
  <c r="L531" i="1"/>
  <c r="M529" i="1"/>
  <c r="L529" i="1"/>
  <c r="M527" i="1"/>
  <c r="L527" i="1"/>
  <c r="L525" i="1"/>
  <c r="M523" i="1"/>
  <c r="L523" i="1"/>
  <c r="M521" i="1"/>
  <c r="L521" i="1"/>
  <c r="M519" i="1"/>
  <c r="L519" i="1"/>
  <c r="M517" i="1"/>
  <c r="L517" i="1"/>
  <c r="M515" i="1"/>
  <c r="L515" i="1"/>
  <c r="M513" i="1"/>
  <c r="L513" i="1"/>
  <c r="L511" i="1"/>
  <c r="L509" i="1"/>
  <c r="M507" i="1"/>
  <c r="L507" i="1"/>
  <c r="L505" i="1"/>
  <c r="L503" i="1"/>
  <c r="M501" i="1"/>
  <c r="L501" i="1"/>
  <c r="M499" i="1"/>
  <c r="L499" i="1"/>
  <c r="M497" i="1"/>
  <c r="L497" i="1"/>
  <c r="L495" i="1"/>
  <c r="M493" i="1"/>
  <c r="L493" i="1"/>
  <c r="M491" i="1"/>
  <c r="L491" i="1"/>
  <c r="M489" i="1"/>
  <c r="L489" i="1"/>
  <c r="L487" i="1"/>
  <c r="L485" i="1"/>
  <c r="M483" i="1"/>
  <c r="L483" i="1"/>
  <c r="M481" i="1"/>
  <c r="L481" i="1"/>
  <c r="L479" i="1"/>
  <c r="M477" i="1"/>
  <c r="L477" i="1"/>
  <c r="M475" i="1"/>
  <c r="L475" i="1"/>
  <c r="M473" i="1"/>
  <c r="L473" i="1"/>
  <c r="M471" i="1"/>
  <c r="L471" i="1"/>
  <c r="M469" i="1"/>
  <c r="L469" i="1"/>
  <c r="M467" i="1"/>
  <c r="L467" i="1"/>
  <c r="M465" i="1"/>
  <c r="L465" i="1"/>
  <c r="L463" i="1"/>
  <c r="M461" i="1"/>
  <c r="L461" i="1"/>
  <c r="L459" i="1"/>
  <c r="M457" i="1"/>
  <c r="L457" i="1"/>
  <c r="M455" i="1"/>
  <c r="L455" i="1"/>
  <c r="M453" i="1"/>
  <c r="L453" i="1"/>
  <c r="M451" i="1"/>
  <c r="L451" i="1"/>
  <c r="L449" i="1"/>
  <c r="M447" i="1"/>
  <c r="L447" i="1"/>
  <c r="M445" i="1"/>
  <c r="L445" i="1"/>
  <c r="L443" i="1"/>
  <c r="M441" i="1"/>
  <c r="L441" i="1"/>
  <c r="M439" i="1"/>
  <c r="L439" i="1"/>
  <c r="M437" i="1"/>
  <c r="L437" i="1"/>
  <c r="M435" i="1"/>
  <c r="L435" i="1"/>
  <c r="M433" i="1"/>
  <c r="L433" i="1"/>
  <c r="L431" i="1"/>
  <c r="M429" i="1"/>
  <c r="L429" i="1"/>
  <c r="M427" i="1"/>
  <c r="L427" i="1"/>
  <c r="M425" i="1"/>
  <c r="L425" i="1"/>
  <c r="M423" i="1"/>
  <c r="L423" i="1"/>
  <c r="M421" i="1"/>
  <c r="L421" i="1"/>
  <c r="M419" i="1"/>
  <c r="L419" i="1"/>
  <c r="M417" i="1"/>
  <c r="L417" i="1"/>
  <c r="M415" i="1"/>
  <c r="L415" i="1"/>
  <c r="M413" i="1"/>
  <c r="L413" i="1"/>
  <c r="M411" i="1"/>
  <c r="L411" i="1"/>
  <c r="M409" i="1"/>
  <c r="L409" i="1"/>
  <c r="L407" i="1"/>
  <c r="L405" i="1"/>
  <c r="M403" i="1"/>
  <c r="L403" i="1"/>
  <c r="L401" i="1"/>
  <c r="L399" i="1"/>
  <c r="L397" i="1"/>
  <c r="M395" i="1"/>
  <c r="L395" i="1"/>
  <c r="M393" i="1"/>
  <c r="L393" i="1"/>
  <c r="M391" i="1"/>
  <c r="L391" i="1"/>
  <c r="L389" i="1"/>
  <c r="M387" i="1"/>
  <c r="L387" i="1"/>
  <c r="L385" i="1"/>
  <c r="L383" i="1"/>
  <c r="M381" i="1"/>
  <c r="L381" i="1"/>
  <c r="L379" i="1"/>
  <c r="M377" i="1"/>
  <c r="L377" i="1"/>
  <c r="M375" i="1"/>
  <c r="L375" i="1"/>
  <c r="M373" i="1"/>
  <c r="L373" i="1"/>
  <c r="M371" i="1"/>
  <c r="L371" i="1"/>
  <c r="M369" i="1"/>
  <c r="L369" i="1"/>
  <c r="M367" i="1"/>
  <c r="L367" i="1"/>
  <c r="M365" i="1"/>
  <c r="L365" i="1"/>
  <c r="M363" i="1"/>
  <c r="L363" i="1"/>
  <c r="M361" i="1"/>
  <c r="L361" i="1"/>
  <c r="L359" i="1"/>
  <c r="M357" i="1"/>
  <c r="L357" i="1"/>
  <c r="L355" i="1"/>
  <c r="M353" i="1"/>
  <c r="L353" i="1"/>
  <c r="M351" i="1"/>
  <c r="L351" i="1"/>
  <c r="H350" i="1"/>
  <c r="U554" i="1"/>
  <c r="Q554" i="1"/>
  <c r="Q14" i="1" s="1"/>
  <c r="M349" i="1"/>
  <c r="L349" i="1"/>
  <c r="M347" i="1"/>
  <c r="L347" i="1"/>
  <c r="M345" i="1"/>
  <c r="L345" i="1"/>
  <c r="M343" i="1"/>
  <c r="L343" i="1"/>
  <c r="M341" i="1"/>
  <c r="L341" i="1"/>
  <c r="M339" i="1"/>
  <c r="L339" i="1"/>
  <c r="M337" i="1"/>
  <c r="L337" i="1"/>
  <c r="M335" i="1"/>
  <c r="L335" i="1"/>
  <c r="M333" i="1"/>
  <c r="L333" i="1"/>
  <c r="M331" i="1"/>
  <c r="L331" i="1"/>
  <c r="M329" i="1"/>
  <c r="L329" i="1"/>
  <c r="L327" i="1"/>
  <c r="M327" i="1"/>
  <c r="M325" i="1"/>
  <c r="L325" i="1"/>
  <c r="L323" i="1"/>
  <c r="M323" i="1"/>
  <c r="M321" i="1"/>
  <c r="L321" i="1"/>
  <c r="L319" i="1"/>
  <c r="M319" i="1"/>
  <c r="M317" i="1"/>
  <c r="L317" i="1"/>
  <c r="L315" i="1"/>
  <c r="M315" i="1"/>
  <c r="M313" i="1"/>
  <c r="L313" i="1"/>
  <c r="L311" i="1"/>
  <c r="M311" i="1"/>
  <c r="M309" i="1"/>
  <c r="L309" i="1"/>
  <c r="L307" i="1"/>
  <c r="M307" i="1"/>
  <c r="M305" i="1"/>
  <c r="L305" i="1"/>
  <c r="L303" i="1"/>
  <c r="M303" i="1"/>
  <c r="M301" i="1"/>
  <c r="L301" i="1"/>
  <c r="L299" i="1"/>
  <c r="M299" i="1"/>
  <c r="M297" i="1"/>
  <c r="L297" i="1"/>
  <c r="L295" i="1"/>
  <c r="M295" i="1"/>
  <c r="M293" i="1"/>
  <c r="L293" i="1"/>
  <c r="L291" i="1"/>
  <c r="M291" i="1"/>
  <c r="M289" i="1"/>
  <c r="L289" i="1"/>
  <c r="L287" i="1"/>
  <c r="M287" i="1"/>
  <c r="M285" i="1"/>
  <c r="L285" i="1"/>
  <c r="L283" i="1"/>
  <c r="M283" i="1"/>
  <c r="M281" i="1"/>
  <c r="L281" i="1"/>
  <c r="L279" i="1"/>
  <c r="M279" i="1"/>
  <c r="M277" i="1"/>
  <c r="L277" i="1"/>
  <c r="L275" i="1"/>
  <c r="M275" i="1"/>
  <c r="M273" i="1"/>
  <c r="L273" i="1"/>
  <c r="L271" i="1"/>
  <c r="M271" i="1"/>
  <c r="M269" i="1"/>
  <c r="L269" i="1"/>
  <c r="L267" i="1"/>
  <c r="M267" i="1"/>
  <c r="M265" i="1"/>
  <c r="L265" i="1"/>
  <c r="L263" i="1"/>
  <c r="M263" i="1"/>
  <c r="M261" i="1"/>
  <c r="L261" i="1"/>
  <c r="L259" i="1"/>
  <c r="M259" i="1"/>
  <c r="M257" i="1"/>
  <c r="L257" i="1"/>
  <c r="L255" i="1"/>
  <c r="M255" i="1"/>
  <c r="M253" i="1"/>
  <c r="L253" i="1"/>
  <c r="L251" i="1"/>
  <c r="M251" i="1"/>
  <c r="L249" i="1"/>
  <c r="M249" i="1"/>
  <c r="L247" i="1"/>
  <c r="M247" i="1"/>
  <c r="L245" i="1"/>
  <c r="M245" i="1"/>
  <c r="L243" i="1"/>
  <c r="M243" i="1"/>
  <c r="L241" i="1"/>
  <c r="M241" i="1"/>
  <c r="L239" i="1"/>
  <c r="M239" i="1"/>
  <c r="L237" i="1"/>
  <c r="M237" i="1"/>
  <c r="M235" i="1"/>
  <c r="L235" i="1"/>
  <c r="L233" i="1"/>
  <c r="M233" i="1"/>
  <c r="M231" i="1"/>
  <c r="L231" i="1"/>
  <c r="L229" i="1"/>
  <c r="M229" i="1"/>
  <c r="M227" i="1"/>
  <c r="L227" i="1"/>
  <c r="M225" i="1"/>
  <c r="L225" i="1"/>
  <c r="M223" i="1"/>
  <c r="L223" i="1"/>
  <c r="L221" i="1"/>
  <c r="M221" i="1"/>
  <c r="M219" i="1"/>
  <c r="L219" i="1"/>
  <c r="M217" i="1"/>
  <c r="L217" i="1"/>
  <c r="M215" i="1"/>
  <c r="L215" i="1"/>
  <c r="L213" i="1"/>
  <c r="M213" i="1"/>
  <c r="M211" i="1"/>
  <c r="L211" i="1"/>
  <c r="M209" i="1"/>
  <c r="L209" i="1"/>
  <c r="M207" i="1"/>
  <c r="L207" i="1"/>
  <c r="L205" i="1"/>
  <c r="M205" i="1"/>
  <c r="L203" i="1"/>
  <c r="M203" i="1"/>
  <c r="L201" i="1"/>
  <c r="M201" i="1"/>
  <c r="M199" i="1"/>
  <c r="L199" i="1"/>
  <c r="L197" i="1"/>
  <c r="M197" i="1"/>
  <c r="L195" i="1"/>
  <c r="M195" i="1"/>
  <c r="L193" i="1"/>
  <c r="M193" i="1"/>
  <c r="M191" i="1"/>
  <c r="L191" i="1"/>
  <c r="L189" i="1"/>
  <c r="M189" i="1"/>
  <c r="L187" i="1"/>
  <c r="M187" i="1"/>
  <c r="L185" i="1"/>
  <c r="M185" i="1"/>
  <c r="M183" i="1"/>
  <c r="L183" i="1"/>
  <c r="L181" i="1"/>
  <c r="M181" i="1"/>
  <c r="L179" i="1"/>
  <c r="M179" i="1"/>
  <c r="L177" i="1"/>
  <c r="M177" i="1"/>
  <c r="M175" i="1"/>
  <c r="L175" i="1"/>
  <c r="L173" i="1"/>
  <c r="M173" i="1"/>
  <c r="M171" i="1"/>
  <c r="L171" i="1"/>
  <c r="L169" i="1"/>
  <c r="M169" i="1"/>
  <c r="M167" i="1"/>
  <c r="L167" i="1"/>
  <c r="L165" i="1"/>
  <c r="M165" i="1"/>
  <c r="M163" i="1"/>
  <c r="L163" i="1"/>
  <c r="L161" i="1"/>
  <c r="M161" i="1"/>
  <c r="L159" i="1"/>
  <c r="M159" i="1"/>
  <c r="L157" i="1"/>
  <c r="M157" i="1"/>
  <c r="M155" i="1"/>
  <c r="L155" i="1"/>
  <c r="L153" i="1"/>
  <c r="M153" i="1"/>
  <c r="L151" i="1"/>
  <c r="M151" i="1"/>
  <c r="L149" i="1"/>
  <c r="M149" i="1"/>
  <c r="L147" i="1"/>
  <c r="M147" i="1"/>
  <c r="L145" i="1"/>
  <c r="M145" i="1"/>
  <c r="L143" i="1"/>
  <c r="M143" i="1"/>
  <c r="L141" i="1"/>
  <c r="M141" i="1"/>
  <c r="L139" i="1"/>
  <c r="M139" i="1"/>
  <c r="L137" i="1"/>
  <c r="M137" i="1"/>
  <c r="L135" i="1"/>
  <c r="M135" i="1"/>
  <c r="L133" i="1"/>
  <c r="M133" i="1"/>
  <c r="L131" i="1"/>
  <c r="M131" i="1"/>
  <c r="L129" i="1"/>
  <c r="M129" i="1"/>
  <c r="L127" i="1"/>
  <c r="M127" i="1"/>
  <c r="L125" i="1"/>
  <c r="M125" i="1"/>
  <c r="L123" i="1"/>
  <c r="M123" i="1"/>
  <c r="L121" i="1"/>
  <c r="M121" i="1"/>
  <c r="L119" i="1"/>
  <c r="M119" i="1"/>
  <c r="L117" i="1"/>
  <c r="M117" i="1"/>
  <c r="L115" i="1"/>
  <c r="M115" i="1"/>
  <c r="L113" i="1"/>
  <c r="M113" i="1"/>
  <c r="L111" i="1"/>
  <c r="M111" i="1"/>
  <c r="L109" i="1"/>
  <c r="M109" i="1"/>
  <c r="L107" i="1"/>
  <c r="M107" i="1"/>
  <c r="L105" i="1"/>
  <c r="M105" i="1"/>
  <c r="M103" i="1"/>
  <c r="L103" i="1"/>
  <c r="M101" i="1"/>
  <c r="L101" i="1"/>
  <c r="L99" i="1"/>
  <c r="M99" i="1"/>
  <c r="M97" i="1"/>
  <c r="L97" i="1"/>
  <c r="L95" i="1"/>
  <c r="M95" i="1"/>
  <c r="M93" i="1"/>
  <c r="L93" i="1"/>
  <c r="L91" i="1"/>
  <c r="M91" i="1"/>
  <c r="M89" i="1"/>
  <c r="L89" i="1"/>
  <c r="L87" i="1"/>
  <c r="M87" i="1"/>
  <c r="M85" i="1"/>
  <c r="L85" i="1"/>
  <c r="M83" i="1"/>
  <c r="L83" i="1"/>
  <c r="M81" i="1"/>
  <c r="L81" i="1"/>
  <c r="M79" i="1"/>
  <c r="L79" i="1"/>
  <c r="M77" i="1"/>
  <c r="L77" i="1"/>
  <c r="M75" i="1"/>
  <c r="L75" i="1"/>
  <c r="M73" i="1"/>
  <c r="L73" i="1"/>
  <c r="L71" i="1"/>
  <c r="M71" i="1"/>
  <c r="M69" i="1"/>
  <c r="L69" i="1"/>
  <c r="L67" i="1"/>
  <c r="M67" i="1"/>
  <c r="M65" i="1"/>
  <c r="L65" i="1"/>
  <c r="L63" i="1"/>
  <c r="M63" i="1"/>
  <c r="M61" i="1"/>
  <c r="L61" i="1"/>
  <c r="L59" i="1"/>
  <c r="M59" i="1"/>
  <c r="M57" i="1"/>
  <c r="L57" i="1"/>
  <c r="L55" i="1"/>
  <c r="M55" i="1"/>
  <c r="M53" i="1"/>
  <c r="L53" i="1"/>
  <c r="L51" i="1"/>
  <c r="M51" i="1"/>
  <c r="M49" i="1"/>
  <c r="L49" i="1"/>
  <c r="L47" i="1"/>
  <c r="M47" i="1"/>
  <c r="M45" i="1"/>
  <c r="L45" i="1"/>
  <c r="L43" i="1"/>
  <c r="M43" i="1"/>
  <c r="M41" i="1"/>
  <c r="L41" i="1"/>
  <c r="M39" i="1"/>
  <c r="L39" i="1"/>
  <c r="M37" i="1"/>
  <c r="L37" i="1"/>
  <c r="L35" i="1"/>
  <c r="M35" i="1"/>
  <c r="M33" i="1"/>
  <c r="L33" i="1"/>
  <c r="L31" i="1"/>
  <c r="M31" i="1"/>
  <c r="M29" i="1"/>
  <c r="L29" i="1"/>
  <c r="J27" i="1"/>
  <c r="X550" i="1"/>
  <c r="S550" i="1"/>
  <c r="S11" i="1" s="1"/>
  <c r="O550" i="1"/>
  <c r="O11" i="1" s="1"/>
  <c r="M25" i="1"/>
  <c r="L25" i="1"/>
  <c r="L23" i="1"/>
  <c r="M23" i="1"/>
  <c r="J21" i="1"/>
  <c r="X549" i="1"/>
  <c r="S549" i="1"/>
  <c r="S10" i="1" s="1"/>
  <c r="O549" i="1"/>
  <c r="O10" i="1" s="1"/>
  <c r="H20" i="1"/>
  <c r="U548" i="1"/>
  <c r="Q548" i="1"/>
  <c r="Q9" i="1" s="1"/>
  <c r="L19" i="1"/>
  <c r="M19" i="1"/>
  <c r="H18" i="1"/>
  <c r="U552" i="1"/>
  <c r="Q552" i="1"/>
  <c r="Q13" i="1" s="1"/>
  <c r="J17" i="1"/>
  <c r="X547" i="1"/>
  <c r="S547" i="1"/>
  <c r="S8" i="1" s="1"/>
  <c r="O547" i="1"/>
  <c r="O8" i="1" s="1"/>
  <c r="AH550" i="1"/>
  <c r="AH11" i="1" s="1"/>
  <c r="W543" i="1"/>
  <c r="W535" i="1"/>
  <c r="W531" i="1"/>
  <c r="W527" i="1"/>
  <c r="W523" i="1"/>
  <c r="W519" i="1"/>
  <c r="W515" i="1"/>
  <c r="W343" i="1"/>
  <c r="W323" i="1"/>
  <c r="W311" i="1"/>
  <c r="W291" i="1"/>
  <c r="W279" i="1"/>
  <c r="W263" i="1"/>
  <c r="W247" i="1"/>
  <c r="W231" i="1"/>
  <c r="W215" i="1"/>
  <c r="W199" i="1"/>
  <c r="W183" i="1"/>
  <c r="W167" i="1"/>
  <c r="W151" i="1"/>
  <c r="W135" i="1"/>
  <c r="W119" i="1"/>
  <c r="W103" i="1"/>
  <c r="W87" i="1"/>
  <c r="W71" i="1"/>
  <c r="W55" i="1"/>
  <c r="W39" i="1"/>
  <c r="AS550" i="1"/>
  <c r="AS11" i="1" s="1"/>
  <c r="W23" i="1"/>
  <c r="J16" i="1"/>
  <c r="X551" i="1"/>
  <c r="X555" i="1"/>
  <c r="X7" i="1" s="1"/>
  <c r="X553" i="1"/>
  <c r="J553" i="1" s="1"/>
  <c r="S553" i="1"/>
  <c r="S551" i="1"/>
  <c r="S12" i="1" s="1"/>
  <c r="S555" i="1"/>
  <c r="S7" i="1" s="1"/>
  <c r="O553" i="1"/>
  <c r="O551" i="1"/>
  <c r="O12" i="1" s="1"/>
  <c r="O555" i="1"/>
  <c r="O7" i="1" s="1"/>
  <c r="L546" i="1"/>
  <c r="I544" i="1"/>
  <c r="M544" i="1"/>
  <c r="L544" i="1"/>
  <c r="M542" i="1"/>
  <c r="L542" i="1"/>
  <c r="M540" i="1"/>
  <c r="L540" i="1"/>
  <c r="F539" i="1"/>
  <c r="F537" i="1"/>
  <c r="I537" i="1" s="1"/>
  <c r="F535" i="1"/>
  <c r="I535" i="1" s="1"/>
  <c r="F533" i="1"/>
  <c r="I533" i="1" s="1"/>
  <c r="F531" i="1"/>
  <c r="I531" i="1" s="1"/>
  <c r="F529" i="1"/>
  <c r="I529" i="1" s="1"/>
  <c r="F527" i="1"/>
  <c r="I527" i="1" s="1"/>
  <c r="F525" i="1"/>
  <c r="I525" i="1" s="1"/>
  <c r="F523" i="1"/>
  <c r="I523" i="1" s="1"/>
  <c r="F521" i="1"/>
  <c r="I521" i="1" s="1"/>
  <c r="F519" i="1"/>
  <c r="I519" i="1" s="1"/>
  <c r="F517" i="1"/>
  <c r="I517" i="1" s="1"/>
  <c r="F515" i="1"/>
  <c r="I515" i="1" s="1"/>
  <c r="F513" i="1"/>
  <c r="I513" i="1" s="1"/>
  <c r="F511" i="1"/>
  <c r="I511" i="1" s="1"/>
  <c r="F509" i="1"/>
  <c r="I509" i="1" s="1"/>
  <c r="F507" i="1"/>
  <c r="I507" i="1" s="1"/>
  <c r="F505" i="1"/>
  <c r="I505" i="1" s="1"/>
  <c r="F503" i="1"/>
  <c r="I503" i="1" s="1"/>
  <c r="F501" i="1"/>
  <c r="I501" i="1" s="1"/>
  <c r="F499" i="1"/>
  <c r="I499" i="1" s="1"/>
  <c r="F497" i="1"/>
  <c r="I497" i="1" s="1"/>
  <c r="F495" i="1"/>
  <c r="I495" i="1" s="1"/>
  <c r="F493" i="1"/>
  <c r="I493" i="1" s="1"/>
  <c r="F491" i="1"/>
  <c r="I491" i="1" s="1"/>
  <c r="F489" i="1"/>
  <c r="I489" i="1" s="1"/>
  <c r="F487" i="1"/>
  <c r="I487" i="1" s="1"/>
  <c r="F485" i="1"/>
  <c r="I485" i="1" s="1"/>
  <c r="F483" i="1"/>
  <c r="I483" i="1" s="1"/>
  <c r="F481" i="1"/>
  <c r="I481" i="1" s="1"/>
  <c r="F479" i="1"/>
  <c r="I479" i="1" s="1"/>
  <c r="F477" i="1"/>
  <c r="I477" i="1" s="1"/>
  <c r="F475" i="1"/>
  <c r="I475" i="1" s="1"/>
  <c r="F473" i="1"/>
  <c r="I473" i="1" s="1"/>
  <c r="F471" i="1"/>
  <c r="I471" i="1" s="1"/>
  <c r="F469" i="1"/>
  <c r="I469" i="1" s="1"/>
  <c r="F467" i="1"/>
  <c r="I467" i="1" s="1"/>
  <c r="F465" i="1"/>
  <c r="I465" i="1" s="1"/>
  <c r="F463" i="1"/>
  <c r="I463" i="1" s="1"/>
  <c r="F461" i="1"/>
  <c r="I461" i="1" s="1"/>
  <c r="F459" i="1"/>
  <c r="I459" i="1" s="1"/>
  <c r="F457" i="1"/>
  <c r="I457" i="1" s="1"/>
  <c r="F455" i="1"/>
  <c r="I455" i="1" s="1"/>
  <c r="F453" i="1"/>
  <c r="I453" i="1" s="1"/>
  <c r="F451" i="1"/>
  <c r="I451" i="1" s="1"/>
  <c r="F449" i="1"/>
  <c r="I449" i="1" s="1"/>
  <c r="F447" i="1"/>
  <c r="I447" i="1" s="1"/>
  <c r="F445" i="1"/>
  <c r="I445" i="1" s="1"/>
  <c r="F443" i="1"/>
  <c r="I443" i="1" s="1"/>
  <c r="F441" i="1"/>
  <c r="I441" i="1" s="1"/>
  <c r="F439" i="1"/>
  <c r="I439" i="1" s="1"/>
  <c r="F437" i="1"/>
  <c r="I437" i="1" s="1"/>
  <c r="F435" i="1"/>
  <c r="I435" i="1" s="1"/>
  <c r="F433" i="1"/>
  <c r="I433" i="1" s="1"/>
  <c r="F431" i="1"/>
  <c r="I431" i="1" s="1"/>
  <c r="F429" i="1"/>
  <c r="I429" i="1" s="1"/>
  <c r="F427" i="1"/>
  <c r="I427" i="1" s="1"/>
  <c r="F425" i="1"/>
  <c r="I425" i="1" s="1"/>
  <c r="F423" i="1"/>
  <c r="I423" i="1" s="1"/>
  <c r="F421" i="1"/>
  <c r="I421" i="1" s="1"/>
  <c r="F419" i="1"/>
  <c r="I419" i="1" s="1"/>
  <c r="F417" i="1"/>
  <c r="I417" i="1" s="1"/>
  <c r="F415" i="1"/>
  <c r="I415" i="1" s="1"/>
  <c r="F413" i="1"/>
  <c r="I413" i="1" s="1"/>
  <c r="F411" i="1"/>
  <c r="I411" i="1" s="1"/>
  <c r="F409" i="1"/>
  <c r="I409" i="1" s="1"/>
  <c r="F407" i="1"/>
  <c r="I407" i="1" s="1"/>
  <c r="F405" i="1"/>
  <c r="I405" i="1" s="1"/>
  <c r="F403" i="1"/>
  <c r="I403" i="1" s="1"/>
  <c r="F401" i="1"/>
  <c r="I401" i="1" s="1"/>
  <c r="F399" i="1"/>
  <c r="I399" i="1" s="1"/>
  <c r="F397" i="1"/>
  <c r="I397" i="1" s="1"/>
  <c r="F395" i="1"/>
  <c r="I395" i="1" s="1"/>
  <c r="F393" i="1"/>
  <c r="I393" i="1" s="1"/>
  <c r="F391" i="1"/>
  <c r="I391" i="1" s="1"/>
  <c r="F389" i="1"/>
  <c r="I389" i="1" s="1"/>
  <c r="F387" i="1"/>
  <c r="I387" i="1" s="1"/>
  <c r="F385" i="1"/>
  <c r="I385" i="1" s="1"/>
  <c r="F383" i="1"/>
  <c r="I383" i="1" s="1"/>
  <c r="F381" i="1"/>
  <c r="I381" i="1" s="1"/>
  <c r="F379" i="1"/>
  <c r="I379" i="1" s="1"/>
  <c r="F377" i="1"/>
  <c r="I377" i="1" s="1"/>
  <c r="F375" i="1"/>
  <c r="I375" i="1" s="1"/>
  <c r="F373" i="1"/>
  <c r="I373" i="1" s="1"/>
  <c r="F371" i="1"/>
  <c r="I371" i="1" s="1"/>
  <c r="F369" i="1"/>
  <c r="I369" i="1" s="1"/>
  <c r="F367" i="1"/>
  <c r="I367" i="1" s="1"/>
  <c r="F365" i="1"/>
  <c r="I365" i="1" s="1"/>
  <c r="F363" i="1"/>
  <c r="I363" i="1" s="1"/>
  <c r="F361" i="1"/>
  <c r="I361" i="1" s="1"/>
  <c r="F359" i="1"/>
  <c r="I359" i="1" s="1"/>
  <c r="F357" i="1"/>
  <c r="I357" i="1" s="1"/>
  <c r="F355" i="1"/>
  <c r="I355" i="1" s="1"/>
  <c r="F353" i="1"/>
  <c r="I353" i="1" s="1"/>
  <c r="F351" i="1"/>
  <c r="I351" i="1" s="1"/>
  <c r="G350" i="1"/>
  <c r="T554" i="1"/>
  <c r="P554" i="1"/>
  <c r="P14" i="1" s="1"/>
  <c r="F349" i="1"/>
  <c r="I349" i="1" s="1"/>
  <c r="F347" i="1"/>
  <c r="I347" i="1" s="1"/>
  <c r="F345" i="1"/>
  <c r="I345" i="1" s="1"/>
  <c r="F343" i="1"/>
  <c r="I343" i="1" s="1"/>
  <c r="F341" i="1"/>
  <c r="I341" i="1" s="1"/>
  <c r="F339" i="1"/>
  <c r="I339" i="1" s="1"/>
  <c r="F337" i="1"/>
  <c r="I337" i="1" s="1"/>
  <c r="F335" i="1"/>
  <c r="I335" i="1" s="1"/>
  <c r="F333" i="1"/>
  <c r="I333" i="1" s="1"/>
  <c r="F331" i="1"/>
  <c r="I331" i="1" s="1"/>
  <c r="F329" i="1"/>
  <c r="I329" i="1" s="1"/>
  <c r="F327" i="1"/>
  <c r="I327" i="1" s="1"/>
  <c r="F325" i="1"/>
  <c r="I325" i="1" s="1"/>
  <c r="F323" i="1"/>
  <c r="I323" i="1" s="1"/>
  <c r="F321" i="1"/>
  <c r="I321" i="1" s="1"/>
  <c r="F319" i="1"/>
  <c r="I319" i="1" s="1"/>
  <c r="F317" i="1"/>
  <c r="I317" i="1" s="1"/>
  <c r="F315" i="1"/>
  <c r="I315" i="1" s="1"/>
  <c r="F313" i="1"/>
  <c r="I313" i="1" s="1"/>
  <c r="F311" i="1"/>
  <c r="I311" i="1" s="1"/>
  <c r="F309" i="1"/>
  <c r="I309" i="1" s="1"/>
  <c r="F307" i="1"/>
  <c r="I307" i="1" s="1"/>
  <c r="F305" i="1"/>
  <c r="I305" i="1" s="1"/>
  <c r="F303" i="1"/>
  <c r="I303" i="1" s="1"/>
  <c r="F301" i="1"/>
  <c r="I301" i="1" s="1"/>
  <c r="F299" i="1"/>
  <c r="I299" i="1" s="1"/>
  <c r="F297" i="1"/>
  <c r="I297" i="1" s="1"/>
  <c r="F295" i="1"/>
  <c r="I295" i="1" s="1"/>
  <c r="F293" i="1"/>
  <c r="I293" i="1" s="1"/>
  <c r="F291" i="1"/>
  <c r="I291" i="1" s="1"/>
  <c r="F289" i="1"/>
  <c r="I289" i="1" s="1"/>
  <c r="F287" i="1"/>
  <c r="I287" i="1" s="1"/>
  <c r="F285" i="1"/>
  <c r="I285" i="1" s="1"/>
  <c r="F283" i="1"/>
  <c r="I283" i="1" s="1"/>
  <c r="F281" i="1"/>
  <c r="I281" i="1" s="1"/>
  <c r="F279" i="1"/>
  <c r="I279" i="1" s="1"/>
  <c r="F277" i="1"/>
  <c r="I277" i="1" s="1"/>
  <c r="F275" i="1"/>
  <c r="I275" i="1" s="1"/>
  <c r="F273" i="1"/>
  <c r="I273" i="1" s="1"/>
  <c r="F271" i="1"/>
  <c r="I271" i="1" s="1"/>
  <c r="F269" i="1"/>
  <c r="I269" i="1" s="1"/>
  <c r="F267" i="1"/>
  <c r="I267" i="1" s="1"/>
  <c r="F265" i="1"/>
  <c r="I265" i="1" s="1"/>
  <c r="F263" i="1"/>
  <c r="I263" i="1" s="1"/>
  <c r="F261" i="1"/>
  <c r="I261" i="1" s="1"/>
  <c r="F259" i="1"/>
  <c r="I259" i="1" s="1"/>
  <c r="F257" i="1"/>
  <c r="I257" i="1" s="1"/>
  <c r="F255" i="1"/>
  <c r="I255" i="1" s="1"/>
  <c r="F253" i="1"/>
  <c r="I253" i="1" s="1"/>
  <c r="F251" i="1"/>
  <c r="I251" i="1" s="1"/>
  <c r="F249" i="1"/>
  <c r="I249" i="1" s="1"/>
  <c r="F247" i="1"/>
  <c r="I247" i="1" s="1"/>
  <c r="F245" i="1"/>
  <c r="I245" i="1" s="1"/>
  <c r="F243" i="1"/>
  <c r="I243" i="1" s="1"/>
  <c r="F241" i="1"/>
  <c r="I241" i="1" s="1"/>
  <c r="F239" i="1"/>
  <c r="I239" i="1" s="1"/>
  <c r="F237" i="1"/>
  <c r="I237" i="1" s="1"/>
  <c r="F235" i="1"/>
  <c r="I235" i="1" s="1"/>
  <c r="F233" i="1"/>
  <c r="I233" i="1" s="1"/>
  <c r="F231" i="1"/>
  <c r="I231" i="1" s="1"/>
  <c r="F229" i="1"/>
  <c r="I229" i="1" s="1"/>
  <c r="F227" i="1"/>
  <c r="I227" i="1" s="1"/>
  <c r="F225" i="1"/>
  <c r="I225" i="1" s="1"/>
  <c r="F223" i="1"/>
  <c r="I223" i="1" s="1"/>
  <c r="F221" i="1"/>
  <c r="I221" i="1" s="1"/>
  <c r="F219" i="1"/>
  <c r="I219" i="1" s="1"/>
  <c r="F217" i="1"/>
  <c r="I217" i="1" s="1"/>
  <c r="F215" i="1"/>
  <c r="I215" i="1" s="1"/>
  <c r="F213" i="1"/>
  <c r="I213" i="1" s="1"/>
  <c r="F211" i="1"/>
  <c r="I211" i="1" s="1"/>
  <c r="F209" i="1"/>
  <c r="I209" i="1" s="1"/>
  <c r="F207" i="1"/>
  <c r="I207" i="1" s="1"/>
  <c r="F205" i="1"/>
  <c r="I205" i="1" s="1"/>
  <c r="F203" i="1"/>
  <c r="I203" i="1" s="1"/>
  <c r="F201" i="1"/>
  <c r="I201" i="1" s="1"/>
  <c r="F199" i="1"/>
  <c r="I199" i="1" s="1"/>
  <c r="F197" i="1"/>
  <c r="I197" i="1" s="1"/>
  <c r="F195" i="1"/>
  <c r="I195" i="1" s="1"/>
  <c r="F193" i="1"/>
  <c r="I193" i="1" s="1"/>
  <c r="F191" i="1"/>
  <c r="I191" i="1" s="1"/>
  <c r="F189" i="1"/>
  <c r="I189" i="1" s="1"/>
  <c r="F187" i="1"/>
  <c r="I187" i="1" s="1"/>
  <c r="F185" i="1"/>
  <c r="I185" i="1" s="1"/>
  <c r="F183" i="1"/>
  <c r="I183" i="1" s="1"/>
  <c r="F181" i="1"/>
  <c r="I181" i="1" s="1"/>
  <c r="F179" i="1"/>
  <c r="I179" i="1" s="1"/>
  <c r="F177" i="1"/>
  <c r="I177" i="1" s="1"/>
  <c r="F175" i="1"/>
  <c r="I175" i="1" s="1"/>
  <c r="F173" i="1"/>
  <c r="I173" i="1" s="1"/>
  <c r="F171" i="1"/>
  <c r="I171" i="1" s="1"/>
  <c r="F169" i="1"/>
  <c r="I169" i="1" s="1"/>
  <c r="F167" i="1"/>
  <c r="I167" i="1" s="1"/>
  <c r="F165" i="1"/>
  <c r="I165" i="1" s="1"/>
  <c r="F163" i="1"/>
  <c r="I163" i="1" s="1"/>
  <c r="F161" i="1"/>
  <c r="I161" i="1" s="1"/>
  <c r="F159" i="1"/>
  <c r="I159" i="1" s="1"/>
  <c r="F157" i="1"/>
  <c r="I157" i="1" s="1"/>
  <c r="F155" i="1"/>
  <c r="I155" i="1" s="1"/>
  <c r="F153" i="1"/>
  <c r="I153" i="1" s="1"/>
  <c r="F151" i="1"/>
  <c r="I151" i="1" s="1"/>
  <c r="F149" i="1"/>
  <c r="I149" i="1" s="1"/>
  <c r="F147" i="1"/>
  <c r="I147" i="1" s="1"/>
  <c r="F145" i="1"/>
  <c r="I145" i="1" s="1"/>
  <c r="F143" i="1"/>
  <c r="I143" i="1" s="1"/>
  <c r="F141" i="1"/>
  <c r="I141" i="1" s="1"/>
  <c r="F139" i="1"/>
  <c r="I139" i="1" s="1"/>
  <c r="F137" i="1"/>
  <c r="I137" i="1" s="1"/>
  <c r="F135" i="1"/>
  <c r="I135" i="1" s="1"/>
  <c r="F133" i="1"/>
  <c r="I133" i="1" s="1"/>
  <c r="F131" i="1"/>
  <c r="I131" i="1" s="1"/>
  <c r="F129" i="1"/>
  <c r="I129" i="1" s="1"/>
  <c r="F127" i="1"/>
  <c r="I127" i="1" s="1"/>
  <c r="F125" i="1"/>
  <c r="I125" i="1" s="1"/>
  <c r="F123" i="1"/>
  <c r="I123" i="1" s="1"/>
  <c r="F121" i="1"/>
  <c r="I121" i="1" s="1"/>
  <c r="F119" i="1"/>
  <c r="I119" i="1" s="1"/>
  <c r="F117" i="1"/>
  <c r="I117" i="1" s="1"/>
  <c r="F115" i="1"/>
  <c r="I115" i="1" s="1"/>
  <c r="F113" i="1"/>
  <c r="I113" i="1" s="1"/>
  <c r="F111" i="1"/>
  <c r="I111" i="1" s="1"/>
  <c r="F109" i="1"/>
  <c r="I109" i="1" s="1"/>
  <c r="F107" i="1"/>
  <c r="I107" i="1" s="1"/>
  <c r="F105" i="1"/>
  <c r="I105" i="1" s="1"/>
  <c r="F103" i="1"/>
  <c r="I103" i="1" s="1"/>
  <c r="F101" i="1"/>
  <c r="I101" i="1" s="1"/>
  <c r="F99" i="1"/>
  <c r="I99" i="1" s="1"/>
  <c r="F97" i="1"/>
  <c r="I97" i="1" s="1"/>
  <c r="F95" i="1"/>
  <c r="I95" i="1" s="1"/>
  <c r="F93" i="1"/>
  <c r="I93" i="1" s="1"/>
  <c r="F91" i="1"/>
  <c r="I91" i="1" s="1"/>
  <c r="F89" i="1"/>
  <c r="I89" i="1" s="1"/>
  <c r="F87" i="1"/>
  <c r="I87" i="1" s="1"/>
  <c r="F85" i="1"/>
  <c r="I85" i="1" s="1"/>
  <c r="F83" i="1"/>
  <c r="I83" i="1" s="1"/>
  <c r="F81" i="1"/>
  <c r="I81" i="1" s="1"/>
  <c r="F79" i="1"/>
  <c r="I79" i="1" s="1"/>
  <c r="F77" i="1"/>
  <c r="I77" i="1" s="1"/>
  <c r="F75" i="1"/>
  <c r="I75" i="1" s="1"/>
  <c r="F73" i="1"/>
  <c r="I73" i="1" s="1"/>
  <c r="F71" i="1"/>
  <c r="I71" i="1" s="1"/>
  <c r="F69" i="1"/>
  <c r="I69" i="1" s="1"/>
  <c r="F67" i="1"/>
  <c r="I67" i="1" s="1"/>
  <c r="F65" i="1"/>
  <c r="I65" i="1" s="1"/>
  <c r="F63" i="1"/>
  <c r="I63" i="1" s="1"/>
  <c r="F61" i="1"/>
  <c r="I61" i="1" s="1"/>
  <c r="F59" i="1"/>
  <c r="I59" i="1" s="1"/>
  <c r="F57" i="1"/>
  <c r="I57" i="1" s="1"/>
  <c r="F55" i="1"/>
  <c r="I55" i="1" s="1"/>
  <c r="F53" i="1"/>
  <c r="I53" i="1" s="1"/>
  <c r="F51" i="1"/>
  <c r="I51" i="1" s="1"/>
  <c r="F49" i="1"/>
  <c r="I49" i="1" s="1"/>
  <c r="F47" i="1"/>
  <c r="I47" i="1" s="1"/>
  <c r="F45" i="1"/>
  <c r="I45" i="1" s="1"/>
  <c r="F43" i="1"/>
  <c r="I43" i="1" s="1"/>
  <c r="F41" i="1"/>
  <c r="I41" i="1" s="1"/>
  <c r="F39" i="1"/>
  <c r="I39" i="1" s="1"/>
  <c r="F37" i="1"/>
  <c r="I37" i="1" s="1"/>
  <c r="F35" i="1"/>
  <c r="I35" i="1" s="1"/>
  <c r="F33" i="1"/>
  <c r="I33" i="1" s="1"/>
  <c r="F31" i="1"/>
  <c r="I31" i="1" s="1"/>
  <c r="F29" i="1"/>
  <c r="I29" i="1" s="1"/>
  <c r="V550" i="1"/>
  <c r="V11" i="1" s="1"/>
  <c r="R550" i="1"/>
  <c r="R11" i="1" s="1"/>
  <c r="F27" i="1"/>
  <c r="N550" i="1"/>
  <c r="N11" i="1" s="1"/>
  <c r="F25" i="1"/>
  <c r="I25" i="1" s="1"/>
  <c r="F23" i="1"/>
  <c r="I23" i="1" s="1"/>
  <c r="V549" i="1"/>
  <c r="V10" i="1" s="1"/>
  <c r="R549" i="1"/>
  <c r="R10" i="1" s="1"/>
  <c r="F21" i="1"/>
  <c r="N549" i="1"/>
  <c r="N10" i="1" s="1"/>
  <c r="G20" i="1"/>
  <c r="T548" i="1"/>
  <c r="P548" i="1"/>
  <c r="P9" i="1" s="1"/>
  <c r="F19" i="1"/>
  <c r="I19" i="1" s="1"/>
  <c r="G18" i="1"/>
  <c r="T552" i="1"/>
  <c r="P552" i="1"/>
  <c r="P13" i="1" s="1"/>
  <c r="F17" i="1"/>
  <c r="N547" i="1"/>
  <c r="N8" i="1" s="1"/>
  <c r="M104" i="1"/>
  <c r="L104" i="1"/>
  <c r="AH552" i="1"/>
  <c r="AH13" i="1" s="1"/>
  <c r="W546" i="1"/>
  <c r="W542" i="1"/>
  <c r="W538" i="1"/>
  <c r="W534" i="1"/>
  <c r="W530" i="1"/>
  <c r="W526" i="1"/>
  <c r="W522" i="1"/>
  <c r="W518" i="1"/>
  <c r="W514" i="1"/>
  <c r="W502" i="1"/>
  <c r="W498" i="1"/>
  <c r="W490" i="1"/>
  <c r="W482" i="1"/>
  <c r="W474" i="1"/>
  <c r="W466" i="1"/>
  <c r="W458" i="1"/>
  <c r="W450" i="1"/>
  <c r="W442" i="1"/>
  <c r="W434" i="1"/>
  <c r="W426" i="1"/>
  <c r="W418" i="1"/>
  <c r="W410" i="1"/>
  <c r="W402" i="1"/>
  <c r="W394" i="1"/>
  <c r="W386" i="1"/>
  <c r="W378" i="1"/>
  <c r="W370" i="1"/>
  <c r="W362" i="1"/>
  <c r="W354" i="1"/>
  <c r="W346" i="1"/>
  <c r="W326" i="1"/>
  <c r="W314" i="1"/>
  <c r="W294" i="1"/>
  <c r="W226" i="1"/>
  <c r="W194" i="1"/>
  <c r="W178" i="1"/>
  <c r="W130" i="1"/>
  <c r="V553" i="1"/>
  <c r="V551" i="1"/>
  <c r="V12" i="1" s="1"/>
  <c r="V555" i="1"/>
  <c r="V7" i="1" s="1"/>
  <c r="M538" i="1"/>
  <c r="L538" i="1"/>
  <c r="M536" i="1"/>
  <c r="L536" i="1"/>
  <c r="M534" i="1"/>
  <c r="L534" i="1"/>
  <c r="M532" i="1"/>
  <c r="L532" i="1"/>
  <c r="M530" i="1"/>
  <c r="L530" i="1"/>
  <c r="M528" i="1"/>
  <c r="L528" i="1"/>
  <c r="L526" i="1"/>
  <c r="M520" i="1"/>
  <c r="L520" i="1"/>
  <c r="M518" i="1"/>
  <c r="L518" i="1"/>
  <c r="M516" i="1"/>
  <c r="L516" i="1"/>
  <c r="M514" i="1"/>
  <c r="L514" i="1"/>
  <c r="M512" i="1"/>
  <c r="L512" i="1"/>
  <c r="M500" i="1"/>
  <c r="L500" i="1"/>
  <c r="M498" i="1"/>
  <c r="L498" i="1"/>
  <c r="M496" i="1"/>
  <c r="L496" i="1"/>
  <c r="L488" i="1"/>
  <c r="M486" i="1"/>
  <c r="L486" i="1"/>
  <c r="M484" i="1"/>
  <c r="L484" i="1"/>
  <c r="M482" i="1"/>
  <c r="L482" i="1"/>
  <c r="L480" i="1"/>
  <c r="M478" i="1"/>
  <c r="L478" i="1"/>
  <c r="M476" i="1"/>
  <c r="L476" i="1"/>
  <c r="M474" i="1"/>
  <c r="L474" i="1"/>
  <c r="M472" i="1"/>
  <c r="L472" i="1"/>
  <c r="M470" i="1"/>
  <c r="L470" i="1"/>
  <c r="L468" i="1"/>
  <c r="M466" i="1"/>
  <c r="L466" i="1"/>
  <c r="M464" i="1"/>
  <c r="L464" i="1"/>
  <c r="L462" i="1"/>
  <c r="M460" i="1"/>
  <c r="L460" i="1"/>
  <c r="M458" i="1"/>
  <c r="L458" i="1"/>
  <c r="M454" i="1"/>
  <c r="L454" i="1"/>
  <c r="M452" i="1"/>
  <c r="L452" i="1"/>
  <c r="M450" i="1"/>
  <c r="L450" i="1"/>
  <c r="M442" i="1"/>
  <c r="L442" i="1"/>
  <c r="L436" i="1"/>
  <c r="L434" i="1"/>
  <c r="M426" i="1"/>
  <c r="L426" i="1"/>
  <c r="M424" i="1"/>
  <c r="L424" i="1"/>
  <c r="M422" i="1"/>
  <c r="L422" i="1"/>
  <c r="M420" i="1"/>
  <c r="L420" i="1"/>
  <c r="M418" i="1"/>
  <c r="L418" i="1"/>
  <c r="M414" i="1"/>
  <c r="L414" i="1"/>
  <c r="L412" i="1"/>
  <c r="M410" i="1"/>
  <c r="L410" i="1"/>
  <c r="L408" i="1"/>
  <c r="M406" i="1"/>
  <c r="L406" i="1"/>
  <c r="M404" i="1"/>
  <c r="L404" i="1"/>
  <c r="M402" i="1"/>
  <c r="L402" i="1"/>
  <c r="M400" i="1"/>
  <c r="L400" i="1"/>
  <c r="L398" i="1"/>
  <c r="M396" i="1"/>
  <c r="L396" i="1"/>
  <c r="M394" i="1"/>
  <c r="L394" i="1"/>
  <c r="M392" i="1"/>
  <c r="L392" i="1"/>
  <c r="M390" i="1"/>
  <c r="L390" i="1"/>
  <c r="L388" i="1"/>
  <c r="M386" i="1"/>
  <c r="L386" i="1"/>
  <c r="L384" i="1"/>
  <c r="L382" i="1"/>
  <c r="M380" i="1"/>
  <c r="L380" i="1"/>
  <c r="M378" i="1"/>
  <c r="L378" i="1"/>
  <c r="M376" i="1"/>
  <c r="L376" i="1"/>
  <c r="M374" i="1"/>
  <c r="L374" i="1"/>
  <c r="M372" i="1"/>
  <c r="L372" i="1"/>
  <c r="L370" i="1"/>
  <c r="M368" i="1"/>
  <c r="L368" i="1"/>
  <c r="L366" i="1"/>
  <c r="L364" i="1"/>
  <c r="M362" i="1"/>
  <c r="L362" i="1"/>
  <c r="M360" i="1"/>
  <c r="L360" i="1"/>
  <c r="L358" i="1"/>
  <c r="M358" i="1"/>
  <c r="L356" i="1"/>
  <c r="M356" i="1"/>
  <c r="M354" i="1"/>
  <c r="L354" i="1"/>
  <c r="M352" i="1"/>
  <c r="L352" i="1"/>
  <c r="J350" i="1"/>
  <c r="X554" i="1"/>
  <c r="S554" i="1"/>
  <c r="S14" i="1" s="1"/>
  <c r="O554" i="1"/>
  <c r="O14" i="1" s="1"/>
  <c r="L348" i="1"/>
  <c r="M346" i="1"/>
  <c r="L346" i="1"/>
  <c r="M344" i="1"/>
  <c r="L344" i="1"/>
  <c r="M342" i="1"/>
  <c r="L342" i="1"/>
  <c r="M340" i="1"/>
  <c r="L340" i="1"/>
  <c r="M338" i="1"/>
  <c r="L338" i="1"/>
  <c r="M336" i="1"/>
  <c r="L336" i="1"/>
  <c r="M334" i="1"/>
  <c r="L334" i="1"/>
  <c r="M332" i="1"/>
  <c r="L332" i="1"/>
  <c r="M330" i="1"/>
  <c r="L330" i="1"/>
  <c r="M328" i="1"/>
  <c r="L328" i="1"/>
  <c r="M326" i="1"/>
  <c r="L326" i="1"/>
  <c r="M324" i="1"/>
  <c r="L324" i="1"/>
  <c r="M322" i="1"/>
  <c r="L322" i="1"/>
  <c r="M320" i="1"/>
  <c r="L320" i="1"/>
  <c r="M318" i="1"/>
  <c r="L318" i="1"/>
  <c r="M316" i="1"/>
  <c r="L316" i="1"/>
  <c r="M314" i="1"/>
  <c r="L314" i="1"/>
  <c r="M312" i="1"/>
  <c r="L312" i="1"/>
  <c r="M310" i="1"/>
  <c r="L310" i="1"/>
  <c r="M308" i="1"/>
  <c r="L308" i="1"/>
  <c r="M306" i="1"/>
  <c r="L306" i="1"/>
  <c r="M304" i="1"/>
  <c r="L304" i="1"/>
  <c r="M302" i="1"/>
  <c r="L302" i="1"/>
  <c r="M300" i="1"/>
  <c r="L300" i="1"/>
  <c r="M298" i="1"/>
  <c r="L298" i="1"/>
  <c r="M296" i="1"/>
  <c r="L296" i="1"/>
  <c r="M294" i="1"/>
  <c r="L294" i="1"/>
  <c r="M292" i="1"/>
  <c r="L292" i="1"/>
  <c r="M290" i="1"/>
  <c r="L290" i="1"/>
  <c r="M288" i="1"/>
  <c r="L288" i="1"/>
  <c r="M286" i="1"/>
  <c r="L286" i="1"/>
  <c r="M284" i="1"/>
  <c r="L284" i="1"/>
  <c r="M282" i="1"/>
  <c r="L282" i="1"/>
  <c r="M280" i="1"/>
  <c r="L280" i="1"/>
  <c r="M278" i="1"/>
  <c r="L278" i="1"/>
  <c r="M276" i="1"/>
  <c r="L276" i="1"/>
  <c r="M274" i="1"/>
  <c r="L274" i="1"/>
  <c r="M272" i="1"/>
  <c r="L272" i="1"/>
  <c r="M270" i="1"/>
  <c r="L270" i="1"/>
  <c r="M268" i="1"/>
  <c r="L268" i="1"/>
  <c r="M266" i="1"/>
  <c r="L266" i="1"/>
  <c r="M264" i="1"/>
  <c r="L264" i="1"/>
  <c r="M262" i="1"/>
  <c r="L262" i="1"/>
  <c r="M260" i="1"/>
  <c r="L260" i="1"/>
  <c r="M258" i="1"/>
  <c r="L258" i="1"/>
  <c r="M256" i="1"/>
  <c r="L256" i="1"/>
  <c r="M254" i="1"/>
  <c r="L254" i="1"/>
  <c r="M252" i="1"/>
  <c r="L252" i="1"/>
  <c r="M250" i="1"/>
  <c r="L250" i="1"/>
  <c r="L248" i="1"/>
  <c r="M248" i="1"/>
  <c r="L246" i="1"/>
  <c r="L244" i="1"/>
  <c r="M244" i="1"/>
  <c r="M242" i="1"/>
  <c r="L242" i="1"/>
  <c r="L240" i="1"/>
  <c r="M240" i="1"/>
  <c r="M238" i="1"/>
  <c r="L238" i="1"/>
  <c r="L236" i="1"/>
  <c r="M236" i="1"/>
  <c r="M234" i="1"/>
  <c r="L234" i="1"/>
  <c r="M232" i="1"/>
  <c r="L232" i="1"/>
  <c r="L230" i="1"/>
  <c r="M230" i="1"/>
  <c r="M228" i="1"/>
  <c r="L228" i="1"/>
  <c r="L226" i="1"/>
  <c r="M226" i="1"/>
  <c r="L224" i="1"/>
  <c r="M224" i="1"/>
  <c r="L222" i="1"/>
  <c r="M222" i="1"/>
  <c r="M220" i="1"/>
  <c r="L220" i="1"/>
  <c r="L218" i="1"/>
  <c r="M218" i="1"/>
  <c r="L216" i="1"/>
  <c r="M216" i="1"/>
  <c r="L214" i="1"/>
  <c r="M214" i="1"/>
  <c r="M212" i="1"/>
  <c r="L212" i="1"/>
  <c r="L210" i="1"/>
  <c r="M210" i="1"/>
  <c r="L208" i="1"/>
  <c r="M208" i="1"/>
  <c r="L206" i="1"/>
  <c r="M206" i="1"/>
  <c r="M204" i="1"/>
  <c r="L204" i="1"/>
  <c r="M202" i="1"/>
  <c r="L202" i="1"/>
  <c r="L200" i="1"/>
  <c r="M200" i="1"/>
  <c r="M198" i="1"/>
  <c r="L198" i="1"/>
  <c r="L196" i="1"/>
  <c r="M196" i="1"/>
  <c r="M194" i="1"/>
  <c r="L194" i="1"/>
  <c r="L192" i="1"/>
  <c r="M192" i="1"/>
  <c r="M190" i="1"/>
  <c r="L190" i="1"/>
  <c r="M188" i="1"/>
  <c r="L188" i="1"/>
  <c r="M186" i="1"/>
  <c r="L186" i="1"/>
  <c r="L184" i="1"/>
  <c r="M184" i="1"/>
  <c r="M182" i="1"/>
  <c r="L182" i="1"/>
  <c r="L180" i="1"/>
  <c r="M180" i="1"/>
  <c r="M178" i="1"/>
  <c r="L178" i="1"/>
  <c r="L176" i="1"/>
  <c r="M176" i="1"/>
  <c r="M174" i="1"/>
  <c r="L174" i="1"/>
  <c r="M172" i="1"/>
  <c r="L172" i="1"/>
  <c r="M170" i="1"/>
  <c r="L170" i="1"/>
  <c r="M168" i="1"/>
  <c r="L168" i="1"/>
  <c r="M166" i="1"/>
  <c r="L166" i="1"/>
  <c r="L164" i="1"/>
  <c r="M164" i="1"/>
  <c r="M162" i="1"/>
  <c r="L162" i="1"/>
  <c r="M160" i="1"/>
  <c r="L160" i="1"/>
  <c r="M158" i="1"/>
  <c r="L158" i="1"/>
  <c r="M156" i="1"/>
  <c r="L156" i="1"/>
  <c r="M154" i="1"/>
  <c r="L154" i="1"/>
  <c r="M152" i="1"/>
  <c r="L152" i="1"/>
  <c r="M150" i="1"/>
  <c r="L150" i="1"/>
  <c r="M148" i="1"/>
  <c r="L148" i="1"/>
  <c r="M146" i="1"/>
  <c r="L146" i="1"/>
  <c r="M144" i="1"/>
  <c r="L144" i="1"/>
  <c r="M142" i="1"/>
  <c r="L142" i="1"/>
  <c r="M140" i="1"/>
  <c r="L140" i="1"/>
  <c r="M138" i="1"/>
  <c r="L138" i="1"/>
  <c r="M136" i="1"/>
  <c r="L136" i="1"/>
  <c r="M134" i="1"/>
  <c r="L134" i="1"/>
  <c r="M132" i="1"/>
  <c r="L132" i="1"/>
  <c r="M130" i="1"/>
  <c r="L130" i="1"/>
  <c r="M128" i="1"/>
  <c r="L128" i="1"/>
  <c r="M126" i="1"/>
  <c r="L126" i="1"/>
  <c r="M124" i="1"/>
  <c r="L124" i="1"/>
  <c r="M122" i="1"/>
  <c r="L122" i="1"/>
  <c r="M120" i="1"/>
  <c r="L120" i="1"/>
  <c r="M118" i="1"/>
  <c r="L118" i="1"/>
  <c r="M116" i="1"/>
  <c r="L116" i="1"/>
  <c r="M114" i="1"/>
  <c r="L114" i="1"/>
  <c r="M112" i="1"/>
  <c r="L112" i="1"/>
  <c r="M110" i="1"/>
  <c r="L110" i="1"/>
  <c r="M108" i="1"/>
  <c r="L108" i="1"/>
  <c r="M106" i="1"/>
  <c r="L106" i="1"/>
  <c r="M102" i="1"/>
  <c r="L102" i="1"/>
  <c r="M100" i="1"/>
  <c r="L100" i="1"/>
  <c r="M98" i="1"/>
  <c r="L98" i="1"/>
  <c r="L96" i="1"/>
  <c r="M96" i="1"/>
  <c r="M94" i="1"/>
  <c r="L94" i="1"/>
  <c r="L92" i="1"/>
  <c r="M92" i="1"/>
  <c r="M90" i="1"/>
  <c r="L90" i="1"/>
  <c r="L88" i="1"/>
  <c r="M88" i="1"/>
  <c r="M86" i="1"/>
  <c r="L86" i="1"/>
  <c r="L84" i="1"/>
  <c r="M84" i="1"/>
  <c r="M82" i="1"/>
  <c r="L82" i="1"/>
  <c r="M80" i="1"/>
  <c r="L80" i="1"/>
  <c r="M78" i="1"/>
  <c r="L78" i="1"/>
  <c r="L76" i="1"/>
  <c r="M76" i="1"/>
  <c r="M74" i="1"/>
  <c r="L74" i="1"/>
  <c r="L72" i="1"/>
  <c r="M72" i="1"/>
  <c r="M70" i="1"/>
  <c r="L70" i="1"/>
  <c r="L68" i="1"/>
  <c r="M68" i="1"/>
  <c r="M66" i="1"/>
  <c r="L66" i="1"/>
  <c r="M64" i="1"/>
  <c r="L64" i="1"/>
  <c r="M62" i="1"/>
  <c r="L62" i="1"/>
  <c r="L60" i="1"/>
  <c r="M60" i="1"/>
  <c r="M58" i="1"/>
  <c r="L58" i="1"/>
  <c r="M56" i="1"/>
  <c r="L56" i="1"/>
  <c r="M54" i="1"/>
  <c r="L54" i="1"/>
  <c r="L52" i="1"/>
  <c r="M52" i="1"/>
  <c r="M50" i="1"/>
  <c r="L50" i="1"/>
  <c r="M48" i="1"/>
  <c r="L48" i="1"/>
  <c r="M46" i="1"/>
  <c r="L46" i="1"/>
  <c r="M44" i="1"/>
  <c r="L44" i="1"/>
  <c r="M42" i="1"/>
  <c r="L42" i="1"/>
  <c r="M40" i="1"/>
  <c r="L40" i="1"/>
  <c r="M38" i="1"/>
  <c r="L38" i="1"/>
  <c r="M36" i="1"/>
  <c r="L36" i="1"/>
  <c r="M34" i="1"/>
  <c r="L34" i="1"/>
  <c r="M32" i="1"/>
  <c r="L32" i="1"/>
  <c r="M30" i="1"/>
  <c r="L30" i="1"/>
  <c r="M28" i="1"/>
  <c r="L28" i="1"/>
  <c r="H27" i="1"/>
  <c r="U550" i="1"/>
  <c r="Q550" i="1"/>
  <c r="Q11" i="1" s="1"/>
  <c r="M26" i="1"/>
  <c r="L26" i="1"/>
  <c r="M24" i="1"/>
  <c r="L24" i="1"/>
  <c r="M22" i="1"/>
  <c r="L22" i="1"/>
  <c r="H21" i="1"/>
  <c r="U549" i="1"/>
  <c r="Q549" i="1"/>
  <c r="Q10" i="1" s="1"/>
  <c r="J20" i="1"/>
  <c r="X548" i="1"/>
  <c r="S548" i="1"/>
  <c r="S9" i="1" s="1"/>
  <c r="O548" i="1"/>
  <c r="O9" i="1" s="1"/>
  <c r="J18" i="1"/>
  <c r="X552" i="1"/>
  <c r="S552" i="1"/>
  <c r="S13" i="1" s="1"/>
  <c r="O552" i="1"/>
  <c r="O13" i="1" s="1"/>
  <c r="H17" i="1"/>
  <c r="U547" i="1"/>
  <c r="AH549" i="1"/>
  <c r="AH10" i="1" s="1"/>
  <c r="AH547" i="1"/>
  <c r="AH8" i="1" s="1"/>
  <c r="W493" i="1"/>
  <c r="W477" i="1"/>
  <c r="W461" i="1"/>
  <c r="W445" i="1"/>
  <c r="W429" i="1"/>
  <c r="W413" i="1"/>
  <c r="W397" i="1"/>
  <c r="W381" i="1"/>
  <c r="W365" i="1"/>
  <c r="W349" i="1"/>
  <c r="W297" i="1"/>
  <c r="W285" i="1"/>
  <c r="AS549" i="1"/>
  <c r="AS10" i="1" s="1"/>
  <c r="AS547" i="1"/>
  <c r="AS8" i="1" s="1"/>
  <c r="H16" i="1"/>
  <c r="U551" i="1"/>
  <c r="U555" i="1"/>
  <c r="U7" i="1" s="1"/>
  <c r="U553" i="1"/>
  <c r="H553" i="1" s="1"/>
  <c r="Q551" i="1"/>
  <c r="Q12" i="1" s="1"/>
  <c r="Q555" i="1"/>
  <c r="Q7" i="1" s="1"/>
  <c r="Q553" i="1"/>
  <c r="L545" i="1"/>
  <c r="M543" i="1"/>
  <c r="L543" i="1"/>
  <c r="I541" i="1"/>
  <c r="M541" i="1"/>
  <c r="L541" i="1"/>
  <c r="I539" i="1"/>
  <c r="M539" i="1"/>
  <c r="L539" i="1"/>
  <c r="F538" i="1"/>
  <c r="I538" i="1" s="1"/>
  <c r="F536" i="1"/>
  <c r="I536" i="1" s="1"/>
  <c r="F534" i="1"/>
  <c r="I534" i="1" s="1"/>
  <c r="F532" i="1"/>
  <c r="I532" i="1" s="1"/>
  <c r="F530" i="1"/>
  <c r="I530" i="1" s="1"/>
  <c r="F528" i="1"/>
  <c r="I528" i="1" s="1"/>
  <c r="F526" i="1"/>
  <c r="I526" i="1" s="1"/>
  <c r="F524" i="1"/>
  <c r="I524" i="1" s="1"/>
  <c r="F522" i="1"/>
  <c r="I522" i="1" s="1"/>
  <c r="F520" i="1"/>
  <c r="I520" i="1" s="1"/>
  <c r="F518" i="1"/>
  <c r="I518" i="1" s="1"/>
  <c r="F516" i="1"/>
  <c r="I516" i="1" s="1"/>
  <c r="F514" i="1"/>
  <c r="I514" i="1" s="1"/>
  <c r="F512" i="1"/>
  <c r="I512" i="1" s="1"/>
  <c r="F510" i="1"/>
  <c r="I510" i="1" s="1"/>
  <c r="F508" i="1"/>
  <c r="I508" i="1" s="1"/>
  <c r="F506" i="1"/>
  <c r="I506" i="1" s="1"/>
  <c r="F504" i="1"/>
  <c r="I504" i="1" s="1"/>
  <c r="F502" i="1"/>
  <c r="I502" i="1" s="1"/>
  <c r="F500" i="1"/>
  <c r="I500" i="1" s="1"/>
  <c r="F498" i="1"/>
  <c r="I498" i="1" s="1"/>
  <c r="F496" i="1"/>
  <c r="I496" i="1" s="1"/>
  <c r="F494" i="1"/>
  <c r="I494" i="1" s="1"/>
  <c r="F492" i="1"/>
  <c r="I492" i="1" s="1"/>
  <c r="F490" i="1"/>
  <c r="I490" i="1" s="1"/>
  <c r="F488" i="1"/>
  <c r="I488" i="1" s="1"/>
  <c r="F486" i="1"/>
  <c r="I486" i="1" s="1"/>
  <c r="F484" i="1"/>
  <c r="I484" i="1" s="1"/>
  <c r="F482" i="1"/>
  <c r="I482" i="1" s="1"/>
  <c r="F480" i="1"/>
  <c r="I480" i="1" s="1"/>
  <c r="F478" i="1"/>
  <c r="I478" i="1" s="1"/>
  <c r="F476" i="1"/>
  <c r="I476" i="1" s="1"/>
  <c r="F474" i="1"/>
  <c r="I474" i="1" s="1"/>
  <c r="F472" i="1"/>
  <c r="I472" i="1" s="1"/>
  <c r="F470" i="1"/>
  <c r="I470" i="1" s="1"/>
  <c r="F468" i="1"/>
  <c r="I468" i="1" s="1"/>
  <c r="F466" i="1"/>
  <c r="I466" i="1" s="1"/>
  <c r="F464" i="1"/>
  <c r="I464" i="1" s="1"/>
  <c r="F462" i="1"/>
  <c r="I462" i="1" s="1"/>
  <c r="F460" i="1"/>
  <c r="I460" i="1" s="1"/>
  <c r="F458" i="1"/>
  <c r="I458" i="1" s="1"/>
  <c r="F456" i="1"/>
  <c r="I456" i="1" s="1"/>
  <c r="F454" i="1"/>
  <c r="I454" i="1" s="1"/>
  <c r="F452" i="1"/>
  <c r="I452" i="1" s="1"/>
  <c r="F450" i="1"/>
  <c r="I450" i="1" s="1"/>
  <c r="F448" i="1"/>
  <c r="I448" i="1" s="1"/>
  <c r="F446" i="1"/>
  <c r="I446" i="1" s="1"/>
  <c r="F444" i="1"/>
  <c r="I444" i="1" s="1"/>
  <c r="F442" i="1"/>
  <c r="I442" i="1" s="1"/>
  <c r="F440" i="1"/>
  <c r="I440" i="1" s="1"/>
  <c r="F438" i="1"/>
  <c r="I438" i="1" s="1"/>
  <c r="F436" i="1"/>
  <c r="I436" i="1" s="1"/>
  <c r="F434" i="1"/>
  <c r="I434" i="1" s="1"/>
  <c r="F432" i="1"/>
  <c r="I432" i="1" s="1"/>
  <c r="F430" i="1"/>
  <c r="I430" i="1" s="1"/>
  <c r="F428" i="1"/>
  <c r="I428" i="1" s="1"/>
  <c r="F426" i="1"/>
  <c r="I426" i="1" s="1"/>
  <c r="F424" i="1"/>
  <c r="I424" i="1" s="1"/>
  <c r="F422" i="1"/>
  <c r="I422" i="1" s="1"/>
  <c r="F420" i="1"/>
  <c r="I420" i="1" s="1"/>
  <c r="F418" i="1"/>
  <c r="I418" i="1" s="1"/>
  <c r="F416" i="1"/>
  <c r="I416" i="1" s="1"/>
  <c r="F414" i="1"/>
  <c r="I414" i="1" s="1"/>
  <c r="F412" i="1"/>
  <c r="I412" i="1" s="1"/>
  <c r="F410" i="1"/>
  <c r="I410" i="1" s="1"/>
  <c r="F408" i="1"/>
  <c r="I408" i="1" s="1"/>
  <c r="F406" i="1"/>
  <c r="I406" i="1" s="1"/>
  <c r="F404" i="1"/>
  <c r="I404" i="1" s="1"/>
  <c r="F402" i="1"/>
  <c r="I402" i="1" s="1"/>
  <c r="F400" i="1"/>
  <c r="I400" i="1" s="1"/>
  <c r="F398" i="1"/>
  <c r="I398" i="1" s="1"/>
  <c r="F396" i="1"/>
  <c r="I396" i="1" s="1"/>
  <c r="F394" i="1"/>
  <c r="I394" i="1" s="1"/>
  <c r="F392" i="1"/>
  <c r="I392" i="1" s="1"/>
  <c r="F390" i="1"/>
  <c r="I390" i="1" s="1"/>
  <c r="F388" i="1"/>
  <c r="I388" i="1" s="1"/>
  <c r="F386" i="1"/>
  <c r="I386" i="1" s="1"/>
  <c r="F384" i="1"/>
  <c r="I384" i="1" s="1"/>
  <c r="F382" i="1"/>
  <c r="I382" i="1" s="1"/>
  <c r="F380" i="1"/>
  <c r="I380" i="1" s="1"/>
  <c r="F378" i="1"/>
  <c r="I378" i="1" s="1"/>
  <c r="F376" i="1"/>
  <c r="I376" i="1" s="1"/>
  <c r="F374" i="1"/>
  <c r="I374" i="1" s="1"/>
  <c r="F372" i="1"/>
  <c r="I372" i="1" s="1"/>
  <c r="F370" i="1"/>
  <c r="I370" i="1" s="1"/>
  <c r="F368" i="1"/>
  <c r="I368" i="1" s="1"/>
  <c r="F366" i="1"/>
  <c r="I366" i="1" s="1"/>
  <c r="F364" i="1"/>
  <c r="I364" i="1" s="1"/>
  <c r="F362" i="1"/>
  <c r="I362" i="1" s="1"/>
  <c r="F360" i="1"/>
  <c r="I360" i="1" s="1"/>
  <c r="F358" i="1"/>
  <c r="I358" i="1" s="1"/>
  <c r="F356" i="1"/>
  <c r="I356" i="1" s="1"/>
  <c r="F354" i="1"/>
  <c r="I354" i="1" s="1"/>
  <c r="F352" i="1"/>
  <c r="I352" i="1" s="1"/>
  <c r="V554" i="1"/>
  <c r="V14" i="1" s="1"/>
  <c r="R554" i="1"/>
  <c r="R14" i="1" s="1"/>
  <c r="F350" i="1"/>
  <c r="N554" i="1"/>
  <c r="N14" i="1" s="1"/>
  <c r="F348" i="1"/>
  <c r="I348" i="1" s="1"/>
  <c r="F346" i="1"/>
  <c r="I346" i="1" s="1"/>
  <c r="F344" i="1"/>
  <c r="I344" i="1" s="1"/>
  <c r="F342" i="1"/>
  <c r="I342" i="1" s="1"/>
  <c r="F340" i="1"/>
  <c r="I340" i="1" s="1"/>
  <c r="F338" i="1"/>
  <c r="I338" i="1" s="1"/>
  <c r="F336" i="1"/>
  <c r="I336" i="1" s="1"/>
  <c r="F334" i="1"/>
  <c r="I334" i="1" s="1"/>
  <c r="F332" i="1"/>
  <c r="I332" i="1" s="1"/>
  <c r="F330" i="1"/>
  <c r="I330" i="1" s="1"/>
  <c r="F328" i="1"/>
  <c r="I328" i="1" s="1"/>
  <c r="F326" i="1"/>
  <c r="I326" i="1" s="1"/>
  <c r="F324" i="1"/>
  <c r="I324" i="1" s="1"/>
  <c r="F322" i="1"/>
  <c r="I322" i="1" s="1"/>
  <c r="F320" i="1"/>
  <c r="I320" i="1" s="1"/>
  <c r="F318" i="1"/>
  <c r="I318" i="1" s="1"/>
  <c r="F316" i="1"/>
  <c r="I316" i="1" s="1"/>
  <c r="F314" i="1"/>
  <c r="I314" i="1" s="1"/>
  <c r="F312" i="1"/>
  <c r="I312" i="1" s="1"/>
  <c r="F310" i="1"/>
  <c r="I310" i="1" s="1"/>
  <c r="F308" i="1"/>
  <c r="I308" i="1" s="1"/>
  <c r="F306" i="1"/>
  <c r="I306" i="1" s="1"/>
  <c r="F304" i="1"/>
  <c r="I304" i="1" s="1"/>
  <c r="F302" i="1"/>
  <c r="I302" i="1" s="1"/>
  <c r="F300" i="1"/>
  <c r="I300" i="1" s="1"/>
  <c r="F298" i="1"/>
  <c r="I298" i="1" s="1"/>
  <c r="F296" i="1"/>
  <c r="I296" i="1" s="1"/>
  <c r="F294" i="1"/>
  <c r="I294" i="1" s="1"/>
  <c r="F292" i="1"/>
  <c r="I292" i="1" s="1"/>
  <c r="F290" i="1"/>
  <c r="I290" i="1" s="1"/>
  <c r="F288" i="1"/>
  <c r="I288" i="1" s="1"/>
  <c r="F286" i="1"/>
  <c r="I286" i="1" s="1"/>
  <c r="F284" i="1"/>
  <c r="I284" i="1" s="1"/>
  <c r="F282" i="1"/>
  <c r="I282" i="1" s="1"/>
  <c r="F280" i="1"/>
  <c r="I280" i="1" s="1"/>
  <c r="F278" i="1"/>
  <c r="I278" i="1" s="1"/>
  <c r="F276" i="1"/>
  <c r="I276" i="1" s="1"/>
  <c r="F274" i="1"/>
  <c r="I274" i="1" s="1"/>
  <c r="F272" i="1"/>
  <c r="I272" i="1" s="1"/>
  <c r="F270" i="1"/>
  <c r="I270" i="1" s="1"/>
  <c r="F268" i="1"/>
  <c r="I268" i="1" s="1"/>
  <c r="F266" i="1"/>
  <c r="I266" i="1" s="1"/>
  <c r="F264" i="1"/>
  <c r="I264" i="1" s="1"/>
  <c r="F262" i="1"/>
  <c r="I262" i="1" s="1"/>
  <c r="F260" i="1"/>
  <c r="I260" i="1" s="1"/>
  <c r="F258" i="1"/>
  <c r="I258" i="1" s="1"/>
  <c r="F256" i="1"/>
  <c r="I256" i="1" s="1"/>
  <c r="F254" i="1"/>
  <c r="I254" i="1" s="1"/>
  <c r="F252" i="1"/>
  <c r="I252" i="1" s="1"/>
  <c r="F250" i="1"/>
  <c r="I250" i="1" s="1"/>
  <c r="F248" i="1"/>
  <c r="I248" i="1" s="1"/>
  <c r="F246" i="1"/>
  <c r="I246" i="1" s="1"/>
  <c r="F244" i="1"/>
  <c r="I244" i="1" s="1"/>
  <c r="F242" i="1"/>
  <c r="I242" i="1" s="1"/>
  <c r="F240" i="1"/>
  <c r="I240" i="1" s="1"/>
  <c r="F238" i="1"/>
  <c r="I238" i="1" s="1"/>
  <c r="F236" i="1"/>
  <c r="I236" i="1" s="1"/>
  <c r="F234" i="1"/>
  <c r="I234" i="1" s="1"/>
  <c r="F232" i="1"/>
  <c r="I232" i="1" s="1"/>
  <c r="F230" i="1"/>
  <c r="I230" i="1" s="1"/>
  <c r="F228" i="1"/>
  <c r="I228" i="1" s="1"/>
  <c r="F226" i="1"/>
  <c r="I226" i="1" s="1"/>
  <c r="F224" i="1"/>
  <c r="I224" i="1" s="1"/>
  <c r="F222" i="1"/>
  <c r="I222" i="1" s="1"/>
  <c r="F220" i="1"/>
  <c r="I220" i="1" s="1"/>
  <c r="F218" i="1"/>
  <c r="I218" i="1" s="1"/>
  <c r="F216" i="1"/>
  <c r="I216" i="1" s="1"/>
  <c r="F214" i="1"/>
  <c r="I214" i="1" s="1"/>
  <c r="F212" i="1"/>
  <c r="I212" i="1" s="1"/>
  <c r="F210" i="1"/>
  <c r="I210" i="1" s="1"/>
  <c r="F208" i="1"/>
  <c r="I208" i="1" s="1"/>
  <c r="F206" i="1"/>
  <c r="I206" i="1" s="1"/>
  <c r="F204" i="1"/>
  <c r="I204" i="1" s="1"/>
  <c r="F202" i="1"/>
  <c r="I202" i="1" s="1"/>
  <c r="F200" i="1"/>
  <c r="I200" i="1" s="1"/>
  <c r="F198" i="1"/>
  <c r="I198" i="1" s="1"/>
  <c r="F196" i="1"/>
  <c r="I196" i="1" s="1"/>
  <c r="F194" i="1"/>
  <c r="I194" i="1" s="1"/>
  <c r="F192" i="1"/>
  <c r="I192" i="1" s="1"/>
  <c r="F190" i="1"/>
  <c r="I190" i="1" s="1"/>
  <c r="F188" i="1"/>
  <c r="I188" i="1" s="1"/>
  <c r="F186" i="1"/>
  <c r="I186" i="1" s="1"/>
  <c r="F184" i="1"/>
  <c r="I184" i="1" s="1"/>
  <c r="F182" i="1"/>
  <c r="I182" i="1" s="1"/>
  <c r="F180" i="1"/>
  <c r="I180" i="1" s="1"/>
  <c r="F178" i="1"/>
  <c r="I178" i="1" s="1"/>
  <c r="F176" i="1"/>
  <c r="I176" i="1" s="1"/>
  <c r="F174" i="1"/>
  <c r="I174" i="1" s="1"/>
  <c r="F172" i="1"/>
  <c r="I172" i="1" s="1"/>
  <c r="F170" i="1"/>
  <c r="I170" i="1" s="1"/>
  <c r="F168" i="1"/>
  <c r="I168" i="1" s="1"/>
  <c r="F166" i="1"/>
  <c r="I166" i="1" s="1"/>
  <c r="F164" i="1"/>
  <c r="I164" i="1" s="1"/>
  <c r="F162" i="1"/>
  <c r="I162" i="1" s="1"/>
  <c r="F160" i="1"/>
  <c r="I160" i="1" s="1"/>
  <c r="F158" i="1"/>
  <c r="I158" i="1" s="1"/>
  <c r="F156" i="1"/>
  <c r="I156" i="1" s="1"/>
  <c r="F154" i="1"/>
  <c r="I154" i="1" s="1"/>
  <c r="F152" i="1"/>
  <c r="I152" i="1" s="1"/>
  <c r="F150" i="1"/>
  <c r="I150" i="1" s="1"/>
  <c r="F148" i="1"/>
  <c r="I148" i="1" s="1"/>
  <c r="F146" i="1"/>
  <c r="I146" i="1" s="1"/>
  <c r="F144" i="1"/>
  <c r="I144" i="1" s="1"/>
  <c r="F142" i="1"/>
  <c r="I142" i="1" s="1"/>
  <c r="F140" i="1"/>
  <c r="I140" i="1" s="1"/>
  <c r="F138" i="1"/>
  <c r="I138" i="1" s="1"/>
  <c r="F136" i="1"/>
  <c r="I136" i="1" s="1"/>
  <c r="F134" i="1"/>
  <c r="I134" i="1" s="1"/>
  <c r="F132" i="1"/>
  <c r="I132" i="1" s="1"/>
  <c r="F130" i="1"/>
  <c r="I130" i="1" s="1"/>
  <c r="F128" i="1"/>
  <c r="I128" i="1" s="1"/>
  <c r="F126" i="1"/>
  <c r="I126" i="1" s="1"/>
  <c r="F124" i="1"/>
  <c r="I124" i="1" s="1"/>
  <c r="F122" i="1"/>
  <c r="I122" i="1" s="1"/>
  <c r="F120" i="1"/>
  <c r="I120" i="1" s="1"/>
  <c r="F118" i="1"/>
  <c r="I118" i="1" s="1"/>
  <c r="F116" i="1"/>
  <c r="I116" i="1" s="1"/>
  <c r="F114" i="1"/>
  <c r="I114" i="1" s="1"/>
  <c r="F112" i="1"/>
  <c r="I112" i="1" s="1"/>
  <c r="F110" i="1"/>
  <c r="I110" i="1" s="1"/>
  <c r="F108" i="1"/>
  <c r="I108" i="1" s="1"/>
  <c r="F106" i="1"/>
  <c r="I106" i="1" s="1"/>
  <c r="F104" i="1"/>
  <c r="I104" i="1" s="1"/>
  <c r="F102" i="1"/>
  <c r="I102" i="1" s="1"/>
  <c r="F100" i="1"/>
  <c r="I100" i="1" s="1"/>
  <c r="F98" i="1"/>
  <c r="I98" i="1" s="1"/>
  <c r="F96" i="1"/>
  <c r="I96" i="1" s="1"/>
  <c r="F94" i="1"/>
  <c r="I94" i="1" s="1"/>
  <c r="F92" i="1"/>
  <c r="I92" i="1" s="1"/>
  <c r="F90" i="1"/>
  <c r="I90" i="1" s="1"/>
  <c r="F88" i="1"/>
  <c r="I88" i="1" s="1"/>
  <c r="F86" i="1"/>
  <c r="I86" i="1" s="1"/>
  <c r="F84" i="1"/>
  <c r="I84" i="1" s="1"/>
  <c r="F82" i="1"/>
  <c r="I82" i="1" s="1"/>
  <c r="F80" i="1"/>
  <c r="I80" i="1" s="1"/>
  <c r="F78" i="1"/>
  <c r="I78" i="1" s="1"/>
  <c r="F76" i="1"/>
  <c r="I76" i="1" s="1"/>
  <c r="F74" i="1"/>
  <c r="I74" i="1" s="1"/>
  <c r="F72" i="1"/>
  <c r="I72" i="1" s="1"/>
  <c r="F70" i="1"/>
  <c r="I70" i="1" s="1"/>
  <c r="F68" i="1"/>
  <c r="I68" i="1" s="1"/>
  <c r="F66" i="1"/>
  <c r="I66" i="1" s="1"/>
  <c r="F64" i="1"/>
  <c r="I64" i="1" s="1"/>
  <c r="F62" i="1"/>
  <c r="I62" i="1" s="1"/>
  <c r="F60" i="1"/>
  <c r="I60" i="1" s="1"/>
  <c r="F58" i="1"/>
  <c r="I58" i="1" s="1"/>
  <c r="F56" i="1"/>
  <c r="I56" i="1" s="1"/>
  <c r="F54" i="1"/>
  <c r="I54" i="1" s="1"/>
  <c r="F52" i="1"/>
  <c r="I52" i="1" s="1"/>
  <c r="F50" i="1"/>
  <c r="I50" i="1" s="1"/>
  <c r="F48" i="1"/>
  <c r="I48" i="1" s="1"/>
  <c r="F46" i="1"/>
  <c r="I46" i="1" s="1"/>
  <c r="F44" i="1"/>
  <c r="I44" i="1" s="1"/>
  <c r="F42" i="1"/>
  <c r="I42" i="1" s="1"/>
  <c r="F40" i="1"/>
  <c r="I40" i="1" s="1"/>
  <c r="F38" i="1"/>
  <c r="I38" i="1" s="1"/>
  <c r="F36" i="1"/>
  <c r="I36" i="1" s="1"/>
  <c r="F34" i="1"/>
  <c r="I34" i="1" s="1"/>
  <c r="F32" i="1"/>
  <c r="I32" i="1" s="1"/>
  <c r="F30" i="1"/>
  <c r="I30" i="1" s="1"/>
  <c r="F28" i="1"/>
  <c r="I28" i="1" s="1"/>
  <c r="G27" i="1"/>
  <c r="T550" i="1"/>
  <c r="P550" i="1"/>
  <c r="P11" i="1" s="1"/>
  <c r="F26" i="1"/>
  <c r="I26" i="1" s="1"/>
  <c r="F24" i="1"/>
  <c r="I24" i="1" s="1"/>
  <c r="F22" i="1"/>
  <c r="I22" i="1" s="1"/>
  <c r="G21" i="1"/>
  <c r="T549" i="1"/>
  <c r="P549" i="1"/>
  <c r="P10" i="1" s="1"/>
  <c r="V548" i="1"/>
  <c r="V9" i="1" s="1"/>
  <c r="R548" i="1"/>
  <c r="R9" i="1" s="1"/>
  <c r="F20" i="1"/>
  <c r="N548" i="1"/>
  <c r="N9" i="1" s="1"/>
  <c r="V552" i="1"/>
  <c r="V13" i="1" s="1"/>
  <c r="R552" i="1"/>
  <c r="R13" i="1" s="1"/>
  <c r="F18" i="1"/>
  <c r="N552" i="1"/>
  <c r="N13" i="1" s="1"/>
  <c r="G17" i="1"/>
  <c r="T547" i="1"/>
  <c r="P547" i="1"/>
  <c r="P8" i="1" s="1"/>
  <c r="E29" i="2"/>
  <c r="F29" i="2" s="1"/>
  <c r="G29" i="2" s="1"/>
  <c r="E31" i="2"/>
  <c r="F31" i="2" s="1"/>
  <c r="G31" i="2" s="1"/>
  <c r="G19" i="2"/>
  <c r="F25" i="2"/>
  <c r="G25" i="2" s="1"/>
  <c r="E32" i="2"/>
  <c r="F32" i="2" s="1"/>
  <c r="G32" i="2" s="1"/>
  <c r="A22" i="2"/>
  <c r="A23" i="2" s="1"/>
  <c r="A24" i="2" s="1"/>
  <c r="E37" i="2"/>
  <c r="F37" i="2" s="1"/>
  <c r="G37" i="2" s="1"/>
  <c r="E30" i="2"/>
  <c r="F30" i="2" s="1"/>
  <c r="G30" i="2" s="1"/>
  <c r="E34" i="2"/>
  <c r="F34" i="2" s="1"/>
  <c r="G34" i="2" s="1"/>
  <c r="E33" i="2"/>
  <c r="F33" i="2" s="1"/>
  <c r="G33" i="2" s="1"/>
  <c r="E28" i="2"/>
  <c r="F28" i="2" s="1"/>
  <c r="G28" i="2" s="1"/>
  <c r="E35" i="2"/>
  <c r="F35" i="2" s="1"/>
  <c r="G35" i="2" s="1"/>
  <c r="E27" i="2"/>
  <c r="F27" i="2" s="1"/>
  <c r="G27" i="2" s="1"/>
  <c r="W16" i="1"/>
  <c r="W540" i="1"/>
  <c r="W532" i="1"/>
  <c r="W524" i="1"/>
  <c r="W516" i="1"/>
  <c r="W500" i="1"/>
  <c r="W492" i="1"/>
  <c r="W484" i="1"/>
  <c r="W476" i="1"/>
  <c r="W472" i="1"/>
  <c r="W511" i="1"/>
  <c r="W503" i="1"/>
  <c r="W495" i="1"/>
  <c r="W487" i="1"/>
  <c r="W479" i="1"/>
  <c r="W471" i="1"/>
  <c r="W459" i="1"/>
  <c r="W451" i="1"/>
  <c r="W443" i="1"/>
  <c r="W435" i="1"/>
  <c r="W427" i="1"/>
  <c r="W419" i="1"/>
  <c r="W411" i="1"/>
  <c r="W403" i="1"/>
  <c r="W395" i="1"/>
  <c r="W387" i="1"/>
  <c r="W379" i="1"/>
  <c r="W371" i="1"/>
  <c r="W367" i="1"/>
  <c r="W359" i="1"/>
  <c r="W351" i="1"/>
  <c r="W335" i="1"/>
  <c r="W327" i="1"/>
  <c r="W319" i="1"/>
  <c r="W303" i="1"/>
  <c r="W295" i="1"/>
  <c r="W287" i="1"/>
  <c r="W271" i="1"/>
  <c r="W259" i="1"/>
  <c r="W251" i="1"/>
  <c r="W239" i="1"/>
  <c r="W223" i="1"/>
  <c r="W207" i="1"/>
  <c r="W187" i="1"/>
  <c r="W179" i="1"/>
  <c r="W171" i="1"/>
  <c r="W159" i="1"/>
  <c r="W147" i="1"/>
  <c r="W143" i="1"/>
  <c r="W131" i="1"/>
  <c r="W123" i="1"/>
  <c r="W111" i="1"/>
  <c r="W91" i="1"/>
  <c r="W83" i="1"/>
  <c r="W75" i="1"/>
  <c r="W67" i="1"/>
  <c r="W59" i="1"/>
  <c r="W47" i="1"/>
  <c r="W31" i="1"/>
  <c r="W19" i="1"/>
  <c r="W510" i="1"/>
  <c r="W462" i="1"/>
  <c r="W438" i="1"/>
  <c r="W430" i="1"/>
  <c r="W422" i="1"/>
  <c r="W414" i="1"/>
  <c r="W406" i="1"/>
  <c r="W398" i="1"/>
  <c r="W382" i="1"/>
  <c r="W374" i="1"/>
  <c r="W366" i="1"/>
  <c r="W358" i="1"/>
  <c r="W350" i="1"/>
  <c r="W342" i="1"/>
  <c r="W338" i="1"/>
  <c r="W334" i="1"/>
  <c r="W330" i="1"/>
  <c r="W322" i="1"/>
  <c r="W318" i="1"/>
  <c r="W310" i="1"/>
  <c r="W306" i="1"/>
  <c r="W302" i="1"/>
  <c r="W298" i="1"/>
  <c r="W290" i="1"/>
  <c r="W286" i="1"/>
  <c r="W278" i="1"/>
  <c r="W274" i="1"/>
  <c r="W270" i="1"/>
  <c r="W266" i="1"/>
  <c r="W262" i="1"/>
  <c r="W254" i="1"/>
  <c r="W250" i="1"/>
  <c r="W246" i="1"/>
  <c r="W238" i="1"/>
  <c r="W234" i="1"/>
  <c r="W230" i="1"/>
  <c r="W222" i="1"/>
  <c r="W218" i="1"/>
  <c r="W214" i="1"/>
  <c r="W206" i="1"/>
  <c r="W202" i="1"/>
  <c r="W198" i="1"/>
  <c r="W190" i="1"/>
  <c r="W186" i="1"/>
  <c r="W182" i="1"/>
  <c r="W174" i="1"/>
  <c r="W170" i="1"/>
  <c r="W166" i="1"/>
  <c r="W158" i="1"/>
  <c r="W154" i="1"/>
  <c r="W150" i="1"/>
  <c r="W142" i="1"/>
  <c r="W138" i="1"/>
  <c r="W134" i="1"/>
  <c r="W126" i="1"/>
  <c r="W122" i="1"/>
  <c r="W118" i="1"/>
  <c r="W110" i="1"/>
  <c r="W106" i="1"/>
  <c r="W102" i="1"/>
  <c r="W94" i="1"/>
  <c r="W90" i="1"/>
  <c r="W86" i="1"/>
  <c r="W78" i="1"/>
  <c r="W74" i="1"/>
  <c r="W70" i="1"/>
  <c r="W62" i="1"/>
  <c r="W58" i="1"/>
  <c r="W54" i="1"/>
  <c r="W46" i="1"/>
  <c r="W42" i="1"/>
  <c r="W38" i="1"/>
  <c r="W30" i="1"/>
  <c r="W26" i="1"/>
  <c r="W22" i="1"/>
  <c r="W544" i="1"/>
  <c r="W536" i="1"/>
  <c r="W528" i="1"/>
  <c r="W520" i="1"/>
  <c r="W512" i="1"/>
  <c r="W496" i="1"/>
  <c r="W488" i="1"/>
  <c r="W480" i="1"/>
  <c r="W468" i="1"/>
  <c r="W507" i="1"/>
  <c r="W499" i="1"/>
  <c r="W491" i="1"/>
  <c r="W483" i="1"/>
  <c r="W475" i="1"/>
  <c r="W467" i="1"/>
  <c r="W463" i="1"/>
  <c r="W455" i="1"/>
  <c r="W447" i="1"/>
  <c r="W439" i="1"/>
  <c r="W431" i="1"/>
  <c r="W423" i="1"/>
  <c r="W415" i="1"/>
  <c r="W407" i="1"/>
  <c r="W399" i="1"/>
  <c r="W391" i="1"/>
  <c r="W383" i="1"/>
  <c r="W375" i="1"/>
  <c r="W363" i="1"/>
  <c r="W355" i="1"/>
  <c r="W347" i="1"/>
  <c r="W339" i="1"/>
  <c r="W331" i="1"/>
  <c r="W315" i="1"/>
  <c r="W307" i="1"/>
  <c r="W299" i="1"/>
  <c r="W283" i="1"/>
  <c r="W275" i="1"/>
  <c r="W267" i="1"/>
  <c r="W255" i="1"/>
  <c r="W243" i="1"/>
  <c r="W235" i="1"/>
  <c r="W227" i="1"/>
  <c r="W219" i="1"/>
  <c r="W211" i="1"/>
  <c r="W203" i="1"/>
  <c r="W195" i="1"/>
  <c r="W191" i="1"/>
  <c r="W175" i="1"/>
  <c r="W163" i="1"/>
  <c r="W155" i="1"/>
  <c r="W139" i="1"/>
  <c r="W127" i="1"/>
  <c r="W115" i="1"/>
  <c r="W107" i="1"/>
  <c r="W99" i="1"/>
  <c r="W95" i="1"/>
  <c r="W79" i="1"/>
  <c r="W63" i="1"/>
  <c r="W51" i="1"/>
  <c r="W43" i="1"/>
  <c r="W35" i="1"/>
  <c r="W27" i="1"/>
  <c r="W506" i="1"/>
  <c r="W494" i="1"/>
  <c r="W486" i="1"/>
  <c r="W478" i="1"/>
  <c r="W470" i="1"/>
  <c r="W454" i="1"/>
  <c r="W446" i="1"/>
  <c r="W390" i="1"/>
  <c r="W545" i="1"/>
  <c r="W541" i="1"/>
  <c r="W537" i="1"/>
  <c r="W533" i="1"/>
  <c r="W529" i="1"/>
  <c r="W525" i="1"/>
  <c r="W521" i="1"/>
  <c r="W517" i="1"/>
  <c r="W513" i="1"/>
  <c r="W509" i="1"/>
  <c r="W497" i="1"/>
  <c r="W489" i="1"/>
  <c r="W481" i="1"/>
  <c r="W473" i="1"/>
  <c r="W465" i="1"/>
  <c r="W457" i="1"/>
  <c r="W449" i="1"/>
  <c r="W441" i="1"/>
  <c r="W433" i="1"/>
  <c r="W425" i="1"/>
  <c r="W417" i="1"/>
  <c r="W409" i="1"/>
  <c r="W401" i="1"/>
  <c r="W393" i="1"/>
  <c r="W385" i="1"/>
  <c r="W377" i="1"/>
  <c r="W369" i="1"/>
  <c r="W361" i="1"/>
  <c r="W353" i="1"/>
  <c r="W345" i="1"/>
  <c r="W333" i="1"/>
  <c r="W313" i="1"/>
  <c r="W301" i="1"/>
  <c r="W281" i="1"/>
  <c r="W269" i="1"/>
  <c r="W341" i="1"/>
  <c r="W337" i="1"/>
  <c r="W325" i="1"/>
  <c r="W321" i="1"/>
  <c r="W309" i="1"/>
  <c r="W305" i="1"/>
  <c r="W293" i="1"/>
  <c r="W289" i="1"/>
  <c r="W277" i="1"/>
  <c r="W273" i="1"/>
  <c r="W265" i="1"/>
  <c r="W261" i="1"/>
  <c r="W257" i="1"/>
  <c r="W253" i="1"/>
  <c r="W249" i="1"/>
  <c r="W245" i="1"/>
  <c r="W241" i="1"/>
  <c r="W237" i="1"/>
  <c r="W233" i="1"/>
  <c r="W229" i="1"/>
  <c r="W225" i="1"/>
  <c r="W221" i="1"/>
  <c r="W217" i="1"/>
  <c r="W213" i="1"/>
  <c r="W209" i="1"/>
  <c r="W205" i="1"/>
  <c r="W201" i="1"/>
  <c r="W197" i="1"/>
  <c r="W193" i="1"/>
  <c r="W189" i="1"/>
  <c r="W185" i="1"/>
  <c r="W181" i="1"/>
  <c r="W177" i="1"/>
  <c r="W173" i="1"/>
  <c r="W169" i="1"/>
  <c r="W165" i="1"/>
  <c r="W161" i="1"/>
  <c r="W157" i="1"/>
  <c r="W153" i="1"/>
  <c r="W149" i="1"/>
  <c r="W145" i="1"/>
  <c r="W141" i="1"/>
  <c r="W137" i="1"/>
  <c r="W133" i="1"/>
  <c r="W129" i="1"/>
  <c r="W125" i="1"/>
  <c r="W121" i="1"/>
  <c r="W117" i="1"/>
  <c r="W113" i="1"/>
  <c r="W109" i="1"/>
  <c r="W105" i="1"/>
  <c r="W101" i="1"/>
  <c r="W97" i="1"/>
  <c r="W93" i="1"/>
  <c r="W89" i="1"/>
  <c r="W85" i="1"/>
  <c r="W81" i="1"/>
  <c r="W77" i="1"/>
  <c r="W73" i="1"/>
  <c r="W69" i="1"/>
  <c r="W65" i="1"/>
  <c r="W61" i="1"/>
  <c r="W57" i="1"/>
  <c r="W53" i="1"/>
  <c r="W49" i="1"/>
  <c r="W45" i="1"/>
  <c r="W41" i="1"/>
  <c r="W37" i="1"/>
  <c r="W33" i="1"/>
  <c r="W29" i="1"/>
  <c r="W25" i="1"/>
  <c r="W21" i="1"/>
  <c r="W17" i="1"/>
  <c r="W464" i="1"/>
  <c r="W460" i="1"/>
  <c r="W456" i="1"/>
  <c r="W452" i="1"/>
  <c r="W448" i="1"/>
  <c r="W444" i="1"/>
  <c r="W440" i="1"/>
  <c r="W436" i="1"/>
  <c r="W432" i="1"/>
  <c r="W428" i="1"/>
  <c r="W424" i="1"/>
  <c r="W420" i="1"/>
  <c r="W416" i="1"/>
  <c r="W412" i="1"/>
  <c r="W408" i="1"/>
  <c r="W404" i="1"/>
  <c r="W400" i="1"/>
  <c r="W396" i="1"/>
  <c r="W392" i="1"/>
  <c r="W388" i="1"/>
  <c r="W384" i="1"/>
  <c r="W380" i="1"/>
  <c r="W376" i="1"/>
  <c r="W372" i="1"/>
  <c r="W368" i="1"/>
  <c r="W364" i="1"/>
  <c r="W360" i="1"/>
  <c r="W356" i="1"/>
  <c r="W352" i="1"/>
  <c r="W348" i="1"/>
  <c r="W344" i="1"/>
  <c r="W340" i="1"/>
  <c r="W336" i="1"/>
  <c r="W332" i="1"/>
  <c r="W328" i="1"/>
  <c r="W324" i="1"/>
  <c r="W320" i="1"/>
  <c r="W316" i="1"/>
  <c r="W312" i="1"/>
  <c r="W308" i="1"/>
  <c r="W304" i="1"/>
  <c r="W300" i="1"/>
  <c r="W296" i="1"/>
  <c r="W292" i="1"/>
  <c r="W288" i="1"/>
  <c r="W284" i="1"/>
  <c r="W280" i="1"/>
  <c r="W276" i="1"/>
  <c r="W272" i="1"/>
  <c r="W268" i="1"/>
  <c r="W264" i="1"/>
  <c r="W260" i="1"/>
  <c r="W256" i="1"/>
  <c r="W252" i="1"/>
  <c r="W248" i="1"/>
  <c r="W244" i="1"/>
  <c r="W240" i="1"/>
  <c r="W236" i="1"/>
  <c r="W232" i="1"/>
  <c r="W228" i="1"/>
  <c r="W224" i="1"/>
  <c r="W220" i="1"/>
  <c r="W216" i="1"/>
  <c r="W212" i="1"/>
  <c r="W208" i="1"/>
  <c r="W204" i="1"/>
  <c r="W200" i="1"/>
  <c r="W196" i="1"/>
  <c r="W192" i="1"/>
  <c r="W188" i="1"/>
  <c r="W184" i="1"/>
  <c r="W180" i="1"/>
  <c r="W176" i="1"/>
  <c r="W172" i="1"/>
  <c r="W168" i="1"/>
  <c r="W164" i="1"/>
  <c r="W160" i="1"/>
  <c r="W156" i="1"/>
  <c r="W152" i="1"/>
  <c r="W148" i="1"/>
  <c r="W144" i="1"/>
  <c r="W140" i="1"/>
  <c r="W136" i="1"/>
  <c r="W132" i="1"/>
  <c r="W128" i="1"/>
  <c r="W124" i="1"/>
  <c r="W120" i="1"/>
  <c r="W116" i="1"/>
  <c r="W112" i="1"/>
  <c r="W108" i="1"/>
  <c r="W104" i="1"/>
  <c r="W100" i="1"/>
  <c r="W96" i="1"/>
  <c r="W92" i="1"/>
  <c r="W88" i="1"/>
  <c r="W84" i="1"/>
  <c r="W80" i="1"/>
  <c r="W76" i="1"/>
  <c r="W72" i="1"/>
  <c r="W68" i="1"/>
  <c r="W64" i="1"/>
  <c r="W60" i="1"/>
  <c r="W56" i="1"/>
  <c r="W52" i="1"/>
  <c r="W48" i="1"/>
  <c r="W44" i="1"/>
  <c r="W40" i="1"/>
  <c r="W36" i="1"/>
  <c r="W32" i="1"/>
  <c r="W28" i="1"/>
  <c r="W24" i="1"/>
  <c r="W20" i="1"/>
  <c r="E7" i="1"/>
  <c r="A25" i="2" l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C25" i="2"/>
  <c r="C24" i="2"/>
  <c r="J554" i="1"/>
  <c r="J14" i="1" s="1"/>
  <c r="X14" i="1"/>
  <c r="G552" i="1"/>
  <c r="G13" i="1" s="1"/>
  <c r="T13" i="1"/>
  <c r="J551" i="1"/>
  <c r="J12" i="1" s="1"/>
  <c r="X12" i="1"/>
  <c r="H552" i="1"/>
  <c r="H13" i="1" s="1"/>
  <c r="U13" i="1"/>
  <c r="G549" i="1"/>
  <c r="G10" i="1" s="1"/>
  <c r="T10" i="1"/>
  <c r="H547" i="1"/>
  <c r="H8" i="1" s="1"/>
  <c r="U8" i="1"/>
  <c r="G547" i="1"/>
  <c r="G8" i="1" s="1"/>
  <c r="T8" i="1"/>
  <c r="G551" i="1"/>
  <c r="G12" i="1" s="1"/>
  <c r="T12" i="1"/>
  <c r="H551" i="1"/>
  <c r="H12" i="1" s="1"/>
  <c r="U12" i="1"/>
  <c r="G548" i="1"/>
  <c r="G9" i="1" s="1"/>
  <c r="T9" i="1"/>
  <c r="G550" i="1"/>
  <c r="G11" i="1" s="1"/>
  <c r="T11" i="1"/>
  <c r="H549" i="1"/>
  <c r="H10" i="1" s="1"/>
  <c r="U10" i="1"/>
  <c r="J552" i="1"/>
  <c r="J13" i="1" s="1"/>
  <c r="X13" i="1"/>
  <c r="J548" i="1"/>
  <c r="J9" i="1" s="1"/>
  <c r="X9" i="1"/>
  <c r="H550" i="1"/>
  <c r="H11" i="1" s="1"/>
  <c r="U11" i="1"/>
  <c r="G554" i="1"/>
  <c r="G14" i="1" s="1"/>
  <c r="T14" i="1"/>
  <c r="J547" i="1"/>
  <c r="J8" i="1" s="1"/>
  <c r="X8" i="1"/>
  <c r="H548" i="1"/>
  <c r="H9" i="1" s="1"/>
  <c r="U9" i="1"/>
  <c r="J549" i="1"/>
  <c r="J10" i="1" s="1"/>
  <c r="X10" i="1"/>
  <c r="J550" i="1"/>
  <c r="J11" i="1" s="1"/>
  <c r="X11" i="1"/>
  <c r="H554" i="1"/>
  <c r="H14" i="1" s="1"/>
  <c r="U14" i="1"/>
  <c r="I17" i="1"/>
  <c r="H555" i="1"/>
  <c r="H7" i="1" s="1"/>
  <c r="F550" i="1"/>
  <c r="G555" i="1"/>
  <c r="G7" i="1" s="1"/>
  <c r="F555" i="1"/>
  <c r="F7" i="1" s="1"/>
  <c r="F547" i="1"/>
  <c r="I20" i="1"/>
  <c r="I21" i="1"/>
  <c r="J555" i="1"/>
  <c r="J7" i="1" s="1"/>
  <c r="M7" i="1" s="1"/>
  <c r="W549" i="1"/>
  <c r="W10" i="1" s="1"/>
  <c r="F552" i="1"/>
  <c r="F548" i="1"/>
  <c r="F554" i="1"/>
  <c r="F14" i="1" s="1"/>
  <c r="L553" i="1"/>
  <c r="M553" i="1"/>
  <c r="F551" i="1"/>
  <c r="M18" i="1"/>
  <c r="I18" i="1"/>
  <c r="L18" i="1"/>
  <c r="M20" i="1"/>
  <c r="L20" i="1"/>
  <c r="M17" i="1"/>
  <c r="L17" i="1"/>
  <c r="F553" i="1"/>
  <c r="I553" i="1" s="1"/>
  <c r="M21" i="1"/>
  <c r="L21" i="1"/>
  <c r="M550" i="1"/>
  <c r="M11" i="1" s="1"/>
  <c r="D18" i="2"/>
  <c r="D36" i="2" s="1"/>
  <c r="AH7" i="1"/>
  <c r="W548" i="1"/>
  <c r="W9" i="1" s="1"/>
  <c r="W547" i="1"/>
  <c r="W8" i="1" s="1"/>
  <c r="W550" i="1"/>
  <c r="W11" i="1" s="1"/>
  <c r="W554" i="1"/>
  <c r="W14" i="1" s="1"/>
  <c r="W553" i="1"/>
  <c r="W551" i="1"/>
  <c r="W12" i="1" s="1"/>
  <c r="W555" i="1"/>
  <c r="W7" i="1" s="1"/>
  <c r="M350" i="1"/>
  <c r="I350" i="1"/>
  <c r="L350" i="1"/>
  <c r="F549" i="1"/>
  <c r="L16" i="1"/>
  <c r="I16" i="1"/>
  <c r="M16" i="1"/>
  <c r="L27" i="1"/>
  <c r="I27" i="1"/>
  <c r="M27" i="1"/>
  <c r="E18" i="2"/>
  <c r="AS7" i="1"/>
  <c r="W552" i="1"/>
  <c r="W13" i="1" s="1"/>
  <c r="L549" i="1" l="1"/>
  <c r="L10" i="1" s="1"/>
  <c r="M552" i="1"/>
  <c r="M13" i="1" s="1"/>
  <c r="L551" i="1"/>
  <c r="L12" i="1" s="1"/>
  <c r="L547" i="1"/>
  <c r="L8" i="1" s="1"/>
  <c r="L554" i="1"/>
  <c r="L14" i="1" s="1"/>
  <c r="M554" i="1"/>
  <c r="M14" i="1" s="1"/>
  <c r="M549" i="1"/>
  <c r="M10" i="1" s="1"/>
  <c r="L552" i="1"/>
  <c r="L13" i="1" s="1"/>
  <c r="M551" i="1"/>
  <c r="M12" i="1" s="1"/>
  <c r="I554" i="1"/>
  <c r="I14" i="1" s="1"/>
  <c r="M547" i="1"/>
  <c r="M8" i="1" s="1"/>
  <c r="M548" i="1"/>
  <c r="M9" i="1" s="1"/>
  <c r="I549" i="1"/>
  <c r="I10" i="1" s="1"/>
  <c r="F10" i="1"/>
  <c r="I551" i="1"/>
  <c r="I12" i="1" s="1"/>
  <c r="F12" i="1"/>
  <c r="I547" i="1"/>
  <c r="I8" i="1" s="1"/>
  <c r="F8" i="1"/>
  <c r="L550" i="1"/>
  <c r="L11" i="1" s="1"/>
  <c r="L548" i="1"/>
  <c r="L9" i="1" s="1"/>
  <c r="I548" i="1"/>
  <c r="I9" i="1" s="1"/>
  <c r="F9" i="1"/>
  <c r="I552" i="1"/>
  <c r="I13" i="1" s="1"/>
  <c r="F13" i="1"/>
  <c r="I550" i="1"/>
  <c r="I11" i="1" s="1"/>
  <c r="F11" i="1"/>
  <c r="M555" i="1"/>
  <c r="I555" i="1"/>
  <c r="I7" i="1" s="1"/>
  <c r="L555" i="1"/>
  <c r="L7" i="1" s="1"/>
  <c r="F18" i="2"/>
  <c r="G18" i="2" s="1"/>
  <c r="E36" i="2"/>
  <c r="F36" i="2" s="1"/>
  <c r="G36" i="2" s="1"/>
</calcChain>
</file>

<file path=xl/sharedStrings.xml><?xml version="1.0" encoding="utf-8"?>
<sst xmlns="http://schemas.openxmlformats.org/spreadsheetml/2006/main" count="2607" uniqueCount="1136">
  <si>
    <t>Change</t>
  </si>
  <si>
    <t>Declining</t>
  </si>
  <si>
    <t/>
  </si>
  <si>
    <t>Pupil</t>
  </si>
  <si>
    <t>Compen</t>
  </si>
  <si>
    <t>Small</t>
  </si>
  <si>
    <t>Transport</t>
  </si>
  <si>
    <t>Total</t>
  </si>
  <si>
    <t>REGION</t>
  </si>
  <si>
    <t>ADM</t>
  </si>
  <si>
    <t>Basic</t>
  </si>
  <si>
    <t>Revenue</t>
  </si>
  <si>
    <t>-satory</t>
  </si>
  <si>
    <t>Sparsity</t>
  </si>
  <si>
    <t>Schools</t>
  </si>
  <si>
    <t>Equity</t>
  </si>
  <si>
    <t>Gened</t>
  </si>
  <si>
    <t>AITKIN</t>
  </si>
  <si>
    <t>MINNEAPOLIS</t>
  </si>
  <si>
    <t>HILL CITY</t>
  </si>
  <si>
    <t>MCGREGOR</t>
  </si>
  <si>
    <t>SOUTH ST. PAUL</t>
  </si>
  <si>
    <t>ANOKA-HENNEPIN</t>
  </si>
  <si>
    <t>CENTENNIAL</t>
  </si>
  <si>
    <t>COLUMBIA HEIGHTS</t>
  </si>
  <si>
    <t>FRIDLEY</t>
  </si>
  <si>
    <t>ST. FRANCIS</t>
  </si>
  <si>
    <t>SPRING LAKE PARK</t>
  </si>
  <si>
    <t>DETROIT LAKES</t>
  </si>
  <si>
    <t>FRAZEE</t>
  </si>
  <si>
    <t>PINE POINT</t>
  </si>
  <si>
    <t>BEMIDJI</t>
  </si>
  <si>
    <t>BLACKDUCK</t>
  </si>
  <si>
    <t>KELLIHER</t>
  </si>
  <si>
    <t>RED LAKE</t>
  </si>
  <si>
    <t>SAUK RAPIDS</t>
  </si>
  <si>
    <t>FOLEY</t>
  </si>
  <si>
    <t>ST. CLAIR</t>
  </si>
  <si>
    <t>MANKATO</t>
  </si>
  <si>
    <t>COMFREY</t>
  </si>
  <si>
    <t>SLEEPY EYE</t>
  </si>
  <si>
    <t>SPRINGFIELD</t>
  </si>
  <si>
    <t>NEW ULM</t>
  </si>
  <si>
    <t>BARNUM</t>
  </si>
  <si>
    <t>CARLTON</t>
  </si>
  <si>
    <t>CLOQUET</t>
  </si>
  <si>
    <t>CROMWELL</t>
  </si>
  <si>
    <t>MOOSE LAKE</t>
  </si>
  <si>
    <t>ESKO</t>
  </si>
  <si>
    <t>WRENSHALL</t>
  </si>
  <si>
    <t>NORWOOD</t>
  </si>
  <si>
    <t>WACONIA</t>
  </si>
  <si>
    <t>WATERTOWN-MAYER</t>
  </si>
  <si>
    <t>EASTERN CARVER CTY</t>
  </si>
  <si>
    <t>WALKER-AKELEY</t>
  </si>
  <si>
    <t>CASS LAKE</t>
  </si>
  <si>
    <t>PILLAGER</t>
  </si>
  <si>
    <t>NORTHLAND</t>
  </si>
  <si>
    <t>MONTEVIDEO</t>
  </si>
  <si>
    <t>NORTH BRANCH</t>
  </si>
  <si>
    <t>RUSH CITY</t>
  </si>
  <si>
    <t>BARNESVILLE</t>
  </si>
  <si>
    <t>HAWLEY</t>
  </si>
  <si>
    <t>MOORHEAD</t>
  </si>
  <si>
    <t>BAGLEY</t>
  </si>
  <si>
    <t>COOK COUNTY</t>
  </si>
  <si>
    <t>MOUNTAIN LAKE</t>
  </si>
  <si>
    <t>WINDOM</t>
  </si>
  <si>
    <t>BRAINERD</t>
  </si>
  <si>
    <t>CROSBY</t>
  </si>
  <si>
    <t>PEQUOT LAKES</t>
  </si>
  <si>
    <t>BURNSVILLE</t>
  </si>
  <si>
    <t>FARMINGTON</t>
  </si>
  <si>
    <t>LAKEVILLE</t>
  </si>
  <si>
    <t>RANDOLPH</t>
  </si>
  <si>
    <t>ROSEMOUNT-APPLE</t>
  </si>
  <si>
    <t>WEST ST. PAUL</t>
  </si>
  <si>
    <t>INVER GROVE</t>
  </si>
  <si>
    <t>HASTINGS</t>
  </si>
  <si>
    <t>HAYFIELD</t>
  </si>
  <si>
    <t>KASSON-MANTORVIL</t>
  </si>
  <si>
    <t>ALEXANDRIA</t>
  </si>
  <si>
    <t>OSAKIS</t>
  </si>
  <si>
    <t>CHATFIELD</t>
  </si>
  <si>
    <t>LANESBORO</t>
  </si>
  <si>
    <t>MABEL-CANTON</t>
  </si>
  <si>
    <t>RUSHFORD-PETERSO</t>
  </si>
  <si>
    <t>ALBERT LEA</t>
  </si>
  <si>
    <t>ALDEN</t>
  </si>
  <si>
    <t>CANNON FALLS</t>
  </si>
  <si>
    <t>GOODHUE</t>
  </si>
  <si>
    <t>PINE ISLAND</t>
  </si>
  <si>
    <t>RED WING</t>
  </si>
  <si>
    <t>ASHBY</t>
  </si>
  <si>
    <t>HERMAN-NORCROSS</t>
  </si>
  <si>
    <t>HOPKINS</t>
  </si>
  <si>
    <t>BLOOMINGTON</t>
  </si>
  <si>
    <t>EDEN PRAIRIE</t>
  </si>
  <si>
    <t>EDINA</t>
  </si>
  <si>
    <t>MINNETONKA</t>
  </si>
  <si>
    <t>WESTONKA</t>
  </si>
  <si>
    <t>ORONO</t>
  </si>
  <si>
    <t>OSSEO</t>
  </si>
  <si>
    <t>RICHFIELD</t>
  </si>
  <si>
    <t>ROBBINSDALE</t>
  </si>
  <si>
    <t>ST. ANTHONY-NEW</t>
  </si>
  <si>
    <t>ST. LOUIS PARK</t>
  </si>
  <si>
    <t>WAYZATA</t>
  </si>
  <si>
    <t>BROOKLYN CENTER</t>
  </si>
  <si>
    <t>HOUSTON</t>
  </si>
  <si>
    <t>SPRING GROVE</t>
  </si>
  <si>
    <t>CALEDONIA</t>
  </si>
  <si>
    <t>LACRESCENT</t>
  </si>
  <si>
    <t>LAPORTE</t>
  </si>
  <si>
    <t>NEVIS</t>
  </si>
  <si>
    <t>PARK RAPIDS</t>
  </si>
  <si>
    <t>BRAHAM</t>
  </si>
  <si>
    <t>GREENWAY</t>
  </si>
  <si>
    <t>DEER RIVER</t>
  </si>
  <si>
    <t>GRAND RAPIDS</t>
  </si>
  <si>
    <t>NASHWAUK-KEEWATI</t>
  </si>
  <si>
    <t>FRANCONIA</t>
  </si>
  <si>
    <t>HERON LAKE-OKABE</t>
  </si>
  <si>
    <t>MORA</t>
  </si>
  <si>
    <t>OGILVIE</t>
  </si>
  <si>
    <t>NEW LONDON-SPICE</t>
  </si>
  <si>
    <t>WILLMAR</t>
  </si>
  <si>
    <t>LANCASTER</t>
  </si>
  <si>
    <t>INTERNATIONAL FA</t>
  </si>
  <si>
    <t>LITTLEFORK-BIG F</t>
  </si>
  <si>
    <t>SOUTH KOOCHICHIN</t>
  </si>
  <si>
    <t>DAWSON</t>
  </si>
  <si>
    <t>LAKE SUPERIOR</t>
  </si>
  <si>
    <t>LAKE OF THE WOOD</t>
  </si>
  <si>
    <t>CLEVELAND</t>
  </si>
  <si>
    <t>HENDRICKS</t>
  </si>
  <si>
    <t>IVANHOE</t>
  </si>
  <si>
    <t>LAKE BENTON</t>
  </si>
  <si>
    <t>MARSHALL</t>
  </si>
  <si>
    <t>MINNEOTA</t>
  </si>
  <si>
    <t>LYND</t>
  </si>
  <si>
    <t>HUTCHINSON</t>
  </si>
  <si>
    <t>LESTER PRAIRIE</t>
  </si>
  <si>
    <t>MAHNOMEN</t>
  </si>
  <si>
    <t>WAUBUN</t>
  </si>
  <si>
    <t>MARSHALL CTY CENTRAL</t>
  </si>
  <si>
    <t>GRYGLA</t>
  </si>
  <si>
    <t>TRUMAN</t>
  </si>
  <si>
    <t>EDEN VALLEY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</si>
  <si>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</si>
  <si>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</si>
  <si>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</si>
  <si>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</si>
  <si>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</si>
  <si>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</si>
  <si>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</si>
  <si>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</si>
  <si>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</t>
  </si>
  <si>
    <t>UPSALA</t>
  </si>
  <si>
    <t>AUSTIN</t>
  </si>
  <si>
    <t>GRAND MEADOW</t>
  </si>
  <si>
    <t>LYLE</t>
  </si>
  <si>
    <t>LEROY</t>
  </si>
  <si>
    <t>SOUTHLAND</t>
  </si>
  <si>
    <t>FULDA</t>
  </si>
  <si>
    <t>NICOLLET</t>
  </si>
  <si>
    <t>ST. PETER</t>
  </si>
  <si>
    <t>ADRIAN</t>
  </si>
  <si>
    <t>ELLSWORTH</t>
  </si>
  <si>
    <t>WORTHINGTON</t>
  </si>
  <si>
    <t>BYRON</t>
  </si>
  <si>
    <t>DOVER-EYOTA</t>
  </si>
  <si>
    <t>STEWARTVILLE</t>
  </si>
  <si>
    <t>ROCHESTER</t>
  </si>
  <si>
    <t>BATTLE LAKE</t>
  </si>
  <si>
    <t>FERGUS FALLS</t>
  </si>
  <si>
    <t>HENNING</t>
  </si>
  <si>
    <t>PARKERS PRAIRIE</t>
  </si>
  <si>
    <t>PELICAN RAPIDS</t>
  </si>
  <si>
    <t>PERHAM</t>
  </si>
  <si>
    <t>UNDERWOOD</t>
  </si>
  <si>
    <t>NEW YORK MILLS</t>
  </si>
  <si>
    <t>GOODRIDGE</t>
  </si>
  <si>
    <t>THIEF RIVER FALL</t>
  </si>
  <si>
    <t>WILLOW RIVER</t>
  </si>
  <si>
    <t>PINE CITY</t>
  </si>
  <si>
    <t>EDGERTON</t>
  </si>
  <si>
    <t>CLIMAX</t>
  </si>
  <si>
    <t>CROOKSTON</t>
  </si>
  <si>
    <t>EAST GRAND FORKS</t>
  </si>
  <si>
    <t>FERTILE-BELTRAMI</t>
  </si>
  <si>
    <t>FISHER</t>
  </si>
  <si>
    <t>FOSSTON</t>
  </si>
  <si>
    <t>MOUNDS VIEW</t>
  </si>
  <si>
    <t>NORTH ST. PAUL-M</t>
  </si>
  <si>
    <t>ROSEVILLE</t>
  </si>
  <si>
    <t>WHITE BEAR LAKE</t>
  </si>
  <si>
    <t>ST. PAUL</t>
  </si>
  <si>
    <t>RED LAKE FALLS</t>
  </si>
  <si>
    <t>MILROY</t>
  </si>
  <si>
    <t>WABASSO</t>
  </si>
  <si>
    <t>FARIBAULT</t>
  </si>
  <si>
    <t>NORTHFIELD</t>
  </si>
  <si>
    <t>HILLS-BEAVER CRE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</si>
  <si>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</si>
  <si>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</si>
  <si>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</si>
  <si>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</si>
  <si>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</si>
  <si>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</si>
  <si>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</si>
  <si>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</si>
  <si>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</si>
  <si>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</si>
  <si>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</si>
  <si>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</t>
  </si>
  <si>
    <t>MOUNTAIN IRON-BU</t>
  </si>
  <si>
    <t>BELLE PLAINE</t>
  </si>
  <si>
    <t>JORDAN</t>
  </si>
  <si>
    <t>PRIOR LAKE</t>
  </si>
  <si>
    <t>SHAKOPEE</t>
  </si>
  <si>
    <t>NEW PRAGUE</t>
  </si>
  <si>
    <t>BECKER</t>
  </si>
  <si>
    <t>BIG LAKE</t>
  </si>
  <si>
    <t>ELK RIVER</t>
  </si>
  <si>
    <t>HOLDINGFORD</t>
  </si>
  <si>
    <t>KIMBALL</t>
  </si>
  <si>
    <t>MELROSE</t>
  </si>
  <si>
    <t>PAYNESVILLE</t>
  </si>
  <si>
    <t>ST. CLOUD</t>
  </si>
  <si>
    <t>SAUK CENTRE</t>
  </si>
  <si>
    <t>ALBANY</t>
  </si>
  <si>
    <t>SARTELL</t>
  </si>
  <si>
    <t>ROCORI</t>
  </si>
  <si>
    <t>BLOOMING PRAIRIE</t>
  </si>
  <si>
    <t>OWATONNA</t>
  </si>
  <si>
    <t>MEDFORD</t>
  </si>
  <si>
    <t>HANCOCK</t>
  </si>
  <si>
    <t>CHOKIO-ALBERTA</t>
  </si>
  <si>
    <t>KERKHOVEN-MURDOC</t>
  </si>
  <si>
    <t>BENSON</t>
  </si>
  <si>
    <t>BERTHA-HEWITT</t>
  </si>
  <si>
    <t>BROWERVILLE</t>
  </si>
  <si>
    <t>BROWNS VALLEY</t>
  </si>
  <si>
    <t>WHEATON</t>
  </si>
  <si>
    <t>WABASHA</t>
  </si>
  <si>
    <t>LAKE CITY</t>
  </si>
  <si>
    <t>PRINSBURG</t>
  </si>
  <si>
    <t>VERNDALE</t>
  </si>
  <si>
    <t>SEBEKA</t>
  </si>
  <si>
    <t>MENAHGA</t>
  </si>
  <si>
    <t>WASECA</t>
  </si>
  <si>
    <t>FOREST LAKE</t>
  </si>
  <si>
    <t>MAHTOMEDI</t>
  </si>
  <si>
    <t>SOUTH WASHINGTON</t>
  </si>
  <si>
    <t>STILLWATER</t>
  </si>
  <si>
    <t>BUTTERFIELD</t>
  </si>
  <si>
    <t>MADELIA</t>
  </si>
  <si>
    <t>ST. JAMES</t>
  </si>
  <si>
    <t>BRECKENRIDGE</t>
  </si>
  <si>
    <t>ROTHSAY</t>
  </si>
  <si>
    <t>CAMPBELL-TINTAH</t>
  </si>
  <si>
    <t>LEWISTON</t>
  </si>
  <si>
    <t>ST. CHARLES</t>
  </si>
  <si>
    <t>WINONA</t>
  </si>
  <si>
    <t>ANNANDALE</t>
  </si>
  <si>
    <t>BUFFALO</t>
  </si>
  <si>
    <t>DELANO</t>
  </si>
  <si>
    <t>MAPLE LAKE</t>
  </si>
  <si>
    <t>MONTICELLO</t>
  </si>
  <si>
    <t>ROCKFORD</t>
  </si>
  <si>
    <t>ST. MICHAEL-ALBE</t>
  </si>
  <si>
    <t>CANBY</t>
  </si>
  <si>
    <t>CAMBRIDGE-ISANTI</t>
  </si>
  <si>
    <t>MILACA</t>
  </si>
  <si>
    <t>ULEN-HITTERDAL</t>
  </si>
  <si>
    <t>LAKE CRYSTAL-WEL</t>
  </si>
  <si>
    <t>TRITON</t>
  </si>
  <si>
    <t>UNITED SOUTH CENTRAL</t>
  </si>
  <si>
    <t>MAPLE RIVER</t>
  </si>
  <si>
    <t>KINGSLAND</t>
  </si>
  <si>
    <t>ST. LOUIS COUNTY</t>
  </si>
  <si>
    <t>WATERVILLE-ELYSIAN-MORRISTOWN</t>
  </si>
  <si>
    <t>CHISAGO LAKES AREA</t>
  </si>
  <si>
    <t>MINNEWASKA</t>
  </si>
  <si>
    <t>EVELETH-GILBERT</t>
  </si>
  <si>
    <t>WADENA-DEER CREEK</t>
  </si>
  <si>
    <t>BUFFALO LAKE-HECTOR</t>
  </si>
  <si>
    <t>DILWORTH-GLYNDON</t>
  </si>
  <si>
    <t>HINCKLEY-FINLAYS</t>
  </si>
  <si>
    <t>LAKEVIEW</t>
  </si>
  <si>
    <t>NRHEG</t>
  </si>
  <si>
    <t>MURRAY COUNTY</t>
  </si>
  <si>
    <t>STAPLES-MOTLEY</t>
  </si>
  <si>
    <t>KITTSON CENTRAL</t>
  </si>
  <si>
    <t>KENYON-WANAMINGO</t>
  </si>
  <si>
    <t>PINE RIVER-BACKU</t>
  </si>
  <si>
    <t>WARREN-ALVARADO-</t>
  </si>
  <si>
    <t>MACCRAY</t>
  </si>
  <si>
    <t>LUVERNE</t>
  </si>
  <si>
    <t>YELLOW MEDICINE EAST</t>
  </si>
  <si>
    <t xml:space="preserve">FILLMORE CENTRAL                   </t>
  </si>
  <si>
    <t>NORMAN COUNTY EAST</t>
  </si>
  <si>
    <t>SIBLEY EAST</t>
  </si>
  <si>
    <t>CLEARBROOK-GONVICK</t>
  </si>
  <si>
    <t>WEST CENTRAL AREA</t>
  </si>
  <si>
    <t>TRI-COUNTY</t>
  </si>
  <si>
    <t>BELGRADE-BROOTEN-ELR</t>
  </si>
  <si>
    <t>G.F.W.</t>
  </si>
  <si>
    <t>A.C.G.C.</t>
  </si>
  <si>
    <t>LESUEUR-HENDERSO</t>
  </si>
  <si>
    <t>MARTIN COUNTY</t>
  </si>
  <si>
    <t>NORMAN CTY WEST</t>
  </si>
  <si>
    <t xml:space="preserve">BIRD ISLAND-OLIVIA-LAKE LILLIAN    </t>
  </si>
  <si>
    <t>GRANADA HUNTLEY-</t>
  </si>
  <si>
    <t>EAST CENTRAL</t>
  </si>
  <si>
    <t>WIN-E-MAC</t>
  </si>
  <si>
    <t>GREENBUSH-MIDDLE RIV</t>
  </si>
  <si>
    <t>HOWARD LAKE-WAVERLY-WINSTED</t>
  </si>
  <si>
    <t>PIPESTONE-JASPER</t>
  </si>
  <si>
    <t>MESABI EAST</t>
  </si>
  <si>
    <t>FAIRMONT AREA SCHOOLS</t>
  </si>
  <si>
    <t>LONG PRAIRIE-GREY EA</t>
  </si>
  <si>
    <t>CEDAR MOUNTAIN</t>
  </si>
  <si>
    <t>EAGLE BEND-CLARISSA</t>
  </si>
  <si>
    <t>MORRIS AREA PUBLIC SCHOOLS</t>
  </si>
  <si>
    <t>ZUMBROTA-MAZEPPA</t>
  </si>
  <si>
    <t>JANESVILLE-WALDO</t>
  </si>
  <si>
    <t>LAC QUI PARLE</t>
  </si>
  <si>
    <t>ADA-BORUP</t>
  </si>
  <si>
    <t>STEPHEN-ARGYLE</t>
  </si>
  <si>
    <t>GLENCOE-SILVER LAKE</t>
  </si>
  <si>
    <t>BLUE EARTH-DELAVAN-ELMORE</t>
  </si>
  <si>
    <t>RED ROCK CENTRAL</t>
  </si>
  <si>
    <t>GLENVILLE-EMMONS</t>
  </si>
  <si>
    <t>CLINTON-GRACEVILLE-BEARDSLEY</t>
  </si>
  <si>
    <t>LAKE PARK-AUDUBON</t>
  </si>
  <si>
    <t>RENVILLE CTY WEST</t>
  </si>
  <si>
    <t>JACKSON COUNTY CENTRAL</t>
  </si>
  <si>
    <t>REDWOOD AREA SCHOOLS</t>
  </si>
  <si>
    <t>WESTBROOK-WALNUT GROVE</t>
  </si>
  <si>
    <t>PLAINVIEW-ELGIN-MILLVILLE</t>
  </si>
  <si>
    <t>RTR</t>
  </si>
  <si>
    <t>ORTONVILLE</t>
  </si>
  <si>
    <t>TRACY-BALATON</t>
  </si>
  <si>
    <t>TRI-CITY UNITED</t>
  </si>
  <si>
    <t>RED LAKE COUNTY CENTRAL PUBLIC SCHOOLS</t>
  </si>
  <si>
    <t>ROUND LAKE-BREWSTER PUBLIC SCHOOLS</t>
  </si>
  <si>
    <t>BRANDON-EVANSVILLE PUBLIC SCHOOLS</t>
  </si>
  <si>
    <t>NEW REFERENDUM GROWTH</t>
  </si>
  <si>
    <t>CFL V DST EST</t>
  </si>
  <si>
    <t>CITY ACADEMY</t>
  </si>
  <si>
    <t>BLUFFVIEW MONTESSORI</t>
  </si>
  <si>
    <t>NEW HEIGHTS SCHOOL, INC.</t>
  </si>
  <si>
    <t>CEDAR RIVERSIDE COMMUNITY SCHOOL</t>
  </si>
  <si>
    <t>METRO DEAF SCH &amp; MN NORTH STAR ACAD</t>
  </si>
  <si>
    <t>SKILLS FOR TOMORROW CHARTER SCHOOL</t>
  </si>
  <si>
    <t>MINNESOTA NEW COUNTRY SCHOOL</t>
  </si>
  <si>
    <t>PACT CHARTER SCHOOL</t>
  </si>
  <si>
    <t>NEW VISIONS CHARTER SCHOOL</t>
  </si>
  <si>
    <t>EMILY CHARTER SCHOOL</t>
  </si>
  <si>
    <t>COMMUNITY OF PEACE ACADEMY</t>
  </si>
  <si>
    <t>WORLD LEARNER CHARTER SCHOOL</t>
  </si>
  <si>
    <t>MINNESOTA TRANSITIONS CHARTER SCH</t>
  </si>
  <si>
    <t>ACHIEVE LANGUAGE ACADEMY</t>
  </si>
  <si>
    <t>ST. PAUL FAMILY LEARN</t>
  </si>
  <si>
    <t>DULUTH PUBLIC SCHOOLS ACADEMY</t>
  </si>
  <si>
    <t>VILLAGE SCHOOL OF NOR</t>
  </si>
  <si>
    <t>CYBER VILLAGE ACADEMY</t>
  </si>
  <si>
    <t>E.C.H.O. CHARTER SCHOOL</t>
  </si>
  <si>
    <t>HIGHER GROUND ACADEMY</t>
  </si>
  <si>
    <t>ECI' NOMPA WOONSPE</t>
  </si>
  <si>
    <t>NEW SPIRIT SCHOOL</t>
  </si>
  <si>
    <t>ODYSSEY ACADEMY</t>
  </si>
  <si>
    <t>JENNINGS COMMUNITY LEARNING CENTER</t>
  </si>
  <si>
    <t>HARVEST PREP SCHOOL/SEED ACADEMY</t>
  </si>
  <si>
    <t>CONCORDIA CREATIVE LEARNING ACADEMY</t>
  </si>
  <si>
    <t>FACE TO FACE ACADEMY</t>
  </si>
  <si>
    <t>SOJOURNER TRUTH ACADEMY</t>
  </si>
  <si>
    <t>HIGH SCHOOL FOR RECORDING ARTS</t>
  </si>
  <si>
    <t>MARTIN HUGHES CHARTER</t>
  </si>
  <si>
    <t>TWIN CITIES ACADEMY</t>
  </si>
  <si>
    <t>MATH &amp; SCIENCE ACADEMY</t>
  </si>
  <si>
    <t>HEART OF THE EARTH CHARTER</t>
  </si>
  <si>
    <t>LAKES AREA CHARTER SCHOOL</t>
  </si>
  <si>
    <t>LAKE SUPERIOR HIGH SCHOOL</t>
  </si>
  <si>
    <t>GREAT RIVER EDUCATION CENTER</t>
  </si>
  <si>
    <t>NORTHWEST PASSAGE HIGH SCHOOL</t>
  </si>
  <si>
    <t>LAFAYETTE PUBLIC CHARTER SCHOOL</t>
  </si>
  <si>
    <t>HANSKA CHARTER SCHOOL</t>
  </si>
  <si>
    <t>FOUR DIRECTIONS CHARTER SCHOOLS</t>
  </si>
  <si>
    <t>NORTH LAKES ACADEMY</t>
  </si>
  <si>
    <t>LACRESCENT MONTESSORI ACADEMY</t>
  </si>
  <si>
    <t>NERSTRAND CHARTER SCHOOL</t>
  </si>
  <si>
    <t>ROCHESTER OFF-CAMPUS CHARTER HIGH</t>
  </si>
  <si>
    <t>EL COLEGIO CHARTER SCHOOL</t>
  </si>
  <si>
    <t>SCHOOLCRAFT LEARNING COMMUNITY CHTR</t>
  </si>
  <si>
    <t>CROSSLAKE COMMUNITY CHARTER SCHOOL</t>
  </si>
  <si>
    <t>MEXICA MULTICULTURAL</t>
  </si>
  <si>
    <t>STUDIO ACADEMY CHARTER SCHOOL</t>
  </si>
  <si>
    <t>FAMILY ACADEMY CHARTE</t>
  </si>
  <si>
    <t>RIVERWAY LEARNING COMMUNITY CHTR</t>
  </si>
  <si>
    <t>MINNESOTA BUSINESS AC</t>
  </si>
  <si>
    <t>RIVERBEND ACADEMY</t>
  </si>
  <si>
    <t>AURORA CHARTER SCHOOL</t>
  </si>
  <si>
    <t>EXCELL ACADEMY CHARTER</t>
  </si>
  <si>
    <t>MN INSTITUTE OF TECHN</t>
  </si>
  <si>
    <t>HOPE COMMUNITY ACADEMY</t>
  </si>
  <si>
    <t>NATIVE ARTS CHARTER S</t>
  </si>
  <si>
    <t>YANKTON COUNTRY CHARTER SCHOOL</t>
  </si>
  <si>
    <t>ACADEMIA CESAR CHAVEZ CHARTER SCH.</t>
  </si>
  <si>
    <t>AFSA HIGH SCHOOL</t>
  </si>
  <si>
    <t>AVALON SCHOOL</t>
  </si>
  <si>
    <t>MN ACADEMY OF TECHNOL</t>
  </si>
  <si>
    <t>TWIN CITIES INTERNATIONAL ELEM SCH.</t>
  </si>
  <si>
    <t>MN INTERNATIONAL MIDDLE CHARTER</t>
  </si>
  <si>
    <t>FRIENDSHIP ACDMY OF FINE ARTS CHTR.</t>
  </si>
  <si>
    <t>PILLAGER AREA CHARTER SCHOOL</t>
  </si>
  <si>
    <t>DISCOVERY PUBLIC SCHOOL FARIBAULT</t>
  </si>
  <si>
    <t>BLUESKY CHARTER SCHOOL</t>
  </si>
  <si>
    <t>RIDGEWAY COMMUNITY SCHOOL</t>
  </si>
  <si>
    <t>NORTH SHORE COMMUNITY SCHOOL</t>
  </si>
  <si>
    <t>HARBOR CITY INTERNATIONAL CHARTER</t>
  </si>
  <si>
    <t>WOODSON INSTITUTE FOR EXCELLENCE CH</t>
  </si>
  <si>
    <t>SAGE ACADEMY CHARTER SCHOOL</t>
  </si>
  <si>
    <t>URBAN ACADEMY CHARTER SCHOOL</t>
  </si>
  <si>
    <t>NEW CITY SCHOOL</t>
  </si>
  <si>
    <t>PRAIRIE CREEK COMMUNITY SCHOOL</t>
  </si>
  <si>
    <t>ARTECH</t>
  </si>
  <si>
    <t>WATERSHED HIGH SCHOOL</t>
  </si>
  <si>
    <t>NEW CENTURY CHARTER SCHOOL</t>
  </si>
  <si>
    <t>TRIO WOLF CREEK DISTANCE LEARNING</t>
  </si>
  <si>
    <t>CHIRON CHARTER SCHOOL</t>
  </si>
  <si>
    <t>PARTNERSHIP ACADEMY, INC.</t>
  </si>
  <si>
    <t>NOVA CLASSICAL ACADEMY</t>
  </si>
  <si>
    <t>TAREK IBN ZIYAD ACADEMY</t>
  </si>
  <si>
    <t>GREAT EXPECTATIONS</t>
  </si>
  <si>
    <t>MINNESOTA NORTH STAR ACADEMY</t>
  </si>
  <si>
    <t>MINNESOTA INTERNSHIP CENTER</t>
  </si>
  <si>
    <t>HMONG COLLEGE PREP ACADEMY</t>
  </si>
  <si>
    <t>PALADIN ACADEMY</t>
  </si>
  <si>
    <t>GREAT RIVER SCHOOL</t>
  </si>
  <si>
    <t>TREKNORTH HIGH SCHOOL</t>
  </si>
  <si>
    <t>VOYAGEURS EXPEDITIONARY</t>
  </si>
  <si>
    <t>GENERAL JOHN VESSEY JR LEADERSHIP</t>
  </si>
  <si>
    <t>SOBRIETY HIGH</t>
  </si>
  <si>
    <t>MAIN STREET SCHOOL PERFORMING ARTS</t>
  </si>
  <si>
    <t>AUGSBURG FAIRVIEW ACADEMY</t>
  </si>
  <si>
    <t>ST PAUL CONSERVATORY PERFORMING ART</t>
  </si>
  <si>
    <t>FRASER ACADEMY</t>
  </si>
  <si>
    <t>PRESTIGE ACADEMY CHARTER SCHOOL</t>
  </si>
  <si>
    <t>MINNEAPOLIS ACADEMY CHARTER SCHOOL</t>
  </si>
  <si>
    <t>LAKES INTERNATIONAL LANGUAGE ADMY</t>
  </si>
  <si>
    <t>KALEIDOSCOPE CHARTER SCHOOL</t>
  </si>
  <si>
    <t>RIVER HEIGHTS CHARTER SCHOOL</t>
  </si>
  <si>
    <t>ST. CROIX PREPARATORY ACADEMY</t>
  </si>
  <si>
    <t>UBAH MEDICAL ACADEMY CHARTER SCHOOL</t>
  </si>
  <si>
    <t>EAGLE RIDGE ACADEMY CHARTER SCHOOL</t>
  </si>
  <si>
    <t>DAKOTA AREA COMMUNITY CHARTER SCH</t>
  </si>
  <si>
    <t>BEACON ACADEMY</t>
  </si>
  <si>
    <t>WORTHINGTON AREA LANGUAGE ACADEMY</t>
  </si>
  <si>
    <t>PRAIRIE SEEDS ACADEMY</t>
  </si>
  <si>
    <t>TEAM ACADEMY</t>
  </si>
  <si>
    <t>COLONEL CHARLES D. YO</t>
  </si>
  <si>
    <t>MARY MCVOY EARLY LITE</t>
  </si>
  <si>
    <t>LIGHTHOUSE ACADEMY OF NATIONS</t>
  </si>
  <si>
    <t>TWIN CITIES ACADEMY HIGH SCHOOL</t>
  </si>
  <si>
    <t>BEACON PREPARATORY SCHOOL</t>
  </si>
  <si>
    <t>ROCHESTER MATH &amp; SCIENCE ACADEMY</t>
  </si>
  <si>
    <t>SOUL ACADEMY CHARTER SCHOOL</t>
  </si>
  <si>
    <t>SWAN RIVER MONTESSORI CHARTER SCH</t>
  </si>
  <si>
    <t>MILROY AREA CHARTER SCHOOL</t>
  </si>
  <si>
    <t>LOVEWORKS ACADEMY FOR ARTS</t>
  </si>
  <si>
    <t>YINGHUA ACADEMY</t>
  </si>
  <si>
    <t>PAIDEIA ACADEMY CHARTER SCHOOL</t>
  </si>
  <si>
    <t>STRIDE ACADEMY CHARTER SCHOOL</t>
  </si>
  <si>
    <t>NEW MILLENNIUM ACADEMY CHARTER SCH</t>
  </si>
  <si>
    <t>GREEN ISLE COMMUNITY SCHOOL</t>
  </si>
  <si>
    <t>BIRCH GROVE COMMUNITY SCHOOL</t>
  </si>
  <si>
    <t>NORTHERN LIGHTS COMMUNITY SCHOOL</t>
  </si>
  <si>
    <t>ACADEMY OF BIOSCIENCES</t>
  </si>
  <si>
    <t>CYGNUS ACADEMY</t>
  </si>
  <si>
    <t>MINNESOTA ONLINE HIGH SCHOOL</t>
  </si>
  <si>
    <t>EDVISIONS OFF CAMPUS SCHOOL</t>
  </si>
  <si>
    <t>TWIN CITIES GERMAN IMMERSION CHRTR</t>
  </si>
  <si>
    <t>DUGSI ACADEMY</t>
  </si>
  <si>
    <t>RECOVERY SCHOOL OF SOUTHERN MN</t>
  </si>
  <si>
    <t>NAYTAHWAUSH COMMUNITY SCHOOL</t>
  </si>
  <si>
    <t>NEW SALEM ACADEMY</t>
  </si>
  <si>
    <t>DAKOTA ACADEMY</t>
  </si>
  <si>
    <t>SEVEN HILLS CLASSICAL ACADEMY</t>
  </si>
  <si>
    <t>SPECTRUM HIGH SCHOOL</t>
  </si>
  <si>
    <t>NEW DISCOVERIES MONTESSORI ACADEMY</t>
  </si>
  <si>
    <t>SOUTHSIDE FAMILY CHARTER SCHOOL</t>
  </si>
  <si>
    <t>LEARNING FOR LEADERSHIP CHARTER</t>
  </si>
  <si>
    <t>LAURA JEFFREY ACADEMY CHARTER</t>
  </si>
  <si>
    <t>ELOM INTERNATIONAL SCHOOL</t>
  </si>
  <si>
    <t>EAST RANGE ACADEMY OF TECH &amp;SCIENCE</t>
  </si>
  <si>
    <t>INTERNATIONAL SPANISH LANGUAGE ACAD</t>
  </si>
  <si>
    <t>GLACIAL HILLS ELEMENTARY</t>
  </si>
  <si>
    <t>STONEBRIDGE COMMUNITY SCHOOL</t>
  </si>
  <si>
    <t>HIAWATHA LEADERSHIP ACADEMY</t>
  </si>
  <si>
    <t>NOBLE ACADEMY</t>
  </si>
  <si>
    <t>CLARKFIELD CHARTER SCHOOL</t>
  </si>
  <si>
    <t>DUNWOODY ACADEMY</t>
  </si>
  <si>
    <t>PINE GROVE LEADERSHIP ACADEMY</t>
  </si>
  <si>
    <t>LONG TIENG ACADEMY</t>
  </si>
  <si>
    <t>WAYNEWOOD SCHOOL OF HOPE</t>
  </si>
  <si>
    <t>MINISINAAKWAANG LEADERSHIP ACADEMY</t>
  </si>
  <si>
    <t>LINCOLN INTERNATIONAL SCHOOL</t>
  </si>
  <si>
    <t>EMILY O. GOODRIDGE-GREY ACCELERATED</t>
  </si>
  <si>
    <t>COMMUNITY SCHOOL OF EXCELLENCE</t>
  </si>
  <si>
    <t>QUEST ACADEMY</t>
  </si>
  <si>
    <t>LIONSGATE ACADEMY</t>
  </si>
  <si>
    <t>ASPEN ACADEMY</t>
  </si>
  <si>
    <t>DAVINCI ACADEMY</t>
  </si>
  <si>
    <t>GLOBAL ACADEMY</t>
  </si>
  <si>
    <t>MICHAEL FROME ACADEMY</t>
  </si>
  <si>
    <t>COLOGNE ACADEMY</t>
  </si>
  <si>
    <t>BRIGHT WATER ELEMENTARY</t>
  </si>
  <si>
    <t>RIVER'S EDGE ACADEMY</t>
  </si>
  <si>
    <t>KIPP MINNESOTA CHARTER SCHOOL</t>
  </si>
  <si>
    <t>BEST ACADEMY</t>
  </si>
  <si>
    <t>COLLEGE PREPARATORY ELEMENTARY</t>
  </si>
  <si>
    <t>CANNON RIVER STEM SCHOOL</t>
  </si>
  <si>
    <t>OSHKI OGIMAAG CHARTER SCHOOL</t>
  </si>
  <si>
    <t>RICHARD ALLEN MATH&amp;SCIENCE ACADEMY</t>
  </si>
  <si>
    <t>ACADEMY OF NORTH MINNEAPOLIS</t>
  </si>
  <si>
    <t>DISCOVERY WOODS MONTESSORI SCHOOL</t>
  </si>
  <si>
    <t>PARNASSUS</t>
  </si>
  <si>
    <t>STEP ACADEMY</t>
  </si>
  <si>
    <t>CORNERSTONE</t>
  </si>
  <si>
    <t>MINNESOTA SCHOOL OF SCIENCE</t>
  </si>
  <si>
    <t>MINNEAPOLIS COLLEGE PREPARATORY</t>
  </si>
  <si>
    <t>ROCHESTER STEM ACADEMY</t>
  </si>
  <si>
    <t>HENNEPIN ELEMENTARY SCHOOL</t>
  </si>
  <si>
    <t>VERMILION COUNTRY SCHOOL</t>
  </si>
  <si>
    <t>NASHA SHKOLA CHARTER SCHOOL</t>
  </si>
  <si>
    <t>THE MASTERY SCHOOL</t>
  </si>
  <si>
    <t>UPPER MISSISSIPPI ACADEMY</t>
  </si>
  <si>
    <t>ARCH ACADEMY</t>
  </si>
  <si>
    <t>WEST SIDE SUMMIT</t>
  </si>
  <si>
    <t>PRODEO ACADEMY</t>
  </si>
  <si>
    <t>WEST CONCORD PUBLIC CHARTER SCHOOL</t>
  </si>
  <si>
    <t>VENTURE ACADEMY</t>
  </si>
  <si>
    <t>CFL V CHT EST</t>
  </si>
  <si>
    <t>MN STATE ACADEMIES</t>
  </si>
  <si>
    <t>SPED OTHER</t>
  </si>
  <si>
    <t>MPLS &amp; ST PAUL</t>
  </si>
  <si>
    <t>OTHER METRO, INNER</t>
  </si>
  <si>
    <t>OTHER METRO, OUTER</t>
  </si>
  <si>
    <t>NONMET&gt;=2K</t>
  </si>
  <si>
    <t>NONMET 1K-2K</t>
  </si>
  <si>
    <t>NONMET &lt; 1K</t>
  </si>
  <si>
    <t>DISTRICT TOTAL</t>
  </si>
  <si>
    <t>CHARTER TOTAL</t>
  </si>
  <si>
    <t>STATE TOTAL</t>
  </si>
  <si>
    <t>English</t>
  </si>
  <si>
    <t>Old Law</t>
  </si>
  <si>
    <t>Other</t>
  </si>
  <si>
    <t>General</t>
  </si>
  <si>
    <t>New Law</t>
  </si>
  <si>
    <t>FY 2015 General Revenue Changes From 2014 Legislation</t>
  </si>
  <si>
    <t>Tchr Develop</t>
  </si>
  <si>
    <t>Transportation sparsity</t>
  </si>
  <si>
    <t>Declining pupil</t>
  </si>
  <si>
    <t>Compensatory</t>
  </si>
  <si>
    <t>Small Schools</t>
  </si>
  <si>
    <t>Limited English</t>
  </si>
  <si>
    <t>Total general revenue</t>
  </si>
  <si>
    <t>Other general revenue</t>
  </si>
  <si>
    <t>Average Daily Membership (ADM)</t>
  </si>
  <si>
    <t>Q Comp/teacher dev and improv</t>
  </si>
  <si>
    <t xml:space="preserve"> = district number</t>
  </si>
  <si>
    <t>GENERAL EDUCATION REVENUE, FY 2015</t>
  </si>
  <si>
    <t>Q Comp Plus</t>
  </si>
  <si>
    <t>Other general education</t>
  </si>
  <si>
    <t>General revenue Per ADM</t>
  </si>
  <si>
    <t>Total general education + Q Comp</t>
  </si>
  <si>
    <t>HF 3172 Conference Bill Totals</t>
  </si>
  <si>
    <t>House Research Estimates</t>
  </si>
  <si>
    <t>May 21, 2014</t>
  </si>
  <si>
    <t>School</t>
  </si>
  <si>
    <t>Dist.</t>
  </si>
  <si>
    <t>ECFE</t>
  </si>
  <si>
    <t>Readiness</t>
  </si>
  <si>
    <t>Sch Lunch</t>
  </si>
  <si>
    <t xml:space="preserve">Increase </t>
  </si>
  <si>
    <t>Conference</t>
  </si>
  <si>
    <t>No.</t>
  </si>
  <si>
    <t>District Name</t>
  </si>
  <si>
    <t>Base</t>
  </si>
  <si>
    <t>Base Total</t>
  </si>
  <si>
    <t>Conf-Base</t>
  </si>
  <si>
    <t>House - Base</t>
  </si>
  <si>
    <t>Increase</t>
  </si>
  <si>
    <t>House</t>
  </si>
  <si>
    <t>Total, All Districts</t>
  </si>
  <si>
    <t>Aitkin</t>
  </si>
  <si>
    <t>Minneapolis</t>
  </si>
  <si>
    <t>Hill City</t>
  </si>
  <si>
    <t>Mcgregor</t>
  </si>
  <si>
    <t>South St. Paul</t>
  </si>
  <si>
    <t>Anoka-Hennepin</t>
  </si>
  <si>
    <t>Centennial</t>
  </si>
  <si>
    <t>Columbia Heights</t>
  </si>
  <si>
    <t>Fridley</t>
  </si>
  <si>
    <t>St. Francis</t>
  </si>
  <si>
    <t>Spring Lake Park</t>
  </si>
  <si>
    <t>Detroit Lakes</t>
  </si>
  <si>
    <t>Frazee</t>
  </si>
  <si>
    <t>Pine Point</t>
  </si>
  <si>
    <t>Bemidji</t>
  </si>
  <si>
    <t>Blackduck</t>
  </si>
  <si>
    <t>Kelliher</t>
  </si>
  <si>
    <t>Red Lake</t>
  </si>
  <si>
    <t>Sauk Rapids-Rice</t>
  </si>
  <si>
    <t>Foley</t>
  </si>
  <si>
    <t>St. Clair</t>
  </si>
  <si>
    <t>Mankato</t>
  </si>
  <si>
    <t>Comfrey</t>
  </si>
  <si>
    <t>Sleepy Eye</t>
  </si>
  <si>
    <t>Springfield</t>
  </si>
  <si>
    <t>New Ulm</t>
  </si>
  <si>
    <t>Barnum</t>
  </si>
  <si>
    <t>Carlton</t>
  </si>
  <si>
    <t>Cloquet</t>
  </si>
  <si>
    <t>Cromwell</t>
  </si>
  <si>
    <t>Moose Lake</t>
  </si>
  <si>
    <t>Esko</t>
  </si>
  <si>
    <t>Wrenshall</t>
  </si>
  <si>
    <t>Central</t>
  </si>
  <si>
    <t>Waconia</t>
  </si>
  <si>
    <t>Watertown-Mayer</t>
  </si>
  <si>
    <t>Eastern Carver County</t>
  </si>
  <si>
    <t>Walker-Hackensack-Akeley</t>
  </si>
  <si>
    <t>Cass Lake</t>
  </si>
  <si>
    <t>Pillager</t>
  </si>
  <si>
    <t>Northland Community</t>
  </si>
  <si>
    <t>Montevideo</t>
  </si>
  <si>
    <t>North Branch</t>
  </si>
  <si>
    <t>Rush City</t>
  </si>
  <si>
    <t>Barnesville</t>
  </si>
  <si>
    <t>Hawley</t>
  </si>
  <si>
    <t>Moorhead</t>
  </si>
  <si>
    <t>Mn State Academies</t>
  </si>
  <si>
    <t>Mn State Academies Transfer</t>
  </si>
  <si>
    <t>Bagley</t>
  </si>
  <si>
    <t>Cook County</t>
  </si>
  <si>
    <t>Mountain Lake</t>
  </si>
  <si>
    <t>Windom</t>
  </si>
  <si>
    <t>Brainerd</t>
  </si>
  <si>
    <t>Crosby-Ironton</t>
  </si>
  <si>
    <t>Pequot Lakes</t>
  </si>
  <si>
    <t>Burnsville</t>
  </si>
  <si>
    <t>Farmington</t>
  </si>
  <si>
    <t>Lakeville</t>
  </si>
  <si>
    <t>Randolph</t>
  </si>
  <si>
    <t>Rosemount-Apple Valley-Eagan</t>
  </si>
  <si>
    <t>West St. Paul-Mendota Hts.-Eagan</t>
  </si>
  <si>
    <t>Inver Grove Heights</t>
  </si>
  <si>
    <t>Hastings</t>
  </si>
  <si>
    <t>Hayfield</t>
  </si>
  <si>
    <t>Kasson-Mantorville</t>
  </si>
  <si>
    <t>Alexandria</t>
  </si>
  <si>
    <t>Osakis</t>
  </si>
  <si>
    <t>Chatfield</t>
  </si>
  <si>
    <t>Lanesboro</t>
  </si>
  <si>
    <t>Mabel-Canton</t>
  </si>
  <si>
    <t>Rushford-Peterson</t>
  </si>
  <si>
    <t>Albert Lea</t>
  </si>
  <si>
    <t>Alden-Conger</t>
  </si>
  <si>
    <t>Cannon Falls</t>
  </si>
  <si>
    <t>Goodhue</t>
  </si>
  <si>
    <t>Pine Island</t>
  </si>
  <si>
    <t>Red Wing</t>
  </si>
  <si>
    <t>Ashby</t>
  </si>
  <si>
    <t>Herman-Norcross</t>
  </si>
  <si>
    <t>Hopkins</t>
  </si>
  <si>
    <t>Bloomington</t>
  </si>
  <si>
    <t>Eden Prairie</t>
  </si>
  <si>
    <t>Edina</t>
  </si>
  <si>
    <t>Minnetonka</t>
  </si>
  <si>
    <t>Westonka</t>
  </si>
  <si>
    <t>Orono</t>
  </si>
  <si>
    <t>Osseo</t>
  </si>
  <si>
    <t>Richfield</t>
  </si>
  <si>
    <t>Robbinsdale</t>
  </si>
  <si>
    <t>St. Anthony-New Brighton</t>
  </si>
  <si>
    <t>St. Louis Park</t>
  </si>
  <si>
    <t>Wayzata</t>
  </si>
  <si>
    <t>Brooklyn Center</t>
  </si>
  <si>
    <t>Houston</t>
  </si>
  <si>
    <t>Spring Grove</t>
  </si>
  <si>
    <t>Caledonia</t>
  </si>
  <si>
    <t>Lacrescent-Hokah</t>
  </si>
  <si>
    <t>Laporte</t>
  </si>
  <si>
    <t>Nevis</t>
  </si>
  <si>
    <t>Park Rapids</t>
  </si>
  <si>
    <t>Braham</t>
  </si>
  <si>
    <t>Greenway</t>
  </si>
  <si>
    <t>Deer River</t>
  </si>
  <si>
    <t>Grand Rapids</t>
  </si>
  <si>
    <t>Nashwauk-Keewatin</t>
  </si>
  <si>
    <t>Franconia</t>
  </si>
  <si>
    <t>Heron Lake-Okabena</t>
  </si>
  <si>
    <t>Mora</t>
  </si>
  <si>
    <t>Ogilvie</t>
  </si>
  <si>
    <t>New London-Spicer</t>
  </si>
  <si>
    <t>Willmar</t>
  </si>
  <si>
    <t>Lancaster</t>
  </si>
  <si>
    <t>International Falls</t>
  </si>
  <si>
    <t>Littlefork-Big Falls</t>
  </si>
  <si>
    <t>South Koochiching</t>
  </si>
  <si>
    <t>Dawson-Boyd</t>
  </si>
  <si>
    <t>Lake Superior</t>
  </si>
  <si>
    <t>Lake Of The Woods</t>
  </si>
  <si>
    <t>Cleveland</t>
  </si>
  <si>
    <t>Hendricks</t>
  </si>
  <si>
    <t>Ivanhoe</t>
  </si>
  <si>
    <t>Lake Benton</t>
  </si>
  <si>
    <t>Marshall</t>
  </si>
  <si>
    <t>Minneota</t>
  </si>
  <si>
    <t>Lynd</t>
  </si>
  <si>
    <t>Hutchinson</t>
  </si>
  <si>
    <t>Lester Prairie</t>
  </si>
  <si>
    <t>Mahnomen</t>
  </si>
  <si>
    <t>Waubun-Ogema-White Earth</t>
  </si>
  <si>
    <t>Marshall County Central</t>
  </si>
  <si>
    <t>Grygla</t>
  </si>
  <si>
    <t>Truman</t>
  </si>
  <si>
    <t>Eden Valley-Watkins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</si>
  <si>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</si>
  <si>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</si>
  <si>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</si>
  <si>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</si>
  <si>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</si>
  <si>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</si>
  <si>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</si>
  <si>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</si>
  <si>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</t>
  </si>
  <si>
    <t>Upsala</t>
  </si>
  <si>
    <t>Austin</t>
  </si>
  <si>
    <t>Grand Meadow</t>
  </si>
  <si>
    <t>Lyle</t>
  </si>
  <si>
    <t>Leroy-Ostrander</t>
  </si>
  <si>
    <t>Southland</t>
  </si>
  <si>
    <t>Fulda</t>
  </si>
  <si>
    <t>Nicollet</t>
  </si>
  <si>
    <t>St. Peter</t>
  </si>
  <si>
    <t>Adrian</t>
  </si>
  <si>
    <t>Ellsworth</t>
  </si>
  <si>
    <t>Worthington</t>
  </si>
  <si>
    <t>Byron</t>
  </si>
  <si>
    <t>Dover-Eyota</t>
  </si>
  <si>
    <t>Stewartville</t>
  </si>
  <si>
    <t>Rochester</t>
  </si>
  <si>
    <t>Battle Lake</t>
  </si>
  <si>
    <t>Fergus Falls</t>
  </si>
  <si>
    <t>Henning</t>
  </si>
  <si>
    <t>Parkers Prairie</t>
  </si>
  <si>
    <t>Pelican Rapids</t>
  </si>
  <si>
    <t>Perham-Dent</t>
  </si>
  <si>
    <t>Underwood</t>
  </si>
  <si>
    <t>New York Mills</t>
  </si>
  <si>
    <t>Goodridge</t>
  </si>
  <si>
    <t>Thief River Falls</t>
  </si>
  <si>
    <t>Willow River</t>
  </si>
  <si>
    <t>Pine City</t>
  </si>
  <si>
    <t>Edgerton</t>
  </si>
  <si>
    <t>Climax-Shelly</t>
  </si>
  <si>
    <t>Crookston</t>
  </si>
  <si>
    <t>East Grand Forks</t>
  </si>
  <si>
    <t>Fertile-Beltrami</t>
  </si>
  <si>
    <t>Fisher</t>
  </si>
  <si>
    <t>Fosston</t>
  </si>
  <si>
    <t>Mounds View</t>
  </si>
  <si>
    <t>North St. Paul-Maplewood</t>
  </si>
  <si>
    <t>Roseville</t>
  </si>
  <si>
    <t>White Bear Lake</t>
  </si>
  <si>
    <t>St. Paul</t>
  </si>
  <si>
    <t>Red Lake Falls</t>
  </si>
  <si>
    <t>Milroy</t>
  </si>
  <si>
    <t>Wabasso</t>
  </si>
  <si>
    <t>Faribault</t>
  </si>
  <si>
    <t>Northfield</t>
  </si>
  <si>
    <t>Hills-Beaver Creek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</si>
  <si>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</si>
  <si>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</si>
  <si>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</si>
  <si>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</si>
  <si>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</si>
  <si>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</si>
  <si>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</si>
  <si>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</si>
  <si>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</si>
  <si>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</si>
  <si>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</si>
  <si>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</t>
  </si>
  <si>
    <t>Mountain Iron-Buhl</t>
  </si>
  <si>
    <t>Belle Plaine</t>
  </si>
  <si>
    <t>Jordan</t>
  </si>
  <si>
    <t>Prior Lake-Savage Area</t>
  </si>
  <si>
    <t>Shakopee</t>
  </si>
  <si>
    <t>New Prague Area</t>
  </si>
  <si>
    <t>Becker</t>
  </si>
  <si>
    <t>Big Lake</t>
  </si>
  <si>
    <t>Elk River</t>
  </si>
  <si>
    <t>Holdingford</t>
  </si>
  <si>
    <t>Kimball</t>
  </si>
  <si>
    <t>Melrose</t>
  </si>
  <si>
    <t>Paynesville</t>
  </si>
  <si>
    <t>St. Cloud</t>
  </si>
  <si>
    <t>Sauk Centre</t>
  </si>
  <si>
    <t>Albany</t>
  </si>
  <si>
    <t>Sartell-St. Stephen</t>
  </si>
  <si>
    <t>Rocori</t>
  </si>
  <si>
    <t>Blooming Prairie</t>
  </si>
  <si>
    <t>Owatonna</t>
  </si>
  <si>
    <t>Medford</t>
  </si>
  <si>
    <t>Hancock</t>
  </si>
  <si>
    <t>Chokio-Alberta</t>
  </si>
  <si>
    <t>Kerkhoven-Murdock-Sunburg</t>
  </si>
  <si>
    <t>Benson</t>
  </si>
  <si>
    <t>Bertha-Hewitt</t>
  </si>
  <si>
    <t>Browerville</t>
  </si>
  <si>
    <t>Browns Valley</t>
  </si>
  <si>
    <t>Wheaton Area</t>
  </si>
  <si>
    <t>Wabasha-Kellogg</t>
  </si>
  <si>
    <t>Lake City</t>
  </si>
  <si>
    <t>Prinsburg</t>
  </si>
  <si>
    <t>Verndale</t>
  </si>
  <si>
    <t>Sebeka</t>
  </si>
  <si>
    <t>Menahga</t>
  </si>
  <si>
    <t>Waseca</t>
  </si>
  <si>
    <t>Forest Lake</t>
  </si>
  <si>
    <t>Mahtomedi</t>
  </si>
  <si>
    <t>South Washington County</t>
  </si>
  <si>
    <t>Stillwater Area</t>
  </si>
  <si>
    <t>Butterfield</t>
  </si>
  <si>
    <t>Madelia</t>
  </si>
  <si>
    <t>St. James</t>
  </si>
  <si>
    <t>Breckenridge</t>
  </si>
  <si>
    <t>Rothsay</t>
  </si>
  <si>
    <t>Campbell-Tintah</t>
  </si>
  <si>
    <t>Lewiston-Altura</t>
  </si>
  <si>
    <t>St. Charles</t>
  </si>
  <si>
    <t>Winona Area</t>
  </si>
  <si>
    <t>Annandale</t>
  </si>
  <si>
    <t>Buffalo-Hanover-Montrose</t>
  </si>
  <si>
    <t>Delano</t>
  </si>
  <si>
    <t>Maple Lake</t>
  </si>
  <si>
    <t>Monticello</t>
  </si>
  <si>
    <t>Rockford</t>
  </si>
  <si>
    <t>St. Michael-Albertville</t>
  </si>
  <si>
    <t>Canby</t>
  </si>
  <si>
    <t>Cambridge-Isanti</t>
  </si>
  <si>
    <t>Milaca</t>
  </si>
  <si>
    <t>Ulen-Hitterdal</t>
  </si>
  <si>
    <t>Lake Crystal-Wellcome Memorial</t>
  </si>
  <si>
    <t>Triton</t>
  </si>
  <si>
    <t>United South Central</t>
  </si>
  <si>
    <t>Maple River</t>
  </si>
  <si>
    <t>Kingsland</t>
  </si>
  <si>
    <t>St. Louis County</t>
  </si>
  <si>
    <t>Waterville-Elysian-Morristown</t>
  </si>
  <si>
    <t>Chisago Lakes Area</t>
  </si>
  <si>
    <t>Minnewaska</t>
  </si>
  <si>
    <t>Eveleth-Gilbert</t>
  </si>
  <si>
    <t>Wadena-Deer Creek</t>
  </si>
  <si>
    <t>Buffalo Lk-Hector-Stewart</t>
  </si>
  <si>
    <t>Dilworth-Glyndon-Felton</t>
  </si>
  <si>
    <t>Hinckley-Finlayson</t>
  </si>
  <si>
    <t>Lakeview</t>
  </si>
  <si>
    <t>Nrheg</t>
  </si>
  <si>
    <t>Murray County Central</t>
  </si>
  <si>
    <t>Staples-Motley</t>
  </si>
  <si>
    <t>Kittson Central</t>
  </si>
  <si>
    <t>Kenyon-Wanamingo</t>
  </si>
  <si>
    <t>Pine River-Backus</t>
  </si>
  <si>
    <t>Warren-Alvarado-Oslo</t>
  </si>
  <si>
    <t>M.A.C.C.R.A.Y.</t>
  </si>
  <si>
    <t>Luverne</t>
  </si>
  <si>
    <t>Yellow Medicine East</t>
  </si>
  <si>
    <t>Filmore Central</t>
  </si>
  <si>
    <t>Norman County East</t>
  </si>
  <si>
    <t>Sibley East</t>
  </si>
  <si>
    <t>Clearbrook-Gonvick</t>
  </si>
  <si>
    <t>West Central Area</t>
  </si>
  <si>
    <t>Tri-County</t>
  </si>
  <si>
    <t>Belgrade-Brooten-Elrosa</t>
  </si>
  <si>
    <t>Lesueur-Henderson</t>
  </si>
  <si>
    <t>Martin County West</t>
  </si>
  <si>
    <t>Norman County West</t>
  </si>
  <si>
    <t>Bird Island-Olivia-Lake Lillian</t>
  </si>
  <si>
    <t>Granada Huntley-East Chain</t>
  </si>
  <si>
    <t>East Central</t>
  </si>
  <si>
    <t>Win-E-Mac</t>
  </si>
  <si>
    <t>Greenbush-Middle River</t>
  </si>
  <si>
    <t>Howard Lake-Waverly-Winsted</t>
  </si>
  <si>
    <t>Pipestone Area</t>
  </si>
  <si>
    <t>Mesabi East</t>
  </si>
  <si>
    <t>Fairmont Area</t>
  </si>
  <si>
    <t>Long Prairie-Grey Eagle</t>
  </si>
  <si>
    <t>Cedar Mountain</t>
  </si>
  <si>
    <t>Eagle Valley</t>
  </si>
  <si>
    <t>Morris Area Public Schools</t>
  </si>
  <si>
    <t>Zumbrota-Mazeppa</t>
  </si>
  <si>
    <t>Janesville-Waldorf-Pemberton</t>
  </si>
  <si>
    <t>Lac Qui Parle Valley</t>
  </si>
  <si>
    <t>Ada-Borup</t>
  </si>
  <si>
    <t>Stephen-Argyle Central</t>
  </si>
  <si>
    <t>Glencoe-Silver Lake</t>
  </si>
  <si>
    <t>Blue Earth Area</t>
  </si>
  <si>
    <t>Red Rock Central</t>
  </si>
  <si>
    <t>Glenville-Emmons</t>
  </si>
  <si>
    <t>Clinton-Graceville-Beardsley</t>
  </si>
  <si>
    <t>Lake Park Audubon</t>
  </si>
  <si>
    <t>Renville County West</t>
  </si>
  <si>
    <t>Jackson County Central</t>
  </si>
  <si>
    <t>Redwood Area Schools</t>
  </si>
  <si>
    <t>Westbrook-Walnut Grove</t>
  </si>
  <si>
    <t>Plainview-Elgin-Millville</t>
  </si>
  <si>
    <t>Rtr Public Schools</t>
  </si>
  <si>
    <t>Ortonville Public Schools</t>
  </si>
  <si>
    <t>Tracy Area</t>
  </si>
  <si>
    <t>Tri-City United</t>
  </si>
  <si>
    <t>Red Lake County Central Public Sch</t>
  </si>
  <si>
    <t>Round Lake-Brewster Public Schools</t>
  </si>
  <si>
    <t>Brandon-Evansville Public Schools</t>
  </si>
  <si>
    <t>New Referendum Growth</t>
  </si>
  <si>
    <t>Mde V Dst Est</t>
  </si>
  <si>
    <t>City Academy</t>
  </si>
  <si>
    <t>Bluffview Montessori</t>
  </si>
  <si>
    <t>New Heights School, Inc.</t>
  </si>
  <si>
    <t>Cedar Riverside Community</t>
  </si>
  <si>
    <t>Metro Deaf Sch &amp; North Star</t>
  </si>
  <si>
    <t>Minnesota New Country</t>
  </si>
  <si>
    <t>Pact Charter School</t>
  </si>
  <si>
    <t>New Visions</t>
  </si>
  <si>
    <t>Community Of Peace Academy</t>
  </si>
  <si>
    <t>World Learner</t>
  </si>
  <si>
    <t>Minnesota Trans</t>
  </si>
  <si>
    <t>Achieve Language Academy</t>
  </si>
  <si>
    <t>Duluth Public Schools Academy</t>
  </si>
  <si>
    <t>Cyber Village</t>
  </si>
  <si>
    <t>E.C.H.O. Charter School</t>
  </si>
  <si>
    <t>Higher Ground</t>
  </si>
  <si>
    <t>St. Paul City School</t>
  </si>
  <si>
    <t>Odyssey Academy</t>
  </si>
  <si>
    <t>Jennings Community Learning Center</t>
  </si>
  <si>
    <t>Harvest Prep School/Seed</t>
  </si>
  <si>
    <t>Concordia Creative Learning</t>
  </si>
  <si>
    <t>Face To Face</t>
  </si>
  <si>
    <t>Sojourner Truth</t>
  </si>
  <si>
    <t>High School For Recording Arts</t>
  </si>
  <si>
    <t>Twin Cities Academy</t>
  </si>
  <si>
    <t>Math &amp; Science Academy</t>
  </si>
  <si>
    <t>Lakes Area Charter School</t>
  </si>
  <si>
    <t>Northwest Passage High School</t>
  </si>
  <si>
    <t>Lafayette Public Charter School</t>
  </si>
  <si>
    <t>Four Directions</t>
  </si>
  <si>
    <t>North Lakes Academy</t>
  </si>
  <si>
    <t>Lacrescent Montessori</t>
  </si>
  <si>
    <t>Nerstrand</t>
  </si>
  <si>
    <t>Rochester Off-Campus Charter High</t>
  </si>
  <si>
    <t>El Colegio</t>
  </si>
  <si>
    <t>Schoolcraft Learning Community</t>
  </si>
  <si>
    <t>Crosslake Community</t>
  </si>
  <si>
    <t>Riverway Learning Community</t>
  </si>
  <si>
    <t>Riverbend Academy</t>
  </si>
  <si>
    <t>Aurora Charter School</t>
  </si>
  <si>
    <t>Excell Academy</t>
  </si>
  <si>
    <t>Hope Community</t>
  </si>
  <si>
    <t>Academia Cesar Chavez</t>
  </si>
  <si>
    <t>Afsa High School</t>
  </si>
  <si>
    <t>Avalon School</t>
  </si>
  <si>
    <t>Twin Cities International Elem</t>
  </si>
  <si>
    <t>Mn International Middle</t>
  </si>
  <si>
    <t>Friendship Academy Of Fine Arts</t>
  </si>
  <si>
    <t>Pillager Area Charter School</t>
  </si>
  <si>
    <t>Discovery Public School Faribault</t>
  </si>
  <si>
    <t>Bluesky</t>
  </si>
  <si>
    <t>Ridgeway Community School</t>
  </si>
  <si>
    <t>North Shore Community School</t>
  </si>
  <si>
    <t>Harbor City International</t>
  </si>
  <si>
    <t>Woodson Institute For Excellence</t>
  </si>
  <si>
    <t>Sage Academy</t>
  </si>
  <si>
    <t>Urban Academy</t>
  </si>
  <si>
    <t>New City School</t>
  </si>
  <si>
    <t>Prairie Creek Community School</t>
  </si>
  <si>
    <t>Artech</t>
  </si>
  <si>
    <t>Watershed High School</t>
  </si>
  <si>
    <t>New Century</t>
  </si>
  <si>
    <t>Trio Wolf Creek Distance Learning</t>
  </si>
  <si>
    <t>Partnership Academy, Inc.</t>
  </si>
  <si>
    <t>Nova Classical Academy</t>
  </si>
  <si>
    <t>Great Expectations</t>
  </si>
  <si>
    <t>Minnesota Internship Center</t>
  </si>
  <si>
    <t>Hmong College Prep</t>
  </si>
  <si>
    <t>Paladin Academy</t>
  </si>
  <si>
    <t>Great River School</t>
  </si>
  <si>
    <t>Treknorth High School</t>
  </si>
  <si>
    <t>Voyageurs Expeditionary</t>
  </si>
  <si>
    <t>General John Vessey Jr Leadership</t>
  </si>
  <si>
    <t>Sobriety High</t>
  </si>
  <si>
    <t>Main Street Sch Of Performing Arts</t>
  </si>
  <si>
    <t>Augsburg Fairview Academy</t>
  </si>
  <si>
    <t>St Paul Conservatory Performing Art</t>
  </si>
  <si>
    <t>Fraser Academy</t>
  </si>
  <si>
    <t>Minneapolis Academy</t>
  </si>
  <si>
    <t>Lakes International Language</t>
  </si>
  <si>
    <t>Kaleidoscope</t>
  </si>
  <si>
    <t>River Heights</t>
  </si>
  <si>
    <t>St. Croix Preparatory</t>
  </si>
  <si>
    <t>Ubah Medical Academy</t>
  </si>
  <si>
    <t>Eagle Ridge Academy</t>
  </si>
  <si>
    <t>Dakota Area Community</t>
  </si>
  <si>
    <t>Beacon Academy</t>
  </si>
  <si>
    <t>Prairie Seeds Academy</t>
  </si>
  <si>
    <t>Team Academy</t>
  </si>
  <si>
    <t>Lighthouse Academy Of Nations</t>
  </si>
  <si>
    <t>Twin Cities Academy High School</t>
  </si>
  <si>
    <t>Beacon Preparatory School</t>
  </si>
  <si>
    <t>Rochester Math &amp; Science</t>
  </si>
  <si>
    <t>Swan River Montessori</t>
  </si>
  <si>
    <t>Milroy Area</t>
  </si>
  <si>
    <t>Loveworks Academy For Arts</t>
  </si>
  <si>
    <t>Yinghua Academy</t>
  </si>
  <si>
    <t>Paideia Academy</t>
  </si>
  <si>
    <t>Stride Academy</t>
  </si>
  <si>
    <t>New Millennium</t>
  </si>
  <si>
    <t>Green Isle Community School</t>
  </si>
  <si>
    <t>Birch Grove Community School</t>
  </si>
  <si>
    <t>Northern Lights Community School</t>
  </si>
  <si>
    <t>Minnesota Online High School</t>
  </si>
  <si>
    <t>Edvisions Off Campus School</t>
  </si>
  <si>
    <t>Twin Cities German Immersion</t>
  </si>
  <si>
    <t>Dugsi Academy</t>
  </si>
  <si>
    <t>Naytauwaush Community School</t>
  </si>
  <si>
    <t>Seven Hills Classical</t>
  </si>
  <si>
    <t>Spectrum High School</t>
  </si>
  <si>
    <t>New Discoveries Montessori</t>
  </si>
  <si>
    <t>Southside Family</t>
  </si>
  <si>
    <t>Learning For Leadership</t>
  </si>
  <si>
    <t>Laura Jeffrey Academy</t>
  </si>
  <si>
    <t>East Range Academy Of Tech &amp;Science</t>
  </si>
  <si>
    <t>International Spanish Language</t>
  </si>
  <si>
    <t>Glacial Hills Elementary</t>
  </si>
  <si>
    <t>Stonebridge Community School</t>
  </si>
  <si>
    <t>Hiawatha Leadership</t>
  </si>
  <si>
    <t>Noble Academy</t>
  </si>
  <si>
    <t>Clarkfield</t>
  </si>
  <si>
    <t>Metro Tech Academy</t>
  </si>
  <si>
    <t>Pine Grove Leadership</t>
  </si>
  <si>
    <t>Minisinaakwaang Leadership</t>
  </si>
  <si>
    <t>Lincoln International</t>
  </si>
  <si>
    <t>Emily O. Goodridge-Grey Accelerated</t>
  </si>
  <si>
    <t>Community School Of Excellence</t>
  </si>
  <si>
    <t>Quest Academy</t>
  </si>
  <si>
    <t>Lionsgate Academy</t>
  </si>
  <si>
    <t>Aspen Academy</t>
  </si>
  <si>
    <t>Davinci Academy</t>
  </si>
  <si>
    <t>Global Academy</t>
  </si>
  <si>
    <t>Natural Science Academy</t>
  </si>
  <si>
    <t>Cologne Academy</t>
  </si>
  <si>
    <t>Bright Water Elementary</t>
  </si>
  <si>
    <t>River'S Edge Academy</t>
  </si>
  <si>
    <t>Kipp Minnesota</t>
  </si>
  <si>
    <t>Best Academy</t>
  </si>
  <si>
    <t>College Preparatory Elementary</t>
  </si>
  <si>
    <t>Cannon River Stem School</t>
  </si>
  <si>
    <t>Oshki Ogimaag</t>
  </si>
  <si>
    <t>Academy Of North Minneapolis</t>
  </si>
  <si>
    <t>Discovery Woods Montessori School</t>
  </si>
  <si>
    <t>Parnassus Preparatory Charter Sch</t>
  </si>
  <si>
    <t>Step Academy Charter School</t>
  </si>
  <si>
    <t>Cornerstone Montessori Elementary</t>
  </si>
  <si>
    <t>Minnesota School Of Science</t>
  </si>
  <si>
    <t>Minneapolis College Preparatory</t>
  </si>
  <si>
    <t>Rochester Stem Academy</t>
  </si>
  <si>
    <t>Hennepin Elementary School</t>
  </si>
  <si>
    <t>Vermilion Country School</t>
  </si>
  <si>
    <t>Nasha Shkola Charter School</t>
  </si>
  <si>
    <t>Mastery School</t>
  </si>
  <si>
    <t>Upper Mississippi Academy</t>
  </si>
  <si>
    <t>Arc4H Academy</t>
  </si>
  <si>
    <t>West Side Summit Charter School</t>
  </si>
  <si>
    <t>Prodeo Academy</t>
  </si>
  <si>
    <t>West Concord Public Charter School</t>
  </si>
  <si>
    <t>Venture Academy</t>
  </si>
  <si>
    <t>Mde V Cht Est</t>
  </si>
  <si>
    <t>Cooperative &amp; Intermed Districts</t>
  </si>
  <si>
    <t>Fund 4</t>
  </si>
  <si>
    <t>Lunch</t>
  </si>
  <si>
    <t>Percent</t>
  </si>
  <si>
    <t>General revenue</t>
  </si>
  <si>
    <t>Community education</t>
  </si>
  <si>
    <t>School readiness</t>
  </si>
  <si>
    <t>School lunch</t>
  </si>
  <si>
    <t>Fund 4 total</t>
  </si>
  <si>
    <t>General + community education</t>
  </si>
  <si>
    <t>Based on</t>
  </si>
  <si>
    <t>Formula</t>
  </si>
  <si>
    <t>Teacher</t>
  </si>
  <si>
    <t>Development/</t>
  </si>
  <si>
    <t>Improvement</t>
  </si>
  <si>
    <t>Learner</t>
  </si>
  <si>
    <t>Per ADM</t>
  </si>
  <si>
    <t>Community</t>
  </si>
  <si>
    <t>Education</t>
  </si>
  <si>
    <t>General Plus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</si>
  <si>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</si>
  <si>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</si>
  <si>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</si>
  <si>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</si>
  <si>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</si>
  <si>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</si>
  <si>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</si>
  <si>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</si>
  <si>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</si>
  <si>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The "Details" tab includes all these revenues in one-line-per-district format.</t>
  </si>
  <si>
    <t>Enter the number of the target district or charter school in cell A1.  For state</t>
  </si>
  <si>
    <t>totals, enter district = 9999.</t>
  </si>
  <si>
    <t>Free</t>
  </si>
  <si>
    <t>Reduced</t>
  </si>
  <si>
    <t>Full</t>
  </si>
  <si>
    <t>end of worksheet</t>
  </si>
  <si>
    <t>n/a</t>
  </si>
  <si>
    <t>rest of line left blank</t>
  </si>
  <si>
    <t>line left blank intentionally</t>
  </si>
  <si>
    <t>End of worksheet</t>
  </si>
  <si>
    <t>column left blank intentionally</t>
  </si>
  <si>
    <t>rest of line left blank intentionally</t>
  </si>
  <si>
    <t>end of first table</t>
  </si>
  <si>
    <t>end of second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</si>
</sst>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</cellStyleXfs>
  <cellXfs count="36">
    <xf numFmtId="0" fontId="0" fillId="0" borderId="0" xfId="0"/>
    <xf numFmtId="0" fontId="2" fillId="0" borderId="0" xfId="0" applyFont="1" applyFill="1"/>
    <xf numFmtId="0" fontId="2" fillId="0" borderId="0" xfId="0" applyFont="1" applyFill="1" applyProtection="1"/>
    <xf numFmtId="0" fontId="2" fillId="0" borderId="0" xfId="0" applyFont="1" applyFill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Fill="1" applyAlignment="1" applyProtection="1">
      <alignment horizontal="right"/>
    </xf>
    <xf numFmtId="0" fontId="1" fillId="0" borderId="0" xfId="0" applyFont="1"/>
    <xf numFmtId="3" fontId="3" fillId="0" borderId="0" xfId="0" applyNumberFormat="1" applyFont="1" applyFill="1" applyAlignment="1" applyProtection="1">
      <protection locked="0"/>
    </xf>
    <xf numFmtId="0" fontId="3" fillId="0" borderId="0" xfId="0" applyFont="1" applyFill="1"/>
    <xf numFmtId="3" fontId="2" fillId="0" borderId="0" xfId="0" applyNumberFormat="1" applyFont="1"/>
    <xf numFmtId="3" fontId="2" fillId="0" borderId="0" xfId="0" applyNumberFormat="1" applyFont="1" applyFill="1" applyAlignment="1">
      <alignment horizontal="right"/>
    </xf>
    <xf numFmtId="3" fontId="0" fillId="0" borderId="0" xfId="0" applyNumberFormat="1"/>
    <xf numFmtId="3" fontId="2" fillId="0" borderId="0" xfId="0" applyNumberFormat="1" applyFont="1" applyFill="1" applyProtection="1"/>
    <xf numFmtId="3" fontId="2" fillId="0" borderId="0" xfId="0" applyNumberFormat="1" applyFont="1" applyFill="1" applyAlignment="1" applyProtection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4" fontId="0" fillId="0" borderId="0" xfId="1" quotePrefix="1" applyNumberFormat="1" applyFont="1" applyAlignment="1">
      <alignment horizontal="right"/>
    </xf>
    <xf numFmtId="165" fontId="0" fillId="0" borderId="0" xfId="0" applyNumberFormat="1"/>
    <xf numFmtId="3" fontId="2" fillId="0" borderId="0" xfId="0" quotePrefix="1" applyNumberFormat="1" applyFont="1" applyFill="1" applyAlignment="1" applyProtection="1">
      <alignment horizontal="right"/>
    </xf>
    <xf numFmtId="3" fontId="1" fillId="0" borderId="0" xfId="2" applyNumberFormat="1" applyAlignment="1">
      <alignment horizontal="right"/>
    </xf>
    <xf numFmtId="3" fontId="0" fillId="0" borderId="0" xfId="0" applyNumberFormat="1" applyFill="1"/>
    <xf numFmtId="0" fontId="7" fillId="0" borderId="0" xfId="0" applyFont="1" applyFill="1"/>
    <xf numFmtId="3" fontId="7" fillId="0" borderId="0" xfId="0" applyNumberFormat="1" applyFont="1" applyFill="1" applyProtection="1"/>
    <xf numFmtId="1" fontId="7" fillId="0" borderId="0" xfId="0" applyNumberFormat="1" applyFont="1" applyFill="1"/>
    <xf numFmtId="1" fontId="4" fillId="0" borderId="0" xfId="3" applyNumberFormat="1" applyFill="1" applyBorder="1"/>
    <xf numFmtId="0" fontId="4" fillId="0" borderId="0" xfId="3" applyBorder="1"/>
    <xf numFmtId="0" fontId="5" fillId="0" borderId="0" xfId="4" applyBorder="1"/>
    <xf numFmtId="15" fontId="6" fillId="0" borderId="0" xfId="5" quotePrefix="1" applyNumberFormat="1" applyBorder="1"/>
    <xf numFmtId="0" fontId="7" fillId="0" borderId="0" xfId="0" applyFont="1"/>
    <xf numFmtId="164" fontId="7" fillId="0" borderId="0" xfId="1" applyNumberFormat="1" applyFont="1"/>
  </cellXfs>
  <cellStyles count="6">
    <cellStyle name="Comma" xfId="1" builtinId="3"/>
    <cellStyle name="Heading 1" xfId="3" builtinId="16"/>
    <cellStyle name="Heading 2" xfId="4" builtinId="17"/>
    <cellStyle name="Heading 3" xfId="5" builtinId="1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tabSelected="1" zoomScaleNormal="100" workbookViewId="0"/>
  </sheetViews>
  <sheetFormatPr defaultColWidth="0" defaultRowHeight="15" zeroHeight="1" x14ac:dyDescent="0.25"/>
  <cols>
    <col min="1" max="1" width="6.7109375" customWidth="1"/>
    <col min="2" max="2" width="32.7109375" customWidth="1"/>
    <col min="3" max="5" width="16.7109375" customWidth="1"/>
    <col min="6" max="6" width="18.5703125" customWidth="1"/>
    <col min="7" max="7" width="16.7109375" customWidth="1"/>
    <col min="15" max="16384" width="9.140625" hidden="1"/>
  </cols>
  <sheetData>
    <row r="1" spans="1:7" x14ac:dyDescent="0.25">
      <c r="A1" s="18">
        <v>9999</v>
      </c>
      <c r="B1" t="s">
        <v>573</v>
      </c>
      <c r="C1" t="s">
        <v>1122</v>
      </c>
      <c r="G1" s="27" t="s">
        <v>1128</v>
      </c>
    </row>
    <row r="2" spans="1:7" x14ac:dyDescent="0.25">
      <c r="A2" s="27" t="s">
        <v>1128</v>
      </c>
      <c r="B2" s="27" t="s">
        <v>1128</v>
      </c>
      <c r="C2" t="s">
        <v>1123</v>
      </c>
      <c r="E2" s="27" t="s">
        <v>1128</v>
      </c>
      <c r="F2" s="27" t="s">
        <v>1128</v>
      </c>
      <c r="G2" s="27" t="s">
        <v>1128</v>
      </c>
    </row>
    <row r="3" spans="1:7" x14ac:dyDescent="0.25">
      <c r="A3" s="27" t="s">
        <v>1128</v>
      </c>
      <c r="B3" s="27" t="s">
        <v>1128</v>
      </c>
      <c r="C3" t="s">
        <v>1121</v>
      </c>
      <c r="G3" s="27" t="s">
        <v>1128</v>
      </c>
    </row>
    <row r="4" spans="1:7" x14ac:dyDescent="0.25">
      <c r="A4" t="s">
        <v>574</v>
      </c>
      <c r="C4" s="27" t="s">
        <v>1128</v>
      </c>
      <c r="D4" s="27" t="s">
        <v>1128</v>
      </c>
      <c r="E4" s="27" t="s">
        <v>1128</v>
      </c>
      <c r="F4" s="27" t="s">
        <v>1128</v>
      </c>
      <c r="G4" s="27" t="s">
        <v>1128</v>
      </c>
    </row>
    <row r="5" spans="1:7" x14ac:dyDescent="0.25">
      <c r="A5" t="str">
        <f>VLOOKUP(A1,Details!A16:C555,3)&amp;" #"&amp;+Report!A1</f>
        <v>STATE TOTAL #9999</v>
      </c>
      <c r="C5" s="27" t="s">
        <v>1128</v>
      </c>
      <c r="D5" s="27" t="s">
        <v>1128</v>
      </c>
      <c r="E5" s="27" t="s">
        <v>1128</v>
      </c>
      <c r="F5" s="27" t="s">
        <v>1128</v>
      </c>
      <c r="G5" s="17" t="s">
        <v>1095</v>
      </c>
    </row>
    <row r="6" spans="1:7" x14ac:dyDescent="0.25">
      <c r="A6" s="27" t="s">
        <v>1128</v>
      </c>
      <c r="B6" s="27" t="s">
        <v>1128</v>
      </c>
      <c r="C6" s="27" t="s">
        <v>1128</v>
      </c>
      <c r="D6" s="17" t="s">
        <v>558</v>
      </c>
      <c r="E6" s="17" t="s">
        <v>561</v>
      </c>
      <c r="F6" s="17" t="s">
        <v>0</v>
      </c>
      <c r="G6" s="17" t="s">
        <v>0</v>
      </c>
    </row>
    <row r="7" spans="1:7" x14ac:dyDescent="0.25">
      <c r="A7">
        <v>1</v>
      </c>
      <c r="B7" t="s">
        <v>571</v>
      </c>
      <c r="C7" s="27" t="s">
        <v>1128</v>
      </c>
      <c r="D7" s="16">
        <f>SUMIF(Details!$A$16:$A$555,Report!$A$1,Details!E$16:E$555)</f>
        <v>840941.27</v>
      </c>
      <c r="E7" s="16">
        <f>D7</f>
        <v>840941.27</v>
      </c>
      <c r="F7" s="16">
        <f>E7-D7</f>
        <v>0</v>
      </c>
      <c r="G7" s="23">
        <f>IF(D7=0,0,F7/D7)</f>
        <v>0</v>
      </c>
    </row>
    <row r="8" spans="1:7" x14ac:dyDescent="0.25">
      <c r="B8" t="s">
        <v>1096</v>
      </c>
      <c r="C8" s="27" t="s">
        <v>1128</v>
      </c>
      <c r="G8" s="23"/>
    </row>
    <row r="9" spans="1:7" x14ac:dyDescent="0.25">
      <c r="A9">
        <f>A7+1</f>
        <v>2</v>
      </c>
      <c r="B9" t="s">
        <v>10</v>
      </c>
      <c r="C9" s="27" t="s">
        <v>1128</v>
      </c>
      <c r="D9" s="12">
        <f>SUMIF(Details!$A$16:$A$555,Report!$A$1,Details!Y$16:Y$555)</f>
        <v>5316551850</v>
      </c>
      <c r="E9" s="12">
        <f>SUMIF(Details!$A$16:$A$555,Report!$A$1,Details!AJ$16:AJ$555)</f>
        <v>5339444347</v>
      </c>
      <c r="F9" s="12">
        <f>E9-D9</f>
        <v>22892497</v>
      </c>
      <c r="G9" s="23">
        <f t="shared" ref="G9:G37" si="0">IF(D9=0,0,F9/D9)</f>
        <v>4.3058917971429168E-3</v>
      </c>
    </row>
    <row r="10" spans="1:7" x14ac:dyDescent="0.25">
      <c r="A10">
        <f>A9+1</f>
        <v>3</v>
      </c>
      <c r="B10" t="s">
        <v>565</v>
      </c>
      <c r="C10" s="27" t="s">
        <v>1128</v>
      </c>
      <c r="D10" s="12">
        <f>SUMIF(Details!$A$16:$A$555,Report!$A$1,Details!Z$16:Z$555)</f>
        <v>4813900</v>
      </c>
      <c r="E10" s="12">
        <f>SUMIF(Details!$A$16:$A$555,Report!$A$1,Details!AK$16:AK$555)</f>
        <v>4834632</v>
      </c>
      <c r="F10" s="12">
        <f t="shared" ref="F10:F18" si="1">E10-D10</f>
        <v>20732</v>
      </c>
      <c r="G10" s="23">
        <f t="shared" si="0"/>
        <v>4.306695195164004E-3</v>
      </c>
    </row>
    <row r="11" spans="1:7" x14ac:dyDescent="0.25">
      <c r="A11">
        <f t="shared" ref="A11:A19" si="2">A10+1</f>
        <v>4</v>
      </c>
      <c r="B11" t="s">
        <v>564</v>
      </c>
      <c r="C11" s="27" t="s">
        <v>1128</v>
      </c>
      <c r="D11" s="12">
        <f>SUMIF(Details!$A$16:$A$555,Report!$A$1,Details!AA$16:AA$555)</f>
        <v>62730918</v>
      </c>
      <c r="E11" s="12">
        <f>SUMIF(Details!$A$16:$A$555,Report!$A$1,Details!AL$16:AL$555)</f>
        <v>63001021</v>
      </c>
      <c r="F11" s="12">
        <f t="shared" si="1"/>
        <v>270103</v>
      </c>
      <c r="G11" s="23">
        <f t="shared" si="0"/>
        <v>4.3057396354378233E-3</v>
      </c>
    </row>
    <row r="12" spans="1:7" x14ac:dyDescent="0.25">
      <c r="A12">
        <f t="shared" si="2"/>
        <v>5</v>
      </c>
      <c r="B12" t="s">
        <v>566</v>
      </c>
      <c r="C12" s="27" t="s">
        <v>1128</v>
      </c>
      <c r="D12" s="12">
        <f>SUMIF(Details!$A$16:$A$555,Report!$A$1,Details!AB$16:AB$555)</f>
        <v>520691593</v>
      </c>
      <c r="E12" s="12">
        <f>SUMIF(Details!$A$16:$A$555,Report!$A$1,Details!AM$16:AM$555)</f>
        <v>523312347.93000001</v>
      </c>
      <c r="F12" s="12">
        <f t="shared" si="1"/>
        <v>2620754.9300000072</v>
      </c>
      <c r="G12" s="23">
        <f t="shared" si="0"/>
        <v>5.0332192131245087E-3</v>
      </c>
    </row>
    <row r="13" spans="1:7" x14ac:dyDescent="0.25">
      <c r="A13">
        <f t="shared" si="2"/>
        <v>6</v>
      </c>
      <c r="B13" t="s">
        <v>13</v>
      </c>
      <c r="C13" s="27" t="s">
        <v>1128</v>
      </c>
      <c r="D13" s="12">
        <f>SUMIF(Details!$A$16:$A$555,Report!$A$1,Details!AC$16:AC$555)</f>
        <v>24748980.879999999</v>
      </c>
      <c r="E13" s="12">
        <f>SUMIF(Details!$A$16:$A$555,Report!$A$1,Details!AN$16:AN$555)</f>
        <v>24844844.879999999</v>
      </c>
      <c r="F13" s="12">
        <f t="shared" si="1"/>
        <v>95864</v>
      </c>
      <c r="G13" s="23">
        <f t="shared" si="0"/>
        <v>3.8734524247610153E-3</v>
      </c>
    </row>
    <row r="14" spans="1:7" x14ac:dyDescent="0.25">
      <c r="A14">
        <f t="shared" si="2"/>
        <v>7</v>
      </c>
      <c r="B14" t="s">
        <v>567</v>
      </c>
      <c r="C14" s="27" t="s">
        <v>1128</v>
      </c>
      <c r="D14" s="12">
        <f>SUMIF(Details!$A$16:$A$555,Report!$A$1,Details!AD$16:AD$555)</f>
        <v>15885224.939999999</v>
      </c>
      <c r="E14" s="12">
        <f>SUMIF(Details!$A$16:$A$555,Report!$A$1,Details!AO$16:AO$555)</f>
        <v>16053909.25</v>
      </c>
      <c r="F14" s="12">
        <f t="shared" si="1"/>
        <v>168684.31000000052</v>
      </c>
      <c r="G14" s="23">
        <f t="shared" si="0"/>
        <v>1.0618943744085283E-2</v>
      </c>
    </row>
    <row r="15" spans="1:7" x14ac:dyDescent="0.25">
      <c r="A15">
        <f t="shared" si="2"/>
        <v>8</v>
      </c>
      <c r="B15" t="s">
        <v>572</v>
      </c>
      <c r="C15" s="27" t="s">
        <v>1128</v>
      </c>
      <c r="D15" s="12">
        <f>SUMIF(Details!$A$16:$A$555,Report!$A$1,Details!AE$16:AE$555)</f>
        <v>109925771</v>
      </c>
      <c r="E15" s="12">
        <f>SUMIF(Details!$A$16:$A$555,Report!$A$1,Details!AP$16:AP$555)</f>
        <v>119925770.99999987</v>
      </c>
      <c r="F15" s="12">
        <f t="shared" si="1"/>
        <v>9999999.9999998659</v>
      </c>
      <c r="G15" s="23">
        <f t="shared" si="0"/>
        <v>9.097047861506348E-2</v>
      </c>
    </row>
    <row r="16" spans="1:7" x14ac:dyDescent="0.25">
      <c r="A16">
        <f t="shared" si="2"/>
        <v>9</v>
      </c>
      <c r="B16" t="s">
        <v>568</v>
      </c>
      <c r="C16" s="27" t="s">
        <v>1128</v>
      </c>
      <c r="D16" s="12">
        <f>SUMIF(Details!$A$16:$A$555,Report!$A$1,Details!AF$16:AF$555)</f>
        <v>43885142</v>
      </c>
      <c r="E16" s="12">
        <f>SUMIF(Details!$A$16:$A$555,Report!$A$1,Details!AQ$16:AQ$555)</f>
        <v>49329631</v>
      </c>
      <c r="F16" s="12">
        <f t="shared" si="1"/>
        <v>5444489</v>
      </c>
      <c r="G16" s="23">
        <f t="shared" si="0"/>
        <v>0.12406223956162657</v>
      </c>
    </row>
    <row r="17" spans="1:14" x14ac:dyDescent="0.25">
      <c r="A17">
        <f t="shared" si="2"/>
        <v>10</v>
      </c>
      <c r="B17" t="s">
        <v>15</v>
      </c>
      <c r="C17" s="27" t="s">
        <v>1128</v>
      </c>
      <c r="D17" s="12">
        <f>SUMIF(Details!$A$16:$A$555,Report!$A$1,Details!AG$16:AG$555)</f>
        <v>106369342.98388784</v>
      </c>
      <c r="E17" s="12">
        <f>SUMIF(Details!$A$16:$A$555,Report!$A$1,Details!AR$16:AR$555)</f>
        <v>106408292.98388784</v>
      </c>
      <c r="F17" s="12">
        <f t="shared" si="1"/>
        <v>38950</v>
      </c>
      <c r="G17" s="23">
        <f t="shared" si="0"/>
        <v>3.6617693507705416E-4</v>
      </c>
    </row>
    <row r="18" spans="1:14" x14ac:dyDescent="0.25">
      <c r="A18">
        <f t="shared" si="2"/>
        <v>11</v>
      </c>
      <c r="B18" t="s">
        <v>576</v>
      </c>
      <c r="C18" s="27" t="s">
        <v>1128</v>
      </c>
      <c r="D18" s="12">
        <f>SUMIF(Details!$A$16:$A$555,Report!$A$1,Details!AH$16:AH$555)</f>
        <v>1354769092.1800587</v>
      </c>
      <c r="E18" s="12">
        <f>SUMIF(Details!$A$16:$A$555,Report!$A$1,Details!AS$16:AS$555)</f>
        <v>1354769631.1800587</v>
      </c>
      <c r="F18" s="12">
        <f t="shared" si="1"/>
        <v>539</v>
      </c>
      <c r="G18" s="23">
        <f t="shared" si="0"/>
        <v>3.9785377678837906E-7</v>
      </c>
    </row>
    <row r="19" spans="1:14" x14ac:dyDescent="0.25">
      <c r="A19">
        <f t="shared" si="2"/>
        <v>12</v>
      </c>
      <c r="B19" t="s">
        <v>578</v>
      </c>
      <c r="C19" s="27" t="s">
        <v>1128</v>
      </c>
      <c r="D19" s="12">
        <f>SUMIF(Details!$A$16:$A$555,Report!$A$1,Details!AI$16:AI$555)</f>
        <v>7560371814.9839478</v>
      </c>
      <c r="E19" s="12">
        <f>SUMIF(Details!$A$16:$A$555,Report!$A$1,Details!AT$16:AT$555)</f>
        <v>7601924428.2239389</v>
      </c>
      <c r="F19" s="12">
        <f>E19-D19</f>
        <v>41552613.239991188</v>
      </c>
      <c r="G19" s="23">
        <f t="shared" si="0"/>
        <v>5.4961071038381742E-3</v>
      </c>
    </row>
    <row r="20" spans="1:14" x14ac:dyDescent="0.25">
      <c r="A20" s="27" t="s">
        <v>1128</v>
      </c>
      <c r="B20" t="s">
        <v>1097</v>
      </c>
      <c r="C20" s="27" t="s">
        <v>1128</v>
      </c>
      <c r="D20" s="27" t="s">
        <v>1128</v>
      </c>
      <c r="E20" s="27" t="s">
        <v>1128</v>
      </c>
      <c r="F20" s="27" t="s">
        <v>1128</v>
      </c>
      <c r="G20" s="27" t="s">
        <v>1128</v>
      </c>
      <c r="M20" s="12"/>
      <c r="N20" s="12"/>
    </row>
    <row r="21" spans="1:14" x14ac:dyDescent="0.25">
      <c r="A21">
        <f>A19+1</f>
        <v>13</v>
      </c>
      <c r="B21" t="s">
        <v>584</v>
      </c>
      <c r="C21" s="27" t="s">
        <v>1128</v>
      </c>
      <c r="D21" s="26">
        <f>SUMIF(Details!$A$16:$A$555,Report!$A$1,Details!AU$16:AU$555)</f>
        <v>44058720</v>
      </c>
      <c r="E21" s="26">
        <f>SUMIF(Details!$A$16:$A$555,Report!$A$1,Details!AY$16:AY$555)</f>
        <v>49240392.628000066</v>
      </c>
      <c r="F21" s="26">
        <f>E21-D21</f>
        <v>5181672.6280000657</v>
      </c>
      <c r="G21" s="23">
        <f t="shared" si="0"/>
        <v>0.11760833333333483</v>
      </c>
    </row>
    <row r="22" spans="1:14" x14ac:dyDescent="0.25">
      <c r="A22">
        <f>A21+1</f>
        <v>14</v>
      </c>
      <c r="B22" t="s">
        <v>1098</v>
      </c>
      <c r="C22" s="27" t="s">
        <v>1128</v>
      </c>
      <c r="D22" s="26">
        <f>SUMIF(Details!$A$16:$A$555,Report!$A$1,Details!AV$16:AV$555)</f>
        <v>10092924.513006005</v>
      </c>
      <c r="E22" s="26">
        <f>SUMIF(Details!$A$16:$A$555,Report!$A$1,Details!AZ$16:AZ$555)</f>
        <v>12092513.3219225</v>
      </c>
      <c r="F22" s="26">
        <f t="shared" ref="F22:F23" si="3">E22-D22</f>
        <v>1999588.8089164943</v>
      </c>
      <c r="G22" s="23">
        <f t="shared" si="0"/>
        <v>0.19811788013868251</v>
      </c>
    </row>
    <row r="23" spans="1:14" x14ac:dyDescent="0.25">
      <c r="A23">
        <f t="shared" ref="A23:A24" si="4">A22+1</f>
        <v>15</v>
      </c>
      <c r="B23" t="s">
        <v>1099</v>
      </c>
      <c r="C23" s="27" t="s">
        <v>1128</v>
      </c>
      <c r="D23" s="26">
        <f>SUMIF(Details!$A$16:$A$555,Report!$A$1,Details!AW$16:AW$555)</f>
        <v>12055556.5</v>
      </c>
      <c r="E23" s="26">
        <f>SUMIF(Details!$A$16:$A$555,Report!$A$1,Details!BA$16:BA$555)</f>
        <v>15404752.499999993</v>
      </c>
      <c r="F23" s="26">
        <f t="shared" si="3"/>
        <v>3349195.9999999925</v>
      </c>
      <c r="G23" s="23">
        <f t="shared" si="0"/>
        <v>0.27781347132336798</v>
      </c>
    </row>
    <row r="24" spans="1:14" x14ac:dyDescent="0.25">
      <c r="A24">
        <f t="shared" si="4"/>
        <v>16</v>
      </c>
      <c r="B24" t="s">
        <v>1100</v>
      </c>
      <c r="C24" t="str">
        <f>+"= ("&amp;+A21&amp;")+("&amp;+A22&amp;")+("&amp;+A23&amp;") ="</f>
        <v>= (13)+(14)+(15) =</v>
      </c>
      <c r="D24" s="26">
        <f>D21+D22+D23</f>
        <v>66207201.013006002</v>
      </c>
      <c r="E24" s="26">
        <f t="shared" ref="E24:F24" si="5">E21+E22+E23</f>
        <v>76737658.449922562</v>
      </c>
      <c r="F24" s="26">
        <f t="shared" si="5"/>
        <v>10530457.436916552</v>
      </c>
      <c r="G24" s="23">
        <f t="shared" si="0"/>
        <v>0.15905305277665957</v>
      </c>
    </row>
    <row r="25" spans="1:14" x14ac:dyDescent="0.25">
      <c r="A25">
        <f>A24+1</f>
        <v>17</v>
      </c>
      <c r="B25" t="s">
        <v>1101</v>
      </c>
      <c r="C25" t="str">
        <f>+"= ("&amp;+A19&amp;")+("&amp;+A24&amp;") ="</f>
        <v>= (12)+(16) =</v>
      </c>
      <c r="D25" s="12">
        <f>D19+D24</f>
        <v>7626579015.996954</v>
      </c>
      <c r="E25" s="12">
        <f>E19+E24</f>
        <v>7678662086.6738615</v>
      </c>
      <c r="F25" s="12">
        <f>F19+F24</f>
        <v>52083070.676907741</v>
      </c>
      <c r="G25" s="23">
        <f t="shared" si="0"/>
        <v>6.8291524375033814E-3</v>
      </c>
    </row>
    <row r="26" spans="1:14" x14ac:dyDescent="0.25">
      <c r="A26" s="27" t="s">
        <v>1128</v>
      </c>
      <c r="B26" t="s">
        <v>577</v>
      </c>
      <c r="C26" s="27" t="s">
        <v>1128</v>
      </c>
      <c r="D26" s="27" t="s">
        <v>1128</v>
      </c>
      <c r="E26" s="27" t="s">
        <v>1128</v>
      </c>
      <c r="F26" s="27" t="s">
        <v>1128</v>
      </c>
      <c r="G26" s="27" t="s">
        <v>1128</v>
      </c>
    </row>
    <row r="27" spans="1:14" x14ac:dyDescent="0.25">
      <c r="A27">
        <f>A25+1</f>
        <v>18</v>
      </c>
      <c r="B27" t="s">
        <v>10</v>
      </c>
      <c r="C27" t="str">
        <f>+"= ("&amp;+A9&amp;")/("&amp;+A$7&amp;") ="</f>
        <v>= (2)/(1) =</v>
      </c>
      <c r="D27" s="16">
        <f>D9/D$7</f>
        <v>6322.1440541263955</v>
      </c>
      <c r="E27" s="16">
        <f>E9/E$7</f>
        <v>6349.3665223494145</v>
      </c>
      <c r="F27" s="16">
        <f>E27-D27</f>
        <v>27.22246822301895</v>
      </c>
      <c r="G27" s="23">
        <f t="shared" si="0"/>
        <v>4.305891797142955E-3</v>
      </c>
    </row>
    <row r="28" spans="1:14" x14ac:dyDescent="0.25">
      <c r="A28">
        <f>A27+1</f>
        <v>19</v>
      </c>
      <c r="B28" t="s">
        <v>565</v>
      </c>
      <c r="C28" t="str">
        <f>+"= ("&amp;+A10&amp;")/("&amp;+A$7&amp;") ="</f>
        <v>= (3)/(1) =</v>
      </c>
      <c r="D28" s="16">
        <f>D10/D$7</f>
        <v>5.7244187813496179</v>
      </c>
      <c r="E28" s="16">
        <f>E10/E$7</f>
        <v>5.7490721082103624</v>
      </c>
      <c r="F28" s="16">
        <f t="shared" ref="F28:F37" si="6">E28-D28</f>
        <v>2.4653326860744507E-2</v>
      </c>
      <c r="G28" s="23">
        <f t="shared" si="0"/>
        <v>4.3066951951639208E-3</v>
      </c>
    </row>
    <row r="29" spans="1:14" x14ac:dyDescent="0.25">
      <c r="A29">
        <f t="shared" ref="A29:A37" si="7">A28+1</f>
        <v>20</v>
      </c>
      <c r="B29" t="s">
        <v>564</v>
      </c>
      <c r="C29" t="str">
        <f>+"= ("&amp;+A11&amp;")/("&amp;+A$7&amp;") ="</f>
        <v>= (4)/(1) =</v>
      </c>
      <c r="D29" s="16">
        <f>D11/D$7</f>
        <v>74.596074943497541</v>
      </c>
      <c r="E29" s="16">
        <f>E11/E$7</f>
        <v>74.917266220029845</v>
      </c>
      <c r="F29" s="16">
        <f t="shared" si="6"/>
        <v>0.3211912765323035</v>
      </c>
      <c r="G29" s="23">
        <f t="shared" si="0"/>
        <v>4.3057396354377678E-3</v>
      </c>
    </row>
    <row r="30" spans="1:14" x14ac:dyDescent="0.25">
      <c r="A30">
        <f t="shared" si="7"/>
        <v>21</v>
      </c>
      <c r="B30" t="s">
        <v>566</v>
      </c>
      <c r="C30" t="str">
        <f>+"= ("&amp;+A12&amp;")/("&amp;+A$7&amp;") ="</f>
        <v>= (5)/(1) =</v>
      </c>
      <c r="D30" s="16">
        <f>D12/D$7</f>
        <v>619.17711922974115</v>
      </c>
      <c r="E30" s="16">
        <f>E12/E$7</f>
        <v>622.29357340257548</v>
      </c>
      <c r="F30" s="16">
        <f t="shared" si="6"/>
        <v>3.1164541728343238</v>
      </c>
      <c r="G30" s="23">
        <f t="shared" si="0"/>
        <v>5.0332192131246796E-3</v>
      </c>
    </row>
    <row r="31" spans="1:14" x14ac:dyDescent="0.25">
      <c r="A31">
        <f t="shared" si="7"/>
        <v>22</v>
      </c>
      <c r="B31" t="s">
        <v>13</v>
      </c>
      <c r="C31" t="str">
        <f>+"= ("&amp;+A13&amp;")/("&amp;+A$7&amp;") ="</f>
        <v>= (6)/(1) =</v>
      </c>
      <c r="D31" s="16">
        <f>D13/D$7</f>
        <v>29.430094303731813</v>
      </c>
      <c r="E31" s="16">
        <f>E13/E$7</f>
        <v>29.544090373873551</v>
      </c>
      <c r="F31" s="16">
        <f t="shared" si="6"/>
        <v>0.11399607014173796</v>
      </c>
      <c r="G31" s="23">
        <f t="shared" si="0"/>
        <v>3.8734524247611042E-3</v>
      </c>
    </row>
    <row r="32" spans="1:14" x14ac:dyDescent="0.25">
      <c r="A32">
        <f t="shared" si="7"/>
        <v>23</v>
      </c>
      <c r="B32" t="s">
        <v>567</v>
      </c>
      <c r="C32" t="str">
        <f>+"= ("&amp;+A14&amp;")/("&amp;+A$7&amp;") ="</f>
        <v>= (7)/(1) =</v>
      </c>
      <c r="D32" s="16">
        <f>D14/D$7</f>
        <v>18.889814909428811</v>
      </c>
      <c r="E32" s="16">
        <f>E14/E$7</f>
        <v>19.090404791288218</v>
      </c>
      <c r="F32" s="16">
        <f t="shared" si="6"/>
        <v>0.20058988185940763</v>
      </c>
      <c r="G32" s="23">
        <f t="shared" si="0"/>
        <v>1.0618943744085264E-2</v>
      </c>
    </row>
    <row r="33" spans="1:7" x14ac:dyDescent="0.25">
      <c r="A33">
        <f t="shared" si="7"/>
        <v>24</v>
      </c>
      <c r="B33" t="s">
        <v>572</v>
      </c>
      <c r="C33" t="str">
        <f>+"= ("&amp;+A15&amp;")/("&amp;+A$7&amp;") ="</f>
        <v>= (8)/(1) =</v>
      </c>
      <c r="D33" s="16">
        <f>D15/D$7</f>
        <v>130.71753631499141</v>
      </c>
      <c r="E33" s="16">
        <f>E15/E$7</f>
        <v>142.60897315694811</v>
      </c>
      <c r="F33" s="16">
        <f t="shared" si="6"/>
        <v>11.891436841956704</v>
      </c>
      <c r="G33" s="23">
        <f t="shared" si="0"/>
        <v>9.0970478615063438E-2</v>
      </c>
    </row>
    <row r="34" spans="1:7" x14ac:dyDescent="0.25">
      <c r="A34">
        <f t="shared" si="7"/>
        <v>25</v>
      </c>
      <c r="B34" t="s">
        <v>568</v>
      </c>
      <c r="C34" t="str">
        <f>+"= ("&amp;+A16&amp;")/("&amp;+A$7&amp;") ="</f>
        <v>= (9)/(1) =</v>
      </c>
      <c r="D34" s="16">
        <f>D16/D$7</f>
        <v>52.185739439330881</v>
      </c>
      <c r="E34" s="16">
        <f>E16/E$7</f>
        <v>58.660019147353772</v>
      </c>
      <c r="F34" s="16">
        <f t="shared" si="6"/>
        <v>6.4742797080228911</v>
      </c>
      <c r="G34" s="23">
        <f t="shared" si="0"/>
        <v>0.12406223956162656</v>
      </c>
    </row>
    <row r="35" spans="1:7" x14ac:dyDescent="0.25">
      <c r="A35">
        <f t="shared" si="7"/>
        <v>26</v>
      </c>
      <c r="B35" t="s">
        <v>15</v>
      </c>
      <c r="C35" t="str">
        <f>+"= ("&amp;+A17&amp;")/("&amp;+A$7&amp;") ="</f>
        <v>= (10)/(1) =</v>
      </c>
      <c r="D35" s="16">
        <f>D17/D$7</f>
        <v>126.48843240133503</v>
      </c>
      <c r="E35" s="16">
        <f>E17/E$7</f>
        <v>126.53474954783445</v>
      </c>
      <c r="F35" s="16">
        <f t="shared" si="6"/>
        <v>4.6317146499418982E-2</v>
      </c>
      <c r="G35" s="23">
        <f t="shared" si="0"/>
        <v>3.661769350770302E-4</v>
      </c>
    </row>
    <row r="36" spans="1:7" x14ac:dyDescent="0.25">
      <c r="A36">
        <f t="shared" si="7"/>
        <v>27</v>
      </c>
      <c r="B36" t="s">
        <v>570</v>
      </c>
      <c r="C36" t="str">
        <f>+"= ("&amp;+A18&amp;")/("&amp;+A$7&amp;") ="</f>
        <v>= (11)/(1) =</v>
      </c>
      <c r="D36" s="16">
        <f>D18/D$7</f>
        <v>1611.0151095094413</v>
      </c>
      <c r="E36" s="16">
        <f>E18/E$7</f>
        <v>1611.0157504578872</v>
      </c>
      <c r="F36" s="16">
        <f t="shared" si="6"/>
        <v>6.4094844583451049E-4</v>
      </c>
      <c r="G36" s="23">
        <f t="shared" si="0"/>
        <v>3.9785377682129942E-7</v>
      </c>
    </row>
    <row r="37" spans="1:7" x14ac:dyDescent="0.25">
      <c r="A37">
        <f t="shared" si="7"/>
        <v>28</v>
      </c>
      <c r="B37" t="s">
        <v>569</v>
      </c>
      <c r="C37" t="str">
        <f>+"= ("&amp;+A19&amp;")/("&amp;+A$7&amp;") ="</f>
        <v>= (12)/(1) =</v>
      </c>
      <c r="D37" s="16">
        <f>D19/D$7</f>
        <v>8990.3683939592447</v>
      </c>
      <c r="E37" s="16">
        <f>E19/E$7</f>
        <v>9039.7804215554061</v>
      </c>
      <c r="F37" s="16">
        <f t="shared" si="6"/>
        <v>49.412027596161352</v>
      </c>
      <c r="G37" s="23">
        <f t="shared" si="0"/>
        <v>5.4961071038381465E-3</v>
      </c>
    </row>
    <row r="38" spans="1:7" x14ac:dyDescent="0.25">
      <c r="A38" t="s">
        <v>1127</v>
      </c>
    </row>
    <row r="39" spans="1:7" hidden="1" x14ac:dyDescent="0.25"/>
    <row r="40" spans="1:7" hidden="1" x14ac:dyDescent="0.25"/>
    <row r="41" spans="1:7" hidden="1" x14ac:dyDescent="0.25"/>
    <row r="42" spans="1:7" hidden="1" x14ac:dyDescent="0.25"/>
    <row r="43" spans="1:7" hidden="1" x14ac:dyDescent="0.25"/>
    <row r="44" spans="1:7" hidden="1" x14ac:dyDescent="0.25"/>
    <row r="45" spans="1:7" hidden="1" x14ac:dyDescent="0.25"/>
    <row r="46" spans="1:7" hidden="1" x14ac:dyDescent="0.25"/>
    <row r="47" spans="1:7" hidden="1" x14ac:dyDescent="0.25"/>
  </sheetData>
  <printOptions gridLines="1"/>
  <pageMargins left="1.25" right="0.7" top="0.75" bottom="0.5" header="0.3" footer="0.3"/>
  <pageSetup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101"/>
  <sheetViews>
    <sheetView zoomScale="75" zoomScaleNormal="75" workbookViewId="0">
      <pane xSplit="4" ySplit="15" topLeftCell="E16" activePane="bottomRight" state="frozen"/>
      <selection pane="topRight" activeCell="E1" sqref="E1"/>
      <selection pane="bottomLeft" activeCell="A10" sqref="A10"/>
      <selection pane="bottomRight"/>
    </sheetView>
  </sheetViews>
  <sheetFormatPr defaultColWidth="0" defaultRowHeight="15" zeroHeight="1" x14ac:dyDescent="0.25"/>
  <cols>
    <col min="1" max="1" width="5.7109375" customWidth="1"/>
    <col min="2" max="2" width="3.42578125" customWidth="1"/>
    <col min="3" max="3" width="12.7109375" customWidth="1"/>
    <col min="4" max="4" width="7.5703125" customWidth="1"/>
    <col min="5" max="24" width="16.7109375" style="12" customWidth="1"/>
    <col min="25" max="46" width="16.7109375" customWidth="1"/>
    <col min="47" max="58" width="14.7109375" customWidth="1"/>
    <col min="59" max="16384" width="9.140625" hidden="1"/>
  </cols>
  <sheetData>
    <row r="1" spans="1:58" ht="19.5" x14ac:dyDescent="0.3">
      <c r="A1" s="30" t="s">
        <v>562</v>
      </c>
      <c r="B1" s="1"/>
      <c r="C1" s="1"/>
      <c r="D1" s="2"/>
      <c r="E1" s="13"/>
      <c r="F1" s="13"/>
      <c r="H1" s="28" t="s">
        <v>1129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58" x14ac:dyDescent="0.25">
      <c r="A2" s="29" t="s">
        <v>1128</v>
      </c>
      <c r="B2" s="29" t="s">
        <v>1128</v>
      </c>
      <c r="C2" s="29" t="s">
        <v>1128</v>
      </c>
      <c r="D2" s="29" t="s">
        <v>1128</v>
      </c>
      <c r="E2" s="14" t="s">
        <v>1112</v>
      </c>
      <c r="F2" s="14" t="s">
        <v>1113</v>
      </c>
      <c r="G2" s="14" t="s">
        <v>1114</v>
      </c>
      <c r="H2" s="14" t="s">
        <v>1115</v>
      </c>
      <c r="I2" s="14" t="s">
        <v>1116</v>
      </c>
      <c r="J2" s="14" t="s">
        <v>1117</v>
      </c>
      <c r="K2" s="14" t="s">
        <v>1118</v>
      </c>
      <c r="L2" s="14" t="s">
        <v>1119</v>
      </c>
      <c r="M2" s="14" t="s">
        <v>1120</v>
      </c>
      <c r="N2" s="28" t="s">
        <v>1129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58" x14ac:dyDescent="0.25">
      <c r="A3" s="29" t="s">
        <v>1128</v>
      </c>
      <c r="B3" s="29" t="s">
        <v>1128</v>
      </c>
      <c r="C3" s="29" t="s">
        <v>1128</v>
      </c>
      <c r="D3" s="29" t="s">
        <v>1128</v>
      </c>
      <c r="E3" s="29" t="s">
        <v>1128</v>
      </c>
      <c r="F3" s="14" t="s">
        <v>0</v>
      </c>
      <c r="G3" s="14" t="s">
        <v>0</v>
      </c>
      <c r="H3" s="14" t="s">
        <v>0</v>
      </c>
      <c r="I3" s="14" t="s">
        <v>0</v>
      </c>
      <c r="J3" s="14" t="s">
        <v>0</v>
      </c>
      <c r="K3" s="14" t="s">
        <v>0</v>
      </c>
      <c r="L3" s="14" t="s">
        <v>0</v>
      </c>
      <c r="M3" s="14" t="s">
        <v>0</v>
      </c>
      <c r="N3" s="3" t="s">
        <v>0</v>
      </c>
      <c r="O3" s="3" t="s">
        <v>0</v>
      </c>
      <c r="P3" s="3" t="s">
        <v>0</v>
      </c>
      <c r="Q3" s="3" t="s">
        <v>0</v>
      </c>
      <c r="R3" s="3" t="s">
        <v>0</v>
      </c>
      <c r="S3" s="3" t="s">
        <v>0</v>
      </c>
      <c r="T3" s="3" t="s">
        <v>0</v>
      </c>
      <c r="U3" s="3" t="s">
        <v>0</v>
      </c>
      <c r="V3" s="3" t="s">
        <v>0</v>
      </c>
      <c r="W3" s="3" t="s">
        <v>0</v>
      </c>
      <c r="X3" s="3" t="s">
        <v>0</v>
      </c>
      <c r="Y3" s="3" t="s">
        <v>558</v>
      </c>
      <c r="Z3" s="3" t="s">
        <v>558</v>
      </c>
      <c r="AA3" s="3" t="s">
        <v>558</v>
      </c>
      <c r="AB3" s="3" t="s">
        <v>558</v>
      </c>
      <c r="AC3" s="3" t="s">
        <v>558</v>
      </c>
      <c r="AD3" s="3" t="s">
        <v>558</v>
      </c>
      <c r="AE3" s="3" t="s">
        <v>558</v>
      </c>
      <c r="AF3" s="3" t="s">
        <v>558</v>
      </c>
      <c r="AG3" s="3" t="s">
        <v>558</v>
      </c>
      <c r="AH3" s="3" t="s">
        <v>558</v>
      </c>
      <c r="AI3" s="3" t="s">
        <v>558</v>
      </c>
      <c r="AJ3" s="3" t="s">
        <v>561</v>
      </c>
      <c r="AK3" s="3" t="s">
        <v>561</v>
      </c>
      <c r="AL3" s="3" t="s">
        <v>561</v>
      </c>
      <c r="AM3" s="3" t="s">
        <v>561</v>
      </c>
      <c r="AN3" s="3" t="s">
        <v>561</v>
      </c>
      <c r="AO3" s="3" t="s">
        <v>561</v>
      </c>
      <c r="AP3" s="3" t="s">
        <v>561</v>
      </c>
      <c r="AQ3" s="3" t="s">
        <v>561</v>
      </c>
      <c r="AR3" s="3" t="s">
        <v>561</v>
      </c>
      <c r="AS3" s="3" t="s">
        <v>561</v>
      </c>
      <c r="AT3" s="3" t="s">
        <v>561</v>
      </c>
      <c r="AU3" s="15" t="s">
        <v>558</v>
      </c>
      <c r="AV3" s="15" t="s">
        <v>558</v>
      </c>
      <c r="AW3" s="15" t="s">
        <v>558</v>
      </c>
      <c r="AX3" s="15" t="s">
        <v>558</v>
      </c>
      <c r="AY3" s="15" t="s">
        <v>561</v>
      </c>
      <c r="AZ3" s="15" t="s">
        <v>561</v>
      </c>
      <c r="BA3" s="15" t="s">
        <v>561</v>
      </c>
      <c r="BB3" s="15" t="s">
        <v>561</v>
      </c>
      <c r="BC3" s="15" t="s">
        <v>0</v>
      </c>
      <c r="BD3" s="15" t="s">
        <v>0</v>
      </c>
      <c r="BE3" s="15" t="s">
        <v>0</v>
      </c>
      <c r="BF3" s="15" t="s">
        <v>0</v>
      </c>
    </row>
    <row r="4" spans="1:58" x14ac:dyDescent="0.25">
      <c r="A4" s="29" t="s">
        <v>1128</v>
      </c>
      <c r="B4" s="29" t="s">
        <v>1128</v>
      </c>
      <c r="C4" s="29" t="s">
        <v>1128</v>
      </c>
      <c r="D4" s="29" t="s">
        <v>1128</v>
      </c>
      <c r="E4" s="29" t="s">
        <v>1128</v>
      </c>
      <c r="F4" s="11" t="s">
        <v>1102</v>
      </c>
      <c r="G4" s="11" t="s">
        <v>1104</v>
      </c>
      <c r="H4" s="29" t="s">
        <v>1128</v>
      </c>
      <c r="I4" s="29" t="s">
        <v>1128</v>
      </c>
      <c r="J4" s="11" t="s">
        <v>7</v>
      </c>
      <c r="K4" s="29" t="s">
        <v>1128</v>
      </c>
      <c r="L4" s="11" t="s">
        <v>1111</v>
      </c>
      <c r="M4" s="11" t="s">
        <v>16</v>
      </c>
      <c r="N4" s="29" t="s">
        <v>1128</v>
      </c>
      <c r="O4" s="5" t="s">
        <v>1</v>
      </c>
      <c r="P4" s="29" t="s">
        <v>1128</v>
      </c>
      <c r="Q4" s="29" t="s">
        <v>1128</v>
      </c>
      <c r="R4" s="29" t="s">
        <v>1128</v>
      </c>
      <c r="S4" s="29" t="s">
        <v>1128</v>
      </c>
      <c r="T4" s="29" t="s">
        <v>1128</v>
      </c>
      <c r="U4" s="29" t="s">
        <v>1128</v>
      </c>
      <c r="V4" s="29" t="s">
        <v>1128</v>
      </c>
      <c r="W4" s="3" t="s">
        <v>559</v>
      </c>
      <c r="X4" s="29" t="s">
        <v>1128</v>
      </c>
      <c r="Y4" s="29" t="s">
        <v>1128</v>
      </c>
      <c r="Z4" s="5" t="s">
        <v>1</v>
      </c>
      <c r="AA4" s="29" t="s">
        <v>1128</v>
      </c>
      <c r="AB4" s="29" t="s">
        <v>1128</v>
      </c>
      <c r="AC4" s="29" t="s">
        <v>1128</v>
      </c>
      <c r="AD4" s="29" t="s">
        <v>1128</v>
      </c>
      <c r="AE4" s="29" t="s">
        <v>1128</v>
      </c>
      <c r="AF4" s="29" t="s">
        <v>1128</v>
      </c>
      <c r="AG4" s="29" t="s">
        <v>1128</v>
      </c>
      <c r="AH4" s="3" t="s">
        <v>559</v>
      </c>
      <c r="AI4" s="29" t="s">
        <v>1128</v>
      </c>
      <c r="AJ4" s="29" t="s">
        <v>1128</v>
      </c>
      <c r="AK4" s="5" t="s">
        <v>1</v>
      </c>
      <c r="AL4" s="29" t="s">
        <v>1128</v>
      </c>
      <c r="AM4" s="29" t="s">
        <v>1128</v>
      </c>
      <c r="AN4" s="29" t="s">
        <v>1128</v>
      </c>
      <c r="AO4" s="29" t="s">
        <v>1128</v>
      </c>
      <c r="AP4" s="29" t="s">
        <v>1128</v>
      </c>
      <c r="AQ4" s="29" t="s">
        <v>1128</v>
      </c>
      <c r="AR4" s="29" t="s">
        <v>1128</v>
      </c>
      <c r="AS4" s="3" t="s">
        <v>559</v>
      </c>
      <c r="AT4" s="29" t="s">
        <v>1128</v>
      </c>
      <c r="AU4" s="29" t="s">
        <v>1128</v>
      </c>
      <c r="AV4" s="29" t="s">
        <v>1128</v>
      </c>
      <c r="AW4" s="29" t="s">
        <v>1128</v>
      </c>
      <c r="AX4" s="29" t="s">
        <v>1128</v>
      </c>
      <c r="AY4" s="29" t="s">
        <v>1128</v>
      </c>
      <c r="AZ4" s="29" t="s">
        <v>1128</v>
      </c>
      <c r="BA4" s="29" t="s">
        <v>1128</v>
      </c>
      <c r="BB4" s="29" t="s">
        <v>1128</v>
      </c>
      <c r="BC4" s="29" t="s">
        <v>1128</v>
      </c>
      <c r="BD4" s="29" t="s">
        <v>1128</v>
      </c>
      <c r="BE4" s="29" t="s">
        <v>1128</v>
      </c>
      <c r="BF4" s="29" t="s">
        <v>1128</v>
      </c>
    </row>
    <row r="5" spans="1:58" x14ac:dyDescent="0.25">
      <c r="A5" s="29" t="s">
        <v>1128</v>
      </c>
      <c r="B5" s="29" t="s">
        <v>1128</v>
      </c>
      <c r="C5" s="29" t="s">
        <v>1128</v>
      </c>
      <c r="D5" s="29" t="s">
        <v>1128</v>
      </c>
      <c r="E5" s="29" t="s">
        <v>1128</v>
      </c>
      <c r="F5" s="11" t="s">
        <v>1103</v>
      </c>
      <c r="G5" s="11" t="s">
        <v>1105</v>
      </c>
      <c r="H5" s="11" t="s">
        <v>557</v>
      </c>
      <c r="I5" s="11" t="s">
        <v>559</v>
      </c>
      <c r="J5" s="14" t="s">
        <v>560</v>
      </c>
      <c r="K5" s="11" t="s">
        <v>1109</v>
      </c>
      <c r="L5" s="15" t="s">
        <v>1109</v>
      </c>
      <c r="M5" s="14" t="s">
        <v>1108</v>
      </c>
      <c r="N5" s="3" t="s">
        <v>2</v>
      </c>
      <c r="O5" s="5" t="s">
        <v>3</v>
      </c>
      <c r="P5" s="3" t="s">
        <v>6</v>
      </c>
      <c r="Q5" s="3" t="s">
        <v>4</v>
      </c>
      <c r="R5" s="3" t="s">
        <v>2</v>
      </c>
      <c r="S5" s="3" t="s">
        <v>5</v>
      </c>
      <c r="T5" s="3" t="s">
        <v>575</v>
      </c>
      <c r="U5" s="11" t="s">
        <v>557</v>
      </c>
      <c r="V5" s="3" t="s">
        <v>2</v>
      </c>
      <c r="W5" s="3" t="s">
        <v>560</v>
      </c>
      <c r="X5" s="3" t="s">
        <v>7</v>
      </c>
      <c r="Y5" s="3" t="s">
        <v>2</v>
      </c>
      <c r="Z5" s="5" t="s">
        <v>3</v>
      </c>
      <c r="AA5" s="3" t="s">
        <v>6</v>
      </c>
      <c r="AB5" s="3" t="s">
        <v>4</v>
      </c>
      <c r="AC5" s="3" t="s">
        <v>2</v>
      </c>
      <c r="AD5" s="3" t="s">
        <v>5</v>
      </c>
      <c r="AE5" s="3" t="s">
        <v>575</v>
      </c>
      <c r="AF5" s="3" t="s">
        <v>557</v>
      </c>
      <c r="AG5" s="3" t="s">
        <v>2</v>
      </c>
      <c r="AH5" s="3" t="s">
        <v>560</v>
      </c>
      <c r="AI5" s="3" t="s">
        <v>7</v>
      </c>
      <c r="AJ5" s="3" t="s">
        <v>2</v>
      </c>
      <c r="AK5" s="5" t="s">
        <v>3</v>
      </c>
      <c r="AL5" s="3" t="s">
        <v>6</v>
      </c>
      <c r="AM5" s="3" t="s">
        <v>4</v>
      </c>
      <c r="AN5" s="3" t="s">
        <v>2</v>
      </c>
      <c r="AO5" s="3" t="s">
        <v>5</v>
      </c>
      <c r="AP5" s="3" t="s">
        <v>575</v>
      </c>
      <c r="AQ5" s="3" t="s">
        <v>557</v>
      </c>
      <c r="AR5" s="3" t="s">
        <v>2</v>
      </c>
      <c r="AS5" s="3" t="s">
        <v>560</v>
      </c>
      <c r="AT5" s="3" t="s">
        <v>7</v>
      </c>
      <c r="AU5" s="21"/>
      <c r="AV5" s="21" t="s">
        <v>582</v>
      </c>
      <c r="AW5" s="22" t="s">
        <v>582</v>
      </c>
      <c r="AX5" s="15" t="s">
        <v>1093</v>
      </c>
      <c r="AY5" s="21"/>
      <c r="AZ5" s="21" t="s">
        <v>582</v>
      </c>
      <c r="BA5" s="22" t="s">
        <v>582</v>
      </c>
      <c r="BB5" s="15" t="s">
        <v>1093</v>
      </c>
      <c r="BC5" s="21"/>
      <c r="BD5" s="21" t="s">
        <v>582</v>
      </c>
      <c r="BE5" s="22" t="s">
        <v>582</v>
      </c>
      <c r="BF5" s="15" t="s">
        <v>1093</v>
      </c>
    </row>
    <row r="6" spans="1:58" x14ac:dyDescent="0.25">
      <c r="A6" s="29" t="s">
        <v>1128</v>
      </c>
      <c r="B6" s="29" t="s">
        <v>1128</v>
      </c>
      <c r="C6" s="29" t="s">
        <v>1128</v>
      </c>
      <c r="D6" s="6" t="s">
        <v>8</v>
      </c>
      <c r="E6" s="14" t="s">
        <v>9</v>
      </c>
      <c r="F6" s="14" t="s">
        <v>595</v>
      </c>
      <c r="G6" s="24" t="s">
        <v>1106</v>
      </c>
      <c r="H6" s="14" t="s">
        <v>1107</v>
      </c>
      <c r="I6" s="14" t="s">
        <v>560</v>
      </c>
      <c r="J6" s="15" t="str">
        <f>+"= "&amp;+F2&amp;"+"&amp;+G2&amp;"+"&amp;+H2&amp;"+"&amp;+I2</f>
        <v>= B+C+D+E</v>
      </c>
      <c r="K6" s="14" t="s">
        <v>1110</v>
      </c>
      <c r="L6" s="15" t="s">
        <v>1110</v>
      </c>
      <c r="M6" s="15" t="str">
        <f>+"= "&amp;+J2&amp;"/"&amp;+E2</f>
        <v>= F/A</v>
      </c>
      <c r="N6" s="3" t="s">
        <v>10</v>
      </c>
      <c r="O6" s="3" t="s">
        <v>11</v>
      </c>
      <c r="P6" s="3" t="s">
        <v>13</v>
      </c>
      <c r="Q6" s="3" t="s">
        <v>12</v>
      </c>
      <c r="R6" s="3" t="s">
        <v>13</v>
      </c>
      <c r="S6" s="3" t="s">
        <v>14</v>
      </c>
      <c r="T6" s="15" t="s">
        <v>563</v>
      </c>
      <c r="U6" s="14" t="s">
        <v>1107</v>
      </c>
      <c r="V6" s="3" t="s">
        <v>15</v>
      </c>
      <c r="W6" s="3" t="s">
        <v>11</v>
      </c>
      <c r="X6" s="3" t="s">
        <v>16</v>
      </c>
      <c r="Y6" s="3" t="s">
        <v>10</v>
      </c>
      <c r="Z6" s="3" t="s">
        <v>11</v>
      </c>
      <c r="AA6" s="3" t="s">
        <v>13</v>
      </c>
      <c r="AB6" s="3" t="s">
        <v>12</v>
      </c>
      <c r="AC6" s="3" t="s">
        <v>13</v>
      </c>
      <c r="AD6" s="3" t="s">
        <v>14</v>
      </c>
      <c r="AE6" s="15" t="s">
        <v>563</v>
      </c>
      <c r="AF6" s="3" t="s">
        <v>1107</v>
      </c>
      <c r="AG6" s="3" t="s">
        <v>15</v>
      </c>
      <c r="AH6" s="3" t="s">
        <v>11</v>
      </c>
      <c r="AI6" s="3" t="s">
        <v>16</v>
      </c>
      <c r="AJ6" s="3" t="s">
        <v>10</v>
      </c>
      <c r="AK6" s="3" t="s">
        <v>11</v>
      </c>
      <c r="AL6" s="3" t="s">
        <v>13</v>
      </c>
      <c r="AM6" s="3" t="s">
        <v>12</v>
      </c>
      <c r="AN6" s="3" t="s">
        <v>13</v>
      </c>
      <c r="AO6" s="3" t="s">
        <v>14</v>
      </c>
      <c r="AP6" s="15" t="s">
        <v>563</v>
      </c>
      <c r="AQ6" s="3" t="s">
        <v>1107</v>
      </c>
      <c r="AR6" s="3" t="s">
        <v>15</v>
      </c>
      <c r="AS6" s="3" t="s">
        <v>11</v>
      </c>
      <c r="AT6" s="3" t="s">
        <v>16</v>
      </c>
      <c r="AU6" s="21" t="s">
        <v>584</v>
      </c>
      <c r="AV6" s="21" t="s">
        <v>585</v>
      </c>
      <c r="AW6" s="21" t="s">
        <v>1094</v>
      </c>
      <c r="AX6" s="15" t="s">
        <v>7</v>
      </c>
      <c r="AY6" s="21" t="s">
        <v>584</v>
      </c>
      <c r="AZ6" s="21" t="s">
        <v>585</v>
      </c>
      <c r="BA6" s="21" t="s">
        <v>1094</v>
      </c>
      <c r="BB6" s="15" t="s">
        <v>7</v>
      </c>
      <c r="BC6" s="21" t="s">
        <v>584</v>
      </c>
      <c r="BD6" s="21" t="s">
        <v>585</v>
      </c>
      <c r="BE6" s="21" t="s">
        <v>1094</v>
      </c>
      <c r="BF6" s="15" t="s">
        <v>7</v>
      </c>
    </row>
    <row r="7" spans="1:58" x14ac:dyDescent="0.25">
      <c r="A7" s="29" t="s">
        <v>1128</v>
      </c>
      <c r="B7" s="29" t="s">
        <v>1128</v>
      </c>
      <c r="C7" s="1" t="s">
        <v>556</v>
      </c>
      <c r="D7" s="29" t="s">
        <v>1128</v>
      </c>
      <c r="E7" s="11">
        <f t="shared" ref="E7:L7" si="0">E555</f>
        <v>840941.27</v>
      </c>
      <c r="F7" s="11">
        <f t="shared" si="0"/>
        <v>26068635.240000002</v>
      </c>
      <c r="G7" s="11">
        <f t="shared" si="0"/>
        <v>10000000</v>
      </c>
      <c r="H7" s="11">
        <f t="shared" si="0"/>
        <v>5444489</v>
      </c>
      <c r="I7" s="11">
        <f t="shared" si="0"/>
        <v>39488.99999998905</v>
      </c>
      <c r="J7" s="11">
        <f t="shared" si="0"/>
        <v>41552613.239999987</v>
      </c>
      <c r="K7" s="11">
        <f t="shared" si="0"/>
        <v>10530457.436916491</v>
      </c>
      <c r="L7" s="11">
        <f t="shared" si="0"/>
        <v>52083070.676916428</v>
      </c>
      <c r="M7" s="8">
        <f>IF(E7=0,0,J7/E7)</f>
        <v>49.412027596172067</v>
      </c>
      <c r="N7" s="11">
        <f t="shared" ref="N7:X7" si="1">N555</f>
        <v>22892497</v>
      </c>
      <c r="O7" s="11">
        <f t="shared" si="1"/>
        <v>20732</v>
      </c>
      <c r="P7" s="11">
        <f t="shared" si="1"/>
        <v>270103</v>
      </c>
      <c r="Q7" s="11">
        <f t="shared" si="1"/>
        <v>2620754.9299999997</v>
      </c>
      <c r="R7" s="11">
        <f t="shared" si="1"/>
        <v>95864</v>
      </c>
      <c r="S7" s="11">
        <f t="shared" si="1"/>
        <v>168684.31000000006</v>
      </c>
      <c r="T7" s="11">
        <f t="shared" si="1"/>
        <v>10000000</v>
      </c>
      <c r="U7" s="11">
        <f t="shared" si="1"/>
        <v>5444489</v>
      </c>
      <c r="V7" s="11">
        <f t="shared" si="1"/>
        <v>38950</v>
      </c>
      <c r="W7" s="11">
        <f t="shared" si="1"/>
        <v>538.99999998413841</v>
      </c>
      <c r="X7" s="11">
        <f t="shared" si="1"/>
        <v>41552613.239999987</v>
      </c>
      <c r="Y7" s="11">
        <f t="shared" ref="Y7:AT7" si="2">Y555</f>
        <v>5316551850</v>
      </c>
      <c r="Z7" s="11">
        <f t="shared" si="2"/>
        <v>4813900</v>
      </c>
      <c r="AA7" s="11">
        <f t="shared" si="2"/>
        <v>62730918</v>
      </c>
      <c r="AB7" s="11">
        <f t="shared" si="2"/>
        <v>520691593</v>
      </c>
      <c r="AC7" s="11">
        <f t="shared" si="2"/>
        <v>24748980.879999999</v>
      </c>
      <c r="AD7" s="11">
        <f t="shared" si="2"/>
        <v>15885224.939999999</v>
      </c>
      <c r="AE7" s="11">
        <f t="shared" si="2"/>
        <v>109925771</v>
      </c>
      <c r="AF7" s="11">
        <f t="shared" si="2"/>
        <v>43885142</v>
      </c>
      <c r="AG7" s="11">
        <f t="shared" si="2"/>
        <v>106369342.98388784</v>
      </c>
      <c r="AH7" s="11">
        <f t="shared" si="2"/>
        <v>1354769092.1800587</v>
      </c>
      <c r="AI7" s="11">
        <f t="shared" si="2"/>
        <v>7560371814.9839478</v>
      </c>
      <c r="AJ7" s="11">
        <f t="shared" si="2"/>
        <v>5339444347</v>
      </c>
      <c r="AK7" s="11">
        <f t="shared" si="2"/>
        <v>4834632</v>
      </c>
      <c r="AL7" s="11">
        <f t="shared" si="2"/>
        <v>63001021</v>
      </c>
      <c r="AM7" s="11">
        <f t="shared" si="2"/>
        <v>523312347.93000001</v>
      </c>
      <c r="AN7" s="11">
        <f t="shared" si="2"/>
        <v>24844844.879999999</v>
      </c>
      <c r="AO7" s="11">
        <f t="shared" si="2"/>
        <v>16053909.25</v>
      </c>
      <c r="AP7" s="11">
        <f t="shared" si="2"/>
        <v>119925770.99999987</v>
      </c>
      <c r="AQ7" s="11">
        <f t="shared" si="2"/>
        <v>49329631</v>
      </c>
      <c r="AR7" s="11">
        <f t="shared" si="2"/>
        <v>106408292.98388784</v>
      </c>
      <c r="AS7" s="11">
        <f t="shared" si="2"/>
        <v>1354769631.1800587</v>
      </c>
      <c r="AT7" s="11">
        <f t="shared" si="2"/>
        <v>7601924428.2239389</v>
      </c>
      <c r="AU7" s="12">
        <f>SUM(AU16:AU546)</f>
        <v>44058720</v>
      </c>
      <c r="AV7" s="12">
        <f t="shared" ref="AV7:BF7" si="3">SUM(AV16:AV546)</f>
        <v>10092924.513006005</v>
      </c>
      <c r="AW7" s="12">
        <f t="shared" si="3"/>
        <v>12055556.5</v>
      </c>
      <c r="AX7" s="12">
        <f t="shared" si="3"/>
        <v>66207201.013006017</v>
      </c>
      <c r="AY7" s="12">
        <f>SUM(AY16:AY546)</f>
        <v>49240392.628000066</v>
      </c>
      <c r="AZ7" s="12">
        <f>SUM(AZ16:AZ546)</f>
        <v>12092513.3219225</v>
      </c>
      <c r="BA7" s="12">
        <f>SUM(BA16:BA546)</f>
        <v>15404752.499999993</v>
      </c>
      <c r="BB7" s="12">
        <f>SUM(BB16:BB546)</f>
        <v>76737658.449922442</v>
      </c>
      <c r="BC7" s="12">
        <f t="shared" si="3"/>
        <v>5181672.628000007</v>
      </c>
      <c r="BD7" s="12">
        <f t="shared" si="3"/>
        <v>1999588.8089164959</v>
      </c>
      <c r="BE7" s="12">
        <f t="shared" si="3"/>
        <v>3349196.0000000023</v>
      </c>
      <c r="BF7" s="12">
        <f t="shared" si="3"/>
        <v>10530457.436916491</v>
      </c>
    </row>
    <row r="8" spans="1:58" x14ac:dyDescent="0.25">
      <c r="A8" s="9">
        <v>9001</v>
      </c>
      <c r="B8" s="9">
        <v>1</v>
      </c>
      <c r="C8" s="9" t="s">
        <v>548</v>
      </c>
      <c r="D8" s="3"/>
      <c r="E8" s="11">
        <f>E547</f>
        <v>73700</v>
      </c>
      <c r="F8" s="11">
        <f t="shared" ref="F8:BF13" si="4">F547</f>
        <v>2634788.5</v>
      </c>
      <c r="G8" s="11">
        <f t="shared" si="4"/>
        <v>993386.71999999986</v>
      </c>
      <c r="H8" s="11">
        <f t="shared" si="4"/>
        <v>1284008</v>
      </c>
      <c r="I8" s="11">
        <f t="shared" si="4"/>
        <v>320.000000028871</v>
      </c>
      <c r="J8" s="11">
        <f t="shared" si="4"/>
        <v>4912503.2200000286</v>
      </c>
      <c r="K8" s="11">
        <f t="shared" si="4"/>
        <v>1278779.7426182297</v>
      </c>
      <c r="L8" s="11">
        <f t="shared" si="4"/>
        <v>6191282.9626182579</v>
      </c>
      <c r="M8" s="11">
        <f t="shared" si="4"/>
        <v>66.655403256445439</v>
      </c>
      <c r="N8" s="11">
        <f t="shared" si="4"/>
        <v>1990735</v>
      </c>
      <c r="O8" s="11">
        <f t="shared" si="4"/>
        <v>66</v>
      </c>
      <c r="P8" s="11">
        <f t="shared" si="4"/>
        <v>0</v>
      </c>
      <c r="Q8" s="11">
        <f t="shared" si="4"/>
        <v>643987.5</v>
      </c>
      <c r="R8" s="11">
        <f t="shared" si="4"/>
        <v>0</v>
      </c>
      <c r="S8" s="11">
        <f t="shared" si="4"/>
        <v>0</v>
      </c>
      <c r="T8" s="11">
        <f t="shared" si="4"/>
        <v>993386.71999999986</v>
      </c>
      <c r="U8" s="11">
        <f t="shared" si="4"/>
        <v>1284008</v>
      </c>
      <c r="V8" s="11">
        <f t="shared" si="4"/>
        <v>0</v>
      </c>
      <c r="W8" s="11">
        <f t="shared" si="4"/>
        <v>320</v>
      </c>
      <c r="X8" s="11">
        <f t="shared" si="4"/>
        <v>4912503.2200000286</v>
      </c>
      <c r="Y8" s="11">
        <f t="shared" si="4"/>
        <v>462328296</v>
      </c>
      <c r="Z8" s="11">
        <f t="shared" si="4"/>
        <v>15281</v>
      </c>
      <c r="AA8" s="11">
        <f t="shared" si="4"/>
        <v>0</v>
      </c>
      <c r="AB8" s="11">
        <f t="shared" si="4"/>
        <v>127947437</v>
      </c>
      <c r="AC8" s="11">
        <f t="shared" si="4"/>
        <v>0</v>
      </c>
      <c r="AD8" s="11">
        <f t="shared" si="4"/>
        <v>0</v>
      </c>
      <c r="AE8" s="11">
        <f t="shared" si="4"/>
        <v>9433320</v>
      </c>
      <c r="AF8" s="11">
        <f t="shared" si="4"/>
        <v>12507894</v>
      </c>
      <c r="AG8" s="11">
        <f t="shared" si="4"/>
        <v>3981470</v>
      </c>
      <c r="AH8" s="11">
        <f t="shared" si="4"/>
        <v>177748262.55000001</v>
      </c>
      <c r="AI8" s="11">
        <f t="shared" si="4"/>
        <v>793961960.54999995</v>
      </c>
      <c r="AJ8" s="11">
        <f t="shared" si="4"/>
        <v>464319031</v>
      </c>
      <c r="AK8" s="11">
        <f t="shared" si="4"/>
        <v>15347</v>
      </c>
      <c r="AL8" s="11">
        <f t="shared" si="4"/>
        <v>0</v>
      </c>
      <c r="AM8" s="11">
        <f t="shared" si="4"/>
        <v>128591424.5</v>
      </c>
      <c r="AN8" s="11">
        <f t="shared" si="4"/>
        <v>0</v>
      </c>
      <c r="AO8" s="11">
        <f t="shared" si="4"/>
        <v>0</v>
      </c>
      <c r="AP8" s="11">
        <f t="shared" si="4"/>
        <v>10426706.720000001</v>
      </c>
      <c r="AQ8" s="11">
        <f t="shared" si="4"/>
        <v>13791902</v>
      </c>
      <c r="AR8" s="11">
        <f t="shared" si="4"/>
        <v>3981470</v>
      </c>
      <c r="AS8" s="11">
        <f t="shared" si="4"/>
        <v>177748582.55000001</v>
      </c>
      <c r="AT8" s="11">
        <f t="shared" si="4"/>
        <v>798874463.76999998</v>
      </c>
      <c r="AU8" s="11">
        <f t="shared" si="4"/>
        <v>6193560</v>
      </c>
      <c r="AV8" s="11">
        <f t="shared" si="4"/>
        <v>1532176.0630880138</v>
      </c>
      <c r="AW8" s="11">
        <f t="shared" si="4"/>
        <v>1067559.5</v>
      </c>
      <c r="AX8" s="11">
        <f t="shared" si="4"/>
        <v>8793295.5630880147</v>
      </c>
      <c r="AY8" s="11">
        <f t="shared" si="4"/>
        <v>6921974.2690000003</v>
      </c>
      <c r="AZ8" s="11">
        <f t="shared" si="4"/>
        <v>1835727.5367062436</v>
      </c>
      <c r="BA8" s="11">
        <f t="shared" si="4"/>
        <v>1314373.5</v>
      </c>
      <c r="BB8" s="11">
        <f t="shared" si="4"/>
        <v>10072075.305706244</v>
      </c>
      <c r="BC8" s="11">
        <f t="shared" si="4"/>
        <v>728414.26900000032</v>
      </c>
      <c r="BD8" s="11">
        <f t="shared" si="4"/>
        <v>303551.47361822973</v>
      </c>
      <c r="BE8" s="11">
        <f t="shared" si="4"/>
        <v>246813.99999999953</v>
      </c>
      <c r="BF8" s="11">
        <f t="shared" si="4"/>
        <v>1278779.7426182297</v>
      </c>
    </row>
    <row r="9" spans="1:58" x14ac:dyDescent="0.25">
      <c r="A9" s="9">
        <v>9002</v>
      </c>
      <c r="B9" s="9">
        <v>2</v>
      </c>
      <c r="C9" s="9" t="s">
        <v>549</v>
      </c>
      <c r="D9" s="3"/>
      <c r="E9" s="11">
        <f t="shared" ref="E9:T13" si="5">E548</f>
        <v>87641</v>
      </c>
      <c r="F9" s="11">
        <f t="shared" si="5"/>
        <v>2664331.5</v>
      </c>
      <c r="G9" s="11">
        <f t="shared" si="5"/>
        <v>448605.9</v>
      </c>
      <c r="H9" s="11">
        <f t="shared" si="5"/>
        <v>837897</v>
      </c>
      <c r="I9" s="11">
        <f t="shared" si="5"/>
        <v>937.00000000221189</v>
      </c>
      <c r="J9" s="11">
        <f t="shared" si="5"/>
        <v>3951771.4000000022</v>
      </c>
      <c r="K9" s="11">
        <f t="shared" si="5"/>
        <v>1114238.5397410132</v>
      </c>
      <c r="L9" s="11">
        <f t="shared" si="5"/>
        <v>5066009.9397410154</v>
      </c>
      <c r="M9" s="11">
        <f t="shared" si="5"/>
        <v>45.090441688250955</v>
      </c>
      <c r="N9" s="11">
        <f t="shared" si="5"/>
        <v>2385150</v>
      </c>
      <c r="O9" s="11">
        <f t="shared" si="5"/>
        <v>643</v>
      </c>
      <c r="P9" s="11">
        <f t="shared" si="5"/>
        <v>28</v>
      </c>
      <c r="Q9" s="11">
        <f t="shared" si="5"/>
        <v>278510.5</v>
      </c>
      <c r="R9" s="11">
        <f t="shared" si="5"/>
        <v>0</v>
      </c>
      <c r="S9" s="11">
        <f t="shared" si="5"/>
        <v>0</v>
      </c>
      <c r="T9" s="11">
        <f t="shared" si="5"/>
        <v>448605.9</v>
      </c>
      <c r="U9" s="11">
        <f t="shared" si="4"/>
        <v>837897</v>
      </c>
      <c r="V9" s="11">
        <f t="shared" si="4"/>
        <v>0</v>
      </c>
      <c r="W9" s="11">
        <f t="shared" si="4"/>
        <v>937</v>
      </c>
      <c r="X9" s="11">
        <f t="shared" si="4"/>
        <v>3951771.4000000022</v>
      </c>
      <c r="Y9" s="11">
        <f t="shared" si="4"/>
        <v>553927526</v>
      </c>
      <c r="Z9" s="11">
        <f t="shared" si="4"/>
        <v>149563</v>
      </c>
      <c r="AA9" s="11">
        <f t="shared" si="4"/>
        <v>6542</v>
      </c>
      <c r="AB9" s="11">
        <f t="shared" si="4"/>
        <v>55334464</v>
      </c>
      <c r="AC9" s="11">
        <f t="shared" si="4"/>
        <v>0</v>
      </c>
      <c r="AD9" s="11">
        <f t="shared" si="4"/>
        <v>0</v>
      </c>
      <c r="AE9" s="11">
        <f t="shared" si="4"/>
        <v>16020784</v>
      </c>
      <c r="AF9" s="11">
        <f t="shared" si="4"/>
        <v>5508624</v>
      </c>
      <c r="AG9" s="11">
        <f t="shared" si="4"/>
        <v>10839933</v>
      </c>
      <c r="AH9" s="11">
        <f t="shared" si="4"/>
        <v>183203217.85999998</v>
      </c>
      <c r="AI9" s="11">
        <f t="shared" si="4"/>
        <v>824990653.86000001</v>
      </c>
      <c r="AJ9" s="11">
        <f t="shared" si="4"/>
        <v>556312676</v>
      </c>
      <c r="AK9" s="11">
        <f t="shared" si="4"/>
        <v>150206</v>
      </c>
      <c r="AL9" s="11">
        <f t="shared" si="4"/>
        <v>6570</v>
      </c>
      <c r="AM9" s="11">
        <f t="shared" si="4"/>
        <v>55612974.5</v>
      </c>
      <c r="AN9" s="11">
        <f t="shared" si="4"/>
        <v>0</v>
      </c>
      <c r="AO9" s="11">
        <f t="shared" si="4"/>
        <v>0</v>
      </c>
      <c r="AP9" s="11">
        <f t="shared" si="4"/>
        <v>16469389.9</v>
      </c>
      <c r="AQ9" s="11">
        <f t="shared" si="4"/>
        <v>6346521</v>
      </c>
      <c r="AR9" s="11">
        <f t="shared" si="4"/>
        <v>10839933</v>
      </c>
      <c r="AS9" s="11">
        <f t="shared" si="4"/>
        <v>183204154.85999998</v>
      </c>
      <c r="AT9" s="11">
        <f t="shared" si="4"/>
        <v>828942425.25999999</v>
      </c>
      <c r="AU9" s="11">
        <f t="shared" si="4"/>
        <v>4915080</v>
      </c>
      <c r="AV9" s="11">
        <f t="shared" si="4"/>
        <v>1140776.2519102644</v>
      </c>
      <c r="AW9" s="11">
        <f t="shared" si="4"/>
        <v>1126670.125</v>
      </c>
      <c r="AX9" s="11">
        <f t="shared" si="4"/>
        <v>7182526.3769102646</v>
      </c>
      <c r="AY9" s="11">
        <f t="shared" si="4"/>
        <v>5493134.3670000006</v>
      </c>
      <c r="AZ9" s="11">
        <f t="shared" si="4"/>
        <v>1366784.424651278</v>
      </c>
      <c r="BA9" s="11">
        <f t="shared" si="4"/>
        <v>1436846.125</v>
      </c>
      <c r="BB9" s="11">
        <f t="shared" si="4"/>
        <v>8296764.9166512787</v>
      </c>
      <c r="BC9" s="11">
        <f t="shared" si="4"/>
        <v>578054.36699999985</v>
      </c>
      <c r="BD9" s="11">
        <f t="shared" si="4"/>
        <v>226008.17274101338</v>
      </c>
      <c r="BE9" s="11">
        <f t="shared" si="4"/>
        <v>310175.99999999983</v>
      </c>
      <c r="BF9" s="11">
        <f t="shared" si="4"/>
        <v>1114238.5397410132</v>
      </c>
    </row>
    <row r="10" spans="1:58" x14ac:dyDescent="0.25">
      <c r="A10" s="9">
        <v>9003</v>
      </c>
      <c r="B10" s="9">
        <v>3</v>
      </c>
      <c r="C10" s="9" t="s">
        <v>550</v>
      </c>
      <c r="D10" s="3"/>
      <c r="E10" s="11">
        <f t="shared" si="5"/>
        <v>264063</v>
      </c>
      <c r="F10" s="11">
        <f t="shared" si="4"/>
        <v>7616955.75</v>
      </c>
      <c r="G10" s="11">
        <f t="shared" si="4"/>
        <v>1332753.18</v>
      </c>
      <c r="H10" s="11">
        <f t="shared" si="4"/>
        <v>1495046</v>
      </c>
      <c r="I10" s="11">
        <f t="shared" si="4"/>
        <v>2982.9999999792781</v>
      </c>
      <c r="J10" s="11">
        <f t="shared" si="4"/>
        <v>10447737.929999979</v>
      </c>
      <c r="K10" s="11">
        <f t="shared" si="4"/>
        <v>2954969.506394349</v>
      </c>
      <c r="L10" s="11">
        <f t="shared" si="4"/>
        <v>13402707.436394328</v>
      </c>
      <c r="M10" s="11">
        <f t="shared" si="4"/>
        <v>39.565323161518194</v>
      </c>
      <c r="N10" s="11">
        <f t="shared" si="4"/>
        <v>7198383</v>
      </c>
      <c r="O10" s="11">
        <f t="shared" si="4"/>
        <v>3625</v>
      </c>
      <c r="P10" s="11">
        <f t="shared" si="4"/>
        <v>18034</v>
      </c>
      <c r="Q10" s="11">
        <f t="shared" si="4"/>
        <v>396913.75</v>
      </c>
      <c r="R10" s="11">
        <f t="shared" si="4"/>
        <v>0</v>
      </c>
      <c r="S10" s="11">
        <f t="shared" si="4"/>
        <v>0</v>
      </c>
      <c r="T10" s="11">
        <f t="shared" si="4"/>
        <v>1332753.18</v>
      </c>
      <c r="U10" s="11">
        <f t="shared" si="4"/>
        <v>1495046</v>
      </c>
      <c r="V10" s="11">
        <f t="shared" si="4"/>
        <v>138</v>
      </c>
      <c r="W10" s="11">
        <f t="shared" si="4"/>
        <v>2844.9999999925494</v>
      </c>
      <c r="X10" s="11">
        <f t="shared" si="4"/>
        <v>10447737.929999979</v>
      </c>
      <c r="Y10" s="11">
        <f t="shared" si="4"/>
        <v>1671752063</v>
      </c>
      <c r="Z10" s="11">
        <f t="shared" si="4"/>
        <v>842021</v>
      </c>
      <c r="AA10" s="11">
        <f t="shared" si="4"/>
        <v>4188748</v>
      </c>
      <c r="AB10" s="11">
        <f t="shared" si="4"/>
        <v>78858824</v>
      </c>
      <c r="AC10" s="11">
        <f t="shared" si="4"/>
        <v>0</v>
      </c>
      <c r="AD10" s="11">
        <f t="shared" si="4"/>
        <v>115244</v>
      </c>
      <c r="AE10" s="11">
        <f t="shared" si="4"/>
        <v>52754780</v>
      </c>
      <c r="AF10" s="11">
        <f t="shared" si="4"/>
        <v>9004200</v>
      </c>
      <c r="AG10" s="11">
        <f t="shared" si="4"/>
        <v>35111183.25</v>
      </c>
      <c r="AH10" s="11">
        <f t="shared" si="4"/>
        <v>504631885.33999997</v>
      </c>
      <c r="AI10" s="11">
        <f t="shared" si="4"/>
        <v>2357258948.5900002</v>
      </c>
      <c r="AJ10" s="11">
        <f t="shared" si="4"/>
        <v>1678950446</v>
      </c>
      <c r="AK10" s="11">
        <f t="shared" si="4"/>
        <v>845646</v>
      </c>
      <c r="AL10" s="11">
        <f t="shared" si="4"/>
        <v>4206782</v>
      </c>
      <c r="AM10" s="11">
        <f t="shared" si="4"/>
        <v>79255737.75</v>
      </c>
      <c r="AN10" s="11">
        <f t="shared" si="4"/>
        <v>0</v>
      </c>
      <c r="AO10" s="11">
        <f t="shared" si="4"/>
        <v>115244</v>
      </c>
      <c r="AP10" s="11">
        <f t="shared" si="4"/>
        <v>54087533.179999985</v>
      </c>
      <c r="AQ10" s="11">
        <f t="shared" si="4"/>
        <v>10499246</v>
      </c>
      <c r="AR10" s="11">
        <f t="shared" si="4"/>
        <v>35111321.25</v>
      </c>
      <c r="AS10" s="11">
        <f t="shared" si="4"/>
        <v>504634730.33999997</v>
      </c>
      <c r="AT10" s="11">
        <f t="shared" si="4"/>
        <v>2367706686.5200009</v>
      </c>
      <c r="AU10" s="11">
        <f t="shared" si="4"/>
        <v>13646520</v>
      </c>
      <c r="AV10" s="11">
        <f t="shared" si="4"/>
        <v>2754720.7400579853</v>
      </c>
      <c r="AW10" s="11">
        <f t="shared" si="4"/>
        <v>3444689.125</v>
      </c>
      <c r="AX10" s="11">
        <f t="shared" si="4"/>
        <v>19845929.865057986</v>
      </c>
      <c r="AY10" s="11">
        <f t="shared" si="4"/>
        <v>15251464.473000001</v>
      </c>
      <c r="AZ10" s="11">
        <f t="shared" si="4"/>
        <v>3300480.1734523354</v>
      </c>
      <c r="BA10" s="11">
        <f t="shared" si="4"/>
        <v>4248954.7250000006</v>
      </c>
      <c r="BB10" s="11">
        <f t="shared" si="4"/>
        <v>22800899.371452339</v>
      </c>
      <c r="BC10" s="11">
        <f t="shared" si="4"/>
        <v>1604944.4729999998</v>
      </c>
      <c r="BD10" s="11">
        <f t="shared" si="4"/>
        <v>545759.43339435081</v>
      </c>
      <c r="BE10" s="11">
        <f t="shared" si="4"/>
        <v>804265.6</v>
      </c>
      <c r="BF10" s="11">
        <f t="shared" si="4"/>
        <v>2954969.506394349</v>
      </c>
    </row>
    <row r="11" spans="1:58" x14ac:dyDescent="0.25">
      <c r="A11" s="9">
        <v>9004</v>
      </c>
      <c r="B11" s="9">
        <v>4</v>
      </c>
      <c r="C11" s="9" t="s">
        <v>551</v>
      </c>
      <c r="D11" s="3"/>
      <c r="E11" s="11">
        <f t="shared" si="5"/>
        <v>183950</v>
      </c>
      <c r="F11" s="11">
        <f t="shared" si="4"/>
        <v>5629737.0999999996</v>
      </c>
      <c r="G11" s="11">
        <f t="shared" si="4"/>
        <v>3373983.2600000002</v>
      </c>
      <c r="H11" s="11">
        <f t="shared" si="4"/>
        <v>642220</v>
      </c>
      <c r="I11" s="11">
        <f t="shared" si="4"/>
        <v>5691.9999999846332</v>
      </c>
      <c r="J11" s="11">
        <f t="shared" si="4"/>
        <v>9651632.3599999845</v>
      </c>
      <c r="K11" s="11">
        <f t="shared" si="4"/>
        <v>2433388.6762725068</v>
      </c>
      <c r="L11" s="11">
        <f t="shared" si="4"/>
        <v>12085021.036272492</v>
      </c>
      <c r="M11" s="11">
        <f t="shared" si="4"/>
        <v>52.468781516716412</v>
      </c>
      <c r="N11" s="11">
        <f t="shared" si="4"/>
        <v>4999972</v>
      </c>
      <c r="O11" s="11">
        <f t="shared" si="4"/>
        <v>4656</v>
      </c>
      <c r="P11" s="11">
        <f t="shared" si="4"/>
        <v>69330</v>
      </c>
      <c r="Q11" s="11">
        <f t="shared" si="4"/>
        <v>482651.5</v>
      </c>
      <c r="R11" s="11">
        <f t="shared" si="4"/>
        <v>2691</v>
      </c>
      <c r="S11" s="11">
        <f t="shared" si="4"/>
        <v>70436.600000000006</v>
      </c>
      <c r="T11" s="11">
        <f t="shared" si="4"/>
        <v>3373983.2600000002</v>
      </c>
      <c r="U11" s="11">
        <f t="shared" si="4"/>
        <v>642220</v>
      </c>
      <c r="V11" s="11">
        <f t="shared" si="4"/>
        <v>1255</v>
      </c>
      <c r="W11" s="11">
        <f t="shared" si="4"/>
        <v>4436.9999999906868</v>
      </c>
      <c r="X11" s="11">
        <f t="shared" si="4"/>
        <v>9651632.3599999845</v>
      </c>
      <c r="Y11" s="11">
        <f t="shared" si="4"/>
        <v>1161193615</v>
      </c>
      <c r="Z11" s="11">
        <f t="shared" si="4"/>
        <v>1081401</v>
      </c>
      <c r="AA11" s="11">
        <f t="shared" si="4"/>
        <v>16101281</v>
      </c>
      <c r="AB11" s="11">
        <f t="shared" si="4"/>
        <v>95893201</v>
      </c>
      <c r="AC11" s="11">
        <f t="shared" si="4"/>
        <v>567844</v>
      </c>
      <c r="AD11" s="11">
        <f t="shared" si="4"/>
        <v>0</v>
      </c>
      <c r="AE11" s="11">
        <f t="shared" si="4"/>
        <v>8678540</v>
      </c>
      <c r="AF11" s="11">
        <f t="shared" si="4"/>
        <v>5724766</v>
      </c>
      <c r="AG11" s="11">
        <f t="shared" si="4"/>
        <v>26236675</v>
      </c>
      <c r="AH11" s="11">
        <f t="shared" si="4"/>
        <v>220627653.77000004</v>
      </c>
      <c r="AI11" s="11">
        <f t="shared" si="4"/>
        <v>1536104976.77</v>
      </c>
      <c r="AJ11" s="11">
        <f t="shared" si="4"/>
        <v>1166193587</v>
      </c>
      <c r="AK11" s="11">
        <f t="shared" si="4"/>
        <v>1086057</v>
      </c>
      <c r="AL11" s="11">
        <f t="shared" si="4"/>
        <v>16170611</v>
      </c>
      <c r="AM11" s="11">
        <f t="shared" si="4"/>
        <v>96375852.5</v>
      </c>
      <c r="AN11" s="11">
        <f t="shared" si="4"/>
        <v>570535</v>
      </c>
      <c r="AO11" s="11">
        <f t="shared" si="4"/>
        <v>70436.600000000006</v>
      </c>
      <c r="AP11" s="11">
        <f t="shared" si="4"/>
        <v>12052523.26</v>
      </c>
      <c r="AQ11" s="11">
        <f t="shared" si="4"/>
        <v>6366986</v>
      </c>
      <c r="AR11" s="11">
        <f t="shared" si="4"/>
        <v>26237930</v>
      </c>
      <c r="AS11" s="11">
        <f t="shared" si="4"/>
        <v>220632090.77000004</v>
      </c>
      <c r="AT11" s="11">
        <f t="shared" si="4"/>
        <v>1545756609.1300004</v>
      </c>
      <c r="AU11" s="11">
        <f t="shared" si="4"/>
        <v>10435680</v>
      </c>
      <c r="AV11" s="11">
        <f t="shared" si="4"/>
        <v>2400521.0632154797</v>
      </c>
      <c r="AW11" s="11">
        <f t="shared" si="4"/>
        <v>2536009.375</v>
      </c>
      <c r="AX11" s="11">
        <f t="shared" si="4"/>
        <v>15372210.438215479</v>
      </c>
      <c r="AY11" s="11">
        <f t="shared" si="4"/>
        <v>11663002.932</v>
      </c>
      <c r="AZ11" s="11">
        <f t="shared" si="4"/>
        <v>2876107.2074879864</v>
      </c>
      <c r="BA11" s="11">
        <f t="shared" si="4"/>
        <v>3266488.9750000001</v>
      </c>
      <c r="BB11" s="11">
        <f t="shared" si="4"/>
        <v>17805599.114487987</v>
      </c>
      <c r="BC11" s="11">
        <f t="shared" si="4"/>
        <v>1227322.9320000003</v>
      </c>
      <c r="BD11" s="11">
        <f t="shared" si="4"/>
        <v>475586.14427250717</v>
      </c>
      <c r="BE11" s="11">
        <f t="shared" si="4"/>
        <v>730479.6</v>
      </c>
      <c r="BF11" s="11">
        <f t="shared" si="4"/>
        <v>2433388.6762725068</v>
      </c>
    </row>
    <row r="12" spans="1:58" x14ac:dyDescent="0.25">
      <c r="A12" s="9">
        <v>9005</v>
      </c>
      <c r="B12" s="9">
        <v>5</v>
      </c>
      <c r="C12" s="9" t="s">
        <v>552</v>
      </c>
      <c r="D12" s="3"/>
      <c r="E12" s="11">
        <f t="shared" si="5"/>
        <v>94919</v>
      </c>
      <c r="F12" s="11">
        <f t="shared" si="4"/>
        <v>3209164.21</v>
      </c>
      <c r="G12" s="11">
        <f t="shared" si="4"/>
        <v>1838428.0199999996</v>
      </c>
      <c r="H12" s="11">
        <f t="shared" si="4"/>
        <v>230184</v>
      </c>
      <c r="I12" s="11">
        <f t="shared" si="4"/>
        <v>1413.0000000037253</v>
      </c>
      <c r="J12" s="11">
        <f t="shared" si="4"/>
        <v>5279189.2300000032</v>
      </c>
      <c r="K12" s="11">
        <f t="shared" si="4"/>
        <v>1222011.7844814607</v>
      </c>
      <c r="L12" s="11">
        <f t="shared" si="4"/>
        <v>6501201.0144814644</v>
      </c>
      <c r="M12" s="11">
        <f t="shared" si="4"/>
        <v>55.617834469389727</v>
      </c>
      <c r="N12" s="11">
        <f t="shared" si="4"/>
        <v>2568758</v>
      </c>
      <c r="O12" s="11">
        <f t="shared" si="4"/>
        <v>4039</v>
      </c>
      <c r="P12" s="11">
        <f t="shared" si="4"/>
        <v>76735</v>
      </c>
      <c r="Q12" s="11">
        <f t="shared" si="4"/>
        <v>231286.5</v>
      </c>
      <c r="R12" s="11">
        <f t="shared" si="4"/>
        <v>3416</v>
      </c>
      <c r="S12" s="11">
        <f t="shared" si="4"/>
        <v>324929.71000000002</v>
      </c>
      <c r="T12" s="11">
        <f t="shared" si="4"/>
        <v>1838428.0199999996</v>
      </c>
      <c r="U12" s="11">
        <f t="shared" si="4"/>
        <v>230184</v>
      </c>
      <c r="V12" s="11">
        <f t="shared" si="4"/>
        <v>1081</v>
      </c>
      <c r="W12" s="11">
        <f t="shared" si="4"/>
        <v>332.00000000465661</v>
      </c>
      <c r="X12" s="11">
        <f t="shared" si="4"/>
        <v>5279189.2300000032</v>
      </c>
      <c r="Y12" s="11">
        <f t="shared" si="4"/>
        <v>596567950</v>
      </c>
      <c r="Z12" s="11">
        <f t="shared" si="4"/>
        <v>937445</v>
      </c>
      <c r="AA12" s="11">
        <f t="shared" si="4"/>
        <v>17821185</v>
      </c>
      <c r="AB12" s="11">
        <f t="shared" si="4"/>
        <v>45951999</v>
      </c>
      <c r="AC12" s="11">
        <f t="shared" si="4"/>
        <v>3947733.76</v>
      </c>
      <c r="AD12" s="11">
        <f t="shared" si="4"/>
        <v>198858.94</v>
      </c>
      <c r="AE12" s="11">
        <f t="shared" si="4"/>
        <v>4328740</v>
      </c>
      <c r="AF12" s="11">
        <f t="shared" si="4"/>
        <v>1368871</v>
      </c>
      <c r="AG12" s="11">
        <f t="shared" si="4"/>
        <v>13391491.226967841</v>
      </c>
      <c r="AH12" s="11">
        <f t="shared" si="4"/>
        <v>100009834.66000003</v>
      </c>
      <c r="AI12" s="11">
        <f t="shared" si="4"/>
        <v>784524108.58696795</v>
      </c>
      <c r="AJ12" s="11">
        <f t="shared" si="4"/>
        <v>599136708</v>
      </c>
      <c r="AK12" s="11">
        <f t="shared" si="4"/>
        <v>941484</v>
      </c>
      <c r="AL12" s="11">
        <f t="shared" si="4"/>
        <v>17897920</v>
      </c>
      <c r="AM12" s="11">
        <f t="shared" si="4"/>
        <v>46183285.5</v>
      </c>
      <c r="AN12" s="11">
        <f t="shared" si="4"/>
        <v>3951149.76</v>
      </c>
      <c r="AO12" s="11">
        <f t="shared" si="4"/>
        <v>523788.65</v>
      </c>
      <c r="AP12" s="11">
        <f t="shared" si="4"/>
        <v>6167168.0199999996</v>
      </c>
      <c r="AQ12" s="11">
        <f t="shared" si="4"/>
        <v>1599055</v>
      </c>
      <c r="AR12" s="11">
        <f t="shared" si="4"/>
        <v>13392572.226967841</v>
      </c>
      <c r="AS12" s="11">
        <f t="shared" si="4"/>
        <v>100010166.66000003</v>
      </c>
      <c r="AT12" s="11">
        <f t="shared" si="4"/>
        <v>789803297.81696761</v>
      </c>
      <c r="AU12" s="11">
        <f t="shared" si="4"/>
        <v>4547160</v>
      </c>
      <c r="AV12" s="11">
        <f t="shared" si="4"/>
        <v>1161820.8074926736</v>
      </c>
      <c r="AW12" s="11">
        <f t="shared" si="4"/>
        <v>1398843.875</v>
      </c>
      <c r="AX12" s="11">
        <f t="shared" si="4"/>
        <v>7107824.6824926734</v>
      </c>
      <c r="AY12" s="11">
        <f t="shared" si="4"/>
        <v>5081943.9089999981</v>
      </c>
      <c r="AZ12" s="11">
        <f t="shared" si="4"/>
        <v>1391998.2829741342</v>
      </c>
      <c r="BA12" s="11">
        <f t="shared" si="4"/>
        <v>1855894.2749999999</v>
      </c>
      <c r="BB12" s="11">
        <f t="shared" si="4"/>
        <v>8329836.4669741318</v>
      </c>
      <c r="BC12" s="11">
        <f t="shared" si="4"/>
        <v>534783.90899999999</v>
      </c>
      <c r="BD12" s="11">
        <f t="shared" si="4"/>
        <v>230177.47548146089</v>
      </c>
      <c r="BE12" s="11">
        <f t="shared" si="4"/>
        <v>457050.4</v>
      </c>
      <c r="BF12" s="11">
        <f t="shared" si="4"/>
        <v>1222011.7844814607</v>
      </c>
    </row>
    <row r="13" spans="1:58" x14ac:dyDescent="0.25">
      <c r="A13" s="9">
        <v>9006</v>
      </c>
      <c r="B13" s="9">
        <v>6</v>
      </c>
      <c r="C13" s="9" t="s">
        <v>553</v>
      </c>
      <c r="D13" s="3"/>
      <c r="E13" s="11">
        <f t="shared" si="5"/>
        <v>85764</v>
      </c>
      <c r="F13" s="11">
        <f t="shared" si="4"/>
        <v>2766300</v>
      </c>
      <c r="G13" s="11">
        <f t="shared" si="4"/>
        <v>2014282.6199999996</v>
      </c>
      <c r="H13" s="11">
        <f t="shared" si="4"/>
        <v>163998</v>
      </c>
      <c r="I13" s="11">
        <f t="shared" si="4"/>
        <v>1946.9999999920838</v>
      </c>
      <c r="J13" s="11">
        <f t="shared" si="4"/>
        <v>4946527.6199999917</v>
      </c>
      <c r="K13" s="11">
        <f t="shared" ref="K13:BF13" si="6">K552</f>
        <v>1278202.3874089336</v>
      </c>
      <c r="L13" s="11">
        <f t="shared" si="6"/>
        <v>6224730.0074089253</v>
      </c>
      <c r="M13" s="11">
        <f t="shared" si="6"/>
        <v>57.676036798656682</v>
      </c>
      <c r="N13" s="11">
        <f t="shared" si="6"/>
        <v>2317751</v>
      </c>
      <c r="O13" s="11">
        <f t="shared" si="6"/>
        <v>7353</v>
      </c>
      <c r="P13" s="11">
        <f t="shared" si="6"/>
        <v>102721</v>
      </c>
      <c r="Q13" s="11">
        <f t="shared" si="6"/>
        <v>254160</v>
      </c>
      <c r="R13" s="11">
        <f t="shared" si="6"/>
        <v>84315</v>
      </c>
      <c r="S13" s="11">
        <f t="shared" si="6"/>
        <v>0</v>
      </c>
      <c r="T13" s="11">
        <f t="shared" si="6"/>
        <v>2014282.6199999996</v>
      </c>
      <c r="U13" s="11">
        <f t="shared" si="6"/>
        <v>163998</v>
      </c>
      <c r="V13" s="11">
        <f t="shared" si="6"/>
        <v>1579</v>
      </c>
      <c r="W13" s="11">
        <f t="shared" si="6"/>
        <v>367.99999999767169</v>
      </c>
      <c r="X13" s="11">
        <f t="shared" si="6"/>
        <v>4946527.6199999917</v>
      </c>
      <c r="Y13" s="11">
        <f t="shared" si="6"/>
        <v>538275431</v>
      </c>
      <c r="Z13" s="11">
        <f t="shared" si="6"/>
        <v>1705579</v>
      </c>
      <c r="AA13" s="11">
        <f t="shared" si="6"/>
        <v>23853154</v>
      </c>
      <c r="AB13" s="11">
        <f t="shared" si="6"/>
        <v>50496511</v>
      </c>
      <c r="AC13" s="11">
        <f t="shared" si="6"/>
        <v>18828339.119999997</v>
      </c>
      <c r="AD13" s="11">
        <f t="shared" si="6"/>
        <v>15673986</v>
      </c>
      <c r="AE13" s="11">
        <f t="shared" si="6"/>
        <v>2421926</v>
      </c>
      <c r="AF13" s="11">
        <f t="shared" si="6"/>
        <v>2196600</v>
      </c>
      <c r="AG13" s="11">
        <f t="shared" si="6"/>
        <v>10835398.506919987</v>
      </c>
      <c r="AH13" s="11">
        <f t="shared" si="6"/>
        <v>112111727.29999997</v>
      </c>
      <c r="AI13" s="11">
        <f t="shared" si="6"/>
        <v>776398651.92691982</v>
      </c>
      <c r="AJ13" s="11">
        <f t="shared" si="6"/>
        <v>540593182</v>
      </c>
      <c r="AK13" s="11">
        <f t="shared" si="6"/>
        <v>1712932</v>
      </c>
      <c r="AL13" s="11">
        <f t="shared" si="6"/>
        <v>23955875</v>
      </c>
      <c r="AM13" s="11">
        <f t="shared" si="6"/>
        <v>50750671</v>
      </c>
      <c r="AN13" s="11">
        <f t="shared" si="6"/>
        <v>18912654.119999997</v>
      </c>
      <c r="AO13" s="11">
        <f t="shared" si="6"/>
        <v>15673986</v>
      </c>
      <c r="AP13" s="11">
        <f t="shared" si="6"/>
        <v>4436208.620000001</v>
      </c>
      <c r="AQ13" s="11">
        <f t="shared" si="6"/>
        <v>2360598</v>
      </c>
      <c r="AR13" s="11">
        <f t="shared" si="6"/>
        <v>10836977.506919987</v>
      </c>
      <c r="AS13" s="11">
        <f t="shared" si="6"/>
        <v>112112095.29999997</v>
      </c>
      <c r="AT13" s="11">
        <f t="shared" si="6"/>
        <v>781345179.54692006</v>
      </c>
      <c r="AU13" s="11">
        <f t="shared" si="6"/>
        <v>4320720</v>
      </c>
      <c r="AV13" s="11">
        <f t="shared" si="6"/>
        <v>1102909.5872415912</v>
      </c>
      <c r="AW13" s="11">
        <f t="shared" si="6"/>
        <v>1403757.25</v>
      </c>
      <c r="AX13" s="11">
        <f t="shared" si="6"/>
        <v>6827386.837241591</v>
      </c>
      <c r="AY13" s="11">
        <f t="shared" si="6"/>
        <v>4828872.678000005</v>
      </c>
      <c r="AZ13" s="11">
        <f t="shared" si="6"/>
        <v>1321415.6966505242</v>
      </c>
      <c r="BA13" s="11">
        <f t="shared" si="6"/>
        <v>1955300.8499999992</v>
      </c>
      <c r="BB13" s="11">
        <f t="shared" si="6"/>
        <v>8105589.2246505283</v>
      </c>
      <c r="BC13" s="11">
        <f t="shared" si="6"/>
        <v>508152.67800000095</v>
      </c>
      <c r="BD13" s="11">
        <f t="shared" si="6"/>
        <v>218506.10940893338</v>
      </c>
      <c r="BE13" s="11">
        <f t="shared" si="6"/>
        <v>551543.60000000021</v>
      </c>
      <c r="BF13" s="11">
        <f t="shared" si="6"/>
        <v>1278202.3874089336</v>
      </c>
    </row>
    <row r="14" spans="1:58" x14ac:dyDescent="0.25">
      <c r="A14" s="9">
        <v>9008</v>
      </c>
      <c r="B14" s="9">
        <v>7</v>
      </c>
      <c r="C14" s="9" t="s">
        <v>555</v>
      </c>
      <c r="D14" s="3"/>
      <c r="E14" s="11">
        <f>E554</f>
        <v>48273.74</v>
      </c>
      <c r="F14" s="11">
        <f t="shared" ref="F14:BF14" si="7">F554</f>
        <v>1607985.18</v>
      </c>
      <c r="G14" s="11">
        <f t="shared" si="7"/>
        <v>407527.86000000016</v>
      </c>
      <c r="H14" s="11">
        <f t="shared" si="7"/>
        <v>792215</v>
      </c>
      <c r="I14" s="11">
        <f t="shared" si="7"/>
        <v>25927.999999998603</v>
      </c>
      <c r="J14" s="11">
        <f t="shared" si="7"/>
        <v>2833656.0399999986</v>
      </c>
      <c r="K14" s="11">
        <f t="shared" si="7"/>
        <v>117252.4</v>
      </c>
      <c r="L14" s="11">
        <f t="shared" si="7"/>
        <v>2950908.4399999985</v>
      </c>
      <c r="M14" s="11">
        <f t="shared" si="7"/>
        <v>58.699741101476675</v>
      </c>
      <c r="N14" s="11">
        <f t="shared" si="7"/>
        <v>1297016</v>
      </c>
      <c r="O14" s="11">
        <f t="shared" si="7"/>
        <v>3523</v>
      </c>
      <c r="P14" s="11">
        <f t="shared" si="7"/>
        <v>5471</v>
      </c>
      <c r="Q14" s="11">
        <f t="shared" si="7"/>
        <v>296547.17999999993</v>
      </c>
      <c r="R14" s="11">
        <f t="shared" si="7"/>
        <v>5428</v>
      </c>
      <c r="S14" s="11">
        <f t="shared" si="7"/>
        <v>0</v>
      </c>
      <c r="T14" s="11">
        <f t="shared" si="7"/>
        <v>407527.86000000016</v>
      </c>
      <c r="U14" s="11">
        <f t="shared" si="7"/>
        <v>792215</v>
      </c>
      <c r="V14" s="11">
        <f t="shared" si="7"/>
        <v>38950</v>
      </c>
      <c r="W14" s="11">
        <f t="shared" si="7"/>
        <v>-13022.00000000131</v>
      </c>
      <c r="X14" s="11">
        <f t="shared" si="7"/>
        <v>2833656.0399999986</v>
      </c>
      <c r="Y14" s="11">
        <f t="shared" si="7"/>
        <v>301218479</v>
      </c>
      <c r="Z14" s="11">
        <f t="shared" si="7"/>
        <v>817636</v>
      </c>
      <c r="AA14" s="11">
        <f t="shared" si="7"/>
        <v>1270303</v>
      </c>
      <c r="AB14" s="11">
        <f t="shared" si="7"/>
        <v>58917998</v>
      </c>
      <c r="AC14" s="11">
        <f t="shared" si="7"/>
        <v>1402195</v>
      </c>
      <c r="AD14" s="11">
        <f t="shared" si="7"/>
        <v>0</v>
      </c>
      <c r="AE14" s="11">
        <f t="shared" si="7"/>
        <v>6591808</v>
      </c>
      <c r="AF14" s="11">
        <f t="shared" si="7"/>
        <v>7579186</v>
      </c>
      <c r="AG14" s="11">
        <f t="shared" si="7"/>
        <v>5989800</v>
      </c>
      <c r="AH14" s="11">
        <f t="shared" si="7"/>
        <v>19126227.520059999</v>
      </c>
      <c r="AI14" s="11">
        <f t="shared" si="7"/>
        <v>402913632.52006024</v>
      </c>
      <c r="AJ14" s="11">
        <f t="shared" si="7"/>
        <v>302515495</v>
      </c>
      <c r="AK14" s="11">
        <f t="shared" si="7"/>
        <v>821159</v>
      </c>
      <c r="AL14" s="11">
        <f t="shared" si="7"/>
        <v>1275774</v>
      </c>
      <c r="AM14" s="11">
        <f t="shared" si="7"/>
        <v>59214545.18</v>
      </c>
      <c r="AN14" s="11">
        <f t="shared" si="7"/>
        <v>1407623</v>
      </c>
      <c r="AO14" s="11">
        <f t="shared" si="7"/>
        <v>0</v>
      </c>
      <c r="AP14" s="11">
        <f t="shared" si="7"/>
        <v>6999335.8599999994</v>
      </c>
      <c r="AQ14" s="11">
        <f t="shared" si="7"/>
        <v>8371401</v>
      </c>
      <c r="AR14" s="11">
        <f t="shared" si="7"/>
        <v>6028750</v>
      </c>
      <c r="AS14" s="11">
        <f t="shared" si="7"/>
        <v>19113205.520059999</v>
      </c>
      <c r="AT14" s="11">
        <f t="shared" si="7"/>
        <v>405747288.56005991</v>
      </c>
      <c r="AU14" s="11">
        <f t="shared" si="7"/>
        <v>0</v>
      </c>
      <c r="AV14" s="11">
        <f t="shared" si="7"/>
        <v>0</v>
      </c>
      <c r="AW14" s="11">
        <f t="shared" si="7"/>
        <v>455709.5</v>
      </c>
      <c r="AX14" s="11">
        <f t="shared" si="7"/>
        <v>455709.5</v>
      </c>
      <c r="AY14" s="11">
        <f t="shared" si="7"/>
        <v>0</v>
      </c>
      <c r="AZ14" s="11">
        <f t="shared" si="7"/>
        <v>0</v>
      </c>
      <c r="BA14" s="11">
        <f t="shared" si="7"/>
        <v>572961.90000000014</v>
      </c>
      <c r="BB14" s="11">
        <f t="shared" si="7"/>
        <v>572961.90000000014</v>
      </c>
      <c r="BC14" s="11">
        <f t="shared" si="7"/>
        <v>0</v>
      </c>
      <c r="BD14" s="11">
        <f t="shared" si="7"/>
        <v>0</v>
      </c>
      <c r="BE14" s="11">
        <f t="shared" si="7"/>
        <v>117252.4</v>
      </c>
      <c r="BF14" s="11">
        <f t="shared" si="7"/>
        <v>117252.4</v>
      </c>
    </row>
    <row r="15" spans="1:58" x14ac:dyDescent="0.25">
      <c r="A15" s="29" t="s">
        <v>1130</v>
      </c>
      <c r="B15" s="1"/>
      <c r="C15" s="1"/>
      <c r="D15" s="3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3"/>
      <c r="Z15" s="4"/>
      <c r="AA15" s="3"/>
      <c r="AB15" s="3"/>
      <c r="AC15" s="3"/>
      <c r="AD15" s="3"/>
      <c r="AE15" s="3"/>
      <c r="AF15" s="3"/>
      <c r="AG15" s="3"/>
      <c r="AH15" s="3"/>
      <c r="AI15" s="3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x14ac:dyDescent="0.25">
      <c r="A16" s="7">
        <v>1</v>
      </c>
      <c r="B16" s="7">
        <v>1</v>
      </c>
      <c r="C16" s="7" t="s">
        <v>17</v>
      </c>
      <c r="D16" s="8">
        <v>5</v>
      </c>
      <c r="E16" s="8">
        <v>1214</v>
      </c>
      <c r="F16" s="8">
        <f>SUM(N16:S16)</f>
        <v>39129.5</v>
      </c>
      <c r="G16" s="8">
        <f>T16</f>
        <v>28028.619999999995</v>
      </c>
      <c r="H16" s="8">
        <f>U16</f>
        <v>0</v>
      </c>
      <c r="I16" s="8">
        <f>J16-F16-G16-H16</f>
        <v>-8.149072527885437E-10</v>
      </c>
      <c r="J16" s="8">
        <f>X16</f>
        <v>67158.11999999918</v>
      </c>
      <c r="K16" s="8">
        <f>BF16</f>
        <v>16975.521147639287</v>
      </c>
      <c r="L16" s="8">
        <f>J16+K16</f>
        <v>84133.641147638467</v>
      </c>
      <c r="M16" s="8">
        <f>IF(E16=0,0,J16/E16)</f>
        <v>55.319703459636884</v>
      </c>
      <c r="N16" s="8">
        <f>AJ16-Y16</f>
        <v>33145</v>
      </c>
      <c r="O16" s="8">
        <f t="shared" ref="O16:X16" si="8">AK16-Z16</f>
        <v>118</v>
      </c>
      <c r="P16" s="8">
        <f t="shared" si="8"/>
        <v>1867</v>
      </c>
      <c r="Q16" s="8">
        <f t="shared" si="8"/>
        <v>3554.5</v>
      </c>
      <c r="R16" s="8">
        <f t="shared" si="8"/>
        <v>445</v>
      </c>
      <c r="S16" s="8">
        <f t="shared" si="8"/>
        <v>0</v>
      </c>
      <c r="T16" s="8">
        <f t="shared" si="8"/>
        <v>28028.619999999995</v>
      </c>
      <c r="U16" s="8">
        <f t="shared" si="8"/>
        <v>0</v>
      </c>
      <c r="V16" s="8">
        <f t="shared" si="8"/>
        <v>0</v>
      </c>
      <c r="W16" s="8">
        <f t="shared" si="8"/>
        <v>0</v>
      </c>
      <c r="X16" s="8">
        <f t="shared" si="8"/>
        <v>67158.11999999918</v>
      </c>
      <c r="Y16" s="10">
        <v>7697595</v>
      </c>
      <c r="Z16" s="10">
        <v>27311</v>
      </c>
      <c r="AA16" s="10">
        <v>433524</v>
      </c>
      <c r="AB16" s="10">
        <v>706208</v>
      </c>
      <c r="AC16" s="10">
        <v>93915</v>
      </c>
      <c r="AD16" s="10">
        <v>0</v>
      </c>
      <c r="AE16" s="10">
        <v>0</v>
      </c>
      <c r="AF16" s="10">
        <v>0</v>
      </c>
      <c r="AG16" s="10">
        <v>190915</v>
      </c>
      <c r="AH16" s="10">
        <f>AI16-SUM(Y16:AG16)</f>
        <v>846735.49000000022</v>
      </c>
      <c r="AI16" s="10">
        <v>9996203.4900000002</v>
      </c>
      <c r="AJ16" s="10">
        <v>7730740</v>
      </c>
      <c r="AK16" s="10">
        <v>27429</v>
      </c>
      <c r="AL16" s="10">
        <v>435391</v>
      </c>
      <c r="AM16" s="10">
        <v>709762.5</v>
      </c>
      <c r="AN16" s="10">
        <v>94360</v>
      </c>
      <c r="AO16" s="10">
        <v>0</v>
      </c>
      <c r="AP16" s="10">
        <v>28028.619999999995</v>
      </c>
      <c r="AQ16" s="10">
        <v>0</v>
      </c>
      <c r="AR16" s="10">
        <v>190915</v>
      </c>
      <c r="AS16" s="10">
        <f t="shared" ref="AS16:AS51" si="9">AT16-SUM(AJ16:AR16)</f>
        <v>846735.49000000022</v>
      </c>
      <c r="AT16" s="10">
        <v>10063361.609999999</v>
      </c>
      <c r="AU16" s="12">
        <v>54960</v>
      </c>
      <c r="AV16" s="12">
        <v>15440.136677709355</v>
      </c>
      <c r="AW16" s="12">
        <v>21755.5</v>
      </c>
      <c r="AX16" s="12">
        <f>AU16+AV16+AW16</f>
        <v>92155.63667770935</v>
      </c>
      <c r="AY16" s="12">
        <v>61423.754000000001</v>
      </c>
      <c r="AZ16" s="12">
        <v>18499.103825348655</v>
      </c>
      <c r="BA16" s="12">
        <v>29208.3</v>
      </c>
      <c r="BB16" s="12">
        <f>AY16+AZ16+BA16</f>
        <v>109131.15782534865</v>
      </c>
      <c r="BC16" s="12">
        <v>6463.7540000000008</v>
      </c>
      <c r="BD16" s="12">
        <v>3058.9671476392996</v>
      </c>
      <c r="BE16" s="12">
        <v>7452.7999999999884</v>
      </c>
      <c r="BF16" s="12">
        <v>16975.521147639287</v>
      </c>
    </row>
    <row r="17" spans="1:58" x14ac:dyDescent="0.25">
      <c r="A17" s="7">
        <v>1.2</v>
      </c>
      <c r="B17" s="7">
        <v>3</v>
      </c>
      <c r="C17" s="7" t="s">
        <v>18</v>
      </c>
      <c r="D17" s="8">
        <v>1</v>
      </c>
      <c r="E17" s="8">
        <v>36143</v>
      </c>
      <c r="F17" s="8">
        <f t="shared" ref="F17:F80" si="10">SUM(N17:S17)</f>
        <v>1264471.5</v>
      </c>
      <c r="G17" s="8">
        <f t="shared" ref="G17:G80" si="11">T17</f>
        <v>0</v>
      </c>
      <c r="H17" s="8">
        <f t="shared" ref="H17:H80" si="12">U17</f>
        <v>658222</v>
      </c>
      <c r="I17" s="8">
        <f t="shared" ref="I17:I80" si="13">J17-F17-G17-H17</f>
        <v>450</v>
      </c>
      <c r="J17" s="8">
        <f t="shared" ref="J17:J80" si="14">X17</f>
        <v>1923143.5</v>
      </c>
      <c r="K17" s="8">
        <f t="shared" ref="K17:K80" si="15">BF17</f>
        <v>629037.99666319438</v>
      </c>
      <c r="L17" s="8">
        <f t="shared" ref="L17:L80" si="16">J17+K17</f>
        <v>2552181.4966631941</v>
      </c>
      <c r="M17" s="8">
        <f t="shared" ref="M17:M80" si="17">IF(E17=0,0,J17/E17)</f>
        <v>53.209293639155575</v>
      </c>
      <c r="N17" s="8">
        <f t="shared" ref="N17:N80" si="18">AJ17-Y17</f>
        <v>972535</v>
      </c>
      <c r="O17" s="8">
        <f t="shared" ref="O17:O80" si="19">AK17-Z17</f>
        <v>0</v>
      </c>
      <c r="P17" s="8">
        <f t="shared" ref="P17:P80" si="20">AL17-AA17</f>
        <v>0</v>
      </c>
      <c r="Q17" s="8">
        <f t="shared" ref="Q17:Q80" si="21">AM17-AB17</f>
        <v>291936.5</v>
      </c>
      <c r="R17" s="8">
        <f t="shared" ref="R17:R80" si="22">AN17-AC17</f>
        <v>0</v>
      </c>
      <c r="S17" s="8">
        <f t="shared" ref="S17:S80" si="23">AO17-AD17</f>
        <v>0</v>
      </c>
      <c r="T17" s="8">
        <f t="shared" ref="T17:T80" si="24">AP17-AE17</f>
        <v>0</v>
      </c>
      <c r="U17" s="8">
        <f t="shared" ref="U17:U80" si="25">AQ17-AF17</f>
        <v>658222</v>
      </c>
      <c r="V17" s="8">
        <f t="shared" ref="V17:V80" si="26">AR17-AG17</f>
        <v>0</v>
      </c>
      <c r="W17" s="8">
        <f t="shared" ref="W17:W80" si="27">AS17-AH17</f>
        <v>450</v>
      </c>
      <c r="X17" s="8">
        <f t="shared" ref="X17:X80" si="28">AT17-AI17</f>
        <v>1923143.5</v>
      </c>
      <c r="Y17" s="10">
        <v>225861528</v>
      </c>
      <c r="Z17" s="10">
        <v>0</v>
      </c>
      <c r="AA17" s="10">
        <v>0</v>
      </c>
      <c r="AB17" s="10">
        <v>58001944</v>
      </c>
      <c r="AC17" s="10">
        <v>0</v>
      </c>
      <c r="AD17" s="10">
        <v>0</v>
      </c>
      <c r="AE17" s="10">
        <v>9433320</v>
      </c>
      <c r="AF17" s="10">
        <v>4960800</v>
      </c>
      <c r="AG17" s="10">
        <v>1945070</v>
      </c>
      <c r="AH17" s="10">
        <f t="shared" ref="AH17:AH80" si="29">AI17-SUM(Y17:AG17)</f>
        <v>102376994.13</v>
      </c>
      <c r="AI17" s="10">
        <v>402579656.13</v>
      </c>
      <c r="AJ17" s="10">
        <v>226834063</v>
      </c>
      <c r="AK17" s="10">
        <v>0</v>
      </c>
      <c r="AL17" s="10">
        <v>0</v>
      </c>
      <c r="AM17" s="10">
        <v>58293880.5</v>
      </c>
      <c r="AN17" s="10">
        <v>0</v>
      </c>
      <c r="AO17" s="10">
        <v>0</v>
      </c>
      <c r="AP17" s="10">
        <v>9433320</v>
      </c>
      <c r="AQ17" s="10">
        <v>5619022</v>
      </c>
      <c r="AR17" s="10">
        <v>1945070</v>
      </c>
      <c r="AS17" s="10">
        <f t="shared" si="9"/>
        <v>102377444.13</v>
      </c>
      <c r="AT17" s="10">
        <v>404502799.63</v>
      </c>
      <c r="AU17" s="12">
        <v>3288000</v>
      </c>
      <c r="AV17" s="12">
        <v>754971.71965747257</v>
      </c>
      <c r="AW17" s="12">
        <v>446710.75</v>
      </c>
      <c r="AX17" s="12">
        <f t="shared" ref="AX17:AX80" si="30">AU17+AV17+AW17</f>
        <v>4489682.4696574723</v>
      </c>
      <c r="AY17" s="12">
        <v>3674696.2</v>
      </c>
      <c r="AZ17" s="12">
        <v>904545.11632066686</v>
      </c>
      <c r="BA17" s="12">
        <v>539479.15</v>
      </c>
      <c r="BB17" s="12">
        <f t="shared" ref="BB17:BB80" si="31">AY17+AZ17+BA17</f>
        <v>5118720.4663206674</v>
      </c>
      <c r="BC17" s="12">
        <v>386696.20000000019</v>
      </c>
      <c r="BD17" s="12">
        <v>149573.39666319429</v>
      </c>
      <c r="BE17" s="12">
        <v>92768.399999999907</v>
      </c>
      <c r="BF17" s="12">
        <v>629037.99666319438</v>
      </c>
    </row>
    <row r="18" spans="1:58" x14ac:dyDescent="0.25">
      <c r="A18" s="7">
        <v>2</v>
      </c>
      <c r="B18" s="7">
        <v>1</v>
      </c>
      <c r="C18" s="7" t="s">
        <v>19</v>
      </c>
      <c r="D18" s="8">
        <v>6</v>
      </c>
      <c r="E18" s="8">
        <v>286</v>
      </c>
      <c r="F18" s="8">
        <f t="shared" si="10"/>
        <v>11318.75</v>
      </c>
      <c r="G18" s="8">
        <f t="shared" si="11"/>
        <v>9253.2800000000007</v>
      </c>
      <c r="H18" s="8">
        <f t="shared" si="12"/>
        <v>0</v>
      </c>
      <c r="I18" s="8">
        <f t="shared" si="13"/>
        <v>-2.0554580260068178E-10</v>
      </c>
      <c r="J18" s="8">
        <f t="shared" si="14"/>
        <v>20572.029999999795</v>
      </c>
      <c r="K18" s="8">
        <f t="shared" si="15"/>
        <v>4419.1906593305439</v>
      </c>
      <c r="L18" s="8">
        <f t="shared" si="16"/>
        <v>24991.220659330338</v>
      </c>
      <c r="M18" s="8">
        <f t="shared" si="17"/>
        <v>71.930174825174106</v>
      </c>
      <c r="N18" s="8">
        <f t="shared" si="18"/>
        <v>7598</v>
      </c>
      <c r="O18" s="8">
        <f t="shared" si="19"/>
        <v>0</v>
      </c>
      <c r="P18" s="8">
        <f t="shared" si="20"/>
        <v>500</v>
      </c>
      <c r="Q18" s="8">
        <f t="shared" si="21"/>
        <v>1753.75</v>
      </c>
      <c r="R18" s="8">
        <f t="shared" si="22"/>
        <v>1467</v>
      </c>
      <c r="S18" s="8">
        <f t="shared" si="23"/>
        <v>0</v>
      </c>
      <c r="T18" s="8">
        <f t="shared" si="24"/>
        <v>9253.2800000000007</v>
      </c>
      <c r="U18" s="8">
        <f t="shared" si="25"/>
        <v>0</v>
      </c>
      <c r="V18" s="8">
        <f t="shared" si="26"/>
        <v>0</v>
      </c>
      <c r="W18" s="8">
        <f t="shared" si="27"/>
        <v>0</v>
      </c>
      <c r="X18" s="8">
        <f t="shared" si="28"/>
        <v>20572.029999999795</v>
      </c>
      <c r="Y18" s="10">
        <v>1764734</v>
      </c>
      <c r="Z18" s="10">
        <v>0</v>
      </c>
      <c r="AA18" s="10">
        <v>116222</v>
      </c>
      <c r="AB18" s="10">
        <v>348435</v>
      </c>
      <c r="AC18" s="10">
        <v>309481</v>
      </c>
      <c r="AD18" s="10">
        <v>112997</v>
      </c>
      <c r="AE18" s="10">
        <v>0</v>
      </c>
      <c r="AF18" s="10">
        <v>0</v>
      </c>
      <c r="AG18" s="10">
        <v>43769</v>
      </c>
      <c r="AH18" s="10">
        <f t="shared" si="29"/>
        <v>185553.45000000019</v>
      </c>
      <c r="AI18" s="10">
        <v>2881191.45</v>
      </c>
      <c r="AJ18" s="10">
        <v>1772332</v>
      </c>
      <c r="AK18" s="10">
        <v>0</v>
      </c>
      <c r="AL18" s="10">
        <v>116722</v>
      </c>
      <c r="AM18" s="10">
        <v>350188.75</v>
      </c>
      <c r="AN18" s="10">
        <v>310948</v>
      </c>
      <c r="AO18" s="10">
        <v>112997</v>
      </c>
      <c r="AP18" s="10">
        <v>9253.2800000000007</v>
      </c>
      <c r="AQ18" s="10">
        <v>0</v>
      </c>
      <c r="AR18" s="10">
        <v>43769</v>
      </c>
      <c r="AS18" s="10">
        <f t="shared" si="9"/>
        <v>185553.45000000019</v>
      </c>
      <c r="AT18" s="10">
        <v>2901763.48</v>
      </c>
      <c r="AU18" s="12">
        <v>18000</v>
      </c>
      <c r="AV18" s="12">
        <v>4552.0407279709098</v>
      </c>
      <c r="AW18" s="12">
        <v>4038.375</v>
      </c>
      <c r="AX18" s="12">
        <f t="shared" si="30"/>
        <v>26590.415727970911</v>
      </c>
      <c r="AY18" s="12">
        <v>20116.95</v>
      </c>
      <c r="AZ18" s="12">
        <v>5453.8813873014515</v>
      </c>
      <c r="BA18" s="12">
        <v>5438.7749999999996</v>
      </c>
      <c r="BB18" s="12">
        <f t="shared" si="31"/>
        <v>31009.60638730145</v>
      </c>
      <c r="BC18" s="12">
        <v>2116.9500000000007</v>
      </c>
      <c r="BD18" s="12">
        <v>901.84065933054171</v>
      </c>
      <c r="BE18" s="12">
        <v>1400.4000000000015</v>
      </c>
      <c r="BF18" s="12">
        <v>4419.1906593305439</v>
      </c>
    </row>
    <row r="19" spans="1:58" x14ac:dyDescent="0.25">
      <c r="A19" s="7">
        <v>4</v>
      </c>
      <c r="B19" s="7">
        <v>1</v>
      </c>
      <c r="C19" s="7" t="s">
        <v>20</v>
      </c>
      <c r="D19" s="8">
        <v>6</v>
      </c>
      <c r="E19" s="8">
        <v>403</v>
      </c>
      <c r="F19" s="8">
        <f t="shared" si="10"/>
        <v>17772</v>
      </c>
      <c r="G19" s="8">
        <f t="shared" si="11"/>
        <v>12865.199999999999</v>
      </c>
      <c r="H19" s="8">
        <f t="shared" si="12"/>
        <v>0</v>
      </c>
      <c r="I19" s="8">
        <f t="shared" si="13"/>
        <v>-3.9999999998126441</v>
      </c>
      <c r="J19" s="8">
        <f t="shared" si="14"/>
        <v>30633.200000000186</v>
      </c>
      <c r="K19" s="8">
        <f t="shared" si="15"/>
        <v>5820.904141322565</v>
      </c>
      <c r="L19" s="8">
        <f t="shared" si="16"/>
        <v>36454.10414132275</v>
      </c>
      <c r="M19" s="8">
        <f t="shared" si="17"/>
        <v>76.012903225806909</v>
      </c>
      <c r="N19" s="8">
        <f t="shared" si="18"/>
        <v>10915</v>
      </c>
      <c r="O19" s="8">
        <f t="shared" si="19"/>
        <v>23</v>
      </c>
      <c r="P19" s="8">
        <f t="shared" si="20"/>
        <v>882</v>
      </c>
      <c r="Q19" s="8">
        <f t="shared" si="21"/>
        <v>3378</v>
      </c>
      <c r="R19" s="8">
        <f t="shared" si="22"/>
        <v>2574</v>
      </c>
      <c r="S19" s="8">
        <f t="shared" si="23"/>
        <v>0</v>
      </c>
      <c r="T19" s="8">
        <f t="shared" si="24"/>
        <v>12865.199999999999</v>
      </c>
      <c r="U19" s="8">
        <f t="shared" si="25"/>
        <v>0</v>
      </c>
      <c r="V19" s="8">
        <f t="shared" si="26"/>
        <v>-4</v>
      </c>
      <c r="W19" s="8">
        <f t="shared" si="27"/>
        <v>0</v>
      </c>
      <c r="X19" s="8">
        <f t="shared" si="28"/>
        <v>30633.200000000186</v>
      </c>
      <c r="Y19" s="10">
        <v>2534900</v>
      </c>
      <c r="Z19" s="10">
        <v>5202</v>
      </c>
      <c r="AA19" s="10">
        <v>204780</v>
      </c>
      <c r="AB19" s="10">
        <v>671141</v>
      </c>
      <c r="AC19" s="10">
        <v>543041</v>
      </c>
      <c r="AD19" s="10">
        <v>129493</v>
      </c>
      <c r="AE19" s="10">
        <v>0</v>
      </c>
      <c r="AF19" s="10">
        <v>196524</v>
      </c>
      <c r="AG19" s="10">
        <v>111492.44935104199</v>
      </c>
      <c r="AH19" s="10">
        <f t="shared" si="29"/>
        <v>116087.25</v>
      </c>
      <c r="AI19" s="10">
        <v>4512660.6993510416</v>
      </c>
      <c r="AJ19" s="10">
        <v>2545815</v>
      </c>
      <c r="AK19" s="10">
        <v>5225</v>
      </c>
      <c r="AL19" s="10">
        <v>205662</v>
      </c>
      <c r="AM19" s="10">
        <v>674519</v>
      </c>
      <c r="AN19" s="10">
        <v>545615</v>
      </c>
      <c r="AO19" s="10">
        <v>129493</v>
      </c>
      <c r="AP19" s="10">
        <v>12865.199999999999</v>
      </c>
      <c r="AQ19" s="10">
        <v>196524</v>
      </c>
      <c r="AR19" s="10">
        <v>111488.44935104199</v>
      </c>
      <c r="AS19" s="10">
        <f t="shared" si="9"/>
        <v>116087.25</v>
      </c>
      <c r="AT19" s="10">
        <v>4543293.8993510418</v>
      </c>
      <c r="AU19" s="12">
        <v>18000</v>
      </c>
      <c r="AV19" s="12">
        <v>6559.4995283256349</v>
      </c>
      <c r="AW19" s="12">
        <v>6477</v>
      </c>
      <c r="AX19" s="12">
        <f t="shared" si="30"/>
        <v>31036.499528325636</v>
      </c>
      <c r="AY19" s="12">
        <v>20116.95</v>
      </c>
      <c r="AZ19" s="12">
        <v>7859.0536696481977</v>
      </c>
      <c r="BA19" s="12">
        <v>8881.4</v>
      </c>
      <c r="BB19" s="12">
        <f t="shared" si="31"/>
        <v>36857.4036696482</v>
      </c>
      <c r="BC19" s="12">
        <v>2116.9500000000007</v>
      </c>
      <c r="BD19" s="12">
        <v>1299.5541413225628</v>
      </c>
      <c r="BE19" s="12">
        <v>2404.4000000000015</v>
      </c>
      <c r="BF19" s="12">
        <v>5820.904141322565</v>
      </c>
    </row>
    <row r="20" spans="1:58" x14ac:dyDescent="0.25">
      <c r="A20" s="7">
        <v>6</v>
      </c>
      <c r="B20" s="7">
        <v>3</v>
      </c>
      <c r="C20" s="7" t="s">
        <v>21</v>
      </c>
      <c r="D20" s="8">
        <v>2</v>
      </c>
      <c r="E20" s="8">
        <v>3424</v>
      </c>
      <c r="F20" s="8">
        <f t="shared" si="10"/>
        <v>104508.25</v>
      </c>
      <c r="G20" s="8">
        <f t="shared" si="11"/>
        <v>0</v>
      </c>
      <c r="H20" s="8">
        <f t="shared" si="12"/>
        <v>17949</v>
      </c>
      <c r="I20" s="8">
        <f t="shared" si="13"/>
        <v>-32</v>
      </c>
      <c r="J20" s="8">
        <f t="shared" si="14"/>
        <v>122425.25</v>
      </c>
      <c r="K20" s="8">
        <f t="shared" si="15"/>
        <v>47426.495180905942</v>
      </c>
      <c r="L20" s="8">
        <f t="shared" si="16"/>
        <v>169851.74518090594</v>
      </c>
      <c r="M20" s="8">
        <f t="shared" si="17"/>
        <v>35.755037967289717</v>
      </c>
      <c r="N20" s="8">
        <f t="shared" si="18"/>
        <v>92985</v>
      </c>
      <c r="O20" s="8">
        <f t="shared" si="19"/>
        <v>0</v>
      </c>
      <c r="P20" s="8">
        <f t="shared" si="20"/>
        <v>0</v>
      </c>
      <c r="Q20" s="8">
        <f t="shared" si="21"/>
        <v>11523.25</v>
      </c>
      <c r="R20" s="8">
        <f t="shared" si="22"/>
        <v>0</v>
      </c>
      <c r="S20" s="8">
        <f t="shared" si="23"/>
        <v>0</v>
      </c>
      <c r="T20" s="8">
        <f t="shared" si="24"/>
        <v>0</v>
      </c>
      <c r="U20" s="8">
        <f t="shared" si="25"/>
        <v>17949</v>
      </c>
      <c r="V20" s="8">
        <f t="shared" si="26"/>
        <v>0</v>
      </c>
      <c r="W20" s="8">
        <f t="shared" si="27"/>
        <v>-32</v>
      </c>
      <c r="X20" s="8">
        <f t="shared" si="28"/>
        <v>122425.25</v>
      </c>
      <c r="Y20" s="10">
        <v>21594836</v>
      </c>
      <c r="Z20" s="10">
        <v>0</v>
      </c>
      <c r="AA20" s="10">
        <v>0</v>
      </c>
      <c r="AB20" s="10">
        <v>2289439</v>
      </c>
      <c r="AC20" s="10">
        <v>0</v>
      </c>
      <c r="AD20" s="10">
        <v>0</v>
      </c>
      <c r="AE20" s="10">
        <v>894920</v>
      </c>
      <c r="AF20" s="10">
        <v>102490</v>
      </c>
      <c r="AG20" s="10">
        <v>565681.25</v>
      </c>
      <c r="AH20" s="10">
        <f t="shared" si="29"/>
        <v>4901901.2399999984</v>
      </c>
      <c r="AI20" s="10">
        <v>30349267.489999998</v>
      </c>
      <c r="AJ20" s="10">
        <v>21687821</v>
      </c>
      <c r="AK20" s="10">
        <v>0</v>
      </c>
      <c r="AL20" s="10">
        <v>0</v>
      </c>
      <c r="AM20" s="10">
        <v>2300962.25</v>
      </c>
      <c r="AN20" s="10">
        <v>0</v>
      </c>
      <c r="AO20" s="10">
        <v>0</v>
      </c>
      <c r="AP20" s="10">
        <v>894920</v>
      </c>
      <c r="AQ20" s="10">
        <v>120439</v>
      </c>
      <c r="AR20" s="10">
        <v>565681.25</v>
      </c>
      <c r="AS20" s="10">
        <f t="shared" si="9"/>
        <v>4901869.2399999984</v>
      </c>
      <c r="AT20" s="10">
        <v>30471692.739999998</v>
      </c>
      <c r="AU20" s="12">
        <v>172200</v>
      </c>
      <c r="AV20" s="12">
        <v>46014.727063122729</v>
      </c>
      <c r="AW20" s="12">
        <v>53246.625</v>
      </c>
      <c r="AX20" s="12">
        <f t="shared" si="30"/>
        <v>271461.35206312273</v>
      </c>
      <c r="AY20" s="12">
        <v>192452.155</v>
      </c>
      <c r="AZ20" s="12">
        <v>55131.067244028673</v>
      </c>
      <c r="BA20" s="12">
        <v>71304.625</v>
      </c>
      <c r="BB20" s="12">
        <f t="shared" si="31"/>
        <v>318887.8472440287</v>
      </c>
      <c r="BC20" s="12">
        <v>20252.154999999999</v>
      </c>
      <c r="BD20" s="12">
        <v>9116.3401809059433</v>
      </c>
      <c r="BE20" s="12">
        <v>18058</v>
      </c>
      <c r="BF20" s="12">
        <v>47426.495180905942</v>
      </c>
    </row>
    <row r="21" spans="1:58" x14ac:dyDescent="0.25">
      <c r="A21" s="7">
        <v>11</v>
      </c>
      <c r="B21" s="7">
        <v>1</v>
      </c>
      <c r="C21" s="7" t="s">
        <v>22</v>
      </c>
      <c r="D21" s="8">
        <v>3</v>
      </c>
      <c r="E21" s="8">
        <v>36852</v>
      </c>
      <c r="F21" s="8">
        <f t="shared" si="10"/>
        <v>1079402.25</v>
      </c>
      <c r="G21" s="8">
        <f t="shared" si="11"/>
        <v>0</v>
      </c>
      <c r="H21" s="8">
        <f t="shared" si="12"/>
        <v>263828</v>
      </c>
      <c r="I21" s="8">
        <f t="shared" si="13"/>
        <v>-93</v>
      </c>
      <c r="J21" s="8">
        <f t="shared" si="14"/>
        <v>1343137.25</v>
      </c>
      <c r="K21" s="8">
        <f t="shared" si="15"/>
        <v>466375.0458439166</v>
      </c>
      <c r="L21" s="8">
        <f t="shared" si="16"/>
        <v>1809512.2958439165</v>
      </c>
      <c r="M21" s="8">
        <f t="shared" si="17"/>
        <v>36.446793932486706</v>
      </c>
      <c r="N21" s="8">
        <f t="shared" si="18"/>
        <v>1009545</v>
      </c>
      <c r="O21" s="8">
        <f t="shared" si="19"/>
        <v>0</v>
      </c>
      <c r="P21" s="8">
        <f t="shared" si="20"/>
        <v>0</v>
      </c>
      <c r="Q21" s="8">
        <f t="shared" si="21"/>
        <v>69857.25</v>
      </c>
      <c r="R21" s="8">
        <f t="shared" si="22"/>
        <v>0</v>
      </c>
      <c r="S21" s="8">
        <f t="shared" si="23"/>
        <v>0</v>
      </c>
      <c r="T21" s="8">
        <f t="shared" si="24"/>
        <v>0</v>
      </c>
      <c r="U21" s="8">
        <f t="shared" si="25"/>
        <v>263828</v>
      </c>
      <c r="V21" s="8">
        <f t="shared" si="26"/>
        <v>0</v>
      </c>
      <c r="W21" s="8">
        <f t="shared" si="27"/>
        <v>-93</v>
      </c>
      <c r="X21" s="8">
        <f t="shared" si="28"/>
        <v>1343137.25</v>
      </c>
      <c r="Y21" s="10">
        <v>234456731</v>
      </c>
      <c r="Z21" s="10">
        <v>0</v>
      </c>
      <c r="AA21" s="10">
        <v>0</v>
      </c>
      <c r="AB21" s="10">
        <v>13879238</v>
      </c>
      <c r="AC21" s="10">
        <v>0</v>
      </c>
      <c r="AD21" s="10">
        <v>0</v>
      </c>
      <c r="AE21" s="10">
        <v>9927580</v>
      </c>
      <c r="AF21" s="10">
        <v>1371434</v>
      </c>
      <c r="AG21" s="10">
        <v>5015607.5</v>
      </c>
      <c r="AH21" s="10">
        <f t="shared" si="29"/>
        <v>76244245.75</v>
      </c>
      <c r="AI21" s="10">
        <v>340894836.25</v>
      </c>
      <c r="AJ21" s="10">
        <v>235466276</v>
      </c>
      <c r="AK21" s="10">
        <v>0</v>
      </c>
      <c r="AL21" s="10">
        <v>0</v>
      </c>
      <c r="AM21" s="10">
        <v>13949095.25</v>
      </c>
      <c r="AN21" s="10">
        <v>0</v>
      </c>
      <c r="AO21" s="10">
        <v>0</v>
      </c>
      <c r="AP21" s="10">
        <v>9927580</v>
      </c>
      <c r="AQ21" s="10">
        <v>1635262</v>
      </c>
      <c r="AR21" s="10">
        <v>5015607.5</v>
      </c>
      <c r="AS21" s="10">
        <f t="shared" si="9"/>
        <v>76244152.75</v>
      </c>
      <c r="AT21" s="10">
        <v>342237973.5</v>
      </c>
      <c r="AU21" s="12">
        <v>1906560</v>
      </c>
      <c r="AV21" s="12">
        <v>426057.97005716886</v>
      </c>
      <c r="AW21" s="12">
        <v>529197.25</v>
      </c>
      <c r="AX21" s="12">
        <f t="shared" si="30"/>
        <v>2861815.220057169</v>
      </c>
      <c r="AY21" s="12">
        <v>2130787.344</v>
      </c>
      <c r="AZ21" s="12">
        <v>510467.67190108541</v>
      </c>
      <c r="BA21" s="12">
        <v>686935.25</v>
      </c>
      <c r="BB21" s="12">
        <f t="shared" si="31"/>
        <v>3328190.2659010855</v>
      </c>
      <c r="BC21" s="12">
        <v>224227.34400000004</v>
      </c>
      <c r="BD21" s="12">
        <v>84409.701843916555</v>
      </c>
      <c r="BE21" s="12">
        <v>157738</v>
      </c>
      <c r="BF21" s="12">
        <v>466375.0458439166</v>
      </c>
    </row>
    <row r="22" spans="1:58" x14ac:dyDescent="0.25">
      <c r="A22" s="7">
        <v>12</v>
      </c>
      <c r="B22" s="7">
        <v>1</v>
      </c>
      <c r="C22" s="7" t="s">
        <v>23</v>
      </c>
      <c r="D22" s="8">
        <v>3</v>
      </c>
      <c r="E22" s="8">
        <v>6370</v>
      </c>
      <c r="F22" s="8">
        <f t="shared" si="10"/>
        <v>178812</v>
      </c>
      <c r="G22" s="8">
        <f t="shared" si="11"/>
        <v>0</v>
      </c>
      <c r="H22" s="8">
        <f t="shared" si="12"/>
        <v>6145</v>
      </c>
      <c r="I22" s="8">
        <f t="shared" si="13"/>
        <v>0</v>
      </c>
      <c r="J22" s="8">
        <f t="shared" si="14"/>
        <v>184957</v>
      </c>
      <c r="K22" s="8">
        <f t="shared" si="15"/>
        <v>58277.117922948433</v>
      </c>
      <c r="L22" s="8">
        <f t="shared" si="16"/>
        <v>243234.11792294844</v>
      </c>
      <c r="M22" s="8">
        <f t="shared" si="17"/>
        <v>29.035635792778649</v>
      </c>
      <c r="N22" s="8">
        <f t="shared" si="18"/>
        <v>174565</v>
      </c>
      <c r="O22" s="8">
        <f t="shared" si="19"/>
        <v>0</v>
      </c>
      <c r="P22" s="8">
        <f t="shared" si="20"/>
        <v>0</v>
      </c>
      <c r="Q22" s="8">
        <f t="shared" si="21"/>
        <v>4247</v>
      </c>
      <c r="R22" s="8">
        <f t="shared" si="22"/>
        <v>0</v>
      </c>
      <c r="S22" s="8">
        <f t="shared" si="23"/>
        <v>0</v>
      </c>
      <c r="T22" s="8">
        <f t="shared" si="24"/>
        <v>0</v>
      </c>
      <c r="U22" s="8">
        <f t="shared" si="25"/>
        <v>6145</v>
      </c>
      <c r="V22" s="8">
        <f t="shared" si="26"/>
        <v>0</v>
      </c>
      <c r="W22" s="8">
        <f t="shared" si="27"/>
        <v>0</v>
      </c>
      <c r="X22" s="8">
        <f t="shared" si="28"/>
        <v>184957</v>
      </c>
      <c r="Y22" s="10">
        <v>40540976</v>
      </c>
      <c r="Z22" s="10">
        <v>0</v>
      </c>
      <c r="AA22" s="10">
        <v>0</v>
      </c>
      <c r="AB22" s="10">
        <v>843794</v>
      </c>
      <c r="AC22" s="10">
        <v>0</v>
      </c>
      <c r="AD22" s="10">
        <v>0</v>
      </c>
      <c r="AE22" s="10">
        <v>1698320</v>
      </c>
      <c r="AF22" s="10">
        <v>66126</v>
      </c>
      <c r="AG22" s="10">
        <v>1094382.5</v>
      </c>
      <c r="AH22" s="10">
        <f t="shared" si="29"/>
        <v>8142722.7100000009</v>
      </c>
      <c r="AI22" s="10">
        <v>52386321.210000001</v>
      </c>
      <c r="AJ22" s="10">
        <v>40715541</v>
      </c>
      <c r="AK22" s="10">
        <v>0</v>
      </c>
      <c r="AL22" s="10">
        <v>0</v>
      </c>
      <c r="AM22" s="10">
        <v>848041</v>
      </c>
      <c r="AN22" s="10">
        <v>0</v>
      </c>
      <c r="AO22" s="10">
        <v>0</v>
      </c>
      <c r="AP22" s="10">
        <v>1698320</v>
      </c>
      <c r="AQ22" s="10">
        <v>72271</v>
      </c>
      <c r="AR22" s="10">
        <v>1094382.5</v>
      </c>
      <c r="AS22" s="10">
        <f t="shared" si="9"/>
        <v>8142722.7100000009</v>
      </c>
      <c r="AT22" s="10">
        <v>52571278.210000001</v>
      </c>
      <c r="AU22" s="12">
        <v>283200</v>
      </c>
      <c r="AV22" s="12">
        <v>52613.312416081993</v>
      </c>
      <c r="AW22" s="12">
        <v>80648.5</v>
      </c>
      <c r="AX22" s="12">
        <f t="shared" si="30"/>
        <v>416461.81241608202</v>
      </c>
      <c r="AY22" s="12">
        <v>316506.68</v>
      </c>
      <c r="AZ22" s="12">
        <v>63036.950339030387</v>
      </c>
      <c r="BA22" s="12">
        <v>95195.3</v>
      </c>
      <c r="BB22" s="12">
        <f t="shared" si="31"/>
        <v>474738.9303390304</v>
      </c>
      <c r="BC22" s="12">
        <v>33306.679999999993</v>
      </c>
      <c r="BD22" s="12">
        <v>10423.637922948394</v>
      </c>
      <c r="BE22" s="12">
        <v>14546.800000000047</v>
      </c>
      <c r="BF22" s="12">
        <v>58277.117922948433</v>
      </c>
    </row>
    <row r="23" spans="1:58" x14ac:dyDescent="0.25">
      <c r="A23" s="7">
        <v>13</v>
      </c>
      <c r="B23" s="7">
        <v>1</v>
      </c>
      <c r="C23" s="7" t="s">
        <v>24</v>
      </c>
      <c r="D23" s="8">
        <v>2</v>
      </c>
      <c r="E23" s="8">
        <v>3171</v>
      </c>
      <c r="F23" s="8">
        <f t="shared" si="10"/>
        <v>117359</v>
      </c>
      <c r="G23" s="8">
        <f t="shared" si="11"/>
        <v>80205.160000000018</v>
      </c>
      <c r="H23" s="8">
        <f t="shared" si="12"/>
        <v>65273</v>
      </c>
      <c r="I23" s="8">
        <f t="shared" si="13"/>
        <v>1.3096723705530167E-10</v>
      </c>
      <c r="J23" s="8">
        <f t="shared" si="14"/>
        <v>262837.16000000015</v>
      </c>
      <c r="K23" s="8">
        <f t="shared" si="15"/>
        <v>53930.152917849555</v>
      </c>
      <c r="L23" s="8">
        <f t="shared" si="16"/>
        <v>316767.31291784969</v>
      </c>
      <c r="M23" s="8">
        <f t="shared" si="17"/>
        <v>82.887783033743347</v>
      </c>
      <c r="N23" s="8">
        <f t="shared" si="18"/>
        <v>83332</v>
      </c>
      <c r="O23" s="8">
        <f t="shared" si="19"/>
        <v>0</v>
      </c>
      <c r="P23" s="8">
        <f t="shared" si="20"/>
        <v>0</v>
      </c>
      <c r="Q23" s="8">
        <f t="shared" si="21"/>
        <v>34027</v>
      </c>
      <c r="R23" s="8">
        <f t="shared" si="22"/>
        <v>0</v>
      </c>
      <c r="S23" s="8">
        <f t="shared" si="23"/>
        <v>0</v>
      </c>
      <c r="T23" s="8">
        <f t="shared" si="24"/>
        <v>80205.160000000018</v>
      </c>
      <c r="U23" s="8">
        <f t="shared" si="25"/>
        <v>65273</v>
      </c>
      <c r="V23" s="8">
        <f t="shared" si="26"/>
        <v>0</v>
      </c>
      <c r="W23" s="8">
        <f t="shared" si="27"/>
        <v>0</v>
      </c>
      <c r="X23" s="8">
        <f t="shared" si="28"/>
        <v>262837.16000000015</v>
      </c>
      <c r="Y23" s="10">
        <v>19353140</v>
      </c>
      <c r="Z23" s="10">
        <v>0</v>
      </c>
      <c r="AA23" s="10">
        <v>0</v>
      </c>
      <c r="AB23" s="10">
        <v>6760484</v>
      </c>
      <c r="AC23" s="10">
        <v>0</v>
      </c>
      <c r="AD23" s="10">
        <v>0</v>
      </c>
      <c r="AE23" s="10">
        <v>0</v>
      </c>
      <c r="AF23" s="10">
        <v>572400</v>
      </c>
      <c r="AG23" s="10">
        <v>491306.25</v>
      </c>
      <c r="AH23" s="10">
        <f t="shared" si="29"/>
        <v>5302122.2699999996</v>
      </c>
      <c r="AI23" s="10">
        <v>32479452.52</v>
      </c>
      <c r="AJ23" s="10">
        <v>19436472</v>
      </c>
      <c r="AK23" s="10">
        <v>0</v>
      </c>
      <c r="AL23" s="10">
        <v>0</v>
      </c>
      <c r="AM23" s="10">
        <v>6794511</v>
      </c>
      <c r="AN23" s="10">
        <v>0</v>
      </c>
      <c r="AO23" s="10">
        <v>0</v>
      </c>
      <c r="AP23" s="10">
        <v>80205.160000000018</v>
      </c>
      <c r="AQ23" s="10">
        <v>637673</v>
      </c>
      <c r="AR23" s="10">
        <v>491306.25</v>
      </c>
      <c r="AS23" s="10">
        <f t="shared" si="9"/>
        <v>5302122.2699999996</v>
      </c>
      <c r="AT23" s="10">
        <v>32742289.68</v>
      </c>
      <c r="AU23" s="12">
        <v>233400</v>
      </c>
      <c r="AV23" s="12">
        <v>68793.225065345527</v>
      </c>
      <c r="AW23" s="12">
        <v>50437.125</v>
      </c>
      <c r="AX23" s="12">
        <f t="shared" si="30"/>
        <v>352630.35006534553</v>
      </c>
      <c r="AY23" s="12">
        <v>260849.785</v>
      </c>
      <c r="AZ23" s="12">
        <v>82422.392983195066</v>
      </c>
      <c r="BA23" s="12">
        <v>63288.324999999997</v>
      </c>
      <c r="BB23" s="12">
        <f t="shared" si="31"/>
        <v>406560.50298319507</v>
      </c>
      <c r="BC23" s="12">
        <v>27449.785000000003</v>
      </c>
      <c r="BD23" s="12">
        <v>13629.16791784954</v>
      </c>
      <c r="BE23" s="12">
        <v>12851.200000000012</v>
      </c>
      <c r="BF23" s="12">
        <v>53930.152917849555</v>
      </c>
    </row>
    <row r="24" spans="1:58" x14ac:dyDescent="0.25">
      <c r="A24" s="7">
        <v>14</v>
      </c>
      <c r="B24" s="7">
        <v>1</v>
      </c>
      <c r="C24" s="7" t="s">
        <v>25</v>
      </c>
      <c r="D24" s="4">
        <v>3</v>
      </c>
      <c r="E24" s="10">
        <v>2922</v>
      </c>
      <c r="F24" s="8">
        <f t="shared" si="10"/>
        <v>96690.5</v>
      </c>
      <c r="G24" s="8">
        <f t="shared" si="11"/>
        <v>0</v>
      </c>
      <c r="H24" s="8">
        <f t="shared" si="12"/>
        <v>69391</v>
      </c>
      <c r="I24" s="8">
        <f t="shared" si="13"/>
        <v>0</v>
      </c>
      <c r="J24" s="8">
        <f t="shared" si="14"/>
        <v>166081.5</v>
      </c>
      <c r="K24" s="8">
        <f t="shared" si="15"/>
        <v>37934.04332275784</v>
      </c>
      <c r="L24" s="8">
        <f t="shared" si="16"/>
        <v>204015.54332275785</v>
      </c>
      <c r="M24" s="8">
        <f t="shared" si="17"/>
        <v>56.838295687885008</v>
      </c>
      <c r="N24" s="8">
        <f t="shared" si="18"/>
        <v>79755</v>
      </c>
      <c r="O24" s="8">
        <f t="shared" si="19"/>
        <v>0</v>
      </c>
      <c r="P24" s="8">
        <f t="shared" si="20"/>
        <v>0</v>
      </c>
      <c r="Q24" s="8">
        <f t="shared" si="21"/>
        <v>16935.5</v>
      </c>
      <c r="R24" s="8">
        <f t="shared" si="22"/>
        <v>0</v>
      </c>
      <c r="S24" s="8">
        <f t="shared" si="23"/>
        <v>0</v>
      </c>
      <c r="T24" s="8">
        <f t="shared" si="24"/>
        <v>0</v>
      </c>
      <c r="U24" s="8">
        <f t="shared" si="25"/>
        <v>69391</v>
      </c>
      <c r="V24" s="8">
        <f t="shared" si="26"/>
        <v>0</v>
      </c>
      <c r="W24" s="8">
        <f t="shared" si="27"/>
        <v>0</v>
      </c>
      <c r="X24" s="8">
        <f t="shared" si="28"/>
        <v>166081.5</v>
      </c>
      <c r="Y24" s="10">
        <v>18522301</v>
      </c>
      <c r="Z24" s="10">
        <v>0</v>
      </c>
      <c r="AA24" s="10">
        <v>0</v>
      </c>
      <c r="AB24" s="10">
        <v>3364745</v>
      </c>
      <c r="AC24" s="10">
        <v>0</v>
      </c>
      <c r="AD24" s="10">
        <v>0</v>
      </c>
      <c r="AE24" s="10">
        <v>765440</v>
      </c>
      <c r="AF24" s="10">
        <v>271159</v>
      </c>
      <c r="AG24" s="10">
        <v>496551.25</v>
      </c>
      <c r="AH24" s="10">
        <f t="shared" si="29"/>
        <v>3988639.3500000015</v>
      </c>
      <c r="AI24" s="10">
        <v>27408835.600000001</v>
      </c>
      <c r="AJ24" s="10">
        <v>18602056</v>
      </c>
      <c r="AK24" s="10">
        <v>0</v>
      </c>
      <c r="AL24" s="10">
        <v>0</v>
      </c>
      <c r="AM24" s="10">
        <v>3381680.5</v>
      </c>
      <c r="AN24" s="10">
        <v>0</v>
      </c>
      <c r="AO24" s="10">
        <v>0</v>
      </c>
      <c r="AP24" s="10">
        <v>765440</v>
      </c>
      <c r="AQ24" s="10">
        <v>340550</v>
      </c>
      <c r="AR24" s="10">
        <v>496551.25</v>
      </c>
      <c r="AS24" s="10">
        <f t="shared" si="9"/>
        <v>3988639.3500000015</v>
      </c>
      <c r="AT24" s="10">
        <v>27574917.100000001</v>
      </c>
      <c r="AU24" s="12">
        <v>133200</v>
      </c>
      <c r="AV24" s="12">
        <v>44608.862746620274</v>
      </c>
      <c r="AW24" s="12">
        <v>41142.875</v>
      </c>
      <c r="AX24" s="12">
        <f t="shared" si="30"/>
        <v>218951.73774662026</v>
      </c>
      <c r="AY24" s="12">
        <v>148865.43</v>
      </c>
      <c r="AZ24" s="12">
        <v>53446.676069378133</v>
      </c>
      <c r="BA24" s="12">
        <v>54573.675000000003</v>
      </c>
      <c r="BB24" s="12">
        <f t="shared" si="31"/>
        <v>256885.78106937814</v>
      </c>
      <c r="BC24" s="12">
        <v>15665.429999999993</v>
      </c>
      <c r="BD24" s="12">
        <v>8837.8133227578583</v>
      </c>
      <c r="BE24" s="12">
        <v>13430.799999999988</v>
      </c>
      <c r="BF24" s="12">
        <v>37934.04332275784</v>
      </c>
    </row>
    <row r="25" spans="1:58" x14ac:dyDescent="0.25">
      <c r="A25" s="7">
        <v>15</v>
      </c>
      <c r="B25" s="7">
        <v>1</v>
      </c>
      <c r="C25" s="7" t="s">
        <v>26</v>
      </c>
      <c r="D25" s="4">
        <v>3</v>
      </c>
      <c r="E25" s="10">
        <v>4683</v>
      </c>
      <c r="F25" s="8">
        <f t="shared" si="10"/>
        <v>133889.25</v>
      </c>
      <c r="G25" s="8">
        <f t="shared" si="11"/>
        <v>0</v>
      </c>
      <c r="H25" s="8">
        <f t="shared" si="12"/>
        <v>13820</v>
      </c>
      <c r="I25" s="8">
        <f t="shared" si="13"/>
        <v>0</v>
      </c>
      <c r="J25" s="8">
        <f t="shared" si="14"/>
        <v>147709.25</v>
      </c>
      <c r="K25" s="8">
        <f t="shared" si="15"/>
        <v>68341.504089569702</v>
      </c>
      <c r="L25" s="8">
        <f t="shared" si="16"/>
        <v>216050.7540895697</v>
      </c>
      <c r="M25" s="8">
        <f t="shared" si="17"/>
        <v>31.541586589792868</v>
      </c>
      <c r="N25" s="8">
        <f t="shared" si="18"/>
        <v>125320</v>
      </c>
      <c r="O25" s="8">
        <f t="shared" si="19"/>
        <v>655</v>
      </c>
      <c r="P25" s="8">
        <f t="shared" si="20"/>
        <v>1485</v>
      </c>
      <c r="Q25" s="8">
        <f t="shared" si="21"/>
        <v>6429.25</v>
      </c>
      <c r="R25" s="8">
        <f t="shared" si="22"/>
        <v>0</v>
      </c>
      <c r="S25" s="8">
        <f t="shared" si="23"/>
        <v>0</v>
      </c>
      <c r="T25" s="8">
        <f t="shared" si="24"/>
        <v>0</v>
      </c>
      <c r="U25" s="8">
        <f t="shared" si="25"/>
        <v>13820</v>
      </c>
      <c r="V25" s="8">
        <f t="shared" si="26"/>
        <v>0</v>
      </c>
      <c r="W25" s="8">
        <f t="shared" si="27"/>
        <v>0</v>
      </c>
      <c r="X25" s="8">
        <f t="shared" si="28"/>
        <v>147709.25</v>
      </c>
      <c r="Y25" s="10">
        <v>29104317</v>
      </c>
      <c r="Z25" s="10">
        <v>152164</v>
      </c>
      <c r="AA25" s="10">
        <v>344843</v>
      </c>
      <c r="AB25" s="10">
        <v>1277363</v>
      </c>
      <c r="AC25" s="10">
        <v>0</v>
      </c>
      <c r="AD25" s="10">
        <v>0</v>
      </c>
      <c r="AE25" s="10">
        <v>1282320</v>
      </c>
      <c r="AF25" s="10">
        <v>59329</v>
      </c>
      <c r="AG25" s="10">
        <v>839643.75</v>
      </c>
      <c r="AH25" s="10">
        <f t="shared" si="29"/>
        <v>5007351.2199999988</v>
      </c>
      <c r="AI25" s="10">
        <v>38067330.969999999</v>
      </c>
      <c r="AJ25" s="10">
        <v>29229637</v>
      </c>
      <c r="AK25" s="10">
        <v>152819</v>
      </c>
      <c r="AL25" s="10">
        <v>346328</v>
      </c>
      <c r="AM25" s="10">
        <v>1283792.25</v>
      </c>
      <c r="AN25" s="10">
        <v>0</v>
      </c>
      <c r="AO25" s="10">
        <v>0</v>
      </c>
      <c r="AP25" s="10">
        <v>1282320</v>
      </c>
      <c r="AQ25" s="10">
        <v>73149</v>
      </c>
      <c r="AR25" s="10">
        <v>839643.75</v>
      </c>
      <c r="AS25" s="10">
        <f t="shared" si="9"/>
        <v>5007351.2199999988</v>
      </c>
      <c r="AT25" s="10">
        <v>38215040.219999999</v>
      </c>
      <c r="AU25" s="12">
        <v>256800</v>
      </c>
      <c r="AV25" s="12">
        <v>53954.161442102923</v>
      </c>
      <c r="AW25" s="12">
        <v>79837.625</v>
      </c>
      <c r="AX25" s="12">
        <f t="shared" si="30"/>
        <v>390591.78644210292</v>
      </c>
      <c r="AY25" s="12">
        <v>287001.82</v>
      </c>
      <c r="AZ25" s="12">
        <v>64643.445531672594</v>
      </c>
      <c r="BA25" s="12">
        <v>107288.02499999999</v>
      </c>
      <c r="BB25" s="12">
        <f t="shared" si="31"/>
        <v>458933.29053167265</v>
      </c>
      <c r="BC25" s="12">
        <v>30201.820000000007</v>
      </c>
      <c r="BD25" s="12">
        <v>10689.284089569672</v>
      </c>
      <c r="BE25" s="12">
        <v>27450.400000000023</v>
      </c>
      <c r="BF25" s="12">
        <v>68341.504089569702</v>
      </c>
    </row>
    <row r="26" spans="1:58" x14ac:dyDescent="0.25">
      <c r="A26" s="7">
        <v>16</v>
      </c>
      <c r="B26" s="7">
        <v>1</v>
      </c>
      <c r="C26" s="7" t="s">
        <v>27</v>
      </c>
      <c r="D26" s="4">
        <v>3</v>
      </c>
      <c r="E26" s="10">
        <v>5500</v>
      </c>
      <c r="F26" s="8">
        <f t="shared" si="10"/>
        <v>161594.5</v>
      </c>
      <c r="G26" s="8">
        <f t="shared" si="11"/>
        <v>0</v>
      </c>
      <c r="H26" s="8">
        <f t="shared" si="12"/>
        <v>79222</v>
      </c>
      <c r="I26" s="8">
        <f t="shared" si="13"/>
        <v>0</v>
      </c>
      <c r="J26" s="8">
        <f t="shared" si="14"/>
        <v>240816.5</v>
      </c>
      <c r="K26" s="8">
        <f t="shared" si="15"/>
        <v>63351.181499206257</v>
      </c>
      <c r="L26" s="8">
        <f t="shared" si="16"/>
        <v>304167.68149920623</v>
      </c>
      <c r="M26" s="8">
        <f t="shared" si="17"/>
        <v>43.784818181818181</v>
      </c>
      <c r="N26" s="8">
        <f t="shared" si="18"/>
        <v>148750</v>
      </c>
      <c r="O26" s="8">
        <f t="shared" si="19"/>
        <v>0</v>
      </c>
      <c r="P26" s="8">
        <f t="shared" si="20"/>
        <v>0</v>
      </c>
      <c r="Q26" s="8">
        <f t="shared" si="21"/>
        <v>12844.5</v>
      </c>
      <c r="R26" s="8">
        <f t="shared" si="22"/>
        <v>0</v>
      </c>
      <c r="S26" s="8">
        <f t="shared" si="23"/>
        <v>0</v>
      </c>
      <c r="T26" s="8">
        <f t="shared" si="24"/>
        <v>0</v>
      </c>
      <c r="U26" s="8">
        <f t="shared" si="25"/>
        <v>79222</v>
      </c>
      <c r="V26" s="8">
        <f t="shared" si="26"/>
        <v>0</v>
      </c>
      <c r="W26" s="8">
        <f t="shared" si="27"/>
        <v>0</v>
      </c>
      <c r="X26" s="8">
        <f t="shared" si="28"/>
        <v>240816.5</v>
      </c>
      <c r="Y26" s="10">
        <v>34545700</v>
      </c>
      <c r="Z26" s="10">
        <v>0</v>
      </c>
      <c r="AA26" s="10">
        <v>0</v>
      </c>
      <c r="AB26" s="10">
        <v>2551945</v>
      </c>
      <c r="AC26" s="10">
        <v>0</v>
      </c>
      <c r="AD26" s="10">
        <v>0</v>
      </c>
      <c r="AE26" s="10">
        <v>1451060</v>
      </c>
      <c r="AF26" s="10">
        <v>301750</v>
      </c>
      <c r="AG26" s="10">
        <v>944717.5</v>
      </c>
      <c r="AH26" s="10">
        <f t="shared" si="29"/>
        <v>7400518.0799999982</v>
      </c>
      <c r="AI26" s="10">
        <v>47195690.579999998</v>
      </c>
      <c r="AJ26" s="10">
        <v>34694450</v>
      </c>
      <c r="AK26" s="10">
        <v>0</v>
      </c>
      <c r="AL26" s="10">
        <v>0</v>
      </c>
      <c r="AM26" s="10">
        <v>2564789.5</v>
      </c>
      <c r="AN26" s="10">
        <v>0</v>
      </c>
      <c r="AO26" s="10">
        <v>0</v>
      </c>
      <c r="AP26" s="10">
        <v>1451060</v>
      </c>
      <c r="AQ26" s="10">
        <v>380972</v>
      </c>
      <c r="AR26" s="10">
        <v>944717.5</v>
      </c>
      <c r="AS26" s="10">
        <f t="shared" si="9"/>
        <v>7400518.0799999982</v>
      </c>
      <c r="AT26" s="10">
        <v>47436507.079999998</v>
      </c>
      <c r="AU26" s="12">
        <v>248520</v>
      </c>
      <c r="AV26" s="12">
        <v>68151.135524743906</v>
      </c>
      <c r="AW26" s="12">
        <v>73118</v>
      </c>
      <c r="AX26" s="12">
        <f t="shared" si="30"/>
        <v>389789.13552474394</v>
      </c>
      <c r="AY26" s="12">
        <v>277748.02299999999</v>
      </c>
      <c r="AZ26" s="12">
        <v>81653.094023950223</v>
      </c>
      <c r="BA26" s="12">
        <v>93739.199999999997</v>
      </c>
      <c r="BB26" s="12">
        <f t="shared" si="31"/>
        <v>453140.31702395022</v>
      </c>
      <c r="BC26" s="12">
        <v>29228.022999999986</v>
      </c>
      <c r="BD26" s="12">
        <v>13501.958499206317</v>
      </c>
      <c r="BE26" s="12">
        <v>20621.199999999953</v>
      </c>
      <c r="BF26" s="12">
        <v>63351.181499206257</v>
      </c>
    </row>
    <row r="27" spans="1:58" x14ac:dyDescent="0.25">
      <c r="A27" s="7">
        <v>22</v>
      </c>
      <c r="B27" s="7">
        <v>1</v>
      </c>
      <c r="C27" s="7" t="s">
        <v>28</v>
      </c>
      <c r="D27" s="4">
        <v>4</v>
      </c>
      <c r="E27" s="10">
        <v>2836</v>
      </c>
      <c r="F27" s="8">
        <f t="shared" si="10"/>
        <v>87466</v>
      </c>
      <c r="G27" s="8">
        <f t="shared" si="11"/>
        <v>72872.599999999991</v>
      </c>
      <c r="H27" s="8">
        <f t="shared" si="12"/>
        <v>0</v>
      </c>
      <c r="I27" s="8">
        <f t="shared" si="13"/>
        <v>1.4988472685217857E-9</v>
      </c>
      <c r="J27" s="8">
        <f t="shared" si="14"/>
        <v>160338.60000000149</v>
      </c>
      <c r="K27" s="8">
        <f t="shared" si="15"/>
        <v>37533.084666887415</v>
      </c>
      <c r="L27" s="8">
        <f t="shared" si="16"/>
        <v>197871.6846668889</v>
      </c>
      <c r="M27" s="8">
        <f t="shared" si="17"/>
        <v>56.536882933709975</v>
      </c>
      <c r="N27" s="8">
        <f t="shared" si="18"/>
        <v>77400</v>
      </c>
      <c r="O27" s="8">
        <f t="shared" si="19"/>
        <v>0</v>
      </c>
      <c r="P27" s="8">
        <f t="shared" si="20"/>
        <v>1783</v>
      </c>
      <c r="Q27" s="8">
        <f t="shared" si="21"/>
        <v>8283</v>
      </c>
      <c r="R27" s="8">
        <f t="shared" si="22"/>
        <v>0</v>
      </c>
      <c r="S27" s="8">
        <f t="shared" si="23"/>
        <v>0</v>
      </c>
      <c r="T27" s="8">
        <f t="shared" si="24"/>
        <v>72872.599999999991</v>
      </c>
      <c r="U27" s="8">
        <f t="shared" si="25"/>
        <v>0</v>
      </c>
      <c r="V27" s="8">
        <f t="shared" si="26"/>
        <v>0</v>
      </c>
      <c r="W27" s="8">
        <f t="shared" si="27"/>
        <v>0</v>
      </c>
      <c r="X27" s="8">
        <f t="shared" si="28"/>
        <v>160338.60000000149</v>
      </c>
      <c r="Y27" s="10">
        <v>17975376</v>
      </c>
      <c r="Z27" s="10">
        <v>0</v>
      </c>
      <c r="AA27" s="10">
        <v>414099</v>
      </c>
      <c r="AB27" s="10">
        <v>1645666</v>
      </c>
      <c r="AC27" s="10">
        <v>0</v>
      </c>
      <c r="AD27" s="10">
        <v>0</v>
      </c>
      <c r="AE27" s="10">
        <v>0</v>
      </c>
      <c r="AF27" s="10">
        <v>14395</v>
      </c>
      <c r="AG27" s="10">
        <v>445824</v>
      </c>
      <c r="AH27" s="10">
        <f t="shared" si="29"/>
        <v>3104301.3900000006</v>
      </c>
      <c r="AI27" s="10">
        <v>23599661.390000001</v>
      </c>
      <c r="AJ27" s="10">
        <v>18052776</v>
      </c>
      <c r="AK27" s="10">
        <v>0</v>
      </c>
      <c r="AL27" s="10">
        <v>415882</v>
      </c>
      <c r="AM27" s="10">
        <v>1653949</v>
      </c>
      <c r="AN27" s="10">
        <v>0</v>
      </c>
      <c r="AO27" s="10">
        <v>0</v>
      </c>
      <c r="AP27" s="10">
        <v>72872.599999999991</v>
      </c>
      <c r="AQ27" s="10">
        <v>14395</v>
      </c>
      <c r="AR27" s="10">
        <v>445824</v>
      </c>
      <c r="AS27" s="10">
        <f t="shared" si="9"/>
        <v>3104301.3900000006</v>
      </c>
      <c r="AT27" s="10">
        <v>23759999.990000002</v>
      </c>
      <c r="AU27" s="12">
        <v>127200</v>
      </c>
      <c r="AV27" s="12">
        <v>35211.888306114175</v>
      </c>
      <c r="AW27" s="12">
        <v>43424.5</v>
      </c>
      <c r="AX27" s="12">
        <f t="shared" si="30"/>
        <v>205836.38830611418</v>
      </c>
      <c r="AY27" s="12">
        <v>142159.78</v>
      </c>
      <c r="AZ27" s="12">
        <v>42187.992973001579</v>
      </c>
      <c r="BA27" s="12">
        <v>59021.7</v>
      </c>
      <c r="BB27" s="12">
        <f t="shared" si="31"/>
        <v>243369.4729730016</v>
      </c>
      <c r="BC27" s="12">
        <v>14959.779999999999</v>
      </c>
      <c r="BD27" s="12">
        <v>6976.1046668874042</v>
      </c>
      <c r="BE27" s="12">
        <v>15597.200000000012</v>
      </c>
      <c r="BF27" s="12">
        <v>37533.084666887415</v>
      </c>
    </row>
    <row r="28" spans="1:58" x14ac:dyDescent="0.25">
      <c r="A28" s="7">
        <v>23</v>
      </c>
      <c r="B28" s="7">
        <v>1</v>
      </c>
      <c r="C28" s="7" t="s">
        <v>29</v>
      </c>
      <c r="D28" s="4">
        <v>6</v>
      </c>
      <c r="E28" s="10">
        <v>900</v>
      </c>
      <c r="F28" s="8">
        <f t="shared" si="10"/>
        <v>28828</v>
      </c>
      <c r="G28" s="8">
        <f t="shared" si="11"/>
        <v>22562.42</v>
      </c>
      <c r="H28" s="8">
        <f t="shared" si="12"/>
        <v>0</v>
      </c>
      <c r="I28" s="8">
        <f t="shared" si="13"/>
        <v>16.99999999992724</v>
      </c>
      <c r="J28" s="8">
        <f t="shared" si="14"/>
        <v>51407.419999999925</v>
      </c>
      <c r="K28" s="8">
        <f t="shared" si="15"/>
        <v>16767.935580591984</v>
      </c>
      <c r="L28" s="8">
        <f t="shared" si="16"/>
        <v>68175.355580591917</v>
      </c>
      <c r="M28" s="8">
        <f t="shared" si="17"/>
        <v>57.119355555555472</v>
      </c>
      <c r="N28" s="8">
        <f t="shared" si="18"/>
        <v>24600</v>
      </c>
      <c r="O28" s="8">
        <f t="shared" si="19"/>
        <v>55</v>
      </c>
      <c r="P28" s="8">
        <f t="shared" si="20"/>
        <v>867</v>
      </c>
      <c r="Q28" s="8">
        <f t="shared" si="21"/>
        <v>3306</v>
      </c>
      <c r="R28" s="8">
        <f t="shared" si="22"/>
        <v>0</v>
      </c>
      <c r="S28" s="8">
        <f t="shared" si="23"/>
        <v>0</v>
      </c>
      <c r="T28" s="8">
        <f t="shared" si="24"/>
        <v>22562.42</v>
      </c>
      <c r="U28" s="8">
        <f t="shared" si="25"/>
        <v>0</v>
      </c>
      <c r="V28" s="8">
        <f t="shared" si="26"/>
        <v>17</v>
      </c>
      <c r="W28" s="8">
        <f t="shared" si="27"/>
        <v>0</v>
      </c>
      <c r="X28" s="8">
        <f t="shared" si="28"/>
        <v>51407.419999999925</v>
      </c>
      <c r="Y28" s="10">
        <v>5713104</v>
      </c>
      <c r="Z28" s="10">
        <v>12680</v>
      </c>
      <c r="AA28" s="10">
        <v>201498</v>
      </c>
      <c r="AB28" s="10">
        <v>656836</v>
      </c>
      <c r="AC28" s="10">
        <v>0</v>
      </c>
      <c r="AD28" s="10">
        <v>0</v>
      </c>
      <c r="AE28" s="10">
        <v>0</v>
      </c>
      <c r="AF28" s="10">
        <v>15066</v>
      </c>
      <c r="AG28" s="10">
        <v>117348</v>
      </c>
      <c r="AH28" s="10">
        <f t="shared" si="29"/>
        <v>1117183.7800000003</v>
      </c>
      <c r="AI28" s="10">
        <v>7833715.7800000003</v>
      </c>
      <c r="AJ28" s="10">
        <v>5737704</v>
      </c>
      <c r="AK28" s="10">
        <v>12735</v>
      </c>
      <c r="AL28" s="10">
        <v>202365</v>
      </c>
      <c r="AM28" s="10">
        <v>660142</v>
      </c>
      <c r="AN28" s="10">
        <v>0</v>
      </c>
      <c r="AO28" s="10">
        <v>0</v>
      </c>
      <c r="AP28" s="10">
        <v>22562.42</v>
      </c>
      <c r="AQ28" s="10">
        <v>15066</v>
      </c>
      <c r="AR28" s="10">
        <v>117365</v>
      </c>
      <c r="AS28" s="10">
        <f t="shared" si="9"/>
        <v>1117183.7800000003</v>
      </c>
      <c r="AT28" s="10">
        <v>7885123.2000000002</v>
      </c>
      <c r="AU28" s="12">
        <v>51000</v>
      </c>
      <c r="AV28" s="12">
        <v>13635.874655538062</v>
      </c>
      <c r="AW28" s="12">
        <v>14916.625</v>
      </c>
      <c r="AX28" s="12">
        <f t="shared" si="30"/>
        <v>79552.499655538064</v>
      </c>
      <c r="AY28" s="12">
        <v>56998.025000000001</v>
      </c>
      <c r="AZ28" s="12">
        <v>16337.385236130051</v>
      </c>
      <c r="BA28" s="12">
        <v>22985.025000000001</v>
      </c>
      <c r="BB28" s="12">
        <f t="shared" si="31"/>
        <v>96320.435236130055</v>
      </c>
      <c r="BC28" s="12">
        <v>5998.0250000000015</v>
      </c>
      <c r="BD28" s="12">
        <v>2701.5105805919884</v>
      </c>
      <c r="BE28" s="12">
        <v>8068.3999999999942</v>
      </c>
      <c r="BF28" s="12">
        <v>16767.935580591984</v>
      </c>
    </row>
    <row r="29" spans="1:58" x14ac:dyDescent="0.25">
      <c r="A29" s="7">
        <v>25</v>
      </c>
      <c r="B29" s="7">
        <v>1</v>
      </c>
      <c r="C29" s="7" t="s">
        <v>30</v>
      </c>
      <c r="D29" s="4">
        <v>6</v>
      </c>
      <c r="E29" s="10">
        <v>78</v>
      </c>
      <c r="F29" s="8">
        <f t="shared" si="10"/>
        <v>3442</v>
      </c>
      <c r="G29" s="8">
        <f t="shared" si="11"/>
        <v>3016.98</v>
      </c>
      <c r="H29" s="8">
        <f t="shared" si="12"/>
        <v>0</v>
      </c>
      <c r="I29" s="8">
        <f t="shared" si="13"/>
        <v>-1.8644641386345029E-11</v>
      </c>
      <c r="J29" s="8">
        <f t="shared" si="14"/>
        <v>6458.9799999999814</v>
      </c>
      <c r="K29" s="8">
        <f t="shared" si="15"/>
        <v>373.960584228779</v>
      </c>
      <c r="L29" s="8">
        <f t="shared" si="16"/>
        <v>6832.9405842287606</v>
      </c>
      <c r="M29" s="8">
        <f t="shared" si="17"/>
        <v>82.807435897435653</v>
      </c>
      <c r="N29" s="8">
        <f t="shared" si="18"/>
        <v>1910</v>
      </c>
      <c r="O29" s="8">
        <f t="shared" si="19"/>
        <v>0</v>
      </c>
      <c r="P29" s="8">
        <f t="shared" si="20"/>
        <v>34</v>
      </c>
      <c r="Q29" s="8">
        <f t="shared" si="21"/>
        <v>900</v>
      </c>
      <c r="R29" s="8">
        <f t="shared" si="22"/>
        <v>598</v>
      </c>
      <c r="S29" s="8">
        <f t="shared" si="23"/>
        <v>0</v>
      </c>
      <c r="T29" s="8">
        <f t="shared" si="24"/>
        <v>3016.98</v>
      </c>
      <c r="U29" s="8">
        <f t="shared" si="25"/>
        <v>0</v>
      </c>
      <c r="V29" s="8">
        <f t="shared" si="26"/>
        <v>0</v>
      </c>
      <c r="W29" s="8">
        <f t="shared" si="27"/>
        <v>0</v>
      </c>
      <c r="X29" s="8">
        <f t="shared" si="28"/>
        <v>6458.9799999999814</v>
      </c>
      <c r="Y29" s="10">
        <v>443578</v>
      </c>
      <c r="Z29" s="10">
        <v>0</v>
      </c>
      <c r="AA29" s="10">
        <v>7845</v>
      </c>
      <c r="AB29" s="10">
        <v>178812</v>
      </c>
      <c r="AC29" s="10">
        <v>126171</v>
      </c>
      <c r="AD29" s="10">
        <v>38254</v>
      </c>
      <c r="AE29" s="10">
        <v>0</v>
      </c>
      <c r="AF29" s="10">
        <v>0</v>
      </c>
      <c r="AG29" s="10">
        <v>11002</v>
      </c>
      <c r="AH29" s="10">
        <f t="shared" si="29"/>
        <v>57908.689999999944</v>
      </c>
      <c r="AI29" s="10">
        <v>863570.69</v>
      </c>
      <c r="AJ29" s="10">
        <v>445488</v>
      </c>
      <c r="AK29" s="10">
        <v>0</v>
      </c>
      <c r="AL29" s="10">
        <v>7879</v>
      </c>
      <c r="AM29" s="10">
        <v>179712</v>
      </c>
      <c r="AN29" s="10">
        <v>126769</v>
      </c>
      <c r="AO29" s="10">
        <v>38254</v>
      </c>
      <c r="AP29" s="10">
        <v>3016.98</v>
      </c>
      <c r="AQ29" s="10">
        <v>0</v>
      </c>
      <c r="AR29" s="10">
        <v>11002</v>
      </c>
      <c r="AS29" s="10">
        <f t="shared" si="9"/>
        <v>57908.689999999944</v>
      </c>
      <c r="AT29" s="10">
        <v>870029.66999999993</v>
      </c>
      <c r="AU29" s="12">
        <v>0</v>
      </c>
      <c r="AV29" s="12">
        <v>1887.5660488947626</v>
      </c>
      <c r="AW29" s="12">
        <v>1034</v>
      </c>
      <c r="AX29" s="12">
        <f t="shared" si="30"/>
        <v>2921.5660488947624</v>
      </c>
      <c r="AY29" s="12">
        <v>0</v>
      </c>
      <c r="AZ29" s="12">
        <v>2261.5266331235416</v>
      </c>
      <c r="BA29" s="12">
        <v>1034</v>
      </c>
      <c r="BB29" s="12">
        <f t="shared" si="31"/>
        <v>3295.5266331235416</v>
      </c>
      <c r="BC29" s="12">
        <v>0</v>
      </c>
      <c r="BD29" s="12">
        <v>373.960584228779</v>
      </c>
      <c r="BE29" s="12">
        <v>0</v>
      </c>
      <c r="BF29" s="12">
        <v>373.960584228779</v>
      </c>
    </row>
    <row r="30" spans="1:58" x14ac:dyDescent="0.25">
      <c r="A30" s="7">
        <v>31</v>
      </c>
      <c r="B30" s="7">
        <v>1</v>
      </c>
      <c r="C30" s="7" t="s">
        <v>31</v>
      </c>
      <c r="D30" s="4">
        <v>4</v>
      </c>
      <c r="E30" s="10">
        <v>5100</v>
      </c>
      <c r="F30" s="8">
        <f t="shared" si="10"/>
        <v>165436.25</v>
      </c>
      <c r="G30" s="8">
        <f t="shared" si="11"/>
        <v>118637.68000000001</v>
      </c>
      <c r="H30" s="8">
        <f t="shared" si="12"/>
        <v>0</v>
      </c>
      <c r="I30" s="8">
        <f t="shared" si="13"/>
        <v>998.99999999969441</v>
      </c>
      <c r="J30" s="8">
        <f t="shared" si="14"/>
        <v>285072.9299999997</v>
      </c>
      <c r="K30" s="8">
        <f t="shared" si="15"/>
        <v>103041.56814770791</v>
      </c>
      <c r="L30" s="8">
        <f t="shared" si="16"/>
        <v>388114.49814770761</v>
      </c>
      <c r="M30" s="8">
        <f t="shared" si="17"/>
        <v>55.896652941176413</v>
      </c>
      <c r="N30" s="8">
        <f t="shared" si="18"/>
        <v>138675</v>
      </c>
      <c r="O30" s="8">
        <f t="shared" si="19"/>
        <v>0</v>
      </c>
      <c r="P30" s="8">
        <f t="shared" si="20"/>
        <v>3467</v>
      </c>
      <c r="Q30" s="8">
        <f t="shared" si="21"/>
        <v>23294.25</v>
      </c>
      <c r="R30" s="8">
        <f t="shared" si="22"/>
        <v>0</v>
      </c>
      <c r="S30" s="8">
        <f t="shared" si="23"/>
        <v>0</v>
      </c>
      <c r="T30" s="8">
        <f t="shared" si="24"/>
        <v>118637.68000000001</v>
      </c>
      <c r="U30" s="8">
        <f t="shared" si="25"/>
        <v>0</v>
      </c>
      <c r="V30" s="8">
        <f t="shared" si="26"/>
        <v>9</v>
      </c>
      <c r="W30" s="8">
        <f t="shared" si="27"/>
        <v>990</v>
      </c>
      <c r="X30" s="8">
        <f t="shared" si="28"/>
        <v>285072.9299999997</v>
      </c>
      <c r="Y30" s="10">
        <v>32205882</v>
      </c>
      <c r="Z30" s="10">
        <v>0</v>
      </c>
      <c r="AA30" s="10">
        <v>805224</v>
      </c>
      <c r="AB30" s="10">
        <v>4628102</v>
      </c>
      <c r="AC30" s="10">
        <v>0</v>
      </c>
      <c r="AD30" s="10">
        <v>0</v>
      </c>
      <c r="AE30" s="10">
        <v>0</v>
      </c>
      <c r="AF30" s="10">
        <v>14253</v>
      </c>
      <c r="AG30" s="10">
        <v>785667</v>
      </c>
      <c r="AH30" s="10">
        <f t="shared" si="29"/>
        <v>5198577.5099999979</v>
      </c>
      <c r="AI30" s="10">
        <v>43637705.509999998</v>
      </c>
      <c r="AJ30" s="10">
        <v>32344557</v>
      </c>
      <c r="AK30" s="10">
        <v>0</v>
      </c>
      <c r="AL30" s="10">
        <v>808691</v>
      </c>
      <c r="AM30" s="10">
        <v>4651396.25</v>
      </c>
      <c r="AN30" s="10">
        <v>0</v>
      </c>
      <c r="AO30" s="10">
        <v>0</v>
      </c>
      <c r="AP30" s="10">
        <v>118637.68000000001</v>
      </c>
      <c r="AQ30" s="10">
        <v>14253</v>
      </c>
      <c r="AR30" s="10">
        <v>785676</v>
      </c>
      <c r="AS30" s="10">
        <f t="shared" si="9"/>
        <v>5199567.5099999979</v>
      </c>
      <c r="AT30" s="10">
        <v>43922778.439999998</v>
      </c>
      <c r="AU30" s="12">
        <v>446400</v>
      </c>
      <c r="AV30" s="12">
        <v>98117.384125555574</v>
      </c>
      <c r="AW30" s="12">
        <v>83243.875</v>
      </c>
      <c r="AX30" s="12">
        <f t="shared" si="30"/>
        <v>627761.25912555563</v>
      </c>
      <c r="AY30" s="12">
        <v>498900.36</v>
      </c>
      <c r="AZ30" s="12">
        <v>117556.19227326347</v>
      </c>
      <c r="BA30" s="12">
        <v>114346.27499999999</v>
      </c>
      <c r="BB30" s="12">
        <f t="shared" si="31"/>
        <v>730802.82727326348</v>
      </c>
      <c r="BC30" s="12">
        <v>52500.359999999986</v>
      </c>
      <c r="BD30" s="12">
        <v>19438.808147707896</v>
      </c>
      <c r="BE30" s="12">
        <v>31102.400000000023</v>
      </c>
      <c r="BF30" s="12">
        <v>103041.56814770791</v>
      </c>
    </row>
    <row r="31" spans="1:58" x14ac:dyDescent="0.25">
      <c r="A31" s="7">
        <v>32</v>
      </c>
      <c r="B31" s="7">
        <v>1</v>
      </c>
      <c r="C31" s="7" t="s">
        <v>32</v>
      </c>
      <c r="D31" s="4">
        <v>6</v>
      </c>
      <c r="E31" s="10">
        <v>509</v>
      </c>
      <c r="F31" s="8">
        <f t="shared" si="10"/>
        <v>19807.75</v>
      </c>
      <c r="G31" s="8">
        <f t="shared" si="11"/>
        <v>15498.64</v>
      </c>
      <c r="H31" s="8">
        <f t="shared" si="12"/>
        <v>0</v>
      </c>
      <c r="I31" s="8">
        <f t="shared" si="13"/>
        <v>-3.3469405025243759E-10</v>
      </c>
      <c r="J31" s="8">
        <f t="shared" si="14"/>
        <v>35306.389999999665</v>
      </c>
      <c r="K31" s="8">
        <f t="shared" si="15"/>
        <v>9618.2595811651518</v>
      </c>
      <c r="L31" s="8">
        <f t="shared" si="16"/>
        <v>44924.64958116482</v>
      </c>
      <c r="M31" s="8">
        <f t="shared" si="17"/>
        <v>69.364223968565156</v>
      </c>
      <c r="N31" s="8">
        <f t="shared" si="18"/>
        <v>13502</v>
      </c>
      <c r="O31" s="8">
        <f t="shared" si="19"/>
        <v>0</v>
      </c>
      <c r="P31" s="8">
        <f t="shared" si="20"/>
        <v>822</v>
      </c>
      <c r="Q31" s="8">
        <f t="shared" si="21"/>
        <v>3656.75</v>
      </c>
      <c r="R31" s="8">
        <f t="shared" si="22"/>
        <v>1827</v>
      </c>
      <c r="S31" s="8">
        <f t="shared" si="23"/>
        <v>0</v>
      </c>
      <c r="T31" s="8">
        <f t="shared" si="24"/>
        <v>15498.64</v>
      </c>
      <c r="U31" s="8">
        <f t="shared" si="25"/>
        <v>0</v>
      </c>
      <c r="V31" s="8">
        <f t="shared" si="26"/>
        <v>0</v>
      </c>
      <c r="W31" s="8">
        <f t="shared" si="27"/>
        <v>0</v>
      </c>
      <c r="X31" s="8">
        <f t="shared" si="28"/>
        <v>35306.389999999665</v>
      </c>
      <c r="Y31" s="10">
        <v>3135530</v>
      </c>
      <c r="Z31" s="10">
        <v>0</v>
      </c>
      <c r="AA31" s="10">
        <v>191013</v>
      </c>
      <c r="AB31" s="10">
        <v>726523</v>
      </c>
      <c r="AC31" s="10">
        <v>385478</v>
      </c>
      <c r="AD31" s="10">
        <v>128517</v>
      </c>
      <c r="AE31" s="10">
        <v>0</v>
      </c>
      <c r="AF31" s="10">
        <v>15838</v>
      </c>
      <c r="AG31" s="10">
        <v>77768</v>
      </c>
      <c r="AH31" s="10">
        <f t="shared" si="29"/>
        <v>329722.74000000022</v>
      </c>
      <c r="AI31" s="10">
        <v>4990389.74</v>
      </c>
      <c r="AJ31" s="10">
        <v>3149032</v>
      </c>
      <c r="AK31" s="10">
        <v>0</v>
      </c>
      <c r="AL31" s="10">
        <v>191835</v>
      </c>
      <c r="AM31" s="10">
        <v>730179.75</v>
      </c>
      <c r="AN31" s="10">
        <v>387305</v>
      </c>
      <c r="AO31" s="10">
        <v>128517</v>
      </c>
      <c r="AP31" s="10">
        <v>15498.64</v>
      </c>
      <c r="AQ31" s="10">
        <v>15838</v>
      </c>
      <c r="AR31" s="10">
        <v>77768</v>
      </c>
      <c r="AS31" s="10">
        <f t="shared" si="9"/>
        <v>329722.74000000022</v>
      </c>
      <c r="AT31" s="10">
        <v>5025696.13</v>
      </c>
      <c r="AU31" s="12">
        <v>28320</v>
      </c>
      <c r="AV31" s="12">
        <v>10317.047505931067</v>
      </c>
      <c r="AW31" s="12">
        <v>7873.5</v>
      </c>
      <c r="AX31" s="12">
        <f t="shared" si="30"/>
        <v>46510.54750593107</v>
      </c>
      <c r="AY31" s="12">
        <v>31650.668000000001</v>
      </c>
      <c r="AZ31" s="12">
        <v>12361.039087096211</v>
      </c>
      <c r="BA31" s="12">
        <v>12117.1</v>
      </c>
      <c r="BB31" s="12">
        <f t="shared" si="31"/>
        <v>56128.807087096211</v>
      </c>
      <c r="BC31" s="12">
        <v>3330.6680000000015</v>
      </c>
      <c r="BD31" s="12">
        <v>2043.9915811651445</v>
      </c>
      <c r="BE31" s="12">
        <v>4243.6000000000058</v>
      </c>
      <c r="BF31" s="12">
        <v>9618.2595811651518</v>
      </c>
    </row>
    <row r="32" spans="1:58" x14ac:dyDescent="0.25">
      <c r="A32" s="7">
        <v>36</v>
      </c>
      <c r="B32" s="7">
        <v>1</v>
      </c>
      <c r="C32" s="7" t="s">
        <v>33</v>
      </c>
      <c r="D32" s="4">
        <v>6</v>
      </c>
      <c r="E32" s="10">
        <v>258</v>
      </c>
      <c r="F32" s="8">
        <f t="shared" si="10"/>
        <v>13162.75</v>
      </c>
      <c r="G32" s="8">
        <f t="shared" si="11"/>
        <v>8848.6</v>
      </c>
      <c r="H32" s="8">
        <f t="shared" si="12"/>
        <v>0</v>
      </c>
      <c r="I32" s="8">
        <f t="shared" si="13"/>
        <v>-0.99999999990723154</v>
      </c>
      <c r="J32" s="8">
        <f t="shared" si="14"/>
        <v>22010.350000000093</v>
      </c>
      <c r="K32" s="8">
        <f t="shared" si="15"/>
        <v>5552.1758454105711</v>
      </c>
      <c r="L32" s="8">
        <f t="shared" si="16"/>
        <v>27562.525845410666</v>
      </c>
      <c r="M32" s="8">
        <f t="shared" si="17"/>
        <v>85.311434108527493</v>
      </c>
      <c r="N32" s="8">
        <f t="shared" si="18"/>
        <v>7015</v>
      </c>
      <c r="O32" s="8">
        <f t="shared" si="19"/>
        <v>0</v>
      </c>
      <c r="P32" s="8">
        <f t="shared" si="20"/>
        <v>825</v>
      </c>
      <c r="Q32" s="8">
        <f t="shared" si="21"/>
        <v>2766.75</v>
      </c>
      <c r="R32" s="8">
        <f t="shared" si="22"/>
        <v>2556</v>
      </c>
      <c r="S32" s="8">
        <f t="shared" si="23"/>
        <v>0</v>
      </c>
      <c r="T32" s="8">
        <f t="shared" si="24"/>
        <v>8848.6</v>
      </c>
      <c r="U32" s="8">
        <f t="shared" si="25"/>
        <v>0</v>
      </c>
      <c r="V32" s="8">
        <f t="shared" si="26"/>
        <v>-1</v>
      </c>
      <c r="W32" s="8">
        <f t="shared" si="27"/>
        <v>0</v>
      </c>
      <c r="X32" s="8">
        <f t="shared" si="28"/>
        <v>22010.350000000093</v>
      </c>
      <c r="Y32" s="10">
        <v>1629164</v>
      </c>
      <c r="Z32" s="10">
        <v>0</v>
      </c>
      <c r="AA32" s="10">
        <v>191569</v>
      </c>
      <c r="AB32" s="10">
        <v>549698</v>
      </c>
      <c r="AC32" s="10">
        <v>539243</v>
      </c>
      <c r="AD32" s="10">
        <v>108029</v>
      </c>
      <c r="AE32" s="10">
        <v>0</v>
      </c>
      <c r="AF32" s="10">
        <v>0</v>
      </c>
      <c r="AG32" s="10">
        <v>41761</v>
      </c>
      <c r="AH32" s="10">
        <f t="shared" si="29"/>
        <v>169223.5</v>
      </c>
      <c r="AI32" s="10">
        <v>3228687.5</v>
      </c>
      <c r="AJ32" s="10">
        <v>1636179</v>
      </c>
      <c r="AK32" s="10">
        <v>0</v>
      </c>
      <c r="AL32" s="10">
        <v>192394</v>
      </c>
      <c r="AM32" s="10">
        <v>552464.75</v>
      </c>
      <c r="AN32" s="10">
        <v>541799</v>
      </c>
      <c r="AO32" s="10">
        <v>108029</v>
      </c>
      <c r="AP32" s="10">
        <v>8848.6</v>
      </c>
      <c r="AQ32" s="10">
        <v>0</v>
      </c>
      <c r="AR32" s="10">
        <v>41760</v>
      </c>
      <c r="AS32" s="10">
        <f t="shared" si="9"/>
        <v>169223.5</v>
      </c>
      <c r="AT32" s="10">
        <v>3250697.85</v>
      </c>
      <c r="AU32" s="12">
        <v>18000</v>
      </c>
      <c r="AV32" s="12">
        <v>3896.8004547098699</v>
      </c>
      <c r="AW32" s="12">
        <v>4450.625</v>
      </c>
      <c r="AX32" s="12">
        <f t="shared" si="30"/>
        <v>26347.425454709868</v>
      </c>
      <c r="AY32" s="12">
        <v>20116.95</v>
      </c>
      <c r="AZ32" s="12">
        <v>4668.8263001204432</v>
      </c>
      <c r="BA32" s="12">
        <v>7113.8250000000007</v>
      </c>
      <c r="BB32" s="12">
        <f t="shared" si="31"/>
        <v>31899.601300120445</v>
      </c>
      <c r="BC32" s="12">
        <v>2116.9500000000007</v>
      </c>
      <c r="BD32" s="12">
        <v>772.02584541057331</v>
      </c>
      <c r="BE32" s="12">
        <v>2663.1999999999971</v>
      </c>
      <c r="BF32" s="12">
        <v>5552.1758454105711</v>
      </c>
    </row>
    <row r="33" spans="1:58" x14ac:dyDescent="0.25">
      <c r="A33" s="7">
        <v>38</v>
      </c>
      <c r="B33" s="7">
        <v>1</v>
      </c>
      <c r="C33" s="7" t="s">
        <v>34</v>
      </c>
      <c r="D33" s="4">
        <v>5</v>
      </c>
      <c r="E33" s="10">
        <v>1399</v>
      </c>
      <c r="F33" s="8">
        <f t="shared" si="10"/>
        <v>55686.75</v>
      </c>
      <c r="G33" s="8">
        <f t="shared" si="11"/>
        <v>51038</v>
      </c>
      <c r="H33" s="8">
        <f t="shared" si="12"/>
        <v>14731</v>
      </c>
      <c r="I33" s="8">
        <f t="shared" si="13"/>
        <v>29</v>
      </c>
      <c r="J33" s="8">
        <f t="shared" si="14"/>
        <v>121484.75</v>
      </c>
      <c r="K33" s="8">
        <f t="shared" si="15"/>
        <v>20081.519811486804</v>
      </c>
      <c r="L33" s="8">
        <f t="shared" si="16"/>
        <v>141566.2698114868</v>
      </c>
      <c r="M33" s="8">
        <f t="shared" si="17"/>
        <v>86.836847748391705</v>
      </c>
      <c r="N33" s="8">
        <f t="shared" si="18"/>
        <v>37285</v>
      </c>
      <c r="O33" s="8">
        <f t="shared" si="19"/>
        <v>0</v>
      </c>
      <c r="P33" s="8">
        <f t="shared" si="20"/>
        <v>1914</v>
      </c>
      <c r="Q33" s="8">
        <f t="shared" si="21"/>
        <v>16487.75</v>
      </c>
      <c r="R33" s="8">
        <f t="shared" si="22"/>
        <v>0</v>
      </c>
      <c r="S33" s="8">
        <f t="shared" si="23"/>
        <v>0</v>
      </c>
      <c r="T33" s="8">
        <f t="shared" si="24"/>
        <v>51038</v>
      </c>
      <c r="U33" s="8">
        <f t="shared" si="25"/>
        <v>14731</v>
      </c>
      <c r="V33" s="8">
        <f t="shared" si="26"/>
        <v>56</v>
      </c>
      <c r="W33" s="8">
        <f t="shared" si="27"/>
        <v>-27</v>
      </c>
      <c r="X33" s="8">
        <f t="shared" si="28"/>
        <v>121484.75</v>
      </c>
      <c r="Y33" s="10">
        <v>8659068</v>
      </c>
      <c r="Z33" s="10">
        <v>0</v>
      </c>
      <c r="AA33" s="10">
        <v>444556</v>
      </c>
      <c r="AB33" s="10">
        <v>3275786</v>
      </c>
      <c r="AC33" s="10">
        <v>0</v>
      </c>
      <c r="AD33" s="10">
        <v>0</v>
      </c>
      <c r="AE33" s="10">
        <v>0</v>
      </c>
      <c r="AF33" s="10">
        <v>0</v>
      </c>
      <c r="AG33" s="10">
        <v>134710</v>
      </c>
      <c r="AH33" s="10">
        <f t="shared" si="29"/>
        <v>2990057.1899999995</v>
      </c>
      <c r="AI33" s="10">
        <v>15504177.189999999</v>
      </c>
      <c r="AJ33" s="10">
        <v>8696353</v>
      </c>
      <c r="AK33" s="10">
        <v>0</v>
      </c>
      <c r="AL33" s="10">
        <v>446470</v>
      </c>
      <c r="AM33" s="10">
        <v>3292273.75</v>
      </c>
      <c r="AN33" s="10">
        <v>0</v>
      </c>
      <c r="AO33" s="10">
        <v>0</v>
      </c>
      <c r="AP33" s="10">
        <v>51038</v>
      </c>
      <c r="AQ33" s="10">
        <v>14731</v>
      </c>
      <c r="AR33" s="10">
        <v>134766</v>
      </c>
      <c r="AS33" s="10">
        <f t="shared" si="9"/>
        <v>2990030.1899999995</v>
      </c>
      <c r="AT33" s="10">
        <v>15625661.939999999</v>
      </c>
      <c r="AU33" s="12">
        <v>108360</v>
      </c>
      <c r="AV33" s="12">
        <v>30310.645395979642</v>
      </c>
      <c r="AW33" s="12">
        <v>21996.625</v>
      </c>
      <c r="AX33" s="12">
        <f t="shared" si="30"/>
        <v>160667.27039597963</v>
      </c>
      <c r="AY33" s="12">
        <v>121104.039</v>
      </c>
      <c r="AZ33" s="12">
        <v>36315.726207466447</v>
      </c>
      <c r="BA33" s="12">
        <v>23329.025000000001</v>
      </c>
      <c r="BB33" s="12">
        <f t="shared" si="31"/>
        <v>180748.79020746643</v>
      </c>
      <c r="BC33" s="12">
        <v>12744.039000000004</v>
      </c>
      <c r="BD33" s="12">
        <v>6005.080811486805</v>
      </c>
      <c r="BE33" s="12">
        <v>1332.3999999999942</v>
      </c>
      <c r="BF33" s="12">
        <v>20081.519811486804</v>
      </c>
    </row>
    <row r="34" spans="1:58" x14ac:dyDescent="0.25">
      <c r="A34" s="7">
        <v>47</v>
      </c>
      <c r="B34" s="7">
        <v>1</v>
      </c>
      <c r="C34" s="7" t="s">
        <v>35</v>
      </c>
      <c r="D34" s="4">
        <v>4</v>
      </c>
      <c r="E34" s="10">
        <v>3984</v>
      </c>
      <c r="F34" s="8">
        <f t="shared" si="10"/>
        <v>117011</v>
      </c>
      <c r="G34" s="8">
        <f t="shared" si="11"/>
        <v>79259.899999999994</v>
      </c>
      <c r="H34" s="8">
        <f t="shared" si="12"/>
        <v>0</v>
      </c>
      <c r="I34" s="8">
        <f t="shared" si="13"/>
        <v>-1.4842953532934189E-9</v>
      </c>
      <c r="J34" s="8">
        <f t="shared" si="14"/>
        <v>196270.89999999851</v>
      </c>
      <c r="K34" s="8">
        <f t="shared" si="15"/>
        <v>59693.87331084277</v>
      </c>
      <c r="L34" s="8">
        <f t="shared" si="16"/>
        <v>255964.77331084129</v>
      </c>
      <c r="M34" s="8">
        <f t="shared" si="17"/>
        <v>49.264784136545813</v>
      </c>
      <c r="N34" s="8">
        <f t="shared" si="18"/>
        <v>108680</v>
      </c>
      <c r="O34" s="8">
        <f t="shared" si="19"/>
        <v>0</v>
      </c>
      <c r="P34" s="8">
        <f t="shared" si="20"/>
        <v>1439</v>
      </c>
      <c r="Q34" s="8">
        <f t="shared" si="21"/>
        <v>6892</v>
      </c>
      <c r="R34" s="8">
        <f t="shared" si="22"/>
        <v>0</v>
      </c>
      <c r="S34" s="8">
        <f t="shared" si="23"/>
        <v>0</v>
      </c>
      <c r="T34" s="8">
        <f t="shared" si="24"/>
        <v>79259.899999999994</v>
      </c>
      <c r="U34" s="8">
        <f t="shared" si="25"/>
        <v>0</v>
      </c>
      <c r="V34" s="8">
        <f t="shared" si="26"/>
        <v>0</v>
      </c>
      <c r="W34" s="8">
        <f t="shared" si="27"/>
        <v>0</v>
      </c>
      <c r="X34" s="8">
        <f t="shared" si="28"/>
        <v>196270.89999999851</v>
      </c>
      <c r="Y34" s="10">
        <v>25239843</v>
      </c>
      <c r="Z34" s="10">
        <v>0</v>
      </c>
      <c r="AA34" s="10">
        <v>333992</v>
      </c>
      <c r="AB34" s="10">
        <v>1369303</v>
      </c>
      <c r="AC34" s="10">
        <v>0</v>
      </c>
      <c r="AD34" s="10">
        <v>0</v>
      </c>
      <c r="AE34" s="10">
        <v>0</v>
      </c>
      <c r="AF34" s="10">
        <v>14303</v>
      </c>
      <c r="AG34" s="10">
        <v>625997</v>
      </c>
      <c r="AH34" s="10">
        <f t="shared" si="29"/>
        <v>3423825.9299999997</v>
      </c>
      <c r="AI34" s="10">
        <v>31007263.93</v>
      </c>
      <c r="AJ34" s="10">
        <v>25348523</v>
      </c>
      <c r="AK34" s="10">
        <v>0</v>
      </c>
      <c r="AL34" s="10">
        <v>335431</v>
      </c>
      <c r="AM34" s="10">
        <v>1376195</v>
      </c>
      <c r="AN34" s="10">
        <v>0</v>
      </c>
      <c r="AO34" s="10">
        <v>0</v>
      </c>
      <c r="AP34" s="10">
        <v>79259.899999999994</v>
      </c>
      <c r="AQ34" s="10">
        <v>14303</v>
      </c>
      <c r="AR34" s="10">
        <v>625997</v>
      </c>
      <c r="AS34" s="10">
        <f t="shared" si="9"/>
        <v>3423825.9299999997</v>
      </c>
      <c r="AT34" s="10">
        <v>31203534.829999998</v>
      </c>
      <c r="AU34" s="12">
        <v>252000</v>
      </c>
      <c r="AV34" s="12">
        <v>51761.977786479052</v>
      </c>
      <c r="AW34" s="12">
        <v>56450.375</v>
      </c>
      <c r="AX34" s="12">
        <f t="shared" si="30"/>
        <v>360212.35278647905</v>
      </c>
      <c r="AY34" s="12">
        <v>281637.3</v>
      </c>
      <c r="AZ34" s="12">
        <v>62016.951097321857</v>
      </c>
      <c r="BA34" s="12">
        <v>76251.975000000006</v>
      </c>
      <c r="BB34" s="12">
        <f t="shared" si="31"/>
        <v>419906.22609732184</v>
      </c>
      <c r="BC34" s="12">
        <v>29637.299999999988</v>
      </c>
      <c r="BD34" s="12">
        <v>10254.973310842804</v>
      </c>
      <c r="BE34" s="12">
        <v>19801.599999999977</v>
      </c>
      <c r="BF34" s="12">
        <v>59693.87331084277</v>
      </c>
    </row>
    <row r="35" spans="1:58" x14ac:dyDescent="0.25">
      <c r="A35" s="7">
        <v>51</v>
      </c>
      <c r="B35" s="7">
        <v>1</v>
      </c>
      <c r="C35" s="7" t="s">
        <v>36</v>
      </c>
      <c r="D35" s="4">
        <v>5</v>
      </c>
      <c r="E35" s="10">
        <v>1827</v>
      </c>
      <c r="F35" s="8">
        <f t="shared" si="10"/>
        <v>52369.5</v>
      </c>
      <c r="G35" s="8">
        <f t="shared" si="11"/>
        <v>38867.399999999994</v>
      </c>
      <c r="H35" s="8">
        <f t="shared" si="12"/>
        <v>0</v>
      </c>
      <c r="I35" s="8">
        <f t="shared" si="13"/>
        <v>3.7834979593753815E-10</v>
      </c>
      <c r="J35" s="8">
        <f t="shared" si="14"/>
        <v>91236.900000000373</v>
      </c>
      <c r="K35" s="8">
        <f t="shared" si="15"/>
        <v>24960.794834251588</v>
      </c>
      <c r="L35" s="8">
        <f t="shared" si="16"/>
        <v>116197.69483425196</v>
      </c>
      <c r="M35" s="8">
        <f t="shared" si="17"/>
        <v>49.938095238095443</v>
      </c>
      <c r="N35" s="8">
        <f t="shared" si="18"/>
        <v>48568</v>
      </c>
      <c r="O35" s="8">
        <f t="shared" si="19"/>
        <v>0</v>
      </c>
      <c r="P35" s="8">
        <f t="shared" si="20"/>
        <v>1255</v>
      </c>
      <c r="Q35" s="8">
        <f t="shared" si="21"/>
        <v>2546.5</v>
      </c>
      <c r="R35" s="8">
        <f t="shared" si="22"/>
        <v>0</v>
      </c>
      <c r="S35" s="8">
        <f t="shared" si="23"/>
        <v>0</v>
      </c>
      <c r="T35" s="8">
        <f t="shared" si="24"/>
        <v>38867.399999999994</v>
      </c>
      <c r="U35" s="8">
        <f t="shared" si="25"/>
        <v>0</v>
      </c>
      <c r="V35" s="8">
        <f t="shared" si="26"/>
        <v>0</v>
      </c>
      <c r="W35" s="8">
        <f t="shared" si="27"/>
        <v>0</v>
      </c>
      <c r="X35" s="8">
        <f t="shared" si="28"/>
        <v>91236.900000000373</v>
      </c>
      <c r="Y35" s="10">
        <v>11279316</v>
      </c>
      <c r="Z35" s="10">
        <v>0</v>
      </c>
      <c r="AA35" s="10">
        <v>291625</v>
      </c>
      <c r="AB35" s="10">
        <v>505939</v>
      </c>
      <c r="AC35" s="10">
        <v>0</v>
      </c>
      <c r="AD35" s="10">
        <v>0</v>
      </c>
      <c r="AE35" s="10">
        <v>0</v>
      </c>
      <c r="AF35" s="10">
        <v>0</v>
      </c>
      <c r="AG35" s="10">
        <v>280038</v>
      </c>
      <c r="AH35" s="10">
        <f t="shared" si="29"/>
        <v>1083605.7100000009</v>
      </c>
      <c r="AI35" s="10">
        <v>13440523.710000001</v>
      </c>
      <c r="AJ35" s="10">
        <v>11327884</v>
      </c>
      <c r="AK35" s="10">
        <v>0</v>
      </c>
      <c r="AL35" s="10">
        <v>292880</v>
      </c>
      <c r="AM35" s="10">
        <v>508485.5</v>
      </c>
      <c r="AN35" s="10">
        <v>0</v>
      </c>
      <c r="AO35" s="10">
        <v>0</v>
      </c>
      <c r="AP35" s="10">
        <v>38867.399999999994</v>
      </c>
      <c r="AQ35" s="10">
        <v>0</v>
      </c>
      <c r="AR35" s="10">
        <v>280038</v>
      </c>
      <c r="AS35" s="10">
        <f t="shared" si="9"/>
        <v>1083605.7100000009</v>
      </c>
      <c r="AT35" s="10">
        <v>13531760.610000001</v>
      </c>
      <c r="AU35" s="12">
        <v>91800</v>
      </c>
      <c r="AV35" s="12">
        <v>19951.504788384893</v>
      </c>
      <c r="AW35" s="12">
        <v>30777.5</v>
      </c>
      <c r="AX35" s="12">
        <f t="shared" si="30"/>
        <v>142529.00478838489</v>
      </c>
      <c r="AY35" s="12">
        <v>102596.44499999999</v>
      </c>
      <c r="AZ35" s="12">
        <v>23904.254622636483</v>
      </c>
      <c r="BA35" s="12">
        <v>40989.1</v>
      </c>
      <c r="BB35" s="12">
        <f t="shared" si="31"/>
        <v>167489.79962263646</v>
      </c>
      <c r="BC35" s="12">
        <v>10796.444999999992</v>
      </c>
      <c r="BD35" s="12">
        <v>3952.7498342515901</v>
      </c>
      <c r="BE35" s="12">
        <v>10211.600000000006</v>
      </c>
      <c r="BF35" s="12">
        <v>24960.794834251588</v>
      </c>
    </row>
    <row r="36" spans="1:58" x14ac:dyDescent="0.25">
      <c r="A36" s="7">
        <v>75</v>
      </c>
      <c r="B36" s="7">
        <v>1</v>
      </c>
      <c r="C36" s="7" t="s">
        <v>37</v>
      </c>
      <c r="D36" s="4">
        <v>6</v>
      </c>
      <c r="E36" s="10">
        <v>650</v>
      </c>
      <c r="F36" s="8">
        <f t="shared" si="10"/>
        <v>18660.75</v>
      </c>
      <c r="G36" s="8">
        <f t="shared" si="11"/>
        <v>15133.22</v>
      </c>
      <c r="H36" s="8">
        <f t="shared" si="12"/>
        <v>0</v>
      </c>
      <c r="I36" s="8">
        <f t="shared" si="13"/>
        <v>6.9999999997398845</v>
      </c>
      <c r="J36" s="8">
        <f t="shared" si="14"/>
        <v>33800.969999999739</v>
      </c>
      <c r="K36" s="8">
        <f t="shared" si="15"/>
        <v>5835.4348038488861</v>
      </c>
      <c r="L36" s="8">
        <f t="shared" si="16"/>
        <v>39636.404803848622</v>
      </c>
      <c r="M36" s="8">
        <f t="shared" si="17"/>
        <v>52.001492307691905</v>
      </c>
      <c r="N36" s="8">
        <f t="shared" si="18"/>
        <v>17730</v>
      </c>
      <c r="O36" s="8">
        <f t="shared" si="19"/>
        <v>34</v>
      </c>
      <c r="P36" s="8">
        <f t="shared" si="20"/>
        <v>470</v>
      </c>
      <c r="Q36" s="8">
        <f t="shared" si="21"/>
        <v>426.75</v>
      </c>
      <c r="R36" s="8">
        <f t="shared" si="22"/>
        <v>0</v>
      </c>
      <c r="S36" s="8">
        <f t="shared" si="23"/>
        <v>0</v>
      </c>
      <c r="T36" s="8">
        <f t="shared" si="24"/>
        <v>15133.22</v>
      </c>
      <c r="U36" s="8">
        <f t="shared" si="25"/>
        <v>0</v>
      </c>
      <c r="V36" s="8">
        <f t="shared" si="26"/>
        <v>7</v>
      </c>
      <c r="W36" s="8">
        <f t="shared" si="27"/>
        <v>0</v>
      </c>
      <c r="X36" s="8">
        <f t="shared" si="28"/>
        <v>33800.969999999739</v>
      </c>
      <c r="Y36" s="10">
        <v>4117615</v>
      </c>
      <c r="Z36" s="10">
        <v>7803</v>
      </c>
      <c r="AA36" s="10">
        <v>109133</v>
      </c>
      <c r="AB36" s="10">
        <v>84787</v>
      </c>
      <c r="AC36" s="10">
        <v>0</v>
      </c>
      <c r="AD36" s="10">
        <v>100792</v>
      </c>
      <c r="AE36" s="10">
        <v>0</v>
      </c>
      <c r="AF36" s="10">
        <v>0</v>
      </c>
      <c r="AG36" s="10">
        <v>92310</v>
      </c>
      <c r="AH36" s="10">
        <f t="shared" si="29"/>
        <v>614651.28000000026</v>
      </c>
      <c r="AI36" s="10">
        <v>5127091.28</v>
      </c>
      <c r="AJ36" s="10">
        <v>4135345</v>
      </c>
      <c r="AK36" s="10">
        <v>7837</v>
      </c>
      <c r="AL36" s="10">
        <v>109603</v>
      </c>
      <c r="AM36" s="10">
        <v>85213.75</v>
      </c>
      <c r="AN36" s="10">
        <v>0</v>
      </c>
      <c r="AO36" s="10">
        <v>100792</v>
      </c>
      <c r="AP36" s="10">
        <v>15133.22</v>
      </c>
      <c r="AQ36" s="10">
        <v>0</v>
      </c>
      <c r="AR36" s="10">
        <v>92317</v>
      </c>
      <c r="AS36" s="10">
        <f t="shared" si="9"/>
        <v>614651.28000000026</v>
      </c>
      <c r="AT36" s="10">
        <v>5160892.25</v>
      </c>
      <c r="AU36" s="12">
        <v>18000</v>
      </c>
      <c r="AV36" s="12">
        <v>3876.9080474272787</v>
      </c>
      <c r="AW36" s="12">
        <v>10202</v>
      </c>
      <c r="AX36" s="12">
        <f t="shared" si="30"/>
        <v>32078.908047427278</v>
      </c>
      <c r="AY36" s="12">
        <v>20116.95</v>
      </c>
      <c r="AZ36" s="12">
        <v>4644.9928512761699</v>
      </c>
      <c r="BA36" s="12">
        <v>13152.4</v>
      </c>
      <c r="BB36" s="12">
        <f t="shared" si="31"/>
        <v>37914.342851276167</v>
      </c>
      <c r="BC36" s="12">
        <v>2116.9500000000007</v>
      </c>
      <c r="BD36" s="12">
        <v>768.08480384889117</v>
      </c>
      <c r="BE36" s="12">
        <v>2950.3999999999942</v>
      </c>
      <c r="BF36" s="12">
        <v>5835.4348038488861</v>
      </c>
    </row>
    <row r="37" spans="1:58" x14ac:dyDescent="0.25">
      <c r="A37" s="7">
        <v>77</v>
      </c>
      <c r="B37" s="7">
        <v>1</v>
      </c>
      <c r="C37" s="7" t="s">
        <v>38</v>
      </c>
      <c r="D37" s="4">
        <v>4</v>
      </c>
      <c r="E37" s="10">
        <v>7741</v>
      </c>
      <c r="F37" s="8">
        <f t="shared" si="10"/>
        <v>230135.25</v>
      </c>
      <c r="G37" s="8">
        <f t="shared" si="11"/>
        <v>185150.15999999997</v>
      </c>
      <c r="H37" s="8">
        <f t="shared" si="12"/>
        <v>31820</v>
      </c>
      <c r="I37" s="8">
        <f t="shared" si="13"/>
        <v>28.999999996449333</v>
      </c>
      <c r="J37" s="8">
        <f t="shared" si="14"/>
        <v>447134.40999999642</v>
      </c>
      <c r="K37" s="8">
        <f t="shared" si="15"/>
        <v>92635.903263100859</v>
      </c>
      <c r="L37" s="8">
        <f t="shared" si="16"/>
        <v>539770.31326309731</v>
      </c>
      <c r="M37" s="8">
        <f t="shared" si="17"/>
        <v>57.761840847435273</v>
      </c>
      <c r="N37" s="8">
        <f t="shared" si="18"/>
        <v>210195</v>
      </c>
      <c r="O37" s="8">
        <f t="shared" si="19"/>
        <v>0</v>
      </c>
      <c r="P37" s="8">
        <f t="shared" si="20"/>
        <v>1631</v>
      </c>
      <c r="Q37" s="8">
        <f t="shared" si="21"/>
        <v>18309.25</v>
      </c>
      <c r="R37" s="8">
        <f t="shared" si="22"/>
        <v>0</v>
      </c>
      <c r="S37" s="8">
        <f t="shared" si="23"/>
        <v>0</v>
      </c>
      <c r="T37" s="8">
        <f t="shared" si="24"/>
        <v>185150.15999999997</v>
      </c>
      <c r="U37" s="8">
        <f t="shared" si="25"/>
        <v>31820</v>
      </c>
      <c r="V37" s="8">
        <f t="shared" si="26"/>
        <v>61</v>
      </c>
      <c r="W37" s="8">
        <f t="shared" si="27"/>
        <v>-32</v>
      </c>
      <c r="X37" s="8">
        <f t="shared" si="28"/>
        <v>447134.40999999642</v>
      </c>
      <c r="Y37" s="10">
        <v>48815687</v>
      </c>
      <c r="Z37" s="10">
        <v>0</v>
      </c>
      <c r="AA37" s="10">
        <v>378773</v>
      </c>
      <c r="AB37" s="10">
        <v>3637682</v>
      </c>
      <c r="AC37" s="10">
        <v>0</v>
      </c>
      <c r="AD37" s="10">
        <v>0</v>
      </c>
      <c r="AE37" s="10">
        <v>0</v>
      </c>
      <c r="AF37" s="10">
        <v>195499</v>
      </c>
      <c r="AG37" s="10">
        <v>1122518</v>
      </c>
      <c r="AH37" s="10">
        <f t="shared" si="29"/>
        <v>9828764.8800000027</v>
      </c>
      <c r="AI37" s="10">
        <v>63978923.880000003</v>
      </c>
      <c r="AJ37" s="10">
        <v>49025882</v>
      </c>
      <c r="AK37" s="10">
        <v>0</v>
      </c>
      <c r="AL37" s="10">
        <v>380404</v>
      </c>
      <c r="AM37" s="10">
        <v>3655991.25</v>
      </c>
      <c r="AN37" s="10">
        <v>0</v>
      </c>
      <c r="AO37" s="10">
        <v>0</v>
      </c>
      <c r="AP37" s="10">
        <v>185150.15999999997</v>
      </c>
      <c r="AQ37" s="10">
        <v>227319</v>
      </c>
      <c r="AR37" s="10">
        <v>1122579</v>
      </c>
      <c r="AS37" s="10">
        <f t="shared" si="9"/>
        <v>9828732.8800000027</v>
      </c>
      <c r="AT37" s="10">
        <v>64426058.289999999</v>
      </c>
      <c r="AU37" s="12">
        <v>385800</v>
      </c>
      <c r="AV37" s="12">
        <v>94274.218208001868</v>
      </c>
      <c r="AW37" s="12">
        <v>118890.375</v>
      </c>
      <c r="AX37" s="12">
        <f t="shared" si="30"/>
        <v>598964.59320800193</v>
      </c>
      <c r="AY37" s="12">
        <v>431173.29499999998</v>
      </c>
      <c r="AZ37" s="12">
        <v>112951.62647110279</v>
      </c>
      <c r="BA37" s="12">
        <v>147475.57500000001</v>
      </c>
      <c r="BB37" s="12">
        <f t="shared" si="31"/>
        <v>691600.49647110282</v>
      </c>
      <c r="BC37" s="12">
        <v>45373.294999999984</v>
      </c>
      <c r="BD37" s="12">
        <v>18677.408263100922</v>
      </c>
      <c r="BE37" s="12">
        <v>28585.199999999953</v>
      </c>
      <c r="BF37" s="12">
        <v>92635.903263100859</v>
      </c>
    </row>
    <row r="38" spans="1:58" x14ac:dyDescent="0.25">
      <c r="A38" s="7">
        <v>81</v>
      </c>
      <c r="B38" s="7">
        <v>1</v>
      </c>
      <c r="C38" s="7" t="s">
        <v>39</v>
      </c>
      <c r="D38" s="4">
        <v>6</v>
      </c>
      <c r="E38" s="10">
        <v>158</v>
      </c>
      <c r="F38" s="8">
        <f t="shared" si="10"/>
        <v>4821</v>
      </c>
      <c r="G38" s="8">
        <f t="shared" si="11"/>
        <v>6462.7999999999993</v>
      </c>
      <c r="H38" s="8">
        <f t="shared" si="12"/>
        <v>0</v>
      </c>
      <c r="I38" s="8">
        <f t="shared" si="13"/>
        <v>8.0000000000472937</v>
      </c>
      <c r="J38" s="8">
        <f t="shared" si="14"/>
        <v>11291.800000000047</v>
      </c>
      <c r="K38" s="8">
        <f t="shared" si="15"/>
        <v>3823.1920756968193</v>
      </c>
      <c r="L38" s="8">
        <f t="shared" si="16"/>
        <v>15114.992075696866</v>
      </c>
      <c r="M38" s="8">
        <f t="shared" si="17"/>
        <v>71.46708860759523</v>
      </c>
      <c r="N38" s="8">
        <f t="shared" si="18"/>
        <v>4248</v>
      </c>
      <c r="O38" s="8">
        <f t="shared" si="19"/>
        <v>33</v>
      </c>
      <c r="P38" s="8">
        <f t="shared" si="20"/>
        <v>239</v>
      </c>
      <c r="Q38" s="8">
        <f t="shared" si="21"/>
        <v>301</v>
      </c>
      <c r="R38" s="8">
        <f t="shared" si="22"/>
        <v>0</v>
      </c>
      <c r="S38" s="8">
        <f t="shared" si="23"/>
        <v>0</v>
      </c>
      <c r="T38" s="8">
        <f t="shared" si="24"/>
        <v>6462.7999999999993</v>
      </c>
      <c r="U38" s="8">
        <f t="shared" si="25"/>
        <v>0</v>
      </c>
      <c r="V38" s="8">
        <f t="shared" si="26"/>
        <v>8</v>
      </c>
      <c r="W38" s="8">
        <f t="shared" si="27"/>
        <v>0</v>
      </c>
      <c r="X38" s="8">
        <f t="shared" si="28"/>
        <v>11291.800000000047</v>
      </c>
      <c r="Y38" s="10">
        <v>986730</v>
      </c>
      <c r="Z38" s="10">
        <v>7559</v>
      </c>
      <c r="AA38" s="10">
        <v>55592</v>
      </c>
      <c r="AB38" s="10">
        <v>59803</v>
      </c>
      <c r="AC38" s="10">
        <v>0</v>
      </c>
      <c r="AD38" s="10">
        <v>76086</v>
      </c>
      <c r="AE38" s="10">
        <v>0</v>
      </c>
      <c r="AF38" s="10">
        <v>19080</v>
      </c>
      <c r="AG38" s="10">
        <v>13360</v>
      </c>
      <c r="AH38" s="10">
        <f t="shared" si="29"/>
        <v>356037.64999999991</v>
      </c>
      <c r="AI38" s="10">
        <v>1574247.65</v>
      </c>
      <c r="AJ38" s="10">
        <v>990978</v>
      </c>
      <c r="AK38" s="10">
        <v>7592</v>
      </c>
      <c r="AL38" s="10">
        <v>55831</v>
      </c>
      <c r="AM38" s="10">
        <v>60104</v>
      </c>
      <c r="AN38" s="10">
        <v>0</v>
      </c>
      <c r="AO38" s="10">
        <v>76086</v>
      </c>
      <c r="AP38" s="10">
        <v>6462.7999999999993</v>
      </c>
      <c r="AQ38" s="10">
        <v>19080</v>
      </c>
      <c r="AR38" s="10">
        <v>13368</v>
      </c>
      <c r="AS38" s="10">
        <f t="shared" si="9"/>
        <v>356037.64999999991</v>
      </c>
      <c r="AT38" s="10">
        <v>1585539.45</v>
      </c>
      <c r="AU38" s="12">
        <v>18000</v>
      </c>
      <c r="AV38" s="12">
        <v>1668.915877079698</v>
      </c>
      <c r="AW38" s="12">
        <v>3207.125</v>
      </c>
      <c r="AX38" s="12">
        <f t="shared" si="30"/>
        <v>22876.040877079697</v>
      </c>
      <c r="AY38" s="12">
        <v>20116.95</v>
      </c>
      <c r="AZ38" s="12">
        <v>1999.5579527765178</v>
      </c>
      <c r="BA38" s="12">
        <v>4582.7250000000004</v>
      </c>
      <c r="BB38" s="12">
        <f t="shared" si="31"/>
        <v>26699.232952776518</v>
      </c>
      <c r="BC38" s="12">
        <v>2116.9500000000007</v>
      </c>
      <c r="BD38" s="12">
        <v>330.6420756968198</v>
      </c>
      <c r="BE38" s="12">
        <v>1375.5999999999985</v>
      </c>
      <c r="BF38" s="12">
        <v>3823.1920756968193</v>
      </c>
    </row>
    <row r="39" spans="1:58" x14ac:dyDescent="0.25">
      <c r="A39" s="7">
        <v>84</v>
      </c>
      <c r="B39" s="7">
        <v>1</v>
      </c>
      <c r="C39" s="7" t="s">
        <v>40</v>
      </c>
      <c r="D39" s="4">
        <v>6</v>
      </c>
      <c r="E39" s="10">
        <v>550</v>
      </c>
      <c r="F39" s="8">
        <f t="shared" si="10"/>
        <v>17836.25</v>
      </c>
      <c r="G39" s="8">
        <f t="shared" si="11"/>
        <v>15972.78</v>
      </c>
      <c r="H39" s="8">
        <f t="shared" si="12"/>
        <v>3368</v>
      </c>
      <c r="I39" s="8">
        <f t="shared" si="13"/>
        <v>2.6011548470705748E-10</v>
      </c>
      <c r="J39" s="8">
        <f t="shared" si="14"/>
        <v>37177.030000000261</v>
      </c>
      <c r="K39" s="8">
        <f t="shared" si="15"/>
        <v>11912.124039967062</v>
      </c>
      <c r="L39" s="8">
        <f t="shared" si="16"/>
        <v>49089.154039967325</v>
      </c>
      <c r="M39" s="8">
        <f t="shared" si="17"/>
        <v>67.594600000000469</v>
      </c>
      <c r="N39" s="8">
        <f t="shared" si="18"/>
        <v>14631</v>
      </c>
      <c r="O39" s="8">
        <f t="shared" si="19"/>
        <v>56</v>
      </c>
      <c r="P39" s="8">
        <f t="shared" si="20"/>
        <v>592</v>
      </c>
      <c r="Q39" s="8">
        <f t="shared" si="21"/>
        <v>2273.25</v>
      </c>
      <c r="R39" s="8">
        <f t="shared" si="22"/>
        <v>284</v>
      </c>
      <c r="S39" s="8">
        <f t="shared" si="23"/>
        <v>0</v>
      </c>
      <c r="T39" s="8">
        <f t="shared" si="24"/>
        <v>15972.78</v>
      </c>
      <c r="U39" s="8">
        <f t="shared" si="25"/>
        <v>3368</v>
      </c>
      <c r="V39" s="8">
        <f t="shared" si="26"/>
        <v>0</v>
      </c>
      <c r="W39" s="8">
        <f t="shared" si="27"/>
        <v>0</v>
      </c>
      <c r="X39" s="8">
        <f t="shared" si="28"/>
        <v>37177.030000000261</v>
      </c>
      <c r="Y39" s="10">
        <v>3397962</v>
      </c>
      <c r="Z39" s="10">
        <v>13005</v>
      </c>
      <c r="AA39" s="10">
        <v>137276</v>
      </c>
      <c r="AB39" s="10">
        <v>451649</v>
      </c>
      <c r="AC39" s="10">
        <v>59921</v>
      </c>
      <c r="AD39" s="10">
        <v>124283</v>
      </c>
      <c r="AE39" s="10">
        <v>0</v>
      </c>
      <c r="AF39" s="10">
        <v>66780</v>
      </c>
      <c r="AG39" s="10">
        <v>84277</v>
      </c>
      <c r="AH39" s="10">
        <f t="shared" si="29"/>
        <v>358143.95000000019</v>
      </c>
      <c r="AI39" s="10">
        <v>4693296.95</v>
      </c>
      <c r="AJ39" s="10">
        <v>3412593</v>
      </c>
      <c r="AK39" s="10">
        <v>13061</v>
      </c>
      <c r="AL39" s="10">
        <v>137868</v>
      </c>
      <c r="AM39" s="10">
        <v>453922.25</v>
      </c>
      <c r="AN39" s="10">
        <v>60205</v>
      </c>
      <c r="AO39" s="10">
        <v>124283</v>
      </c>
      <c r="AP39" s="10">
        <v>15972.78</v>
      </c>
      <c r="AQ39" s="10">
        <v>70148</v>
      </c>
      <c r="AR39" s="10">
        <v>84277</v>
      </c>
      <c r="AS39" s="10">
        <f t="shared" si="9"/>
        <v>358143.95000000019</v>
      </c>
      <c r="AT39" s="10">
        <v>4730473.9800000004</v>
      </c>
      <c r="AU39" s="12">
        <v>43680</v>
      </c>
      <c r="AV39" s="12">
        <v>10396.800321733768</v>
      </c>
      <c r="AW39" s="12">
        <v>9152</v>
      </c>
      <c r="AX39" s="12">
        <f t="shared" si="30"/>
        <v>63228.800321733768</v>
      </c>
      <c r="AY39" s="12">
        <v>48817.131999999998</v>
      </c>
      <c r="AZ39" s="12">
        <v>12456.592361700836</v>
      </c>
      <c r="BA39" s="12">
        <v>13867.2</v>
      </c>
      <c r="BB39" s="12">
        <f t="shared" si="31"/>
        <v>75140.924361700832</v>
      </c>
      <c r="BC39" s="12">
        <v>5137.1319999999978</v>
      </c>
      <c r="BD39" s="12">
        <v>2059.7920399670675</v>
      </c>
      <c r="BE39" s="12">
        <v>4715.1999999999971</v>
      </c>
      <c r="BF39" s="12">
        <v>11912.124039967062</v>
      </c>
    </row>
    <row r="40" spans="1:58" x14ac:dyDescent="0.25">
      <c r="A40" s="7">
        <v>85</v>
      </c>
      <c r="B40" s="7">
        <v>1</v>
      </c>
      <c r="C40" s="7" t="s">
        <v>41</v>
      </c>
      <c r="D40" s="4">
        <v>6</v>
      </c>
      <c r="E40" s="10">
        <v>566</v>
      </c>
      <c r="F40" s="8">
        <f t="shared" si="10"/>
        <v>17335.75</v>
      </c>
      <c r="G40" s="8">
        <f t="shared" si="11"/>
        <v>14366.14</v>
      </c>
      <c r="H40" s="8">
        <f t="shared" si="12"/>
        <v>0</v>
      </c>
      <c r="I40" s="8">
        <f t="shared" si="13"/>
        <v>-24.000000000334694</v>
      </c>
      <c r="J40" s="8">
        <f t="shared" si="14"/>
        <v>31677.889999999665</v>
      </c>
      <c r="K40" s="8">
        <f t="shared" si="15"/>
        <v>6939.4179382961602</v>
      </c>
      <c r="L40" s="8">
        <f t="shared" si="16"/>
        <v>38617.307938295824</v>
      </c>
      <c r="M40" s="8">
        <f t="shared" si="17"/>
        <v>55.968003533568314</v>
      </c>
      <c r="N40" s="8">
        <f t="shared" si="18"/>
        <v>15102</v>
      </c>
      <c r="O40" s="8">
        <f t="shared" si="19"/>
        <v>102</v>
      </c>
      <c r="P40" s="8">
        <f t="shared" si="20"/>
        <v>527</v>
      </c>
      <c r="Q40" s="8">
        <f t="shared" si="21"/>
        <v>1604.75</v>
      </c>
      <c r="R40" s="8">
        <f t="shared" si="22"/>
        <v>0</v>
      </c>
      <c r="S40" s="8">
        <f t="shared" si="23"/>
        <v>0</v>
      </c>
      <c r="T40" s="8">
        <f t="shared" si="24"/>
        <v>14366.14</v>
      </c>
      <c r="U40" s="8">
        <f t="shared" si="25"/>
        <v>0</v>
      </c>
      <c r="V40" s="8">
        <f t="shared" si="26"/>
        <v>8</v>
      </c>
      <c r="W40" s="8">
        <f t="shared" si="27"/>
        <v>-32.000000000931323</v>
      </c>
      <c r="X40" s="8">
        <f t="shared" si="28"/>
        <v>31677.889999999665</v>
      </c>
      <c r="Y40" s="10">
        <v>3507405</v>
      </c>
      <c r="Z40" s="10">
        <v>23572</v>
      </c>
      <c r="AA40" s="10">
        <v>122416</v>
      </c>
      <c r="AB40" s="10">
        <v>318832</v>
      </c>
      <c r="AC40" s="10">
        <v>0</v>
      </c>
      <c r="AD40" s="10">
        <v>121833</v>
      </c>
      <c r="AE40" s="10">
        <v>0</v>
      </c>
      <c r="AF40" s="10">
        <v>15648</v>
      </c>
      <c r="AG40" s="10">
        <v>75680</v>
      </c>
      <c r="AH40" s="10">
        <f t="shared" si="29"/>
        <v>599080.53000000026</v>
      </c>
      <c r="AI40" s="10">
        <v>4784466.53</v>
      </c>
      <c r="AJ40" s="10">
        <v>3522507</v>
      </c>
      <c r="AK40" s="10">
        <v>23674</v>
      </c>
      <c r="AL40" s="10">
        <v>122943</v>
      </c>
      <c r="AM40" s="10">
        <v>320436.75</v>
      </c>
      <c r="AN40" s="10">
        <v>0</v>
      </c>
      <c r="AO40" s="10">
        <v>121833</v>
      </c>
      <c r="AP40" s="10">
        <v>14366.14</v>
      </c>
      <c r="AQ40" s="10">
        <v>15648</v>
      </c>
      <c r="AR40" s="10">
        <v>75688</v>
      </c>
      <c r="AS40" s="10">
        <f t="shared" si="9"/>
        <v>599048.52999999933</v>
      </c>
      <c r="AT40" s="10">
        <v>4816144.42</v>
      </c>
      <c r="AU40" s="12">
        <v>19560</v>
      </c>
      <c r="AV40" s="12">
        <v>6423.4431410498864</v>
      </c>
      <c r="AW40" s="12">
        <v>11422.875</v>
      </c>
      <c r="AX40" s="12">
        <f t="shared" si="30"/>
        <v>37406.318141049887</v>
      </c>
      <c r="AY40" s="12">
        <v>21860.419000000002</v>
      </c>
      <c r="AZ40" s="12">
        <v>7696.0420793460507</v>
      </c>
      <c r="BA40" s="12">
        <v>14789.275</v>
      </c>
      <c r="BB40" s="12">
        <f t="shared" si="31"/>
        <v>44345.736079346054</v>
      </c>
      <c r="BC40" s="12">
        <v>2300.4190000000017</v>
      </c>
      <c r="BD40" s="12">
        <v>1272.5989382961643</v>
      </c>
      <c r="BE40" s="12">
        <v>3366.3999999999942</v>
      </c>
      <c r="BF40" s="12">
        <v>6939.4179382961602</v>
      </c>
    </row>
    <row r="41" spans="1:58" x14ac:dyDescent="0.25">
      <c r="A41" s="7">
        <v>88</v>
      </c>
      <c r="B41" s="7">
        <v>1</v>
      </c>
      <c r="C41" s="7" t="s">
        <v>42</v>
      </c>
      <c r="D41" s="4">
        <v>4</v>
      </c>
      <c r="E41" s="10">
        <v>1972</v>
      </c>
      <c r="F41" s="8">
        <f t="shared" si="10"/>
        <v>57812.25</v>
      </c>
      <c r="G41" s="8">
        <f t="shared" si="11"/>
        <v>45644.28</v>
      </c>
      <c r="H41" s="8">
        <f t="shared" si="12"/>
        <v>0</v>
      </c>
      <c r="I41" s="8">
        <f t="shared" si="13"/>
        <v>81.000000001193257</v>
      </c>
      <c r="J41" s="8">
        <f t="shared" si="14"/>
        <v>103537.53000000119</v>
      </c>
      <c r="K41" s="8">
        <f t="shared" si="15"/>
        <v>26856.272487756778</v>
      </c>
      <c r="L41" s="8">
        <f t="shared" si="16"/>
        <v>130393.80248775797</v>
      </c>
      <c r="M41" s="8">
        <f t="shared" si="17"/>
        <v>52.503818458418458</v>
      </c>
      <c r="N41" s="8">
        <f t="shared" si="18"/>
        <v>53865</v>
      </c>
      <c r="O41" s="8">
        <f t="shared" si="19"/>
        <v>0</v>
      </c>
      <c r="P41" s="8">
        <f t="shared" si="20"/>
        <v>1374</v>
      </c>
      <c r="Q41" s="8">
        <f t="shared" si="21"/>
        <v>2573.25</v>
      </c>
      <c r="R41" s="8">
        <f t="shared" si="22"/>
        <v>0</v>
      </c>
      <c r="S41" s="8">
        <f t="shared" si="23"/>
        <v>0</v>
      </c>
      <c r="T41" s="8">
        <f t="shared" si="24"/>
        <v>45644.28</v>
      </c>
      <c r="U41" s="8">
        <f t="shared" si="25"/>
        <v>0</v>
      </c>
      <c r="V41" s="8">
        <f t="shared" si="26"/>
        <v>81</v>
      </c>
      <c r="W41" s="8">
        <f t="shared" si="27"/>
        <v>0</v>
      </c>
      <c r="X41" s="8">
        <f t="shared" si="28"/>
        <v>103537.53000000119</v>
      </c>
      <c r="Y41" s="10">
        <v>12509608</v>
      </c>
      <c r="Z41" s="10">
        <v>0</v>
      </c>
      <c r="AA41" s="10">
        <v>319070</v>
      </c>
      <c r="AB41" s="10">
        <v>511253</v>
      </c>
      <c r="AC41" s="10">
        <v>0</v>
      </c>
      <c r="AD41" s="10">
        <v>0</v>
      </c>
      <c r="AE41" s="10">
        <v>0</v>
      </c>
      <c r="AF41" s="10">
        <v>14534</v>
      </c>
      <c r="AG41" s="10">
        <v>194047</v>
      </c>
      <c r="AH41" s="10">
        <f t="shared" si="29"/>
        <v>3863887.1499999985</v>
      </c>
      <c r="AI41" s="10">
        <v>17412399.149999999</v>
      </c>
      <c r="AJ41" s="10">
        <v>12563473</v>
      </c>
      <c r="AK41" s="10">
        <v>0</v>
      </c>
      <c r="AL41" s="10">
        <v>320444</v>
      </c>
      <c r="AM41" s="10">
        <v>513826.25</v>
      </c>
      <c r="AN41" s="10">
        <v>0</v>
      </c>
      <c r="AO41" s="10">
        <v>0</v>
      </c>
      <c r="AP41" s="10">
        <v>45644.28</v>
      </c>
      <c r="AQ41" s="10">
        <v>14534</v>
      </c>
      <c r="AR41" s="10">
        <v>194128</v>
      </c>
      <c r="AS41" s="10">
        <f t="shared" si="9"/>
        <v>3863887.1500000004</v>
      </c>
      <c r="AT41" s="10">
        <v>17515936.68</v>
      </c>
      <c r="AU41" s="12">
        <v>124440</v>
      </c>
      <c r="AV41" s="12">
        <v>29274.952284452233</v>
      </c>
      <c r="AW41" s="12">
        <v>24668</v>
      </c>
      <c r="AX41" s="12">
        <f t="shared" si="30"/>
        <v>178382.95228445224</v>
      </c>
      <c r="AY41" s="12">
        <v>139075.18100000001</v>
      </c>
      <c r="AZ41" s="12">
        <v>35074.843772208988</v>
      </c>
      <c r="BA41" s="12">
        <v>31089.200000000001</v>
      </c>
      <c r="BB41" s="12">
        <f t="shared" si="31"/>
        <v>205239.22477220901</v>
      </c>
      <c r="BC41" s="12">
        <v>14635.181000000011</v>
      </c>
      <c r="BD41" s="12">
        <v>5799.8914877567549</v>
      </c>
      <c r="BE41" s="12">
        <v>6421.2000000000116</v>
      </c>
      <c r="BF41" s="12">
        <v>26856.272487756778</v>
      </c>
    </row>
    <row r="42" spans="1:58" x14ac:dyDescent="0.25">
      <c r="A42" s="7">
        <v>91</v>
      </c>
      <c r="B42" s="7">
        <v>1</v>
      </c>
      <c r="C42" s="7" t="s">
        <v>43</v>
      </c>
      <c r="D42" s="4">
        <v>6</v>
      </c>
      <c r="E42" s="10">
        <v>795</v>
      </c>
      <c r="F42" s="8">
        <f t="shared" si="10"/>
        <v>24068</v>
      </c>
      <c r="G42" s="8">
        <f t="shared" si="11"/>
        <v>19651.14</v>
      </c>
      <c r="H42" s="8">
        <f t="shared" si="12"/>
        <v>0</v>
      </c>
      <c r="I42" s="8">
        <f t="shared" si="13"/>
        <v>-32.000000000334694</v>
      </c>
      <c r="J42" s="8">
        <f t="shared" si="14"/>
        <v>43687.139999999665</v>
      </c>
      <c r="K42" s="8">
        <f t="shared" si="15"/>
        <v>10354.426116119495</v>
      </c>
      <c r="L42" s="8">
        <f t="shared" si="16"/>
        <v>54041.56611611916</v>
      </c>
      <c r="M42" s="8">
        <f t="shared" si="17"/>
        <v>54.952377358490146</v>
      </c>
      <c r="N42" s="8">
        <f t="shared" si="18"/>
        <v>21735</v>
      </c>
      <c r="O42" s="8">
        <f t="shared" si="19"/>
        <v>0</v>
      </c>
      <c r="P42" s="8">
        <f t="shared" si="20"/>
        <v>726</v>
      </c>
      <c r="Q42" s="8">
        <f t="shared" si="21"/>
        <v>1607</v>
      </c>
      <c r="R42" s="8">
        <f t="shared" si="22"/>
        <v>0</v>
      </c>
      <c r="S42" s="8">
        <f t="shared" si="23"/>
        <v>0</v>
      </c>
      <c r="T42" s="8">
        <f t="shared" si="24"/>
        <v>19651.14</v>
      </c>
      <c r="U42" s="8">
        <f t="shared" si="25"/>
        <v>0</v>
      </c>
      <c r="V42" s="8">
        <f t="shared" si="26"/>
        <v>0</v>
      </c>
      <c r="W42" s="8">
        <f t="shared" si="27"/>
        <v>-32</v>
      </c>
      <c r="X42" s="8">
        <f t="shared" si="28"/>
        <v>43687.139999999665</v>
      </c>
      <c r="Y42" s="10">
        <v>5047736</v>
      </c>
      <c r="Z42" s="10">
        <v>0</v>
      </c>
      <c r="AA42" s="10">
        <v>168480</v>
      </c>
      <c r="AB42" s="10">
        <v>319279</v>
      </c>
      <c r="AC42" s="10">
        <v>0</v>
      </c>
      <c r="AD42" s="10">
        <v>44635</v>
      </c>
      <c r="AE42" s="10">
        <v>0</v>
      </c>
      <c r="AF42" s="10">
        <v>0</v>
      </c>
      <c r="AG42" s="10">
        <v>125194</v>
      </c>
      <c r="AH42" s="10">
        <f t="shared" si="29"/>
        <v>495402.76999999955</v>
      </c>
      <c r="AI42" s="10">
        <v>6200726.7699999996</v>
      </c>
      <c r="AJ42" s="10">
        <v>5069471</v>
      </c>
      <c r="AK42" s="10">
        <v>0</v>
      </c>
      <c r="AL42" s="10">
        <v>169206</v>
      </c>
      <c r="AM42" s="10">
        <v>320886</v>
      </c>
      <c r="AN42" s="10">
        <v>0</v>
      </c>
      <c r="AO42" s="10">
        <v>44635</v>
      </c>
      <c r="AP42" s="10">
        <v>19651.14</v>
      </c>
      <c r="AQ42" s="10">
        <v>0</v>
      </c>
      <c r="AR42" s="10">
        <v>125194</v>
      </c>
      <c r="AS42" s="10">
        <f t="shared" si="9"/>
        <v>495370.76999999955</v>
      </c>
      <c r="AT42" s="10">
        <v>6244413.9099999992</v>
      </c>
      <c r="AU42" s="12">
        <v>36720</v>
      </c>
      <c r="AV42" s="12">
        <v>9100.8853661131307</v>
      </c>
      <c r="AW42" s="12">
        <v>11928.625</v>
      </c>
      <c r="AX42" s="12">
        <f t="shared" si="30"/>
        <v>57749.510366113129</v>
      </c>
      <c r="AY42" s="12">
        <v>41038.578000000001</v>
      </c>
      <c r="AZ42" s="12">
        <v>10903.933482232622</v>
      </c>
      <c r="BA42" s="12">
        <v>16161.424999999999</v>
      </c>
      <c r="BB42" s="12">
        <f t="shared" si="31"/>
        <v>68103.936482232617</v>
      </c>
      <c r="BC42" s="12">
        <v>4318.5780000000013</v>
      </c>
      <c r="BD42" s="12">
        <v>1803.0481161194912</v>
      </c>
      <c r="BE42" s="12">
        <v>4232.8000000000029</v>
      </c>
      <c r="BF42" s="12">
        <v>10354.426116119495</v>
      </c>
    </row>
    <row r="43" spans="1:58" x14ac:dyDescent="0.25">
      <c r="A43" s="7">
        <v>93</v>
      </c>
      <c r="B43" s="7">
        <v>1</v>
      </c>
      <c r="C43" s="7" t="s">
        <v>44</v>
      </c>
      <c r="D43" s="4">
        <v>6</v>
      </c>
      <c r="E43" s="10">
        <v>442</v>
      </c>
      <c r="F43" s="8">
        <f t="shared" si="10"/>
        <v>13373.25</v>
      </c>
      <c r="G43" s="8">
        <f t="shared" si="11"/>
        <v>12653.8</v>
      </c>
      <c r="H43" s="8">
        <f t="shared" si="12"/>
        <v>0</v>
      </c>
      <c r="I43" s="8">
        <f t="shared" si="13"/>
        <v>20.999999999348802</v>
      </c>
      <c r="J43" s="8">
        <f t="shared" si="14"/>
        <v>26048.049999999348</v>
      </c>
      <c r="K43" s="8">
        <f t="shared" si="15"/>
        <v>5651.5626255845582</v>
      </c>
      <c r="L43" s="8">
        <f t="shared" si="16"/>
        <v>31699.612625583904</v>
      </c>
      <c r="M43" s="8">
        <f t="shared" si="17"/>
        <v>58.932239819003051</v>
      </c>
      <c r="N43" s="8">
        <f t="shared" si="18"/>
        <v>12055</v>
      </c>
      <c r="O43" s="8">
        <f t="shared" si="19"/>
        <v>0</v>
      </c>
      <c r="P43" s="8">
        <f t="shared" si="20"/>
        <v>317</v>
      </c>
      <c r="Q43" s="8">
        <f t="shared" si="21"/>
        <v>1001.25</v>
      </c>
      <c r="R43" s="8">
        <f t="shared" si="22"/>
        <v>0</v>
      </c>
      <c r="S43" s="8">
        <f t="shared" si="23"/>
        <v>0</v>
      </c>
      <c r="T43" s="8">
        <f t="shared" si="24"/>
        <v>12653.8</v>
      </c>
      <c r="U43" s="8">
        <f t="shared" si="25"/>
        <v>0</v>
      </c>
      <c r="V43" s="8">
        <f t="shared" si="26"/>
        <v>21</v>
      </c>
      <c r="W43" s="8">
        <f t="shared" si="27"/>
        <v>0</v>
      </c>
      <c r="X43" s="8">
        <f t="shared" si="28"/>
        <v>26048.049999999348</v>
      </c>
      <c r="Y43" s="10">
        <v>2799653</v>
      </c>
      <c r="Z43" s="10">
        <v>0</v>
      </c>
      <c r="AA43" s="10">
        <v>73550</v>
      </c>
      <c r="AB43" s="10">
        <v>198928</v>
      </c>
      <c r="AC43" s="10">
        <v>0</v>
      </c>
      <c r="AD43" s="10">
        <v>130557</v>
      </c>
      <c r="AE43" s="10">
        <v>0</v>
      </c>
      <c r="AF43" s="10">
        <v>0</v>
      </c>
      <c r="AG43" s="10">
        <v>39564</v>
      </c>
      <c r="AH43" s="10">
        <f t="shared" si="29"/>
        <v>932201.31</v>
      </c>
      <c r="AI43" s="10">
        <v>4174453.31</v>
      </c>
      <c r="AJ43" s="10">
        <v>2811708</v>
      </c>
      <c r="AK43" s="10">
        <v>0</v>
      </c>
      <c r="AL43" s="10">
        <v>73867</v>
      </c>
      <c r="AM43" s="10">
        <v>199929.25</v>
      </c>
      <c r="AN43" s="10">
        <v>0</v>
      </c>
      <c r="AO43" s="10">
        <v>130557</v>
      </c>
      <c r="AP43" s="10">
        <v>12653.8</v>
      </c>
      <c r="AQ43" s="10">
        <v>0</v>
      </c>
      <c r="AR43" s="10">
        <v>39585</v>
      </c>
      <c r="AS43" s="10">
        <f t="shared" si="9"/>
        <v>932201.30999999959</v>
      </c>
      <c r="AT43" s="10">
        <v>4200501.3599999994</v>
      </c>
      <c r="AU43" s="12">
        <v>23880</v>
      </c>
      <c r="AV43" s="12">
        <v>5713.1422201380683</v>
      </c>
      <c r="AW43" s="12">
        <v>5715.375</v>
      </c>
      <c r="AX43" s="12">
        <f t="shared" si="30"/>
        <v>35308.51722013807</v>
      </c>
      <c r="AY43" s="12">
        <v>26688.487000000001</v>
      </c>
      <c r="AZ43" s="12">
        <v>6845.0178457226284</v>
      </c>
      <c r="BA43" s="12">
        <v>7426.5749999999998</v>
      </c>
      <c r="BB43" s="12">
        <f t="shared" si="31"/>
        <v>40960.079845722626</v>
      </c>
      <c r="BC43" s="12">
        <v>2808.487000000001</v>
      </c>
      <c r="BD43" s="12">
        <v>1131.8756255845601</v>
      </c>
      <c r="BE43" s="12">
        <v>1711.1999999999971</v>
      </c>
      <c r="BF43" s="12">
        <v>5651.5626255845582</v>
      </c>
    </row>
    <row r="44" spans="1:58" x14ac:dyDescent="0.25">
      <c r="A44" s="7">
        <v>94</v>
      </c>
      <c r="B44" s="7">
        <v>1</v>
      </c>
      <c r="C44" s="7" t="s">
        <v>45</v>
      </c>
      <c r="D44" s="4">
        <v>4</v>
      </c>
      <c r="E44" s="10">
        <v>2649</v>
      </c>
      <c r="F44" s="8">
        <f t="shared" si="10"/>
        <v>84294.75</v>
      </c>
      <c r="G44" s="8">
        <f t="shared" si="11"/>
        <v>54550.26</v>
      </c>
      <c r="H44" s="8">
        <f t="shared" si="12"/>
        <v>0</v>
      </c>
      <c r="I44" s="8">
        <f t="shared" si="13"/>
        <v>1.6370904631912708E-9</v>
      </c>
      <c r="J44" s="8">
        <f t="shared" si="14"/>
        <v>138845.01000000164</v>
      </c>
      <c r="K44" s="8">
        <f t="shared" si="15"/>
        <v>37888.334066593554</v>
      </c>
      <c r="L44" s="8">
        <f t="shared" si="16"/>
        <v>176733.34406659519</v>
      </c>
      <c r="M44" s="8">
        <f t="shared" si="17"/>
        <v>52.414122310306396</v>
      </c>
      <c r="N44" s="8">
        <f t="shared" si="18"/>
        <v>71990</v>
      </c>
      <c r="O44" s="8">
        <f t="shared" si="19"/>
        <v>21</v>
      </c>
      <c r="P44" s="8">
        <f t="shared" si="20"/>
        <v>989</v>
      </c>
      <c r="Q44" s="8">
        <f t="shared" si="21"/>
        <v>11294.75</v>
      </c>
      <c r="R44" s="8">
        <f t="shared" si="22"/>
        <v>0</v>
      </c>
      <c r="S44" s="8">
        <f t="shared" si="23"/>
        <v>0</v>
      </c>
      <c r="T44" s="8">
        <f t="shared" si="24"/>
        <v>54550.26</v>
      </c>
      <c r="U44" s="8">
        <f t="shared" si="25"/>
        <v>0</v>
      </c>
      <c r="V44" s="8">
        <f t="shared" si="26"/>
        <v>0</v>
      </c>
      <c r="W44" s="8">
        <f t="shared" si="27"/>
        <v>0</v>
      </c>
      <c r="X44" s="8">
        <f t="shared" si="28"/>
        <v>138845.01000000164</v>
      </c>
      <c r="Y44" s="10">
        <v>16718958</v>
      </c>
      <c r="Z44" s="10">
        <v>4877</v>
      </c>
      <c r="AA44" s="10">
        <v>229886</v>
      </c>
      <c r="AB44" s="10">
        <v>2244041</v>
      </c>
      <c r="AC44" s="10">
        <v>0</v>
      </c>
      <c r="AD44" s="10">
        <v>0</v>
      </c>
      <c r="AE44" s="10">
        <v>0</v>
      </c>
      <c r="AF44" s="10">
        <v>14417</v>
      </c>
      <c r="AG44" s="10">
        <v>414662</v>
      </c>
      <c r="AH44" s="10">
        <f t="shared" si="29"/>
        <v>2322395.2199999988</v>
      </c>
      <c r="AI44" s="10">
        <v>21949236.219999999</v>
      </c>
      <c r="AJ44" s="10">
        <v>16790948</v>
      </c>
      <c r="AK44" s="10">
        <v>4898</v>
      </c>
      <c r="AL44" s="10">
        <v>230875</v>
      </c>
      <c r="AM44" s="10">
        <v>2255335.75</v>
      </c>
      <c r="AN44" s="10">
        <v>0</v>
      </c>
      <c r="AO44" s="10">
        <v>0</v>
      </c>
      <c r="AP44" s="10">
        <v>54550.26</v>
      </c>
      <c r="AQ44" s="10">
        <v>14417</v>
      </c>
      <c r="AR44" s="10">
        <v>414662</v>
      </c>
      <c r="AS44" s="10">
        <f t="shared" si="9"/>
        <v>2322395.2199999988</v>
      </c>
      <c r="AT44" s="10">
        <v>22088081.23</v>
      </c>
      <c r="AU44" s="12">
        <v>153000</v>
      </c>
      <c r="AV44" s="12">
        <v>36250.433638630799</v>
      </c>
      <c r="AW44" s="12">
        <v>32017</v>
      </c>
      <c r="AX44" s="12">
        <f t="shared" si="30"/>
        <v>221267.43363863078</v>
      </c>
      <c r="AY44" s="12">
        <v>170994.07500000001</v>
      </c>
      <c r="AZ44" s="12">
        <v>43432.292705224318</v>
      </c>
      <c r="BA44" s="12">
        <v>44729.4</v>
      </c>
      <c r="BB44" s="12">
        <f t="shared" si="31"/>
        <v>259155.76770522431</v>
      </c>
      <c r="BC44" s="12">
        <v>17994.075000000012</v>
      </c>
      <c r="BD44" s="12">
        <v>7181.8590665935189</v>
      </c>
      <c r="BE44" s="12">
        <v>12712.400000000023</v>
      </c>
      <c r="BF44" s="12">
        <v>37888.334066593554</v>
      </c>
    </row>
    <row r="45" spans="1:58" x14ac:dyDescent="0.25">
      <c r="A45" s="7">
        <v>95</v>
      </c>
      <c r="B45" s="7">
        <v>1</v>
      </c>
      <c r="C45" s="7" t="s">
        <v>46</v>
      </c>
      <c r="D45" s="4">
        <v>6</v>
      </c>
      <c r="E45" s="10">
        <v>332</v>
      </c>
      <c r="F45" s="8">
        <f t="shared" si="10"/>
        <v>12056.75</v>
      </c>
      <c r="G45" s="8">
        <f t="shared" si="11"/>
        <v>8114.7400000000007</v>
      </c>
      <c r="H45" s="8">
        <f t="shared" si="12"/>
        <v>0</v>
      </c>
      <c r="I45" s="8">
        <f t="shared" si="13"/>
        <v>2.2282620193436742E-10</v>
      </c>
      <c r="J45" s="8">
        <f t="shared" si="14"/>
        <v>20171.490000000224</v>
      </c>
      <c r="K45" s="8">
        <f t="shared" si="15"/>
        <v>5774.9950835198215</v>
      </c>
      <c r="L45" s="8">
        <f t="shared" si="16"/>
        <v>25946.485083520045</v>
      </c>
      <c r="M45" s="8">
        <f t="shared" si="17"/>
        <v>60.757500000000675</v>
      </c>
      <c r="N45" s="8">
        <f t="shared" si="18"/>
        <v>9000</v>
      </c>
      <c r="O45" s="8">
        <f t="shared" si="19"/>
        <v>0</v>
      </c>
      <c r="P45" s="8">
        <f t="shared" si="20"/>
        <v>526</v>
      </c>
      <c r="Q45" s="8">
        <f t="shared" si="21"/>
        <v>747.75</v>
      </c>
      <c r="R45" s="8">
        <f t="shared" si="22"/>
        <v>1783</v>
      </c>
      <c r="S45" s="8">
        <f t="shared" si="23"/>
        <v>0</v>
      </c>
      <c r="T45" s="8">
        <f t="shared" si="24"/>
        <v>8114.7400000000007</v>
      </c>
      <c r="U45" s="8">
        <f t="shared" si="25"/>
        <v>0</v>
      </c>
      <c r="V45" s="8">
        <f t="shared" si="26"/>
        <v>0</v>
      </c>
      <c r="W45" s="8">
        <f t="shared" si="27"/>
        <v>0</v>
      </c>
      <c r="X45" s="8">
        <f t="shared" si="28"/>
        <v>20171.490000000224</v>
      </c>
      <c r="Y45" s="10">
        <v>2090160</v>
      </c>
      <c r="Z45" s="10">
        <v>0</v>
      </c>
      <c r="AA45" s="10">
        <v>122205</v>
      </c>
      <c r="AB45" s="10">
        <v>148563</v>
      </c>
      <c r="AC45" s="10">
        <v>376270</v>
      </c>
      <c r="AD45" s="10">
        <v>122400</v>
      </c>
      <c r="AE45" s="10">
        <v>0</v>
      </c>
      <c r="AF45" s="10">
        <v>0</v>
      </c>
      <c r="AG45" s="10">
        <v>51840</v>
      </c>
      <c r="AH45" s="10">
        <f t="shared" si="29"/>
        <v>212538.7200000002</v>
      </c>
      <c r="AI45" s="10">
        <v>3123976.72</v>
      </c>
      <c r="AJ45" s="10">
        <v>2099160</v>
      </c>
      <c r="AK45" s="10">
        <v>0</v>
      </c>
      <c r="AL45" s="10">
        <v>122731</v>
      </c>
      <c r="AM45" s="10">
        <v>149310.75</v>
      </c>
      <c r="AN45" s="10">
        <v>378053</v>
      </c>
      <c r="AO45" s="10">
        <v>122400</v>
      </c>
      <c r="AP45" s="10">
        <v>8114.7400000000007</v>
      </c>
      <c r="AQ45" s="10">
        <v>0</v>
      </c>
      <c r="AR45" s="10">
        <v>51840</v>
      </c>
      <c r="AS45" s="10">
        <f t="shared" si="9"/>
        <v>212538.7200000002</v>
      </c>
      <c r="AT45" s="10">
        <v>3144148.2100000004</v>
      </c>
      <c r="AU45" s="12">
        <v>18000</v>
      </c>
      <c r="AV45" s="12">
        <v>3624.3325590662962</v>
      </c>
      <c r="AW45" s="12">
        <v>5050</v>
      </c>
      <c r="AX45" s="12">
        <f t="shared" si="30"/>
        <v>26674.332559066297</v>
      </c>
      <c r="AY45" s="12">
        <v>20116.95</v>
      </c>
      <c r="AZ45" s="12">
        <v>4342.377642586117</v>
      </c>
      <c r="BA45" s="12">
        <v>7990</v>
      </c>
      <c r="BB45" s="12">
        <f t="shared" si="31"/>
        <v>32449.327642586119</v>
      </c>
      <c r="BC45" s="12">
        <v>2116.9500000000007</v>
      </c>
      <c r="BD45" s="12">
        <v>718.04508351982076</v>
      </c>
      <c r="BE45" s="12">
        <v>2940</v>
      </c>
      <c r="BF45" s="12">
        <v>5774.9950835198215</v>
      </c>
    </row>
    <row r="46" spans="1:58" x14ac:dyDescent="0.25">
      <c r="A46" s="7">
        <v>97</v>
      </c>
      <c r="B46" s="7">
        <v>1</v>
      </c>
      <c r="C46" s="7" t="s">
        <v>47</v>
      </c>
      <c r="D46" s="4">
        <v>6</v>
      </c>
      <c r="E46" s="10">
        <v>634</v>
      </c>
      <c r="F46" s="8">
        <f t="shared" si="10"/>
        <v>19232.5</v>
      </c>
      <c r="G46" s="8">
        <f t="shared" si="11"/>
        <v>16057.34</v>
      </c>
      <c r="H46" s="8">
        <f t="shared" si="12"/>
        <v>0</v>
      </c>
      <c r="I46" s="8">
        <f t="shared" si="13"/>
        <v>2.9999999998508429</v>
      </c>
      <c r="J46" s="8">
        <f t="shared" si="14"/>
        <v>35292.839999999851</v>
      </c>
      <c r="K46" s="8">
        <f t="shared" si="15"/>
        <v>8263.5932860979083</v>
      </c>
      <c r="L46" s="8">
        <f t="shared" si="16"/>
        <v>43556.433286097759</v>
      </c>
      <c r="M46" s="8">
        <f t="shared" si="17"/>
        <v>55.666940063091246</v>
      </c>
      <c r="N46" s="8">
        <f t="shared" si="18"/>
        <v>17405</v>
      </c>
      <c r="O46" s="8">
        <f t="shared" si="19"/>
        <v>0</v>
      </c>
      <c r="P46" s="8">
        <f t="shared" si="20"/>
        <v>568</v>
      </c>
      <c r="Q46" s="8">
        <f t="shared" si="21"/>
        <v>1259.5</v>
      </c>
      <c r="R46" s="8">
        <f t="shared" si="22"/>
        <v>0</v>
      </c>
      <c r="S46" s="8">
        <f t="shared" si="23"/>
        <v>0</v>
      </c>
      <c r="T46" s="8">
        <f t="shared" si="24"/>
        <v>16057.34</v>
      </c>
      <c r="U46" s="8">
        <f t="shared" si="25"/>
        <v>0</v>
      </c>
      <c r="V46" s="8">
        <f t="shared" si="26"/>
        <v>3</v>
      </c>
      <c r="W46" s="8">
        <f t="shared" si="27"/>
        <v>0</v>
      </c>
      <c r="X46" s="8">
        <f t="shared" si="28"/>
        <v>35292.839999999851</v>
      </c>
      <c r="Y46" s="10">
        <v>4042137</v>
      </c>
      <c r="Z46" s="10">
        <v>0</v>
      </c>
      <c r="AA46" s="10">
        <v>131912</v>
      </c>
      <c r="AB46" s="10">
        <v>250237</v>
      </c>
      <c r="AC46" s="10">
        <v>0</v>
      </c>
      <c r="AD46" s="10">
        <v>104073</v>
      </c>
      <c r="AE46" s="10">
        <v>0</v>
      </c>
      <c r="AF46" s="10">
        <v>15480</v>
      </c>
      <c r="AG46" s="10">
        <v>95566</v>
      </c>
      <c r="AH46" s="10">
        <f t="shared" si="29"/>
        <v>500738.91000000015</v>
      </c>
      <c r="AI46" s="10">
        <v>5140143.91</v>
      </c>
      <c r="AJ46" s="10">
        <v>4059542</v>
      </c>
      <c r="AK46" s="10">
        <v>0</v>
      </c>
      <c r="AL46" s="10">
        <v>132480</v>
      </c>
      <c r="AM46" s="10">
        <v>251496.5</v>
      </c>
      <c r="AN46" s="10">
        <v>0</v>
      </c>
      <c r="AO46" s="10">
        <v>104073</v>
      </c>
      <c r="AP46" s="10">
        <v>16057.34</v>
      </c>
      <c r="AQ46" s="10">
        <v>15480</v>
      </c>
      <c r="AR46" s="10">
        <v>95569</v>
      </c>
      <c r="AS46" s="10">
        <f t="shared" si="9"/>
        <v>500738.91000000015</v>
      </c>
      <c r="AT46" s="10">
        <v>5175436.75</v>
      </c>
      <c r="AU46" s="12">
        <v>31200</v>
      </c>
      <c r="AV46" s="12">
        <v>7499.6425615792305</v>
      </c>
      <c r="AW46" s="12">
        <v>9544.875</v>
      </c>
      <c r="AX46" s="12">
        <f t="shared" si="30"/>
        <v>48244.517561579232</v>
      </c>
      <c r="AY46" s="12">
        <v>34869.379999999997</v>
      </c>
      <c r="AZ46" s="12">
        <v>8985.4558476771472</v>
      </c>
      <c r="BA46" s="12">
        <v>12653.275</v>
      </c>
      <c r="BB46" s="12">
        <f t="shared" si="31"/>
        <v>56508.110847677148</v>
      </c>
      <c r="BC46" s="12">
        <v>3669.3799999999974</v>
      </c>
      <c r="BD46" s="12">
        <v>1485.8132860979167</v>
      </c>
      <c r="BE46" s="12">
        <v>3108.3999999999942</v>
      </c>
      <c r="BF46" s="12">
        <v>8263.5932860979083</v>
      </c>
    </row>
    <row r="47" spans="1:58" x14ac:dyDescent="0.25">
      <c r="A47" s="7">
        <v>99</v>
      </c>
      <c r="B47" s="7">
        <v>1</v>
      </c>
      <c r="C47" s="7" t="s">
        <v>48</v>
      </c>
      <c r="D47" s="4">
        <v>5</v>
      </c>
      <c r="E47" s="10">
        <v>1184</v>
      </c>
      <c r="F47" s="8">
        <f t="shared" si="10"/>
        <v>33068</v>
      </c>
      <c r="G47" s="8">
        <f t="shared" si="11"/>
        <v>24208.32</v>
      </c>
      <c r="H47" s="8">
        <f t="shared" si="12"/>
        <v>0</v>
      </c>
      <c r="I47" s="8">
        <f t="shared" si="13"/>
        <v>2.9831426218152046E-10</v>
      </c>
      <c r="J47" s="8">
        <f t="shared" si="14"/>
        <v>57276.320000000298</v>
      </c>
      <c r="K47" s="8">
        <f t="shared" si="15"/>
        <v>9777.2083211880672</v>
      </c>
      <c r="L47" s="8">
        <f t="shared" si="16"/>
        <v>67053.528321188365</v>
      </c>
      <c r="M47" s="8">
        <f t="shared" si="17"/>
        <v>48.375270270270519</v>
      </c>
      <c r="N47" s="8">
        <f t="shared" si="18"/>
        <v>32370</v>
      </c>
      <c r="O47" s="8">
        <f t="shared" si="19"/>
        <v>0</v>
      </c>
      <c r="P47" s="8">
        <f t="shared" si="20"/>
        <v>467</v>
      </c>
      <c r="Q47" s="8">
        <f t="shared" si="21"/>
        <v>231</v>
      </c>
      <c r="R47" s="8">
        <f t="shared" si="22"/>
        <v>0</v>
      </c>
      <c r="S47" s="8">
        <f t="shared" si="23"/>
        <v>0</v>
      </c>
      <c r="T47" s="8">
        <f t="shared" si="24"/>
        <v>24208.32</v>
      </c>
      <c r="U47" s="8">
        <f t="shared" si="25"/>
        <v>0</v>
      </c>
      <c r="V47" s="8">
        <f t="shared" si="26"/>
        <v>0</v>
      </c>
      <c r="W47" s="8">
        <f t="shared" si="27"/>
        <v>0</v>
      </c>
      <c r="X47" s="8">
        <f t="shared" si="28"/>
        <v>57276.320000000298</v>
      </c>
      <c r="Y47" s="10">
        <v>7517609</v>
      </c>
      <c r="Z47" s="10">
        <v>0</v>
      </c>
      <c r="AA47" s="10">
        <v>108593</v>
      </c>
      <c r="AB47" s="10">
        <v>45895</v>
      </c>
      <c r="AC47" s="10">
        <v>0</v>
      </c>
      <c r="AD47" s="10">
        <v>0</v>
      </c>
      <c r="AE47" s="10">
        <v>0</v>
      </c>
      <c r="AF47" s="10">
        <v>14821</v>
      </c>
      <c r="AG47" s="10">
        <v>185522</v>
      </c>
      <c r="AH47" s="10">
        <f t="shared" si="29"/>
        <v>755099.11999999918</v>
      </c>
      <c r="AI47" s="10">
        <v>8627539.1199999992</v>
      </c>
      <c r="AJ47" s="10">
        <v>7549979</v>
      </c>
      <c r="AK47" s="10">
        <v>0</v>
      </c>
      <c r="AL47" s="10">
        <v>109060</v>
      </c>
      <c r="AM47" s="10">
        <v>46126</v>
      </c>
      <c r="AN47" s="10">
        <v>0</v>
      </c>
      <c r="AO47" s="10">
        <v>0</v>
      </c>
      <c r="AP47" s="10">
        <v>24208.32</v>
      </c>
      <c r="AQ47" s="10">
        <v>14821</v>
      </c>
      <c r="AR47" s="10">
        <v>185522</v>
      </c>
      <c r="AS47" s="10">
        <f t="shared" si="9"/>
        <v>755099.11999999918</v>
      </c>
      <c r="AT47" s="10">
        <v>8684815.4399999995</v>
      </c>
      <c r="AU47" s="12">
        <v>48960</v>
      </c>
      <c r="AV47" s="12">
        <v>7865.5410611967573</v>
      </c>
      <c r="AW47" s="12">
        <v>11246.625</v>
      </c>
      <c r="AX47" s="12">
        <f t="shared" si="30"/>
        <v>68072.166061196767</v>
      </c>
      <c r="AY47" s="12">
        <v>54718.103999999999</v>
      </c>
      <c r="AZ47" s="12">
        <v>9423.8453823848231</v>
      </c>
      <c r="BA47" s="12">
        <v>13707.424999999999</v>
      </c>
      <c r="BB47" s="12">
        <f t="shared" si="31"/>
        <v>77849.37438238482</v>
      </c>
      <c r="BC47" s="12">
        <v>5758.1039999999994</v>
      </c>
      <c r="BD47" s="12">
        <v>1558.3043211880658</v>
      </c>
      <c r="BE47" s="12">
        <v>2460.8000000000029</v>
      </c>
      <c r="BF47" s="12">
        <v>9777.2083211880672</v>
      </c>
    </row>
    <row r="48" spans="1:58" x14ac:dyDescent="0.25">
      <c r="A48" s="7">
        <v>100</v>
      </c>
      <c r="B48" s="7">
        <v>1</v>
      </c>
      <c r="C48" s="7" t="s">
        <v>49</v>
      </c>
      <c r="D48" s="4">
        <v>6</v>
      </c>
      <c r="E48" s="10">
        <v>320</v>
      </c>
      <c r="F48" s="8">
        <f t="shared" si="10"/>
        <v>10582.25</v>
      </c>
      <c r="G48" s="8">
        <f t="shared" si="11"/>
        <v>0</v>
      </c>
      <c r="H48" s="8">
        <f t="shared" si="12"/>
        <v>0</v>
      </c>
      <c r="I48" s="8">
        <f t="shared" si="13"/>
        <v>3</v>
      </c>
      <c r="J48" s="8">
        <f t="shared" si="14"/>
        <v>10585.25</v>
      </c>
      <c r="K48" s="8">
        <f t="shared" si="15"/>
        <v>4477.4860578100415</v>
      </c>
      <c r="L48" s="8">
        <f t="shared" si="16"/>
        <v>15062.736057810042</v>
      </c>
      <c r="M48" s="8">
        <f t="shared" si="17"/>
        <v>33.078906250000003</v>
      </c>
      <c r="N48" s="8">
        <f t="shared" si="18"/>
        <v>8875</v>
      </c>
      <c r="O48" s="8">
        <f t="shared" si="19"/>
        <v>57</v>
      </c>
      <c r="P48" s="8">
        <f t="shared" si="20"/>
        <v>411</v>
      </c>
      <c r="Q48" s="8">
        <f t="shared" si="21"/>
        <v>1239.25</v>
      </c>
      <c r="R48" s="8">
        <f t="shared" si="22"/>
        <v>0</v>
      </c>
      <c r="S48" s="8">
        <f t="shared" si="23"/>
        <v>0</v>
      </c>
      <c r="T48" s="8">
        <f t="shared" si="24"/>
        <v>0</v>
      </c>
      <c r="U48" s="8">
        <f t="shared" si="25"/>
        <v>0</v>
      </c>
      <c r="V48" s="8">
        <f t="shared" si="26"/>
        <v>3</v>
      </c>
      <c r="W48" s="8">
        <f t="shared" si="27"/>
        <v>0</v>
      </c>
      <c r="X48" s="8">
        <f t="shared" si="28"/>
        <v>10585.25</v>
      </c>
      <c r="Y48" s="10">
        <v>2061130</v>
      </c>
      <c r="Z48" s="10">
        <v>13331</v>
      </c>
      <c r="AA48" s="10">
        <v>95574</v>
      </c>
      <c r="AB48" s="10">
        <v>246214</v>
      </c>
      <c r="AC48" s="10">
        <v>0</v>
      </c>
      <c r="AD48" s="10">
        <v>121706</v>
      </c>
      <c r="AE48" s="10">
        <v>54587</v>
      </c>
      <c r="AF48" s="10">
        <v>0</v>
      </c>
      <c r="AG48" s="10">
        <v>47247</v>
      </c>
      <c r="AH48" s="10">
        <f t="shared" si="29"/>
        <v>289757.93000000017</v>
      </c>
      <c r="AI48" s="10">
        <v>2929546.93</v>
      </c>
      <c r="AJ48" s="10">
        <v>2070005</v>
      </c>
      <c r="AK48" s="10">
        <v>13388</v>
      </c>
      <c r="AL48" s="10">
        <v>95985</v>
      </c>
      <c r="AM48" s="10">
        <v>247453.25</v>
      </c>
      <c r="AN48" s="10">
        <v>0</v>
      </c>
      <c r="AO48" s="10">
        <v>121706</v>
      </c>
      <c r="AP48" s="10">
        <v>54587</v>
      </c>
      <c r="AQ48" s="10">
        <v>0</v>
      </c>
      <c r="AR48" s="10">
        <v>47250</v>
      </c>
      <c r="AS48" s="10">
        <f t="shared" si="9"/>
        <v>289757.93000000017</v>
      </c>
      <c r="AT48" s="10">
        <v>2940132.18</v>
      </c>
      <c r="AU48" s="12">
        <v>18000</v>
      </c>
      <c r="AV48" s="12">
        <v>3709.5897517961876</v>
      </c>
      <c r="AW48" s="12">
        <v>4018.5</v>
      </c>
      <c r="AX48" s="12">
        <f t="shared" si="30"/>
        <v>25728.089751796186</v>
      </c>
      <c r="AY48" s="12">
        <v>20116.95</v>
      </c>
      <c r="AZ48" s="12">
        <v>4444.5258096062298</v>
      </c>
      <c r="BA48" s="12">
        <v>5644.1</v>
      </c>
      <c r="BB48" s="12">
        <f t="shared" si="31"/>
        <v>30205.575809606227</v>
      </c>
      <c r="BC48" s="12">
        <v>2116.9500000000007</v>
      </c>
      <c r="BD48" s="12">
        <v>734.93605781004226</v>
      </c>
      <c r="BE48" s="12">
        <v>1625.5999999999985</v>
      </c>
      <c r="BF48" s="12">
        <v>4477.4860578100415</v>
      </c>
    </row>
    <row r="49" spans="1:58" x14ac:dyDescent="0.25">
      <c r="A49" s="7">
        <v>108</v>
      </c>
      <c r="B49" s="7">
        <v>1</v>
      </c>
      <c r="C49" s="7" t="s">
        <v>50</v>
      </c>
      <c r="D49" s="4">
        <v>3</v>
      </c>
      <c r="E49" s="10">
        <v>984</v>
      </c>
      <c r="F49" s="8">
        <f t="shared" si="10"/>
        <v>28146</v>
      </c>
      <c r="G49" s="8">
        <f t="shared" si="11"/>
        <v>25277.399999999998</v>
      </c>
      <c r="H49" s="8">
        <f t="shared" si="12"/>
        <v>0</v>
      </c>
      <c r="I49" s="8">
        <f t="shared" si="13"/>
        <v>3.7471181713044643E-10</v>
      </c>
      <c r="J49" s="8">
        <f t="shared" si="14"/>
        <v>53423.400000000373</v>
      </c>
      <c r="K49" s="8">
        <f t="shared" si="15"/>
        <v>12171.282676820112</v>
      </c>
      <c r="L49" s="8">
        <f t="shared" si="16"/>
        <v>65594.682676820492</v>
      </c>
      <c r="M49" s="8">
        <f t="shared" si="17"/>
        <v>54.292073170732088</v>
      </c>
      <c r="N49" s="8">
        <f t="shared" si="18"/>
        <v>26960</v>
      </c>
      <c r="O49" s="8">
        <f t="shared" si="19"/>
        <v>14</v>
      </c>
      <c r="P49" s="8">
        <f t="shared" si="20"/>
        <v>566</v>
      </c>
      <c r="Q49" s="8">
        <f t="shared" si="21"/>
        <v>606</v>
      </c>
      <c r="R49" s="8">
        <f t="shared" si="22"/>
        <v>0</v>
      </c>
      <c r="S49" s="8">
        <f t="shared" si="23"/>
        <v>0</v>
      </c>
      <c r="T49" s="8">
        <f t="shared" si="24"/>
        <v>25277.399999999998</v>
      </c>
      <c r="U49" s="8">
        <f t="shared" si="25"/>
        <v>0</v>
      </c>
      <c r="V49" s="8">
        <f t="shared" si="26"/>
        <v>0</v>
      </c>
      <c r="W49" s="8">
        <f t="shared" si="27"/>
        <v>0</v>
      </c>
      <c r="X49" s="8">
        <f t="shared" si="28"/>
        <v>53423.400000000373</v>
      </c>
      <c r="Y49" s="10">
        <v>6261190</v>
      </c>
      <c r="Z49" s="10">
        <v>3251</v>
      </c>
      <c r="AA49" s="10">
        <v>131336</v>
      </c>
      <c r="AB49" s="10">
        <v>120400</v>
      </c>
      <c r="AC49" s="10">
        <v>0</v>
      </c>
      <c r="AD49" s="10">
        <v>0</v>
      </c>
      <c r="AE49" s="10">
        <v>0</v>
      </c>
      <c r="AF49" s="10">
        <v>24007</v>
      </c>
      <c r="AG49" s="10">
        <v>180632.5</v>
      </c>
      <c r="AH49" s="10">
        <f t="shared" si="29"/>
        <v>1070065.21</v>
      </c>
      <c r="AI49" s="10">
        <v>7790881.71</v>
      </c>
      <c r="AJ49" s="10">
        <v>6288150</v>
      </c>
      <c r="AK49" s="10">
        <v>3265</v>
      </c>
      <c r="AL49" s="10">
        <v>131902</v>
      </c>
      <c r="AM49" s="10">
        <v>121006</v>
      </c>
      <c r="AN49" s="10">
        <v>0</v>
      </c>
      <c r="AO49" s="10">
        <v>0</v>
      </c>
      <c r="AP49" s="10">
        <v>25277.399999999998</v>
      </c>
      <c r="AQ49" s="10">
        <v>24007</v>
      </c>
      <c r="AR49" s="10">
        <v>180632.5</v>
      </c>
      <c r="AS49" s="10">
        <f t="shared" si="9"/>
        <v>1070065.21</v>
      </c>
      <c r="AT49" s="10">
        <v>7844305.1100000003</v>
      </c>
      <c r="AU49" s="12">
        <v>62160</v>
      </c>
      <c r="AV49" s="12">
        <v>11671.579946249549</v>
      </c>
      <c r="AW49" s="12">
        <v>14770.375</v>
      </c>
      <c r="AX49" s="12">
        <f t="shared" si="30"/>
        <v>88601.954946249549</v>
      </c>
      <c r="AY49" s="12">
        <v>69470.534</v>
      </c>
      <c r="AZ49" s="12">
        <v>13983.928623069667</v>
      </c>
      <c r="BA49" s="12">
        <v>17318.775000000001</v>
      </c>
      <c r="BB49" s="12">
        <f t="shared" si="31"/>
        <v>100773.23762306967</v>
      </c>
      <c r="BC49" s="12">
        <v>7310.5339999999997</v>
      </c>
      <c r="BD49" s="12">
        <v>2312.3486768201183</v>
      </c>
      <c r="BE49" s="12">
        <v>2548.3999999999942</v>
      </c>
      <c r="BF49" s="12">
        <v>12171.282676820112</v>
      </c>
    </row>
    <row r="50" spans="1:58" x14ac:dyDescent="0.25">
      <c r="A50" s="7">
        <v>110</v>
      </c>
      <c r="B50" s="7">
        <v>1</v>
      </c>
      <c r="C50" s="7" t="s">
        <v>51</v>
      </c>
      <c r="D50" s="4">
        <v>3</v>
      </c>
      <c r="E50" s="10">
        <v>3695</v>
      </c>
      <c r="F50" s="8">
        <f t="shared" si="10"/>
        <v>101969.75</v>
      </c>
      <c r="G50" s="8">
        <f t="shared" si="11"/>
        <v>75705.36</v>
      </c>
      <c r="H50" s="8">
        <f t="shared" si="12"/>
        <v>5918</v>
      </c>
      <c r="I50" s="8">
        <f t="shared" si="13"/>
        <v>-32.000000000596629</v>
      </c>
      <c r="J50" s="8">
        <f t="shared" si="14"/>
        <v>183561.1099999994</v>
      </c>
      <c r="K50" s="8">
        <f t="shared" si="15"/>
        <v>38844.221997397755</v>
      </c>
      <c r="L50" s="8">
        <f t="shared" si="16"/>
        <v>222405.33199739715</v>
      </c>
      <c r="M50" s="8">
        <f t="shared" si="17"/>
        <v>49.678243572394969</v>
      </c>
      <c r="N50" s="8">
        <f t="shared" si="18"/>
        <v>100038</v>
      </c>
      <c r="O50" s="8">
        <f t="shared" si="19"/>
        <v>0</v>
      </c>
      <c r="P50" s="8">
        <f t="shared" si="20"/>
        <v>1025</v>
      </c>
      <c r="Q50" s="8">
        <f t="shared" si="21"/>
        <v>906.75</v>
      </c>
      <c r="R50" s="8">
        <f t="shared" si="22"/>
        <v>0</v>
      </c>
      <c r="S50" s="8">
        <f t="shared" si="23"/>
        <v>0</v>
      </c>
      <c r="T50" s="8">
        <f t="shared" si="24"/>
        <v>75705.36</v>
      </c>
      <c r="U50" s="8">
        <f t="shared" si="25"/>
        <v>5918</v>
      </c>
      <c r="V50" s="8">
        <f t="shared" si="26"/>
        <v>0</v>
      </c>
      <c r="W50" s="8">
        <f t="shared" si="27"/>
        <v>-32</v>
      </c>
      <c r="X50" s="8">
        <f t="shared" si="28"/>
        <v>183561.1099999994</v>
      </c>
      <c r="Y50" s="10">
        <v>23232709</v>
      </c>
      <c r="Z50" s="10">
        <v>0</v>
      </c>
      <c r="AA50" s="10">
        <v>238088</v>
      </c>
      <c r="AB50" s="10">
        <v>180153</v>
      </c>
      <c r="AC50" s="10">
        <v>0</v>
      </c>
      <c r="AD50" s="10">
        <v>0</v>
      </c>
      <c r="AE50" s="10">
        <v>0</v>
      </c>
      <c r="AF50" s="10">
        <v>18707</v>
      </c>
      <c r="AG50" s="10">
        <v>668532.5</v>
      </c>
      <c r="AH50" s="10">
        <f t="shared" si="29"/>
        <v>4056813.8999999985</v>
      </c>
      <c r="AI50" s="10">
        <v>28395003.399999999</v>
      </c>
      <c r="AJ50" s="10">
        <v>23332747</v>
      </c>
      <c r="AK50" s="10">
        <v>0</v>
      </c>
      <c r="AL50" s="10">
        <v>239113</v>
      </c>
      <c r="AM50" s="10">
        <v>181059.75</v>
      </c>
      <c r="AN50" s="10">
        <v>0</v>
      </c>
      <c r="AO50" s="10">
        <v>0</v>
      </c>
      <c r="AP50" s="10">
        <v>75705.36</v>
      </c>
      <c r="AQ50" s="10">
        <v>24625</v>
      </c>
      <c r="AR50" s="10">
        <v>668532.5</v>
      </c>
      <c r="AS50" s="10">
        <f t="shared" si="9"/>
        <v>4056781.8999999985</v>
      </c>
      <c r="AT50" s="10">
        <v>28578564.509999998</v>
      </c>
      <c r="AU50" s="12">
        <v>208800</v>
      </c>
      <c r="AV50" s="12">
        <v>31728.5950818653</v>
      </c>
      <c r="AW50" s="12">
        <v>50914.375</v>
      </c>
      <c r="AX50" s="12">
        <f t="shared" si="30"/>
        <v>291442.97008186532</v>
      </c>
      <c r="AY50" s="12">
        <v>233356.62</v>
      </c>
      <c r="AZ50" s="12">
        <v>38014.597079263083</v>
      </c>
      <c r="BA50" s="12">
        <v>58915.974999999999</v>
      </c>
      <c r="BB50" s="12">
        <f t="shared" si="31"/>
        <v>330287.19207926304</v>
      </c>
      <c r="BC50" s="12">
        <v>24556.619999999995</v>
      </c>
      <c r="BD50" s="12">
        <v>6286.0019973977833</v>
      </c>
      <c r="BE50" s="12">
        <v>8001.5999999999767</v>
      </c>
      <c r="BF50" s="12">
        <v>38844.221997397755</v>
      </c>
    </row>
    <row r="51" spans="1:58" x14ac:dyDescent="0.25">
      <c r="A51" s="7">
        <v>111</v>
      </c>
      <c r="B51" s="7">
        <v>1</v>
      </c>
      <c r="C51" s="7" t="s">
        <v>52</v>
      </c>
      <c r="D51" s="4">
        <v>3</v>
      </c>
      <c r="E51" s="10">
        <v>1738</v>
      </c>
      <c r="F51" s="8">
        <f t="shared" si="10"/>
        <v>47728.25</v>
      </c>
      <c r="G51" s="8">
        <f t="shared" si="11"/>
        <v>35113.54</v>
      </c>
      <c r="H51" s="8">
        <f t="shared" si="12"/>
        <v>0</v>
      </c>
      <c r="I51" s="8">
        <f t="shared" si="13"/>
        <v>-8.9494278654456139E-10</v>
      </c>
      <c r="J51" s="8">
        <f t="shared" si="14"/>
        <v>82841.789999999106</v>
      </c>
      <c r="K51" s="8">
        <f t="shared" si="15"/>
        <v>22015.424209430741</v>
      </c>
      <c r="L51" s="8">
        <f t="shared" si="16"/>
        <v>104857.21420942985</v>
      </c>
      <c r="M51" s="8">
        <f t="shared" si="17"/>
        <v>47.665011507479349</v>
      </c>
      <c r="N51" s="8">
        <f t="shared" si="18"/>
        <v>45791</v>
      </c>
      <c r="O51" s="8">
        <f t="shared" si="19"/>
        <v>60</v>
      </c>
      <c r="P51" s="8">
        <f t="shared" si="20"/>
        <v>775</v>
      </c>
      <c r="Q51" s="8">
        <f t="shared" si="21"/>
        <v>1102.25</v>
      </c>
      <c r="R51" s="8">
        <f t="shared" si="22"/>
        <v>0</v>
      </c>
      <c r="S51" s="8">
        <f t="shared" si="23"/>
        <v>0</v>
      </c>
      <c r="T51" s="8">
        <f t="shared" si="24"/>
        <v>35113.54</v>
      </c>
      <c r="U51" s="8">
        <f t="shared" si="25"/>
        <v>0</v>
      </c>
      <c r="V51" s="8">
        <f t="shared" si="26"/>
        <v>0</v>
      </c>
      <c r="W51" s="8">
        <f t="shared" si="27"/>
        <v>0</v>
      </c>
      <c r="X51" s="8">
        <f t="shared" si="28"/>
        <v>82841.789999999106</v>
      </c>
      <c r="Y51" s="10">
        <v>10634560</v>
      </c>
      <c r="Z51" s="10">
        <v>13818</v>
      </c>
      <c r="AA51" s="10">
        <v>179963</v>
      </c>
      <c r="AB51" s="10">
        <v>218995</v>
      </c>
      <c r="AC51" s="10">
        <v>0</v>
      </c>
      <c r="AD51" s="10">
        <v>0</v>
      </c>
      <c r="AE51" s="10">
        <v>0</v>
      </c>
      <c r="AF51" s="10">
        <v>14604</v>
      </c>
      <c r="AG51" s="10">
        <v>306801.75</v>
      </c>
      <c r="AH51" s="10">
        <f t="shared" si="29"/>
        <v>1811173.5399999991</v>
      </c>
      <c r="AI51" s="10">
        <v>13179915.289999999</v>
      </c>
      <c r="AJ51" s="10">
        <v>10680351</v>
      </c>
      <c r="AK51" s="10">
        <v>13878</v>
      </c>
      <c r="AL51" s="10">
        <v>180738</v>
      </c>
      <c r="AM51" s="10">
        <v>220097.25</v>
      </c>
      <c r="AN51" s="10">
        <v>0</v>
      </c>
      <c r="AO51" s="10">
        <v>0</v>
      </c>
      <c r="AP51" s="10">
        <v>35113.54</v>
      </c>
      <c r="AQ51" s="10">
        <v>14604</v>
      </c>
      <c r="AR51" s="10">
        <v>306801.75</v>
      </c>
      <c r="AS51" s="10">
        <f t="shared" si="9"/>
        <v>1811173.5399999991</v>
      </c>
      <c r="AT51" s="10">
        <v>13262757.079999998</v>
      </c>
      <c r="AU51" s="12">
        <v>91680</v>
      </c>
      <c r="AV51" s="12">
        <v>18309.766927101657</v>
      </c>
      <c r="AW51" s="12">
        <v>22106</v>
      </c>
      <c r="AX51" s="12">
        <f t="shared" si="30"/>
        <v>132095.76692710165</v>
      </c>
      <c r="AY51" s="12">
        <v>102462.33199999999</v>
      </c>
      <c r="AZ51" s="12">
        <v>21937.259136532397</v>
      </c>
      <c r="BA51" s="12">
        <v>29711.599999999999</v>
      </c>
      <c r="BB51" s="12">
        <f t="shared" si="31"/>
        <v>154111.1911365324</v>
      </c>
      <c r="BC51" s="12">
        <v>10782.331999999995</v>
      </c>
      <c r="BD51" s="12">
        <v>3627.4922094307403</v>
      </c>
      <c r="BE51" s="12">
        <v>7605.6000000000058</v>
      </c>
      <c r="BF51" s="12">
        <v>22015.424209430741</v>
      </c>
    </row>
    <row r="52" spans="1:58" x14ac:dyDescent="0.25">
      <c r="A52" s="7">
        <v>112</v>
      </c>
      <c r="B52" s="7">
        <v>1</v>
      </c>
      <c r="C52" s="7" t="s">
        <v>53</v>
      </c>
      <c r="D52" s="4">
        <v>3</v>
      </c>
      <c r="E52" s="10">
        <v>9280</v>
      </c>
      <c r="F52" s="8">
        <f t="shared" si="10"/>
        <v>259359</v>
      </c>
      <c r="G52" s="8">
        <f t="shared" si="11"/>
        <v>0</v>
      </c>
      <c r="H52" s="8">
        <f t="shared" si="12"/>
        <v>48541</v>
      </c>
      <c r="I52" s="8">
        <f t="shared" si="13"/>
        <v>304</v>
      </c>
      <c r="J52" s="8">
        <f t="shared" si="14"/>
        <v>308204</v>
      </c>
      <c r="K52" s="8">
        <f t="shared" si="15"/>
        <v>102284.39793805625</v>
      </c>
      <c r="L52" s="8">
        <f t="shared" si="16"/>
        <v>410488.39793805627</v>
      </c>
      <c r="M52" s="8">
        <f t="shared" si="17"/>
        <v>33.211637931034481</v>
      </c>
      <c r="N52" s="8">
        <f t="shared" si="18"/>
        <v>252446</v>
      </c>
      <c r="O52" s="8">
        <f t="shared" si="19"/>
        <v>0</v>
      </c>
      <c r="P52" s="8">
        <f t="shared" si="20"/>
        <v>682</v>
      </c>
      <c r="Q52" s="8">
        <f t="shared" si="21"/>
        <v>6231</v>
      </c>
      <c r="R52" s="8">
        <f t="shared" si="22"/>
        <v>0</v>
      </c>
      <c r="S52" s="8">
        <f t="shared" si="23"/>
        <v>0</v>
      </c>
      <c r="T52" s="8">
        <f t="shared" si="24"/>
        <v>0</v>
      </c>
      <c r="U52" s="8">
        <f t="shared" si="25"/>
        <v>48541</v>
      </c>
      <c r="V52" s="8">
        <f t="shared" si="26"/>
        <v>0</v>
      </c>
      <c r="W52" s="8">
        <f t="shared" si="27"/>
        <v>304</v>
      </c>
      <c r="X52" s="8">
        <f t="shared" si="28"/>
        <v>308204</v>
      </c>
      <c r="Y52" s="10">
        <v>58628117</v>
      </c>
      <c r="Z52" s="10">
        <v>0</v>
      </c>
      <c r="AA52" s="10">
        <v>158396</v>
      </c>
      <c r="AB52" s="10">
        <v>1237975</v>
      </c>
      <c r="AC52" s="10">
        <v>0</v>
      </c>
      <c r="AD52" s="10">
        <v>0</v>
      </c>
      <c r="AE52" s="10">
        <v>2440100</v>
      </c>
      <c r="AF52" s="10">
        <v>266784</v>
      </c>
      <c r="AG52" s="10">
        <v>1350376.75</v>
      </c>
      <c r="AH52" s="10">
        <f t="shared" si="29"/>
        <v>15771906.950000003</v>
      </c>
      <c r="AI52" s="10">
        <v>79853655.700000003</v>
      </c>
      <c r="AJ52" s="10">
        <v>58880563</v>
      </c>
      <c r="AK52" s="10">
        <v>0</v>
      </c>
      <c r="AL52" s="10">
        <v>159078</v>
      </c>
      <c r="AM52" s="10">
        <v>1244206</v>
      </c>
      <c r="AN52" s="10">
        <v>0</v>
      </c>
      <c r="AO52" s="10">
        <v>0</v>
      </c>
      <c r="AP52" s="10">
        <v>2440100</v>
      </c>
      <c r="AQ52" s="10">
        <v>315325</v>
      </c>
      <c r="AR52" s="10">
        <v>1350376.75</v>
      </c>
      <c r="AS52" s="10">
        <f t="shared" ref="AS52:AS115" si="32">AT52-SUM(AJ52:AR52)</f>
        <v>15772210.950000003</v>
      </c>
      <c r="AT52" s="10">
        <v>80161859.700000003</v>
      </c>
      <c r="AU52" s="12">
        <v>538800</v>
      </c>
      <c r="AV52" s="12">
        <v>89204.608517338915</v>
      </c>
      <c r="AW52" s="12">
        <v>131966.75</v>
      </c>
      <c r="AX52" s="12">
        <f t="shared" si="30"/>
        <v>759971.35851733887</v>
      </c>
      <c r="AY52" s="12">
        <v>602167.37</v>
      </c>
      <c r="AZ52" s="12">
        <v>106877.63645539517</v>
      </c>
      <c r="BA52" s="12">
        <v>153210.75</v>
      </c>
      <c r="BB52" s="12">
        <f t="shared" si="31"/>
        <v>862255.75645539514</v>
      </c>
      <c r="BC52" s="12">
        <v>63367.369999999995</v>
      </c>
      <c r="BD52" s="12">
        <v>17673.027938056257</v>
      </c>
      <c r="BE52" s="12">
        <v>21244</v>
      </c>
      <c r="BF52" s="12">
        <v>102284.39793805625</v>
      </c>
    </row>
    <row r="53" spans="1:58" x14ac:dyDescent="0.25">
      <c r="A53" s="7">
        <v>113</v>
      </c>
      <c r="B53" s="7">
        <v>1</v>
      </c>
      <c r="C53" s="7" t="s">
        <v>54</v>
      </c>
      <c r="D53" s="4">
        <v>6</v>
      </c>
      <c r="E53" s="10">
        <v>769</v>
      </c>
      <c r="F53" s="8">
        <f t="shared" si="10"/>
        <v>25662.5</v>
      </c>
      <c r="G53" s="8">
        <f t="shared" si="11"/>
        <v>18038.46</v>
      </c>
      <c r="H53" s="8">
        <f t="shared" si="12"/>
        <v>0</v>
      </c>
      <c r="I53" s="8">
        <f t="shared" si="13"/>
        <v>-3.637978807091713E-11</v>
      </c>
      <c r="J53" s="8">
        <f t="shared" si="14"/>
        <v>43700.959999999963</v>
      </c>
      <c r="K53" s="8">
        <f t="shared" si="15"/>
        <v>10158.03447112729</v>
      </c>
      <c r="L53" s="8">
        <f t="shared" si="16"/>
        <v>53858.994471127255</v>
      </c>
      <c r="M53" s="8">
        <f t="shared" si="17"/>
        <v>56.828296488946634</v>
      </c>
      <c r="N53" s="8">
        <f t="shared" si="18"/>
        <v>21050</v>
      </c>
      <c r="O53" s="8">
        <f t="shared" si="19"/>
        <v>0</v>
      </c>
      <c r="P53" s="8">
        <f t="shared" si="20"/>
        <v>1014</v>
      </c>
      <c r="Q53" s="8">
        <f t="shared" si="21"/>
        <v>3218.5</v>
      </c>
      <c r="R53" s="8">
        <f t="shared" si="22"/>
        <v>380</v>
      </c>
      <c r="S53" s="8">
        <f t="shared" si="23"/>
        <v>0</v>
      </c>
      <c r="T53" s="8">
        <f t="shared" si="24"/>
        <v>18038.46</v>
      </c>
      <c r="U53" s="8">
        <f t="shared" si="25"/>
        <v>0</v>
      </c>
      <c r="V53" s="8">
        <f t="shared" si="26"/>
        <v>0</v>
      </c>
      <c r="W53" s="8">
        <f t="shared" si="27"/>
        <v>0</v>
      </c>
      <c r="X53" s="8">
        <f t="shared" si="28"/>
        <v>43700.959999999963</v>
      </c>
      <c r="Y53" s="10">
        <v>4888652</v>
      </c>
      <c r="Z53" s="10">
        <v>0</v>
      </c>
      <c r="AA53" s="10">
        <v>235433</v>
      </c>
      <c r="AB53" s="10">
        <v>639452</v>
      </c>
      <c r="AC53" s="10">
        <v>80190</v>
      </c>
      <c r="AD53" s="10">
        <v>56302</v>
      </c>
      <c r="AE53" s="10">
        <v>0</v>
      </c>
      <c r="AF53" s="10">
        <v>15240</v>
      </c>
      <c r="AG53" s="10">
        <v>121248</v>
      </c>
      <c r="AH53" s="10">
        <f t="shared" si="29"/>
        <v>511154.45000000019</v>
      </c>
      <c r="AI53" s="10">
        <v>6547671.4500000002</v>
      </c>
      <c r="AJ53" s="10">
        <v>4909702</v>
      </c>
      <c r="AK53" s="10">
        <v>0</v>
      </c>
      <c r="AL53" s="10">
        <v>236447</v>
      </c>
      <c r="AM53" s="10">
        <v>642670.5</v>
      </c>
      <c r="AN53" s="10">
        <v>80570</v>
      </c>
      <c r="AO53" s="10">
        <v>56302</v>
      </c>
      <c r="AP53" s="10">
        <v>18038.46</v>
      </c>
      <c r="AQ53" s="10">
        <v>15240</v>
      </c>
      <c r="AR53" s="10">
        <v>121248</v>
      </c>
      <c r="AS53" s="10">
        <f t="shared" si="32"/>
        <v>511154.45000000019</v>
      </c>
      <c r="AT53" s="10">
        <v>6591372.4100000001</v>
      </c>
      <c r="AU53" s="12">
        <v>38880</v>
      </c>
      <c r="AV53" s="12">
        <v>10804.791923014976</v>
      </c>
      <c r="AW53" s="12">
        <v>10126.5</v>
      </c>
      <c r="AX53" s="12">
        <f t="shared" si="30"/>
        <v>59811.291923014978</v>
      </c>
      <c r="AY53" s="12">
        <v>43452.612000000001</v>
      </c>
      <c r="AZ53" s="12">
        <v>12945.414394142263</v>
      </c>
      <c r="BA53" s="12">
        <v>13571.3</v>
      </c>
      <c r="BB53" s="12">
        <f t="shared" si="31"/>
        <v>69969.326394142263</v>
      </c>
      <c r="BC53" s="12">
        <v>4572.612000000001</v>
      </c>
      <c r="BD53" s="12">
        <v>2140.6224711272862</v>
      </c>
      <c r="BE53" s="12">
        <v>3444.8000000000029</v>
      </c>
      <c r="BF53" s="12">
        <v>10158.03447112729</v>
      </c>
    </row>
    <row r="54" spans="1:58" x14ac:dyDescent="0.25">
      <c r="A54" s="7">
        <v>115</v>
      </c>
      <c r="B54" s="7">
        <v>1</v>
      </c>
      <c r="C54" s="7" t="s">
        <v>55</v>
      </c>
      <c r="D54" s="4">
        <v>5</v>
      </c>
      <c r="E54" s="10">
        <v>1132</v>
      </c>
      <c r="F54" s="8">
        <f t="shared" si="10"/>
        <v>45135.5</v>
      </c>
      <c r="G54" s="8">
        <f t="shared" si="11"/>
        <v>38157.699999999997</v>
      </c>
      <c r="H54" s="8">
        <f t="shared" si="12"/>
        <v>0</v>
      </c>
      <c r="I54" s="8">
        <f t="shared" si="13"/>
        <v>-10.000000000742148</v>
      </c>
      <c r="J54" s="8">
        <f t="shared" si="14"/>
        <v>83283.199999999255</v>
      </c>
      <c r="K54" s="8">
        <f t="shared" si="15"/>
        <v>14985.632423159444</v>
      </c>
      <c r="L54" s="8">
        <f t="shared" si="16"/>
        <v>98268.832423158703</v>
      </c>
      <c r="M54" s="8">
        <f t="shared" si="17"/>
        <v>73.571731448762591</v>
      </c>
      <c r="N54" s="8">
        <f t="shared" si="18"/>
        <v>29523</v>
      </c>
      <c r="O54" s="8">
        <f t="shared" si="19"/>
        <v>0</v>
      </c>
      <c r="P54" s="8">
        <f t="shared" si="20"/>
        <v>1402</v>
      </c>
      <c r="Q54" s="8">
        <f t="shared" si="21"/>
        <v>14015.5</v>
      </c>
      <c r="R54" s="8">
        <f t="shared" si="22"/>
        <v>195</v>
      </c>
      <c r="S54" s="8">
        <f t="shared" si="23"/>
        <v>0</v>
      </c>
      <c r="T54" s="8">
        <f t="shared" si="24"/>
        <v>38157.699999999997</v>
      </c>
      <c r="U54" s="8">
        <f t="shared" si="25"/>
        <v>0</v>
      </c>
      <c r="V54" s="8">
        <f t="shared" si="26"/>
        <v>-10</v>
      </c>
      <c r="W54" s="8">
        <f t="shared" si="27"/>
        <v>0</v>
      </c>
      <c r="X54" s="8">
        <f t="shared" si="28"/>
        <v>83283.199999999255</v>
      </c>
      <c r="Y54" s="10">
        <v>6856596</v>
      </c>
      <c r="Z54" s="10">
        <v>0</v>
      </c>
      <c r="AA54" s="10">
        <v>325642</v>
      </c>
      <c r="AB54" s="10">
        <v>2784600</v>
      </c>
      <c r="AC54" s="10">
        <v>41250</v>
      </c>
      <c r="AD54" s="10">
        <v>0</v>
      </c>
      <c r="AE54" s="10">
        <v>0</v>
      </c>
      <c r="AF54" s="10">
        <v>0</v>
      </c>
      <c r="AG54" s="10">
        <v>233804.22696784168</v>
      </c>
      <c r="AH54" s="10">
        <f t="shared" si="29"/>
        <v>757250.84999999963</v>
      </c>
      <c r="AI54" s="10">
        <v>10999143.076967841</v>
      </c>
      <c r="AJ54" s="10">
        <v>6886119</v>
      </c>
      <c r="AK54" s="10">
        <v>0</v>
      </c>
      <c r="AL54" s="10">
        <v>327044</v>
      </c>
      <c r="AM54" s="10">
        <v>2798615.5</v>
      </c>
      <c r="AN54" s="10">
        <v>41445</v>
      </c>
      <c r="AO54" s="10">
        <v>0</v>
      </c>
      <c r="AP54" s="10">
        <v>38157.699999999997</v>
      </c>
      <c r="AQ54" s="10">
        <v>0</v>
      </c>
      <c r="AR54" s="10">
        <v>233794.22696784168</v>
      </c>
      <c r="AS54" s="10">
        <f t="shared" si="32"/>
        <v>757250.84999999963</v>
      </c>
      <c r="AT54" s="10">
        <v>11082426.27696784</v>
      </c>
      <c r="AU54" s="12">
        <v>65400</v>
      </c>
      <c r="AV54" s="12">
        <v>23705.31836839722</v>
      </c>
      <c r="AW54" s="12">
        <v>18303</v>
      </c>
      <c r="AX54" s="12">
        <f t="shared" si="30"/>
        <v>107408.31836839722</v>
      </c>
      <c r="AY54" s="12">
        <v>73091.585000000006</v>
      </c>
      <c r="AZ54" s="12">
        <v>28401.765791556652</v>
      </c>
      <c r="BA54" s="12">
        <v>20900.599999999999</v>
      </c>
      <c r="BB54" s="12">
        <f t="shared" si="31"/>
        <v>122393.95079155665</v>
      </c>
      <c r="BC54" s="12">
        <v>7691.5850000000064</v>
      </c>
      <c r="BD54" s="12">
        <v>4696.4474231594322</v>
      </c>
      <c r="BE54" s="12">
        <v>2597.6000000000058</v>
      </c>
      <c r="BF54" s="12">
        <v>14985.632423159444</v>
      </c>
    </row>
    <row r="55" spans="1:58" x14ac:dyDescent="0.25">
      <c r="A55" s="7">
        <v>116</v>
      </c>
      <c r="B55" s="7">
        <v>1</v>
      </c>
      <c r="C55" s="7" t="s">
        <v>56</v>
      </c>
      <c r="D55" s="4">
        <v>6</v>
      </c>
      <c r="E55" s="10">
        <v>963</v>
      </c>
      <c r="F55" s="8">
        <f t="shared" si="10"/>
        <v>29953</v>
      </c>
      <c r="G55" s="8">
        <f t="shared" si="11"/>
        <v>21762.12</v>
      </c>
      <c r="H55" s="8">
        <f t="shared" si="12"/>
        <v>0</v>
      </c>
      <c r="I55" s="8">
        <f t="shared" si="13"/>
        <v>1.127773430198431E-10</v>
      </c>
      <c r="J55" s="8">
        <f t="shared" si="14"/>
        <v>51715.120000000112</v>
      </c>
      <c r="K55" s="8">
        <f t="shared" si="15"/>
        <v>15822.257029771146</v>
      </c>
      <c r="L55" s="8">
        <f t="shared" si="16"/>
        <v>67537.377029771262</v>
      </c>
      <c r="M55" s="8">
        <f t="shared" si="17"/>
        <v>53.702097611630435</v>
      </c>
      <c r="N55" s="8">
        <f t="shared" si="18"/>
        <v>26115</v>
      </c>
      <c r="O55" s="8">
        <f t="shared" si="19"/>
        <v>0</v>
      </c>
      <c r="P55" s="8">
        <f t="shared" si="20"/>
        <v>718</v>
      </c>
      <c r="Q55" s="8">
        <f t="shared" si="21"/>
        <v>3120</v>
      </c>
      <c r="R55" s="8">
        <f t="shared" si="22"/>
        <v>0</v>
      </c>
      <c r="S55" s="8">
        <f t="shared" si="23"/>
        <v>0</v>
      </c>
      <c r="T55" s="8">
        <f t="shared" si="24"/>
        <v>21762.12</v>
      </c>
      <c r="U55" s="8">
        <f t="shared" si="25"/>
        <v>0</v>
      </c>
      <c r="V55" s="8">
        <f t="shared" si="26"/>
        <v>0</v>
      </c>
      <c r="W55" s="8">
        <f t="shared" si="27"/>
        <v>0</v>
      </c>
      <c r="X55" s="8">
        <f t="shared" si="28"/>
        <v>51715.120000000112</v>
      </c>
      <c r="Y55" s="10">
        <v>6064948</v>
      </c>
      <c r="Z55" s="10">
        <v>0</v>
      </c>
      <c r="AA55" s="10">
        <v>166751</v>
      </c>
      <c r="AB55" s="10">
        <v>619882</v>
      </c>
      <c r="AC55" s="10">
        <v>0</v>
      </c>
      <c r="AD55" s="10">
        <v>0</v>
      </c>
      <c r="AE55" s="10">
        <v>0</v>
      </c>
      <c r="AF55" s="10">
        <v>0</v>
      </c>
      <c r="AG55" s="10">
        <v>150422</v>
      </c>
      <c r="AH55" s="10">
        <f t="shared" si="29"/>
        <v>635468.46</v>
      </c>
      <c r="AI55" s="10">
        <v>7637471.46</v>
      </c>
      <c r="AJ55" s="10">
        <v>6091063</v>
      </c>
      <c r="AK55" s="10">
        <v>0</v>
      </c>
      <c r="AL55" s="10">
        <v>167469</v>
      </c>
      <c r="AM55" s="10">
        <v>623002</v>
      </c>
      <c r="AN55" s="10">
        <v>0</v>
      </c>
      <c r="AO55" s="10">
        <v>0</v>
      </c>
      <c r="AP55" s="10">
        <v>21762.12</v>
      </c>
      <c r="AQ55" s="10">
        <v>0</v>
      </c>
      <c r="AR55" s="10">
        <v>150422</v>
      </c>
      <c r="AS55" s="10">
        <f t="shared" si="32"/>
        <v>635468.46</v>
      </c>
      <c r="AT55" s="10">
        <v>7689186.5800000001</v>
      </c>
      <c r="AU55" s="12">
        <v>42360</v>
      </c>
      <c r="AV55" s="12">
        <v>13198.041630269818</v>
      </c>
      <c r="AW55" s="12">
        <v>13933.625</v>
      </c>
      <c r="AX55" s="12">
        <f t="shared" si="30"/>
        <v>69491.666630269814</v>
      </c>
      <c r="AY55" s="12">
        <v>47341.889000000003</v>
      </c>
      <c r="AZ55" s="12">
        <v>15812.809660040955</v>
      </c>
      <c r="BA55" s="12">
        <v>22159.224999999999</v>
      </c>
      <c r="BB55" s="12">
        <f t="shared" si="31"/>
        <v>85313.923660040949</v>
      </c>
      <c r="BC55" s="12">
        <v>4981.8890000000029</v>
      </c>
      <c r="BD55" s="12">
        <v>2614.7680297711377</v>
      </c>
      <c r="BE55" s="12">
        <v>8225.6000000000058</v>
      </c>
      <c r="BF55" s="12">
        <v>15822.257029771146</v>
      </c>
    </row>
    <row r="56" spans="1:58" x14ac:dyDescent="0.25">
      <c r="A56" s="7">
        <v>118</v>
      </c>
      <c r="B56" s="7">
        <v>1</v>
      </c>
      <c r="C56" s="7" t="s">
        <v>57</v>
      </c>
      <c r="D56" s="4">
        <v>6</v>
      </c>
      <c r="E56" s="10">
        <v>329</v>
      </c>
      <c r="F56" s="8">
        <f t="shared" si="10"/>
        <v>12579</v>
      </c>
      <c r="G56" s="8">
        <f t="shared" si="11"/>
        <v>11699.480000000001</v>
      </c>
      <c r="H56" s="8">
        <f t="shared" si="12"/>
        <v>0</v>
      </c>
      <c r="I56" s="8">
        <f t="shared" si="13"/>
        <v>4.9999999999799911</v>
      </c>
      <c r="J56" s="8">
        <f t="shared" si="14"/>
        <v>24283.479999999981</v>
      </c>
      <c r="K56" s="8">
        <f t="shared" si="15"/>
        <v>5018.119938421014</v>
      </c>
      <c r="L56" s="8">
        <f t="shared" si="16"/>
        <v>29301.599938420994</v>
      </c>
      <c r="M56" s="8">
        <f t="shared" si="17"/>
        <v>73.80996960486317</v>
      </c>
      <c r="N56" s="8">
        <f t="shared" si="18"/>
        <v>8731</v>
      </c>
      <c r="O56" s="8">
        <f t="shared" si="19"/>
        <v>163</v>
      </c>
      <c r="P56" s="8">
        <f t="shared" si="20"/>
        <v>796</v>
      </c>
      <c r="Q56" s="8">
        <f t="shared" si="21"/>
        <v>2889</v>
      </c>
      <c r="R56" s="8">
        <f t="shared" si="22"/>
        <v>0</v>
      </c>
      <c r="S56" s="8">
        <f t="shared" si="23"/>
        <v>0</v>
      </c>
      <c r="T56" s="8">
        <f t="shared" si="24"/>
        <v>11699.480000000001</v>
      </c>
      <c r="U56" s="8">
        <f t="shared" si="25"/>
        <v>0</v>
      </c>
      <c r="V56" s="8">
        <f t="shared" si="26"/>
        <v>5</v>
      </c>
      <c r="W56" s="8">
        <f t="shared" si="27"/>
        <v>0</v>
      </c>
      <c r="X56" s="8">
        <f t="shared" si="28"/>
        <v>24283.479999999981</v>
      </c>
      <c r="Y56" s="10">
        <v>2027746</v>
      </c>
      <c r="Z56" s="10">
        <v>37797</v>
      </c>
      <c r="AA56" s="10">
        <v>184971</v>
      </c>
      <c r="AB56" s="10">
        <v>573987</v>
      </c>
      <c r="AC56" s="10">
        <v>606095</v>
      </c>
      <c r="AD56" s="10">
        <v>120873</v>
      </c>
      <c r="AE56" s="10">
        <v>0</v>
      </c>
      <c r="AF56" s="10">
        <v>0</v>
      </c>
      <c r="AG56" s="10">
        <v>42769</v>
      </c>
      <c r="AH56" s="10">
        <f t="shared" si="29"/>
        <v>366639.83000000007</v>
      </c>
      <c r="AI56" s="10">
        <v>3960877.83</v>
      </c>
      <c r="AJ56" s="10">
        <v>2036477</v>
      </c>
      <c r="AK56" s="10">
        <v>37960</v>
      </c>
      <c r="AL56" s="10">
        <v>185767</v>
      </c>
      <c r="AM56" s="10">
        <v>576876</v>
      </c>
      <c r="AN56" s="10">
        <v>606095</v>
      </c>
      <c r="AO56" s="10">
        <v>120873</v>
      </c>
      <c r="AP56" s="10">
        <v>11699.480000000001</v>
      </c>
      <c r="AQ56" s="10">
        <v>0</v>
      </c>
      <c r="AR56" s="10">
        <v>42774</v>
      </c>
      <c r="AS56" s="10">
        <f t="shared" si="32"/>
        <v>366639.83000000007</v>
      </c>
      <c r="AT56" s="10">
        <v>3985161.31</v>
      </c>
      <c r="AU56" s="12">
        <v>21480</v>
      </c>
      <c r="AV56" s="12">
        <v>6843.8696066800749</v>
      </c>
      <c r="AW56" s="12">
        <v>5433.5</v>
      </c>
      <c r="AX56" s="12">
        <f t="shared" si="30"/>
        <v>33757.369606680077</v>
      </c>
      <c r="AY56" s="12">
        <v>24006.226999999999</v>
      </c>
      <c r="AZ56" s="12">
        <v>8199.7625451010899</v>
      </c>
      <c r="BA56" s="12">
        <v>6569.5</v>
      </c>
      <c r="BB56" s="12">
        <f t="shared" si="31"/>
        <v>38775.489545101089</v>
      </c>
      <c r="BC56" s="12">
        <v>2526.226999999999</v>
      </c>
      <c r="BD56" s="12">
        <v>1355.8929384210151</v>
      </c>
      <c r="BE56" s="12">
        <v>1136</v>
      </c>
      <c r="BF56" s="12">
        <v>5018.119938421014</v>
      </c>
    </row>
    <row r="57" spans="1:58" x14ac:dyDescent="0.25">
      <c r="A57" s="7">
        <v>129</v>
      </c>
      <c r="B57" s="7">
        <v>1</v>
      </c>
      <c r="C57" s="7" t="s">
        <v>58</v>
      </c>
      <c r="D57" s="4">
        <v>5</v>
      </c>
      <c r="E57" s="10">
        <v>1406</v>
      </c>
      <c r="F57" s="8">
        <f t="shared" si="10"/>
        <v>41357</v>
      </c>
      <c r="G57" s="8">
        <f t="shared" si="11"/>
        <v>31740.199999999997</v>
      </c>
      <c r="H57" s="8">
        <f t="shared" si="12"/>
        <v>5506</v>
      </c>
      <c r="I57" s="8">
        <f t="shared" si="13"/>
        <v>28.999999999257852</v>
      </c>
      <c r="J57" s="8">
        <f t="shared" si="14"/>
        <v>78632.199999999255</v>
      </c>
      <c r="K57" s="8">
        <f t="shared" si="15"/>
        <v>19381.305258294124</v>
      </c>
      <c r="L57" s="8">
        <f t="shared" si="16"/>
        <v>98013.505258293386</v>
      </c>
      <c r="M57" s="8">
        <f t="shared" si="17"/>
        <v>55.926173541962484</v>
      </c>
      <c r="N57" s="8">
        <f t="shared" si="18"/>
        <v>37418</v>
      </c>
      <c r="O57" s="8">
        <f t="shared" si="19"/>
        <v>43</v>
      </c>
      <c r="P57" s="8">
        <f t="shared" si="20"/>
        <v>947</v>
      </c>
      <c r="Q57" s="8">
        <f t="shared" si="21"/>
        <v>2949</v>
      </c>
      <c r="R57" s="8">
        <f t="shared" si="22"/>
        <v>0</v>
      </c>
      <c r="S57" s="8">
        <f t="shared" si="23"/>
        <v>0</v>
      </c>
      <c r="T57" s="8">
        <f t="shared" si="24"/>
        <v>31740.199999999997</v>
      </c>
      <c r="U57" s="8">
        <f t="shared" si="25"/>
        <v>5506</v>
      </c>
      <c r="V57" s="8">
        <f t="shared" si="26"/>
        <v>29</v>
      </c>
      <c r="W57" s="8">
        <f t="shared" si="27"/>
        <v>0</v>
      </c>
      <c r="X57" s="8">
        <f t="shared" si="28"/>
        <v>78632.199999999255</v>
      </c>
      <c r="Y57" s="10">
        <v>8689840</v>
      </c>
      <c r="Z57" s="10">
        <v>9998</v>
      </c>
      <c r="AA57" s="10">
        <v>220124</v>
      </c>
      <c r="AB57" s="10">
        <v>585907</v>
      </c>
      <c r="AC57" s="10">
        <v>0</v>
      </c>
      <c r="AD57" s="10">
        <v>0</v>
      </c>
      <c r="AE57" s="10">
        <v>0</v>
      </c>
      <c r="AF57" s="10">
        <v>51587</v>
      </c>
      <c r="AG57" s="10">
        <v>173378</v>
      </c>
      <c r="AH57" s="10">
        <f t="shared" si="29"/>
        <v>2021509.9900000002</v>
      </c>
      <c r="AI57" s="10">
        <v>11752343.99</v>
      </c>
      <c r="AJ57" s="10">
        <v>8727258</v>
      </c>
      <c r="AK57" s="10">
        <v>10041</v>
      </c>
      <c r="AL57" s="10">
        <v>221071</v>
      </c>
      <c r="AM57" s="10">
        <v>588856</v>
      </c>
      <c r="AN57" s="10">
        <v>0</v>
      </c>
      <c r="AO57" s="10">
        <v>0</v>
      </c>
      <c r="AP57" s="10">
        <v>31740.199999999997</v>
      </c>
      <c r="AQ57" s="10">
        <v>57093</v>
      </c>
      <c r="AR57" s="10">
        <v>173407</v>
      </c>
      <c r="AS57" s="10">
        <f t="shared" si="32"/>
        <v>2021509.9900000002</v>
      </c>
      <c r="AT57" s="10">
        <v>11830976.189999999</v>
      </c>
      <c r="AU57" s="12">
        <v>60240</v>
      </c>
      <c r="AV57" s="12">
        <v>16280.101806239543</v>
      </c>
      <c r="AW57" s="12">
        <v>22988.125</v>
      </c>
      <c r="AX57" s="12">
        <f t="shared" si="30"/>
        <v>99508.226806239545</v>
      </c>
      <c r="AY57" s="12">
        <v>67324.725999999995</v>
      </c>
      <c r="AZ57" s="12">
        <v>19505.481064533658</v>
      </c>
      <c r="BA57" s="12">
        <v>32059.325000000001</v>
      </c>
      <c r="BB57" s="12">
        <f t="shared" si="31"/>
        <v>118889.53206453365</v>
      </c>
      <c r="BC57" s="12">
        <v>7084.7259999999951</v>
      </c>
      <c r="BD57" s="12">
        <v>3225.3792582941151</v>
      </c>
      <c r="BE57" s="12">
        <v>9071.2000000000116</v>
      </c>
      <c r="BF57" s="12">
        <v>19381.305258294124</v>
      </c>
    </row>
    <row r="58" spans="1:58" x14ac:dyDescent="0.25">
      <c r="A58" s="7">
        <v>138</v>
      </c>
      <c r="B58" s="7">
        <v>1</v>
      </c>
      <c r="C58" s="7" t="s">
        <v>59</v>
      </c>
      <c r="D58" s="4">
        <v>4</v>
      </c>
      <c r="E58" s="10">
        <v>2895</v>
      </c>
      <c r="F58" s="8">
        <f t="shared" si="10"/>
        <v>85464</v>
      </c>
      <c r="G58" s="8">
        <f t="shared" si="11"/>
        <v>0</v>
      </c>
      <c r="H58" s="8">
        <f t="shared" si="12"/>
        <v>0</v>
      </c>
      <c r="I58" s="8">
        <f t="shared" si="13"/>
        <v>-65</v>
      </c>
      <c r="J58" s="8">
        <f t="shared" si="14"/>
        <v>85399</v>
      </c>
      <c r="K58" s="8">
        <f t="shared" si="15"/>
        <v>40403.011059872289</v>
      </c>
      <c r="L58" s="8">
        <f t="shared" si="16"/>
        <v>125802.01105987228</v>
      </c>
      <c r="M58" s="8">
        <f t="shared" si="17"/>
        <v>29.498791018998272</v>
      </c>
      <c r="N58" s="8">
        <f t="shared" si="18"/>
        <v>79077</v>
      </c>
      <c r="O58" s="8">
        <f t="shared" si="19"/>
        <v>847</v>
      </c>
      <c r="P58" s="8">
        <f t="shared" si="20"/>
        <v>1257</v>
      </c>
      <c r="Q58" s="8">
        <f t="shared" si="21"/>
        <v>4283</v>
      </c>
      <c r="R58" s="8">
        <f t="shared" si="22"/>
        <v>0</v>
      </c>
      <c r="S58" s="8">
        <f t="shared" si="23"/>
        <v>0</v>
      </c>
      <c r="T58" s="8">
        <f t="shared" si="24"/>
        <v>0</v>
      </c>
      <c r="U58" s="8">
        <f t="shared" si="25"/>
        <v>0</v>
      </c>
      <c r="V58" s="8">
        <f t="shared" si="26"/>
        <v>0</v>
      </c>
      <c r="W58" s="8">
        <f t="shared" si="27"/>
        <v>-65</v>
      </c>
      <c r="X58" s="8">
        <f t="shared" si="28"/>
        <v>85399</v>
      </c>
      <c r="Y58" s="10">
        <v>18364959</v>
      </c>
      <c r="Z58" s="10">
        <v>196707</v>
      </c>
      <c r="AA58" s="10">
        <v>292010</v>
      </c>
      <c r="AB58" s="10">
        <v>850946</v>
      </c>
      <c r="AC58" s="10">
        <v>0</v>
      </c>
      <c r="AD58" s="10">
        <v>0</v>
      </c>
      <c r="AE58" s="10">
        <v>817700</v>
      </c>
      <c r="AF58" s="10">
        <v>14385</v>
      </c>
      <c r="AG58" s="10">
        <v>455486</v>
      </c>
      <c r="AH58" s="10">
        <f t="shared" si="29"/>
        <v>2713663.620000001</v>
      </c>
      <c r="AI58" s="10">
        <v>23705856.620000001</v>
      </c>
      <c r="AJ58" s="10">
        <v>18444036</v>
      </c>
      <c r="AK58" s="10">
        <v>197554</v>
      </c>
      <c r="AL58" s="10">
        <v>293267</v>
      </c>
      <c r="AM58" s="10">
        <v>855229</v>
      </c>
      <c r="AN58" s="10">
        <v>0</v>
      </c>
      <c r="AO58" s="10">
        <v>0</v>
      </c>
      <c r="AP58" s="10">
        <v>817700</v>
      </c>
      <c r="AQ58" s="10">
        <v>14385</v>
      </c>
      <c r="AR58" s="10">
        <v>455486</v>
      </c>
      <c r="AS58" s="10">
        <f t="shared" si="32"/>
        <v>2713598.620000001</v>
      </c>
      <c r="AT58" s="10">
        <v>23791255.620000001</v>
      </c>
      <c r="AU58" s="12">
        <v>171600</v>
      </c>
      <c r="AV58" s="12">
        <v>35755.586799705357</v>
      </c>
      <c r="AW58" s="12">
        <v>30517.875</v>
      </c>
      <c r="AX58" s="12">
        <f t="shared" si="30"/>
        <v>237873.46179970534</v>
      </c>
      <c r="AY58" s="12">
        <v>191781.59</v>
      </c>
      <c r="AZ58" s="12">
        <v>42839.407859577645</v>
      </c>
      <c r="BA58" s="12">
        <v>43655.474999999999</v>
      </c>
      <c r="BB58" s="12">
        <f t="shared" si="31"/>
        <v>278276.47285957763</v>
      </c>
      <c r="BC58" s="12">
        <v>20181.589999999997</v>
      </c>
      <c r="BD58" s="12">
        <v>7083.8210598722872</v>
      </c>
      <c r="BE58" s="12">
        <v>13137.600000000006</v>
      </c>
      <c r="BF58" s="12">
        <v>40403.011059872289</v>
      </c>
    </row>
    <row r="59" spans="1:58" x14ac:dyDescent="0.25">
      <c r="A59" s="7">
        <v>139</v>
      </c>
      <c r="B59" s="7">
        <v>1</v>
      </c>
      <c r="C59" s="7" t="s">
        <v>60</v>
      </c>
      <c r="D59" s="4">
        <v>6</v>
      </c>
      <c r="E59" s="10">
        <v>918</v>
      </c>
      <c r="F59" s="8">
        <f t="shared" si="10"/>
        <v>27707</v>
      </c>
      <c r="G59" s="8">
        <f t="shared" si="11"/>
        <v>20107.160000000003</v>
      </c>
      <c r="H59" s="8">
        <f t="shared" si="12"/>
        <v>0</v>
      </c>
      <c r="I59" s="8">
        <f t="shared" si="13"/>
        <v>-31.999999999854481</v>
      </c>
      <c r="J59" s="8">
        <f t="shared" si="14"/>
        <v>47782.160000000149</v>
      </c>
      <c r="K59" s="8">
        <f t="shared" si="15"/>
        <v>11303.214606999767</v>
      </c>
      <c r="L59" s="8">
        <f t="shared" si="16"/>
        <v>59085.374606999918</v>
      </c>
      <c r="M59" s="8">
        <f t="shared" si="17"/>
        <v>52.050283224401035</v>
      </c>
      <c r="N59" s="8">
        <f t="shared" si="18"/>
        <v>25045</v>
      </c>
      <c r="O59" s="8">
        <f t="shared" si="19"/>
        <v>0</v>
      </c>
      <c r="P59" s="8">
        <f t="shared" si="20"/>
        <v>573</v>
      </c>
      <c r="Q59" s="8">
        <f t="shared" si="21"/>
        <v>2089</v>
      </c>
      <c r="R59" s="8">
        <f t="shared" si="22"/>
        <v>0</v>
      </c>
      <c r="S59" s="8">
        <f t="shared" si="23"/>
        <v>0</v>
      </c>
      <c r="T59" s="8">
        <f t="shared" si="24"/>
        <v>20107.160000000003</v>
      </c>
      <c r="U59" s="8">
        <f t="shared" si="25"/>
        <v>0</v>
      </c>
      <c r="V59" s="8">
        <f t="shared" si="26"/>
        <v>0</v>
      </c>
      <c r="W59" s="8">
        <f t="shared" si="27"/>
        <v>-32</v>
      </c>
      <c r="X59" s="8">
        <f t="shared" si="28"/>
        <v>47782.160000000149</v>
      </c>
      <c r="Y59" s="10">
        <v>5816451</v>
      </c>
      <c r="Z59" s="10">
        <v>0</v>
      </c>
      <c r="AA59" s="10">
        <v>132891</v>
      </c>
      <c r="AB59" s="10">
        <v>415043</v>
      </c>
      <c r="AC59" s="10">
        <v>0</v>
      </c>
      <c r="AD59" s="10">
        <v>0</v>
      </c>
      <c r="AE59" s="10">
        <v>0</v>
      </c>
      <c r="AF59" s="10">
        <v>15049</v>
      </c>
      <c r="AG59" s="10">
        <v>144259</v>
      </c>
      <c r="AH59" s="10">
        <f t="shared" si="29"/>
        <v>548404.25</v>
      </c>
      <c r="AI59" s="10">
        <v>7072097.25</v>
      </c>
      <c r="AJ59" s="10">
        <v>5841496</v>
      </c>
      <c r="AK59" s="10">
        <v>0</v>
      </c>
      <c r="AL59" s="10">
        <v>133464</v>
      </c>
      <c r="AM59" s="10">
        <v>417132</v>
      </c>
      <c r="AN59" s="10">
        <v>0</v>
      </c>
      <c r="AO59" s="10">
        <v>0</v>
      </c>
      <c r="AP59" s="10">
        <v>20107.160000000003</v>
      </c>
      <c r="AQ59" s="10">
        <v>15049</v>
      </c>
      <c r="AR59" s="10">
        <v>144259</v>
      </c>
      <c r="AS59" s="10">
        <f t="shared" si="32"/>
        <v>548372.25</v>
      </c>
      <c r="AT59" s="10">
        <v>7119879.4100000001</v>
      </c>
      <c r="AU59" s="12">
        <v>40800</v>
      </c>
      <c r="AV59" s="12">
        <v>10652.216778831365</v>
      </c>
      <c r="AW59" s="12">
        <v>11326.75</v>
      </c>
      <c r="AX59" s="12">
        <f t="shared" si="30"/>
        <v>62778.966778831367</v>
      </c>
      <c r="AY59" s="12">
        <v>45598.42</v>
      </c>
      <c r="AZ59" s="12">
        <v>12762.61138583114</v>
      </c>
      <c r="BA59" s="12">
        <v>15721.150000000001</v>
      </c>
      <c r="BB59" s="12">
        <f t="shared" si="31"/>
        <v>74082.181385831151</v>
      </c>
      <c r="BC59" s="12">
        <v>4798.4199999999983</v>
      </c>
      <c r="BD59" s="12">
        <v>2110.3946069997746</v>
      </c>
      <c r="BE59" s="12">
        <v>4394.3999999999942</v>
      </c>
      <c r="BF59" s="12">
        <v>11303.214606999767</v>
      </c>
    </row>
    <row r="60" spans="1:58" x14ac:dyDescent="0.25">
      <c r="A60" s="7">
        <v>146</v>
      </c>
      <c r="B60" s="7">
        <v>1</v>
      </c>
      <c r="C60" s="7" t="s">
        <v>61</v>
      </c>
      <c r="D60" s="4">
        <v>6</v>
      </c>
      <c r="E60" s="10">
        <v>861</v>
      </c>
      <c r="F60" s="8">
        <f t="shared" si="10"/>
        <v>24493</v>
      </c>
      <c r="G60" s="8">
        <f t="shared" si="11"/>
        <v>19747.78</v>
      </c>
      <c r="H60" s="8">
        <f t="shared" si="12"/>
        <v>0</v>
      </c>
      <c r="I60" s="8">
        <f t="shared" si="13"/>
        <v>21.000000000261934</v>
      </c>
      <c r="J60" s="8">
        <f t="shared" si="14"/>
        <v>44261.780000000261</v>
      </c>
      <c r="K60" s="8">
        <f t="shared" si="15"/>
        <v>8066.1595326106244</v>
      </c>
      <c r="L60" s="8">
        <f t="shared" si="16"/>
        <v>52327.939532610886</v>
      </c>
      <c r="M60" s="8">
        <f t="shared" si="17"/>
        <v>51.407409988385901</v>
      </c>
      <c r="N60" s="8">
        <f t="shared" si="18"/>
        <v>22877</v>
      </c>
      <c r="O60" s="8">
        <f t="shared" si="19"/>
        <v>115</v>
      </c>
      <c r="P60" s="8">
        <f t="shared" si="20"/>
        <v>979</v>
      </c>
      <c r="Q60" s="8">
        <f t="shared" si="21"/>
        <v>470</v>
      </c>
      <c r="R60" s="8">
        <f t="shared" si="22"/>
        <v>52</v>
      </c>
      <c r="S60" s="8">
        <f t="shared" si="23"/>
        <v>0</v>
      </c>
      <c r="T60" s="8">
        <f t="shared" si="24"/>
        <v>19747.78</v>
      </c>
      <c r="U60" s="8">
        <f t="shared" si="25"/>
        <v>0</v>
      </c>
      <c r="V60" s="8">
        <f t="shared" si="26"/>
        <v>21</v>
      </c>
      <c r="W60" s="8">
        <f t="shared" si="27"/>
        <v>0</v>
      </c>
      <c r="X60" s="8">
        <f t="shared" si="28"/>
        <v>44261.780000000261</v>
      </c>
      <c r="Y60" s="10">
        <v>5313071</v>
      </c>
      <c r="Z60" s="10">
        <v>26661</v>
      </c>
      <c r="AA60" s="10">
        <v>227242</v>
      </c>
      <c r="AB60" s="10">
        <v>93380</v>
      </c>
      <c r="AC60" s="10">
        <v>10992</v>
      </c>
      <c r="AD60" s="10">
        <v>23283</v>
      </c>
      <c r="AE60" s="10">
        <v>0</v>
      </c>
      <c r="AF60" s="10">
        <v>0</v>
      </c>
      <c r="AG60" s="10">
        <v>101742</v>
      </c>
      <c r="AH60" s="10">
        <f t="shared" si="29"/>
        <v>1189685.0899999999</v>
      </c>
      <c r="AI60" s="10">
        <v>6986056.0899999999</v>
      </c>
      <c r="AJ60" s="10">
        <v>5335948</v>
      </c>
      <c r="AK60" s="10">
        <v>26776</v>
      </c>
      <c r="AL60" s="10">
        <v>228221</v>
      </c>
      <c r="AM60" s="10">
        <v>93850</v>
      </c>
      <c r="AN60" s="10">
        <v>11044</v>
      </c>
      <c r="AO60" s="10">
        <v>23283</v>
      </c>
      <c r="AP60" s="10">
        <v>19747.78</v>
      </c>
      <c r="AQ60" s="10">
        <v>0</v>
      </c>
      <c r="AR60" s="10">
        <v>101763</v>
      </c>
      <c r="AS60" s="10">
        <f t="shared" si="32"/>
        <v>1189685.0899999999</v>
      </c>
      <c r="AT60" s="10">
        <v>7030317.8700000001</v>
      </c>
      <c r="AU60" s="12">
        <v>27840</v>
      </c>
      <c r="AV60" s="12">
        <v>6638.1869808521078</v>
      </c>
      <c r="AW60" s="12">
        <v>13218</v>
      </c>
      <c r="AX60" s="12">
        <f t="shared" si="30"/>
        <v>47696.186980852108</v>
      </c>
      <c r="AY60" s="12">
        <v>31114.216</v>
      </c>
      <c r="AZ60" s="12">
        <v>7953.330513462729</v>
      </c>
      <c r="BA60" s="12">
        <v>16694.8</v>
      </c>
      <c r="BB60" s="12">
        <f t="shared" si="31"/>
        <v>55762.346513462733</v>
      </c>
      <c r="BC60" s="12">
        <v>3274.2160000000003</v>
      </c>
      <c r="BD60" s="12">
        <v>1315.1435326106212</v>
      </c>
      <c r="BE60" s="12">
        <v>3476.8000000000029</v>
      </c>
      <c r="BF60" s="12">
        <v>8066.1595326106244</v>
      </c>
    </row>
    <row r="61" spans="1:58" x14ac:dyDescent="0.25">
      <c r="A61" s="7">
        <v>150</v>
      </c>
      <c r="B61" s="7">
        <v>1</v>
      </c>
      <c r="C61" s="7" t="s">
        <v>62</v>
      </c>
      <c r="D61" s="4">
        <v>6</v>
      </c>
      <c r="E61" s="10">
        <v>942</v>
      </c>
      <c r="F61" s="8">
        <f t="shared" si="10"/>
        <v>26127.75</v>
      </c>
      <c r="G61" s="8">
        <f t="shared" si="11"/>
        <v>0</v>
      </c>
      <c r="H61" s="8">
        <f t="shared" si="12"/>
        <v>799</v>
      </c>
      <c r="I61" s="8">
        <f t="shared" si="13"/>
        <v>6</v>
      </c>
      <c r="J61" s="8">
        <f t="shared" si="14"/>
        <v>26932.75</v>
      </c>
      <c r="K61" s="8">
        <f t="shared" si="15"/>
        <v>7870.0201683619061</v>
      </c>
      <c r="L61" s="8">
        <f t="shared" si="16"/>
        <v>34802.770168361909</v>
      </c>
      <c r="M61" s="8">
        <f t="shared" si="17"/>
        <v>28.591029723991507</v>
      </c>
      <c r="N61" s="8">
        <f t="shared" si="18"/>
        <v>25077</v>
      </c>
      <c r="O61" s="8">
        <f t="shared" si="19"/>
        <v>7</v>
      </c>
      <c r="P61" s="8">
        <f t="shared" si="20"/>
        <v>676</v>
      </c>
      <c r="Q61" s="8">
        <f t="shared" si="21"/>
        <v>367.75</v>
      </c>
      <c r="R61" s="8">
        <f t="shared" si="22"/>
        <v>0</v>
      </c>
      <c r="S61" s="8">
        <f t="shared" si="23"/>
        <v>0</v>
      </c>
      <c r="T61" s="8">
        <f t="shared" si="24"/>
        <v>0</v>
      </c>
      <c r="U61" s="8">
        <f t="shared" si="25"/>
        <v>799</v>
      </c>
      <c r="V61" s="8">
        <f t="shared" si="26"/>
        <v>6</v>
      </c>
      <c r="W61" s="8">
        <f t="shared" si="27"/>
        <v>0</v>
      </c>
      <c r="X61" s="8">
        <f t="shared" si="28"/>
        <v>26932.75</v>
      </c>
      <c r="Y61" s="10">
        <v>5823999</v>
      </c>
      <c r="Z61" s="10">
        <v>1707</v>
      </c>
      <c r="AA61" s="10">
        <v>156963</v>
      </c>
      <c r="AB61" s="10">
        <v>73065</v>
      </c>
      <c r="AC61" s="10">
        <v>0</v>
      </c>
      <c r="AD61" s="10">
        <v>0</v>
      </c>
      <c r="AE61" s="10">
        <v>161902</v>
      </c>
      <c r="AF61" s="10">
        <v>15009</v>
      </c>
      <c r="AG61" s="10">
        <v>134766</v>
      </c>
      <c r="AH61" s="10">
        <f t="shared" si="29"/>
        <v>776967.30999999959</v>
      </c>
      <c r="AI61" s="10">
        <v>7144378.3099999996</v>
      </c>
      <c r="AJ61" s="10">
        <v>5849076</v>
      </c>
      <c r="AK61" s="10">
        <v>1714</v>
      </c>
      <c r="AL61" s="10">
        <v>157639</v>
      </c>
      <c r="AM61" s="10">
        <v>73432.75</v>
      </c>
      <c r="AN61" s="10">
        <v>0</v>
      </c>
      <c r="AO61" s="10">
        <v>0</v>
      </c>
      <c r="AP61" s="10">
        <v>161902</v>
      </c>
      <c r="AQ61" s="10">
        <v>15808</v>
      </c>
      <c r="AR61" s="10">
        <v>134772</v>
      </c>
      <c r="AS61" s="10">
        <f t="shared" si="32"/>
        <v>776967.30999999959</v>
      </c>
      <c r="AT61" s="10">
        <v>7171311.0599999996</v>
      </c>
      <c r="AU61" s="12">
        <v>29400</v>
      </c>
      <c r="AV61" s="12">
        <v>6452.396762306731</v>
      </c>
      <c r="AW61" s="12">
        <v>15604.125</v>
      </c>
      <c r="AX61" s="12">
        <f t="shared" si="30"/>
        <v>51456.521762306729</v>
      </c>
      <c r="AY61" s="12">
        <v>32857.684999999998</v>
      </c>
      <c r="AZ61" s="12">
        <v>7730.7319306686395</v>
      </c>
      <c r="BA61" s="12">
        <v>18738.125</v>
      </c>
      <c r="BB61" s="12">
        <f t="shared" si="31"/>
        <v>59326.541930668638</v>
      </c>
      <c r="BC61" s="12">
        <v>3457.6849999999977</v>
      </c>
      <c r="BD61" s="12">
        <v>1278.3351683619085</v>
      </c>
      <c r="BE61" s="12">
        <v>3134</v>
      </c>
      <c r="BF61" s="12">
        <v>7870.0201683619061</v>
      </c>
    </row>
    <row r="62" spans="1:58" x14ac:dyDescent="0.25">
      <c r="A62" s="7">
        <v>152</v>
      </c>
      <c r="B62" s="7">
        <v>1</v>
      </c>
      <c r="C62" s="7" t="s">
        <v>63</v>
      </c>
      <c r="D62" s="4">
        <v>4</v>
      </c>
      <c r="E62" s="10">
        <v>5801</v>
      </c>
      <c r="F62" s="8">
        <f t="shared" si="10"/>
        <v>170969.75</v>
      </c>
      <c r="G62" s="8">
        <f t="shared" si="11"/>
        <v>130989.48</v>
      </c>
      <c r="H62" s="8">
        <f t="shared" si="12"/>
        <v>19962</v>
      </c>
      <c r="I62" s="8">
        <f t="shared" si="13"/>
        <v>84.999999996725819</v>
      </c>
      <c r="J62" s="8">
        <f t="shared" si="14"/>
        <v>322006.22999999672</v>
      </c>
      <c r="K62" s="8">
        <f t="shared" si="15"/>
        <v>61001.547878219746</v>
      </c>
      <c r="L62" s="8">
        <f t="shared" si="16"/>
        <v>383007.77787821647</v>
      </c>
      <c r="M62" s="8">
        <f t="shared" si="17"/>
        <v>55.508745043957376</v>
      </c>
      <c r="N62" s="8">
        <f t="shared" si="18"/>
        <v>152957</v>
      </c>
      <c r="O62" s="8">
        <f t="shared" si="19"/>
        <v>371</v>
      </c>
      <c r="P62" s="8">
        <f t="shared" si="20"/>
        <v>1950</v>
      </c>
      <c r="Q62" s="8">
        <f t="shared" si="21"/>
        <v>15691.75</v>
      </c>
      <c r="R62" s="8">
        <f t="shared" si="22"/>
        <v>0</v>
      </c>
      <c r="S62" s="8">
        <f t="shared" si="23"/>
        <v>0</v>
      </c>
      <c r="T62" s="8">
        <f t="shared" si="24"/>
        <v>130989.48</v>
      </c>
      <c r="U62" s="8">
        <f t="shared" si="25"/>
        <v>19962</v>
      </c>
      <c r="V62" s="8">
        <f t="shared" si="26"/>
        <v>85</v>
      </c>
      <c r="W62" s="8">
        <f t="shared" si="27"/>
        <v>0</v>
      </c>
      <c r="X62" s="8">
        <f t="shared" si="28"/>
        <v>322006.22999999672</v>
      </c>
      <c r="Y62" s="10">
        <v>35522850</v>
      </c>
      <c r="Z62" s="10">
        <v>85998</v>
      </c>
      <c r="AA62" s="10">
        <v>453070</v>
      </c>
      <c r="AB62" s="10">
        <v>3117637</v>
      </c>
      <c r="AC62" s="10">
        <v>0</v>
      </c>
      <c r="AD62" s="10">
        <v>0</v>
      </c>
      <c r="AE62" s="10">
        <v>0</v>
      </c>
      <c r="AF62" s="10">
        <v>246071</v>
      </c>
      <c r="AG62" s="10">
        <v>758226</v>
      </c>
      <c r="AH62" s="10">
        <f t="shared" si="29"/>
        <v>8050021.3699999973</v>
      </c>
      <c r="AI62" s="10">
        <v>48233873.369999997</v>
      </c>
      <c r="AJ62" s="10">
        <v>35675807</v>
      </c>
      <c r="AK62" s="10">
        <v>86369</v>
      </c>
      <c r="AL62" s="10">
        <v>455020</v>
      </c>
      <c r="AM62" s="10">
        <v>3133328.75</v>
      </c>
      <c r="AN62" s="10">
        <v>0</v>
      </c>
      <c r="AO62" s="10">
        <v>0</v>
      </c>
      <c r="AP62" s="10">
        <v>130989.48</v>
      </c>
      <c r="AQ62" s="10">
        <v>266033</v>
      </c>
      <c r="AR62" s="10">
        <v>758311</v>
      </c>
      <c r="AS62" s="10">
        <f t="shared" si="32"/>
        <v>8050021.3699999973</v>
      </c>
      <c r="AT62" s="10">
        <v>48555879.599999994</v>
      </c>
      <c r="AU62" s="12">
        <v>266400</v>
      </c>
      <c r="AV62" s="12">
        <v>68530.351065314317</v>
      </c>
      <c r="AW62" s="12">
        <v>75719.25</v>
      </c>
      <c r="AX62" s="12">
        <f t="shared" si="30"/>
        <v>410649.60106531432</v>
      </c>
      <c r="AY62" s="12">
        <v>297730.86</v>
      </c>
      <c r="AZ62" s="12">
        <v>82107.4389435341</v>
      </c>
      <c r="BA62" s="12">
        <v>91812.85</v>
      </c>
      <c r="BB62" s="12">
        <f t="shared" si="31"/>
        <v>471651.14894353412</v>
      </c>
      <c r="BC62" s="12">
        <v>31330.859999999986</v>
      </c>
      <c r="BD62" s="12">
        <v>13577.087878219783</v>
      </c>
      <c r="BE62" s="12">
        <v>16093.599999999977</v>
      </c>
      <c r="BF62" s="12">
        <v>61001.547878219746</v>
      </c>
    </row>
    <row r="63" spans="1:58" x14ac:dyDescent="0.25">
      <c r="A63" s="7">
        <v>162</v>
      </c>
      <c r="B63" s="7">
        <v>1</v>
      </c>
      <c r="C63" s="7" t="s">
        <v>64</v>
      </c>
      <c r="D63" s="4">
        <v>6</v>
      </c>
      <c r="E63" s="10">
        <v>992</v>
      </c>
      <c r="F63" s="8">
        <f t="shared" si="10"/>
        <v>32423.5</v>
      </c>
      <c r="G63" s="8">
        <f t="shared" si="11"/>
        <v>24921.039999999997</v>
      </c>
      <c r="H63" s="8">
        <f t="shared" si="12"/>
        <v>0</v>
      </c>
      <c r="I63" s="8">
        <f t="shared" si="13"/>
        <v>4.0017766878008842E-11</v>
      </c>
      <c r="J63" s="8">
        <f t="shared" si="14"/>
        <v>57344.540000000037</v>
      </c>
      <c r="K63" s="8">
        <f t="shared" si="15"/>
        <v>15149.20672381726</v>
      </c>
      <c r="L63" s="8">
        <f t="shared" si="16"/>
        <v>72493.746723817298</v>
      </c>
      <c r="M63" s="8">
        <f t="shared" si="17"/>
        <v>57.806995967741976</v>
      </c>
      <c r="N63" s="8">
        <f t="shared" si="18"/>
        <v>26116</v>
      </c>
      <c r="O63" s="8">
        <f t="shared" si="19"/>
        <v>0</v>
      </c>
      <c r="P63" s="8">
        <f t="shared" si="20"/>
        <v>1362</v>
      </c>
      <c r="Q63" s="8">
        <f t="shared" si="21"/>
        <v>4945.5</v>
      </c>
      <c r="R63" s="8">
        <f t="shared" si="22"/>
        <v>0</v>
      </c>
      <c r="S63" s="8">
        <f t="shared" si="23"/>
        <v>0</v>
      </c>
      <c r="T63" s="8">
        <f t="shared" si="24"/>
        <v>24921.039999999997</v>
      </c>
      <c r="U63" s="8">
        <f t="shared" si="25"/>
        <v>0</v>
      </c>
      <c r="V63" s="8">
        <f t="shared" si="26"/>
        <v>0</v>
      </c>
      <c r="W63" s="8">
        <f t="shared" si="27"/>
        <v>0</v>
      </c>
      <c r="X63" s="8">
        <f t="shared" si="28"/>
        <v>57344.540000000037</v>
      </c>
      <c r="Y63" s="10">
        <v>6065238</v>
      </c>
      <c r="Z63" s="10">
        <v>0</v>
      </c>
      <c r="AA63" s="10">
        <v>316230</v>
      </c>
      <c r="AB63" s="10">
        <v>982572</v>
      </c>
      <c r="AC63" s="10">
        <v>0</v>
      </c>
      <c r="AD63" s="10">
        <v>0</v>
      </c>
      <c r="AE63" s="10">
        <v>0</v>
      </c>
      <c r="AF63" s="10">
        <v>0</v>
      </c>
      <c r="AG63" s="10">
        <v>150430</v>
      </c>
      <c r="AH63" s="10">
        <f t="shared" si="29"/>
        <v>653807.09999999963</v>
      </c>
      <c r="AI63" s="10">
        <v>8168277.0999999996</v>
      </c>
      <c r="AJ63" s="10">
        <v>6091354</v>
      </c>
      <c r="AK63" s="10">
        <v>0</v>
      </c>
      <c r="AL63" s="10">
        <v>317592</v>
      </c>
      <c r="AM63" s="10">
        <v>987517.5</v>
      </c>
      <c r="AN63" s="10">
        <v>0</v>
      </c>
      <c r="AO63" s="10">
        <v>0</v>
      </c>
      <c r="AP63" s="10">
        <v>24921.039999999997</v>
      </c>
      <c r="AQ63" s="10">
        <v>0</v>
      </c>
      <c r="AR63" s="10">
        <v>150430</v>
      </c>
      <c r="AS63" s="10">
        <f t="shared" si="32"/>
        <v>653807.09999999963</v>
      </c>
      <c r="AT63" s="10">
        <v>8225621.6399999997</v>
      </c>
      <c r="AU63" s="12">
        <v>54360</v>
      </c>
      <c r="AV63" s="12">
        <v>16854.701460967688</v>
      </c>
      <c r="AW63" s="12">
        <v>15748.25</v>
      </c>
      <c r="AX63" s="12">
        <f t="shared" si="30"/>
        <v>86962.951460967684</v>
      </c>
      <c r="AY63" s="12">
        <v>60753.188999999998</v>
      </c>
      <c r="AZ63" s="12">
        <v>20193.919184784962</v>
      </c>
      <c r="BA63" s="12">
        <v>21165.05</v>
      </c>
      <c r="BB63" s="12">
        <f t="shared" si="31"/>
        <v>102112.15818478496</v>
      </c>
      <c r="BC63" s="12">
        <v>6393.1889999999985</v>
      </c>
      <c r="BD63" s="12">
        <v>3339.2177238172735</v>
      </c>
      <c r="BE63" s="12">
        <v>5416.7999999999884</v>
      </c>
      <c r="BF63" s="12">
        <v>15149.20672381726</v>
      </c>
    </row>
    <row r="64" spans="1:58" x14ac:dyDescent="0.25">
      <c r="A64" s="7">
        <v>166</v>
      </c>
      <c r="B64" s="7">
        <v>1</v>
      </c>
      <c r="C64" s="7" t="s">
        <v>65</v>
      </c>
      <c r="D64" s="4">
        <v>6</v>
      </c>
      <c r="E64" s="10">
        <v>453</v>
      </c>
      <c r="F64" s="8">
        <f t="shared" si="10"/>
        <v>16800.75</v>
      </c>
      <c r="G64" s="8">
        <f t="shared" si="11"/>
        <v>0</v>
      </c>
      <c r="H64" s="8">
        <f t="shared" si="12"/>
        <v>0</v>
      </c>
      <c r="I64" s="8">
        <f t="shared" si="13"/>
        <v>338</v>
      </c>
      <c r="J64" s="8">
        <f t="shared" si="14"/>
        <v>17138.75</v>
      </c>
      <c r="K64" s="8">
        <f t="shared" si="15"/>
        <v>5739.4432529323894</v>
      </c>
      <c r="L64" s="8">
        <f t="shared" si="16"/>
        <v>22878.193252932389</v>
      </c>
      <c r="M64" s="8">
        <f t="shared" si="17"/>
        <v>37.833885209713024</v>
      </c>
      <c r="N64" s="8">
        <f t="shared" si="18"/>
        <v>12645</v>
      </c>
      <c r="O64" s="8">
        <f t="shared" si="19"/>
        <v>0</v>
      </c>
      <c r="P64" s="8">
        <f t="shared" si="20"/>
        <v>1254</v>
      </c>
      <c r="Q64" s="8">
        <f t="shared" si="21"/>
        <v>833.75</v>
      </c>
      <c r="R64" s="8">
        <f t="shared" si="22"/>
        <v>2068</v>
      </c>
      <c r="S64" s="8">
        <f t="shared" si="23"/>
        <v>0</v>
      </c>
      <c r="T64" s="8">
        <f t="shared" si="24"/>
        <v>0</v>
      </c>
      <c r="U64" s="8">
        <f t="shared" si="25"/>
        <v>0</v>
      </c>
      <c r="V64" s="8">
        <f t="shared" si="26"/>
        <v>9</v>
      </c>
      <c r="W64" s="8">
        <f t="shared" si="27"/>
        <v>329</v>
      </c>
      <c r="X64" s="8">
        <f t="shared" si="28"/>
        <v>17138.75</v>
      </c>
      <c r="Y64" s="10">
        <v>2936675</v>
      </c>
      <c r="Z64" s="10">
        <v>0</v>
      </c>
      <c r="AA64" s="10">
        <v>291219</v>
      </c>
      <c r="AB64" s="10">
        <v>165649</v>
      </c>
      <c r="AC64" s="10">
        <v>436406</v>
      </c>
      <c r="AD64" s="10">
        <v>130183</v>
      </c>
      <c r="AE64" s="10">
        <v>115700</v>
      </c>
      <c r="AF64" s="10">
        <v>0</v>
      </c>
      <c r="AG64" s="10">
        <v>59816</v>
      </c>
      <c r="AH64" s="10">
        <f t="shared" si="29"/>
        <v>654392.36000000034</v>
      </c>
      <c r="AI64" s="10">
        <v>4790040.3600000003</v>
      </c>
      <c r="AJ64" s="10">
        <v>2949320</v>
      </c>
      <c r="AK64" s="10">
        <v>0</v>
      </c>
      <c r="AL64" s="10">
        <v>292473</v>
      </c>
      <c r="AM64" s="10">
        <v>166482.75</v>
      </c>
      <c r="AN64" s="10">
        <v>438474</v>
      </c>
      <c r="AO64" s="10">
        <v>130183</v>
      </c>
      <c r="AP64" s="10">
        <v>115700</v>
      </c>
      <c r="AQ64" s="10">
        <v>0</v>
      </c>
      <c r="AR64" s="10">
        <v>59825</v>
      </c>
      <c r="AS64" s="10">
        <f t="shared" si="32"/>
        <v>654721.36000000034</v>
      </c>
      <c r="AT64" s="10">
        <v>4807179.1100000003</v>
      </c>
      <c r="AU64" s="12">
        <v>23880</v>
      </c>
      <c r="AV64" s="12">
        <v>6116.3396866762414</v>
      </c>
      <c r="AW64" s="12">
        <v>4513</v>
      </c>
      <c r="AX64" s="12">
        <f t="shared" si="30"/>
        <v>34509.339686676241</v>
      </c>
      <c r="AY64" s="12">
        <v>26688.487000000001</v>
      </c>
      <c r="AZ64" s="12">
        <v>7328.0959396086328</v>
      </c>
      <c r="BA64" s="12">
        <v>6232.2</v>
      </c>
      <c r="BB64" s="12">
        <f t="shared" si="31"/>
        <v>40248.782939608631</v>
      </c>
      <c r="BC64" s="12">
        <v>2808.487000000001</v>
      </c>
      <c r="BD64" s="12">
        <v>1211.7562529323914</v>
      </c>
      <c r="BE64" s="12">
        <v>1719.1999999999971</v>
      </c>
      <c r="BF64" s="12">
        <v>5739.4432529323894</v>
      </c>
    </row>
    <row r="65" spans="1:58" x14ac:dyDescent="0.25">
      <c r="A65" s="7">
        <v>173</v>
      </c>
      <c r="B65" s="7">
        <v>1</v>
      </c>
      <c r="C65" s="7" t="s">
        <v>66</v>
      </c>
      <c r="D65" s="4">
        <v>6</v>
      </c>
      <c r="E65" s="10">
        <v>482</v>
      </c>
      <c r="F65" s="8">
        <f t="shared" si="10"/>
        <v>15780.75</v>
      </c>
      <c r="G65" s="8">
        <f t="shared" si="11"/>
        <v>14338.96</v>
      </c>
      <c r="H65" s="8">
        <f t="shared" si="12"/>
        <v>8060</v>
      </c>
      <c r="I65" s="8">
        <f t="shared" si="13"/>
        <v>23.99999999996362</v>
      </c>
      <c r="J65" s="8">
        <f t="shared" si="14"/>
        <v>38203.709999999963</v>
      </c>
      <c r="K65" s="8">
        <f t="shared" si="15"/>
        <v>9285.1227263887995</v>
      </c>
      <c r="L65" s="8">
        <f t="shared" si="16"/>
        <v>47488.832726388762</v>
      </c>
      <c r="M65" s="8">
        <f t="shared" si="17"/>
        <v>79.260809128630626</v>
      </c>
      <c r="N65" s="8">
        <f t="shared" si="18"/>
        <v>13265</v>
      </c>
      <c r="O65" s="8">
        <f t="shared" si="19"/>
        <v>39</v>
      </c>
      <c r="P65" s="8">
        <f t="shared" si="20"/>
        <v>457</v>
      </c>
      <c r="Q65" s="8">
        <f t="shared" si="21"/>
        <v>2019.75</v>
      </c>
      <c r="R65" s="8">
        <f t="shared" si="22"/>
        <v>0</v>
      </c>
      <c r="S65" s="8">
        <f t="shared" si="23"/>
        <v>0</v>
      </c>
      <c r="T65" s="8">
        <f t="shared" si="24"/>
        <v>14338.96</v>
      </c>
      <c r="U65" s="8">
        <f t="shared" si="25"/>
        <v>8060</v>
      </c>
      <c r="V65" s="8">
        <f t="shared" si="26"/>
        <v>24</v>
      </c>
      <c r="W65" s="8">
        <f t="shared" si="27"/>
        <v>0</v>
      </c>
      <c r="X65" s="8">
        <f t="shared" si="28"/>
        <v>38203.709999999963</v>
      </c>
      <c r="Y65" s="10">
        <v>3080664</v>
      </c>
      <c r="Z65" s="10">
        <v>9104</v>
      </c>
      <c r="AA65" s="10">
        <v>106027</v>
      </c>
      <c r="AB65" s="10">
        <v>401284</v>
      </c>
      <c r="AC65" s="10">
        <v>0</v>
      </c>
      <c r="AD65" s="10">
        <v>129109</v>
      </c>
      <c r="AE65" s="10">
        <v>0</v>
      </c>
      <c r="AF65" s="10">
        <v>41020</v>
      </c>
      <c r="AG65" s="10">
        <v>41971</v>
      </c>
      <c r="AH65" s="10">
        <f t="shared" si="29"/>
        <v>1058850.58</v>
      </c>
      <c r="AI65" s="10">
        <v>4868029.58</v>
      </c>
      <c r="AJ65" s="10">
        <v>3093929</v>
      </c>
      <c r="AK65" s="10">
        <v>9143</v>
      </c>
      <c r="AL65" s="10">
        <v>106484</v>
      </c>
      <c r="AM65" s="10">
        <v>403303.75</v>
      </c>
      <c r="AN65" s="10">
        <v>0</v>
      </c>
      <c r="AO65" s="10">
        <v>129109</v>
      </c>
      <c r="AP65" s="10">
        <v>14338.96</v>
      </c>
      <c r="AQ65" s="10">
        <v>49080</v>
      </c>
      <c r="AR65" s="10">
        <v>41995</v>
      </c>
      <c r="AS65" s="10">
        <f t="shared" si="32"/>
        <v>1058850.58</v>
      </c>
      <c r="AT65" s="10">
        <v>4906233.29</v>
      </c>
      <c r="AU65" s="12">
        <v>29400</v>
      </c>
      <c r="AV65" s="12">
        <v>7517.9369239474763</v>
      </c>
      <c r="AW65" s="12">
        <v>8274.375</v>
      </c>
      <c r="AX65" s="12">
        <f t="shared" si="30"/>
        <v>45192.311923947476</v>
      </c>
      <c r="AY65" s="12">
        <v>32857.684999999998</v>
      </c>
      <c r="AZ65" s="12">
        <v>9007.3746503362781</v>
      </c>
      <c r="BA65" s="12">
        <v>12612.375</v>
      </c>
      <c r="BB65" s="12">
        <f t="shared" si="31"/>
        <v>54477.434650336276</v>
      </c>
      <c r="BC65" s="12">
        <v>3457.6849999999977</v>
      </c>
      <c r="BD65" s="12">
        <v>1489.4377263888018</v>
      </c>
      <c r="BE65" s="12">
        <v>4338</v>
      </c>
      <c r="BF65" s="12">
        <v>9285.1227263887995</v>
      </c>
    </row>
    <row r="66" spans="1:58" x14ac:dyDescent="0.25">
      <c r="A66" s="7">
        <v>177</v>
      </c>
      <c r="B66" s="7">
        <v>1</v>
      </c>
      <c r="C66" s="7" t="s">
        <v>67</v>
      </c>
      <c r="D66" s="4">
        <v>6</v>
      </c>
      <c r="E66" s="10">
        <v>1008</v>
      </c>
      <c r="F66" s="8">
        <f t="shared" si="10"/>
        <v>31266.5</v>
      </c>
      <c r="G66" s="8">
        <f t="shared" si="11"/>
        <v>0</v>
      </c>
      <c r="H66" s="8">
        <f t="shared" si="12"/>
        <v>4411</v>
      </c>
      <c r="I66" s="8">
        <f t="shared" si="13"/>
        <v>35</v>
      </c>
      <c r="J66" s="8">
        <f t="shared" si="14"/>
        <v>35712.5</v>
      </c>
      <c r="K66" s="8">
        <f t="shared" si="15"/>
        <v>14839.629478832734</v>
      </c>
      <c r="L66" s="8">
        <f t="shared" si="16"/>
        <v>50552.129478832736</v>
      </c>
      <c r="M66" s="8">
        <f t="shared" si="17"/>
        <v>35.429067460317462</v>
      </c>
      <c r="N66" s="8">
        <f t="shared" si="18"/>
        <v>27245</v>
      </c>
      <c r="O66" s="8">
        <f t="shared" si="19"/>
        <v>0</v>
      </c>
      <c r="P66" s="8">
        <f t="shared" si="20"/>
        <v>804</v>
      </c>
      <c r="Q66" s="8">
        <f t="shared" si="21"/>
        <v>3217.5</v>
      </c>
      <c r="R66" s="8">
        <f t="shared" si="22"/>
        <v>0</v>
      </c>
      <c r="S66" s="8">
        <f t="shared" si="23"/>
        <v>0</v>
      </c>
      <c r="T66" s="8">
        <f t="shared" si="24"/>
        <v>0</v>
      </c>
      <c r="U66" s="8">
        <f t="shared" si="25"/>
        <v>4411</v>
      </c>
      <c r="V66" s="8">
        <f t="shared" si="26"/>
        <v>35</v>
      </c>
      <c r="W66" s="8">
        <f t="shared" si="27"/>
        <v>0</v>
      </c>
      <c r="X66" s="8">
        <f t="shared" si="28"/>
        <v>35712.5</v>
      </c>
      <c r="Y66" s="10">
        <v>6327379</v>
      </c>
      <c r="Z66" s="10">
        <v>0</v>
      </c>
      <c r="AA66" s="10">
        <v>186795</v>
      </c>
      <c r="AB66" s="10">
        <v>639253</v>
      </c>
      <c r="AC66" s="10">
        <v>0</v>
      </c>
      <c r="AD66" s="10">
        <v>0</v>
      </c>
      <c r="AE66" s="10">
        <v>169169</v>
      </c>
      <c r="AF66" s="10">
        <v>80015</v>
      </c>
      <c r="AG66" s="10">
        <v>107618</v>
      </c>
      <c r="AH66" s="10">
        <f t="shared" si="29"/>
        <v>1692621.42</v>
      </c>
      <c r="AI66" s="10">
        <v>9202850.4199999999</v>
      </c>
      <c r="AJ66" s="10">
        <v>6354624</v>
      </c>
      <c r="AK66" s="10">
        <v>0</v>
      </c>
      <c r="AL66" s="10">
        <v>187599</v>
      </c>
      <c r="AM66" s="10">
        <v>642470.5</v>
      </c>
      <c r="AN66" s="10">
        <v>0</v>
      </c>
      <c r="AO66" s="10">
        <v>0</v>
      </c>
      <c r="AP66" s="10">
        <v>169169</v>
      </c>
      <c r="AQ66" s="10">
        <v>84426</v>
      </c>
      <c r="AR66" s="10">
        <v>107653</v>
      </c>
      <c r="AS66" s="10">
        <f t="shared" si="32"/>
        <v>1692621.42</v>
      </c>
      <c r="AT66" s="10">
        <v>9238562.9199999999</v>
      </c>
      <c r="AU66" s="12">
        <v>44040</v>
      </c>
      <c r="AV66" s="12">
        <v>13114.204921908233</v>
      </c>
      <c r="AW66" s="12">
        <v>16486.25</v>
      </c>
      <c r="AX66" s="12">
        <f t="shared" si="30"/>
        <v>73640.45492190824</v>
      </c>
      <c r="AY66" s="12">
        <v>49219.470999999998</v>
      </c>
      <c r="AZ66" s="12">
        <v>15712.363400740969</v>
      </c>
      <c r="BA66" s="12">
        <v>23548.25</v>
      </c>
      <c r="BB66" s="12">
        <f t="shared" si="31"/>
        <v>88480.084400740976</v>
      </c>
      <c r="BC66" s="12">
        <v>5179.4709999999977</v>
      </c>
      <c r="BD66" s="12">
        <v>2598.1584788327364</v>
      </c>
      <c r="BE66" s="12">
        <v>7062</v>
      </c>
      <c r="BF66" s="12">
        <v>14839.629478832734</v>
      </c>
    </row>
    <row r="67" spans="1:58" x14ac:dyDescent="0.25">
      <c r="A67" s="7">
        <v>181</v>
      </c>
      <c r="B67" s="7">
        <v>1</v>
      </c>
      <c r="C67" s="7" t="s">
        <v>68</v>
      </c>
      <c r="D67" s="4">
        <v>4</v>
      </c>
      <c r="E67" s="10">
        <v>6256</v>
      </c>
      <c r="F67" s="8">
        <f t="shared" si="10"/>
        <v>193669.75</v>
      </c>
      <c r="G67" s="8">
        <f t="shared" si="11"/>
        <v>0</v>
      </c>
      <c r="H67" s="8">
        <f t="shared" si="12"/>
        <v>0</v>
      </c>
      <c r="I67" s="8">
        <f t="shared" si="13"/>
        <v>213</v>
      </c>
      <c r="J67" s="8">
        <f t="shared" si="14"/>
        <v>193882.75</v>
      </c>
      <c r="K67" s="8">
        <f t="shared" si="15"/>
        <v>102327.47395917462</v>
      </c>
      <c r="L67" s="8">
        <f t="shared" si="16"/>
        <v>296210.22395917459</v>
      </c>
      <c r="M67" s="8">
        <f t="shared" si="17"/>
        <v>30.991488171355499</v>
      </c>
      <c r="N67" s="8">
        <f t="shared" si="18"/>
        <v>170695</v>
      </c>
      <c r="O67" s="8">
        <f t="shared" si="19"/>
        <v>708</v>
      </c>
      <c r="P67" s="8">
        <f t="shared" si="20"/>
        <v>3341</v>
      </c>
      <c r="Q67" s="8">
        <f t="shared" si="21"/>
        <v>18925.75</v>
      </c>
      <c r="R67" s="8">
        <f t="shared" si="22"/>
        <v>0</v>
      </c>
      <c r="S67" s="8">
        <f t="shared" si="23"/>
        <v>0</v>
      </c>
      <c r="T67" s="8">
        <f t="shared" si="24"/>
        <v>0</v>
      </c>
      <c r="U67" s="8">
        <f t="shared" si="25"/>
        <v>0</v>
      </c>
      <c r="V67" s="8">
        <f t="shared" si="26"/>
        <v>0</v>
      </c>
      <c r="W67" s="8">
        <f t="shared" si="27"/>
        <v>213</v>
      </c>
      <c r="X67" s="8">
        <f t="shared" si="28"/>
        <v>193882.75</v>
      </c>
      <c r="Y67" s="10">
        <v>39642207</v>
      </c>
      <c r="Z67" s="10">
        <v>164519</v>
      </c>
      <c r="AA67" s="10">
        <v>776097</v>
      </c>
      <c r="AB67" s="10">
        <v>3760168</v>
      </c>
      <c r="AC67" s="10">
        <v>0</v>
      </c>
      <c r="AD67" s="10">
        <v>0</v>
      </c>
      <c r="AE67" s="10">
        <v>1719120</v>
      </c>
      <c r="AF67" s="10">
        <v>0</v>
      </c>
      <c r="AG67" s="10">
        <v>983203</v>
      </c>
      <c r="AH67" s="10">
        <f t="shared" si="29"/>
        <v>5981375.1199999973</v>
      </c>
      <c r="AI67" s="10">
        <v>53026689.119999997</v>
      </c>
      <c r="AJ67" s="10">
        <v>39812902</v>
      </c>
      <c r="AK67" s="10">
        <v>165227</v>
      </c>
      <c r="AL67" s="10">
        <v>779438</v>
      </c>
      <c r="AM67" s="10">
        <v>3779093.75</v>
      </c>
      <c r="AN67" s="10">
        <v>0</v>
      </c>
      <c r="AO67" s="10">
        <v>0</v>
      </c>
      <c r="AP67" s="10">
        <v>1719120</v>
      </c>
      <c r="AQ67" s="10">
        <v>0</v>
      </c>
      <c r="AR67" s="10">
        <v>983203</v>
      </c>
      <c r="AS67" s="10">
        <f t="shared" si="32"/>
        <v>5981588.1199999973</v>
      </c>
      <c r="AT67" s="10">
        <v>53220571.869999997</v>
      </c>
      <c r="AU67" s="12">
        <v>373560</v>
      </c>
      <c r="AV67" s="12">
        <v>95010.631781433913</v>
      </c>
      <c r="AW67" s="12">
        <v>96722.25</v>
      </c>
      <c r="AX67" s="12">
        <f t="shared" si="30"/>
        <v>565292.88178143394</v>
      </c>
      <c r="AY67" s="12">
        <v>417493.76899999997</v>
      </c>
      <c r="AZ67" s="12">
        <v>113833.93674060854</v>
      </c>
      <c r="BA67" s="12">
        <v>136292.65</v>
      </c>
      <c r="BB67" s="12">
        <f t="shared" si="31"/>
        <v>667620.35574060853</v>
      </c>
      <c r="BC67" s="12">
        <v>43933.768999999971</v>
      </c>
      <c r="BD67" s="12">
        <v>18823.304959174624</v>
      </c>
      <c r="BE67" s="12">
        <v>39570.400000000023</v>
      </c>
      <c r="BF67" s="12">
        <v>102327.47395917462</v>
      </c>
    </row>
    <row r="68" spans="1:58" x14ac:dyDescent="0.25">
      <c r="A68" s="7">
        <v>182</v>
      </c>
      <c r="B68" s="7">
        <v>1</v>
      </c>
      <c r="C68" s="7" t="s">
        <v>69</v>
      </c>
      <c r="D68" s="4">
        <v>5</v>
      </c>
      <c r="E68" s="10">
        <v>1099</v>
      </c>
      <c r="F68" s="8">
        <f t="shared" si="10"/>
        <v>35886.5</v>
      </c>
      <c r="G68" s="8">
        <f t="shared" si="11"/>
        <v>23329.5</v>
      </c>
      <c r="H68" s="8">
        <f t="shared" si="12"/>
        <v>0</v>
      </c>
      <c r="I68" s="8">
        <f t="shared" si="13"/>
        <v>85</v>
      </c>
      <c r="J68" s="8">
        <f t="shared" si="14"/>
        <v>59301</v>
      </c>
      <c r="K68" s="8">
        <f t="shared" si="15"/>
        <v>17097.707028463476</v>
      </c>
      <c r="L68" s="8">
        <f t="shared" si="16"/>
        <v>76398.707028463483</v>
      </c>
      <c r="M68" s="8">
        <f t="shared" si="17"/>
        <v>53.959053685168335</v>
      </c>
      <c r="N68" s="8">
        <f t="shared" si="18"/>
        <v>30080</v>
      </c>
      <c r="O68" s="8">
        <f t="shared" si="19"/>
        <v>95</v>
      </c>
      <c r="P68" s="8">
        <f t="shared" si="20"/>
        <v>947</v>
      </c>
      <c r="Q68" s="8">
        <f t="shared" si="21"/>
        <v>4764.5</v>
      </c>
      <c r="R68" s="8">
        <f t="shared" si="22"/>
        <v>0</v>
      </c>
      <c r="S68" s="8">
        <f t="shared" si="23"/>
        <v>0</v>
      </c>
      <c r="T68" s="8">
        <f t="shared" si="24"/>
        <v>23329.5</v>
      </c>
      <c r="U68" s="8">
        <f t="shared" si="25"/>
        <v>0</v>
      </c>
      <c r="V68" s="8">
        <f t="shared" si="26"/>
        <v>8</v>
      </c>
      <c r="W68" s="8">
        <f t="shared" si="27"/>
        <v>77</v>
      </c>
      <c r="X68" s="8">
        <f t="shared" si="28"/>
        <v>59301</v>
      </c>
      <c r="Y68" s="10">
        <v>6985779</v>
      </c>
      <c r="Z68" s="10">
        <v>22109</v>
      </c>
      <c r="AA68" s="10">
        <v>219927</v>
      </c>
      <c r="AB68" s="10">
        <v>946611</v>
      </c>
      <c r="AC68" s="10">
        <v>0</v>
      </c>
      <c r="AD68" s="10">
        <v>0</v>
      </c>
      <c r="AE68" s="10">
        <v>0</v>
      </c>
      <c r="AF68" s="10">
        <v>0</v>
      </c>
      <c r="AG68" s="10">
        <v>162460</v>
      </c>
      <c r="AH68" s="10">
        <f t="shared" si="29"/>
        <v>925072.75</v>
      </c>
      <c r="AI68" s="10">
        <v>9261958.75</v>
      </c>
      <c r="AJ68" s="10">
        <v>7015859</v>
      </c>
      <c r="AK68" s="10">
        <v>22204</v>
      </c>
      <c r="AL68" s="10">
        <v>220874</v>
      </c>
      <c r="AM68" s="10">
        <v>951375.5</v>
      </c>
      <c r="AN68" s="10">
        <v>0</v>
      </c>
      <c r="AO68" s="10">
        <v>0</v>
      </c>
      <c r="AP68" s="10">
        <v>23329.5</v>
      </c>
      <c r="AQ68" s="10">
        <v>0</v>
      </c>
      <c r="AR68" s="10">
        <v>162468</v>
      </c>
      <c r="AS68" s="10">
        <f t="shared" si="32"/>
        <v>925149.75</v>
      </c>
      <c r="AT68" s="10">
        <v>9321259.75</v>
      </c>
      <c r="AU68" s="12">
        <v>49200</v>
      </c>
      <c r="AV68" s="12">
        <v>15543.155551169379</v>
      </c>
      <c r="AW68" s="12">
        <v>18327.125</v>
      </c>
      <c r="AX68" s="12">
        <f t="shared" si="30"/>
        <v>83070.280551169388</v>
      </c>
      <c r="AY68" s="12">
        <v>54986.33</v>
      </c>
      <c r="AZ68" s="12">
        <v>18622.532579632851</v>
      </c>
      <c r="BA68" s="12">
        <v>26559.125</v>
      </c>
      <c r="BB68" s="12">
        <f t="shared" si="31"/>
        <v>100167.98757963286</v>
      </c>
      <c r="BC68" s="12">
        <v>5786.3300000000017</v>
      </c>
      <c r="BD68" s="12">
        <v>3079.377028463472</v>
      </c>
      <c r="BE68" s="12">
        <v>8232</v>
      </c>
      <c r="BF68" s="12">
        <v>17097.707028463476</v>
      </c>
    </row>
    <row r="69" spans="1:58" x14ac:dyDescent="0.25">
      <c r="A69" s="7">
        <v>186</v>
      </c>
      <c r="B69" s="7">
        <v>1</v>
      </c>
      <c r="C69" s="7" t="s">
        <v>70</v>
      </c>
      <c r="D69" s="4">
        <v>5</v>
      </c>
      <c r="E69" s="10">
        <v>1616</v>
      </c>
      <c r="F69" s="8">
        <f t="shared" si="10"/>
        <v>47272.5</v>
      </c>
      <c r="G69" s="8">
        <f t="shared" si="11"/>
        <v>34829.660000000003</v>
      </c>
      <c r="H69" s="8">
        <f t="shared" si="12"/>
        <v>0</v>
      </c>
      <c r="I69" s="8">
        <f t="shared" si="13"/>
        <v>-15.999999999854481</v>
      </c>
      <c r="J69" s="8">
        <f t="shared" si="14"/>
        <v>82086.160000000149</v>
      </c>
      <c r="K69" s="8">
        <f t="shared" si="15"/>
        <v>21935.995656795509</v>
      </c>
      <c r="L69" s="8">
        <f t="shared" si="16"/>
        <v>104022.15565679566</v>
      </c>
      <c r="M69" s="8">
        <f t="shared" si="17"/>
        <v>50.795891089109006</v>
      </c>
      <c r="N69" s="8">
        <f t="shared" si="18"/>
        <v>44220</v>
      </c>
      <c r="O69" s="8">
        <f t="shared" si="19"/>
        <v>0</v>
      </c>
      <c r="P69" s="8">
        <f t="shared" si="20"/>
        <v>937</v>
      </c>
      <c r="Q69" s="8">
        <f t="shared" si="21"/>
        <v>2115.5</v>
      </c>
      <c r="R69" s="8">
        <f t="shared" si="22"/>
        <v>0</v>
      </c>
      <c r="S69" s="8">
        <f t="shared" si="23"/>
        <v>0</v>
      </c>
      <c r="T69" s="8">
        <f t="shared" si="24"/>
        <v>34829.660000000003</v>
      </c>
      <c r="U69" s="8">
        <f t="shared" si="25"/>
        <v>0</v>
      </c>
      <c r="V69" s="8">
        <f t="shared" si="26"/>
        <v>-16</v>
      </c>
      <c r="W69" s="8">
        <f t="shared" si="27"/>
        <v>0</v>
      </c>
      <c r="X69" s="8">
        <f t="shared" si="28"/>
        <v>82086.160000000149</v>
      </c>
      <c r="Y69" s="10">
        <v>10269653</v>
      </c>
      <c r="Z69" s="10">
        <v>0</v>
      </c>
      <c r="AA69" s="10">
        <v>217655</v>
      </c>
      <c r="AB69" s="10">
        <v>420308</v>
      </c>
      <c r="AC69" s="10">
        <v>0</v>
      </c>
      <c r="AD69" s="10">
        <v>0</v>
      </c>
      <c r="AE69" s="10">
        <v>0</v>
      </c>
      <c r="AF69" s="10">
        <v>0</v>
      </c>
      <c r="AG69" s="10">
        <v>378967</v>
      </c>
      <c r="AH69" s="10">
        <f t="shared" si="29"/>
        <v>477901.94999999925</v>
      </c>
      <c r="AI69" s="10">
        <v>11764484.949999999</v>
      </c>
      <c r="AJ69" s="10">
        <v>10313873</v>
      </c>
      <c r="AK69" s="10">
        <v>0</v>
      </c>
      <c r="AL69" s="10">
        <v>218592</v>
      </c>
      <c r="AM69" s="10">
        <v>422423.5</v>
      </c>
      <c r="AN69" s="10">
        <v>0</v>
      </c>
      <c r="AO69" s="10">
        <v>0</v>
      </c>
      <c r="AP69" s="10">
        <v>34829.660000000003</v>
      </c>
      <c r="AQ69" s="10">
        <v>0</v>
      </c>
      <c r="AR69" s="10">
        <v>378951</v>
      </c>
      <c r="AS69" s="10">
        <f t="shared" si="32"/>
        <v>477901.94999999925</v>
      </c>
      <c r="AT69" s="10">
        <v>11846571.109999999</v>
      </c>
      <c r="AU69" s="12">
        <v>81600</v>
      </c>
      <c r="AV69" s="12">
        <v>17760.919177675365</v>
      </c>
      <c r="AW69" s="12">
        <v>23197.125</v>
      </c>
      <c r="AX69" s="12">
        <f t="shared" si="30"/>
        <v>122558.04417767536</v>
      </c>
      <c r="AY69" s="12">
        <v>91196.84</v>
      </c>
      <c r="AZ69" s="12">
        <v>21279.674834470883</v>
      </c>
      <c r="BA69" s="12">
        <v>32017.525000000001</v>
      </c>
      <c r="BB69" s="12">
        <f t="shared" si="31"/>
        <v>144494.03983447087</v>
      </c>
      <c r="BC69" s="12">
        <v>9596.8399999999965</v>
      </c>
      <c r="BD69" s="12">
        <v>3518.755656795518</v>
      </c>
      <c r="BE69" s="12">
        <v>8820.3999999999942</v>
      </c>
      <c r="BF69" s="12">
        <v>21935.995656795509</v>
      </c>
    </row>
    <row r="70" spans="1:58" x14ac:dyDescent="0.25">
      <c r="A70" s="7">
        <v>191</v>
      </c>
      <c r="B70" s="7">
        <v>1</v>
      </c>
      <c r="C70" s="7" t="s">
        <v>71</v>
      </c>
      <c r="D70" s="4">
        <v>3</v>
      </c>
      <c r="E70" s="10">
        <v>9514</v>
      </c>
      <c r="F70" s="8">
        <f t="shared" si="10"/>
        <v>294319.5</v>
      </c>
      <c r="G70" s="8">
        <f t="shared" si="11"/>
        <v>0</v>
      </c>
      <c r="H70" s="8">
        <f t="shared" si="12"/>
        <v>113144</v>
      </c>
      <c r="I70" s="8">
        <f t="shared" si="13"/>
        <v>-91</v>
      </c>
      <c r="J70" s="8">
        <f t="shared" si="14"/>
        <v>407372.5</v>
      </c>
      <c r="K70" s="8">
        <f t="shared" si="15"/>
        <v>118006.62302916954</v>
      </c>
      <c r="L70" s="8">
        <f t="shared" si="16"/>
        <v>525379.12302916951</v>
      </c>
      <c r="M70" s="8">
        <f t="shared" si="17"/>
        <v>42.818215261719573</v>
      </c>
      <c r="N70" s="8">
        <f t="shared" si="18"/>
        <v>258570</v>
      </c>
      <c r="O70" s="8">
        <f t="shared" si="19"/>
        <v>29</v>
      </c>
      <c r="P70" s="8">
        <f t="shared" si="20"/>
        <v>0</v>
      </c>
      <c r="Q70" s="8">
        <f t="shared" si="21"/>
        <v>35720.5</v>
      </c>
      <c r="R70" s="8">
        <f t="shared" si="22"/>
        <v>0</v>
      </c>
      <c r="S70" s="8">
        <f t="shared" si="23"/>
        <v>0</v>
      </c>
      <c r="T70" s="8">
        <f t="shared" si="24"/>
        <v>0</v>
      </c>
      <c r="U70" s="8">
        <f t="shared" si="25"/>
        <v>113144</v>
      </c>
      <c r="V70" s="8">
        <f t="shared" si="26"/>
        <v>0</v>
      </c>
      <c r="W70" s="8">
        <f t="shared" si="27"/>
        <v>-91</v>
      </c>
      <c r="X70" s="8">
        <f t="shared" si="28"/>
        <v>407372.5</v>
      </c>
      <c r="Y70" s="10">
        <v>60050297</v>
      </c>
      <c r="Z70" s="10">
        <v>6828</v>
      </c>
      <c r="AA70" s="10">
        <v>0</v>
      </c>
      <c r="AB70" s="10">
        <v>7096949</v>
      </c>
      <c r="AC70" s="10">
        <v>0</v>
      </c>
      <c r="AD70" s="10">
        <v>0</v>
      </c>
      <c r="AE70" s="10">
        <v>2487160</v>
      </c>
      <c r="AF70" s="10">
        <v>1031274</v>
      </c>
      <c r="AG70" s="10">
        <v>1085686.25</v>
      </c>
      <c r="AH70" s="10">
        <f t="shared" si="29"/>
        <v>21158057.129999995</v>
      </c>
      <c r="AI70" s="10">
        <v>92916251.379999995</v>
      </c>
      <c r="AJ70" s="10">
        <v>60308867</v>
      </c>
      <c r="AK70" s="10">
        <v>6857</v>
      </c>
      <c r="AL70" s="10">
        <v>0</v>
      </c>
      <c r="AM70" s="10">
        <v>7132669.5</v>
      </c>
      <c r="AN70" s="10">
        <v>0</v>
      </c>
      <c r="AO70" s="10">
        <v>0</v>
      </c>
      <c r="AP70" s="10">
        <v>2487160</v>
      </c>
      <c r="AQ70" s="10">
        <v>1144418</v>
      </c>
      <c r="AR70" s="10">
        <v>1085686.25</v>
      </c>
      <c r="AS70" s="10">
        <f t="shared" si="32"/>
        <v>21157966.129999995</v>
      </c>
      <c r="AT70" s="10">
        <v>93323623.879999995</v>
      </c>
      <c r="AU70" s="12">
        <v>466800</v>
      </c>
      <c r="AV70" s="12">
        <v>125825.357164733</v>
      </c>
      <c r="AW70" s="12">
        <v>134325.75</v>
      </c>
      <c r="AX70" s="12">
        <f t="shared" si="30"/>
        <v>726951.107164733</v>
      </c>
      <c r="AY70" s="12">
        <v>521699.57</v>
      </c>
      <c r="AZ70" s="12">
        <v>150753.61019390248</v>
      </c>
      <c r="BA70" s="12">
        <v>172504.55</v>
      </c>
      <c r="BB70" s="12">
        <f t="shared" si="31"/>
        <v>844957.73019390251</v>
      </c>
      <c r="BC70" s="12">
        <v>54899.570000000007</v>
      </c>
      <c r="BD70" s="12">
        <v>24928.253029169486</v>
      </c>
      <c r="BE70" s="12">
        <v>38178.800000000047</v>
      </c>
      <c r="BF70" s="12">
        <v>118006.62302916954</v>
      </c>
    </row>
    <row r="71" spans="1:58" x14ac:dyDescent="0.25">
      <c r="A71" s="7">
        <v>192</v>
      </c>
      <c r="B71" s="7">
        <v>1</v>
      </c>
      <c r="C71" s="7" t="s">
        <v>72</v>
      </c>
      <c r="D71" s="4">
        <v>3</v>
      </c>
      <c r="E71" s="10">
        <v>6512</v>
      </c>
      <c r="F71" s="8">
        <f t="shared" si="10"/>
        <v>180922.5</v>
      </c>
      <c r="G71" s="8">
        <f t="shared" si="11"/>
        <v>0</v>
      </c>
      <c r="H71" s="8">
        <f t="shared" si="12"/>
        <v>21427</v>
      </c>
      <c r="I71" s="8">
        <f t="shared" si="13"/>
        <v>-27</v>
      </c>
      <c r="J71" s="8">
        <f t="shared" si="14"/>
        <v>202322.5</v>
      </c>
      <c r="K71" s="8">
        <f t="shared" si="15"/>
        <v>77123.69890745572</v>
      </c>
      <c r="L71" s="8">
        <f t="shared" si="16"/>
        <v>279446.19890745572</v>
      </c>
      <c r="M71" s="8">
        <f t="shared" si="17"/>
        <v>31.069179975429975</v>
      </c>
      <c r="N71" s="8">
        <f t="shared" si="18"/>
        <v>176775</v>
      </c>
      <c r="O71" s="8">
        <f t="shared" si="19"/>
        <v>0</v>
      </c>
      <c r="P71" s="8">
        <f t="shared" si="20"/>
        <v>842</v>
      </c>
      <c r="Q71" s="8">
        <f t="shared" si="21"/>
        <v>3305.5</v>
      </c>
      <c r="R71" s="8">
        <f t="shared" si="22"/>
        <v>0</v>
      </c>
      <c r="S71" s="8">
        <f t="shared" si="23"/>
        <v>0</v>
      </c>
      <c r="T71" s="8">
        <f t="shared" si="24"/>
        <v>0</v>
      </c>
      <c r="U71" s="8">
        <f t="shared" si="25"/>
        <v>21427</v>
      </c>
      <c r="V71" s="8">
        <f t="shared" si="26"/>
        <v>0</v>
      </c>
      <c r="W71" s="8">
        <f t="shared" si="27"/>
        <v>-27</v>
      </c>
      <c r="X71" s="8">
        <f t="shared" si="28"/>
        <v>202322.5</v>
      </c>
      <c r="Y71" s="10">
        <v>41054226</v>
      </c>
      <c r="Z71" s="10">
        <v>0</v>
      </c>
      <c r="AA71" s="10">
        <v>195424</v>
      </c>
      <c r="AB71" s="10">
        <v>656737</v>
      </c>
      <c r="AC71" s="10">
        <v>0</v>
      </c>
      <c r="AD71" s="10">
        <v>0</v>
      </c>
      <c r="AE71" s="10">
        <v>1813760</v>
      </c>
      <c r="AF71" s="10">
        <v>126230</v>
      </c>
      <c r="AG71" s="10">
        <v>1188245</v>
      </c>
      <c r="AH71" s="10">
        <f t="shared" si="29"/>
        <v>7354916.0900000036</v>
      </c>
      <c r="AI71" s="10">
        <v>52389538.090000004</v>
      </c>
      <c r="AJ71" s="10">
        <v>41231001</v>
      </c>
      <c r="AK71" s="10">
        <v>0</v>
      </c>
      <c r="AL71" s="10">
        <v>196266</v>
      </c>
      <c r="AM71" s="10">
        <v>660042.5</v>
      </c>
      <c r="AN71" s="10">
        <v>0</v>
      </c>
      <c r="AO71" s="10">
        <v>0</v>
      </c>
      <c r="AP71" s="10">
        <v>1813760</v>
      </c>
      <c r="AQ71" s="10">
        <v>147657</v>
      </c>
      <c r="AR71" s="10">
        <v>1188245</v>
      </c>
      <c r="AS71" s="10">
        <f t="shared" si="32"/>
        <v>7354889.0900000036</v>
      </c>
      <c r="AT71" s="10">
        <v>52591860.590000004</v>
      </c>
      <c r="AU71" s="12">
        <v>396000</v>
      </c>
      <c r="AV71" s="12">
        <v>64965.357485382621</v>
      </c>
      <c r="AW71" s="12">
        <v>86789.875</v>
      </c>
      <c r="AX71" s="12">
        <f t="shared" si="30"/>
        <v>547755.23248538258</v>
      </c>
      <c r="AY71" s="12">
        <v>442572.9</v>
      </c>
      <c r="AZ71" s="12">
        <v>77836.156392838326</v>
      </c>
      <c r="BA71" s="12">
        <v>104469.875</v>
      </c>
      <c r="BB71" s="12">
        <f t="shared" si="31"/>
        <v>624878.93139283836</v>
      </c>
      <c r="BC71" s="12">
        <v>46572.900000000023</v>
      </c>
      <c r="BD71" s="12">
        <v>12870.798907455704</v>
      </c>
      <c r="BE71" s="12">
        <v>17680</v>
      </c>
      <c r="BF71" s="12">
        <v>77123.69890745572</v>
      </c>
    </row>
    <row r="72" spans="1:58" x14ac:dyDescent="0.25">
      <c r="A72" s="7">
        <v>194</v>
      </c>
      <c r="B72" s="7">
        <v>1</v>
      </c>
      <c r="C72" s="7" t="s">
        <v>73</v>
      </c>
      <c r="D72" s="4">
        <v>3</v>
      </c>
      <c r="E72" s="10">
        <v>10509</v>
      </c>
      <c r="F72" s="8">
        <f t="shared" si="10"/>
        <v>293988</v>
      </c>
      <c r="G72" s="8">
        <f t="shared" si="11"/>
        <v>193132.02</v>
      </c>
      <c r="H72" s="8">
        <f t="shared" si="12"/>
        <v>33734</v>
      </c>
      <c r="I72" s="8">
        <f t="shared" si="13"/>
        <v>-185.00000000416185</v>
      </c>
      <c r="J72" s="8">
        <f t="shared" si="14"/>
        <v>520669.01999999583</v>
      </c>
      <c r="K72" s="8">
        <f t="shared" si="15"/>
        <v>85954.23868494785</v>
      </c>
      <c r="L72" s="8">
        <f t="shared" si="16"/>
        <v>606623.25868494366</v>
      </c>
      <c r="M72" s="8">
        <f t="shared" si="17"/>
        <v>49.545058521267087</v>
      </c>
      <c r="N72" s="8">
        <f t="shared" si="18"/>
        <v>289475</v>
      </c>
      <c r="O72" s="8">
        <f t="shared" si="19"/>
        <v>0</v>
      </c>
      <c r="P72" s="8">
        <f t="shared" si="20"/>
        <v>667</v>
      </c>
      <c r="Q72" s="8">
        <f t="shared" si="21"/>
        <v>3846</v>
      </c>
      <c r="R72" s="8">
        <f t="shared" si="22"/>
        <v>0</v>
      </c>
      <c r="S72" s="8">
        <f t="shared" si="23"/>
        <v>0</v>
      </c>
      <c r="T72" s="8">
        <f t="shared" si="24"/>
        <v>193132.02</v>
      </c>
      <c r="U72" s="8">
        <f t="shared" si="25"/>
        <v>33734</v>
      </c>
      <c r="V72" s="8">
        <f t="shared" si="26"/>
        <v>0</v>
      </c>
      <c r="W72" s="8">
        <f t="shared" si="27"/>
        <v>-185</v>
      </c>
      <c r="X72" s="8">
        <f t="shared" si="28"/>
        <v>520669.01999999583</v>
      </c>
      <c r="Y72" s="10">
        <v>67227674</v>
      </c>
      <c r="Z72" s="10">
        <v>0</v>
      </c>
      <c r="AA72" s="10">
        <v>155120</v>
      </c>
      <c r="AB72" s="10">
        <v>764123</v>
      </c>
      <c r="AC72" s="10">
        <v>0</v>
      </c>
      <c r="AD72" s="10">
        <v>0</v>
      </c>
      <c r="AE72" s="10">
        <v>0</v>
      </c>
      <c r="AF72" s="10">
        <v>149989</v>
      </c>
      <c r="AG72" s="10">
        <v>1357401.25</v>
      </c>
      <c r="AH72" s="10">
        <f t="shared" si="29"/>
        <v>20814699.510000005</v>
      </c>
      <c r="AI72" s="10">
        <v>90469006.760000005</v>
      </c>
      <c r="AJ72" s="10">
        <v>67517149</v>
      </c>
      <c r="AK72" s="10">
        <v>0</v>
      </c>
      <c r="AL72" s="10">
        <v>155787</v>
      </c>
      <c r="AM72" s="10">
        <v>767969</v>
      </c>
      <c r="AN72" s="10">
        <v>0</v>
      </c>
      <c r="AO72" s="10">
        <v>0</v>
      </c>
      <c r="AP72" s="10">
        <v>193132.02</v>
      </c>
      <c r="AQ72" s="10">
        <v>183723</v>
      </c>
      <c r="AR72" s="10">
        <v>1357401.25</v>
      </c>
      <c r="AS72" s="10">
        <f t="shared" si="32"/>
        <v>20814514.510000005</v>
      </c>
      <c r="AT72" s="10">
        <v>90989675.780000001</v>
      </c>
      <c r="AU72" s="12">
        <v>462000</v>
      </c>
      <c r="AV72" s="12">
        <v>77246.882887274551</v>
      </c>
      <c r="AW72" s="12">
        <v>130786.125</v>
      </c>
      <c r="AX72" s="12">
        <f t="shared" si="30"/>
        <v>670033.00788727449</v>
      </c>
      <c r="AY72" s="12">
        <v>516335.05</v>
      </c>
      <c r="AZ72" s="12">
        <v>92550.871572222459</v>
      </c>
      <c r="BA72" s="12">
        <v>147101.32500000001</v>
      </c>
      <c r="BB72" s="12">
        <f t="shared" si="31"/>
        <v>755987.24657222256</v>
      </c>
      <c r="BC72" s="12">
        <v>54335.049999999988</v>
      </c>
      <c r="BD72" s="12">
        <v>15303.988684947908</v>
      </c>
      <c r="BE72" s="12">
        <v>16315.199999999953</v>
      </c>
      <c r="BF72" s="12">
        <v>85954.23868494785</v>
      </c>
    </row>
    <row r="73" spans="1:58" x14ac:dyDescent="0.25">
      <c r="A73" s="7">
        <v>195</v>
      </c>
      <c r="B73" s="7">
        <v>1</v>
      </c>
      <c r="C73" s="7" t="s">
        <v>74</v>
      </c>
      <c r="D73" s="4">
        <v>3</v>
      </c>
      <c r="E73" s="10">
        <v>595</v>
      </c>
      <c r="F73" s="8">
        <f t="shared" si="10"/>
        <v>16863</v>
      </c>
      <c r="G73" s="8">
        <f t="shared" si="11"/>
        <v>12967.88</v>
      </c>
      <c r="H73" s="8">
        <f t="shared" si="12"/>
        <v>0</v>
      </c>
      <c r="I73" s="8">
        <f t="shared" si="13"/>
        <v>-1.1095835361629725E-10</v>
      </c>
      <c r="J73" s="8">
        <f t="shared" si="14"/>
        <v>29830.879999999888</v>
      </c>
      <c r="K73" s="8">
        <f t="shared" si="15"/>
        <v>5049.3428973222335</v>
      </c>
      <c r="L73" s="8">
        <f t="shared" si="16"/>
        <v>34880.222897322121</v>
      </c>
      <c r="M73" s="8">
        <f t="shared" si="17"/>
        <v>50.135932773109054</v>
      </c>
      <c r="N73" s="8">
        <f t="shared" si="18"/>
        <v>16110</v>
      </c>
      <c r="O73" s="8">
        <f t="shared" si="19"/>
        <v>0</v>
      </c>
      <c r="P73" s="8">
        <f t="shared" si="20"/>
        <v>426</v>
      </c>
      <c r="Q73" s="8">
        <f t="shared" si="21"/>
        <v>327</v>
      </c>
      <c r="R73" s="8">
        <f t="shared" si="22"/>
        <v>0</v>
      </c>
      <c r="S73" s="8">
        <f t="shared" si="23"/>
        <v>0</v>
      </c>
      <c r="T73" s="8">
        <f t="shared" si="24"/>
        <v>12967.88</v>
      </c>
      <c r="U73" s="8">
        <f t="shared" si="25"/>
        <v>0</v>
      </c>
      <c r="V73" s="8">
        <f t="shared" si="26"/>
        <v>0</v>
      </c>
      <c r="W73" s="8">
        <f t="shared" si="27"/>
        <v>0</v>
      </c>
      <c r="X73" s="8">
        <f t="shared" si="28"/>
        <v>29830.879999999888</v>
      </c>
      <c r="Y73" s="10">
        <v>3741386</v>
      </c>
      <c r="Z73" s="10">
        <v>0</v>
      </c>
      <c r="AA73" s="10">
        <v>98932</v>
      </c>
      <c r="AB73" s="10">
        <v>64968</v>
      </c>
      <c r="AC73" s="10">
        <v>0</v>
      </c>
      <c r="AD73" s="10">
        <v>115244</v>
      </c>
      <c r="AE73" s="10">
        <v>0</v>
      </c>
      <c r="AF73" s="10">
        <v>15556</v>
      </c>
      <c r="AG73" s="10">
        <v>107937.5</v>
      </c>
      <c r="AH73" s="10">
        <f t="shared" si="29"/>
        <v>632004.00999999978</v>
      </c>
      <c r="AI73" s="10">
        <v>4776027.51</v>
      </c>
      <c r="AJ73" s="10">
        <v>3757496</v>
      </c>
      <c r="AK73" s="10">
        <v>0</v>
      </c>
      <c r="AL73" s="10">
        <v>99358</v>
      </c>
      <c r="AM73" s="10">
        <v>65295</v>
      </c>
      <c r="AN73" s="10">
        <v>0</v>
      </c>
      <c r="AO73" s="10">
        <v>115244</v>
      </c>
      <c r="AP73" s="10">
        <v>12967.88</v>
      </c>
      <c r="AQ73" s="10">
        <v>15556</v>
      </c>
      <c r="AR73" s="10">
        <v>107937.5</v>
      </c>
      <c r="AS73" s="10">
        <f t="shared" si="32"/>
        <v>632004.00999999978</v>
      </c>
      <c r="AT73" s="10">
        <v>4805858.3899999997</v>
      </c>
      <c r="AU73" s="12">
        <v>18000</v>
      </c>
      <c r="AV73" s="12">
        <v>4633.5691492339965</v>
      </c>
      <c r="AW73" s="12">
        <v>8390.25</v>
      </c>
      <c r="AX73" s="12">
        <f t="shared" si="30"/>
        <v>31023.819149233997</v>
      </c>
      <c r="AY73" s="12">
        <v>20116.95</v>
      </c>
      <c r="AZ73" s="12">
        <v>5551.5620465562351</v>
      </c>
      <c r="BA73" s="12">
        <v>10404.65</v>
      </c>
      <c r="BB73" s="12">
        <f t="shared" si="31"/>
        <v>36073.162046556237</v>
      </c>
      <c r="BC73" s="12">
        <v>2116.9500000000007</v>
      </c>
      <c r="BD73" s="12">
        <v>917.9928973222386</v>
      </c>
      <c r="BE73" s="12">
        <v>2014.3999999999942</v>
      </c>
      <c r="BF73" s="12">
        <v>5049.3428973222335</v>
      </c>
    </row>
    <row r="74" spans="1:58" x14ac:dyDescent="0.25">
      <c r="A74" s="7">
        <v>196</v>
      </c>
      <c r="B74" s="7">
        <v>1</v>
      </c>
      <c r="C74" s="7" t="s">
        <v>75</v>
      </c>
      <c r="D74" s="4">
        <v>3</v>
      </c>
      <c r="E74" s="10">
        <v>26778</v>
      </c>
      <c r="F74" s="8">
        <f t="shared" si="10"/>
        <v>762641</v>
      </c>
      <c r="G74" s="8">
        <f t="shared" si="11"/>
        <v>0</v>
      </c>
      <c r="H74" s="8">
        <f t="shared" si="12"/>
        <v>100809</v>
      </c>
      <c r="I74" s="8">
        <f t="shared" si="13"/>
        <v>-378</v>
      </c>
      <c r="J74" s="8">
        <f t="shared" si="14"/>
        <v>863072</v>
      </c>
      <c r="K74" s="8">
        <f t="shared" si="15"/>
        <v>270441.70102924248</v>
      </c>
      <c r="L74" s="8">
        <f t="shared" si="16"/>
        <v>1133513.7010292425</v>
      </c>
      <c r="M74" s="8">
        <f t="shared" si="17"/>
        <v>32.230637090148626</v>
      </c>
      <c r="N74" s="8">
        <f t="shared" si="18"/>
        <v>729959</v>
      </c>
      <c r="O74" s="8">
        <f t="shared" si="19"/>
        <v>0</v>
      </c>
      <c r="P74" s="8">
        <f t="shared" si="20"/>
        <v>0</v>
      </c>
      <c r="Q74" s="8">
        <f t="shared" si="21"/>
        <v>32682</v>
      </c>
      <c r="R74" s="8">
        <f t="shared" si="22"/>
        <v>0</v>
      </c>
      <c r="S74" s="8">
        <f t="shared" si="23"/>
        <v>0</v>
      </c>
      <c r="T74" s="8">
        <f t="shared" si="24"/>
        <v>0</v>
      </c>
      <c r="U74" s="8">
        <f t="shared" si="25"/>
        <v>100809</v>
      </c>
      <c r="V74" s="8">
        <f t="shared" si="26"/>
        <v>0</v>
      </c>
      <c r="W74" s="8">
        <f t="shared" si="27"/>
        <v>-378</v>
      </c>
      <c r="X74" s="8">
        <f t="shared" si="28"/>
        <v>863072</v>
      </c>
      <c r="Y74" s="10">
        <v>169525620</v>
      </c>
      <c r="Z74" s="10">
        <v>0</v>
      </c>
      <c r="AA74" s="10">
        <v>0</v>
      </c>
      <c r="AB74" s="10">
        <v>6493260</v>
      </c>
      <c r="AC74" s="10">
        <v>0</v>
      </c>
      <c r="AD74" s="10">
        <v>0</v>
      </c>
      <c r="AE74" s="10">
        <v>7076680</v>
      </c>
      <c r="AF74" s="10">
        <v>894898</v>
      </c>
      <c r="AG74" s="10">
        <v>3442750.5</v>
      </c>
      <c r="AH74" s="10">
        <f t="shared" si="29"/>
        <v>53100483.430000007</v>
      </c>
      <c r="AI74" s="10">
        <v>240533691.93000001</v>
      </c>
      <c r="AJ74" s="10">
        <v>170255579</v>
      </c>
      <c r="AK74" s="10">
        <v>0</v>
      </c>
      <c r="AL74" s="10">
        <v>0</v>
      </c>
      <c r="AM74" s="10">
        <v>6525942</v>
      </c>
      <c r="AN74" s="10">
        <v>0</v>
      </c>
      <c r="AO74" s="10">
        <v>0</v>
      </c>
      <c r="AP74" s="10">
        <v>7076680</v>
      </c>
      <c r="AQ74" s="10">
        <v>995707</v>
      </c>
      <c r="AR74" s="10">
        <v>3442750.5</v>
      </c>
      <c r="AS74" s="10">
        <f t="shared" si="32"/>
        <v>53100105.430000007</v>
      </c>
      <c r="AT74" s="10">
        <v>241396763.93000001</v>
      </c>
      <c r="AU74" s="12">
        <v>1276800</v>
      </c>
      <c r="AV74" s="12">
        <v>260256.07074510102</v>
      </c>
      <c r="AW74" s="12">
        <v>301962.125</v>
      </c>
      <c r="AX74" s="12">
        <f t="shared" si="30"/>
        <v>1839018.195745101</v>
      </c>
      <c r="AY74" s="12">
        <v>1426962.32</v>
      </c>
      <c r="AZ74" s="12">
        <v>311817.45177434344</v>
      </c>
      <c r="BA74" s="12">
        <v>370680.125</v>
      </c>
      <c r="BB74" s="12">
        <f t="shared" si="31"/>
        <v>2109459.8967743432</v>
      </c>
      <c r="BC74" s="12">
        <v>150162.32000000007</v>
      </c>
      <c r="BD74" s="12">
        <v>51561.381029242417</v>
      </c>
      <c r="BE74" s="12">
        <v>68718</v>
      </c>
      <c r="BF74" s="12">
        <v>270441.70102924248</v>
      </c>
    </row>
    <row r="75" spans="1:58" x14ac:dyDescent="0.25">
      <c r="A75" s="7">
        <v>197</v>
      </c>
      <c r="B75" s="7">
        <v>1</v>
      </c>
      <c r="C75" s="7" t="s">
        <v>76</v>
      </c>
      <c r="D75" s="4">
        <v>2</v>
      </c>
      <c r="E75" s="10">
        <v>4760</v>
      </c>
      <c r="F75" s="8">
        <f t="shared" si="10"/>
        <v>144068.75</v>
      </c>
      <c r="G75" s="8">
        <f t="shared" si="11"/>
        <v>0</v>
      </c>
      <c r="H75" s="8">
        <f t="shared" si="12"/>
        <v>60952</v>
      </c>
      <c r="I75" s="8">
        <f t="shared" si="13"/>
        <v>-65</v>
      </c>
      <c r="J75" s="8">
        <f t="shared" si="14"/>
        <v>204955.75</v>
      </c>
      <c r="K75" s="8">
        <f t="shared" si="15"/>
        <v>77870.785000340926</v>
      </c>
      <c r="L75" s="8">
        <f t="shared" si="16"/>
        <v>282826.5350003409</v>
      </c>
      <c r="M75" s="8">
        <f t="shared" si="17"/>
        <v>43.05793067226891</v>
      </c>
      <c r="N75" s="8">
        <f t="shared" si="18"/>
        <v>129135</v>
      </c>
      <c r="O75" s="8">
        <f t="shared" si="19"/>
        <v>0</v>
      </c>
      <c r="P75" s="8">
        <f t="shared" si="20"/>
        <v>28</v>
      </c>
      <c r="Q75" s="8">
        <f t="shared" si="21"/>
        <v>14905.75</v>
      </c>
      <c r="R75" s="8">
        <f t="shared" si="22"/>
        <v>0</v>
      </c>
      <c r="S75" s="8">
        <f t="shared" si="23"/>
        <v>0</v>
      </c>
      <c r="T75" s="8">
        <f t="shared" si="24"/>
        <v>0</v>
      </c>
      <c r="U75" s="8">
        <f t="shared" si="25"/>
        <v>60952</v>
      </c>
      <c r="V75" s="8">
        <f t="shared" si="26"/>
        <v>0</v>
      </c>
      <c r="W75" s="8">
        <f t="shared" si="27"/>
        <v>-65</v>
      </c>
      <c r="X75" s="8">
        <f t="shared" si="28"/>
        <v>204955.75</v>
      </c>
      <c r="Y75" s="10">
        <v>29990312</v>
      </c>
      <c r="Z75" s="10">
        <v>0</v>
      </c>
      <c r="AA75" s="10">
        <v>6542</v>
      </c>
      <c r="AB75" s="10">
        <v>2961474</v>
      </c>
      <c r="AC75" s="10">
        <v>0</v>
      </c>
      <c r="AD75" s="10">
        <v>0</v>
      </c>
      <c r="AE75" s="10">
        <v>1274260</v>
      </c>
      <c r="AF75" s="10">
        <v>372644</v>
      </c>
      <c r="AG75" s="10">
        <v>518072.5</v>
      </c>
      <c r="AH75" s="10">
        <f t="shared" si="29"/>
        <v>11006277.280000001</v>
      </c>
      <c r="AI75" s="10">
        <v>46129581.780000001</v>
      </c>
      <c r="AJ75" s="10">
        <v>30119447</v>
      </c>
      <c r="AK75" s="10">
        <v>0</v>
      </c>
      <c r="AL75" s="10">
        <v>6570</v>
      </c>
      <c r="AM75" s="10">
        <v>2976379.75</v>
      </c>
      <c r="AN75" s="10">
        <v>0</v>
      </c>
      <c r="AO75" s="10">
        <v>0</v>
      </c>
      <c r="AP75" s="10">
        <v>1274260</v>
      </c>
      <c r="AQ75" s="10">
        <v>433596</v>
      </c>
      <c r="AR75" s="10">
        <v>518072.5</v>
      </c>
      <c r="AS75" s="10">
        <f t="shared" si="32"/>
        <v>11006212.280000001</v>
      </c>
      <c r="AT75" s="10">
        <v>46334537.530000001</v>
      </c>
      <c r="AU75" s="12">
        <v>345600</v>
      </c>
      <c r="AV75" s="12">
        <v>73096.607889220904</v>
      </c>
      <c r="AW75" s="12">
        <v>78256.5</v>
      </c>
      <c r="AX75" s="12">
        <f t="shared" si="30"/>
        <v>496953.10788922093</v>
      </c>
      <c r="AY75" s="12">
        <v>386245.44</v>
      </c>
      <c r="AZ75" s="12">
        <v>87578.352889561851</v>
      </c>
      <c r="BA75" s="12">
        <v>101000.1</v>
      </c>
      <c r="BB75" s="12">
        <f t="shared" si="31"/>
        <v>574823.89288956183</v>
      </c>
      <c r="BC75" s="12">
        <v>40645.440000000002</v>
      </c>
      <c r="BD75" s="12">
        <v>14481.745000340947</v>
      </c>
      <c r="BE75" s="12">
        <v>22743.599999999977</v>
      </c>
      <c r="BF75" s="12">
        <v>77870.785000340926</v>
      </c>
    </row>
    <row r="76" spans="1:58" x14ac:dyDescent="0.25">
      <c r="A76" s="7">
        <v>199</v>
      </c>
      <c r="B76" s="7">
        <v>1</v>
      </c>
      <c r="C76" s="7" t="s">
        <v>77</v>
      </c>
      <c r="D76" s="4">
        <v>3</v>
      </c>
      <c r="E76" s="10">
        <v>3830</v>
      </c>
      <c r="F76" s="8">
        <f t="shared" si="10"/>
        <v>113103.75</v>
      </c>
      <c r="G76" s="8">
        <f t="shared" si="11"/>
        <v>74177.240000000005</v>
      </c>
      <c r="H76" s="8">
        <f t="shared" si="12"/>
        <v>33632</v>
      </c>
      <c r="I76" s="8">
        <f t="shared" si="13"/>
        <v>-32.000000001644366</v>
      </c>
      <c r="J76" s="8">
        <f t="shared" si="14"/>
        <v>220880.98999999836</v>
      </c>
      <c r="K76" s="8">
        <f t="shared" si="15"/>
        <v>50000.918776226492</v>
      </c>
      <c r="L76" s="8">
        <f t="shared" si="16"/>
        <v>270881.90877622482</v>
      </c>
      <c r="M76" s="8">
        <f t="shared" si="17"/>
        <v>57.671276762401661</v>
      </c>
      <c r="N76" s="8">
        <f t="shared" si="18"/>
        <v>104330</v>
      </c>
      <c r="O76" s="8">
        <f t="shared" si="19"/>
        <v>0</v>
      </c>
      <c r="P76" s="8">
        <f t="shared" si="20"/>
        <v>0</v>
      </c>
      <c r="Q76" s="8">
        <f t="shared" si="21"/>
        <v>8773.75</v>
      </c>
      <c r="R76" s="8">
        <f t="shared" si="22"/>
        <v>0</v>
      </c>
      <c r="S76" s="8">
        <f t="shared" si="23"/>
        <v>0</v>
      </c>
      <c r="T76" s="8">
        <f t="shared" si="24"/>
        <v>74177.240000000005</v>
      </c>
      <c r="U76" s="8">
        <f t="shared" si="25"/>
        <v>33632</v>
      </c>
      <c r="V76" s="8">
        <f t="shared" si="26"/>
        <v>0</v>
      </c>
      <c r="W76" s="8">
        <f t="shared" si="27"/>
        <v>-32</v>
      </c>
      <c r="X76" s="8">
        <f t="shared" si="28"/>
        <v>220880.98999999836</v>
      </c>
      <c r="Y76" s="10">
        <v>24229599</v>
      </c>
      <c r="Z76" s="10">
        <v>0</v>
      </c>
      <c r="AA76" s="10">
        <v>0</v>
      </c>
      <c r="AB76" s="10">
        <v>1743169</v>
      </c>
      <c r="AC76" s="10">
        <v>0</v>
      </c>
      <c r="AD76" s="10">
        <v>0</v>
      </c>
      <c r="AE76" s="10">
        <v>0</v>
      </c>
      <c r="AF76" s="10">
        <v>145556</v>
      </c>
      <c r="AG76" s="10">
        <v>627308.75</v>
      </c>
      <c r="AH76" s="10">
        <f t="shared" si="29"/>
        <v>5651133.2300000004</v>
      </c>
      <c r="AI76" s="10">
        <v>32396765.98</v>
      </c>
      <c r="AJ76" s="10">
        <v>24333929</v>
      </c>
      <c r="AK76" s="10">
        <v>0</v>
      </c>
      <c r="AL76" s="10">
        <v>0</v>
      </c>
      <c r="AM76" s="10">
        <v>1751942.75</v>
      </c>
      <c r="AN76" s="10">
        <v>0</v>
      </c>
      <c r="AO76" s="10">
        <v>0</v>
      </c>
      <c r="AP76" s="10">
        <v>74177.240000000005</v>
      </c>
      <c r="AQ76" s="10">
        <v>179188</v>
      </c>
      <c r="AR76" s="10">
        <v>627308.75</v>
      </c>
      <c r="AS76" s="10">
        <f t="shared" si="32"/>
        <v>5651101.2300000004</v>
      </c>
      <c r="AT76" s="10">
        <v>32617646.969999999</v>
      </c>
      <c r="AU76" s="12">
        <v>232200</v>
      </c>
      <c r="AV76" s="12">
        <v>50367.305410503308</v>
      </c>
      <c r="AW76" s="12">
        <v>53246.5</v>
      </c>
      <c r="AX76" s="12">
        <f t="shared" si="30"/>
        <v>335813.80541050329</v>
      </c>
      <c r="AY76" s="12">
        <v>259508.655</v>
      </c>
      <c r="AZ76" s="12">
        <v>60345.969186729824</v>
      </c>
      <c r="BA76" s="12">
        <v>65960.100000000006</v>
      </c>
      <c r="BB76" s="12">
        <f t="shared" si="31"/>
        <v>385814.72418672987</v>
      </c>
      <c r="BC76" s="12">
        <v>27308.654999999999</v>
      </c>
      <c r="BD76" s="12">
        <v>9978.6637762265163</v>
      </c>
      <c r="BE76" s="12">
        <v>12713.599999999977</v>
      </c>
      <c r="BF76" s="12">
        <v>50000.918776226492</v>
      </c>
    </row>
    <row r="77" spans="1:58" x14ac:dyDescent="0.25">
      <c r="A77" s="7">
        <v>200</v>
      </c>
      <c r="B77" s="7">
        <v>1</v>
      </c>
      <c r="C77" s="7" t="s">
        <v>78</v>
      </c>
      <c r="D77" s="4">
        <v>3</v>
      </c>
      <c r="E77" s="10">
        <v>4498</v>
      </c>
      <c r="F77" s="8">
        <f t="shared" si="10"/>
        <v>129570.75</v>
      </c>
      <c r="G77" s="8">
        <f t="shared" si="11"/>
        <v>92880.1</v>
      </c>
      <c r="H77" s="8">
        <f t="shared" si="12"/>
        <v>6795</v>
      </c>
      <c r="I77" s="8">
        <f t="shared" si="13"/>
        <v>1.4842953532934189E-9</v>
      </c>
      <c r="J77" s="8">
        <f t="shared" si="14"/>
        <v>229245.85000000149</v>
      </c>
      <c r="K77" s="8">
        <f t="shared" si="15"/>
        <v>53311.994550832882</v>
      </c>
      <c r="L77" s="8">
        <f t="shared" si="16"/>
        <v>282557.84455083439</v>
      </c>
      <c r="M77" s="8">
        <f t="shared" si="17"/>
        <v>50.966173855047018</v>
      </c>
      <c r="N77" s="8">
        <f t="shared" si="18"/>
        <v>123565</v>
      </c>
      <c r="O77" s="8">
        <f t="shared" si="19"/>
        <v>514</v>
      </c>
      <c r="P77" s="8">
        <f t="shared" si="20"/>
        <v>1632</v>
      </c>
      <c r="Q77" s="8">
        <f t="shared" si="21"/>
        <v>3859.75</v>
      </c>
      <c r="R77" s="8">
        <f t="shared" si="22"/>
        <v>0</v>
      </c>
      <c r="S77" s="8">
        <f t="shared" si="23"/>
        <v>0</v>
      </c>
      <c r="T77" s="8">
        <f t="shared" si="24"/>
        <v>92880.1</v>
      </c>
      <c r="U77" s="8">
        <f t="shared" si="25"/>
        <v>6795</v>
      </c>
      <c r="V77" s="8">
        <f t="shared" si="26"/>
        <v>0</v>
      </c>
      <c r="W77" s="8">
        <f t="shared" si="27"/>
        <v>0</v>
      </c>
      <c r="X77" s="8">
        <f t="shared" si="28"/>
        <v>229245.85000000149</v>
      </c>
      <c r="Y77" s="10">
        <v>28696736</v>
      </c>
      <c r="Z77" s="10">
        <v>119325</v>
      </c>
      <c r="AA77" s="10">
        <v>379023</v>
      </c>
      <c r="AB77" s="10">
        <v>766855</v>
      </c>
      <c r="AC77" s="10">
        <v>0</v>
      </c>
      <c r="AD77" s="10">
        <v>0</v>
      </c>
      <c r="AE77" s="10">
        <v>0</v>
      </c>
      <c r="AF77" s="10">
        <v>25236</v>
      </c>
      <c r="AG77" s="10">
        <v>532315</v>
      </c>
      <c r="AH77" s="10">
        <f t="shared" si="29"/>
        <v>9722890.3599999994</v>
      </c>
      <c r="AI77" s="10">
        <v>40242380.359999999</v>
      </c>
      <c r="AJ77" s="10">
        <v>28820301</v>
      </c>
      <c r="AK77" s="10">
        <v>119839</v>
      </c>
      <c r="AL77" s="10">
        <v>380655</v>
      </c>
      <c r="AM77" s="10">
        <v>770714.75</v>
      </c>
      <c r="AN77" s="10">
        <v>0</v>
      </c>
      <c r="AO77" s="10">
        <v>0</v>
      </c>
      <c r="AP77" s="10">
        <v>92880.1</v>
      </c>
      <c r="AQ77" s="10">
        <v>32031</v>
      </c>
      <c r="AR77" s="10">
        <v>532315</v>
      </c>
      <c r="AS77" s="10">
        <f t="shared" si="32"/>
        <v>9722890.3599999994</v>
      </c>
      <c r="AT77" s="10">
        <v>40471626.210000001</v>
      </c>
      <c r="AU77" s="12">
        <v>241200</v>
      </c>
      <c r="AV77" s="12">
        <v>45825.568820328932</v>
      </c>
      <c r="AW77" s="12">
        <v>66431.125</v>
      </c>
      <c r="AX77" s="12">
        <f t="shared" si="30"/>
        <v>353456.69382032892</v>
      </c>
      <c r="AY77" s="12">
        <v>269567.13</v>
      </c>
      <c r="AZ77" s="12">
        <v>54904.433371161809</v>
      </c>
      <c r="BA77" s="12">
        <v>82297.125</v>
      </c>
      <c r="BB77" s="12">
        <f t="shared" si="31"/>
        <v>406768.68837116181</v>
      </c>
      <c r="BC77" s="12">
        <v>28367.130000000005</v>
      </c>
      <c r="BD77" s="12">
        <v>9078.8645508328773</v>
      </c>
      <c r="BE77" s="12">
        <v>15866</v>
      </c>
      <c r="BF77" s="12">
        <v>53311.994550832882</v>
      </c>
    </row>
    <row r="78" spans="1:58" x14ac:dyDescent="0.25">
      <c r="A78" s="7">
        <v>203</v>
      </c>
      <c r="B78" s="7">
        <v>1</v>
      </c>
      <c r="C78" s="7" t="s">
        <v>79</v>
      </c>
      <c r="D78" s="4">
        <v>6</v>
      </c>
      <c r="E78" s="10">
        <v>751</v>
      </c>
      <c r="F78" s="8">
        <f t="shared" si="10"/>
        <v>21750</v>
      </c>
      <c r="G78" s="8">
        <f t="shared" si="11"/>
        <v>18881.04</v>
      </c>
      <c r="H78" s="8">
        <f t="shared" si="12"/>
        <v>0</v>
      </c>
      <c r="I78" s="8">
        <f t="shared" si="13"/>
        <v>19.00000000003638</v>
      </c>
      <c r="J78" s="8">
        <f t="shared" si="14"/>
        <v>40650.040000000037</v>
      </c>
      <c r="K78" s="8">
        <f t="shared" si="15"/>
        <v>7349.3157439375218</v>
      </c>
      <c r="L78" s="8">
        <f t="shared" si="16"/>
        <v>47999.355743937558</v>
      </c>
      <c r="M78" s="8">
        <f t="shared" si="17"/>
        <v>54.127882822902848</v>
      </c>
      <c r="N78" s="8">
        <f t="shared" si="18"/>
        <v>19968</v>
      </c>
      <c r="O78" s="8">
        <f t="shared" si="19"/>
        <v>80</v>
      </c>
      <c r="P78" s="8">
        <f t="shared" si="20"/>
        <v>611</v>
      </c>
      <c r="Q78" s="8">
        <f t="shared" si="21"/>
        <v>1091</v>
      </c>
      <c r="R78" s="8">
        <f t="shared" si="22"/>
        <v>0</v>
      </c>
      <c r="S78" s="8">
        <f t="shared" si="23"/>
        <v>0</v>
      </c>
      <c r="T78" s="8">
        <f t="shared" si="24"/>
        <v>18881.04</v>
      </c>
      <c r="U78" s="8">
        <f t="shared" si="25"/>
        <v>0</v>
      </c>
      <c r="V78" s="8">
        <f t="shared" si="26"/>
        <v>19</v>
      </c>
      <c r="W78" s="8">
        <f t="shared" si="27"/>
        <v>0</v>
      </c>
      <c r="X78" s="8">
        <f t="shared" si="28"/>
        <v>40650.040000000037</v>
      </c>
      <c r="Y78" s="10">
        <v>4637252</v>
      </c>
      <c r="Z78" s="10">
        <v>18614</v>
      </c>
      <c r="AA78" s="10">
        <v>141971</v>
      </c>
      <c r="AB78" s="10">
        <v>216760</v>
      </c>
      <c r="AC78" s="10">
        <v>0</v>
      </c>
      <c r="AD78" s="10">
        <v>73004</v>
      </c>
      <c r="AE78" s="10">
        <v>0</v>
      </c>
      <c r="AF78" s="10">
        <v>15272</v>
      </c>
      <c r="AG78" s="10">
        <v>86933</v>
      </c>
      <c r="AH78" s="10">
        <f t="shared" si="29"/>
        <v>1066300.71</v>
      </c>
      <c r="AI78" s="10">
        <v>6256106.71</v>
      </c>
      <c r="AJ78" s="10">
        <v>4657220</v>
      </c>
      <c r="AK78" s="10">
        <v>18694</v>
      </c>
      <c r="AL78" s="10">
        <v>142582</v>
      </c>
      <c r="AM78" s="10">
        <v>217851</v>
      </c>
      <c r="AN78" s="10">
        <v>0</v>
      </c>
      <c r="AO78" s="10">
        <v>73004</v>
      </c>
      <c r="AP78" s="10">
        <v>18881.04</v>
      </c>
      <c r="AQ78" s="10">
        <v>15272</v>
      </c>
      <c r="AR78" s="10">
        <v>86952</v>
      </c>
      <c r="AS78" s="10">
        <f t="shared" si="32"/>
        <v>1066300.71</v>
      </c>
      <c r="AT78" s="10">
        <v>6296756.75</v>
      </c>
      <c r="AU78" s="12">
        <v>31560</v>
      </c>
      <c r="AV78" s="12">
        <v>8088.0975650246646</v>
      </c>
      <c r="AW78" s="12">
        <v>12060.25</v>
      </c>
      <c r="AX78" s="12">
        <f t="shared" si="30"/>
        <v>51708.347565024662</v>
      </c>
      <c r="AY78" s="12">
        <v>35271.718999999997</v>
      </c>
      <c r="AZ78" s="12">
        <v>9690.494308962192</v>
      </c>
      <c r="BA78" s="12">
        <v>14095.45</v>
      </c>
      <c r="BB78" s="12">
        <f t="shared" si="31"/>
        <v>59057.66330896219</v>
      </c>
      <c r="BC78" s="12">
        <v>3711.7189999999973</v>
      </c>
      <c r="BD78" s="12">
        <v>1602.3967439375274</v>
      </c>
      <c r="BE78" s="12">
        <v>2035.1999999999971</v>
      </c>
      <c r="BF78" s="12">
        <v>7349.3157439375218</v>
      </c>
    </row>
    <row r="79" spans="1:58" x14ac:dyDescent="0.25">
      <c r="A79" s="7">
        <v>204</v>
      </c>
      <c r="B79" s="7">
        <v>1</v>
      </c>
      <c r="C79" s="7" t="s">
        <v>80</v>
      </c>
      <c r="D79" s="4">
        <v>4</v>
      </c>
      <c r="E79" s="10">
        <v>2085</v>
      </c>
      <c r="F79" s="8">
        <f t="shared" si="10"/>
        <v>58979.25</v>
      </c>
      <c r="G79" s="8">
        <f t="shared" si="11"/>
        <v>43415.519999999997</v>
      </c>
      <c r="H79" s="8">
        <f t="shared" si="12"/>
        <v>0</v>
      </c>
      <c r="I79" s="8">
        <f t="shared" si="13"/>
        <v>-4.4383341446518898E-10</v>
      </c>
      <c r="J79" s="8">
        <f t="shared" si="14"/>
        <v>102394.76999999955</v>
      </c>
      <c r="K79" s="8">
        <f t="shared" si="15"/>
        <v>19947.469565018986</v>
      </c>
      <c r="L79" s="8">
        <f t="shared" si="16"/>
        <v>122342.23956501854</v>
      </c>
      <c r="M79" s="8">
        <f t="shared" si="17"/>
        <v>49.110201438848705</v>
      </c>
      <c r="N79" s="8">
        <f t="shared" si="18"/>
        <v>57065</v>
      </c>
      <c r="O79" s="8">
        <f t="shared" si="19"/>
        <v>0</v>
      </c>
      <c r="P79" s="8">
        <f t="shared" si="20"/>
        <v>845</v>
      </c>
      <c r="Q79" s="8">
        <f t="shared" si="21"/>
        <v>1069.25</v>
      </c>
      <c r="R79" s="8">
        <f t="shared" si="22"/>
        <v>0</v>
      </c>
      <c r="S79" s="8">
        <f t="shared" si="23"/>
        <v>0</v>
      </c>
      <c r="T79" s="8">
        <f t="shared" si="24"/>
        <v>43415.519999999997</v>
      </c>
      <c r="U79" s="8">
        <f t="shared" si="25"/>
        <v>0</v>
      </c>
      <c r="V79" s="8">
        <f t="shared" si="26"/>
        <v>0</v>
      </c>
      <c r="W79" s="8">
        <f t="shared" si="27"/>
        <v>0</v>
      </c>
      <c r="X79" s="8">
        <f t="shared" si="28"/>
        <v>102394.76999999955</v>
      </c>
      <c r="Y79" s="10">
        <v>13252776</v>
      </c>
      <c r="Z79" s="10">
        <v>0</v>
      </c>
      <c r="AA79" s="10">
        <v>196146</v>
      </c>
      <c r="AB79" s="10">
        <v>212439</v>
      </c>
      <c r="AC79" s="10">
        <v>0</v>
      </c>
      <c r="AD79" s="10">
        <v>0</v>
      </c>
      <c r="AE79" s="10">
        <v>0</v>
      </c>
      <c r="AF79" s="10">
        <v>14504</v>
      </c>
      <c r="AG79" s="10">
        <v>328694</v>
      </c>
      <c r="AH79" s="10">
        <f t="shared" si="29"/>
        <v>1871178.0600000005</v>
      </c>
      <c r="AI79" s="10">
        <v>15875737.060000001</v>
      </c>
      <c r="AJ79" s="10">
        <v>13309841</v>
      </c>
      <c r="AK79" s="10">
        <v>0</v>
      </c>
      <c r="AL79" s="10">
        <v>196991</v>
      </c>
      <c r="AM79" s="10">
        <v>213508.25</v>
      </c>
      <c r="AN79" s="10">
        <v>0</v>
      </c>
      <c r="AO79" s="10">
        <v>0</v>
      </c>
      <c r="AP79" s="10">
        <v>43415.519999999997</v>
      </c>
      <c r="AQ79" s="10">
        <v>14504</v>
      </c>
      <c r="AR79" s="10">
        <v>328694</v>
      </c>
      <c r="AS79" s="10">
        <f t="shared" si="32"/>
        <v>1871178.0600000005</v>
      </c>
      <c r="AT79" s="10">
        <v>15978131.83</v>
      </c>
      <c r="AU79" s="12">
        <v>97800</v>
      </c>
      <c r="AV79" s="12">
        <v>17469.269116933356</v>
      </c>
      <c r="AW79" s="12">
        <v>27303.375</v>
      </c>
      <c r="AX79" s="12">
        <f t="shared" si="30"/>
        <v>142572.64411693334</v>
      </c>
      <c r="AY79" s="12">
        <v>109302.095</v>
      </c>
      <c r="AZ79" s="12">
        <v>20930.243681952346</v>
      </c>
      <c r="BA79" s="12">
        <v>32287.775000000001</v>
      </c>
      <c r="BB79" s="12">
        <f t="shared" si="31"/>
        <v>162520.11368195235</v>
      </c>
      <c r="BC79" s="12">
        <v>11502.095000000001</v>
      </c>
      <c r="BD79" s="12">
        <v>3460.9745650189907</v>
      </c>
      <c r="BE79" s="12">
        <v>4984.3999999999942</v>
      </c>
      <c r="BF79" s="12">
        <v>19947.469565018986</v>
      </c>
    </row>
    <row r="80" spans="1:58" x14ac:dyDescent="0.25">
      <c r="A80" s="7">
        <v>206</v>
      </c>
      <c r="B80" s="7">
        <v>1</v>
      </c>
      <c r="C80" s="7" t="s">
        <v>81</v>
      </c>
      <c r="D80" s="4">
        <v>4</v>
      </c>
      <c r="E80" s="10">
        <v>3971</v>
      </c>
      <c r="F80" s="8">
        <f t="shared" si="10"/>
        <v>114436.75</v>
      </c>
      <c r="G80" s="8">
        <f t="shared" si="11"/>
        <v>86592.46</v>
      </c>
      <c r="H80" s="8">
        <f t="shared" si="12"/>
        <v>0</v>
      </c>
      <c r="I80" s="8">
        <f t="shared" si="13"/>
        <v>8.8766682893037796E-10</v>
      </c>
      <c r="J80" s="8">
        <f t="shared" si="14"/>
        <v>201029.21000000089</v>
      </c>
      <c r="K80" s="8">
        <f t="shared" si="15"/>
        <v>46977.794980641607</v>
      </c>
      <c r="L80" s="8">
        <f t="shared" si="16"/>
        <v>248007.00498064249</v>
      </c>
      <c r="M80" s="8">
        <f t="shared" si="17"/>
        <v>50.624328884412215</v>
      </c>
      <c r="N80" s="8">
        <f t="shared" si="18"/>
        <v>105814</v>
      </c>
      <c r="O80" s="8">
        <f t="shared" si="19"/>
        <v>0</v>
      </c>
      <c r="P80" s="8">
        <f t="shared" si="20"/>
        <v>2123</v>
      </c>
      <c r="Q80" s="8">
        <f t="shared" si="21"/>
        <v>6499.75</v>
      </c>
      <c r="R80" s="8">
        <f t="shared" si="22"/>
        <v>0</v>
      </c>
      <c r="S80" s="8">
        <f t="shared" si="23"/>
        <v>0</v>
      </c>
      <c r="T80" s="8">
        <f t="shared" si="24"/>
        <v>86592.46</v>
      </c>
      <c r="U80" s="8">
        <f t="shared" si="25"/>
        <v>0</v>
      </c>
      <c r="V80" s="8">
        <f t="shared" si="26"/>
        <v>0</v>
      </c>
      <c r="W80" s="8">
        <f t="shared" si="27"/>
        <v>0</v>
      </c>
      <c r="X80" s="8">
        <f t="shared" si="28"/>
        <v>201029.21000000089</v>
      </c>
      <c r="Y80" s="10">
        <v>24574185</v>
      </c>
      <c r="Z80" s="10">
        <v>0</v>
      </c>
      <c r="AA80" s="10">
        <v>492969</v>
      </c>
      <c r="AB80" s="10">
        <v>1291370</v>
      </c>
      <c r="AC80" s="10">
        <v>0</v>
      </c>
      <c r="AD80" s="10">
        <v>0</v>
      </c>
      <c r="AE80" s="10">
        <v>0</v>
      </c>
      <c r="AF80" s="10">
        <v>14305</v>
      </c>
      <c r="AG80" s="10">
        <v>609488</v>
      </c>
      <c r="AH80" s="10">
        <f t="shared" si="29"/>
        <v>3751063.8299999982</v>
      </c>
      <c r="AI80" s="10">
        <v>30733380.829999998</v>
      </c>
      <c r="AJ80" s="10">
        <v>24679999</v>
      </c>
      <c r="AK80" s="10">
        <v>0</v>
      </c>
      <c r="AL80" s="10">
        <v>495092</v>
      </c>
      <c r="AM80" s="10">
        <v>1297869.75</v>
      </c>
      <c r="AN80" s="10">
        <v>0</v>
      </c>
      <c r="AO80" s="10">
        <v>0</v>
      </c>
      <c r="AP80" s="10">
        <v>86592.46</v>
      </c>
      <c r="AQ80" s="10">
        <v>14305</v>
      </c>
      <c r="AR80" s="10">
        <v>609488</v>
      </c>
      <c r="AS80" s="10">
        <f t="shared" si="32"/>
        <v>3751063.8299999982</v>
      </c>
      <c r="AT80" s="10">
        <v>30934410.039999999</v>
      </c>
      <c r="AU80" s="12">
        <v>165720</v>
      </c>
      <c r="AV80" s="12">
        <v>43932.137647288597</v>
      </c>
      <c r="AW80" s="12">
        <v>67042.875</v>
      </c>
      <c r="AX80" s="12">
        <f t="shared" si="30"/>
        <v>276695.01264728862</v>
      </c>
      <c r="AY80" s="12">
        <v>185210.05299999999</v>
      </c>
      <c r="AZ80" s="12">
        <v>52635.879627930219</v>
      </c>
      <c r="BA80" s="12">
        <v>85826.875</v>
      </c>
      <c r="BB80" s="12">
        <f t="shared" si="31"/>
        <v>323672.80762793019</v>
      </c>
      <c r="BC80" s="12">
        <v>19490.052999999985</v>
      </c>
      <c r="BD80" s="12">
        <v>8703.7419806416219</v>
      </c>
      <c r="BE80" s="12">
        <v>18784</v>
      </c>
      <c r="BF80" s="12">
        <v>46977.794980641607</v>
      </c>
    </row>
    <row r="81" spans="1:58" x14ac:dyDescent="0.25">
      <c r="A81" s="7">
        <v>213</v>
      </c>
      <c r="B81" s="7">
        <v>1</v>
      </c>
      <c r="C81" s="7" t="s">
        <v>82</v>
      </c>
      <c r="D81" s="4">
        <v>6</v>
      </c>
      <c r="E81" s="10">
        <v>856</v>
      </c>
      <c r="F81" s="8">
        <f t="shared" ref="F81:F144" si="33">SUM(N81:S81)</f>
        <v>25548</v>
      </c>
      <c r="G81" s="8">
        <f t="shared" ref="G81:G144" si="34">T81</f>
        <v>18829.699999999997</v>
      </c>
      <c r="H81" s="8">
        <f t="shared" ref="H81:H144" si="35">U81</f>
        <v>0</v>
      </c>
      <c r="I81" s="8">
        <f t="shared" ref="I81:I144" si="36">J81-F81-G81-H81</f>
        <v>1.8917489796876907E-10</v>
      </c>
      <c r="J81" s="8">
        <f t="shared" ref="J81:J144" si="37">X81</f>
        <v>44377.700000000186</v>
      </c>
      <c r="K81" s="8">
        <f t="shared" ref="K81:K144" si="38">BF81</f>
        <v>12340.630234700267</v>
      </c>
      <c r="L81" s="8">
        <f t="shared" ref="L81:L144" si="39">J81+K81</f>
        <v>56718.33023470045</v>
      </c>
      <c r="M81" s="8">
        <f t="shared" ref="M81:M144" si="40">IF(E81=0,0,J81/E81)</f>
        <v>51.84310747663573</v>
      </c>
      <c r="N81" s="8">
        <f t="shared" ref="N81:N144" si="41">AJ81-Y81</f>
        <v>23375</v>
      </c>
      <c r="O81" s="8">
        <f t="shared" ref="O81:O144" si="42">AK81-Z81</f>
        <v>99</v>
      </c>
      <c r="P81" s="8">
        <f t="shared" ref="P81:P144" si="43">AL81-AA81</f>
        <v>706</v>
      </c>
      <c r="Q81" s="8">
        <f t="shared" ref="Q81:Q144" si="44">AM81-AB81</f>
        <v>1368</v>
      </c>
      <c r="R81" s="8">
        <f t="shared" ref="R81:R144" si="45">AN81-AC81</f>
        <v>0</v>
      </c>
      <c r="S81" s="8">
        <f t="shared" ref="S81:S144" si="46">AO81-AD81</f>
        <v>0</v>
      </c>
      <c r="T81" s="8">
        <f t="shared" ref="T81:T144" si="47">AP81-AE81</f>
        <v>18829.699999999997</v>
      </c>
      <c r="U81" s="8">
        <f t="shared" ref="U81:U144" si="48">AQ81-AF81</f>
        <v>0</v>
      </c>
      <c r="V81" s="8">
        <f t="shared" ref="V81:V144" si="49">AR81-AG81</f>
        <v>0</v>
      </c>
      <c r="W81" s="8">
        <f t="shared" ref="W81:W144" si="50">AS81-AH81</f>
        <v>0</v>
      </c>
      <c r="X81" s="8">
        <f t="shared" ref="X81:X144" si="51">AT81-AI81</f>
        <v>44377.700000000186</v>
      </c>
      <c r="Y81" s="10">
        <v>5428610</v>
      </c>
      <c r="Z81" s="10">
        <v>23085</v>
      </c>
      <c r="AA81" s="10">
        <v>163922</v>
      </c>
      <c r="AB81" s="10">
        <v>271794</v>
      </c>
      <c r="AC81" s="10">
        <v>0</v>
      </c>
      <c r="AD81" s="10">
        <v>13246</v>
      </c>
      <c r="AE81" s="10">
        <v>0</v>
      </c>
      <c r="AF81" s="10">
        <v>0</v>
      </c>
      <c r="AG81" s="10">
        <v>134640</v>
      </c>
      <c r="AH81" s="10">
        <f t="shared" ref="AH81:AH144" si="52">AI81-SUM(Y81:AG81)</f>
        <v>531692.04</v>
      </c>
      <c r="AI81" s="10">
        <v>6566989.04</v>
      </c>
      <c r="AJ81" s="10">
        <v>5451985</v>
      </c>
      <c r="AK81" s="10">
        <v>23184</v>
      </c>
      <c r="AL81" s="10">
        <v>164628</v>
      </c>
      <c r="AM81" s="10">
        <v>273162</v>
      </c>
      <c r="AN81" s="10">
        <v>0</v>
      </c>
      <c r="AO81" s="10">
        <v>13246</v>
      </c>
      <c r="AP81" s="10">
        <v>18829.699999999997</v>
      </c>
      <c r="AQ81" s="10">
        <v>0</v>
      </c>
      <c r="AR81" s="10">
        <v>134640</v>
      </c>
      <c r="AS81" s="10">
        <f t="shared" si="32"/>
        <v>531692.04</v>
      </c>
      <c r="AT81" s="10">
        <v>6611366.7400000002</v>
      </c>
      <c r="AU81" s="12">
        <v>30960</v>
      </c>
      <c r="AV81" s="12">
        <v>9993.4252946495581</v>
      </c>
      <c r="AW81" s="12">
        <v>13934.25</v>
      </c>
      <c r="AX81" s="12">
        <f t="shared" ref="AX81:AX144" si="53">AU81+AV81+AW81</f>
        <v>54887.675294649554</v>
      </c>
      <c r="AY81" s="12">
        <v>34601.154000000002</v>
      </c>
      <c r="AZ81" s="12">
        <v>11973.301529349817</v>
      </c>
      <c r="BA81" s="12">
        <v>20653.849999999999</v>
      </c>
      <c r="BB81" s="12">
        <f t="shared" ref="BB81:BB144" si="54">AY81+AZ81+BA81</f>
        <v>67228.305529349818</v>
      </c>
      <c r="BC81" s="12">
        <v>3641.1540000000023</v>
      </c>
      <c r="BD81" s="12">
        <v>1979.8762347002594</v>
      </c>
      <c r="BE81" s="12">
        <v>6719.6000000000058</v>
      </c>
      <c r="BF81" s="12">
        <v>12340.630234700267</v>
      </c>
    </row>
    <row r="82" spans="1:58" x14ac:dyDescent="0.25">
      <c r="A82" s="7">
        <v>227</v>
      </c>
      <c r="B82" s="7">
        <v>1</v>
      </c>
      <c r="C82" s="7" t="s">
        <v>83</v>
      </c>
      <c r="D82" s="4">
        <v>6</v>
      </c>
      <c r="E82" s="10">
        <v>914</v>
      </c>
      <c r="F82" s="8">
        <f t="shared" si="33"/>
        <v>26364.5</v>
      </c>
      <c r="G82" s="8">
        <f t="shared" si="34"/>
        <v>20995.039999999997</v>
      </c>
      <c r="H82" s="8">
        <f t="shared" si="35"/>
        <v>15041</v>
      </c>
      <c r="I82" s="8">
        <f t="shared" si="36"/>
        <v>10.000000000040018</v>
      </c>
      <c r="J82" s="8">
        <f t="shared" si="37"/>
        <v>62410.540000000037</v>
      </c>
      <c r="K82" s="8">
        <f t="shared" si="38"/>
        <v>10146.062116839406</v>
      </c>
      <c r="L82" s="8">
        <f t="shared" si="39"/>
        <v>72556.602116839436</v>
      </c>
      <c r="M82" s="8">
        <f t="shared" si="40"/>
        <v>68.282866520787792</v>
      </c>
      <c r="N82" s="8">
        <f t="shared" si="41"/>
        <v>24875</v>
      </c>
      <c r="O82" s="8">
        <f t="shared" si="42"/>
        <v>0</v>
      </c>
      <c r="P82" s="8">
        <f t="shared" si="43"/>
        <v>668</v>
      </c>
      <c r="Q82" s="8">
        <f t="shared" si="44"/>
        <v>821.5</v>
      </c>
      <c r="R82" s="8">
        <f t="shared" si="45"/>
        <v>0</v>
      </c>
      <c r="S82" s="8">
        <f t="shared" si="46"/>
        <v>0</v>
      </c>
      <c r="T82" s="8">
        <f t="shared" si="47"/>
        <v>20995.039999999997</v>
      </c>
      <c r="U82" s="8">
        <f t="shared" si="48"/>
        <v>15041</v>
      </c>
      <c r="V82" s="8">
        <f t="shared" si="49"/>
        <v>10</v>
      </c>
      <c r="W82" s="8">
        <f t="shared" si="50"/>
        <v>0</v>
      </c>
      <c r="X82" s="8">
        <f t="shared" si="51"/>
        <v>62410.540000000037</v>
      </c>
      <c r="Y82" s="10">
        <v>5776970</v>
      </c>
      <c r="Z82" s="10">
        <v>0</v>
      </c>
      <c r="AA82" s="10">
        <v>155246</v>
      </c>
      <c r="AB82" s="10">
        <v>163216</v>
      </c>
      <c r="AC82" s="10">
        <v>0</v>
      </c>
      <c r="AD82" s="10">
        <v>0</v>
      </c>
      <c r="AE82" s="10">
        <v>0</v>
      </c>
      <c r="AF82" s="10">
        <v>0</v>
      </c>
      <c r="AG82" s="10">
        <v>128241</v>
      </c>
      <c r="AH82" s="10">
        <f t="shared" si="52"/>
        <v>881129.25</v>
      </c>
      <c r="AI82" s="10">
        <v>7104802.25</v>
      </c>
      <c r="AJ82" s="10">
        <v>5801845</v>
      </c>
      <c r="AK82" s="10">
        <v>0</v>
      </c>
      <c r="AL82" s="10">
        <v>155914</v>
      </c>
      <c r="AM82" s="10">
        <v>164037.5</v>
      </c>
      <c r="AN82" s="10">
        <v>0</v>
      </c>
      <c r="AO82" s="10">
        <v>0</v>
      </c>
      <c r="AP82" s="10">
        <v>20995.039999999997</v>
      </c>
      <c r="AQ82" s="10">
        <v>15041</v>
      </c>
      <c r="AR82" s="10">
        <v>128251</v>
      </c>
      <c r="AS82" s="10">
        <f t="shared" si="32"/>
        <v>881129.25</v>
      </c>
      <c r="AT82" s="10">
        <v>7167212.79</v>
      </c>
      <c r="AU82" s="12">
        <v>43920</v>
      </c>
      <c r="AV82" s="12">
        <v>8525.7530297468693</v>
      </c>
      <c r="AW82" s="12">
        <v>11494.5</v>
      </c>
      <c r="AX82" s="12">
        <f t="shared" si="53"/>
        <v>63940.253029746869</v>
      </c>
      <c r="AY82" s="12">
        <v>49085.358</v>
      </c>
      <c r="AZ82" s="12">
        <v>10214.85714658627</v>
      </c>
      <c r="BA82" s="12">
        <v>14786.1</v>
      </c>
      <c r="BB82" s="12">
        <f t="shared" si="54"/>
        <v>74086.315146586276</v>
      </c>
      <c r="BC82" s="12">
        <v>5165.3580000000002</v>
      </c>
      <c r="BD82" s="12">
        <v>1689.1041168394004</v>
      </c>
      <c r="BE82" s="12">
        <v>3291.6000000000058</v>
      </c>
      <c r="BF82" s="12">
        <v>10146.062116839406</v>
      </c>
    </row>
    <row r="83" spans="1:58" x14ac:dyDescent="0.25">
      <c r="A83" s="7">
        <v>229</v>
      </c>
      <c r="B83" s="7">
        <v>1</v>
      </c>
      <c r="C83" s="7" t="s">
        <v>84</v>
      </c>
      <c r="D83" s="4">
        <v>6</v>
      </c>
      <c r="E83" s="10">
        <v>333</v>
      </c>
      <c r="F83" s="8">
        <f t="shared" si="33"/>
        <v>10255.75</v>
      </c>
      <c r="G83" s="8">
        <f t="shared" si="34"/>
        <v>9301.6</v>
      </c>
      <c r="H83" s="8">
        <f t="shared" si="35"/>
        <v>0</v>
      </c>
      <c r="I83" s="8">
        <f t="shared" si="36"/>
        <v>-1.9999999999072315</v>
      </c>
      <c r="J83" s="8">
        <f t="shared" si="37"/>
        <v>19555.350000000093</v>
      </c>
      <c r="K83" s="8">
        <f t="shared" si="38"/>
        <v>5647.710168215156</v>
      </c>
      <c r="L83" s="8">
        <f t="shared" si="39"/>
        <v>25203.060168215248</v>
      </c>
      <c r="M83" s="8">
        <f t="shared" si="40"/>
        <v>58.724774774775057</v>
      </c>
      <c r="N83" s="8">
        <f t="shared" si="41"/>
        <v>9100</v>
      </c>
      <c r="O83" s="8">
        <f t="shared" si="42"/>
        <v>2</v>
      </c>
      <c r="P83" s="8">
        <f t="shared" si="43"/>
        <v>433</v>
      </c>
      <c r="Q83" s="8">
        <f t="shared" si="44"/>
        <v>720.75</v>
      </c>
      <c r="R83" s="8">
        <f t="shared" si="45"/>
        <v>0</v>
      </c>
      <c r="S83" s="8">
        <f t="shared" si="46"/>
        <v>0</v>
      </c>
      <c r="T83" s="8">
        <f t="shared" si="47"/>
        <v>9301.6</v>
      </c>
      <c r="U83" s="8">
        <f t="shared" si="48"/>
        <v>0</v>
      </c>
      <c r="V83" s="8">
        <f t="shared" si="49"/>
        <v>-2</v>
      </c>
      <c r="W83" s="8">
        <f t="shared" si="50"/>
        <v>0</v>
      </c>
      <c r="X83" s="8">
        <f t="shared" si="51"/>
        <v>19555.350000000093</v>
      </c>
      <c r="Y83" s="10">
        <v>2113384</v>
      </c>
      <c r="Z83" s="10">
        <v>325</v>
      </c>
      <c r="AA83" s="10">
        <v>100630</v>
      </c>
      <c r="AB83" s="10">
        <v>143199</v>
      </c>
      <c r="AC83" s="10">
        <v>0</v>
      </c>
      <c r="AD83" s="10">
        <v>122935</v>
      </c>
      <c r="AE83" s="10">
        <v>0</v>
      </c>
      <c r="AF83" s="10">
        <v>0</v>
      </c>
      <c r="AG83" s="10">
        <v>55336</v>
      </c>
      <c r="AH83" s="10">
        <f t="shared" si="52"/>
        <v>171783.39999999991</v>
      </c>
      <c r="AI83" s="10">
        <v>2707592.4</v>
      </c>
      <c r="AJ83" s="10">
        <v>2122484</v>
      </c>
      <c r="AK83" s="10">
        <v>327</v>
      </c>
      <c r="AL83" s="10">
        <v>101063</v>
      </c>
      <c r="AM83" s="10">
        <v>143919.75</v>
      </c>
      <c r="AN83" s="10">
        <v>0</v>
      </c>
      <c r="AO83" s="10">
        <v>122935</v>
      </c>
      <c r="AP83" s="10">
        <v>9301.6</v>
      </c>
      <c r="AQ83" s="10">
        <v>0</v>
      </c>
      <c r="AR83" s="10">
        <v>55334</v>
      </c>
      <c r="AS83" s="10">
        <f t="shared" si="32"/>
        <v>171783.39999999991</v>
      </c>
      <c r="AT83" s="10">
        <v>2727147.75</v>
      </c>
      <c r="AU83" s="12">
        <v>18000</v>
      </c>
      <c r="AV83" s="12">
        <v>3708.701949065995</v>
      </c>
      <c r="AW83" s="12">
        <v>5652.625</v>
      </c>
      <c r="AX83" s="12">
        <f t="shared" si="53"/>
        <v>27361.326949065995</v>
      </c>
      <c r="AY83" s="12">
        <v>20116.95</v>
      </c>
      <c r="AZ83" s="12">
        <v>4443.4621172811503</v>
      </c>
      <c r="BA83" s="12">
        <v>8448.625</v>
      </c>
      <c r="BB83" s="12">
        <f t="shared" si="54"/>
        <v>33009.03711728115</v>
      </c>
      <c r="BC83" s="12">
        <v>2116.9500000000007</v>
      </c>
      <c r="BD83" s="12">
        <v>734.76016821515532</v>
      </c>
      <c r="BE83" s="12">
        <v>2796</v>
      </c>
      <c r="BF83" s="12">
        <v>5647.710168215156</v>
      </c>
    </row>
    <row r="84" spans="1:58" x14ac:dyDescent="0.25">
      <c r="A84" s="7">
        <v>238</v>
      </c>
      <c r="B84" s="7">
        <v>1</v>
      </c>
      <c r="C84" s="7" t="s">
        <v>85</v>
      </c>
      <c r="D84" s="4">
        <v>6</v>
      </c>
      <c r="E84" s="10">
        <v>240</v>
      </c>
      <c r="F84" s="8">
        <f t="shared" si="33"/>
        <v>7396.25</v>
      </c>
      <c r="G84" s="8">
        <f t="shared" si="34"/>
        <v>8365.3999999999978</v>
      </c>
      <c r="H84" s="8">
        <f t="shared" si="35"/>
        <v>0</v>
      </c>
      <c r="I84" s="8">
        <f t="shared" si="36"/>
        <v>9.9999999999090505</v>
      </c>
      <c r="J84" s="8">
        <f t="shared" si="37"/>
        <v>15771.649999999907</v>
      </c>
      <c r="K84" s="8">
        <f t="shared" si="38"/>
        <v>4541.9572704519142</v>
      </c>
      <c r="L84" s="8">
        <f t="shared" si="39"/>
        <v>20313.607270451823</v>
      </c>
      <c r="M84" s="8">
        <f t="shared" si="40"/>
        <v>65.715208333332939</v>
      </c>
      <c r="N84" s="8">
        <f t="shared" si="41"/>
        <v>6535</v>
      </c>
      <c r="O84" s="8">
        <f t="shared" si="42"/>
        <v>48</v>
      </c>
      <c r="P84" s="8">
        <f t="shared" si="43"/>
        <v>275</v>
      </c>
      <c r="Q84" s="8">
        <f t="shared" si="44"/>
        <v>538.25</v>
      </c>
      <c r="R84" s="8">
        <f t="shared" si="45"/>
        <v>0</v>
      </c>
      <c r="S84" s="8">
        <f t="shared" si="46"/>
        <v>0</v>
      </c>
      <c r="T84" s="8">
        <f t="shared" si="47"/>
        <v>8365.3999999999978</v>
      </c>
      <c r="U84" s="8">
        <f t="shared" si="48"/>
        <v>0</v>
      </c>
      <c r="V84" s="8">
        <f t="shared" si="49"/>
        <v>10</v>
      </c>
      <c r="W84" s="8">
        <f t="shared" si="50"/>
        <v>0</v>
      </c>
      <c r="X84" s="8">
        <f t="shared" si="51"/>
        <v>15771.649999999907</v>
      </c>
      <c r="Y84" s="10">
        <v>1517688</v>
      </c>
      <c r="Z84" s="10">
        <v>10973</v>
      </c>
      <c r="AA84" s="10">
        <v>63688</v>
      </c>
      <c r="AB84" s="10">
        <v>106940</v>
      </c>
      <c r="AC84" s="10">
        <v>0</v>
      </c>
      <c r="AD84" s="10">
        <v>103481</v>
      </c>
      <c r="AE84" s="10">
        <v>0</v>
      </c>
      <c r="AF84" s="10">
        <v>0</v>
      </c>
      <c r="AG84" s="10">
        <v>23087</v>
      </c>
      <c r="AH84" s="10">
        <f t="shared" si="52"/>
        <v>469898.91999999993</v>
      </c>
      <c r="AI84" s="10">
        <v>2295755.92</v>
      </c>
      <c r="AJ84" s="10">
        <v>1524223</v>
      </c>
      <c r="AK84" s="10">
        <v>11021</v>
      </c>
      <c r="AL84" s="10">
        <v>63963</v>
      </c>
      <c r="AM84" s="10">
        <v>107478.25</v>
      </c>
      <c r="AN84" s="10">
        <v>0</v>
      </c>
      <c r="AO84" s="10">
        <v>103481</v>
      </c>
      <c r="AP84" s="10">
        <v>8365.3999999999978</v>
      </c>
      <c r="AQ84" s="10">
        <v>0</v>
      </c>
      <c r="AR84" s="10">
        <v>23097</v>
      </c>
      <c r="AS84" s="10">
        <f t="shared" si="32"/>
        <v>469898.91999999993</v>
      </c>
      <c r="AT84" s="10">
        <v>2311527.5699999998</v>
      </c>
      <c r="AU84" s="12">
        <v>18000</v>
      </c>
      <c r="AV84" s="12">
        <v>3588.8091976060336</v>
      </c>
      <c r="AW84" s="12">
        <v>4031.75</v>
      </c>
      <c r="AX84" s="12">
        <f t="shared" si="53"/>
        <v>25620.559197606035</v>
      </c>
      <c r="AY84" s="12">
        <v>20116.95</v>
      </c>
      <c r="AZ84" s="12">
        <v>4299.8164680579475</v>
      </c>
      <c r="BA84" s="12">
        <v>5745.75</v>
      </c>
      <c r="BB84" s="12">
        <f t="shared" si="54"/>
        <v>30162.516468057947</v>
      </c>
      <c r="BC84" s="12">
        <v>2116.9500000000007</v>
      </c>
      <c r="BD84" s="12">
        <v>711.00727045191388</v>
      </c>
      <c r="BE84" s="12">
        <v>1714</v>
      </c>
      <c r="BF84" s="12">
        <v>4541.9572704519142</v>
      </c>
    </row>
    <row r="85" spans="1:58" x14ac:dyDescent="0.25">
      <c r="A85" s="7">
        <v>239</v>
      </c>
      <c r="B85" s="7">
        <v>1</v>
      </c>
      <c r="C85" s="7" t="s">
        <v>86</v>
      </c>
      <c r="D85" s="4">
        <v>6</v>
      </c>
      <c r="E85" s="10">
        <v>669</v>
      </c>
      <c r="F85" s="8">
        <f t="shared" si="33"/>
        <v>20263.25</v>
      </c>
      <c r="G85" s="8">
        <f t="shared" si="34"/>
        <v>0</v>
      </c>
      <c r="H85" s="8">
        <f t="shared" si="35"/>
        <v>0</v>
      </c>
      <c r="I85" s="8">
        <f t="shared" si="36"/>
        <v>17</v>
      </c>
      <c r="J85" s="8">
        <f t="shared" si="37"/>
        <v>20280.25</v>
      </c>
      <c r="K85" s="8">
        <f t="shared" si="38"/>
        <v>12071.083794269924</v>
      </c>
      <c r="L85" s="8">
        <f t="shared" si="39"/>
        <v>32351.333794269922</v>
      </c>
      <c r="M85" s="8">
        <f t="shared" si="40"/>
        <v>30.314275037369207</v>
      </c>
      <c r="N85" s="8">
        <f t="shared" si="41"/>
        <v>18315</v>
      </c>
      <c r="O85" s="8">
        <f t="shared" si="42"/>
        <v>0</v>
      </c>
      <c r="P85" s="8">
        <f t="shared" si="43"/>
        <v>609</v>
      </c>
      <c r="Q85" s="8">
        <f t="shared" si="44"/>
        <v>1339.25</v>
      </c>
      <c r="R85" s="8">
        <f t="shared" si="45"/>
        <v>0</v>
      </c>
      <c r="S85" s="8">
        <f t="shared" si="46"/>
        <v>0</v>
      </c>
      <c r="T85" s="8">
        <f t="shared" si="47"/>
        <v>0</v>
      </c>
      <c r="U85" s="8">
        <f t="shared" si="48"/>
        <v>0</v>
      </c>
      <c r="V85" s="8">
        <f t="shared" si="49"/>
        <v>17</v>
      </c>
      <c r="W85" s="8">
        <f t="shared" si="50"/>
        <v>0</v>
      </c>
      <c r="X85" s="8">
        <f t="shared" si="51"/>
        <v>20280.25</v>
      </c>
      <c r="Y85" s="10">
        <v>4253476</v>
      </c>
      <c r="Z85" s="10">
        <v>0</v>
      </c>
      <c r="AA85" s="10">
        <v>141588</v>
      </c>
      <c r="AB85" s="10">
        <v>266082</v>
      </c>
      <c r="AC85" s="10">
        <v>0</v>
      </c>
      <c r="AD85" s="10">
        <v>94403</v>
      </c>
      <c r="AE85" s="10">
        <v>173940</v>
      </c>
      <c r="AF85" s="10">
        <v>0</v>
      </c>
      <c r="AG85" s="10">
        <v>80432</v>
      </c>
      <c r="AH85" s="10">
        <f t="shared" si="52"/>
        <v>988836.23000000045</v>
      </c>
      <c r="AI85" s="10">
        <v>5998757.2300000004</v>
      </c>
      <c r="AJ85" s="10">
        <v>4271791</v>
      </c>
      <c r="AK85" s="10">
        <v>0</v>
      </c>
      <c r="AL85" s="10">
        <v>142197</v>
      </c>
      <c r="AM85" s="10">
        <v>267421.25</v>
      </c>
      <c r="AN85" s="10">
        <v>0</v>
      </c>
      <c r="AO85" s="10">
        <v>94403</v>
      </c>
      <c r="AP85" s="10">
        <v>173940</v>
      </c>
      <c r="AQ85" s="10">
        <v>0</v>
      </c>
      <c r="AR85" s="10">
        <v>80449</v>
      </c>
      <c r="AS85" s="10">
        <f t="shared" si="32"/>
        <v>988836.23000000045</v>
      </c>
      <c r="AT85" s="10">
        <v>6019037.4800000004</v>
      </c>
      <c r="AU85" s="12">
        <v>31200</v>
      </c>
      <c r="AV85" s="12">
        <v>8005.8589015774251</v>
      </c>
      <c r="AW85" s="12">
        <v>11094.5</v>
      </c>
      <c r="AX85" s="12">
        <f t="shared" si="53"/>
        <v>50300.358901577427</v>
      </c>
      <c r="AY85" s="12">
        <v>34869.379999999997</v>
      </c>
      <c r="AZ85" s="12">
        <v>9591.9626958473455</v>
      </c>
      <c r="BA85" s="12">
        <v>17910.099999999999</v>
      </c>
      <c r="BB85" s="12">
        <f t="shared" si="54"/>
        <v>62371.442695847341</v>
      </c>
      <c r="BC85" s="12">
        <v>3669.3799999999974</v>
      </c>
      <c r="BD85" s="12">
        <v>1586.1037942699204</v>
      </c>
      <c r="BE85" s="12">
        <v>6815.6000000000058</v>
      </c>
      <c r="BF85" s="12">
        <v>12071.083794269924</v>
      </c>
    </row>
    <row r="86" spans="1:58" x14ac:dyDescent="0.25">
      <c r="A86" s="7">
        <v>241</v>
      </c>
      <c r="B86" s="7">
        <v>1</v>
      </c>
      <c r="C86" s="7" t="s">
        <v>87</v>
      </c>
      <c r="D86" s="4">
        <v>4</v>
      </c>
      <c r="E86" s="10">
        <v>3268</v>
      </c>
      <c r="F86" s="8">
        <f t="shared" si="33"/>
        <v>104528.5</v>
      </c>
      <c r="G86" s="8">
        <f t="shared" si="34"/>
        <v>0</v>
      </c>
      <c r="H86" s="8">
        <f t="shared" si="35"/>
        <v>21545</v>
      </c>
      <c r="I86" s="8">
        <f t="shared" si="36"/>
        <v>74</v>
      </c>
      <c r="J86" s="8">
        <f t="shared" si="37"/>
        <v>126147.5</v>
      </c>
      <c r="K86" s="8">
        <f t="shared" si="38"/>
        <v>42514.922950825603</v>
      </c>
      <c r="L86" s="8">
        <f t="shared" si="39"/>
        <v>168662.4229508256</v>
      </c>
      <c r="M86" s="8">
        <f t="shared" si="40"/>
        <v>38.600826193390454</v>
      </c>
      <c r="N86" s="8">
        <f t="shared" si="41"/>
        <v>88920</v>
      </c>
      <c r="O86" s="8">
        <f t="shared" si="42"/>
        <v>0</v>
      </c>
      <c r="P86" s="8">
        <f t="shared" si="43"/>
        <v>1594</v>
      </c>
      <c r="Q86" s="8">
        <f t="shared" si="44"/>
        <v>14014.5</v>
      </c>
      <c r="R86" s="8">
        <f t="shared" si="45"/>
        <v>0</v>
      </c>
      <c r="S86" s="8">
        <f t="shared" si="46"/>
        <v>0</v>
      </c>
      <c r="T86" s="8">
        <f t="shared" si="47"/>
        <v>0</v>
      </c>
      <c r="U86" s="8">
        <f t="shared" si="48"/>
        <v>21545</v>
      </c>
      <c r="V86" s="8">
        <f t="shared" si="49"/>
        <v>74</v>
      </c>
      <c r="W86" s="8">
        <f t="shared" si="50"/>
        <v>0</v>
      </c>
      <c r="X86" s="8">
        <f t="shared" si="51"/>
        <v>126147.5</v>
      </c>
      <c r="Y86" s="10">
        <v>20650781</v>
      </c>
      <c r="Z86" s="10">
        <v>0</v>
      </c>
      <c r="AA86" s="10">
        <v>370122</v>
      </c>
      <c r="AB86" s="10">
        <v>2784401</v>
      </c>
      <c r="AC86" s="10">
        <v>0</v>
      </c>
      <c r="AD86" s="10">
        <v>0</v>
      </c>
      <c r="AE86" s="10">
        <v>856700</v>
      </c>
      <c r="AF86" s="10">
        <v>0</v>
      </c>
      <c r="AG86" s="10">
        <v>405457</v>
      </c>
      <c r="AH86" s="10">
        <f t="shared" si="52"/>
        <v>5739001.2300000004</v>
      </c>
      <c r="AI86" s="10">
        <v>30806462.23</v>
      </c>
      <c r="AJ86" s="10">
        <v>20739701</v>
      </c>
      <c r="AK86" s="10">
        <v>0</v>
      </c>
      <c r="AL86" s="10">
        <v>371716</v>
      </c>
      <c r="AM86" s="10">
        <v>2798415.5</v>
      </c>
      <c r="AN86" s="10">
        <v>0</v>
      </c>
      <c r="AO86" s="10">
        <v>0</v>
      </c>
      <c r="AP86" s="10">
        <v>856700</v>
      </c>
      <c r="AQ86" s="10">
        <v>21545</v>
      </c>
      <c r="AR86" s="10">
        <v>405531</v>
      </c>
      <c r="AS86" s="10">
        <f t="shared" si="32"/>
        <v>5739001.2300000004</v>
      </c>
      <c r="AT86" s="10">
        <v>30932609.73</v>
      </c>
      <c r="AU86" s="12">
        <v>146520</v>
      </c>
      <c r="AV86" s="12">
        <v>44436.927876792193</v>
      </c>
      <c r="AW86" s="12">
        <v>48469.125</v>
      </c>
      <c r="AX86" s="12">
        <f t="shared" si="53"/>
        <v>239426.05287679221</v>
      </c>
      <c r="AY86" s="12">
        <v>163751.973</v>
      </c>
      <c r="AZ86" s="12">
        <v>53240.677827617787</v>
      </c>
      <c r="BA86" s="12">
        <v>64948.324999999997</v>
      </c>
      <c r="BB86" s="12">
        <f t="shared" si="54"/>
        <v>281940.9758276178</v>
      </c>
      <c r="BC86" s="12">
        <v>17231.972999999998</v>
      </c>
      <c r="BD86" s="12">
        <v>8803.7499508255933</v>
      </c>
      <c r="BE86" s="12">
        <v>16479.200000000012</v>
      </c>
      <c r="BF86" s="12">
        <v>42514.922950825603</v>
      </c>
    </row>
    <row r="87" spans="1:58" x14ac:dyDescent="0.25">
      <c r="A87" s="7">
        <v>242</v>
      </c>
      <c r="B87" s="7">
        <v>1</v>
      </c>
      <c r="C87" s="7" t="s">
        <v>88</v>
      </c>
      <c r="D87" s="4">
        <v>6</v>
      </c>
      <c r="E87" s="10">
        <v>521</v>
      </c>
      <c r="F87" s="8">
        <f t="shared" si="33"/>
        <v>15462.5</v>
      </c>
      <c r="G87" s="8">
        <f t="shared" si="34"/>
        <v>13161.160000000002</v>
      </c>
      <c r="H87" s="8">
        <f t="shared" si="35"/>
        <v>0</v>
      </c>
      <c r="I87" s="8">
        <f t="shared" si="36"/>
        <v>12.000000000147338</v>
      </c>
      <c r="J87" s="8">
        <f t="shared" si="37"/>
        <v>28635.660000000149</v>
      </c>
      <c r="K87" s="8">
        <f t="shared" si="38"/>
        <v>6089.8123963562803</v>
      </c>
      <c r="L87" s="8">
        <f t="shared" si="39"/>
        <v>34725.472396356432</v>
      </c>
      <c r="M87" s="8">
        <f t="shared" si="40"/>
        <v>54.962879078695103</v>
      </c>
      <c r="N87" s="8">
        <f t="shared" si="41"/>
        <v>13731</v>
      </c>
      <c r="O87" s="8">
        <f t="shared" si="42"/>
        <v>0</v>
      </c>
      <c r="P87" s="8">
        <f t="shared" si="43"/>
        <v>552</v>
      </c>
      <c r="Q87" s="8">
        <f t="shared" si="44"/>
        <v>1179.5</v>
      </c>
      <c r="R87" s="8">
        <f t="shared" si="45"/>
        <v>0</v>
      </c>
      <c r="S87" s="8">
        <f t="shared" si="46"/>
        <v>0</v>
      </c>
      <c r="T87" s="8">
        <f t="shared" si="47"/>
        <v>13161.160000000002</v>
      </c>
      <c r="U87" s="8">
        <f t="shared" si="48"/>
        <v>0</v>
      </c>
      <c r="V87" s="8">
        <f t="shared" si="49"/>
        <v>12</v>
      </c>
      <c r="W87" s="8">
        <f t="shared" si="50"/>
        <v>0</v>
      </c>
      <c r="X87" s="8">
        <f t="shared" si="51"/>
        <v>28635.660000000149</v>
      </c>
      <c r="Y87" s="10">
        <v>3188946</v>
      </c>
      <c r="Z87" s="10">
        <v>0</v>
      </c>
      <c r="AA87" s="10">
        <v>128376</v>
      </c>
      <c r="AB87" s="10">
        <v>234343</v>
      </c>
      <c r="AC87" s="10">
        <v>0</v>
      </c>
      <c r="AD87" s="10">
        <v>127843</v>
      </c>
      <c r="AE87" s="10">
        <v>0</v>
      </c>
      <c r="AF87" s="10">
        <v>0</v>
      </c>
      <c r="AG87" s="10">
        <v>63217</v>
      </c>
      <c r="AH87" s="10">
        <f t="shared" si="52"/>
        <v>661552.83999999985</v>
      </c>
      <c r="AI87" s="10">
        <v>4404277.84</v>
      </c>
      <c r="AJ87" s="10">
        <v>3202677</v>
      </c>
      <c r="AK87" s="10">
        <v>0</v>
      </c>
      <c r="AL87" s="10">
        <v>128928</v>
      </c>
      <c r="AM87" s="10">
        <v>235522.5</v>
      </c>
      <c r="AN87" s="10">
        <v>0</v>
      </c>
      <c r="AO87" s="10">
        <v>127843</v>
      </c>
      <c r="AP87" s="10">
        <v>13161.160000000002</v>
      </c>
      <c r="AQ87" s="10">
        <v>0</v>
      </c>
      <c r="AR87" s="10">
        <v>63229</v>
      </c>
      <c r="AS87" s="10">
        <f t="shared" si="32"/>
        <v>661552.83999999985</v>
      </c>
      <c r="AT87" s="10">
        <v>4432913.5</v>
      </c>
      <c r="AU87" s="12">
        <v>18000</v>
      </c>
      <c r="AV87" s="12">
        <v>4755.0599456083028</v>
      </c>
      <c r="AW87" s="12">
        <v>8081.625</v>
      </c>
      <c r="AX87" s="12">
        <f t="shared" si="53"/>
        <v>30836.684945608304</v>
      </c>
      <c r="AY87" s="12">
        <v>20116.95</v>
      </c>
      <c r="AZ87" s="12">
        <v>5697.1223419645794</v>
      </c>
      <c r="BA87" s="12">
        <v>11112.424999999999</v>
      </c>
      <c r="BB87" s="12">
        <f t="shared" si="54"/>
        <v>36926.497341964583</v>
      </c>
      <c r="BC87" s="12">
        <v>2116.9500000000007</v>
      </c>
      <c r="BD87" s="12">
        <v>942.06239635627662</v>
      </c>
      <c r="BE87" s="12">
        <v>3030.8000000000029</v>
      </c>
      <c r="BF87" s="12">
        <v>6089.8123963562803</v>
      </c>
    </row>
    <row r="88" spans="1:58" x14ac:dyDescent="0.25">
      <c r="A88" s="7">
        <v>252</v>
      </c>
      <c r="B88" s="7">
        <v>1</v>
      </c>
      <c r="C88" s="7" t="s">
        <v>89</v>
      </c>
      <c r="D88" s="4">
        <v>5</v>
      </c>
      <c r="E88" s="10">
        <v>1190</v>
      </c>
      <c r="F88" s="8">
        <f t="shared" si="33"/>
        <v>33378.75</v>
      </c>
      <c r="G88" s="8">
        <f t="shared" si="34"/>
        <v>26183.4</v>
      </c>
      <c r="H88" s="8">
        <f t="shared" si="35"/>
        <v>0</v>
      </c>
      <c r="I88" s="8">
        <f t="shared" si="36"/>
        <v>-31.999999999628926</v>
      </c>
      <c r="J88" s="8">
        <f t="shared" si="37"/>
        <v>59530.150000000373</v>
      </c>
      <c r="K88" s="8">
        <f t="shared" si="38"/>
        <v>12745.099201439078</v>
      </c>
      <c r="L88" s="8">
        <f t="shared" si="39"/>
        <v>72275.249201439452</v>
      </c>
      <c r="M88" s="8">
        <f t="shared" si="40"/>
        <v>50.025336134454093</v>
      </c>
      <c r="N88" s="8">
        <f t="shared" si="41"/>
        <v>31768</v>
      </c>
      <c r="O88" s="8">
        <f t="shared" si="42"/>
        <v>35</v>
      </c>
      <c r="P88" s="8">
        <f t="shared" si="43"/>
        <v>717</v>
      </c>
      <c r="Q88" s="8">
        <f t="shared" si="44"/>
        <v>858.75</v>
      </c>
      <c r="R88" s="8">
        <f t="shared" si="45"/>
        <v>0</v>
      </c>
      <c r="S88" s="8">
        <f t="shared" si="46"/>
        <v>0</v>
      </c>
      <c r="T88" s="8">
        <f t="shared" si="47"/>
        <v>26183.4</v>
      </c>
      <c r="U88" s="8">
        <f t="shared" si="48"/>
        <v>0</v>
      </c>
      <c r="V88" s="8">
        <f t="shared" si="49"/>
        <v>0</v>
      </c>
      <c r="W88" s="8">
        <f t="shared" si="50"/>
        <v>-32</v>
      </c>
      <c r="X88" s="8">
        <f t="shared" si="51"/>
        <v>59530.150000000373</v>
      </c>
      <c r="Y88" s="10">
        <v>7377975</v>
      </c>
      <c r="Z88" s="10">
        <v>8128</v>
      </c>
      <c r="AA88" s="10">
        <v>166568</v>
      </c>
      <c r="AB88" s="10">
        <v>170616</v>
      </c>
      <c r="AC88" s="10">
        <v>0</v>
      </c>
      <c r="AD88" s="10">
        <v>0</v>
      </c>
      <c r="AE88" s="10">
        <v>0</v>
      </c>
      <c r="AF88" s="10">
        <v>14815</v>
      </c>
      <c r="AG88" s="10">
        <v>182989</v>
      </c>
      <c r="AH88" s="10">
        <f t="shared" si="52"/>
        <v>1245973.9600000009</v>
      </c>
      <c r="AI88" s="10">
        <v>9167064.9600000009</v>
      </c>
      <c r="AJ88" s="10">
        <v>7409743</v>
      </c>
      <c r="AK88" s="10">
        <v>8163</v>
      </c>
      <c r="AL88" s="10">
        <v>167285</v>
      </c>
      <c r="AM88" s="10">
        <v>171474.75</v>
      </c>
      <c r="AN88" s="10">
        <v>0</v>
      </c>
      <c r="AO88" s="10">
        <v>0</v>
      </c>
      <c r="AP88" s="10">
        <v>26183.4</v>
      </c>
      <c r="AQ88" s="10">
        <v>14815</v>
      </c>
      <c r="AR88" s="10">
        <v>182989</v>
      </c>
      <c r="AS88" s="10">
        <f t="shared" si="32"/>
        <v>1245941.9600000009</v>
      </c>
      <c r="AT88" s="10">
        <v>9226595.1100000013</v>
      </c>
      <c r="AU88" s="12">
        <v>57840</v>
      </c>
      <c r="AV88" s="12">
        <v>11287.387084263775</v>
      </c>
      <c r="AW88" s="12">
        <v>19388.125</v>
      </c>
      <c r="AX88" s="12">
        <f t="shared" si="53"/>
        <v>88515.51208426377</v>
      </c>
      <c r="AY88" s="12">
        <v>64642.466</v>
      </c>
      <c r="AZ88" s="12">
        <v>13523.620285702858</v>
      </c>
      <c r="BA88" s="12">
        <v>23094.525000000001</v>
      </c>
      <c r="BB88" s="12">
        <f t="shared" si="54"/>
        <v>101260.61128570285</v>
      </c>
      <c r="BC88" s="12">
        <v>6802.4660000000003</v>
      </c>
      <c r="BD88" s="12">
        <v>2236.2332014390831</v>
      </c>
      <c r="BE88" s="12">
        <v>3706.3999999999942</v>
      </c>
      <c r="BF88" s="12">
        <v>12745.099201439078</v>
      </c>
    </row>
    <row r="89" spans="1:58" x14ac:dyDescent="0.25">
      <c r="A89" s="7">
        <v>253</v>
      </c>
      <c r="B89" s="7">
        <v>1</v>
      </c>
      <c r="C89" s="7" t="s">
        <v>90</v>
      </c>
      <c r="D89" s="4">
        <v>6</v>
      </c>
      <c r="E89" s="10">
        <v>658</v>
      </c>
      <c r="F89" s="8">
        <f t="shared" si="33"/>
        <v>18887.75</v>
      </c>
      <c r="G89" s="8">
        <f t="shared" si="34"/>
        <v>14384.26</v>
      </c>
      <c r="H89" s="8">
        <f t="shared" si="35"/>
        <v>907</v>
      </c>
      <c r="I89" s="8">
        <f t="shared" si="36"/>
        <v>3.9999999997762643</v>
      </c>
      <c r="J89" s="8">
        <f t="shared" si="37"/>
        <v>34183.009999999776</v>
      </c>
      <c r="K89" s="8">
        <f t="shared" si="38"/>
        <v>6902.1282023575986</v>
      </c>
      <c r="L89" s="8">
        <f t="shared" si="39"/>
        <v>41085.138202357375</v>
      </c>
      <c r="M89" s="8">
        <f t="shared" si="40"/>
        <v>51.949863221884158</v>
      </c>
      <c r="N89" s="8">
        <f t="shared" si="41"/>
        <v>17920</v>
      </c>
      <c r="O89" s="8">
        <f t="shared" si="42"/>
        <v>0</v>
      </c>
      <c r="P89" s="8">
        <f t="shared" si="43"/>
        <v>505</v>
      </c>
      <c r="Q89" s="8">
        <f t="shared" si="44"/>
        <v>462.75</v>
      </c>
      <c r="R89" s="8">
        <f t="shared" si="45"/>
        <v>0</v>
      </c>
      <c r="S89" s="8">
        <f t="shared" si="46"/>
        <v>0</v>
      </c>
      <c r="T89" s="8">
        <f t="shared" si="47"/>
        <v>14384.26</v>
      </c>
      <c r="U89" s="8">
        <f t="shared" si="48"/>
        <v>907</v>
      </c>
      <c r="V89" s="8">
        <f t="shared" si="49"/>
        <v>4</v>
      </c>
      <c r="W89" s="8">
        <f t="shared" si="50"/>
        <v>0</v>
      </c>
      <c r="X89" s="8">
        <f t="shared" si="51"/>
        <v>34183.009999999776</v>
      </c>
      <c r="Y89" s="10">
        <v>4161741</v>
      </c>
      <c r="Z89" s="10">
        <v>0</v>
      </c>
      <c r="AA89" s="10">
        <v>117116</v>
      </c>
      <c r="AB89" s="10">
        <v>91939</v>
      </c>
      <c r="AC89" s="10">
        <v>0</v>
      </c>
      <c r="AD89" s="10">
        <v>98785</v>
      </c>
      <c r="AE89" s="10">
        <v>0</v>
      </c>
      <c r="AF89" s="10">
        <v>24114</v>
      </c>
      <c r="AG89" s="10">
        <v>96875</v>
      </c>
      <c r="AH89" s="10">
        <f t="shared" si="52"/>
        <v>550909.86000000034</v>
      </c>
      <c r="AI89" s="10">
        <v>5141479.8600000003</v>
      </c>
      <c r="AJ89" s="10">
        <v>4179661</v>
      </c>
      <c r="AK89" s="10">
        <v>0</v>
      </c>
      <c r="AL89" s="10">
        <v>117621</v>
      </c>
      <c r="AM89" s="10">
        <v>92401.75</v>
      </c>
      <c r="AN89" s="10">
        <v>0</v>
      </c>
      <c r="AO89" s="10">
        <v>98785</v>
      </c>
      <c r="AP89" s="10">
        <v>14384.26</v>
      </c>
      <c r="AQ89" s="10">
        <v>25021</v>
      </c>
      <c r="AR89" s="10">
        <v>96879</v>
      </c>
      <c r="AS89" s="10">
        <f t="shared" si="32"/>
        <v>550909.86000000034</v>
      </c>
      <c r="AT89" s="10">
        <v>5175662.87</v>
      </c>
      <c r="AU89" s="12">
        <v>33600</v>
      </c>
      <c r="AV89" s="12">
        <v>6132.1482013999512</v>
      </c>
      <c r="AW89" s="12">
        <v>10972.5</v>
      </c>
      <c r="AX89" s="12">
        <f t="shared" si="53"/>
        <v>50704.648201399948</v>
      </c>
      <c r="AY89" s="12">
        <v>37551.64</v>
      </c>
      <c r="AZ89" s="12">
        <v>7347.0364037575446</v>
      </c>
      <c r="BA89" s="12">
        <v>12708.1</v>
      </c>
      <c r="BB89" s="12">
        <f t="shared" si="54"/>
        <v>57606.77640375754</v>
      </c>
      <c r="BC89" s="12">
        <v>3951.6399999999994</v>
      </c>
      <c r="BD89" s="12">
        <v>1214.8882023575934</v>
      </c>
      <c r="BE89" s="12">
        <v>1735.6000000000058</v>
      </c>
      <c r="BF89" s="12">
        <v>6902.1282023575986</v>
      </c>
    </row>
    <row r="90" spans="1:58" x14ac:dyDescent="0.25">
      <c r="A90" s="7">
        <v>255</v>
      </c>
      <c r="B90" s="7">
        <v>1</v>
      </c>
      <c r="C90" s="7" t="s">
        <v>91</v>
      </c>
      <c r="D90" s="4">
        <v>5</v>
      </c>
      <c r="E90" s="10">
        <v>1239</v>
      </c>
      <c r="F90" s="8">
        <f t="shared" si="33"/>
        <v>35119.25</v>
      </c>
      <c r="G90" s="8">
        <f t="shared" si="34"/>
        <v>28955.759999999998</v>
      </c>
      <c r="H90" s="8">
        <f t="shared" si="35"/>
        <v>0</v>
      </c>
      <c r="I90" s="8">
        <f t="shared" si="36"/>
        <v>17.999999999778083</v>
      </c>
      <c r="J90" s="8">
        <f t="shared" si="37"/>
        <v>64093.009999999776</v>
      </c>
      <c r="K90" s="8">
        <f t="shared" si="38"/>
        <v>10924.652252248987</v>
      </c>
      <c r="L90" s="8">
        <f t="shared" si="39"/>
        <v>75017.66225224876</v>
      </c>
      <c r="M90" s="8">
        <f t="shared" si="40"/>
        <v>51.729628732848894</v>
      </c>
      <c r="N90" s="8">
        <f t="shared" si="41"/>
        <v>33655</v>
      </c>
      <c r="O90" s="8">
        <f t="shared" si="42"/>
        <v>0</v>
      </c>
      <c r="P90" s="8">
        <f t="shared" si="43"/>
        <v>636</v>
      </c>
      <c r="Q90" s="8">
        <f t="shared" si="44"/>
        <v>828.25</v>
      </c>
      <c r="R90" s="8">
        <f t="shared" si="45"/>
        <v>0</v>
      </c>
      <c r="S90" s="8">
        <f t="shared" si="46"/>
        <v>0</v>
      </c>
      <c r="T90" s="8">
        <f t="shared" si="47"/>
        <v>28955.759999999998</v>
      </c>
      <c r="U90" s="8">
        <f t="shared" si="48"/>
        <v>0</v>
      </c>
      <c r="V90" s="8">
        <f t="shared" si="49"/>
        <v>18</v>
      </c>
      <c r="W90" s="8">
        <f t="shared" si="50"/>
        <v>0</v>
      </c>
      <c r="X90" s="8">
        <f t="shared" si="51"/>
        <v>64093.009999999776</v>
      </c>
      <c r="Y90" s="10">
        <v>7816037</v>
      </c>
      <c r="Z90" s="10">
        <v>0</v>
      </c>
      <c r="AA90" s="10">
        <v>147706</v>
      </c>
      <c r="AB90" s="10">
        <v>164557</v>
      </c>
      <c r="AC90" s="10">
        <v>0</v>
      </c>
      <c r="AD90" s="10">
        <v>0</v>
      </c>
      <c r="AE90" s="10">
        <v>0</v>
      </c>
      <c r="AF90" s="10">
        <v>0</v>
      </c>
      <c r="AG90" s="10">
        <v>168259</v>
      </c>
      <c r="AH90" s="10">
        <f t="shared" si="52"/>
        <v>1323556.5999999996</v>
      </c>
      <c r="AI90" s="10">
        <v>9620115.5999999996</v>
      </c>
      <c r="AJ90" s="10">
        <v>7849692</v>
      </c>
      <c r="AK90" s="10">
        <v>0</v>
      </c>
      <c r="AL90" s="10">
        <v>148342</v>
      </c>
      <c r="AM90" s="10">
        <v>165385.25</v>
      </c>
      <c r="AN90" s="10">
        <v>0</v>
      </c>
      <c r="AO90" s="10">
        <v>0</v>
      </c>
      <c r="AP90" s="10">
        <v>28955.759999999998</v>
      </c>
      <c r="AQ90" s="10">
        <v>0</v>
      </c>
      <c r="AR90" s="10">
        <v>168277</v>
      </c>
      <c r="AS90" s="10">
        <f t="shared" si="32"/>
        <v>1323556.5999999996</v>
      </c>
      <c r="AT90" s="10">
        <v>9684208.6099999994</v>
      </c>
      <c r="AU90" s="12">
        <v>49080</v>
      </c>
      <c r="AV90" s="12">
        <v>10563.585935726747</v>
      </c>
      <c r="AW90" s="12">
        <v>15652.625</v>
      </c>
      <c r="AX90" s="12">
        <f t="shared" si="53"/>
        <v>75296.210935726747</v>
      </c>
      <c r="AY90" s="12">
        <v>54852.216999999997</v>
      </c>
      <c r="AZ90" s="12">
        <v>12656.421187975731</v>
      </c>
      <c r="BA90" s="12">
        <v>18712.224999999999</v>
      </c>
      <c r="BB90" s="12">
        <f t="shared" si="54"/>
        <v>86220.863187975716</v>
      </c>
      <c r="BC90" s="12">
        <v>5772.2169999999969</v>
      </c>
      <c r="BD90" s="12">
        <v>2092.835252248984</v>
      </c>
      <c r="BE90" s="12">
        <v>3059.6000000000058</v>
      </c>
      <c r="BF90" s="12">
        <v>10924.652252248987</v>
      </c>
    </row>
    <row r="91" spans="1:58" x14ac:dyDescent="0.25">
      <c r="A91" s="7">
        <v>256</v>
      </c>
      <c r="B91" s="7">
        <v>1</v>
      </c>
      <c r="C91" s="7" t="s">
        <v>92</v>
      </c>
      <c r="D91" s="4">
        <v>4</v>
      </c>
      <c r="E91" s="10">
        <v>2801</v>
      </c>
      <c r="F91" s="8">
        <f t="shared" si="33"/>
        <v>83401.5</v>
      </c>
      <c r="G91" s="8">
        <f t="shared" si="34"/>
        <v>61671.420000000006</v>
      </c>
      <c r="H91" s="8">
        <f t="shared" si="35"/>
        <v>5476</v>
      </c>
      <c r="I91" s="8">
        <f t="shared" si="36"/>
        <v>7.0000000017826096</v>
      </c>
      <c r="J91" s="8">
        <f t="shared" si="37"/>
        <v>150555.92000000179</v>
      </c>
      <c r="K91" s="8">
        <f t="shared" si="38"/>
        <v>31064.740720576912</v>
      </c>
      <c r="L91" s="8">
        <f t="shared" si="39"/>
        <v>181620.66072057869</v>
      </c>
      <c r="M91" s="8">
        <f t="shared" si="40"/>
        <v>53.750774723313739</v>
      </c>
      <c r="N91" s="8">
        <f t="shared" si="41"/>
        <v>76525</v>
      </c>
      <c r="O91" s="8">
        <f t="shared" si="42"/>
        <v>0</v>
      </c>
      <c r="P91" s="8">
        <f t="shared" si="43"/>
        <v>1327</v>
      </c>
      <c r="Q91" s="8">
        <f t="shared" si="44"/>
        <v>5549.5</v>
      </c>
      <c r="R91" s="8">
        <f t="shared" si="45"/>
        <v>0</v>
      </c>
      <c r="S91" s="8">
        <f t="shared" si="46"/>
        <v>0</v>
      </c>
      <c r="T91" s="8">
        <f t="shared" si="47"/>
        <v>61671.420000000006</v>
      </c>
      <c r="U91" s="8">
        <f t="shared" si="48"/>
        <v>5476</v>
      </c>
      <c r="V91" s="8">
        <f t="shared" si="49"/>
        <v>66</v>
      </c>
      <c r="W91" s="8">
        <f t="shared" si="50"/>
        <v>-59</v>
      </c>
      <c r="X91" s="8">
        <f t="shared" si="51"/>
        <v>150555.92000000179</v>
      </c>
      <c r="Y91" s="10">
        <v>17772166</v>
      </c>
      <c r="Z91" s="10">
        <v>0</v>
      </c>
      <c r="AA91" s="10">
        <v>308245</v>
      </c>
      <c r="AB91" s="10">
        <v>1102575</v>
      </c>
      <c r="AC91" s="10">
        <v>0</v>
      </c>
      <c r="AD91" s="10">
        <v>0</v>
      </c>
      <c r="AE91" s="10">
        <v>0</v>
      </c>
      <c r="AF91" s="10">
        <v>49112</v>
      </c>
      <c r="AG91" s="10">
        <v>345714</v>
      </c>
      <c r="AH91" s="10">
        <f t="shared" si="52"/>
        <v>4506482.07</v>
      </c>
      <c r="AI91" s="10">
        <v>24084294.07</v>
      </c>
      <c r="AJ91" s="10">
        <v>17848691</v>
      </c>
      <c r="AK91" s="10">
        <v>0</v>
      </c>
      <c r="AL91" s="10">
        <v>309572</v>
      </c>
      <c r="AM91" s="10">
        <v>1108124.5</v>
      </c>
      <c r="AN91" s="10">
        <v>0</v>
      </c>
      <c r="AO91" s="10">
        <v>0</v>
      </c>
      <c r="AP91" s="10">
        <v>61671.420000000006</v>
      </c>
      <c r="AQ91" s="10">
        <v>54588</v>
      </c>
      <c r="AR91" s="10">
        <v>345780</v>
      </c>
      <c r="AS91" s="10">
        <f t="shared" si="32"/>
        <v>4506423.07</v>
      </c>
      <c r="AT91" s="10">
        <v>24234849.990000002</v>
      </c>
      <c r="AU91" s="12">
        <v>140400</v>
      </c>
      <c r="AV91" s="12">
        <v>32187.557812112107</v>
      </c>
      <c r="AW91" s="12">
        <v>34405</v>
      </c>
      <c r="AX91" s="12">
        <f t="shared" si="53"/>
        <v>206992.55781211209</v>
      </c>
      <c r="AY91" s="12">
        <v>156912.21</v>
      </c>
      <c r="AZ91" s="12">
        <v>38564.488532689051</v>
      </c>
      <c r="BA91" s="12">
        <v>42580.6</v>
      </c>
      <c r="BB91" s="12">
        <f t="shared" si="54"/>
        <v>238057.29853268905</v>
      </c>
      <c r="BC91" s="12">
        <v>16512.209999999992</v>
      </c>
      <c r="BD91" s="12">
        <v>6376.9307205769437</v>
      </c>
      <c r="BE91" s="12">
        <v>8175.5999999999767</v>
      </c>
      <c r="BF91" s="12">
        <v>31064.740720576912</v>
      </c>
    </row>
    <row r="92" spans="1:58" x14ac:dyDescent="0.25">
      <c r="A92" s="7">
        <v>261</v>
      </c>
      <c r="B92" s="7">
        <v>1</v>
      </c>
      <c r="C92" s="7" t="s">
        <v>93</v>
      </c>
      <c r="D92" s="4">
        <v>6</v>
      </c>
      <c r="E92" s="10">
        <v>245</v>
      </c>
      <c r="F92" s="8">
        <f t="shared" si="33"/>
        <v>7641.5</v>
      </c>
      <c r="G92" s="8">
        <f t="shared" si="34"/>
        <v>7486.58</v>
      </c>
      <c r="H92" s="8">
        <f t="shared" si="35"/>
        <v>0</v>
      </c>
      <c r="I92" s="8">
        <f t="shared" si="36"/>
        <v>9.0000000000745786</v>
      </c>
      <c r="J92" s="8">
        <f t="shared" si="37"/>
        <v>15137.080000000075</v>
      </c>
      <c r="K92" s="8">
        <f t="shared" si="38"/>
        <v>4684.7352108567011</v>
      </c>
      <c r="L92" s="8">
        <f t="shared" si="39"/>
        <v>19821.815210856774</v>
      </c>
      <c r="M92" s="8">
        <f t="shared" si="40"/>
        <v>61.784000000000304</v>
      </c>
      <c r="N92" s="8">
        <f t="shared" si="41"/>
        <v>6670</v>
      </c>
      <c r="O92" s="8">
        <f t="shared" si="42"/>
        <v>67</v>
      </c>
      <c r="P92" s="8">
        <f t="shared" si="43"/>
        <v>301</v>
      </c>
      <c r="Q92" s="8">
        <f t="shared" si="44"/>
        <v>603.5</v>
      </c>
      <c r="R92" s="8">
        <f t="shared" si="45"/>
        <v>0</v>
      </c>
      <c r="S92" s="8">
        <f t="shared" si="46"/>
        <v>0</v>
      </c>
      <c r="T92" s="8">
        <f t="shared" si="47"/>
        <v>7486.58</v>
      </c>
      <c r="U92" s="8">
        <f t="shared" si="48"/>
        <v>0</v>
      </c>
      <c r="V92" s="8">
        <f t="shared" si="49"/>
        <v>9</v>
      </c>
      <c r="W92" s="8">
        <f t="shared" si="50"/>
        <v>0</v>
      </c>
      <c r="X92" s="8">
        <f t="shared" si="51"/>
        <v>15137.080000000075</v>
      </c>
      <c r="Y92" s="10">
        <v>1549041</v>
      </c>
      <c r="Z92" s="10">
        <v>15607</v>
      </c>
      <c r="AA92" s="10">
        <v>69737</v>
      </c>
      <c r="AB92" s="10">
        <v>119903</v>
      </c>
      <c r="AC92" s="10">
        <v>0</v>
      </c>
      <c r="AD92" s="10">
        <v>104803</v>
      </c>
      <c r="AE92" s="10">
        <v>0</v>
      </c>
      <c r="AF92" s="10">
        <v>0</v>
      </c>
      <c r="AG92" s="10">
        <v>25849</v>
      </c>
      <c r="AH92" s="10">
        <f t="shared" si="52"/>
        <v>424165.08000000007</v>
      </c>
      <c r="AI92" s="10">
        <v>2309105.08</v>
      </c>
      <c r="AJ92" s="10">
        <v>1555711</v>
      </c>
      <c r="AK92" s="10">
        <v>15674</v>
      </c>
      <c r="AL92" s="10">
        <v>70038</v>
      </c>
      <c r="AM92" s="10">
        <v>120506.5</v>
      </c>
      <c r="AN92" s="10">
        <v>0</v>
      </c>
      <c r="AO92" s="10">
        <v>104803</v>
      </c>
      <c r="AP92" s="10">
        <v>7486.58</v>
      </c>
      <c r="AQ92" s="10">
        <v>0</v>
      </c>
      <c r="AR92" s="10">
        <v>25858</v>
      </c>
      <c r="AS92" s="10">
        <f t="shared" si="32"/>
        <v>424165.08000000007</v>
      </c>
      <c r="AT92" s="10">
        <v>2324242.16</v>
      </c>
      <c r="AU92" s="12">
        <v>18000</v>
      </c>
      <c r="AV92" s="12">
        <v>2865.895851799196</v>
      </c>
      <c r="AW92" s="12">
        <v>4717.375</v>
      </c>
      <c r="AX92" s="12">
        <f t="shared" si="53"/>
        <v>25583.270851799196</v>
      </c>
      <c r="AY92" s="12">
        <v>20116.95</v>
      </c>
      <c r="AZ92" s="12">
        <v>3433.6810626558963</v>
      </c>
      <c r="BA92" s="12">
        <v>6717.375</v>
      </c>
      <c r="BB92" s="12">
        <f t="shared" si="54"/>
        <v>30268.006062655899</v>
      </c>
      <c r="BC92" s="12">
        <v>2116.9500000000007</v>
      </c>
      <c r="BD92" s="12">
        <v>567.78521085670036</v>
      </c>
      <c r="BE92" s="12">
        <v>2000</v>
      </c>
      <c r="BF92" s="12">
        <v>4684.7352108567011</v>
      </c>
    </row>
    <row r="93" spans="1:58" x14ac:dyDescent="0.25">
      <c r="A93" s="7">
        <v>264</v>
      </c>
      <c r="B93" s="7">
        <v>1</v>
      </c>
      <c r="C93" s="7" t="s">
        <v>94</v>
      </c>
      <c r="D93" s="4">
        <v>6</v>
      </c>
      <c r="E93" s="10">
        <v>94</v>
      </c>
      <c r="F93" s="8">
        <f t="shared" si="33"/>
        <v>3871.25</v>
      </c>
      <c r="G93" s="8">
        <f t="shared" si="34"/>
        <v>4424.3</v>
      </c>
      <c r="H93" s="8">
        <f t="shared" si="35"/>
        <v>0</v>
      </c>
      <c r="I93" s="8">
        <f t="shared" si="36"/>
        <v>4.638422979041934E-11</v>
      </c>
      <c r="J93" s="8">
        <f t="shared" si="37"/>
        <v>8295.5500000000466</v>
      </c>
      <c r="K93" s="8">
        <f t="shared" si="38"/>
        <v>2826.7401692804174</v>
      </c>
      <c r="L93" s="8">
        <f t="shared" si="39"/>
        <v>11122.290169280464</v>
      </c>
      <c r="M93" s="8">
        <f t="shared" si="40"/>
        <v>88.250531914894111</v>
      </c>
      <c r="N93" s="8">
        <f t="shared" si="41"/>
        <v>2520</v>
      </c>
      <c r="O93" s="8">
        <f t="shared" si="42"/>
        <v>0</v>
      </c>
      <c r="P93" s="8">
        <f t="shared" si="43"/>
        <v>194</v>
      </c>
      <c r="Q93" s="8">
        <f t="shared" si="44"/>
        <v>158.25</v>
      </c>
      <c r="R93" s="8">
        <f t="shared" si="45"/>
        <v>999</v>
      </c>
      <c r="S93" s="8">
        <f t="shared" si="46"/>
        <v>0</v>
      </c>
      <c r="T93" s="8">
        <f t="shared" si="47"/>
        <v>4424.3</v>
      </c>
      <c r="U93" s="8">
        <f t="shared" si="48"/>
        <v>0</v>
      </c>
      <c r="V93" s="8">
        <f t="shared" si="49"/>
        <v>0</v>
      </c>
      <c r="W93" s="8">
        <f t="shared" si="50"/>
        <v>0</v>
      </c>
      <c r="X93" s="8">
        <f t="shared" si="51"/>
        <v>8295.5500000000466</v>
      </c>
      <c r="Y93" s="10">
        <v>585245</v>
      </c>
      <c r="Z93" s="10">
        <v>0</v>
      </c>
      <c r="AA93" s="10">
        <v>45060</v>
      </c>
      <c r="AB93" s="10">
        <v>31441</v>
      </c>
      <c r="AC93" s="10">
        <v>210820</v>
      </c>
      <c r="AD93" s="10">
        <v>49078</v>
      </c>
      <c r="AE93" s="10">
        <v>0</v>
      </c>
      <c r="AF93" s="10">
        <v>57240</v>
      </c>
      <c r="AG93" s="10">
        <v>5040</v>
      </c>
      <c r="AH93" s="10">
        <f t="shared" si="52"/>
        <v>413353.22</v>
      </c>
      <c r="AI93" s="10">
        <v>1397277.22</v>
      </c>
      <c r="AJ93" s="10">
        <v>587765</v>
      </c>
      <c r="AK93" s="10">
        <v>0</v>
      </c>
      <c r="AL93" s="10">
        <v>45254</v>
      </c>
      <c r="AM93" s="10">
        <v>31599.25</v>
      </c>
      <c r="AN93" s="10">
        <v>211819</v>
      </c>
      <c r="AO93" s="10">
        <v>49078</v>
      </c>
      <c r="AP93" s="10">
        <v>4424.3</v>
      </c>
      <c r="AQ93" s="10">
        <v>57240</v>
      </c>
      <c r="AR93" s="10">
        <v>5040</v>
      </c>
      <c r="AS93" s="10">
        <f t="shared" si="32"/>
        <v>413353.22</v>
      </c>
      <c r="AT93" s="10">
        <v>1405572.77</v>
      </c>
      <c r="AU93" s="12">
        <v>18000</v>
      </c>
      <c r="AV93" s="12">
        <v>1297.157879442907</v>
      </c>
      <c r="AW93" s="12">
        <v>1780.5</v>
      </c>
      <c r="AX93" s="12">
        <f t="shared" si="53"/>
        <v>21077.657879442908</v>
      </c>
      <c r="AY93" s="12">
        <v>20116.95</v>
      </c>
      <c r="AZ93" s="12">
        <v>1554.1480487233243</v>
      </c>
      <c r="BA93" s="12">
        <v>2233.3000000000002</v>
      </c>
      <c r="BB93" s="12">
        <f t="shared" si="54"/>
        <v>23904.398048723324</v>
      </c>
      <c r="BC93" s="12">
        <v>2116.9500000000007</v>
      </c>
      <c r="BD93" s="12">
        <v>256.99016928041738</v>
      </c>
      <c r="BE93" s="12">
        <v>452.79999999999927</v>
      </c>
      <c r="BF93" s="12">
        <v>2826.7401692804174</v>
      </c>
    </row>
    <row r="94" spans="1:58" x14ac:dyDescent="0.25">
      <c r="A94" s="7">
        <v>270</v>
      </c>
      <c r="B94" s="7">
        <v>1</v>
      </c>
      <c r="C94" s="7" t="s">
        <v>95</v>
      </c>
      <c r="D94" s="4">
        <v>2</v>
      </c>
      <c r="E94" s="10">
        <v>6805</v>
      </c>
      <c r="F94" s="8">
        <f t="shared" si="33"/>
        <v>204184</v>
      </c>
      <c r="G94" s="8">
        <f t="shared" si="34"/>
        <v>0</v>
      </c>
      <c r="H94" s="8">
        <f t="shared" si="35"/>
        <v>46574</v>
      </c>
      <c r="I94" s="8">
        <f t="shared" si="36"/>
        <v>290</v>
      </c>
      <c r="J94" s="8">
        <f t="shared" si="37"/>
        <v>251048</v>
      </c>
      <c r="K94" s="8">
        <f t="shared" si="38"/>
        <v>83351.776164882787</v>
      </c>
      <c r="L94" s="8">
        <f t="shared" si="39"/>
        <v>334399.77616488282</v>
      </c>
      <c r="M94" s="8">
        <f t="shared" si="40"/>
        <v>36.891697281410728</v>
      </c>
      <c r="N94" s="8">
        <f t="shared" si="41"/>
        <v>186695</v>
      </c>
      <c r="O94" s="8">
        <f t="shared" si="42"/>
        <v>264</v>
      </c>
      <c r="P94" s="8">
        <f t="shared" si="43"/>
        <v>0</v>
      </c>
      <c r="Q94" s="8">
        <f t="shared" si="44"/>
        <v>17225</v>
      </c>
      <c r="R94" s="8">
        <f t="shared" si="45"/>
        <v>0</v>
      </c>
      <c r="S94" s="8">
        <f t="shared" si="46"/>
        <v>0</v>
      </c>
      <c r="T94" s="8">
        <f t="shared" si="47"/>
        <v>0</v>
      </c>
      <c r="U94" s="8">
        <f t="shared" si="48"/>
        <v>46574</v>
      </c>
      <c r="V94" s="8">
        <f t="shared" si="49"/>
        <v>0</v>
      </c>
      <c r="W94" s="8">
        <f t="shared" si="50"/>
        <v>290</v>
      </c>
      <c r="X94" s="8">
        <f t="shared" si="51"/>
        <v>251048</v>
      </c>
      <c r="Y94" s="10">
        <v>43358047</v>
      </c>
      <c r="Z94" s="10">
        <v>61451</v>
      </c>
      <c r="AA94" s="10">
        <v>0</v>
      </c>
      <c r="AB94" s="10">
        <v>3422263</v>
      </c>
      <c r="AC94" s="10">
        <v>0</v>
      </c>
      <c r="AD94" s="10">
        <v>0</v>
      </c>
      <c r="AE94" s="10">
        <v>1804140</v>
      </c>
      <c r="AF94" s="10">
        <v>295517</v>
      </c>
      <c r="AG94" s="10">
        <v>373390</v>
      </c>
      <c r="AH94" s="10">
        <f t="shared" si="52"/>
        <v>19831044.75</v>
      </c>
      <c r="AI94" s="10">
        <v>69145852.75</v>
      </c>
      <c r="AJ94" s="10">
        <v>43544742</v>
      </c>
      <c r="AK94" s="10">
        <v>61715</v>
      </c>
      <c r="AL94" s="10">
        <v>0</v>
      </c>
      <c r="AM94" s="10">
        <v>3439488</v>
      </c>
      <c r="AN94" s="10">
        <v>0</v>
      </c>
      <c r="AO94" s="10">
        <v>0</v>
      </c>
      <c r="AP94" s="10">
        <v>1804140</v>
      </c>
      <c r="AQ94" s="10">
        <v>342091</v>
      </c>
      <c r="AR94" s="10">
        <v>373390</v>
      </c>
      <c r="AS94" s="10">
        <f t="shared" si="32"/>
        <v>19831334.75</v>
      </c>
      <c r="AT94" s="10">
        <v>69396900.75</v>
      </c>
      <c r="AU94" s="12">
        <v>373440</v>
      </c>
      <c r="AV94" s="12">
        <v>84681.504532245948</v>
      </c>
      <c r="AW94" s="12">
        <v>85971.375</v>
      </c>
      <c r="AX94" s="12">
        <f t="shared" si="53"/>
        <v>544092.87953224592</v>
      </c>
      <c r="AY94" s="12">
        <v>417359.65600000002</v>
      </c>
      <c r="AZ94" s="12">
        <v>101458.42469712876</v>
      </c>
      <c r="BA94" s="12">
        <v>108626.575</v>
      </c>
      <c r="BB94" s="12">
        <f t="shared" si="54"/>
        <v>627444.65569712874</v>
      </c>
      <c r="BC94" s="12">
        <v>43919.656000000017</v>
      </c>
      <c r="BD94" s="12">
        <v>16776.920164882817</v>
      </c>
      <c r="BE94" s="12">
        <v>22655.199999999953</v>
      </c>
      <c r="BF94" s="12">
        <v>83351.776164882787</v>
      </c>
    </row>
    <row r="95" spans="1:58" x14ac:dyDescent="0.25">
      <c r="A95" s="7">
        <v>271</v>
      </c>
      <c r="B95" s="7">
        <v>1</v>
      </c>
      <c r="C95" s="7" t="s">
        <v>96</v>
      </c>
      <c r="D95" s="4">
        <v>3</v>
      </c>
      <c r="E95" s="10">
        <v>10222</v>
      </c>
      <c r="F95" s="8">
        <f t="shared" si="33"/>
        <v>313260</v>
      </c>
      <c r="G95" s="8">
        <f t="shared" si="34"/>
        <v>0</v>
      </c>
      <c r="H95" s="8">
        <f t="shared" si="35"/>
        <v>136516</v>
      </c>
      <c r="I95" s="8">
        <f t="shared" si="36"/>
        <v>-32</v>
      </c>
      <c r="J95" s="8">
        <f t="shared" si="37"/>
        <v>449744</v>
      </c>
      <c r="K95" s="8">
        <f t="shared" si="38"/>
        <v>135446.07814989463</v>
      </c>
      <c r="L95" s="8">
        <f t="shared" si="39"/>
        <v>585190.0781498946</v>
      </c>
      <c r="M95" s="8">
        <f t="shared" si="40"/>
        <v>43.997652122872239</v>
      </c>
      <c r="N95" s="8">
        <f t="shared" si="41"/>
        <v>279915</v>
      </c>
      <c r="O95" s="8">
        <f t="shared" si="42"/>
        <v>0</v>
      </c>
      <c r="P95" s="8">
        <f t="shared" si="43"/>
        <v>0</v>
      </c>
      <c r="Q95" s="8">
        <f t="shared" si="44"/>
        <v>33345</v>
      </c>
      <c r="R95" s="8">
        <f t="shared" si="45"/>
        <v>0</v>
      </c>
      <c r="S95" s="8">
        <f t="shared" si="46"/>
        <v>0</v>
      </c>
      <c r="T95" s="8">
        <f t="shared" si="47"/>
        <v>0</v>
      </c>
      <c r="U95" s="8">
        <f t="shared" si="48"/>
        <v>136516</v>
      </c>
      <c r="V95" s="8">
        <f t="shared" si="49"/>
        <v>0</v>
      </c>
      <c r="W95" s="8">
        <f t="shared" si="50"/>
        <v>-32</v>
      </c>
      <c r="X95" s="8">
        <f t="shared" si="51"/>
        <v>449744</v>
      </c>
      <c r="Y95" s="10">
        <v>65007460</v>
      </c>
      <c r="Z95" s="10">
        <v>0</v>
      </c>
      <c r="AA95" s="10">
        <v>0</v>
      </c>
      <c r="AB95" s="10">
        <v>6624985</v>
      </c>
      <c r="AC95" s="10">
        <v>0</v>
      </c>
      <c r="AD95" s="10">
        <v>0</v>
      </c>
      <c r="AE95" s="10">
        <v>2685800</v>
      </c>
      <c r="AF95" s="10">
        <v>872932</v>
      </c>
      <c r="AG95" s="10">
        <v>1095267.5</v>
      </c>
      <c r="AH95" s="10">
        <f t="shared" si="52"/>
        <v>23592370.950000003</v>
      </c>
      <c r="AI95" s="10">
        <v>99878815.450000003</v>
      </c>
      <c r="AJ95" s="10">
        <v>65287375</v>
      </c>
      <c r="AK95" s="10">
        <v>0</v>
      </c>
      <c r="AL95" s="10">
        <v>0</v>
      </c>
      <c r="AM95" s="10">
        <v>6658330</v>
      </c>
      <c r="AN95" s="10">
        <v>0</v>
      </c>
      <c r="AO95" s="10">
        <v>0</v>
      </c>
      <c r="AP95" s="10">
        <v>2685800</v>
      </c>
      <c r="AQ95" s="10">
        <v>1009448</v>
      </c>
      <c r="AR95" s="10">
        <v>1095267.5</v>
      </c>
      <c r="AS95" s="10">
        <f t="shared" si="32"/>
        <v>23592338.950000003</v>
      </c>
      <c r="AT95" s="10">
        <v>100328559.45</v>
      </c>
      <c r="AU95" s="12">
        <v>562320</v>
      </c>
      <c r="AV95" s="12">
        <v>136188.41535659318</v>
      </c>
      <c r="AW95" s="12">
        <v>133889</v>
      </c>
      <c r="AX95" s="12">
        <f t="shared" si="53"/>
        <v>832397.41535659321</v>
      </c>
      <c r="AY95" s="12">
        <v>628453.51800000004</v>
      </c>
      <c r="AZ95" s="12">
        <v>163169.77550648781</v>
      </c>
      <c r="BA95" s="12">
        <v>176220.2</v>
      </c>
      <c r="BB95" s="12">
        <f t="shared" si="54"/>
        <v>967843.49350648792</v>
      </c>
      <c r="BC95" s="12">
        <v>66133.51800000004</v>
      </c>
      <c r="BD95" s="12">
        <v>26981.360149894637</v>
      </c>
      <c r="BE95" s="12">
        <v>42331.199999999953</v>
      </c>
      <c r="BF95" s="12">
        <v>135446.07814989463</v>
      </c>
    </row>
    <row r="96" spans="1:58" x14ac:dyDescent="0.25">
      <c r="A96" s="7">
        <v>272</v>
      </c>
      <c r="B96" s="7">
        <v>1</v>
      </c>
      <c r="C96" s="7" t="s">
        <v>97</v>
      </c>
      <c r="D96" s="4">
        <v>3</v>
      </c>
      <c r="E96" s="10">
        <v>9245</v>
      </c>
      <c r="F96" s="8">
        <f t="shared" si="33"/>
        <v>260269.5</v>
      </c>
      <c r="G96" s="8">
        <f t="shared" si="34"/>
        <v>0</v>
      </c>
      <c r="H96" s="8">
        <f t="shared" si="35"/>
        <v>56122</v>
      </c>
      <c r="I96" s="8">
        <f t="shared" si="36"/>
        <v>-98</v>
      </c>
      <c r="J96" s="8">
        <f t="shared" si="37"/>
        <v>316293.5</v>
      </c>
      <c r="K96" s="8">
        <f t="shared" si="38"/>
        <v>97220.065250415122</v>
      </c>
      <c r="L96" s="8">
        <f t="shared" si="39"/>
        <v>413513.56525041512</v>
      </c>
      <c r="M96" s="8">
        <f t="shared" si="40"/>
        <v>34.212385073012442</v>
      </c>
      <c r="N96" s="8">
        <f t="shared" si="41"/>
        <v>253580</v>
      </c>
      <c r="O96" s="8">
        <f t="shared" si="42"/>
        <v>0</v>
      </c>
      <c r="P96" s="8">
        <f t="shared" si="43"/>
        <v>0</v>
      </c>
      <c r="Q96" s="8">
        <f t="shared" si="44"/>
        <v>6689.5</v>
      </c>
      <c r="R96" s="8">
        <f t="shared" si="45"/>
        <v>0</v>
      </c>
      <c r="S96" s="8">
        <f t="shared" si="46"/>
        <v>0</v>
      </c>
      <c r="T96" s="8">
        <f t="shared" si="47"/>
        <v>0</v>
      </c>
      <c r="U96" s="8">
        <f t="shared" si="48"/>
        <v>56122</v>
      </c>
      <c r="V96" s="8">
        <f t="shared" si="49"/>
        <v>0</v>
      </c>
      <c r="W96" s="8">
        <f t="shared" si="50"/>
        <v>-98</v>
      </c>
      <c r="X96" s="8">
        <f t="shared" si="51"/>
        <v>316293.5</v>
      </c>
      <c r="Y96" s="10">
        <v>58891419</v>
      </c>
      <c r="Z96" s="10">
        <v>0</v>
      </c>
      <c r="AA96" s="10">
        <v>0</v>
      </c>
      <c r="AB96" s="10">
        <v>1329070</v>
      </c>
      <c r="AC96" s="10">
        <v>0</v>
      </c>
      <c r="AD96" s="10">
        <v>0</v>
      </c>
      <c r="AE96" s="10">
        <v>2378740</v>
      </c>
      <c r="AF96" s="10">
        <v>337734</v>
      </c>
      <c r="AG96" s="10">
        <v>1314388.75</v>
      </c>
      <c r="AH96" s="10">
        <f t="shared" si="52"/>
        <v>16477264.469999999</v>
      </c>
      <c r="AI96" s="10">
        <v>80728616.219999999</v>
      </c>
      <c r="AJ96" s="10">
        <v>59144999</v>
      </c>
      <c r="AK96" s="10">
        <v>0</v>
      </c>
      <c r="AL96" s="10">
        <v>0</v>
      </c>
      <c r="AM96" s="10">
        <v>1335759.5</v>
      </c>
      <c r="AN96" s="10">
        <v>0</v>
      </c>
      <c r="AO96" s="10">
        <v>0</v>
      </c>
      <c r="AP96" s="10">
        <v>2378740</v>
      </c>
      <c r="AQ96" s="10">
        <v>393856</v>
      </c>
      <c r="AR96" s="10">
        <v>1314388.75</v>
      </c>
      <c r="AS96" s="10">
        <f t="shared" si="32"/>
        <v>16477166.469999999</v>
      </c>
      <c r="AT96" s="10">
        <v>81044909.719999999</v>
      </c>
      <c r="AU96" s="12">
        <v>546600</v>
      </c>
      <c r="AV96" s="12">
        <v>90976.898388970716</v>
      </c>
      <c r="AW96" s="12">
        <v>104208.375</v>
      </c>
      <c r="AX96" s="12">
        <f t="shared" si="53"/>
        <v>741785.27338897076</v>
      </c>
      <c r="AY96" s="12">
        <v>610884.71499999997</v>
      </c>
      <c r="AZ96" s="12">
        <v>109001.04863938592</v>
      </c>
      <c r="BA96" s="12">
        <v>119119.575</v>
      </c>
      <c r="BB96" s="12">
        <f t="shared" si="54"/>
        <v>839005.33863938588</v>
      </c>
      <c r="BC96" s="12">
        <v>64284.714999999967</v>
      </c>
      <c r="BD96" s="12">
        <v>18024.150250415201</v>
      </c>
      <c r="BE96" s="12">
        <v>14911.199999999953</v>
      </c>
      <c r="BF96" s="12">
        <v>97220.065250415122</v>
      </c>
    </row>
    <row r="97" spans="1:58" x14ac:dyDescent="0.25">
      <c r="A97" s="7">
        <v>273</v>
      </c>
      <c r="B97" s="7">
        <v>1</v>
      </c>
      <c r="C97" s="7" t="s">
        <v>98</v>
      </c>
      <c r="D97" s="4">
        <v>2</v>
      </c>
      <c r="E97" s="10">
        <v>8553</v>
      </c>
      <c r="F97" s="8">
        <f t="shared" si="33"/>
        <v>235242</v>
      </c>
      <c r="G97" s="8">
        <f t="shared" si="34"/>
        <v>0</v>
      </c>
      <c r="H97" s="8">
        <f t="shared" si="35"/>
        <v>31369</v>
      </c>
      <c r="I97" s="8">
        <f t="shared" si="36"/>
        <v>0</v>
      </c>
      <c r="J97" s="8">
        <f t="shared" si="37"/>
        <v>266611</v>
      </c>
      <c r="K97" s="8">
        <f t="shared" si="38"/>
        <v>58133.528056565847</v>
      </c>
      <c r="L97" s="8">
        <f t="shared" si="39"/>
        <v>324744.52805656585</v>
      </c>
      <c r="M97" s="8">
        <f t="shared" si="40"/>
        <v>31.171635683385947</v>
      </c>
      <c r="N97" s="8">
        <f t="shared" si="41"/>
        <v>234270</v>
      </c>
      <c r="O97" s="8">
        <f t="shared" si="42"/>
        <v>0</v>
      </c>
      <c r="P97" s="8">
        <f t="shared" si="43"/>
        <v>0</v>
      </c>
      <c r="Q97" s="8">
        <f t="shared" si="44"/>
        <v>972</v>
      </c>
      <c r="R97" s="8">
        <f t="shared" si="45"/>
        <v>0</v>
      </c>
      <c r="S97" s="8">
        <f t="shared" si="46"/>
        <v>0</v>
      </c>
      <c r="T97" s="8">
        <f t="shared" si="47"/>
        <v>0</v>
      </c>
      <c r="U97" s="8">
        <f t="shared" si="48"/>
        <v>31369</v>
      </c>
      <c r="V97" s="8">
        <f t="shared" si="49"/>
        <v>0</v>
      </c>
      <c r="W97" s="8">
        <f t="shared" si="50"/>
        <v>0</v>
      </c>
      <c r="X97" s="8">
        <f t="shared" si="51"/>
        <v>266611</v>
      </c>
      <c r="Y97" s="10">
        <v>54406865</v>
      </c>
      <c r="Z97" s="10">
        <v>0</v>
      </c>
      <c r="AA97" s="10">
        <v>0</v>
      </c>
      <c r="AB97" s="10">
        <v>193117</v>
      </c>
      <c r="AC97" s="10">
        <v>0</v>
      </c>
      <c r="AD97" s="10">
        <v>0</v>
      </c>
      <c r="AE97" s="10">
        <v>2206880</v>
      </c>
      <c r="AF97" s="10">
        <v>152720</v>
      </c>
      <c r="AG97" s="10">
        <v>911396.25</v>
      </c>
      <c r="AH97" s="10">
        <f t="shared" si="52"/>
        <v>19649619.5</v>
      </c>
      <c r="AI97" s="10">
        <v>77520597.75</v>
      </c>
      <c r="AJ97" s="10">
        <v>54641135</v>
      </c>
      <c r="AK97" s="10">
        <v>0</v>
      </c>
      <c r="AL97" s="10">
        <v>0</v>
      </c>
      <c r="AM97" s="10">
        <v>194089</v>
      </c>
      <c r="AN97" s="10">
        <v>0</v>
      </c>
      <c r="AO97" s="10">
        <v>0</v>
      </c>
      <c r="AP97" s="10">
        <v>2206880</v>
      </c>
      <c r="AQ97" s="10">
        <v>184089</v>
      </c>
      <c r="AR97" s="10">
        <v>911396.25</v>
      </c>
      <c r="AS97" s="10">
        <f t="shared" si="32"/>
        <v>19649619.5</v>
      </c>
      <c r="AT97" s="10">
        <v>77787208.75</v>
      </c>
      <c r="AU97" s="12">
        <v>355800</v>
      </c>
      <c r="AV97" s="12">
        <v>51258.791228016111</v>
      </c>
      <c r="AW97" s="12">
        <v>57594.875</v>
      </c>
      <c r="AX97" s="12">
        <f t="shared" si="53"/>
        <v>464653.66622801614</v>
      </c>
      <c r="AY97" s="12">
        <v>397645.04499999998</v>
      </c>
      <c r="AZ97" s="12">
        <v>61414.074284581962</v>
      </c>
      <c r="BA97" s="12">
        <v>63728.074999999997</v>
      </c>
      <c r="BB97" s="12">
        <f t="shared" si="54"/>
        <v>522787.19428458199</v>
      </c>
      <c r="BC97" s="12">
        <v>41845.044999999984</v>
      </c>
      <c r="BD97" s="12">
        <v>10155.283056565851</v>
      </c>
      <c r="BE97" s="12">
        <v>6133.2000000000116</v>
      </c>
      <c r="BF97" s="12">
        <v>58133.528056565847</v>
      </c>
    </row>
    <row r="98" spans="1:58" x14ac:dyDescent="0.25">
      <c r="A98" s="7">
        <v>276</v>
      </c>
      <c r="B98" s="7">
        <v>1</v>
      </c>
      <c r="C98" s="7" t="s">
        <v>99</v>
      </c>
      <c r="D98" s="4">
        <v>3</v>
      </c>
      <c r="E98" s="10">
        <v>9944</v>
      </c>
      <c r="F98" s="8">
        <f t="shared" si="33"/>
        <v>270512.75</v>
      </c>
      <c r="G98" s="8">
        <f t="shared" si="34"/>
        <v>0</v>
      </c>
      <c r="H98" s="8">
        <f t="shared" si="35"/>
        <v>12086</v>
      </c>
      <c r="I98" s="8">
        <f t="shared" si="36"/>
        <v>0</v>
      </c>
      <c r="J98" s="8">
        <f t="shared" si="37"/>
        <v>282598.75</v>
      </c>
      <c r="K98" s="8">
        <f t="shared" si="38"/>
        <v>51616.185454134946</v>
      </c>
      <c r="L98" s="8">
        <f t="shared" si="39"/>
        <v>334214.93545413495</v>
      </c>
      <c r="M98" s="8">
        <f t="shared" si="40"/>
        <v>28.419021520514882</v>
      </c>
      <c r="N98" s="8">
        <f t="shared" si="41"/>
        <v>269823</v>
      </c>
      <c r="O98" s="8">
        <f t="shared" si="42"/>
        <v>0</v>
      </c>
      <c r="P98" s="8">
        <f t="shared" si="43"/>
        <v>0</v>
      </c>
      <c r="Q98" s="8">
        <f t="shared" si="44"/>
        <v>689.75</v>
      </c>
      <c r="R98" s="8">
        <f t="shared" si="45"/>
        <v>0</v>
      </c>
      <c r="S98" s="8">
        <f t="shared" si="46"/>
        <v>0</v>
      </c>
      <c r="T98" s="8">
        <f t="shared" si="47"/>
        <v>0</v>
      </c>
      <c r="U98" s="8">
        <f t="shared" si="48"/>
        <v>12086</v>
      </c>
      <c r="V98" s="8">
        <f t="shared" si="49"/>
        <v>0</v>
      </c>
      <c r="W98" s="8">
        <f t="shared" si="50"/>
        <v>0</v>
      </c>
      <c r="X98" s="8">
        <f t="shared" si="51"/>
        <v>282598.75</v>
      </c>
      <c r="Y98" s="10">
        <v>62663577</v>
      </c>
      <c r="Z98" s="10">
        <v>0</v>
      </c>
      <c r="AA98" s="10">
        <v>0</v>
      </c>
      <c r="AB98" s="10">
        <v>137040</v>
      </c>
      <c r="AC98" s="10">
        <v>0</v>
      </c>
      <c r="AD98" s="10">
        <v>0</v>
      </c>
      <c r="AE98" s="10">
        <v>2532140</v>
      </c>
      <c r="AF98" s="10">
        <v>83122</v>
      </c>
      <c r="AG98" s="10">
        <v>1169946.25</v>
      </c>
      <c r="AH98" s="10">
        <f t="shared" si="52"/>
        <v>20547959.200000003</v>
      </c>
      <c r="AI98" s="10">
        <v>87133784.450000003</v>
      </c>
      <c r="AJ98" s="10">
        <v>62933400</v>
      </c>
      <c r="AK98" s="10">
        <v>0</v>
      </c>
      <c r="AL98" s="10">
        <v>0</v>
      </c>
      <c r="AM98" s="10">
        <v>137729.75</v>
      </c>
      <c r="AN98" s="10">
        <v>0</v>
      </c>
      <c r="AO98" s="10">
        <v>0</v>
      </c>
      <c r="AP98" s="10">
        <v>2532140</v>
      </c>
      <c r="AQ98" s="10">
        <v>95208</v>
      </c>
      <c r="AR98" s="10">
        <v>1169946.25</v>
      </c>
      <c r="AS98" s="10">
        <f t="shared" si="32"/>
        <v>20547959.200000003</v>
      </c>
      <c r="AT98" s="10">
        <v>87416383.200000003</v>
      </c>
      <c r="AU98" s="12">
        <v>288000</v>
      </c>
      <c r="AV98" s="12">
        <v>43601.241079745821</v>
      </c>
      <c r="AW98" s="12">
        <v>111076.625</v>
      </c>
      <c r="AX98" s="12">
        <f t="shared" si="53"/>
        <v>442677.86607974581</v>
      </c>
      <c r="AY98" s="12">
        <v>321871.2</v>
      </c>
      <c r="AZ98" s="12">
        <v>52239.426533880709</v>
      </c>
      <c r="BA98" s="12">
        <v>120183.425</v>
      </c>
      <c r="BB98" s="12">
        <f t="shared" si="54"/>
        <v>494294.0515338807</v>
      </c>
      <c r="BC98" s="12">
        <v>33871.200000000012</v>
      </c>
      <c r="BD98" s="12">
        <v>8638.1854541348876</v>
      </c>
      <c r="BE98" s="12">
        <v>9106.8000000000466</v>
      </c>
      <c r="BF98" s="12">
        <v>51616.185454134946</v>
      </c>
    </row>
    <row r="99" spans="1:58" x14ac:dyDescent="0.25">
      <c r="A99" s="7">
        <v>277</v>
      </c>
      <c r="B99" s="7">
        <v>1</v>
      </c>
      <c r="C99" s="7" t="s">
        <v>100</v>
      </c>
      <c r="D99" s="4">
        <v>3</v>
      </c>
      <c r="E99" s="10">
        <v>2221</v>
      </c>
      <c r="F99" s="8">
        <f t="shared" si="33"/>
        <v>61778.75</v>
      </c>
      <c r="G99" s="8">
        <f t="shared" si="34"/>
        <v>49793.760000000002</v>
      </c>
      <c r="H99" s="8">
        <f t="shared" si="35"/>
        <v>0</v>
      </c>
      <c r="I99" s="8">
        <f t="shared" si="36"/>
        <v>-2.0881998352706432E-9</v>
      </c>
      <c r="J99" s="8">
        <f t="shared" si="37"/>
        <v>111572.50999999791</v>
      </c>
      <c r="K99" s="8">
        <f t="shared" si="38"/>
        <v>26301.775514377739</v>
      </c>
      <c r="L99" s="8">
        <f t="shared" si="39"/>
        <v>137874.28551437566</v>
      </c>
      <c r="M99" s="8">
        <f t="shared" si="40"/>
        <v>50.235258892389872</v>
      </c>
      <c r="N99" s="8">
        <f t="shared" si="41"/>
        <v>60465</v>
      </c>
      <c r="O99" s="8">
        <f t="shared" si="42"/>
        <v>0</v>
      </c>
      <c r="P99" s="8">
        <f t="shared" si="43"/>
        <v>277</v>
      </c>
      <c r="Q99" s="8">
        <f t="shared" si="44"/>
        <v>1036.75</v>
      </c>
      <c r="R99" s="8">
        <f t="shared" si="45"/>
        <v>0</v>
      </c>
      <c r="S99" s="8">
        <f t="shared" si="46"/>
        <v>0</v>
      </c>
      <c r="T99" s="8">
        <f t="shared" si="47"/>
        <v>49793.760000000002</v>
      </c>
      <c r="U99" s="8">
        <f t="shared" si="48"/>
        <v>0</v>
      </c>
      <c r="V99" s="8">
        <f t="shared" si="49"/>
        <v>0</v>
      </c>
      <c r="W99" s="8">
        <f t="shared" si="50"/>
        <v>0</v>
      </c>
      <c r="X99" s="8">
        <f t="shared" si="51"/>
        <v>111572.50999999791</v>
      </c>
      <c r="Y99" s="10">
        <v>14042392</v>
      </c>
      <c r="Z99" s="10">
        <v>0</v>
      </c>
      <c r="AA99" s="10">
        <v>64468</v>
      </c>
      <c r="AB99" s="10">
        <v>205981</v>
      </c>
      <c r="AC99" s="10">
        <v>0</v>
      </c>
      <c r="AD99" s="10">
        <v>0</v>
      </c>
      <c r="AE99" s="10">
        <v>0</v>
      </c>
      <c r="AF99" s="10">
        <v>14480</v>
      </c>
      <c r="AG99" s="10">
        <v>237310</v>
      </c>
      <c r="AH99" s="10">
        <f t="shared" si="52"/>
        <v>5097250.120000001</v>
      </c>
      <c r="AI99" s="10">
        <v>19661881.120000001</v>
      </c>
      <c r="AJ99" s="10">
        <v>14102857</v>
      </c>
      <c r="AK99" s="10">
        <v>0</v>
      </c>
      <c r="AL99" s="10">
        <v>64745</v>
      </c>
      <c r="AM99" s="10">
        <v>207017.75</v>
      </c>
      <c r="AN99" s="10">
        <v>0</v>
      </c>
      <c r="AO99" s="10">
        <v>0</v>
      </c>
      <c r="AP99" s="10">
        <v>49793.760000000002</v>
      </c>
      <c r="AQ99" s="10">
        <v>14480</v>
      </c>
      <c r="AR99" s="10">
        <v>237310</v>
      </c>
      <c r="AS99" s="10">
        <f t="shared" si="32"/>
        <v>5097250.1199999992</v>
      </c>
      <c r="AT99" s="10">
        <v>19773453.629999999</v>
      </c>
      <c r="AU99" s="12">
        <v>122280</v>
      </c>
      <c r="AV99" s="12">
        <v>23260.033426321665</v>
      </c>
      <c r="AW99" s="12">
        <v>30435.375</v>
      </c>
      <c r="AX99" s="12">
        <f t="shared" si="53"/>
        <v>175975.40842632166</v>
      </c>
      <c r="AY99" s="12">
        <v>136661.147</v>
      </c>
      <c r="AZ99" s="12">
        <v>27868.261940699413</v>
      </c>
      <c r="BA99" s="12">
        <v>37747.775000000001</v>
      </c>
      <c r="BB99" s="12">
        <f t="shared" si="54"/>
        <v>202277.18394069941</v>
      </c>
      <c r="BC99" s="12">
        <v>14381.146999999997</v>
      </c>
      <c r="BD99" s="12">
        <v>4608.2285143777481</v>
      </c>
      <c r="BE99" s="12">
        <v>7312.3999999999942</v>
      </c>
      <c r="BF99" s="12">
        <v>26301.775514377739</v>
      </c>
    </row>
    <row r="100" spans="1:58" x14ac:dyDescent="0.25">
      <c r="A100" s="7">
        <v>278</v>
      </c>
      <c r="B100" s="7">
        <v>1</v>
      </c>
      <c r="C100" s="7" t="s">
        <v>101</v>
      </c>
      <c r="D100" s="4">
        <v>3</v>
      </c>
      <c r="E100" s="10">
        <v>2722</v>
      </c>
      <c r="F100" s="8">
        <f t="shared" si="33"/>
        <v>75874.75</v>
      </c>
      <c r="G100" s="8">
        <f t="shared" si="34"/>
        <v>0</v>
      </c>
      <c r="H100" s="8">
        <f t="shared" si="35"/>
        <v>2996</v>
      </c>
      <c r="I100" s="8">
        <f t="shared" si="36"/>
        <v>0</v>
      </c>
      <c r="J100" s="8">
        <f t="shared" si="37"/>
        <v>78870.75</v>
      </c>
      <c r="K100" s="8">
        <f t="shared" si="38"/>
        <v>14765.901108832391</v>
      </c>
      <c r="L100" s="8">
        <f t="shared" si="39"/>
        <v>93636.65110883239</v>
      </c>
      <c r="M100" s="8">
        <f t="shared" si="40"/>
        <v>28.975293901542983</v>
      </c>
      <c r="N100" s="8">
        <f t="shared" si="41"/>
        <v>74652</v>
      </c>
      <c r="O100" s="8">
        <f t="shared" si="42"/>
        <v>189</v>
      </c>
      <c r="P100" s="8">
        <f t="shared" si="43"/>
        <v>745</v>
      </c>
      <c r="Q100" s="8">
        <f t="shared" si="44"/>
        <v>288.75</v>
      </c>
      <c r="R100" s="8">
        <f t="shared" si="45"/>
        <v>0</v>
      </c>
      <c r="S100" s="8">
        <f t="shared" si="46"/>
        <v>0</v>
      </c>
      <c r="T100" s="8">
        <f t="shared" si="47"/>
        <v>0</v>
      </c>
      <c r="U100" s="8">
        <f t="shared" si="48"/>
        <v>2996</v>
      </c>
      <c r="V100" s="8">
        <f t="shared" si="49"/>
        <v>0</v>
      </c>
      <c r="W100" s="8">
        <f t="shared" si="50"/>
        <v>0</v>
      </c>
      <c r="X100" s="8">
        <f t="shared" si="51"/>
        <v>78870.75</v>
      </c>
      <c r="Y100" s="10">
        <v>17337297</v>
      </c>
      <c r="Z100" s="10">
        <v>43975</v>
      </c>
      <c r="AA100" s="10">
        <v>172890</v>
      </c>
      <c r="AB100" s="10">
        <v>57369</v>
      </c>
      <c r="AC100" s="10">
        <v>0</v>
      </c>
      <c r="AD100" s="10">
        <v>0</v>
      </c>
      <c r="AE100" s="10">
        <v>726440</v>
      </c>
      <c r="AF100" s="10">
        <v>18846</v>
      </c>
      <c r="AG100" s="10">
        <v>278937.5</v>
      </c>
      <c r="AH100" s="10">
        <f t="shared" si="52"/>
        <v>6370147.0199999996</v>
      </c>
      <c r="AI100" s="10">
        <v>25005901.52</v>
      </c>
      <c r="AJ100" s="10">
        <v>17411949</v>
      </c>
      <c r="AK100" s="10">
        <v>44164</v>
      </c>
      <c r="AL100" s="10">
        <v>173635</v>
      </c>
      <c r="AM100" s="10">
        <v>57657.75</v>
      </c>
      <c r="AN100" s="10">
        <v>0</v>
      </c>
      <c r="AO100" s="10">
        <v>0</v>
      </c>
      <c r="AP100" s="10">
        <v>726440</v>
      </c>
      <c r="AQ100" s="10">
        <v>21842</v>
      </c>
      <c r="AR100" s="10">
        <v>278937.5</v>
      </c>
      <c r="AS100" s="10">
        <f t="shared" si="32"/>
        <v>6370147.0199999996</v>
      </c>
      <c r="AT100" s="10">
        <v>25084772.27</v>
      </c>
      <c r="AU100" s="12">
        <v>79800</v>
      </c>
      <c r="AV100" s="12">
        <v>12699.288459331532</v>
      </c>
      <c r="AW100" s="12">
        <v>31823.75</v>
      </c>
      <c r="AX100" s="12">
        <f t="shared" si="53"/>
        <v>124323.03845933152</v>
      </c>
      <c r="AY100" s="12">
        <v>89185.145000000004</v>
      </c>
      <c r="AZ100" s="12">
        <v>15215.244568163931</v>
      </c>
      <c r="BA100" s="12">
        <v>34688.550000000003</v>
      </c>
      <c r="BB100" s="12">
        <f t="shared" si="54"/>
        <v>139088.93956816394</v>
      </c>
      <c r="BC100" s="12">
        <v>9385.1450000000041</v>
      </c>
      <c r="BD100" s="12">
        <v>2515.956108832399</v>
      </c>
      <c r="BE100" s="12">
        <v>2864.7999999999884</v>
      </c>
      <c r="BF100" s="12">
        <v>14765.901108832391</v>
      </c>
    </row>
    <row r="101" spans="1:58" x14ac:dyDescent="0.25">
      <c r="A101" s="7">
        <v>279</v>
      </c>
      <c r="B101" s="7">
        <v>1</v>
      </c>
      <c r="C101" s="7" t="s">
        <v>102</v>
      </c>
      <c r="D101" s="4">
        <v>3</v>
      </c>
      <c r="E101" s="10">
        <v>20474</v>
      </c>
      <c r="F101" s="8">
        <f t="shared" si="33"/>
        <v>630812</v>
      </c>
      <c r="G101" s="8">
        <f t="shared" si="34"/>
        <v>0</v>
      </c>
      <c r="H101" s="8">
        <f t="shared" si="35"/>
        <v>221997</v>
      </c>
      <c r="I101" s="8">
        <f t="shared" si="36"/>
        <v>-65</v>
      </c>
      <c r="J101" s="8">
        <f t="shared" si="37"/>
        <v>852744</v>
      </c>
      <c r="K101" s="8">
        <f t="shared" si="38"/>
        <v>299687.44140452251</v>
      </c>
      <c r="L101" s="8">
        <f t="shared" si="39"/>
        <v>1152431.4414045224</v>
      </c>
      <c r="M101" s="8">
        <f t="shared" si="40"/>
        <v>41.650092800625181</v>
      </c>
      <c r="N101" s="8">
        <f t="shared" si="41"/>
        <v>558105</v>
      </c>
      <c r="O101" s="8">
        <f t="shared" si="42"/>
        <v>0</v>
      </c>
      <c r="P101" s="8">
        <f t="shared" si="43"/>
        <v>0</v>
      </c>
      <c r="Q101" s="8">
        <f t="shared" si="44"/>
        <v>72707</v>
      </c>
      <c r="R101" s="8">
        <f t="shared" si="45"/>
        <v>0</v>
      </c>
      <c r="S101" s="8">
        <f t="shared" si="46"/>
        <v>0</v>
      </c>
      <c r="T101" s="8">
        <f t="shared" si="47"/>
        <v>0</v>
      </c>
      <c r="U101" s="8">
        <f t="shared" si="48"/>
        <v>221997</v>
      </c>
      <c r="V101" s="8">
        <f t="shared" si="49"/>
        <v>0</v>
      </c>
      <c r="W101" s="8">
        <f t="shared" si="50"/>
        <v>-65</v>
      </c>
      <c r="X101" s="8">
        <f t="shared" si="51"/>
        <v>852744</v>
      </c>
      <c r="Y101" s="10">
        <v>129614305</v>
      </c>
      <c r="Z101" s="10">
        <v>0</v>
      </c>
      <c r="AA101" s="10">
        <v>0</v>
      </c>
      <c r="AB101" s="10">
        <v>14445427</v>
      </c>
      <c r="AC101" s="10">
        <v>0</v>
      </c>
      <c r="AD101" s="10">
        <v>0</v>
      </c>
      <c r="AE101" s="10">
        <v>5379140</v>
      </c>
      <c r="AF101" s="10">
        <v>1098537</v>
      </c>
      <c r="AG101" s="10">
        <v>1898018.75</v>
      </c>
      <c r="AH101" s="10">
        <f t="shared" si="52"/>
        <v>52844340.939999998</v>
      </c>
      <c r="AI101" s="10">
        <v>205279768.69</v>
      </c>
      <c r="AJ101" s="10">
        <v>130172410</v>
      </c>
      <c r="AK101" s="10">
        <v>0</v>
      </c>
      <c r="AL101" s="10">
        <v>0</v>
      </c>
      <c r="AM101" s="10">
        <v>14518134</v>
      </c>
      <c r="AN101" s="10">
        <v>0</v>
      </c>
      <c r="AO101" s="10">
        <v>0</v>
      </c>
      <c r="AP101" s="10">
        <v>5379140</v>
      </c>
      <c r="AQ101" s="10">
        <v>1320534</v>
      </c>
      <c r="AR101" s="10">
        <v>1898018.75</v>
      </c>
      <c r="AS101" s="10">
        <f t="shared" si="32"/>
        <v>52844275.939999998</v>
      </c>
      <c r="AT101" s="10">
        <v>206132512.69</v>
      </c>
      <c r="AU101" s="12">
        <v>1335960</v>
      </c>
      <c r="AV101" s="12">
        <v>293410.22811182647</v>
      </c>
      <c r="AW101" s="12">
        <v>308063.75</v>
      </c>
      <c r="AX101" s="12">
        <f t="shared" si="53"/>
        <v>1937433.9781118263</v>
      </c>
      <c r="AY101" s="12">
        <v>1493080.0290000001</v>
      </c>
      <c r="AZ101" s="12">
        <v>351540.04051634879</v>
      </c>
      <c r="BA101" s="12">
        <v>392501.35</v>
      </c>
      <c r="BB101" s="12">
        <f t="shared" si="54"/>
        <v>2237121.4195163487</v>
      </c>
      <c r="BC101" s="12">
        <v>157120.0290000001</v>
      </c>
      <c r="BD101" s="12">
        <v>58129.812404522323</v>
      </c>
      <c r="BE101" s="12">
        <v>84437.600000000093</v>
      </c>
      <c r="BF101" s="12">
        <v>299687.44140452251</v>
      </c>
    </row>
    <row r="102" spans="1:58" x14ac:dyDescent="0.25">
      <c r="A102" s="7">
        <v>280</v>
      </c>
      <c r="B102" s="7">
        <v>1</v>
      </c>
      <c r="C102" s="7" t="s">
        <v>103</v>
      </c>
      <c r="D102" s="4">
        <v>2</v>
      </c>
      <c r="E102" s="10">
        <v>4454</v>
      </c>
      <c r="F102" s="8">
        <f t="shared" si="33"/>
        <v>149407.75</v>
      </c>
      <c r="G102" s="8">
        <f t="shared" si="34"/>
        <v>106171.11999999998</v>
      </c>
      <c r="H102" s="8">
        <f t="shared" si="35"/>
        <v>123935</v>
      </c>
      <c r="I102" s="8">
        <f t="shared" si="36"/>
        <v>330.999999997337</v>
      </c>
      <c r="J102" s="8">
        <f t="shared" si="37"/>
        <v>379844.86999999732</v>
      </c>
      <c r="K102" s="8">
        <f t="shared" si="38"/>
        <v>64735.195390145047</v>
      </c>
      <c r="L102" s="8">
        <f t="shared" si="39"/>
        <v>444580.06539014238</v>
      </c>
      <c r="M102" s="8">
        <f t="shared" si="40"/>
        <v>85.281740008980094</v>
      </c>
      <c r="N102" s="8">
        <f t="shared" si="41"/>
        <v>120700</v>
      </c>
      <c r="O102" s="8">
        <f t="shared" si="42"/>
        <v>0</v>
      </c>
      <c r="P102" s="8">
        <f t="shared" si="43"/>
        <v>0</v>
      </c>
      <c r="Q102" s="8">
        <f t="shared" si="44"/>
        <v>28707.75</v>
      </c>
      <c r="R102" s="8">
        <f t="shared" si="45"/>
        <v>0</v>
      </c>
      <c r="S102" s="8">
        <f t="shared" si="46"/>
        <v>0</v>
      </c>
      <c r="T102" s="8">
        <f t="shared" si="47"/>
        <v>106171.11999999998</v>
      </c>
      <c r="U102" s="8">
        <f t="shared" si="48"/>
        <v>123935</v>
      </c>
      <c r="V102" s="8">
        <f t="shared" si="49"/>
        <v>0</v>
      </c>
      <c r="W102" s="8">
        <f t="shared" si="50"/>
        <v>331</v>
      </c>
      <c r="X102" s="8">
        <f t="shared" si="51"/>
        <v>379844.86999999732</v>
      </c>
      <c r="Y102" s="10">
        <v>28031368</v>
      </c>
      <c r="Z102" s="10">
        <v>0</v>
      </c>
      <c r="AA102" s="10">
        <v>0</v>
      </c>
      <c r="AB102" s="10">
        <v>5703656</v>
      </c>
      <c r="AC102" s="10">
        <v>0</v>
      </c>
      <c r="AD102" s="10">
        <v>0</v>
      </c>
      <c r="AE102" s="10">
        <v>0</v>
      </c>
      <c r="AF102" s="10">
        <v>858600</v>
      </c>
      <c r="AG102" s="10">
        <v>619236.25</v>
      </c>
      <c r="AH102" s="10">
        <f t="shared" si="52"/>
        <v>8413472.9799999967</v>
      </c>
      <c r="AI102" s="10">
        <v>43626333.229999997</v>
      </c>
      <c r="AJ102" s="10">
        <v>28152068</v>
      </c>
      <c r="AK102" s="10">
        <v>0</v>
      </c>
      <c r="AL102" s="10">
        <v>0</v>
      </c>
      <c r="AM102" s="10">
        <v>5732363.75</v>
      </c>
      <c r="AN102" s="10">
        <v>0</v>
      </c>
      <c r="AO102" s="10">
        <v>0</v>
      </c>
      <c r="AP102" s="10">
        <v>106171.11999999998</v>
      </c>
      <c r="AQ102" s="10">
        <v>982535</v>
      </c>
      <c r="AR102" s="10">
        <v>619236.25</v>
      </c>
      <c r="AS102" s="10">
        <f t="shared" si="32"/>
        <v>8413803.9799999967</v>
      </c>
      <c r="AT102" s="10">
        <v>44006178.099999994</v>
      </c>
      <c r="AU102" s="12">
        <v>272880</v>
      </c>
      <c r="AV102" s="12">
        <v>75283.631036757055</v>
      </c>
      <c r="AW102" s="12">
        <v>59204.75</v>
      </c>
      <c r="AX102" s="12">
        <f t="shared" si="53"/>
        <v>407368.38103675703</v>
      </c>
      <c r="AY102" s="12">
        <v>304972.962</v>
      </c>
      <c r="AZ102" s="12">
        <v>90198.664426902091</v>
      </c>
      <c r="BA102" s="12">
        <v>76931.95</v>
      </c>
      <c r="BB102" s="12">
        <f t="shared" si="54"/>
        <v>472103.57642690209</v>
      </c>
      <c r="BC102" s="12">
        <v>32092.962</v>
      </c>
      <c r="BD102" s="12">
        <v>14915.033390145036</v>
      </c>
      <c r="BE102" s="12">
        <v>17727.200000000012</v>
      </c>
      <c r="BF102" s="12">
        <v>64735.195390145047</v>
      </c>
    </row>
    <row r="103" spans="1:58" x14ac:dyDescent="0.25">
      <c r="A103" s="7">
        <v>281</v>
      </c>
      <c r="B103" s="7">
        <v>1</v>
      </c>
      <c r="C103" s="7" t="s">
        <v>104</v>
      </c>
      <c r="D103" s="4">
        <v>2</v>
      </c>
      <c r="E103" s="10">
        <v>12105</v>
      </c>
      <c r="F103" s="8">
        <f t="shared" si="33"/>
        <v>388255.75</v>
      </c>
      <c r="G103" s="8">
        <f t="shared" si="34"/>
        <v>262229.62</v>
      </c>
      <c r="H103" s="8">
        <f t="shared" si="35"/>
        <v>160686</v>
      </c>
      <c r="I103" s="8">
        <f t="shared" si="36"/>
        <v>4.7730281949043274E-9</v>
      </c>
      <c r="J103" s="8">
        <f t="shared" si="37"/>
        <v>811171.37000000477</v>
      </c>
      <c r="K103" s="8">
        <f t="shared" si="38"/>
        <v>188442.19876973113</v>
      </c>
      <c r="L103" s="8">
        <f t="shared" si="39"/>
        <v>999613.56876973587</v>
      </c>
      <c r="M103" s="8">
        <f t="shared" si="40"/>
        <v>67.011265592730666</v>
      </c>
      <c r="N103" s="8">
        <f t="shared" si="41"/>
        <v>330670</v>
      </c>
      <c r="O103" s="8">
        <f t="shared" si="42"/>
        <v>0</v>
      </c>
      <c r="P103" s="8">
        <f t="shared" si="43"/>
        <v>0</v>
      </c>
      <c r="Q103" s="8">
        <f t="shared" si="44"/>
        <v>57585.75</v>
      </c>
      <c r="R103" s="8">
        <f t="shared" si="45"/>
        <v>0</v>
      </c>
      <c r="S103" s="8">
        <f t="shared" si="46"/>
        <v>0</v>
      </c>
      <c r="T103" s="8">
        <f t="shared" si="47"/>
        <v>262229.62</v>
      </c>
      <c r="U103" s="8">
        <f t="shared" si="48"/>
        <v>160686</v>
      </c>
      <c r="V103" s="8">
        <f t="shared" si="49"/>
        <v>0</v>
      </c>
      <c r="W103" s="8">
        <f t="shared" si="50"/>
        <v>0</v>
      </c>
      <c r="X103" s="8">
        <f t="shared" si="51"/>
        <v>811171.37000000477</v>
      </c>
      <c r="Y103" s="10">
        <v>76794801</v>
      </c>
      <c r="Z103" s="10">
        <v>0</v>
      </c>
      <c r="AA103" s="10">
        <v>0</v>
      </c>
      <c r="AB103" s="10">
        <v>11441137</v>
      </c>
      <c r="AC103" s="10">
        <v>0</v>
      </c>
      <c r="AD103" s="10">
        <v>0</v>
      </c>
      <c r="AE103" s="10">
        <v>0</v>
      </c>
      <c r="AF103" s="10">
        <v>944349</v>
      </c>
      <c r="AG103" s="10">
        <v>1252276.25</v>
      </c>
      <c r="AH103" s="10">
        <f t="shared" si="52"/>
        <v>29736929.930000007</v>
      </c>
      <c r="AI103" s="10">
        <v>120169493.18000001</v>
      </c>
      <c r="AJ103" s="10">
        <v>77125471</v>
      </c>
      <c r="AK103" s="10">
        <v>0</v>
      </c>
      <c r="AL103" s="10">
        <v>0</v>
      </c>
      <c r="AM103" s="10">
        <v>11498722.75</v>
      </c>
      <c r="AN103" s="10">
        <v>0</v>
      </c>
      <c r="AO103" s="10">
        <v>0</v>
      </c>
      <c r="AP103" s="10">
        <v>262229.62</v>
      </c>
      <c r="AQ103" s="10">
        <v>1105035</v>
      </c>
      <c r="AR103" s="10">
        <v>1252276.25</v>
      </c>
      <c r="AS103" s="10">
        <f t="shared" si="32"/>
        <v>29736929.930000007</v>
      </c>
      <c r="AT103" s="10">
        <v>120980664.55000001</v>
      </c>
      <c r="AU103" s="12">
        <v>833760</v>
      </c>
      <c r="AV103" s="12">
        <v>204635.11290021826</v>
      </c>
      <c r="AW103" s="12">
        <v>175371.375</v>
      </c>
      <c r="AX103" s="12">
        <f t="shared" si="53"/>
        <v>1213766.4879002182</v>
      </c>
      <c r="AY103" s="12">
        <v>931817.12399999995</v>
      </c>
      <c r="AZ103" s="12">
        <v>245176.98766994948</v>
      </c>
      <c r="BA103" s="12">
        <v>225214.57500000001</v>
      </c>
      <c r="BB103" s="12">
        <f t="shared" si="54"/>
        <v>1402208.6866699494</v>
      </c>
      <c r="BC103" s="12">
        <v>98057.123999999953</v>
      </c>
      <c r="BD103" s="12">
        <v>40541.874769731221</v>
      </c>
      <c r="BE103" s="12">
        <v>49843.199999999953</v>
      </c>
      <c r="BF103" s="12">
        <v>188442.19876973113</v>
      </c>
    </row>
    <row r="104" spans="1:58" x14ac:dyDescent="0.25">
      <c r="A104" s="7">
        <v>282</v>
      </c>
      <c r="B104" s="7">
        <v>1</v>
      </c>
      <c r="C104" s="7" t="s">
        <v>105</v>
      </c>
      <c r="D104" s="4">
        <v>2</v>
      </c>
      <c r="E104" s="10">
        <v>1697</v>
      </c>
      <c r="F104" s="8">
        <f t="shared" si="33"/>
        <v>47944</v>
      </c>
      <c r="G104" s="8">
        <f t="shared" si="34"/>
        <v>0</v>
      </c>
      <c r="H104" s="8">
        <f t="shared" si="35"/>
        <v>5573</v>
      </c>
      <c r="I104" s="8">
        <f t="shared" si="36"/>
        <v>0</v>
      </c>
      <c r="J104" s="8">
        <f t="shared" si="37"/>
        <v>53517</v>
      </c>
      <c r="K104" s="8">
        <f t="shared" si="38"/>
        <v>13070.813132478104</v>
      </c>
      <c r="L104" s="8">
        <f t="shared" si="39"/>
        <v>66587.813132478099</v>
      </c>
      <c r="M104" s="8">
        <f t="shared" si="40"/>
        <v>31.536240424278137</v>
      </c>
      <c r="N104" s="8">
        <f t="shared" si="41"/>
        <v>46860</v>
      </c>
      <c r="O104" s="8">
        <f t="shared" si="42"/>
        <v>0</v>
      </c>
      <c r="P104" s="8">
        <f t="shared" si="43"/>
        <v>0</v>
      </c>
      <c r="Q104" s="8">
        <f t="shared" si="44"/>
        <v>1084</v>
      </c>
      <c r="R104" s="8">
        <f t="shared" si="45"/>
        <v>0</v>
      </c>
      <c r="S104" s="8">
        <f t="shared" si="46"/>
        <v>0</v>
      </c>
      <c r="T104" s="8">
        <f t="shared" si="47"/>
        <v>0</v>
      </c>
      <c r="U104" s="8">
        <f t="shared" si="48"/>
        <v>5573</v>
      </c>
      <c r="V104" s="8">
        <f t="shared" si="49"/>
        <v>0</v>
      </c>
      <c r="W104" s="8">
        <f t="shared" si="50"/>
        <v>0</v>
      </c>
      <c r="X104" s="8">
        <f t="shared" si="51"/>
        <v>53517</v>
      </c>
      <c r="Y104" s="10">
        <v>10882766</v>
      </c>
      <c r="Z104" s="10">
        <v>0</v>
      </c>
      <c r="AA104" s="10">
        <v>0</v>
      </c>
      <c r="AB104" s="10">
        <v>215369</v>
      </c>
      <c r="AC104" s="10">
        <v>0</v>
      </c>
      <c r="AD104" s="10">
        <v>0</v>
      </c>
      <c r="AE104" s="10">
        <v>450840</v>
      </c>
      <c r="AF104" s="10">
        <v>46872</v>
      </c>
      <c r="AG104" s="10">
        <v>230806.25</v>
      </c>
      <c r="AH104" s="10">
        <f t="shared" si="52"/>
        <v>3163619.4399999995</v>
      </c>
      <c r="AI104" s="10">
        <v>14990272.689999999</v>
      </c>
      <c r="AJ104" s="10">
        <v>10929626</v>
      </c>
      <c r="AK104" s="10">
        <v>0</v>
      </c>
      <c r="AL104" s="10">
        <v>0</v>
      </c>
      <c r="AM104" s="10">
        <v>216453</v>
      </c>
      <c r="AN104" s="10">
        <v>0</v>
      </c>
      <c r="AO104" s="10">
        <v>0</v>
      </c>
      <c r="AP104" s="10">
        <v>450840</v>
      </c>
      <c r="AQ104" s="10">
        <v>52445</v>
      </c>
      <c r="AR104" s="10">
        <v>230806.25</v>
      </c>
      <c r="AS104" s="10">
        <f t="shared" si="32"/>
        <v>3163619.4399999995</v>
      </c>
      <c r="AT104" s="10">
        <v>15043789.689999999</v>
      </c>
      <c r="AU104" s="12">
        <v>49200</v>
      </c>
      <c r="AV104" s="12">
        <v>11662.163611183218</v>
      </c>
      <c r="AW104" s="12">
        <v>21511.5</v>
      </c>
      <c r="AX104" s="12">
        <f t="shared" si="53"/>
        <v>82373.663611183219</v>
      </c>
      <c r="AY104" s="12">
        <v>54986.33</v>
      </c>
      <c r="AZ104" s="12">
        <v>13972.64674366132</v>
      </c>
      <c r="BA104" s="12">
        <v>26485.5</v>
      </c>
      <c r="BB104" s="12">
        <f t="shared" si="54"/>
        <v>95444.476743661318</v>
      </c>
      <c r="BC104" s="12">
        <v>5786.3300000000017</v>
      </c>
      <c r="BD104" s="12">
        <v>2310.4831324781026</v>
      </c>
      <c r="BE104" s="12">
        <v>4974</v>
      </c>
      <c r="BF104" s="12">
        <v>13070.813132478104</v>
      </c>
    </row>
    <row r="105" spans="1:58" x14ac:dyDescent="0.25">
      <c r="A105" s="7">
        <v>283</v>
      </c>
      <c r="B105" s="7">
        <v>1</v>
      </c>
      <c r="C105" s="7" t="s">
        <v>106</v>
      </c>
      <c r="D105" s="4">
        <v>2</v>
      </c>
      <c r="E105" s="10">
        <v>4465</v>
      </c>
      <c r="F105" s="8">
        <f t="shared" si="33"/>
        <v>127905.25</v>
      </c>
      <c r="G105" s="8">
        <f t="shared" si="34"/>
        <v>0</v>
      </c>
      <c r="H105" s="8">
        <f t="shared" si="35"/>
        <v>36521</v>
      </c>
      <c r="I105" s="8">
        <f t="shared" si="36"/>
        <v>-32</v>
      </c>
      <c r="J105" s="8">
        <f t="shared" si="37"/>
        <v>164394.25</v>
      </c>
      <c r="K105" s="8">
        <f t="shared" si="38"/>
        <v>73522.029445707667</v>
      </c>
      <c r="L105" s="8">
        <f t="shared" si="39"/>
        <v>237916.27944570768</v>
      </c>
      <c r="M105" s="8">
        <f t="shared" si="40"/>
        <v>36.818421052631578</v>
      </c>
      <c r="N105" s="8">
        <f t="shared" si="41"/>
        <v>117873</v>
      </c>
      <c r="O105" s="8">
        <f t="shared" si="42"/>
        <v>0</v>
      </c>
      <c r="P105" s="8">
        <f t="shared" si="43"/>
        <v>0</v>
      </c>
      <c r="Q105" s="8">
        <f t="shared" si="44"/>
        <v>10032.25</v>
      </c>
      <c r="R105" s="8">
        <f t="shared" si="45"/>
        <v>0</v>
      </c>
      <c r="S105" s="8">
        <f t="shared" si="46"/>
        <v>0</v>
      </c>
      <c r="T105" s="8">
        <f t="shared" si="47"/>
        <v>0</v>
      </c>
      <c r="U105" s="8">
        <f t="shared" si="48"/>
        <v>36521</v>
      </c>
      <c r="V105" s="8">
        <f t="shared" si="49"/>
        <v>0</v>
      </c>
      <c r="W105" s="8">
        <f t="shared" si="50"/>
        <v>-32</v>
      </c>
      <c r="X105" s="8">
        <f t="shared" si="51"/>
        <v>164394.25</v>
      </c>
      <c r="Y105" s="10">
        <v>27375000</v>
      </c>
      <c r="Z105" s="10">
        <v>0</v>
      </c>
      <c r="AA105" s="10">
        <v>0</v>
      </c>
      <c r="AB105" s="10">
        <v>1993207</v>
      </c>
      <c r="AC105" s="10">
        <v>0</v>
      </c>
      <c r="AD105" s="10">
        <v>0</v>
      </c>
      <c r="AE105" s="10">
        <v>1217060</v>
      </c>
      <c r="AF105" s="10">
        <v>236617</v>
      </c>
      <c r="AG105" s="10">
        <v>235748</v>
      </c>
      <c r="AH105" s="10">
        <f t="shared" si="52"/>
        <v>12800880.460000001</v>
      </c>
      <c r="AI105" s="10">
        <v>43858512.460000001</v>
      </c>
      <c r="AJ105" s="10">
        <v>27492873</v>
      </c>
      <c r="AK105" s="10">
        <v>0</v>
      </c>
      <c r="AL105" s="10">
        <v>0</v>
      </c>
      <c r="AM105" s="10">
        <v>2003239.25</v>
      </c>
      <c r="AN105" s="10">
        <v>0</v>
      </c>
      <c r="AO105" s="10">
        <v>0</v>
      </c>
      <c r="AP105" s="10">
        <v>1217060</v>
      </c>
      <c r="AQ105" s="10">
        <v>273138</v>
      </c>
      <c r="AR105" s="10">
        <v>235748</v>
      </c>
      <c r="AS105" s="10">
        <f t="shared" si="32"/>
        <v>12800848.460000001</v>
      </c>
      <c r="AT105" s="10">
        <v>44022906.710000001</v>
      </c>
      <c r="AU105" s="12">
        <v>400920</v>
      </c>
      <c r="AV105" s="12">
        <v>72961.089809709563</v>
      </c>
      <c r="AW105" s="12">
        <v>48975.75</v>
      </c>
      <c r="AX105" s="12">
        <f t="shared" si="53"/>
        <v>522856.83980970958</v>
      </c>
      <c r="AY105" s="12">
        <v>448071.533</v>
      </c>
      <c r="AZ105" s="12">
        <v>87415.986255417258</v>
      </c>
      <c r="BA105" s="12">
        <v>60891.35</v>
      </c>
      <c r="BB105" s="12">
        <f t="shared" si="54"/>
        <v>596378.86925541726</v>
      </c>
      <c r="BC105" s="12">
        <v>47151.532999999996</v>
      </c>
      <c r="BD105" s="12">
        <v>14454.896445707695</v>
      </c>
      <c r="BE105" s="12">
        <v>11915.599999999977</v>
      </c>
      <c r="BF105" s="12">
        <v>73522.029445707667</v>
      </c>
    </row>
    <row r="106" spans="1:58" x14ac:dyDescent="0.25">
      <c r="A106" s="7">
        <v>284</v>
      </c>
      <c r="B106" s="7">
        <v>1</v>
      </c>
      <c r="C106" s="7" t="s">
        <v>107</v>
      </c>
      <c r="D106" s="4">
        <v>3</v>
      </c>
      <c r="E106" s="10">
        <v>11235</v>
      </c>
      <c r="F106" s="8">
        <f t="shared" si="33"/>
        <v>310868.5</v>
      </c>
      <c r="G106" s="8">
        <f t="shared" si="34"/>
        <v>0</v>
      </c>
      <c r="H106" s="8">
        <f t="shared" si="35"/>
        <v>7740</v>
      </c>
      <c r="I106" s="8">
        <f t="shared" si="36"/>
        <v>0</v>
      </c>
      <c r="J106" s="8">
        <f t="shared" si="37"/>
        <v>318608.5</v>
      </c>
      <c r="K106" s="8">
        <f t="shared" si="38"/>
        <v>80673.565058782871</v>
      </c>
      <c r="L106" s="8">
        <f t="shared" si="39"/>
        <v>399282.06505878287</v>
      </c>
      <c r="M106" s="8">
        <f t="shared" si="40"/>
        <v>28.358566978193146</v>
      </c>
      <c r="N106" s="8">
        <f t="shared" si="41"/>
        <v>307325</v>
      </c>
      <c r="O106" s="8">
        <f t="shared" si="42"/>
        <v>0</v>
      </c>
      <c r="P106" s="8">
        <f t="shared" si="43"/>
        <v>0</v>
      </c>
      <c r="Q106" s="8">
        <f t="shared" si="44"/>
        <v>3543.5</v>
      </c>
      <c r="R106" s="8">
        <f t="shared" si="45"/>
        <v>0</v>
      </c>
      <c r="S106" s="8">
        <f t="shared" si="46"/>
        <v>0</v>
      </c>
      <c r="T106" s="8">
        <f t="shared" si="47"/>
        <v>0</v>
      </c>
      <c r="U106" s="8">
        <f t="shared" si="48"/>
        <v>7740</v>
      </c>
      <c r="V106" s="8">
        <f t="shared" si="49"/>
        <v>0</v>
      </c>
      <c r="W106" s="8">
        <f t="shared" si="50"/>
        <v>0</v>
      </c>
      <c r="X106" s="8">
        <f t="shared" si="51"/>
        <v>318608.5</v>
      </c>
      <c r="Y106" s="10">
        <v>71373158</v>
      </c>
      <c r="Z106" s="10">
        <v>0</v>
      </c>
      <c r="AA106" s="10">
        <v>0</v>
      </c>
      <c r="AB106" s="10">
        <v>704023</v>
      </c>
      <c r="AC106" s="10">
        <v>0</v>
      </c>
      <c r="AD106" s="10">
        <v>0</v>
      </c>
      <c r="AE106" s="10">
        <v>2762500</v>
      </c>
      <c r="AF106" s="10">
        <v>121461</v>
      </c>
      <c r="AG106" s="10">
        <v>1237962.5</v>
      </c>
      <c r="AH106" s="10">
        <f t="shared" si="52"/>
        <v>25162251.689999998</v>
      </c>
      <c r="AI106" s="10">
        <v>101361356.19</v>
      </c>
      <c r="AJ106" s="10">
        <v>71680483</v>
      </c>
      <c r="AK106" s="10">
        <v>0</v>
      </c>
      <c r="AL106" s="10">
        <v>0</v>
      </c>
      <c r="AM106" s="10">
        <v>707566.5</v>
      </c>
      <c r="AN106" s="10">
        <v>0</v>
      </c>
      <c r="AO106" s="10">
        <v>0</v>
      </c>
      <c r="AP106" s="10">
        <v>2762500</v>
      </c>
      <c r="AQ106" s="10">
        <v>129201</v>
      </c>
      <c r="AR106" s="10">
        <v>1237962.5</v>
      </c>
      <c r="AS106" s="10">
        <f t="shared" si="32"/>
        <v>25162251.689999998</v>
      </c>
      <c r="AT106" s="10">
        <v>101679964.69</v>
      </c>
      <c r="AU106" s="12">
        <v>422400</v>
      </c>
      <c r="AV106" s="12">
        <v>74078.145034206624</v>
      </c>
      <c r="AW106" s="12">
        <v>124889.375</v>
      </c>
      <c r="AX106" s="12">
        <f t="shared" si="53"/>
        <v>621367.52003420657</v>
      </c>
      <c r="AY106" s="12">
        <v>472077.76</v>
      </c>
      <c r="AZ106" s="12">
        <v>88754.350092989509</v>
      </c>
      <c r="BA106" s="12">
        <v>141208.97500000001</v>
      </c>
      <c r="BB106" s="12">
        <f t="shared" si="54"/>
        <v>702041.0850929895</v>
      </c>
      <c r="BC106" s="12">
        <v>49677.760000000009</v>
      </c>
      <c r="BD106" s="12">
        <v>14676.205058782885</v>
      </c>
      <c r="BE106" s="12">
        <v>16319.599999999977</v>
      </c>
      <c r="BF106" s="12">
        <v>80673.565058782871</v>
      </c>
    </row>
    <row r="107" spans="1:58" x14ac:dyDescent="0.25">
      <c r="A107" s="7">
        <v>286</v>
      </c>
      <c r="B107" s="7">
        <v>1</v>
      </c>
      <c r="C107" s="7" t="s">
        <v>108</v>
      </c>
      <c r="D107" s="4">
        <v>2</v>
      </c>
      <c r="E107" s="10">
        <v>2238</v>
      </c>
      <c r="F107" s="8">
        <f t="shared" si="33"/>
        <v>81993.5</v>
      </c>
      <c r="G107" s="8">
        <f t="shared" si="34"/>
        <v>0</v>
      </c>
      <c r="H107" s="8">
        <f t="shared" si="35"/>
        <v>48111</v>
      </c>
      <c r="I107" s="8">
        <f t="shared" si="36"/>
        <v>0</v>
      </c>
      <c r="J107" s="8">
        <f t="shared" si="37"/>
        <v>130104.5</v>
      </c>
      <c r="K107" s="8">
        <f t="shared" si="38"/>
        <v>34424.521475892863</v>
      </c>
      <c r="L107" s="8">
        <f t="shared" si="39"/>
        <v>164529.02147589286</v>
      </c>
      <c r="M107" s="8">
        <f t="shared" si="40"/>
        <v>58.13427167113494</v>
      </c>
      <c r="N107" s="8">
        <f t="shared" si="41"/>
        <v>61080</v>
      </c>
      <c r="O107" s="8">
        <f t="shared" si="42"/>
        <v>0</v>
      </c>
      <c r="P107" s="8">
        <f t="shared" si="43"/>
        <v>0</v>
      </c>
      <c r="Q107" s="8">
        <f t="shared" si="44"/>
        <v>20913.5</v>
      </c>
      <c r="R107" s="8">
        <f t="shared" si="45"/>
        <v>0</v>
      </c>
      <c r="S107" s="8">
        <f t="shared" si="46"/>
        <v>0</v>
      </c>
      <c r="T107" s="8">
        <f t="shared" si="47"/>
        <v>0</v>
      </c>
      <c r="U107" s="8">
        <f t="shared" si="48"/>
        <v>48111</v>
      </c>
      <c r="V107" s="8">
        <f t="shared" si="49"/>
        <v>0</v>
      </c>
      <c r="W107" s="8">
        <f t="shared" si="50"/>
        <v>0</v>
      </c>
      <c r="X107" s="8">
        <f t="shared" si="51"/>
        <v>130104.5</v>
      </c>
      <c r="Y107" s="10">
        <v>14185219</v>
      </c>
      <c r="Z107" s="10">
        <v>0</v>
      </c>
      <c r="AA107" s="10">
        <v>0</v>
      </c>
      <c r="AB107" s="10">
        <v>4155094</v>
      </c>
      <c r="AC107" s="10">
        <v>0</v>
      </c>
      <c r="AD107" s="10">
        <v>0</v>
      </c>
      <c r="AE107" s="10">
        <v>567320</v>
      </c>
      <c r="AF107" s="10">
        <v>378738</v>
      </c>
      <c r="AG107" s="10">
        <v>409236.25</v>
      </c>
      <c r="AH107" s="10">
        <f t="shared" si="52"/>
        <v>2855754.2300000004</v>
      </c>
      <c r="AI107" s="10">
        <v>22551361.48</v>
      </c>
      <c r="AJ107" s="10">
        <v>14246299</v>
      </c>
      <c r="AK107" s="10">
        <v>0</v>
      </c>
      <c r="AL107" s="10">
        <v>0</v>
      </c>
      <c r="AM107" s="10">
        <v>4176007.5</v>
      </c>
      <c r="AN107" s="10">
        <v>0</v>
      </c>
      <c r="AO107" s="10">
        <v>0</v>
      </c>
      <c r="AP107" s="10">
        <v>567320</v>
      </c>
      <c r="AQ107" s="10">
        <v>426849</v>
      </c>
      <c r="AR107" s="10">
        <v>409236.25</v>
      </c>
      <c r="AS107" s="10">
        <f t="shared" si="32"/>
        <v>2855754.2300000004</v>
      </c>
      <c r="AT107" s="10">
        <v>22681465.98</v>
      </c>
      <c r="AU107" s="12">
        <v>108000</v>
      </c>
      <c r="AV107" s="12">
        <v>40313.481399569224</v>
      </c>
      <c r="AW107" s="12">
        <v>33256.625</v>
      </c>
      <c r="AX107" s="12">
        <f t="shared" si="53"/>
        <v>181570.10639956922</v>
      </c>
      <c r="AY107" s="12">
        <v>120701.7</v>
      </c>
      <c r="AZ107" s="12">
        <v>48300.30287546209</v>
      </c>
      <c r="BA107" s="12">
        <v>46992.625</v>
      </c>
      <c r="BB107" s="12">
        <f t="shared" si="54"/>
        <v>215994.62787546209</v>
      </c>
      <c r="BC107" s="12">
        <v>12701.699999999997</v>
      </c>
      <c r="BD107" s="12">
        <v>7986.8214758928661</v>
      </c>
      <c r="BE107" s="12">
        <v>13736</v>
      </c>
      <c r="BF107" s="12">
        <v>34424.521475892863</v>
      </c>
    </row>
    <row r="108" spans="1:58" x14ac:dyDescent="0.25">
      <c r="A108" s="7">
        <v>294</v>
      </c>
      <c r="B108" s="7">
        <v>1</v>
      </c>
      <c r="C108" s="7" t="s">
        <v>109</v>
      </c>
      <c r="D108" s="4">
        <v>5</v>
      </c>
      <c r="E108" s="10">
        <v>2578</v>
      </c>
      <c r="F108" s="8">
        <f t="shared" si="33"/>
        <v>76832.5</v>
      </c>
      <c r="G108" s="8">
        <f t="shared" si="34"/>
        <v>0</v>
      </c>
      <c r="H108" s="8">
        <f t="shared" si="35"/>
        <v>0</v>
      </c>
      <c r="I108" s="8">
        <f t="shared" si="36"/>
        <v>0</v>
      </c>
      <c r="J108" s="8">
        <f t="shared" si="37"/>
        <v>76832.5</v>
      </c>
      <c r="K108" s="8">
        <f t="shared" si="38"/>
        <v>7776.2360688058361</v>
      </c>
      <c r="L108" s="8">
        <f t="shared" si="39"/>
        <v>84608.73606880584</v>
      </c>
      <c r="M108" s="8">
        <f t="shared" si="40"/>
        <v>29.803141970519782</v>
      </c>
      <c r="N108" s="8">
        <f t="shared" si="41"/>
        <v>70193</v>
      </c>
      <c r="O108" s="8">
        <f t="shared" si="42"/>
        <v>0</v>
      </c>
      <c r="P108" s="8">
        <f t="shared" si="43"/>
        <v>2727</v>
      </c>
      <c r="Q108" s="8">
        <f t="shared" si="44"/>
        <v>3912.5</v>
      </c>
      <c r="R108" s="8">
        <f t="shared" si="45"/>
        <v>0</v>
      </c>
      <c r="S108" s="8">
        <f t="shared" si="46"/>
        <v>0</v>
      </c>
      <c r="T108" s="8">
        <f t="shared" si="47"/>
        <v>0</v>
      </c>
      <c r="U108" s="8">
        <f t="shared" si="48"/>
        <v>0</v>
      </c>
      <c r="V108" s="8">
        <f t="shared" si="49"/>
        <v>0</v>
      </c>
      <c r="W108" s="8">
        <f t="shared" si="50"/>
        <v>0</v>
      </c>
      <c r="X108" s="8">
        <f t="shared" si="51"/>
        <v>76832.5</v>
      </c>
      <c r="Y108" s="10">
        <v>16301506</v>
      </c>
      <c r="Z108" s="10">
        <v>0</v>
      </c>
      <c r="AA108" s="10">
        <v>633361</v>
      </c>
      <c r="AB108" s="10">
        <v>777336</v>
      </c>
      <c r="AC108" s="10">
        <v>0</v>
      </c>
      <c r="AD108" s="10">
        <v>0</v>
      </c>
      <c r="AE108" s="10">
        <v>385320</v>
      </c>
      <c r="AF108" s="10">
        <v>0</v>
      </c>
      <c r="AG108" s="10">
        <v>404309</v>
      </c>
      <c r="AH108" s="10">
        <f t="shared" si="52"/>
        <v>2354857.6799999997</v>
      </c>
      <c r="AI108" s="10">
        <v>20856689.68</v>
      </c>
      <c r="AJ108" s="10">
        <v>16371699</v>
      </c>
      <c r="AK108" s="10">
        <v>0</v>
      </c>
      <c r="AL108" s="10">
        <v>636088</v>
      </c>
      <c r="AM108" s="10">
        <v>781248.5</v>
      </c>
      <c r="AN108" s="10">
        <v>0</v>
      </c>
      <c r="AO108" s="10">
        <v>0</v>
      </c>
      <c r="AP108" s="10">
        <v>385320</v>
      </c>
      <c r="AQ108" s="10">
        <v>0</v>
      </c>
      <c r="AR108" s="10">
        <v>404309</v>
      </c>
      <c r="AS108" s="10">
        <f t="shared" si="32"/>
        <v>2354857.6799999997</v>
      </c>
      <c r="AT108" s="10">
        <v>20933522.18</v>
      </c>
      <c r="AU108" s="12">
        <v>18000</v>
      </c>
      <c r="AV108" s="12">
        <v>14456.474432297473</v>
      </c>
      <c r="AW108" s="12">
        <v>6905.125</v>
      </c>
      <c r="AX108" s="12">
        <f t="shared" si="53"/>
        <v>39361.599432297473</v>
      </c>
      <c r="AY108" s="12">
        <v>20116.95</v>
      </c>
      <c r="AZ108" s="12">
        <v>17320.560501103311</v>
      </c>
      <c r="BA108" s="12">
        <v>9700.3250000000007</v>
      </c>
      <c r="BB108" s="12">
        <f t="shared" si="54"/>
        <v>47137.835501103313</v>
      </c>
      <c r="BC108" s="12">
        <v>2116.9500000000007</v>
      </c>
      <c r="BD108" s="12">
        <v>2864.0860688058383</v>
      </c>
      <c r="BE108" s="12">
        <v>2795.1999999999971</v>
      </c>
      <c r="BF108" s="12">
        <v>7776.2360688058361</v>
      </c>
    </row>
    <row r="109" spans="1:58" x14ac:dyDescent="0.25">
      <c r="A109" s="7">
        <v>297</v>
      </c>
      <c r="B109" s="7">
        <v>1</v>
      </c>
      <c r="C109" s="7" t="s">
        <v>110</v>
      </c>
      <c r="D109" s="4">
        <v>6</v>
      </c>
      <c r="E109" s="10">
        <v>343</v>
      </c>
      <c r="F109" s="8">
        <f t="shared" si="33"/>
        <v>10267.75</v>
      </c>
      <c r="G109" s="8">
        <f t="shared" si="34"/>
        <v>0</v>
      </c>
      <c r="H109" s="8">
        <f t="shared" si="35"/>
        <v>0</v>
      </c>
      <c r="I109" s="8">
        <f t="shared" si="36"/>
        <v>13</v>
      </c>
      <c r="J109" s="8">
        <f t="shared" si="37"/>
        <v>10280.75</v>
      </c>
      <c r="K109" s="8">
        <f t="shared" si="38"/>
        <v>5177.2452870237285</v>
      </c>
      <c r="L109" s="8">
        <f t="shared" si="39"/>
        <v>15457.995287023728</v>
      </c>
      <c r="M109" s="8">
        <f t="shared" si="40"/>
        <v>29.973032069970845</v>
      </c>
      <c r="N109" s="8">
        <f t="shared" si="41"/>
        <v>9325</v>
      </c>
      <c r="O109" s="8">
        <f t="shared" si="42"/>
        <v>119</v>
      </c>
      <c r="P109" s="8">
        <f t="shared" si="43"/>
        <v>307</v>
      </c>
      <c r="Q109" s="8">
        <f t="shared" si="44"/>
        <v>516.75</v>
      </c>
      <c r="R109" s="8">
        <f t="shared" si="45"/>
        <v>0</v>
      </c>
      <c r="S109" s="8">
        <f t="shared" si="46"/>
        <v>0</v>
      </c>
      <c r="T109" s="8">
        <f t="shared" si="47"/>
        <v>0</v>
      </c>
      <c r="U109" s="8">
        <f t="shared" si="48"/>
        <v>0</v>
      </c>
      <c r="V109" s="8">
        <f t="shared" si="49"/>
        <v>13</v>
      </c>
      <c r="W109" s="8">
        <f t="shared" si="50"/>
        <v>0</v>
      </c>
      <c r="X109" s="8">
        <f t="shared" si="51"/>
        <v>10280.75</v>
      </c>
      <c r="Y109" s="10">
        <v>2165638</v>
      </c>
      <c r="Z109" s="10">
        <v>27637</v>
      </c>
      <c r="AA109" s="10">
        <v>71482</v>
      </c>
      <c r="AB109" s="10">
        <v>102668</v>
      </c>
      <c r="AC109" s="10">
        <v>0</v>
      </c>
      <c r="AD109" s="10">
        <v>124072</v>
      </c>
      <c r="AE109" s="10">
        <v>96200</v>
      </c>
      <c r="AF109" s="10">
        <v>0</v>
      </c>
      <c r="AG109" s="10">
        <v>33988</v>
      </c>
      <c r="AH109" s="10">
        <f t="shared" si="52"/>
        <v>645677.87999999989</v>
      </c>
      <c r="AI109" s="10">
        <v>3267362.88</v>
      </c>
      <c r="AJ109" s="10">
        <v>2174963</v>
      </c>
      <c r="AK109" s="10">
        <v>27756</v>
      </c>
      <c r="AL109" s="10">
        <v>71789</v>
      </c>
      <c r="AM109" s="10">
        <v>103184.75</v>
      </c>
      <c r="AN109" s="10">
        <v>0</v>
      </c>
      <c r="AO109" s="10">
        <v>124072</v>
      </c>
      <c r="AP109" s="10">
        <v>96200</v>
      </c>
      <c r="AQ109" s="10">
        <v>0</v>
      </c>
      <c r="AR109" s="10">
        <v>34001</v>
      </c>
      <c r="AS109" s="10">
        <f t="shared" si="32"/>
        <v>645677.87999999989</v>
      </c>
      <c r="AT109" s="10">
        <v>3277643.63</v>
      </c>
      <c r="AU109" s="12">
        <v>18000</v>
      </c>
      <c r="AV109" s="12">
        <v>3118.8264612522548</v>
      </c>
      <c r="AW109" s="12">
        <v>6139.875</v>
      </c>
      <c r="AX109" s="12">
        <f t="shared" si="53"/>
        <v>27258.701461252254</v>
      </c>
      <c r="AY109" s="12">
        <v>20116.95</v>
      </c>
      <c r="AZ109" s="12">
        <v>3736.7217482759806</v>
      </c>
      <c r="BA109" s="12">
        <v>8582.2749999999996</v>
      </c>
      <c r="BB109" s="12">
        <f t="shared" si="54"/>
        <v>32435.946748275979</v>
      </c>
      <c r="BC109" s="12">
        <v>2116.9500000000007</v>
      </c>
      <c r="BD109" s="12">
        <v>617.89528702372581</v>
      </c>
      <c r="BE109" s="12">
        <v>2442.4000000000015</v>
      </c>
      <c r="BF109" s="12">
        <v>5177.2452870237285</v>
      </c>
    </row>
    <row r="110" spans="1:58" x14ac:dyDescent="0.25">
      <c r="A110" s="7">
        <v>299</v>
      </c>
      <c r="B110" s="7">
        <v>1</v>
      </c>
      <c r="C110" s="7" t="s">
        <v>111</v>
      </c>
      <c r="D110" s="4">
        <v>6</v>
      </c>
      <c r="E110" s="10">
        <v>652</v>
      </c>
      <c r="F110" s="8">
        <f t="shared" si="33"/>
        <v>19577.25</v>
      </c>
      <c r="G110" s="8">
        <f t="shared" si="34"/>
        <v>15815.740000000002</v>
      </c>
      <c r="H110" s="8">
        <f t="shared" si="35"/>
        <v>0</v>
      </c>
      <c r="I110" s="8">
        <f t="shared" si="36"/>
        <v>11.000000000221917</v>
      </c>
      <c r="J110" s="8">
        <f t="shared" si="37"/>
        <v>35403.990000000224</v>
      </c>
      <c r="K110" s="8">
        <f t="shared" si="38"/>
        <v>11914.884396877591</v>
      </c>
      <c r="L110" s="8">
        <f t="shared" si="39"/>
        <v>47318.874396877814</v>
      </c>
      <c r="M110" s="8">
        <f t="shared" si="40"/>
        <v>54.300598159509548</v>
      </c>
      <c r="N110" s="8">
        <f t="shared" si="41"/>
        <v>17905</v>
      </c>
      <c r="O110" s="8">
        <f t="shared" si="42"/>
        <v>99</v>
      </c>
      <c r="P110" s="8">
        <f t="shared" si="43"/>
        <v>702</v>
      </c>
      <c r="Q110" s="8">
        <f t="shared" si="44"/>
        <v>871.25</v>
      </c>
      <c r="R110" s="8">
        <f t="shared" si="45"/>
        <v>0</v>
      </c>
      <c r="S110" s="8">
        <f t="shared" si="46"/>
        <v>0</v>
      </c>
      <c r="T110" s="8">
        <f t="shared" si="47"/>
        <v>15815.740000000002</v>
      </c>
      <c r="U110" s="8">
        <f t="shared" si="48"/>
        <v>0</v>
      </c>
      <c r="V110" s="8">
        <f t="shared" si="49"/>
        <v>11</v>
      </c>
      <c r="W110" s="8">
        <f t="shared" si="50"/>
        <v>0</v>
      </c>
      <c r="X110" s="8">
        <f t="shared" si="51"/>
        <v>35403.990000000224</v>
      </c>
      <c r="Y110" s="10">
        <v>4158257</v>
      </c>
      <c r="Z110" s="10">
        <v>23085</v>
      </c>
      <c r="AA110" s="10">
        <v>162975</v>
      </c>
      <c r="AB110" s="10">
        <v>173100</v>
      </c>
      <c r="AC110" s="10">
        <v>0</v>
      </c>
      <c r="AD110" s="10">
        <v>98945</v>
      </c>
      <c r="AE110" s="10">
        <v>0</v>
      </c>
      <c r="AF110" s="10">
        <v>15447</v>
      </c>
      <c r="AG110" s="10">
        <v>87482</v>
      </c>
      <c r="AH110" s="10">
        <f t="shared" si="52"/>
        <v>738677.91000000015</v>
      </c>
      <c r="AI110" s="10">
        <v>5457968.9100000001</v>
      </c>
      <c r="AJ110" s="10">
        <v>4176162</v>
      </c>
      <c r="AK110" s="10">
        <v>23184</v>
      </c>
      <c r="AL110" s="10">
        <v>163677</v>
      </c>
      <c r="AM110" s="10">
        <v>173971.25</v>
      </c>
      <c r="AN110" s="10">
        <v>0</v>
      </c>
      <c r="AO110" s="10">
        <v>98945</v>
      </c>
      <c r="AP110" s="10">
        <v>15815.740000000002</v>
      </c>
      <c r="AQ110" s="10">
        <v>15447</v>
      </c>
      <c r="AR110" s="10">
        <v>87493</v>
      </c>
      <c r="AS110" s="10">
        <f t="shared" si="32"/>
        <v>738677.91000000015</v>
      </c>
      <c r="AT110" s="10">
        <v>5493372.9000000004</v>
      </c>
      <c r="AU110" s="12">
        <v>48600</v>
      </c>
      <c r="AV110" s="12">
        <v>8760.0341557396059</v>
      </c>
      <c r="AW110" s="12">
        <v>13800.5</v>
      </c>
      <c r="AX110" s="12">
        <f t="shared" si="53"/>
        <v>71160.534155739602</v>
      </c>
      <c r="AY110" s="12">
        <v>54315.764999999999</v>
      </c>
      <c r="AZ110" s="12">
        <v>10495.553552617192</v>
      </c>
      <c r="BA110" s="12">
        <v>18264.099999999999</v>
      </c>
      <c r="BB110" s="12">
        <f t="shared" si="54"/>
        <v>83075.418552617193</v>
      </c>
      <c r="BC110" s="12">
        <v>5715.7649999999994</v>
      </c>
      <c r="BD110" s="12">
        <v>1735.5193968775857</v>
      </c>
      <c r="BE110" s="12">
        <v>4463.6000000000058</v>
      </c>
      <c r="BF110" s="12">
        <v>11914.884396877591</v>
      </c>
    </row>
    <row r="111" spans="1:58" x14ac:dyDescent="0.25">
      <c r="A111" s="7">
        <v>300</v>
      </c>
      <c r="B111" s="7">
        <v>1</v>
      </c>
      <c r="C111" s="7" t="s">
        <v>112</v>
      </c>
      <c r="D111" s="4">
        <v>5</v>
      </c>
      <c r="E111" s="10">
        <v>1251</v>
      </c>
      <c r="F111" s="8">
        <f t="shared" si="33"/>
        <v>36001.75</v>
      </c>
      <c r="G111" s="8">
        <f t="shared" si="34"/>
        <v>0</v>
      </c>
      <c r="H111" s="8">
        <f t="shared" si="35"/>
        <v>0</v>
      </c>
      <c r="I111" s="8">
        <f t="shared" si="36"/>
        <v>78</v>
      </c>
      <c r="J111" s="8">
        <f t="shared" si="37"/>
        <v>36079.75</v>
      </c>
      <c r="K111" s="8">
        <f t="shared" si="38"/>
        <v>13543.25251523055</v>
      </c>
      <c r="L111" s="8">
        <f t="shared" si="39"/>
        <v>49623.002515230546</v>
      </c>
      <c r="M111" s="8">
        <f t="shared" si="40"/>
        <v>28.840727418065548</v>
      </c>
      <c r="N111" s="8">
        <f t="shared" si="41"/>
        <v>34535</v>
      </c>
      <c r="O111" s="8">
        <f t="shared" si="42"/>
        <v>0</v>
      </c>
      <c r="P111" s="8">
        <f t="shared" si="43"/>
        <v>693</v>
      </c>
      <c r="Q111" s="8">
        <f t="shared" si="44"/>
        <v>773.75</v>
      </c>
      <c r="R111" s="8">
        <f t="shared" si="45"/>
        <v>0</v>
      </c>
      <c r="S111" s="8">
        <f t="shared" si="46"/>
        <v>0</v>
      </c>
      <c r="T111" s="8">
        <f t="shared" si="47"/>
        <v>0</v>
      </c>
      <c r="U111" s="8">
        <f t="shared" si="48"/>
        <v>0</v>
      </c>
      <c r="V111" s="8">
        <f t="shared" si="49"/>
        <v>13</v>
      </c>
      <c r="W111" s="8">
        <f t="shared" si="50"/>
        <v>65</v>
      </c>
      <c r="X111" s="8">
        <f t="shared" si="51"/>
        <v>36079.75</v>
      </c>
      <c r="Y111" s="10">
        <v>8020408</v>
      </c>
      <c r="Z111" s="10">
        <v>0</v>
      </c>
      <c r="AA111" s="10">
        <v>161057</v>
      </c>
      <c r="AB111" s="10">
        <v>153729</v>
      </c>
      <c r="AC111" s="10">
        <v>0</v>
      </c>
      <c r="AD111" s="10">
        <v>0</v>
      </c>
      <c r="AE111" s="10">
        <v>312520</v>
      </c>
      <c r="AF111" s="10">
        <v>0</v>
      </c>
      <c r="AG111" s="10">
        <v>180103</v>
      </c>
      <c r="AH111" s="10">
        <f t="shared" si="52"/>
        <v>1348110.7599999998</v>
      </c>
      <c r="AI111" s="10">
        <v>10175927.76</v>
      </c>
      <c r="AJ111" s="10">
        <v>8054943</v>
      </c>
      <c r="AK111" s="10">
        <v>0</v>
      </c>
      <c r="AL111" s="10">
        <v>161750</v>
      </c>
      <c r="AM111" s="10">
        <v>154502.75</v>
      </c>
      <c r="AN111" s="10">
        <v>0</v>
      </c>
      <c r="AO111" s="10">
        <v>0</v>
      </c>
      <c r="AP111" s="10">
        <v>312520</v>
      </c>
      <c r="AQ111" s="10">
        <v>0</v>
      </c>
      <c r="AR111" s="10">
        <v>180116</v>
      </c>
      <c r="AS111" s="10">
        <f t="shared" si="32"/>
        <v>1348175.7599999998</v>
      </c>
      <c r="AT111" s="10">
        <v>10212007.51</v>
      </c>
      <c r="AU111" s="12">
        <v>62880</v>
      </c>
      <c r="AV111" s="12">
        <v>11134.989500626201</v>
      </c>
      <c r="AW111" s="12">
        <v>17118.625</v>
      </c>
      <c r="AX111" s="12">
        <f t="shared" si="53"/>
        <v>91133.614500626194</v>
      </c>
      <c r="AY111" s="12">
        <v>70275.212</v>
      </c>
      <c r="AZ111" s="12">
        <v>13341.030015856752</v>
      </c>
      <c r="BA111" s="12">
        <v>21060.625</v>
      </c>
      <c r="BB111" s="12">
        <f t="shared" si="54"/>
        <v>104676.86701585675</v>
      </c>
      <c r="BC111" s="12">
        <v>7395.2119999999995</v>
      </c>
      <c r="BD111" s="12">
        <v>2206.0405152305502</v>
      </c>
      <c r="BE111" s="12">
        <v>3942</v>
      </c>
      <c r="BF111" s="12">
        <v>13543.25251523055</v>
      </c>
    </row>
    <row r="112" spans="1:58" x14ac:dyDescent="0.25">
      <c r="A112" s="7">
        <v>306</v>
      </c>
      <c r="B112" s="7">
        <v>1</v>
      </c>
      <c r="C112" s="7" t="s">
        <v>113</v>
      </c>
      <c r="D112" s="4">
        <v>6</v>
      </c>
      <c r="E112" s="10">
        <v>261</v>
      </c>
      <c r="F112" s="8">
        <f t="shared" si="33"/>
        <v>10133.25</v>
      </c>
      <c r="G112" s="8">
        <f t="shared" si="34"/>
        <v>7163.4400000000005</v>
      </c>
      <c r="H112" s="8">
        <f t="shared" si="35"/>
        <v>0</v>
      </c>
      <c r="I112" s="8">
        <f t="shared" si="36"/>
        <v>-5.6388671509921551E-11</v>
      </c>
      <c r="J112" s="8">
        <f t="shared" si="37"/>
        <v>17296.689999999944</v>
      </c>
      <c r="K112" s="8">
        <f t="shared" si="38"/>
        <v>5800.769904645832</v>
      </c>
      <c r="L112" s="8">
        <f t="shared" si="39"/>
        <v>23097.459904645777</v>
      </c>
      <c r="M112" s="8">
        <f t="shared" si="40"/>
        <v>66.270842911877182</v>
      </c>
      <c r="N112" s="8">
        <f t="shared" si="41"/>
        <v>7070</v>
      </c>
      <c r="O112" s="8">
        <f t="shared" si="42"/>
        <v>0</v>
      </c>
      <c r="P112" s="8">
        <f t="shared" si="43"/>
        <v>447</v>
      </c>
      <c r="Q112" s="8">
        <f t="shared" si="44"/>
        <v>2492.25</v>
      </c>
      <c r="R112" s="8">
        <f t="shared" si="45"/>
        <v>124</v>
      </c>
      <c r="S112" s="8">
        <f t="shared" si="46"/>
        <v>0</v>
      </c>
      <c r="T112" s="8">
        <f t="shared" si="47"/>
        <v>7163.4400000000005</v>
      </c>
      <c r="U112" s="8">
        <f t="shared" si="48"/>
        <v>0</v>
      </c>
      <c r="V112" s="8">
        <f t="shared" si="49"/>
        <v>0</v>
      </c>
      <c r="W112" s="8">
        <f t="shared" si="50"/>
        <v>0</v>
      </c>
      <c r="X112" s="8">
        <f t="shared" si="51"/>
        <v>17296.689999999944</v>
      </c>
      <c r="Y112" s="10">
        <v>1641937</v>
      </c>
      <c r="Z112" s="10">
        <v>0</v>
      </c>
      <c r="AA112" s="10">
        <v>103645</v>
      </c>
      <c r="AB112" s="10">
        <v>495160</v>
      </c>
      <c r="AC112" s="10">
        <v>26286</v>
      </c>
      <c r="AD112" s="10">
        <v>108524</v>
      </c>
      <c r="AE112" s="10">
        <v>0</v>
      </c>
      <c r="AF112" s="10">
        <v>0</v>
      </c>
      <c r="AG112" s="10">
        <v>40723</v>
      </c>
      <c r="AH112" s="10">
        <f t="shared" si="52"/>
        <v>170993.12999999989</v>
      </c>
      <c r="AI112" s="10">
        <v>2587268.13</v>
      </c>
      <c r="AJ112" s="10">
        <v>1649007</v>
      </c>
      <c r="AK112" s="10">
        <v>0</v>
      </c>
      <c r="AL112" s="10">
        <v>104092</v>
      </c>
      <c r="AM112" s="10">
        <v>497652.25</v>
      </c>
      <c r="AN112" s="10">
        <v>26410</v>
      </c>
      <c r="AO112" s="10">
        <v>108524</v>
      </c>
      <c r="AP112" s="10">
        <v>7163.4400000000005</v>
      </c>
      <c r="AQ112" s="10">
        <v>0</v>
      </c>
      <c r="AR112" s="10">
        <v>40723</v>
      </c>
      <c r="AS112" s="10">
        <f t="shared" si="32"/>
        <v>170993.12999999989</v>
      </c>
      <c r="AT112" s="10">
        <v>2604564.8199999998</v>
      </c>
      <c r="AU112" s="12">
        <v>18000</v>
      </c>
      <c r="AV112" s="12">
        <v>4907.2799686998378</v>
      </c>
      <c r="AW112" s="12">
        <v>4929.75</v>
      </c>
      <c r="AX112" s="12">
        <f t="shared" si="53"/>
        <v>27837.029968699837</v>
      </c>
      <c r="AY112" s="12">
        <v>20116.95</v>
      </c>
      <c r="AZ112" s="12">
        <v>5879.4998733456705</v>
      </c>
      <c r="BA112" s="12">
        <v>7641.35</v>
      </c>
      <c r="BB112" s="12">
        <f t="shared" si="54"/>
        <v>33637.79987334567</v>
      </c>
      <c r="BC112" s="12">
        <v>2116.9500000000007</v>
      </c>
      <c r="BD112" s="12">
        <v>972.21990464583268</v>
      </c>
      <c r="BE112" s="12">
        <v>2711.5999999999985</v>
      </c>
      <c r="BF112" s="12">
        <v>5800.769904645832</v>
      </c>
    </row>
    <row r="113" spans="1:58" x14ac:dyDescent="0.25">
      <c r="A113" s="7">
        <v>308</v>
      </c>
      <c r="B113" s="7">
        <v>1</v>
      </c>
      <c r="C113" s="7" t="s">
        <v>114</v>
      </c>
      <c r="D113" s="4">
        <v>6</v>
      </c>
      <c r="E113" s="10">
        <v>563</v>
      </c>
      <c r="F113" s="8">
        <f t="shared" si="33"/>
        <v>18460.75</v>
      </c>
      <c r="G113" s="8">
        <f t="shared" si="34"/>
        <v>14082.259999999998</v>
      </c>
      <c r="H113" s="8">
        <f t="shared" si="35"/>
        <v>0</v>
      </c>
      <c r="I113" s="8">
        <f t="shared" si="36"/>
        <v>2.9999999997780833</v>
      </c>
      <c r="J113" s="8">
        <f t="shared" si="37"/>
        <v>32546.009999999776</v>
      </c>
      <c r="K113" s="8">
        <f t="shared" si="38"/>
        <v>6728.083454754078</v>
      </c>
      <c r="L113" s="8">
        <f t="shared" si="39"/>
        <v>39274.093454753856</v>
      </c>
      <c r="M113" s="8">
        <f t="shared" si="40"/>
        <v>57.808188277086636</v>
      </c>
      <c r="N113" s="8">
        <f t="shared" si="41"/>
        <v>15415</v>
      </c>
      <c r="O113" s="8">
        <f t="shared" si="42"/>
        <v>47</v>
      </c>
      <c r="P113" s="8">
        <f t="shared" si="43"/>
        <v>674</v>
      </c>
      <c r="Q113" s="8">
        <f t="shared" si="44"/>
        <v>2324.75</v>
      </c>
      <c r="R113" s="8">
        <f t="shared" si="45"/>
        <v>0</v>
      </c>
      <c r="S113" s="8">
        <f t="shared" si="46"/>
        <v>0</v>
      </c>
      <c r="T113" s="8">
        <f t="shared" si="47"/>
        <v>14082.259999999998</v>
      </c>
      <c r="U113" s="8">
        <f t="shared" si="48"/>
        <v>0</v>
      </c>
      <c r="V113" s="8">
        <f t="shared" si="49"/>
        <v>3</v>
      </c>
      <c r="W113" s="8">
        <f t="shared" si="50"/>
        <v>0</v>
      </c>
      <c r="X113" s="8">
        <f t="shared" si="51"/>
        <v>32546.009999999776</v>
      </c>
      <c r="Y113" s="10">
        <v>3579980</v>
      </c>
      <c r="Z113" s="10">
        <v>10729</v>
      </c>
      <c r="AA113" s="10">
        <v>156548</v>
      </c>
      <c r="AB113" s="10">
        <v>461881</v>
      </c>
      <c r="AC113" s="10">
        <v>0</v>
      </c>
      <c r="AD113" s="10">
        <v>119986</v>
      </c>
      <c r="AE113" s="10">
        <v>0</v>
      </c>
      <c r="AF113" s="10">
        <v>0</v>
      </c>
      <c r="AG113" s="10">
        <v>85378</v>
      </c>
      <c r="AH113" s="10">
        <f t="shared" si="52"/>
        <v>475502.48000000045</v>
      </c>
      <c r="AI113" s="10">
        <v>4890004.4800000004</v>
      </c>
      <c r="AJ113" s="10">
        <v>3595395</v>
      </c>
      <c r="AK113" s="10">
        <v>10776</v>
      </c>
      <c r="AL113" s="10">
        <v>157222</v>
      </c>
      <c r="AM113" s="10">
        <v>464205.75</v>
      </c>
      <c r="AN113" s="10">
        <v>0</v>
      </c>
      <c r="AO113" s="10">
        <v>119986</v>
      </c>
      <c r="AP113" s="10">
        <v>14082.259999999998</v>
      </c>
      <c r="AQ113" s="10">
        <v>0</v>
      </c>
      <c r="AR113" s="10">
        <v>85381</v>
      </c>
      <c r="AS113" s="10">
        <f t="shared" si="32"/>
        <v>475502.48000000045</v>
      </c>
      <c r="AT113" s="10">
        <v>4922550.49</v>
      </c>
      <c r="AU113" s="12">
        <v>18000</v>
      </c>
      <c r="AV113" s="12">
        <v>6694.6681128711916</v>
      </c>
      <c r="AW113" s="12">
        <v>7933.25</v>
      </c>
      <c r="AX113" s="12">
        <f t="shared" si="53"/>
        <v>32627.918112871193</v>
      </c>
      <c r="AY113" s="12">
        <v>20116.95</v>
      </c>
      <c r="AZ113" s="12">
        <v>8021.001567625266</v>
      </c>
      <c r="BA113" s="12">
        <v>11218.05</v>
      </c>
      <c r="BB113" s="12">
        <f t="shared" si="54"/>
        <v>39356.001567625266</v>
      </c>
      <c r="BC113" s="12">
        <v>2116.9500000000007</v>
      </c>
      <c r="BD113" s="12">
        <v>1326.3334547540744</v>
      </c>
      <c r="BE113" s="12">
        <v>3284.8000000000029</v>
      </c>
      <c r="BF113" s="12">
        <v>6728.083454754078</v>
      </c>
    </row>
    <row r="114" spans="1:58" x14ac:dyDescent="0.25">
      <c r="A114" s="7">
        <v>309</v>
      </c>
      <c r="B114" s="7">
        <v>1</v>
      </c>
      <c r="C114" s="7" t="s">
        <v>115</v>
      </c>
      <c r="D114" s="4">
        <v>5</v>
      </c>
      <c r="E114" s="10">
        <v>1508</v>
      </c>
      <c r="F114" s="8">
        <f t="shared" si="33"/>
        <v>48391.75</v>
      </c>
      <c r="G114" s="8">
        <f t="shared" si="34"/>
        <v>33564.28</v>
      </c>
      <c r="H114" s="8">
        <f t="shared" si="35"/>
        <v>0</v>
      </c>
      <c r="I114" s="8">
        <f t="shared" si="36"/>
        <v>21.999999999330612</v>
      </c>
      <c r="J114" s="8">
        <f t="shared" si="37"/>
        <v>81978.029999999329</v>
      </c>
      <c r="K114" s="8">
        <f t="shared" si="38"/>
        <v>21019.834806866897</v>
      </c>
      <c r="L114" s="8">
        <f t="shared" si="39"/>
        <v>102997.86480686623</v>
      </c>
      <c r="M114" s="8">
        <f t="shared" si="40"/>
        <v>54.362088859415998</v>
      </c>
      <c r="N114" s="8">
        <f t="shared" si="41"/>
        <v>41035</v>
      </c>
      <c r="O114" s="8">
        <f t="shared" si="42"/>
        <v>0</v>
      </c>
      <c r="P114" s="8">
        <f t="shared" si="43"/>
        <v>1578</v>
      </c>
      <c r="Q114" s="8">
        <f t="shared" si="44"/>
        <v>5778.75</v>
      </c>
      <c r="R114" s="8">
        <f t="shared" si="45"/>
        <v>0</v>
      </c>
      <c r="S114" s="8">
        <f t="shared" si="46"/>
        <v>0</v>
      </c>
      <c r="T114" s="8">
        <f t="shared" si="47"/>
        <v>33564.28</v>
      </c>
      <c r="U114" s="8">
        <f t="shared" si="48"/>
        <v>0</v>
      </c>
      <c r="V114" s="8">
        <f t="shared" si="49"/>
        <v>22</v>
      </c>
      <c r="W114" s="8">
        <f t="shared" si="50"/>
        <v>0</v>
      </c>
      <c r="X114" s="8">
        <f t="shared" si="51"/>
        <v>81978.029999999329</v>
      </c>
      <c r="Y114" s="10">
        <v>9529968</v>
      </c>
      <c r="Z114" s="10">
        <v>0</v>
      </c>
      <c r="AA114" s="10">
        <v>366369</v>
      </c>
      <c r="AB114" s="10">
        <v>1148122</v>
      </c>
      <c r="AC114" s="10">
        <v>0</v>
      </c>
      <c r="AD114" s="10">
        <v>0</v>
      </c>
      <c r="AE114" s="10">
        <v>0</v>
      </c>
      <c r="AF114" s="10">
        <v>14679</v>
      </c>
      <c r="AG114" s="10">
        <v>205562</v>
      </c>
      <c r="AH114" s="10">
        <f t="shared" si="52"/>
        <v>1680522.5700000003</v>
      </c>
      <c r="AI114" s="10">
        <v>12945222.57</v>
      </c>
      <c r="AJ114" s="10">
        <v>9571003</v>
      </c>
      <c r="AK114" s="10">
        <v>0</v>
      </c>
      <c r="AL114" s="10">
        <v>367947</v>
      </c>
      <c r="AM114" s="10">
        <v>1153900.75</v>
      </c>
      <c r="AN114" s="10">
        <v>0</v>
      </c>
      <c r="AO114" s="10">
        <v>0</v>
      </c>
      <c r="AP114" s="10">
        <v>33564.28</v>
      </c>
      <c r="AQ114" s="10">
        <v>14679</v>
      </c>
      <c r="AR114" s="10">
        <v>205584</v>
      </c>
      <c r="AS114" s="10">
        <f t="shared" si="32"/>
        <v>1680522.5700000003</v>
      </c>
      <c r="AT114" s="10">
        <v>13027200.6</v>
      </c>
      <c r="AU114" s="12">
        <v>81600</v>
      </c>
      <c r="AV114" s="12">
        <v>21895.019287660623</v>
      </c>
      <c r="AW114" s="12">
        <v>21514</v>
      </c>
      <c r="AX114" s="12">
        <f t="shared" si="53"/>
        <v>125009.01928766063</v>
      </c>
      <c r="AY114" s="12">
        <v>91196.84</v>
      </c>
      <c r="AZ114" s="12">
        <v>26232.814094527512</v>
      </c>
      <c r="BA114" s="12">
        <v>28599.200000000001</v>
      </c>
      <c r="BB114" s="12">
        <f t="shared" si="54"/>
        <v>146028.85409452752</v>
      </c>
      <c r="BC114" s="12">
        <v>9596.8399999999965</v>
      </c>
      <c r="BD114" s="12">
        <v>4337.7948068668884</v>
      </c>
      <c r="BE114" s="12">
        <v>7085.2000000000116</v>
      </c>
      <c r="BF114" s="12">
        <v>21019.834806866897</v>
      </c>
    </row>
    <row r="115" spans="1:58" x14ac:dyDescent="0.25">
      <c r="A115" s="7">
        <v>314</v>
      </c>
      <c r="B115" s="7">
        <v>1</v>
      </c>
      <c r="C115" s="7" t="s">
        <v>116</v>
      </c>
      <c r="D115" s="4">
        <v>6</v>
      </c>
      <c r="E115" s="10">
        <v>859</v>
      </c>
      <c r="F115" s="8">
        <f t="shared" si="33"/>
        <v>26535.75</v>
      </c>
      <c r="G115" s="8">
        <f t="shared" si="34"/>
        <v>19599.800000000003</v>
      </c>
      <c r="H115" s="8">
        <f t="shared" si="35"/>
        <v>0</v>
      </c>
      <c r="I115" s="8">
        <f t="shared" si="36"/>
        <v>7.9999999998108251</v>
      </c>
      <c r="J115" s="8">
        <f t="shared" si="37"/>
        <v>46143.549999999814</v>
      </c>
      <c r="K115" s="8">
        <f t="shared" si="38"/>
        <v>10074.272979299292</v>
      </c>
      <c r="L115" s="8">
        <f t="shared" si="39"/>
        <v>56217.822979299104</v>
      </c>
      <c r="M115" s="8">
        <f t="shared" si="40"/>
        <v>53.717753201396754</v>
      </c>
      <c r="N115" s="8">
        <f t="shared" si="41"/>
        <v>22750</v>
      </c>
      <c r="O115" s="8">
        <f t="shared" si="42"/>
        <v>26</v>
      </c>
      <c r="P115" s="8">
        <f t="shared" si="43"/>
        <v>547</v>
      </c>
      <c r="Q115" s="8">
        <f t="shared" si="44"/>
        <v>3212.75</v>
      </c>
      <c r="R115" s="8">
        <f t="shared" si="45"/>
        <v>0</v>
      </c>
      <c r="S115" s="8">
        <f t="shared" si="46"/>
        <v>0</v>
      </c>
      <c r="T115" s="8">
        <f t="shared" si="47"/>
        <v>19599.800000000003</v>
      </c>
      <c r="U115" s="8">
        <f t="shared" si="48"/>
        <v>0</v>
      </c>
      <c r="V115" s="8">
        <f t="shared" si="49"/>
        <v>8</v>
      </c>
      <c r="W115" s="8">
        <f t="shared" si="50"/>
        <v>0</v>
      </c>
      <c r="X115" s="8">
        <f t="shared" si="51"/>
        <v>46143.549999999814</v>
      </c>
      <c r="Y115" s="10">
        <v>5283460</v>
      </c>
      <c r="Z115" s="10">
        <v>5852</v>
      </c>
      <c r="AA115" s="10">
        <v>127035</v>
      </c>
      <c r="AB115" s="10">
        <v>638309</v>
      </c>
      <c r="AC115" s="10">
        <v>0</v>
      </c>
      <c r="AD115" s="10">
        <v>25783</v>
      </c>
      <c r="AE115" s="10">
        <v>0</v>
      </c>
      <c r="AF115" s="10">
        <v>15114</v>
      </c>
      <c r="AG115" s="10">
        <v>119546</v>
      </c>
      <c r="AH115" s="10">
        <f t="shared" si="52"/>
        <v>762998.40000000037</v>
      </c>
      <c r="AI115" s="10">
        <v>6978097.4000000004</v>
      </c>
      <c r="AJ115" s="10">
        <v>5306210</v>
      </c>
      <c r="AK115" s="10">
        <v>5878</v>
      </c>
      <c r="AL115" s="10">
        <v>127582</v>
      </c>
      <c r="AM115" s="10">
        <v>641521.75</v>
      </c>
      <c r="AN115" s="10">
        <v>0</v>
      </c>
      <c r="AO115" s="10">
        <v>25783</v>
      </c>
      <c r="AP115" s="10">
        <v>19599.800000000003</v>
      </c>
      <c r="AQ115" s="10">
        <v>15114</v>
      </c>
      <c r="AR115" s="10">
        <v>119554</v>
      </c>
      <c r="AS115" s="10">
        <f t="shared" si="32"/>
        <v>762998.40000000037</v>
      </c>
      <c r="AT115" s="10">
        <v>7024240.9500000002</v>
      </c>
      <c r="AU115" s="12">
        <v>38400</v>
      </c>
      <c r="AV115" s="12">
        <v>11311.008263013171</v>
      </c>
      <c r="AW115" s="12">
        <v>11673.75</v>
      </c>
      <c r="AX115" s="12">
        <f t="shared" si="53"/>
        <v>61384.758263013173</v>
      </c>
      <c r="AY115" s="12">
        <v>42916.160000000003</v>
      </c>
      <c r="AZ115" s="12">
        <v>13551.921242312463</v>
      </c>
      <c r="BA115" s="12">
        <v>14990.95</v>
      </c>
      <c r="BB115" s="12">
        <f t="shared" si="54"/>
        <v>71459.031242312471</v>
      </c>
      <c r="BC115" s="12">
        <v>4516.1600000000035</v>
      </c>
      <c r="BD115" s="12">
        <v>2240.9129792992917</v>
      </c>
      <c r="BE115" s="12">
        <v>3317.1999999999971</v>
      </c>
      <c r="BF115" s="12">
        <v>10074.272979299292</v>
      </c>
    </row>
    <row r="116" spans="1:58" x14ac:dyDescent="0.25">
      <c r="A116" s="7">
        <v>316</v>
      </c>
      <c r="B116" s="7">
        <v>1</v>
      </c>
      <c r="C116" s="7" t="s">
        <v>117</v>
      </c>
      <c r="D116" s="4">
        <v>5</v>
      </c>
      <c r="E116" s="10">
        <v>1060</v>
      </c>
      <c r="F116" s="8">
        <f t="shared" si="33"/>
        <v>33238</v>
      </c>
      <c r="G116" s="8">
        <f t="shared" si="34"/>
        <v>22653.02</v>
      </c>
      <c r="H116" s="8">
        <f t="shared" si="35"/>
        <v>0</v>
      </c>
      <c r="I116" s="8">
        <f t="shared" si="36"/>
        <v>-4.4747139327228069E-10</v>
      </c>
      <c r="J116" s="8">
        <f t="shared" si="37"/>
        <v>55891.019999999553</v>
      </c>
      <c r="K116" s="8">
        <f t="shared" si="38"/>
        <v>16934.917359561259</v>
      </c>
      <c r="L116" s="8">
        <f t="shared" si="39"/>
        <v>72825.937359560805</v>
      </c>
      <c r="M116" s="8">
        <f t="shared" si="40"/>
        <v>52.727377358490145</v>
      </c>
      <c r="N116" s="8">
        <f t="shared" si="41"/>
        <v>28077</v>
      </c>
      <c r="O116" s="8">
        <f t="shared" si="42"/>
        <v>0</v>
      </c>
      <c r="P116" s="8">
        <f t="shared" si="43"/>
        <v>753</v>
      </c>
      <c r="Q116" s="8">
        <f t="shared" si="44"/>
        <v>4408</v>
      </c>
      <c r="R116" s="8">
        <f t="shared" si="45"/>
        <v>0</v>
      </c>
      <c r="S116" s="8">
        <f t="shared" si="46"/>
        <v>0</v>
      </c>
      <c r="T116" s="8">
        <f t="shared" si="47"/>
        <v>22653.02</v>
      </c>
      <c r="U116" s="8">
        <f t="shared" si="48"/>
        <v>0</v>
      </c>
      <c r="V116" s="8">
        <f t="shared" si="49"/>
        <v>0</v>
      </c>
      <c r="W116" s="8">
        <f t="shared" si="50"/>
        <v>0</v>
      </c>
      <c r="X116" s="8">
        <f t="shared" si="51"/>
        <v>55891.019999999553</v>
      </c>
      <c r="Y116" s="10">
        <v>6520719</v>
      </c>
      <c r="Z116" s="10">
        <v>0</v>
      </c>
      <c r="AA116" s="10">
        <v>174818</v>
      </c>
      <c r="AB116" s="10">
        <v>875781</v>
      </c>
      <c r="AC116" s="10">
        <v>0</v>
      </c>
      <c r="AD116" s="10">
        <v>0</v>
      </c>
      <c r="AE116" s="10">
        <v>0</v>
      </c>
      <c r="AF116" s="10">
        <v>0</v>
      </c>
      <c r="AG116" s="10">
        <v>161726</v>
      </c>
      <c r="AH116" s="10">
        <f t="shared" si="52"/>
        <v>682437.48000000045</v>
      </c>
      <c r="AI116" s="10">
        <v>8415481.4800000004</v>
      </c>
      <c r="AJ116" s="10">
        <v>6548796</v>
      </c>
      <c r="AK116" s="10">
        <v>0</v>
      </c>
      <c r="AL116" s="10">
        <v>175571</v>
      </c>
      <c r="AM116" s="10">
        <v>880189</v>
      </c>
      <c r="AN116" s="10">
        <v>0</v>
      </c>
      <c r="AO116" s="10">
        <v>0</v>
      </c>
      <c r="AP116" s="10">
        <v>22653.02</v>
      </c>
      <c r="AQ116" s="10">
        <v>0</v>
      </c>
      <c r="AR116" s="10">
        <v>161726</v>
      </c>
      <c r="AS116" s="10">
        <f t="shared" ref="AS116:AS179" si="55">AT116-SUM(AJ116:AR116)</f>
        <v>682437.48000000045</v>
      </c>
      <c r="AT116" s="10">
        <v>8471372.5</v>
      </c>
      <c r="AU116" s="12">
        <v>59400</v>
      </c>
      <c r="AV116" s="12">
        <v>15894.488459885462</v>
      </c>
      <c r="AW116" s="12">
        <v>14918.125</v>
      </c>
      <c r="AX116" s="12">
        <f t="shared" si="53"/>
        <v>90212.61345988547</v>
      </c>
      <c r="AY116" s="12">
        <v>66385.934999999998</v>
      </c>
      <c r="AZ116" s="12">
        <v>19043.470819446724</v>
      </c>
      <c r="BA116" s="12">
        <v>21718.125</v>
      </c>
      <c r="BB116" s="12">
        <f t="shared" si="54"/>
        <v>107147.53081944672</v>
      </c>
      <c r="BC116" s="12">
        <v>6985.9349999999977</v>
      </c>
      <c r="BD116" s="12">
        <v>3148.9823595612615</v>
      </c>
      <c r="BE116" s="12">
        <v>6800</v>
      </c>
      <c r="BF116" s="12">
        <v>16934.917359561259</v>
      </c>
    </row>
    <row r="117" spans="1:58" x14ac:dyDescent="0.25">
      <c r="A117" s="7">
        <v>317</v>
      </c>
      <c r="B117" s="7">
        <v>1</v>
      </c>
      <c r="C117" s="7" t="s">
        <v>118</v>
      </c>
      <c r="D117" s="4">
        <v>6</v>
      </c>
      <c r="E117" s="10">
        <v>907</v>
      </c>
      <c r="F117" s="8">
        <f t="shared" si="33"/>
        <v>32752.75</v>
      </c>
      <c r="G117" s="8">
        <f t="shared" si="34"/>
        <v>23655.66</v>
      </c>
      <c r="H117" s="8">
        <f t="shared" si="35"/>
        <v>0</v>
      </c>
      <c r="I117" s="8">
        <f t="shared" si="36"/>
        <v>1.4915713109076023E-10</v>
      </c>
      <c r="J117" s="8">
        <f t="shared" si="37"/>
        <v>56408.410000000149</v>
      </c>
      <c r="K117" s="8">
        <f t="shared" si="38"/>
        <v>12892.134180804824</v>
      </c>
      <c r="L117" s="8">
        <f t="shared" si="39"/>
        <v>69300.54418080498</v>
      </c>
      <c r="M117" s="8">
        <f t="shared" si="40"/>
        <v>62.192293274531586</v>
      </c>
      <c r="N117" s="8">
        <f t="shared" si="41"/>
        <v>24470</v>
      </c>
      <c r="O117" s="8">
        <f t="shared" si="42"/>
        <v>0</v>
      </c>
      <c r="P117" s="8">
        <f t="shared" si="43"/>
        <v>1209</v>
      </c>
      <c r="Q117" s="8">
        <f t="shared" si="44"/>
        <v>7073.75</v>
      </c>
      <c r="R117" s="8">
        <f t="shared" si="45"/>
        <v>0</v>
      </c>
      <c r="S117" s="8">
        <f t="shared" si="46"/>
        <v>0</v>
      </c>
      <c r="T117" s="8">
        <f t="shared" si="47"/>
        <v>23655.66</v>
      </c>
      <c r="U117" s="8">
        <f t="shared" si="48"/>
        <v>0</v>
      </c>
      <c r="V117" s="8">
        <f t="shared" si="49"/>
        <v>0</v>
      </c>
      <c r="W117" s="8">
        <f t="shared" si="50"/>
        <v>0</v>
      </c>
      <c r="X117" s="8">
        <f t="shared" si="51"/>
        <v>56408.410000000149</v>
      </c>
      <c r="Y117" s="10">
        <v>5682913</v>
      </c>
      <c r="Z117" s="10">
        <v>0</v>
      </c>
      <c r="AA117" s="10">
        <v>280637</v>
      </c>
      <c r="AB117" s="10">
        <v>1405413</v>
      </c>
      <c r="AC117" s="10">
        <v>124816</v>
      </c>
      <c r="AD117" s="10">
        <v>0</v>
      </c>
      <c r="AE117" s="10">
        <v>0</v>
      </c>
      <c r="AF117" s="10">
        <v>0</v>
      </c>
      <c r="AG117" s="10">
        <v>140947</v>
      </c>
      <c r="AH117" s="10">
        <f t="shared" si="52"/>
        <v>596846.5700000003</v>
      </c>
      <c r="AI117" s="10">
        <v>8231572.5700000003</v>
      </c>
      <c r="AJ117" s="10">
        <v>5707383</v>
      </c>
      <c r="AK117" s="10">
        <v>0</v>
      </c>
      <c r="AL117" s="10">
        <v>281846</v>
      </c>
      <c r="AM117" s="10">
        <v>1412486.75</v>
      </c>
      <c r="AN117" s="10">
        <v>124816</v>
      </c>
      <c r="AO117" s="10">
        <v>0</v>
      </c>
      <c r="AP117" s="10">
        <v>23655.66</v>
      </c>
      <c r="AQ117" s="10">
        <v>0</v>
      </c>
      <c r="AR117" s="10">
        <v>140947</v>
      </c>
      <c r="AS117" s="10">
        <f t="shared" si="55"/>
        <v>596846.5700000003</v>
      </c>
      <c r="AT117" s="10">
        <v>8287980.9800000004</v>
      </c>
      <c r="AU117" s="12">
        <v>56400</v>
      </c>
      <c r="AV117" s="12">
        <v>16823.439552612344</v>
      </c>
      <c r="AW117" s="12">
        <v>13916.875</v>
      </c>
      <c r="AX117" s="12">
        <f t="shared" si="53"/>
        <v>87140.314552612341</v>
      </c>
      <c r="AY117" s="12">
        <v>63033.11</v>
      </c>
      <c r="AZ117" s="12">
        <v>20156.463733417168</v>
      </c>
      <c r="BA117" s="12">
        <v>16842.875</v>
      </c>
      <c r="BB117" s="12">
        <f t="shared" si="54"/>
        <v>100032.44873341717</v>
      </c>
      <c r="BC117" s="12">
        <v>6633.1100000000006</v>
      </c>
      <c r="BD117" s="12">
        <v>3333.0241808048231</v>
      </c>
      <c r="BE117" s="12">
        <v>2926</v>
      </c>
      <c r="BF117" s="12">
        <v>12892.134180804824</v>
      </c>
    </row>
    <row r="118" spans="1:58" x14ac:dyDescent="0.25">
      <c r="A118" s="7">
        <v>318</v>
      </c>
      <c r="B118" s="7">
        <v>1</v>
      </c>
      <c r="C118" s="7" t="s">
        <v>119</v>
      </c>
      <c r="D118" s="4">
        <v>4</v>
      </c>
      <c r="E118" s="10">
        <v>3973</v>
      </c>
      <c r="F118" s="8">
        <f t="shared" si="33"/>
        <v>198994.1</v>
      </c>
      <c r="G118" s="8">
        <f t="shared" si="34"/>
        <v>79271.98</v>
      </c>
      <c r="H118" s="8">
        <f t="shared" si="35"/>
        <v>0</v>
      </c>
      <c r="I118" s="8">
        <f t="shared" si="36"/>
        <v>-1.7898855730891228E-9</v>
      </c>
      <c r="J118" s="8">
        <f t="shared" si="37"/>
        <v>278266.07999999821</v>
      </c>
      <c r="K118" s="8">
        <f t="shared" si="38"/>
        <v>49719.677366552256</v>
      </c>
      <c r="L118" s="8">
        <f t="shared" si="39"/>
        <v>327985.75736655045</v>
      </c>
      <c r="M118" s="8">
        <f t="shared" si="40"/>
        <v>70.039285174930328</v>
      </c>
      <c r="N118" s="8">
        <f t="shared" si="41"/>
        <v>108552</v>
      </c>
      <c r="O118" s="8">
        <f t="shared" si="42"/>
        <v>108</v>
      </c>
      <c r="P118" s="8">
        <f t="shared" si="43"/>
        <v>5105</v>
      </c>
      <c r="Q118" s="8">
        <f t="shared" si="44"/>
        <v>12101.5</v>
      </c>
      <c r="R118" s="8">
        <f t="shared" si="45"/>
        <v>2691</v>
      </c>
      <c r="S118" s="8">
        <f t="shared" si="46"/>
        <v>70436.600000000006</v>
      </c>
      <c r="T118" s="8">
        <f t="shared" si="47"/>
        <v>79271.98</v>
      </c>
      <c r="U118" s="8">
        <f t="shared" si="48"/>
        <v>0</v>
      </c>
      <c r="V118" s="8">
        <f t="shared" si="49"/>
        <v>0</v>
      </c>
      <c r="W118" s="8">
        <f t="shared" si="50"/>
        <v>-3.7252902984619141E-9</v>
      </c>
      <c r="X118" s="8">
        <f t="shared" si="51"/>
        <v>278266.07999999821</v>
      </c>
      <c r="Y118" s="10">
        <v>25210233</v>
      </c>
      <c r="Z118" s="10">
        <v>25035</v>
      </c>
      <c r="AA118" s="10">
        <v>1185598</v>
      </c>
      <c r="AB118" s="10">
        <v>2404326</v>
      </c>
      <c r="AC118" s="10">
        <v>567844</v>
      </c>
      <c r="AD118" s="10">
        <v>0</v>
      </c>
      <c r="AE118" s="10">
        <v>0</v>
      </c>
      <c r="AF118" s="10">
        <v>14297</v>
      </c>
      <c r="AG118" s="10">
        <v>625262</v>
      </c>
      <c r="AH118" s="10">
        <f t="shared" si="52"/>
        <v>3840363.0399999991</v>
      </c>
      <c r="AI118" s="10">
        <v>33872958.039999999</v>
      </c>
      <c r="AJ118" s="10">
        <v>25318785</v>
      </c>
      <c r="AK118" s="10">
        <v>25143</v>
      </c>
      <c r="AL118" s="10">
        <v>1190703</v>
      </c>
      <c r="AM118" s="10">
        <v>2416427.5</v>
      </c>
      <c r="AN118" s="10">
        <v>570535</v>
      </c>
      <c r="AO118" s="10">
        <v>70436.600000000006</v>
      </c>
      <c r="AP118" s="10">
        <v>79271.98</v>
      </c>
      <c r="AQ118" s="10">
        <v>14297</v>
      </c>
      <c r="AR118" s="10">
        <v>625262</v>
      </c>
      <c r="AS118" s="10">
        <f t="shared" si="55"/>
        <v>3840363.0399999954</v>
      </c>
      <c r="AT118" s="10">
        <v>34151224.119999997</v>
      </c>
      <c r="AU118" s="12">
        <v>197400</v>
      </c>
      <c r="AV118" s="12">
        <v>50647.585970172571</v>
      </c>
      <c r="AW118" s="12">
        <v>47305.625</v>
      </c>
      <c r="AX118" s="12">
        <f t="shared" si="53"/>
        <v>295353.21097017254</v>
      </c>
      <c r="AY118" s="12">
        <v>220615.88500000001</v>
      </c>
      <c r="AZ118" s="12">
        <v>60681.778336724841</v>
      </c>
      <c r="BA118" s="12">
        <v>63775.225000000006</v>
      </c>
      <c r="BB118" s="12">
        <f t="shared" si="54"/>
        <v>345072.88833672483</v>
      </c>
      <c r="BC118" s="12">
        <v>23215.885000000009</v>
      </c>
      <c r="BD118" s="12">
        <v>10034.19236655227</v>
      </c>
      <c r="BE118" s="12">
        <v>16469.599999999977</v>
      </c>
      <c r="BF118" s="12">
        <v>49719.677366552256</v>
      </c>
    </row>
    <row r="119" spans="1:58" x14ac:dyDescent="0.25">
      <c r="A119" s="7">
        <v>319</v>
      </c>
      <c r="B119" s="7">
        <v>1</v>
      </c>
      <c r="C119" s="7" t="s">
        <v>120</v>
      </c>
      <c r="D119" s="4">
        <v>6</v>
      </c>
      <c r="E119" s="10">
        <v>567</v>
      </c>
      <c r="F119" s="8">
        <f t="shared" si="33"/>
        <v>18736</v>
      </c>
      <c r="G119" s="8">
        <f t="shared" si="34"/>
        <v>13339.339999999998</v>
      </c>
      <c r="H119" s="8">
        <f t="shared" si="35"/>
        <v>0</v>
      </c>
      <c r="I119" s="8">
        <f t="shared" si="36"/>
        <v>8.9999999998526619</v>
      </c>
      <c r="J119" s="8">
        <f t="shared" si="37"/>
        <v>32084.339999999851</v>
      </c>
      <c r="K119" s="8">
        <f t="shared" si="38"/>
        <v>6581.8150482310721</v>
      </c>
      <c r="L119" s="8">
        <f t="shared" si="39"/>
        <v>38666.155048230925</v>
      </c>
      <c r="M119" s="8">
        <f t="shared" si="40"/>
        <v>56.586137566137303</v>
      </c>
      <c r="N119" s="8">
        <f t="shared" si="41"/>
        <v>14986</v>
      </c>
      <c r="O119" s="8">
        <f t="shared" si="42"/>
        <v>0</v>
      </c>
      <c r="P119" s="8">
        <f t="shared" si="43"/>
        <v>701</v>
      </c>
      <c r="Q119" s="8">
        <f t="shared" si="44"/>
        <v>2457</v>
      </c>
      <c r="R119" s="8">
        <f t="shared" si="45"/>
        <v>592</v>
      </c>
      <c r="S119" s="8">
        <f t="shared" si="46"/>
        <v>0</v>
      </c>
      <c r="T119" s="8">
        <f t="shared" si="47"/>
        <v>13339.339999999998</v>
      </c>
      <c r="U119" s="8">
        <f t="shared" si="48"/>
        <v>0</v>
      </c>
      <c r="V119" s="8">
        <f t="shared" si="49"/>
        <v>9</v>
      </c>
      <c r="W119" s="8">
        <f t="shared" si="50"/>
        <v>0</v>
      </c>
      <c r="X119" s="8">
        <f t="shared" si="51"/>
        <v>32084.339999999851</v>
      </c>
      <c r="Y119" s="10">
        <v>3480407</v>
      </c>
      <c r="Z119" s="10">
        <v>0</v>
      </c>
      <c r="AA119" s="10">
        <v>162776</v>
      </c>
      <c r="AB119" s="10">
        <v>488157</v>
      </c>
      <c r="AC119" s="10">
        <v>124881</v>
      </c>
      <c r="AD119" s="10">
        <v>122475</v>
      </c>
      <c r="AE119" s="10">
        <v>0</v>
      </c>
      <c r="AF119" s="10">
        <v>0</v>
      </c>
      <c r="AG119" s="10">
        <v>73686</v>
      </c>
      <c r="AH119" s="10">
        <f t="shared" si="52"/>
        <v>645415.3200000003</v>
      </c>
      <c r="AI119" s="10">
        <v>5097797.32</v>
      </c>
      <c r="AJ119" s="10">
        <v>3495393</v>
      </c>
      <c r="AK119" s="10">
        <v>0</v>
      </c>
      <c r="AL119" s="10">
        <v>163477</v>
      </c>
      <c r="AM119" s="10">
        <v>490614</v>
      </c>
      <c r="AN119" s="10">
        <v>125473</v>
      </c>
      <c r="AO119" s="10">
        <v>122475</v>
      </c>
      <c r="AP119" s="10">
        <v>13339.339999999998</v>
      </c>
      <c r="AQ119" s="10">
        <v>0</v>
      </c>
      <c r="AR119" s="10">
        <v>73695</v>
      </c>
      <c r="AS119" s="10">
        <f t="shared" si="55"/>
        <v>645415.3200000003</v>
      </c>
      <c r="AT119" s="10">
        <v>5129881.66</v>
      </c>
      <c r="AU119" s="12">
        <v>26400</v>
      </c>
      <c r="AV119" s="12">
        <v>7838.540605946333</v>
      </c>
      <c r="AW119" s="12">
        <v>8647.5</v>
      </c>
      <c r="AX119" s="12">
        <f t="shared" si="53"/>
        <v>42886.040605946335</v>
      </c>
      <c r="AY119" s="12">
        <v>29504.86</v>
      </c>
      <c r="AZ119" s="12">
        <v>9391.4956541774045</v>
      </c>
      <c r="BA119" s="12">
        <v>10571.5</v>
      </c>
      <c r="BB119" s="12">
        <f t="shared" si="54"/>
        <v>49467.855654177401</v>
      </c>
      <c r="BC119" s="12">
        <v>3104.8600000000006</v>
      </c>
      <c r="BD119" s="12">
        <v>1552.9550482310715</v>
      </c>
      <c r="BE119" s="12">
        <v>1924</v>
      </c>
      <c r="BF119" s="12">
        <v>6581.8150482310721</v>
      </c>
    </row>
    <row r="120" spans="1:58" x14ac:dyDescent="0.25">
      <c r="A120" s="7">
        <v>323</v>
      </c>
      <c r="B120" s="7">
        <v>2</v>
      </c>
      <c r="C120" s="7" t="s">
        <v>121</v>
      </c>
      <c r="D120" s="4">
        <v>6</v>
      </c>
      <c r="E120" s="10">
        <v>31</v>
      </c>
      <c r="F120" s="8">
        <f t="shared" si="33"/>
        <v>865</v>
      </c>
      <c r="G120" s="8">
        <f t="shared" si="34"/>
        <v>0</v>
      </c>
      <c r="H120" s="8">
        <f t="shared" si="35"/>
        <v>0</v>
      </c>
      <c r="I120" s="8">
        <f t="shared" si="36"/>
        <v>1</v>
      </c>
      <c r="J120" s="8">
        <f t="shared" si="37"/>
        <v>866</v>
      </c>
      <c r="K120" s="8">
        <f t="shared" si="38"/>
        <v>66.68444918644974</v>
      </c>
      <c r="L120" s="8">
        <f t="shared" si="39"/>
        <v>932.68444918644968</v>
      </c>
      <c r="M120" s="8">
        <f t="shared" si="40"/>
        <v>27.93548387096774</v>
      </c>
      <c r="N120" s="8">
        <f t="shared" si="41"/>
        <v>834</v>
      </c>
      <c r="O120" s="8">
        <f t="shared" si="42"/>
        <v>7</v>
      </c>
      <c r="P120" s="8">
        <f t="shared" si="43"/>
        <v>24</v>
      </c>
      <c r="Q120" s="8">
        <f t="shared" si="44"/>
        <v>0</v>
      </c>
      <c r="R120" s="8">
        <f t="shared" si="45"/>
        <v>0</v>
      </c>
      <c r="S120" s="8">
        <f t="shared" si="46"/>
        <v>0</v>
      </c>
      <c r="T120" s="8">
        <f t="shared" si="47"/>
        <v>0</v>
      </c>
      <c r="U120" s="8">
        <f t="shared" si="48"/>
        <v>0</v>
      </c>
      <c r="V120" s="8">
        <f t="shared" si="49"/>
        <v>1</v>
      </c>
      <c r="W120" s="8">
        <f t="shared" si="50"/>
        <v>0</v>
      </c>
      <c r="X120" s="8">
        <f t="shared" si="51"/>
        <v>866</v>
      </c>
      <c r="Y120" s="10">
        <v>193630</v>
      </c>
      <c r="Z120" s="10">
        <v>1626</v>
      </c>
      <c r="AA120" s="10">
        <v>5500</v>
      </c>
      <c r="AB120" s="10">
        <v>0</v>
      </c>
      <c r="AC120" s="10">
        <v>0</v>
      </c>
      <c r="AD120" s="10">
        <v>17512</v>
      </c>
      <c r="AE120" s="10">
        <v>0</v>
      </c>
      <c r="AF120" s="10">
        <v>0</v>
      </c>
      <c r="AG120" s="10">
        <v>3207</v>
      </c>
      <c r="AH120" s="10">
        <f t="shared" si="52"/>
        <v>53522.530000000028</v>
      </c>
      <c r="AI120" s="10">
        <v>274997.53000000003</v>
      </c>
      <c r="AJ120" s="10">
        <v>194464</v>
      </c>
      <c r="AK120" s="10">
        <v>1633</v>
      </c>
      <c r="AL120" s="10">
        <v>5524</v>
      </c>
      <c r="AM120" s="10">
        <v>0</v>
      </c>
      <c r="AN120" s="10">
        <v>0</v>
      </c>
      <c r="AO120" s="10">
        <v>17512</v>
      </c>
      <c r="AP120" s="10">
        <v>0</v>
      </c>
      <c r="AQ120" s="10">
        <v>0</v>
      </c>
      <c r="AR120" s="10">
        <v>3208</v>
      </c>
      <c r="AS120" s="10">
        <f t="shared" si="55"/>
        <v>53522.530000000028</v>
      </c>
      <c r="AT120" s="10">
        <v>275863.53000000003</v>
      </c>
      <c r="AU120" s="12">
        <v>0</v>
      </c>
      <c r="AV120" s="12">
        <v>336.58975726860496</v>
      </c>
      <c r="AW120" s="12">
        <v>0</v>
      </c>
      <c r="AX120" s="12">
        <f t="shared" si="53"/>
        <v>336.58975726860496</v>
      </c>
      <c r="AY120" s="12">
        <v>0</v>
      </c>
      <c r="AZ120" s="12">
        <v>403.2742064550547</v>
      </c>
      <c r="BA120" s="12">
        <v>0</v>
      </c>
      <c r="BB120" s="12">
        <f t="shared" si="54"/>
        <v>403.2742064550547</v>
      </c>
      <c r="BC120" s="12">
        <v>0</v>
      </c>
      <c r="BD120" s="12">
        <v>66.68444918644974</v>
      </c>
      <c r="BE120" s="12">
        <v>0</v>
      </c>
      <c r="BF120" s="12">
        <v>66.68444918644974</v>
      </c>
    </row>
    <row r="121" spans="1:58" x14ac:dyDescent="0.25">
      <c r="A121" s="7">
        <v>330</v>
      </c>
      <c r="B121" s="7">
        <v>1</v>
      </c>
      <c r="C121" s="7" t="s">
        <v>122</v>
      </c>
      <c r="D121" s="4">
        <v>6</v>
      </c>
      <c r="E121" s="10">
        <v>284</v>
      </c>
      <c r="F121" s="8">
        <f t="shared" si="33"/>
        <v>9701.75</v>
      </c>
      <c r="G121" s="8">
        <f t="shared" si="34"/>
        <v>9700.24</v>
      </c>
      <c r="H121" s="8">
        <f t="shared" si="35"/>
        <v>4580</v>
      </c>
      <c r="I121" s="8">
        <f t="shared" si="36"/>
        <v>15.000000000223736</v>
      </c>
      <c r="J121" s="8">
        <f t="shared" si="37"/>
        <v>23996.990000000224</v>
      </c>
      <c r="K121" s="8">
        <f t="shared" si="38"/>
        <v>5913.0900158811037</v>
      </c>
      <c r="L121" s="8">
        <f t="shared" si="39"/>
        <v>29910.080015881329</v>
      </c>
      <c r="M121" s="8">
        <f t="shared" si="40"/>
        <v>84.49644366197262</v>
      </c>
      <c r="N121" s="8">
        <f t="shared" si="41"/>
        <v>7835</v>
      </c>
      <c r="O121" s="8">
        <f t="shared" si="42"/>
        <v>86</v>
      </c>
      <c r="P121" s="8">
        <f t="shared" si="43"/>
        <v>424</v>
      </c>
      <c r="Q121" s="8">
        <f t="shared" si="44"/>
        <v>594.75</v>
      </c>
      <c r="R121" s="8">
        <f t="shared" si="45"/>
        <v>762</v>
      </c>
      <c r="S121" s="8">
        <f t="shared" si="46"/>
        <v>0</v>
      </c>
      <c r="T121" s="8">
        <f t="shared" si="47"/>
        <v>9700.24</v>
      </c>
      <c r="U121" s="8">
        <f t="shared" si="48"/>
        <v>4580</v>
      </c>
      <c r="V121" s="8">
        <f t="shared" si="49"/>
        <v>15</v>
      </c>
      <c r="W121" s="8">
        <f t="shared" si="50"/>
        <v>0</v>
      </c>
      <c r="X121" s="8">
        <f t="shared" si="51"/>
        <v>23996.990000000224</v>
      </c>
      <c r="Y121" s="10">
        <v>1819600</v>
      </c>
      <c r="Z121" s="10">
        <v>19833</v>
      </c>
      <c r="AA121" s="10">
        <v>98334</v>
      </c>
      <c r="AB121" s="10">
        <v>118165</v>
      </c>
      <c r="AC121" s="10">
        <v>160897</v>
      </c>
      <c r="AD121" s="10">
        <v>114832</v>
      </c>
      <c r="AE121" s="10">
        <v>0</v>
      </c>
      <c r="AF121" s="10">
        <v>28114</v>
      </c>
      <c r="AG121" s="10">
        <v>23913</v>
      </c>
      <c r="AH121" s="10">
        <f t="shared" si="52"/>
        <v>645982.81999999983</v>
      </c>
      <c r="AI121" s="10">
        <v>3029670.82</v>
      </c>
      <c r="AJ121" s="10">
        <v>1827435</v>
      </c>
      <c r="AK121" s="10">
        <v>19919</v>
      </c>
      <c r="AL121" s="10">
        <v>98758</v>
      </c>
      <c r="AM121" s="10">
        <v>118759.75</v>
      </c>
      <c r="AN121" s="10">
        <v>161659</v>
      </c>
      <c r="AO121" s="10">
        <v>114832</v>
      </c>
      <c r="AP121" s="10">
        <v>9700.24</v>
      </c>
      <c r="AQ121" s="10">
        <v>32694</v>
      </c>
      <c r="AR121" s="10">
        <v>23928</v>
      </c>
      <c r="AS121" s="10">
        <f t="shared" si="55"/>
        <v>645982.81999999983</v>
      </c>
      <c r="AT121" s="10">
        <v>3053667.81</v>
      </c>
      <c r="AU121" s="12">
        <v>18000</v>
      </c>
      <c r="AV121" s="12">
        <v>3202.8407301598772</v>
      </c>
      <c r="AW121" s="12">
        <v>6057.875</v>
      </c>
      <c r="AX121" s="12">
        <f t="shared" si="53"/>
        <v>27260.715730159878</v>
      </c>
      <c r="AY121" s="12">
        <v>20116.95</v>
      </c>
      <c r="AZ121" s="12">
        <v>3837.3807460409821</v>
      </c>
      <c r="BA121" s="12">
        <v>9219.4750000000004</v>
      </c>
      <c r="BB121" s="12">
        <f t="shared" si="54"/>
        <v>33173.805746040984</v>
      </c>
      <c r="BC121" s="12">
        <v>2116.9500000000007</v>
      </c>
      <c r="BD121" s="12">
        <v>634.54001588110486</v>
      </c>
      <c r="BE121" s="12">
        <v>3161.5999999999985</v>
      </c>
      <c r="BF121" s="12">
        <v>5913.0900158811037</v>
      </c>
    </row>
    <row r="122" spans="1:58" x14ac:dyDescent="0.25">
      <c r="A122" s="7">
        <v>332</v>
      </c>
      <c r="B122" s="7">
        <v>1</v>
      </c>
      <c r="C122" s="7" t="s">
        <v>123</v>
      </c>
      <c r="D122" s="4">
        <v>5</v>
      </c>
      <c r="E122" s="10">
        <v>1725</v>
      </c>
      <c r="F122" s="8">
        <f t="shared" si="33"/>
        <v>53444.25</v>
      </c>
      <c r="G122" s="8">
        <f t="shared" si="34"/>
        <v>39918.36</v>
      </c>
      <c r="H122" s="8">
        <f t="shared" si="35"/>
        <v>0</v>
      </c>
      <c r="I122" s="8">
        <f t="shared" si="36"/>
        <v>-5.9662852436304092E-10</v>
      </c>
      <c r="J122" s="8">
        <f t="shared" si="37"/>
        <v>93362.609999999404</v>
      </c>
      <c r="K122" s="8">
        <f t="shared" si="38"/>
        <v>22559.445027317146</v>
      </c>
      <c r="L122" s="8">
        <f t="shared" si="39"/>
        <v>115922.05502731656</v>
      </c>
      <c r="M122" s="8">
        <f t="shared" si="40"/>
        <v>54.123252173912697</v>
      </c>
      <c r="N122" s="8">
        <f t="shared" si="41"/>
        <v>47110</v>
      </c>
      <c r="O122" s="8">
        <f t="shared" si="42"/>
        <v>0</v>
      </c>
      <c r="P122" s="8">
        <f t="shared" si="43"/>
        <v>1214</v>
      </c>
      <c r="Q122" s="8">
        <f t="shared" si="44"/>
        <v>5120.25</v>
      </c>
      <c r="R122" s="8">
        <f t="shared" si="45"/>
        <v>0</v>
      </c>
      <c r="S122" s="8">
        <f t="shared" si="46"/>
        <v>0</v>
      </c>
      <c r="T122" s="8">
        <f t="shared" si="47"/>
        <v>39918.36</v>
      </c>
      <c r="U122" s="8">
        <f t="shared" si="48"/>
        <v>0</v>
      </c>
      <c r="V122" s="8">
        <f t="shared" si="49"/>
        <v>0</v>
      </c>
      <c r="W122" s="8">
        <f t="shared" si="50"/>
        <v>0</v>
      </c>
      <c r="X122" s="8">
        <f t="shared" si="51"/>
        <v>93362.609999999404</v>
      </c>
      <c r="Y122" s="10">
        <v>10940826</v>
      </c>
      <c r="Z122" s="10">
        <v>0</v>
      </c>
      <c r="AA122" s="10">
        <v>281897</v>
      </c>
      <c r="AB122" s="10">
        <v>1017291</v>
      </c>
      <c r="AC122" s="10">
        <v>0</v>
      </c>
      <c r="AD122" s="10">
        <v>0</v>
      </c>
      <c r="AE122" s="10">
        <v>0</v>
      </c>
      <c r="AF122" s="10">
        <v>0</v>
      </c>
      <c r="AG122" s="10">
        <v>271354</v>
      </c>
      <c r="AH122" s="10">
        <f t="shared" si="52"/>
        <v>1116301.9100000001</v>
      </c>
      <c r="AI122" s="10">
        <v>13627669.91</v>
      </c>
      <c r="AJ122" s="10">
        <v>10987936</v>
      </c>
      <c r="AK122" s="10">
        <v>0</v>
      </c>
      <c r="AL122" s="10">
        <v>283111</v>
      </c>
      <c r="AM122" s="10">
        <v>1022411.25</v>
      </c>
      <c r="AN122" s="10">
        <v>0</v>
      </c>
      <c r="AO122" s="10">
        <v>0</v>
      </c>
      <c r="AP122" s="10">
        <v>39918.36</v>
      </c>
      <c r="AQ122" s="10">
        <v>0</v>
      </c>
      <c r="AR122" s="10">
        <v>271354</v>
      </c>
      <c r="AS122" s="10">
        <f t="shared" si="55"/>
        <v>1116301.9100000001</v>
      </c>
      <c r="AT122" s="10">
        <v>13721032.52</v>
      </c>
      <c r="AU122" s="12">
        <v>85200</v>
      </c>
      <c r="AV122" s="12">
        <v>22180.809850383368</v>
      </c>
      <c r="AW122" s="12">
        <v>22925.25</v>
      </c>
      <c r="AX122" s="12">
        <f t="shared" si="53"/>
        <v>130306.05985038338</v>
      </c>
      <c r="AY122" s="12">
        <v>95220.23</v>
      </c>
      <c r="AZ122" s="12">
        <v>26575.22487770053</v>
      </c>
      <c r="BA122" s="12">
        <v>31070.05</v>
      </c>
      <c r="BB122" s="12">
        <f t="shared" si="54"/>
        <v>152865.50487770053</v>
      </c>
      <c r="BC122" s="12">
        <v>10020.229999999996</v>
      </c>
      <c r="BD122" s="12">
        <v>4394.4150273171617</v>
      </c>
      <c r="BE122" s="12">
        <v>8144.7999999999884</v>
      </c>
      <c r="BF122" s="12">
        <v>22559.445027317146</v>
      </c>
    </row>
    <row r="123" spans="1:58" x14ac:dyDescent="0.25">
      <c r="A123" s="7">
        <v>333</v>
      </c>
      <c r="B123" s="7">
        <v>1</v>
      </c>
      <c r="C123" s="7" t="s">
        <v>124</v>
      </c>
      <c r="D123" s="4">
        <v>6</v>
      </c>
      <c r="E123" s="10">
        <v>543</v>
      </c>
      <c r="F123" s="8">
        <f t="shared" si="33"/>
        <v>17586.5</v>
      </c>
      <c r="G123" s="8">
        <f t="shared" si="34"/>
        <v>0</v>
      </c>
      <c r="H123" s="8">
        <f t="shared" si="35"/>
        <v>0</v>
      </c>
      <c r="I123" s="8">
        <f t="shared" si="36"/>
        <v>0</v>
      </c>
      <c r="J123" s="8">
        <f t="shared" si="37"/>
        <v>17586.5</v>
      </c>
      <c r="K123" s="8">
        <f t="shared" si="38"/>
        <v>7809.4111584083821</v>
      </c>
      <c r="L123" s="8">
        <f t="shared" si="39"/>
        <v>25395.91115840838</v>
      </c>
      <c r="M123" s="8">
        <f t="shared" si="40"/>
        <v>32.387661141804791</v>
      </c>
      <c r="N123" s="8">
        <f t="shared" si="41"/>
        <v>14755</v>
      </c>
      <c r="O123" s="8">
        <f t="shared" si="42"/>
        <v>0</v>
      </c>
      <c r="P123" s="8">
        <f t="shared" si="43"/>
        <v>459</v>
      </c>
      <c r="Q123" s="8">
        <f t="shared" si="44"/>
        <v>2372.5</v>
      </c>
      <c r="R123" s="8">
        <f t="shared" si="45"/>
        <v>0</v>
      </c>
      <c r="S123" s="8">
        <f t="shared" si="46"/>
        <v>0</v>
      </c>
      <c r="T123" s="8">
        <f t="shared" si="47"/>
        <v>0</v>
      </c>
      <c r="U123" s="8">
        <f t="shared" si="48"/>
        <v>0</v>
      </c>
      <c r="V123" s="8">
        <f t="shared" si="49"/>
        <v>0</v>
      </c>
      <c r="W123" s="8">
        <f t="shared" si="50"/>
        <v>0</v>
      </c>
      <c r="X123" s="8">
        <f t="shared" si="51"/>
        <v>17586.5</v>
      </c>
      <c r="Y123" s="10">
        <v>3426701</v>
      </c>
      <c r="Z123" s="10">
        <v>0</v>
      </c>
      <c r="AA123" s="10">
        <v>106467</v>
      </c>
      <c r="AB123" s="10">
        <v>471368</v>
      </c>
      <c r="AC123" s="10">
        <v>0</v>
      </c>
      <c r="AD123" s="10">
        <v>123678</v>
      </c>
      <c r="AE123" s="10">
        <v>141700</v>
      </c>
      <c r="AF123" s="10">
        <v>0</v>
      </c>
      <c r="AG123" s="10">
        <v>84989</v>
      </c>
      <c r="AH123" s="10">
        <f t="shared" si="52"/>
        <v>372958.58000000007</v>
      </c>
      <c r="AI123" s="10">
        <v>4727861.58</v>
      </c>
      <c r="AJ123" s="10">
        <v>3441456</v>
      </c>
      <c r="AK123" s="10">
        <v>0</v>
      </c>
      <c r="AL123" s="10">
        <v>106926</v>
      </c>
      <c r="AM123" s="10">
        <v>473740.5</v>
      </c>
      <c r="AN123" s="10">
        <v>0</v>
      </c>
      <c r="AO123" s="10">
        <v>123678</v>
      </c>
      <c r="AP123" s="10">
        <v>141700</v>
      </c>
      <c r="AQ123" s="10">
        <v>0</v>
      </c>
      <c r="AR123" s="10">
        <v>84989</v>
      </c>
      <c r="AS123" s="10">
        <f t="shared" si="55"/>
        <v>372958.58000000007</v>
      </c>
      <c r="AT123" s="10">
        <v>4745448.08</v>
      </c>
      <c r="AU123" s="12">
        <v>24360</v>
      </c>
      <c r="AV123" s="12">
        <v>9320.0682195663103</v>
      </c>
      <c r="AW123" s="12">
        <v>6685.625</v>
      </c>
      <c r="AX123" s="12">
        <f t="shared" si="53"/>
        <v>40365.69321956631</v>
      </c>
      <c r="AY123" s="12">
        <v>27224.938999999998</v>
      </c>
      <c r="AZ123" s="12">
        <v>11166.540377974694</v>
      </c>
      <c r="BA123" s="12">
        <v>9783.625</v>
      </c>
      <c r="BB123" s="12">
        <f t="shared" si="54"/>
        <v>48175.104377974691</v>
      </c>
      <c r="BC123" s="12">
        <v>2864.9389999999985</v>
      </c>
      <c r="BD123" s="12">
        <v>1846.4721584083836</v>
      </c>
      <c r="BE123" s="12">
        <v>3098</v>
      </c>
      <c r="BF123" s="12">
        <v>7809.4111584083821</v>
      </c>
    </row>
    <row r="124" spans="1:58" x14ac:dyDescent="0.25">
      <c r="A124" s="7">
        <v>345</v>
      </c>
      <c r="B124" s="7">
        <v>1</v>
      </c>
      <c r="C124" s="7" t="s">
        <v>125</v>
      </c>
      <c r="D124" s="4">
        <v>5</v>
      </c>
      <c r="E124" s="10">
        <v>1383</v>
      </c>
      <c r="F124" s="8">
        <f t="shared" si="33"/>
        <v>38976.5</v>
      </c>
      <c r="G124" s="8">
        <f t="shared" si="34"/>
        <v>32945.18</v>
      </c>
      <c r="H124" s="8">
        <f t="shared" si="35"/>
        <v>0</v>
      </c>
      <c r="I124" s="8">
        <f t="shared" si="36"/>
        <v>13.999999999701686</v>
      </c>
      <c r="J124" s="8">
        <f t="shared" si="37"/>
        <v>71935.679999999702</v>
      </c>
      <c r="K124" s="8">
        <f t="shared" si="38"/>
        <v>16929.664183434754</v>
      </c>
      <c r="L124" s="8">
        <f t="shared" si="39"/>
        <v>88865.344183434456</v>
      </c>
      <c r="M124" s="8">
        <f t="shared" si="40"/>
        <v>52.014229934923861</v>
      </c>
      <c r="N124" s="8">
        <f t="shared" si="41"/>
        <v>36590</v>
      </c>
      <c r="O124" s="8">
        <f t="shared" si="42"/>
        <v>178</v>
      </c>
      <c r="P124" s="8">
        <f t="shared" si="43"/>
        <v>878</v>
      </c>
      <c r="Q124" s="8">
        <f t="shared" si="44"/>
        <v>1330.5</v>
      </c>
      <c r="R124" s="8">
        <f t="shared" si="45"/>
        <v>0</v>
      </c>
      <c r="S124" s="8">
        <f t="shared" si="46"/>
        <v>0</v>
      </c>
      <c r="T124" s="8">
        <f t="shared" si="47"/>
        <v>32945.18</v>
      </c>
      <c r="U124" s="8">
        <f t="shared" si="48"/>
        <v>0</v>
      </c>
      <c r="V124" s="8">
        <f t="shared" si="49"/>
        <v>14</v>
      </c>
      <c r="W124" s="8">
        <f t="shared" si="50"/>
        <v>0</v>
      </c>
      <c r="X124" s="8">
        <f t="shared" si="51"/>
        <v>71935.679999999702</v>
      </c>
      <c r="Y124" s="10">
        <v>8497662</v>
      </c>
      <c r="Z124" s="10">
        <v>41292</v>
      </c>
      <c r="AA124" s="10">
        <v>203799</v>
      </c>
      <c r="AB124" s="10">
        <v>264344</v>
      </c>
      <c r="AC124" s="10">
        <v>0</v>
      </c>
      <c r="AD124" s="10">
        <v>0</v>
      </c>
      <c r="AE124" s="10">
        <v>0</v>
      </c>
      <c r="AF124" s="10">
        <v>14717</v>
      </c>
      <c r="AG124" s="10">
        <v>190086</v>
      </c>
      <c r="AH124" s="10">
        <f t="shared" si="52"/>
        <v>1319146.5600000005</v>
      </c>
      <c r="AI124" s="10">
        <v>10531046.560000001</v>
      </c>
      <c r="AJ124" s="10">
        <v>8534252</v>
      </c>
      <c r="AK124" s="10">
        <v>41470</v>
      </c>
      <c r="AL124" s="10">
        <v>204677</v>
      </c>
      <c r="AM124" s="10">
        <v>265674.5</v>
      </c>
      <c r="AN124" s="10">
        <v>0</v>
      </c>
      <c r="AO124" s="10">
        <v>0</v>
      </c>
      <c r="AP124" s="10">
        <v>32945.18</v>
      </c>
      <c r="AQ124" s="10">
        <v>14717</v>
      </c>
      <c r="AR124" s="10">
        <v>190100</v>
      </c>
      <c r="AS124" s="10">
        <f t="shared" si="55"/>
        <v>1319146.5600000005</v>
      </c>
      <c r="AT124" s="10">
        <v>10602982.24</v>
      </c>
      <c r="AU124" s="12">
        <v>60960</v>
      </c>
      <c r="AV124" s="12">
        <v>13682.057275886924</v>
      </c>
      <c r="AW124" s="12">
        <v>22901.625</v>
      </c>
      <c r="AX124" s="12">
        <f t="shared" si="53"/>
        <v>97543.682275886924</v>
      </c>
      <c r="AY124" s="12">
        <v>68129.403999999995</v>
      </c>
      <c r="AZ124" s="12">
        <v>16392.717459321677</v>
      </c>
      <c r="BA124" s="12">
        <v>29951.224999999999</v>
      </c>
      <c r="BB124" s="12">
        <f t="shared" si="54"/>
        <v>114473.34645932168</v>
      </c>
      <c r="BC124" s="12">
        <v>7169.403999999995</v>
      </c>
      <c r="BD124" s="12">
        <v>2710.660183434753</v>
      </c>
      <c r="BE124" s="12">
        <v>7049.6000000000058</v>
      </c>
      <c r="BF124" s="12">
        <v>16929.664183434754</v>
      </c>
    </row>
    <row r="125" spans="1:58" x14ac:dyDescent="0.25">
      <c r="A125" s="7">
        <v>347</v>
      </c>
      <c r="B125" s="7">
        <v>1</v>
      </c>
      <c r="C125" s="7" t="s">
        <v>126</v>
      </c>
      <c r="D125" s="4">
        <v>4</v>
      </c>
      <c r="E125" s="10">
        <v>4155</v>
      </c>
      <c r="F125" s="8">
        <f t="shared" si="33"/>
        <v>137795.5</v>
      </c>
      <c r="G125" s="8">
        <f t="shared" si="34"/>
        <v>103827.6</v>
      </c>
      <c r="H125" s="8">
        <f t="shared" si="35"/>
        <v>44227</v>
      </c>
      <c r="I125" s="8">
        <f t="shared" si="36"/>
        <v>36.000000001484295</v>
      </c>
      <c r="J125" s="8">
        <f t="shared" si="37"/>
        <v>285886.10000000149</v>
      </c>
      <c r="K125" s="8">
        <f t="shared" si="38"/>
        <v>56054.007944977202</v>
      </c>
      <c r="L125" s="8">
        <f t="shared" si="39"/>
        <v>341940.10794497869</v>
      </c>
      <c r="M125" s="8">
        <f t="shared" si="40"/>
        <v>68.805318892900473</v>
      </c>
      <c r="N125" s="8">
        <f t="shared" si="41"/>
        <v>113000</v>
      </c>
      <c r="O125" s="8">
        <f t="shared" si="42"/>
        <v>0</v>
      </c>
      <c r="P125" s="8">
        <f t="shared" si="43"/>
        <v>1761</v>
      </c>
      <c r="Q125" s="8">
        <f t="shared" si="44"/>
        <v>23034.5</v>
      </c>
      <c r="R125" s="8">
        <f t="shared" si="45"/>
        <v>0</v>
      </c>
      <c r="S125" s="8">
        <f t="shared" si="46"/>
        <v>0</v>
      </c>
      <c r="T125" s="8">
        <f t="shared" si="47"/>
        <v>103827.6</v>
      </c>
      <c r="U125" s="8">
        <f t="shared" si="48"/>
        <v>44227</v>
      </c>
      <c r="V125" s="8">
        <f t="shared" si="49"/>
        <v>36</v>
      </c>
      <c r="W125" s="8">
        <f t="shared" si="50"/>
        <v>0</v>
      </c>
      <c r="X125" s="8">
        <f t="shared" si="51"/>
        <v>285886.10000000149</v>
      </c>
      <c r="Y125" s="10">
        <v>26243120</v>
      </c>
      <c r="Z125" s="10">
        <v>0</v>
      </c>
      <c r="AA125" s="10">
        <v>408930</v>
      </c>
      <c r="AB125" s="10">
        <v>4576494</v>
      </c>
      <c r="AC125" s="10">
        <v>0</v>
      </c>
      <c r="AD125" s="10">
        <v>0</v>
      </c>
      <c r="AE125" s="10">
        <v>0</v>
      </c>
      <c r="AF125" s="10">
        <v>743166</v>
      </c>
      <c r="AG125" s="10">
        <v>598841</v>
      </c>
      <c r="AH125" s="10">
        <f t="shared" si="52"/>
        <v>5236628.7299999967</v>
      </c>
      <c r="AI125" s="10">
        <v>37807179.729999997</v>
      </c>
      <c r="AJ125" s="10">
        <v>26356120</v>
      </c>
      <c r="AK125" s="10">
        <v>0</v>
      </c>
      <c r="AL125" s="10">
        <v>410691</v>
      </c>
      <c r="AM125" s="10">
        <v>4599528.5</v>
      </c>
      <c r="AN125" s="10">
        <v>0</v>
      </c>
      <c r="AO125" s="10">
        <v>0</v>
      </c>
      <c r="AP125" s="10">
        <v>103827.6</v>
      </c>
      <c r="AQ125" s="10">
        <v>787393</v>
      </c>
      <c r="AR125" s="10">
        <v>598877</v>
      </c>
      <c r="AS125" s="10">
        <f t="shared" si="55"/>
        <v>5236628.7299999967</v>
      </c>
      <c r="AT125" s="10">
        <v>38093065.829999998</v>
      </c>
      <c r="AU125" s="12">
        <v>228000</v>
      </c>
      <c r="AV125" s="12">
        <v>65234.434852272578</v>
      </c>
      <c r="AW125" s="12">
        <v>72516.375</v>
      </c>
      <c r="AX125" s="12">
        <f t="shared" si="53"/>
        <v>365750.80985227256</v>
      </c>
      <c r="AY125" s="12">
        <v>254814.7</v>
      </c>
      <c r="AZ125" s="12">
        <v>78158.542797249815</v>
      </c>
      <c r="BA125" s="12">
        <v>88831.574999999997</v>
      </c>
      <c r="BB125" s="12">
        <f t="shared" si="54"/>
        <v>421804.81779724982</v>
      </c>
      <c r="BC125" s="12">
        <v>26814.700000000012</v>
      </c>
      <c r="BD125" s="12">
        <v>12924.107944977237</v>
      </c>
      <c r="BE125" s="12">
        <v>16315.199999999953</v>
      </c>
      <c r="BF125" s="12">
        <v>56054.007944977202</v>
      </c>
    </row>
    <row r="126" spans="1:58" x14ac:dyDescent="0.25">
      <c r="A126" s="7">
        <v>356</v>
      </c>
      <c r="B126" s="7">
        <v>1</v>
      </c>
      <c r="C126" s="7" t="s">
        <v>127</v>
      </c>
      <c r="D126" s="4">
        <v>6</v>
      </c>
      <c r="E126" s="10">
        <v>156</v>
      </c>
      <c r="F126" s="8">
        <f t="shared" si="33"/>
        <v>4879</v>
      </c>
      <c r="G126" s="8">
        <f t="shared" si="34"/>
        <v>6203.08</v>
      </c>
      <c r="H126" s="8">
        <f t="shared" si="35"/>
        <v>0</v>
      </c>
      <c r="I126" s="8">
        <f t="shared" si="36"/>
        <v>7.4578565545380116E-11</v>
      </c>
      <c r="J126" s="8">
        <f t="shared" si="37"/>
        <v>11082.080000000075</v>
      </c>
      <c r="K126" s="8">
        <f t="shared" si="38"/>
        <v>3971.5553130861595</v>
      </c>
      <c r="L126" s="8">
        <f t="shared" si="39"/>
        <v>15053.635313086234</v>
      </c>
      <c r="M126" s="8">
        <f t="shared" si="40"/>
        <v>71.038974358974841</v>
      </c>
      <c r="N126" s="8">
        <f t="shared" si="41"/>
        <v>4165</v>
      </c>
      <c r="O126" s="8">
        <f t="shared" si="42"/>
        <v>0</v>
      </c>
      <c r="P126" s="8">
        <f t="shared" si="43"/>
        <v>413</v>
      </c>
      <c r="Q126" s="8">
        <f t="shared" si="44"/>
        <v>301</v>
      </c>
      <c r="R126" s="8">
        <f t="shared" si="45"/>
        <v>0</v>
      </c>
      <c r="S126" s="8">
        <f t="shared" si="46"/>
        <v>0</v>
      </c>
      <c r="T126" s="8">
        <f t="shared" si="47"/>
        <v>6203.08</v>
      </c>
      <c r="U126" s="8">
        <f t="shared" si="48"/>
        <v>0</v>
      </c>
      <c r="V126" s="8">
        <f t="shared" si="49"/>
        <v>0</v>
      </c>
      <c r="W126" s="8">
        <f t="shared" si="50"/>
        <v>0</v>
      </c>
      <c r="X126" s="8">
        <f t="shared" si="51"/>
        <v>11082.080000000075</v>
      </c>
      <c r="Y126" s="10">
        <v>967280</v>
      </c>
      <c r="Z126" s="10">
        <v>0</v>
      </c>
      <c r="AA126" s="10">
        <v>95972</v>
      </c>
      <c r="AB126" s="10">
        <v>59803</v>
      </c>
      <c r="AC126" s="10">
        <v>190634</v>
      </c>
      <c r="AD126" s="10">
        <v>74902</v>
      </c>
      <c r="AE126" s="10">
        <v>0</v>
      </c>
      <c r="AF126" s="10">
        <v>0</v>
      </c>
      <c r="AG126" s="10">
        <v>8330</v>
      </c>
      <c r="AH126" s="10">
        <f t="shared" si="52"/>
        <v>447828.59000000008</v>
      </c>
      <c r="AI126" s="10">
        <v>1844749.59</v>
      </c>
      <c r="AJ126" s="10">
        <v>971445</v>
      </c>
      <c r="AK126" s="10">
        <v>0</v>
      </c>
      <c r="AL126" s="10">
        <v>96385</v>
      </c>
      <c r="AM126" s="10">
        <v>60104</v>
      </c>
      <c r="AN126" s="10">
        <v>190634</v>
      </c>
      <c r="AO126" s="10">
        <v>74902</v>
      </c>
      <c r="AP126" s="10">
        <v>6203.08</v>
      </c>
      <c r="AQ126" s="10">
        <v>0</v>
      </c>
      <c r="AR126" s="10">
        <v>8330</v>
      </c>
      <c r="AS126" s="10">
        <f t="shared" si="55"/>
        <v>447828.59000000008</v>
      </c>
      <c r="AT126" s="10">
        <v>1855831.6700000002</v>
      </c>
      <c r="AU126" s="12">
        <v>18000</v>
      </c>
      <c r="AV126" s="12">
        <v>1971.5803178023848</v>
      </c>
      <c r="AW126" s="12">
        <v>2952</v>
      </c>
      <c r="AX126" s="12">
        <f t="shared" si="53"/>
        <v>22923.580317802385</v>
      </c>
      <c r="AY126" s="12">
        <v>20116.95</v>
      </c>
      <c r="AZ126" s="12">
        <v>2362.1856308885435</v>
      </c>
      <c r="BA126" s="12">
        <v>4416</v>
      </c>
      <c r="BB126" s="12">
        <f t="shared" si="54"/>
        <v>26895.135630888544</v>
      </c>
      <c r="BC126" s="12">
        <v>2116.9500000000007</v>
      </c>
      <c r="BD126" s="12">
        <v>390.60531308615873</v>
      </c>
      <c r="BE126" s="12">
        <v>1464</v>
      </c>
      <c r="BF126" s="12">
        <v>3971.5553130861595</v>
      </c>
    </row>
    <row r="127" spans="1:58" x14ac:dyDescent="0.25">
      <c r="A127" s="7">
        <v>361</v>
      </c>
      <c r="B127" s="7">
        <v>1</v>
      </c>
      <c r="C127" s="7" t="s">
        <v>128</v>
      </c>
      <c r="D127" s="4">
        <v>5</v>
      </c>
      <c r="E127" s="10">
        <v>1077</v>
      </c>
      <c r="F127" s="8">
        <f t="shared" si="33"/>
        <v>33776.5</v>
      </c>
      <c r="G127" s="8">
        <f t="shared" si="34"/>
        <v>0</v>
      </c>
      <c r="H127" s="8">
        <f t="shared" si="35"/>
        <v>0</v>
      </c>
      <c r="I127" s="8">
        <f t="shared" si="36"/>
        <v>17</v>
      </c>
      <c r="J127" s="8">
        <f t="shared" si="37"/>
        <v>33793.5</v>
      </c>
      <c r="K127" s="8">
        <f t="shared" si="38"/>
        <v>11895.746632011544</v>
      </c>
      <c r="L127" s="8">
        <f t="shared" si="39"/>
        <v>45689.246632011542</v>
      </c>
      <c r="M127" s="8">
        <f t="shared" si="40"/>
        <v>31.377437325905291</v>
      </c>
      <c r="N127" s="8">
        <f t="shared" si="41"/>
        <v>29710</v>
      </c>
      <c r="O127" s="8">
        <f t="shared" si="42"/>
        <v>343</v>
      </c>
      <c r="P127" s="8">
        <f t="shared" si="43"/>
        <v>1173</v>
      </c>
      <c r="Q127" s="8">
        <f t="shared" si="44"/>
        <v>2550.5</v>
      </c>
      <c r="R127" s="8">
        <f t="shared" si="45"/>
        <v>0</v>
      </c>
      <c r="S127" s="8">
        <f t="shared" si="46"/>
        <v>0</v>
      </c>
      <c r="T127" s="8">
        <f t="shared" si="47"/>
        <v>0</v>
      </c>
      <c r="U127" s="8">
        <f t="shared" si="48"/>
        <v>0</v>
      </c>
      <c r="V127" s="8">
        <f t="shared" si="49"/>
        <v>17</v>
      </c>
      <c r="W127" s="8">
        <f t="shared" si="50"/>
        <v>0</v>
      </c>
      <c r="X127" s="8">
        <f t="shared" si="51"/>
        <v>33793.5</v>
      </c>
      <c r="Y127" s="10">
        <v>6899850</v>
      </c>
      <c r="Z127" s="10">
        <v>79577</v>
      </c>
      <c r="AA127" s="10">
        <v>272407</v>
      </c>
      <c r="AB127" s="10">
        <v>506733</v>
      </c>
      <c r="AC127" s="10">
        <v>0</v>
      </c>
      <c r="AD127" s="10">
        <v>0</v>
      </c>
      <c r="AE127" s="10">
        <v>290940</v>
      </c>
      <c r="AF127" s="10">
        <v>14897</v>
      </c>
      <c r="AG127" s="10">
        <v>145456</v>
      </c>
      <c r="AH127" s="10">
        <f t="shared" si="52"/>
        <v>1253421.3800000008</v>
      </c>
      <c r="AI127" s="10">
        <v>9463281.3800000008</v>
      </c>
      <c r="AJ127" s="10">
        <v>6929560</v>
      </c>
      <c r="AK127" s="10">
        <v>79920</v>
      </c>
      <c r="AL127" s="10">
        <v>273580</v>
      </c>
      <c r="AM127" s="10">
        <v>509283.5</v>
      </c>
      <c r="AN127" s="10">
        <v>0</v>
      </c>
      <c r="AO127" s="10">
        <v>0</v>
      </c>
      <c r="AP127" s="10">
        <v>290940</v>
      </c>
      <c r="AQ127" s="10">
        <v>14897</v>
      </c>
      <c r="AR127" s="10">
        <v>145473</v>
      </c>
      <c r="AS127" s="10">
        <f t="shared" si="55"/>
        <v>1253421.3800000008</v>
      </c>
      <c r="AT127" s="10">
        <v>9497074.8800000008</v>
      </c>
      <c r="AU127" s="12">
        <v>46320</v>
      </c>
      <c r="AV127" s="12">
        <v>13465.360270078283</v>
      </c>
      <c r="AW127" s="12">
        <v>13307.5</v>
      </c>
      <c r="AX127" s="12">
        <f t="shared" si="53"/>
        <v>73092.860270078279</v>
      </c>
      <c r="AY127" s="12">
        <v>51767.618000000002</v>
      </c>
      <c r="AZ127" s="12">
        <v>16133.08890208983</v>
      </c>
      <c r="BA127" s="12">
        <v>17087.900000000001</v>
      </c>
      <c r="BB127" s="12">
        <f t="shared" si="54"/>
        <v>84988.606902089843</v>
      </c>
      <c r="BC127" s="12">
        <v>5447.6180000000022</v>
      </c>
      <c r="BD127" s="12">
        <v>2667.7286320115472</v>
      </c>
      <c r="BE127" s="12">
        <v>3780.3999999999942</v>
      </c>
      <c r="BF127" s="12">
        <v>11895.746632011544</v>
      </c>
    </row>
    <row r="128" spans="1:58" x14ac:dyDescent="0.25">
      <c r="A128" s="7">
        <v>362</v>
      </c>
      <c r="B128" s="7">
        <v>1</v>
      </c>
      <c r="C128" s="7" t="s">
        <v>129</v>
      </c>
      <c r="D128" s="4">
        <v>6</v>
      </c>
      <c r="E128" s="10">
        <v>345</v>
      </c>
      <c r="F128" s="8">
        <f t="shared" si="33"/>
        <v>13810.5</v>
      </c>
      <c r="G128" s="8">
        <f t="shared" si="34"/>
        <v>7782.54</v>
      </c>
      <c r="H128" s="8">
        <f t="shared" si="35"/>
        <v>0</v>
      </c>
      <c r="I128" s="8">
        <f t="shared" si="36"/>
        <v>-1.9999999999627107</v>
      </c>
      <c r="J128" s="8">
        <f t="shared" si="37"/>
        <v>21591.040000000037</v>
      </c>
      <c r="K128" s="8">
        <f t="shared" si="38"/>
        <v>4655.7230748739585</v>
      </c>
      <c r="L128" s="8">
        <f t="shared" si="39"/>
        <v>26246.763074873998</v>
      </c>
      <c r="M128" s="8">
        <f t="shared" si="40"/>
        <v>62.582724637681267</v>
      </c>
      <c r="N128" s="8">
        <f t="shared" si="41"/>
        <v>9218</v>
      </c>
      <c r="O128" s="8">
        <f t="shared" si="42"/>
        <v>45</v>
      </c>
      <c r="P128" s="8">
        <f t="shared" si="43"/>
        <v>1065</v>
      </c>
      <c r="Q128" s="8">
        <f t="shared" si="44"/>
        <v>909.5</v>
      </c>
      <c r="R128" s="8">
        <f t="shared" si="45"/>
        <v>2573</v>
      </c>
      <c r="S128" s="8">
        <f t="shared" si="46"/>
        <v>0</v>
      </c>
      <c r="T128" s="8">
        <f t="shared" si="47"/>
        <v>7782.54</v>
      </c>
      <c r="U128" s="8">
        <f t="shared" si="48"/>
        <v>0</v>
      </c>
      <c r="V128" s="8">
        <f t="shared" si="49"/>
        <v>-2</v>
      </c>
      <c r="W128" s="8">
        <f t="shared" si="50"/>
        <v>0</v>
      </c>
      <c r="X128" s="8">
        <f t="shared" si="51"/>
        <v>21591.040000000037</v>
      </c>
      <c r="Y128" s="10">
        <v>2140672</v>
      </c>
      <c r="Z128" s="10">
        <v>10323</v>
      </c>
      <c r="AA128" s="10">
        <v>247366</v>
      </c>
      <c r="AB128" s="10">
        <v>180699</v>
      </c>
      <c r="AC128" s="10">
        <v>543070</v>
      </c>
      <c r="AD128" s="10">
        <v>123540</v>
      </c>
      <c r="AE128" s="10">
        <v>0</v>
      </c>
      <c r="AF128" s="10">
        <v>0</v>
      </c>
      <c r="AG128" s="10">
        <v>56158</v>
      </c>
      <c r="AH128" s="10">
        <f t="shared" si="52"/>
        <v>137015.39999999991</v>
      </c>
      <c r="AI128" s="10">
        <v>3438843.4</v>
      </c>
      <c r="AJ128" s="10">
        <v>2149890</v>
      </c>
      <c r="AK128" s="10">
        <v>10368</v>
      </c>
      <c r="AL128" s="10">
        <v>248431</v>
      </c>
      <c r="AM128" s="10">
        <v>181608.5</v>
      </c>
      <c r="AN128" s="10">
        <v>545643</v>
      </c>
      <c r="AO128" s="10">
        <v>123540</v>
      </c>
      <c r="AP128" s="10">
        <v>7782.54</v>
      </c>
      <c r="AQ128" s="10">
        <v>0</v>
      </c>
      <c r="AR128" s="10">
        <v>56156</v>
      </c>
      <c r="AS128" s="10">
        <f t="shared" si="55"/>
        <v>137015.39999999991</v>
      </c>
      <c r="AT128" s="10">
        <v>3460434.44</v>
      </c>
      <c r="AU128" s="12">
        <v>18000</v>
      </c>
      <c r="AV128" s="12">
        <v>4146.8900954263163</v>
      </c>
      <c r="AW128" s="12">
        <v>4870.5</v>
      </c>
      <c r="AX128" s="12">
        <f t="shared" si="53"/>
        <v>27017.390095426315</v>
      </c>
      <c r="AY128" s="12">
        <v>20116.95</v>
      </c>
      <c r="AZ128" s="12">
        <v>4968.4631703002769</v>
      </c>
      <c r="BA128" s="12">
        <v>6587.7</v>
      </c>
      <c r="BB128" s="12">
        <f t="shared" si="54"/>
        <v>31673.113170300279</v>
      </c>
      <c r="BC128" s="12">
        <v>2116.9500000000007</v>
      </c>
      <c r="BD128" s="12">
        <v>821.57307487396065</v>
      </c>
      <c r="BE128" s="12">
        <v>1717.1999999999971</v>
      </c>
      <c r="BF128" s="12">
        <v>4655.7230748739585</v>
      </c>
    </row>
    <row r="129" spans="1:58" x14ac:dyDescent="0.25">
      <c r="A129" s="7">
        <v>363</v>
      </c>
      <c r="B129" s="7">
        <v>1</v>
      </c>
      <c r="C129" s="7" t="s">
        <v>130</v>
      </c>
      <c r="D129" s="4">
        <v>6</v>
      </c>
      <c r="E129" s="10">
        <v>335</v>
      </c>
      <c r="F129" s="8">
        <f t="shared" si="33"/>
        <v>17547</v>
      </c>
      <c r="G129" s="8">
        <f t="shared" si="34"/>
        <v>14121.519999999999</v>
      </c>
      <c r="H129" s="8">
        <f t="shared" si="35"/>
        <v>0</v>
      </c>
      <c r="I129" s="8">
        <f t="shared" si="36"/>
        <v>0.9999999995543476</v>
      </c>
      <c r="J129" s="8">
        <f t="shared" si="37"/>
        <v>31669.519999999553</v>
      </c>
      <c r="K129" s="8">
        <f t="shared" si="38"/>
        <v>4901.2289385166696</v>
      </c>
      <c r="L129" s="8">
        <f t="shared" si="39"/>
        <v>36570.748938516219</v>
      </c>
      <c r="M129" s="8">
        <f t="shared" si="40"/>
        <v>94.535880597013588</v>
      </c>
      <c r="N129" s="8">
        <f t="shared" si="41"/>
        <v>8961</v>
      </c>
      <c r="O129" s="8">
        <f t="shared" si="42"/>
        <v>0</v>
      </c>
      <c r="P129" s="8">
        <f t="shared" si="43"/>
        <v>1414</v>
      </c>
      <c r="Q129" s="8">
        <f t="shared" si="44"/>
        <v>2189</v>
      </c>
      <c r="R129" s="8">
        <f t="shared" si="45"/>
        <v>4983</v>
      </c>
      <c r="S129" s="8">
        <f t="shared" si="46"/>
        <v>0</v>
      </c>
      <c r="T129" s="8">
        <f t="shared" si="47"/>
        <v>14121.519999999999</v>
      </c>
      <c r="U129" s="8">
        <f t="shared" si="48"/>
        <v>0</v>
      </c>
      <c r="V129" s="8">
        <f t="shared" si="49"/>
        <v>1</v>
      </c>
      <c r="W129" s="8">
        <f t="shared" si="50"/>
        <v>-4.6566128730773926E-10</v>
      </c>
      <c r="X129" s="8">
        <f t="shared" si="51"/>
        <v>31669.519999999553</v>
      </c>
      <c r="Y129" s="10">
        <v>2081161</v>
      </c>
      <c r="Z129" s="10">
        <v>0</v>
      </c>
      <c r="AA129" s="10">
        <v>328336</v>
      </c>
      <c r="AB129" s="10">
        <v>434911</v>
      </c>
      <c r="AC129" s="10">
        <v>1051610</v>
      </c>
      <c r="AD129" s="10">
        <v>122188</v>
      </c>
      <c r="AE129" s="10">
        <v>0</v>
      </c>
      <c r="AF129" s="10">
        <v>0</v>
      </c>
      <c r="AG129" s="10">
        <v>49939</v>
      </c>
      <c r="AH129" s="10">
        <f t="shared" si="52"/>
        <v>239187.66999999993</v>
      </c>
      <c r="AI129" s="10">
        <v>4307332.67</v>
      </c>
      <c r="AJ129" s="10">
        <v>2090122</v>
      </c>
      <c r="AK129" s="10">
        <v>0</v>
      </c>
      <c r="AL129" s="10">
        <v>329750</v>
      </c>
      <c r="AM129" s="10">
        <v>437100</v>
      </c>
      <c r="AN129" s="10">
        <v>1056593</v>
      </c>
      <c r="AO129" s="10">
        <v>122188</v>
      </c>
      <c r="AP129" s="10">
        <v>14121.519999999999</v>
      </c>
      <c r="AQ129" s="10">
        <v>0</v>
      </c>
      <c r="AR129" s="10">
        <v>49940</v>
      </c>
      <c r="AS129" s="10">
        <f t="shared" si="55"/>
        <v>239187.66999999946</v>
      </c>
      <c r="AT129" s="10">
        <v>4339002.1899999995</v>
      </c>
      <c r="AU129" s="12">
        <v>18000</v>
      </c>
      <c r="AV129" s="12">
        <v>4166.6049421628686</v>
      </c>
      <c r="AW129" s="12">
        <v>6630.875</v>
      </c>
      <c r="AX129" s="12">
        <f t="shared" si="53"/>
        <v>28797.47994216287</v>
      </c>
      <c r="AY129" s="12">
        <v>20116.95</v>
      </c>
      <c r="AZ129" s="12">
        <v>4992.0838806795346</v>
      </c>
      <c r="BA129" s="12">
        <v>8589.6749999999993</v>
      </c>
      <c r="BB129" s="12">
        <f t="shared" si="54"/>
        <v>33698.708880679536</v>
      </c>
      <c r="BC129" s="12">
        <v>2116.9500000000007</v>
      </c>
      <c r="BD129" s="12">
        <v>825.47893851666595</v>
      </c>
      <c r="BE129" s="12">
        <v>1958.8000000000029</v>
      </c>
      <c r="BF129" s="12">
        <v>4901.2289385166696</v>
      </c>
    </row>
    <row r="130" spans="1:58" x14ac:dyDescent="0.25">
      <c r="A130" s="7">
        <v>378</v>
      </c>
      <c r="B130" s="7">
        <v>1</v>
      </c>
      <c r="C130" s="7" t="s">
        <v>131</v>
      </c>
      <c r="D130" s="4">
        <v>6</v>
      </c>
      <c r="E130" s="10">
        <v>497</v>
      </c>
      <c r="F130" s="8">
        <f t="shared" si="33"/>
        <v>15368</v>
      </c>
      <c r="G130" s="8">
        <f t="shared" si="34"/>
        <v>13266.86</v>
      </c>
      <c r="H130" s="8">
        <f t="shared" si="35"/>
        <v>0</v>
      </c>
      <c r="I130" s="8">
        <f t="shared" si="36"/>
        <v>12.999999999403371</v>
      </c>
      <c r="J130" s="8">
        <f t="shared" si="37"/>
        <v>28647.859999999404</v>
      </c>
      <c r="K130" s="8">
        <f t="shared" si="38"/>
        <v>5905.8618539607851</v>
      </c>
      <c r="L130" s="8">
        <f t="shared" si="39"/>
        <v>34553.721853960189</v>
      </c>
      <c r="M130" s="8">
        <f t="shared" si="40"/>
        <v>57.641569416497795</v>
      </c>
      <c r="N130" s="8">
        <f t="shared" si="41"/>
        <v>13339</v>
      </c>
      <c r="O130" s="8">
        <f t="shared" si="42"/>
        <v>6</v>
      </c>
      <c r="P130" s="8">
        <f t="shared" si="43"/>
        <v>650</v>
      </c>
      <c r="Q130" s="8">
        <f t="shared" si="44"/>
        <v>1373</v>
      </c>
      <c r="R130" s="8">
        <f t="shared" si="45"/>
        <v>0</v>
      </c>
      <c r="S130" s="8">
        <f t="shared" si="46"/>
        <v>0</v>
      </c>
      <c r="T130" s="8">
        <f t="shared" si="47"/>
        <v>13266.86</v>
      </c>
      <c r="U130" s="8">
        <f t="shared" si="48"/>
        <v>0</v>
      </c>
      <c r="V130" s="8">
        <f t="shared" si="49"/>
        <v>13</v>
      </c>
      <c r="W130" s="8">
        <f t="shared" si="50"/>
        <v>0</v>
      </c>
      <c r="X130" s="8">
        <f t="shared" si="51"/>
        <v>28647.859999999404</v>
      </c>
      <c r="Y130" s="10">
        <v>3097791</v>
      </c>
      <c r="Z130" s="10">
        <v>1382</v>
      </c>
      <c r="AA130" s="10">
        <v>151016</v>
      </c>
      <c r="AB130" s="10">
        <v>272788</v>
      </c>
      <c r="AC130" s="10">
        <v>0</v>
      </c>
      <c r="AD130" s="10">
        <v>128935</v>
      </c>
      <c r="AE130" s="10">
        <v>0</v>
      </c>
      <c r="AF130" s="10">
        <v>15881</v>
      </c>
      <c r="AG130" s="10">
        <v>58701</v>
      </c>
      <c r="AH130" s="10">
        <f t="shared" si="52"/>
        <v>717437.09999999963</v>
      </c>
      <c r="AI130" s="10">
        <v>4443931.0999999996</v>
      </c>
      <c r="AJ130" s="10">
        <v>3111130</v>
      </c>
      <c r="AK130" s="10">
        <v>1388</v>
      </c>
      <c r="AL130" s="10">
        <v>151666</v>
      </c>
      <c r="AM130" s="10">
        <v>274161</v>
      </c>
      <c r="AN130" s="10">
        <v>0</v>
      </c>
      <c r="AO130" s="10">
        <v>128935</v>
      </c>
      <c r="AP130" s="10">
        <v>13266.86</v>
      </c>
      <c r="AQ130" s="10">
        <v>15881</v>
      </c>
      <c r="AR130" s="10">
        <v>58714</v>
      </c>
      <c r="AS130" s="10">
        <f t="shared" si="55"/>
        <v>717437.09999999916</v>
      </c>
      <c r="AT130" s="10">
        <v>4472578.959999999</v>
      </c>
      <c r="AU130" s="12">
        <v>18000</v>
      </c>
      <c r="AV130" s="12">
        <v>6051.507582867056</v>
      </c>
      <c r="AW130" s="12">
        <v>7486.75</v>
      </c>
      <c r="AX130" s="12">
        <f t="shared" si="53"/>
        <v>31538.257582867056</v>
      </c>
      <c r="AY130" s="12">
        <v>20116.95</v>
      </c>
      <c r="AZ130" s="12">
        <v>7250.4194368278404</v>
      </c>
      <c r="BA130" s="12">
        <v>10076.75</v>
      </c>
      <c r="BB130" s="12">
        <f t="shared" si="54"/>
        <v>37444.119436827837</v>
      </c>
      <c r="BC130" s="12">
        <v>2116.9500000000007</v>
      </c>
      <c r="BD130" s="12">
        <v>1198.9118539607844</v>
      </c>
      <c r="BE130" s="12">
        <v>2590</v>
      </c>
      <c r="BF130" s="12">
        <v>5905.8618539607851</v>
      </c>
    </row>
    <row r="131" spans="1:58" x14ac:dyDescent="0.25">
      <c r="A131" s="7">
        <v>381</v>
      </c>
      <c r="B131" s="7">
        <v>1</v>
      </c>
      <c r="C131" s="7" t="s">
        <v>132</v>
      </c>
      <c r="D131" s="4">
        <v>5</v>
      </c>
      <c r="E131" s="10">
        <v>1379</v>
      </c>
      <c r="F131" s="8">
        <f t="shared" si="33"/>
        <v>144593</v>
      </c>
      <c r="G131" s="8">
        <f t="shared" si="34"/>
        <v>32528.420000000002</v>
      </c>
      <c r="H131" s="8">
        <f t="shared" si="35"/>
        <v>0</v>
      </c>
      <c r="I131" s="8">
        <f t="shared" si="36"/>
        <v>-7.6397554948925972E-11</v>
      </c>
      <c r="J131" s="8">
        <f t="shared" si="37"/>
        <v>177121.41999999993</v>
      </c>
      <c r="K131" s="8">
        <f t="shared" si="38"/>
        <v>17417.775529928844</v>
      </c>
      <c r="L131" s="8">
        <f t="shared" si="39"/>
        <v>194539.19552992878</v>
      </c>
      <c r="M131" s="8">
        <f t="shared" si="40"/>
        <v>128.44192893401009</v>
      </c>
      <c r="N131" s="8">
        <f t="shared" si="41"/>
        <v>38295</v>
      </c>
      <c r="O131" s="8">
        <f t="shared" si="42"/>
        <v>0</v>
      </c>
      <c r="P131" s="8">
        <f t="shared" si="43"/>
        <v>2975</v>
      </c>
      <c r="Q131" s="8">
        <f t="shared" si="44"/>
        <v>2580.75</v>
      </c>
      <c r="R131" s="8">
        <f t="shared" si="45"/>
        <v>2495</v>
      </c>
      <c r="S131" s="8">
        <f t="shared" si="46"/>
        <v>98247.25</v>
      </c>
      <c r="T131" s="8">
        <f t="shared" si="47"/>
        <v>32528.420000000002</v>
      </c>
      <c r="U131" s="8">
        <f t="shared" si="48"/>
        <v>0</v>
      </c>
      <c r="V131" s="8">
        <f t="shared" si="49"/>
        <v>0</v>
      </c>
      <c r="W131" s="8">
        <f t="shared" si="50"/>
        <v>0</v>
      </c>
      <c r="X131" s="8">
        <f t="shared" si="51"/>
        <v>177121.41999999993</v>
      </c>
      <c r="Y131" s="10">
        <v>8893631</v>
      </c>
      <c r="Z131" s="10">
        <v>0</v>
      </c>
      <c r="AA131" s="10">
        <v>690746</v>
      </c>
      <c r="AB131" s="10">
        <v>512743</v>
      </c>
      <c r="AC131" s="10">
        <v>526673</v>
      </c>
      <c r="AD131" s="10">
        <v>0</v>
      </c>
      <c r="AE131" s="10">
        <v>0</v>
      </c>
      <c r="AF131" s="10">
        <v>0</v>
      </c>
      <c r="AG131" s="10">
        <v>220579</v>
      </c>
      <c r="AH131" s="10">
        <f t="shared" si="52"/>
        <v>877876.76999999955</v>
      </c>
      <c r="AI131" s="10">
        <v>11722248.77</v>
      </c>
      <c r="AJ131" s="10">
        <v>8931926</v>
      </c>
      <c r="AK131" s="10">
        <v>0</v>
      </c>
      <c r="AL131" s="10">
        <v>693721</v>
      </c>
      <c r="AM131" s="10">
        <v>515323.75</v>
      </c>
      <c r="AN131" s="10">
        <v>529168</v>
      </c>
      <c r="AO131" s="10">
        <v>98247.25</v>
      </c>
      <c r="AP131" s="10">
        <v>32528.420000000002</v>
      </c>
      <c r="AQ131" s="10">
        <v>0</v>
      </c>
      <c r="AR131" s="10">
        <v>220579</v>
      </c>
      <c r="AS131" s="10">
        <f t="shared" si="55"/>
        <v>877876.76999999955</v>
      </c>
      <c r="AT131" s="10">
        <v>11899370.189999999</v>
      </c>
      <c r="AU131" s="12">
        <v>82080</v>
      </c>
      <c r="AV131" s="12">
        <v>17103.370617315828</v>
      </c>
      <c r="AW131" s="12">
        <v>15913.25</v>
      </c>
      <c r="AX131" s="12">
        <f t="shared" si="53"/>
        <v>115096.62061731583</v>
      </c>
      <c r="AY131" s="12">
        <v>91733.292000000001</v>
      </c>
      <c r="AZ131" s="12">
        <v>20491.85414724467</v>
      </c>
      <c r="BA131" s="12">
        <v>20289.25</v>
      </c>
      <c r="BB131" s="12">
        <f t="shared" si="54"/>
        <v>132514.39614724467</v>
      </c>
      <c r="BC131" s="12">
        <v>9653.2920000000013</v>
      </c>
      <c r="BD131" s="12">
        <v>3388.4835299288425</v>
      </c>
      <c r="BE131" s="12">
        <v>4376</v>
      </c>
      <c r="BF131" s="12">
        <v>17417.775529928844</v>
      </c>
    </row>
    <row r="132" spans="1:58" x14ac:dyDescent="0.25">
      <c r="A132" s="7">
        <v>390</v>
      </c>
      <c r="B132" s="7">
        <v>1</v>
      </c>
      <c r="C132" s="7" t="s">
        <v>133</v>
      </c>
      <c r="D132" s="4">
        <v>6</v>
      </c>
      <c r="E132" s="10">
        <v>487</v>
      </c>
      <c r="F132" s="8">
        <f t="shared" si="33"/>
        <v>18320.75</v>
      </c>
      <c r="G132" s="8">
        <f t="shared" si="34"/>
        <v>13855.759999999998</v>
      </c>
      <c r="H132" s="8">
        <f t="shared" si="35"/>
        <v>0</v>
      </c>
      <c r="I132" s="8">
        <f t="shared" si="36"/>
        <v>6.9999999997780833</v>
      </c>
      <c r="J132" s="8">
        <f t="shared" si="37"/>
        <v>32183.509999999776</v>
      </c>
      <c r="K132" s="8">
        <f t="shared" si="38"/>
        <v>8353.3026672784035</v>
      </c>
      <c r="L132" s="8">
        <f t="shared" si="39"/>
        <v>40536.81266727818</v>
      </c>
      <c r="M132" s="8">
        <f t="shared" si="40"/>
        <v>66.085236139629927</v>
      </c>
      <c r="N132" s="8">
        <f t="shared" si="41"/>
        <v>12706</v>
      </c>
      <c r="O132" s="8">
        <f t="shared" si="42"/>
        <v>0</v>
      </c>
      <c r="P132" s="8">
        <f t="shared" si="43"/>
        <v>1202</v>
      </c>
      <c r="Q132" s="8">
        <f t="shared" si="44"/>
        <v>1888.75</v>
      </c>
      <c r="R132" s="8">
        <f t="shared" si="45"/>
        <v>2524</v>
      </c>
      <c r="S132" s="8">
        <f t="shared" si="46"/>
        <v>0</v>
      </c>
      <c r="T132" s="8">
        <f t="shared" si="47"/>
        <v>13855.759999999998</v>
      </c>
      <c r="U132" s="8">
        <f t="shared" si="48"/>
        <v>0</v>
      </c>
      <c r="V132" s="8">
        <f t="shared" si="49"/>
        <v>7</v>
      </c>
      <c r="W132" s="8">
        <f t="shared" si="50"/>
        <v>0</v>
      </c>
      <c r="X132" s="8">
        <f t="shared" si="51"/>
        <v>32183.509999999776</v>
      </c>
      <c r="Y132" s="10">
        <v>2950900</v>
      </c>
      <c r="Z132" s="10">
        <v>0</v>
      </c>
      <c r="AA132" s="10">
        <v>279188</v>
      </c>
      <c r="AB132" s="10">
        <v>375257</v>
      </c>
      <c r="AC132" s="10">
        <v>532713</v>
      </c>
      <c r="AD132" s="10">
        <v>130108</v>
      </c>
      <c r="AE132" s="10">
        <v>0</v>
      </c>
      <c r="AF132" s="10">
        <v>0</v>
      </c>
      <c r="AG132" s="10">
        <v>62409</v>
      </c>
      <c r="AH132" s="10">
        <f t="shared" si="52"/>
        <v>524148.25999999978</v>
      </c>
      <c r="AI132" s="10">
        <v>4854723.26</v>
      </c>
      <c r="AJ132" s="10">
        <v>2963606</v>
      </c>
      <c r="AK132" s="10">
        <v>0</v>
      </c>
      <c r="AL132" s="10">
        <v>280390</v>
      </c>
      <c r="AM132" s="10">
        <v>377145.75</v>
      </c>
      <c r="AN132" s="10">
        <v>535237</v>
      </c>
      <c r="AO132" s="10">
        <v>130108</v>
      </c>
      <c r="AP132" s="10">
        <v>13855.759999999998</v>
      </c>
      <c r="AQ132" s="10">
        <v>0</v>
      </c>
      <c r="AR132" s="10">
        <v>62416</v>
      </c>
      <c r="AS132" s="10">
        <f t="shared" si="55"/>
        <v>524148.25999999978</v>
      </c>
      <c r="AT132" s="10">
        <v>4886906.7699999996</v>
      </c>
      <c r="AU132" s="12">
        <v>24600</v>
      </c>
      <c r="AV132" s="12">
        <v>6927.8838755876977</v>
      </c>
      <c r="AW132" s="12">
        <v>8231.25</v>
      </c>
      <c r="AX132" s="12">
        <f t="shared" si="53"/>
        <v>39759.133875587693</v>
      </c>
      <c r="AY132" s="12">
        <v>27493.165000000001</v>
      </c>
      <c r="AZ132" s="12">
        <v>8300.4215428660937</v>
      </c>
      <c r="BA132" s="12">
        <v>12318.85</v>
      </c>
      <c r="BB132" s="12">
        <f t="shared" si="54"/>
        <v>48112.436542866089</v>
      </c>
      <c r="BC132" s="12">
        <v>2893.1650000000009</v>
      </c>
      <c r="BD132" s="12">
        <v>1372.5376672783959</v>
      </c>
      <c r="BE132" s="12">
        <v>4087.6000000000058</v>
      </c>
      <c r="BF132" s="12">
        <v>8353.3026672784035</v>
      </c>
    </row>
    <row r="133" spans="1:58" x14ac:dyDescent="0.25">
      <c r="A133" s="7">
        <v>391</v>
      </c>
      <c r="B133" s="7">
        <v>1</v>
      </c>
      <c r="C133" s="7" t="s">
        <v>134</v>
      </c>
      <c r="D133" s="4">
        <v>6</v>
      </c>
      <c r="E133" s="10">
        <v>448</v>
      </c>
      <c r="F133" s="8">
        <f t="shared" si="33"/>
        <v>13106</v>
      </c>
      <c r="G133" s="8">
        <f t="shared" si="34"/>
        <v>11026.019999999999</v>
      </c>
      <c r="H133" s="8">
        <f t="shared" si="35"/>
        <v>0</v>
      </c>
      <c r="I133" s="8">
        <f t="shared" si="36"/>
        <v>7.0000000000200089</v>
      </c>
      <c r="J133" s="8">
        <f t="shared" si="37"/>
        <v>24139.020000000019</v>
      </c>
      <c r="K133" s="8">
        <f t="shared" si="38"/>
        <v>4702.7832954344813</v>
      </c>
      <c r="L133" s="8">
        <f t="shared" si="39"/>
        <v>28841.8032954345</v>
      </c>
      <c r="M133" s="8">
        <f t="shared" si="40"/>
        <v>53.881741071428614</v>
      </c>
      <c r="N133" s="8">
        <f t="shared" si="41"/>
        <v>12225</v>
      </c>
      <c r="O133" s="8">
        <f t="shared" si="42"/>
        <v>44</v>
      </c>
      <c r="P133" s="8">
        <f t="shared" si="43"/>
        <v>329</v>
      </c>
      <c r="Q133" s="8">
        <f t="shared" si="44"/>
        <v>508</v>
      </c>
      <c r="R133" s="8">
        <f t="shared" si="45"/>
        <v>0</v>
      </c>
      <c r="S133" s="8">
        <f t="shared" si="46"/>
        <v>0</v>
      </c>
      <c r="T133" s="8">
        <f t="shared" si="47"/>
        <v>11026.019999999999</v>
      </c>
      <c r="U133" s="8">
        <f t="shared" si="48"/>
        <v>0</v>
      </c>
      <c r="V133" s="8">
        <f t="shared" si="49"/>
        <v>7</v>
      </c>
      <c r="W133" s="8">
        <f t="shared" si="50"/>
        <v>0</v>
      </c>
      <c r="X133" s="8">
        <f t="shared" si="51"/>
        <v>24139.020000000019</v>
      </c>
      <c r="Y133" s="10">
        <v>2839134</v>
      </c>
      <c r="Z133" s="10">
        <v>10079</v>
      </c>
      <c r="AA133" s="10">
        <v>76304</v>
      </c>
      <c r="AB133" s="10">
        <v>100929</v>
      </c>
      <c r="AC133" s="10">
        <v>0</v>
      </c>
      <c r="AD133" s="10">
        <v>130514</v>
      </c>
      <c r="AE133" s="10">
        <v>0</v>
      </c>
      <c r="AF133" s="10">
        <v>0</v>
      </c>
      <c r="AG133" s="10">
        <v>59478</v>
      </c>
      <c r="AH133" s="10">
        <f t="shared" si="52"/>
        <v>524713.04999999981</v>
      </c>
      <c r="AI133" s="10">
        <v>3741151.05</v>
      </c>
      <c r="AJ133" s="10">
        <v>2851359</v>
      </c>
      <c r="AK133" s="10">
        <v>10123</v>
      </c>
      <c r="AL133" s="10">
        <v>76633</v>
      </c>
      <c r="AM133" s="10">
        <v>101437</v>
      </c>
      <c r="AN133" s="10">
        <v>0</v>
      </c>
      <c r="AO133" s="10">
        <v>130514</v>
      </c>
      <c r="AP133" s="10">
        <v>11026.019999999999</v>
      </c>
      <c r="AQ133" s="10">
        <v>0</v>
      </c>
      <c r="AR133" s="10">
        <v>59485</v>
      </c>
      <c r="AS133" s="10">
        <f t="shared" si="55"/>
        <v>524713.04999999981</v>
      </c>
      <c r="AT133" s="10">
        <v>3765290.07</v>
      </c>
      <c r="AU133" s="12">
        <v>18000</v>
      </c>
      <c r="AV133" s="12">
        <v>3304.2615587055543</v>
      </c>
      <c r="AW133" s="12">
        <v>7583.125</v>
      </c>
      <c r="AX133" s="12">
        <f t="shared" si="53"/>
        <v>28887.386558705555</v>
      </c>
      <c r="AY133" s="12">
        <v>20116.95</v>
      </c>
      <c r="AZ133" s="12">
        <v>3958.8948541400378</v>
      </c>
      <c r="BA133" s="12">
        <v>9514.3250000000007</v>
      </c>
      <c r="BB133" s="12">
        <f t="shared" si="54"/>
        <v>33590.16985414004</v>
      </c>
      <c r="BC133" s="12">
        <v>2116.9500000000007</v>
      </c>
      <c r="BD133" s="12">
        <v>654.63329543448344</v>
      </c>
      <c r="BE133" s="12">
        <v>1931.1999999999971</v>
      </c>
      <c r="BF133" s="12">
        <v>4702.7832954344813</v>
      </c>
    </row>
    <row r="134" spans="1:58" x14ac:dyDescent="0.25">
      <c r="A134" s="7">
        <v>402</v>
      </c>
      <c r="B134" s="7">
        <v>1</v>
      </c>
      <c r="C134" s="7" t="s">
        <v>135</v>
      </c>
      <c r="D134" s="4">
        <v>6</v>
      </c>
      <c r="E134" s="10">
        <v>109</v>
      </c>
      <c r="F134" s="8">
        <f t="shared" si="33"/>
        <v>3256.75</v>
      </c>
      <c r="G134" s="8">
        <f t="shared" si="34"/>
        <v>0</v>
      </c>
      <c r="H134" s="8">
        <f t="shared" si="35"/>
        <v>0</v>
      </c>
      <c r="I134" s="8">
        <f t="shared" si="36"/>
        <v>0</v>
      </c>
      <c r="J134" s="8">
        <f t="shared" si="37"/>
        <v>3256.75</v>
      </c>
      <c r="K134" s="8">
        <f t="shared" si="38"/>
        <v>3839.5262622689588</v>
      </c>
      <c r="L134" s="8">
        <f t="shared" si="39"/>
        <v>7096.2762622689588</v>
      </c>
      <c r="M134" s="8">
        <f t="shared" si="40"/>
        <v>29.878440366972477</v>
      </c>
      <c r="N134" s="8">
        <f t="shared" si="41"/>
        <v>2784</v>
      </c>
      <c r="O134" s="8">
        <f t="shared" si="42"/>
        <v>0</v>
      </c>
      <c r="P134" s="8">
        <f t="shared" si="43"/>
        <v>148</v>
      </c>
      <c r="Q134" s="8">
        <f t="shared" si="44"/>
        <v>324.75</v>
      </c>
      <c r="R134" s="8">
        <f t="shared" si="45"/>
        <v>0</v>
      </c>
      <c r="S134" s="8">
        <f t="shared" si="46"/>
        <v>0</v>
      </c>
      <c r="T134" s="8">
        <f t="shared" si="47"/>
        <v>0</v>
      </c>
      <c r="U134" s="8">
        <f t="shared" si="48"/>
        <v>0</v>
      </c>
      <c r="V134" s="8">
        <f t="shared" si="49"/>
        <v>0</v>
      </c>
      <c r="W134" s="8">
        <f t="shared" si="50"/>
        <v>0</v>
      </c>
      <c r="X134" s="8">
        <f t="shared" si="51"/>
        <v>3256.75</v>
      </c>
      <c r="Y134" s="10">
        <v>646498</v>
      </c>
      <c r="Z134" s="10">
        <v>0</v>
      </c>
      <c r="AA134" s="10">
        <v>34525</v>
      </c>
      <c r="AB134" s="10">
        <v>64521</v>
      </c>
      <c r="AC134" s="10">
        <v>0</v>
      </c>
      <c r="AD134" s="10">
        <v>53548</v>
      </c>
      <c r="AE134" s="10">
        <v>25220</v>
      </c>
      <c r="AF134" s="10">
        <v>19080</v>
      </c>
      <c r="AG134" s="10">
        <v>5568</v>
      </c>
      <c r="AH134" s="10">
        <f t="shared" si="52"/>
        <v>347925.89999999991</v>
      </c>
      <c r="AI134" s="10">
        <v>1196885.8999999999</v>
      </c>
      <c r="AJ134" s="10">
        <v>649282</v>
      </c>
      <c r="AK134" s="10">
        <v>0</v>
      </c>
      <c r="AL134" s="10">
        <v>34673</v>
      </c>
      <c r="AM134" s="10">
        <v>64845.75</v>
      </c>
      <c r="AN134" s="10">
        <v>0</v>
      </c>
      <c r="AO134" s="10">
        <v>53548</v>
      </c>
      <c r="AP134" s="10">
        <v>25220</v>
      </c>
      <c r="AQ134" s="10">
        <v>19080</v>
      </c>
      <c r="AR134" s="10">
        <v>5568</v>
      </c>
      <c r="AS134" s="10">
        <f t="shared" si="55"/>
        <v>347925.89999999991</v>
      </c>
      <c r="AT134" s="10">
        <v>1200142.6499999999</v>
      </c>
      <c r="AU134" s="12">
        <v>18000</v>
      </c>
      <c r="AV134" s="12">
        <v>1920.9586838025655</v>
      </c>
      <c r="AW134" s="12">
        <v>1811.75</v>
      </c>
      <c r="AX134" s="12">
        <f t="shared" si="53"/>
        <v>21732.708683802564</v>
      </c>
      <c r="AY134" s="12">
        <v>20116.95</v>
      </c>
      <c r="AZ134" s="12">
        <v>2301.5349460715233</v>
      </c>
      <c r="BA134" s="12">
        <v>3153.75</v>
      </c>
      <c r="BB134" s="12">
        <f t="shared" si="54"/>
        <v>25572.234946071523</v>
      </c>
      <c r="BC134" s="12">
        <v>2116.9500000000007</v>
      </c>
      <c r="BD134" s="12">
        <v>380.57626226895786</v>
      </c>
      <c r="BE134" s="12">
        <v>1342</v>
      </c>
      <c r="BF134" s="12">
        <v>3839.5262622689588</v>
      </c>
    </row>
    <row r="135" spans="1:58" x14ac:dyDescent="0.25">
      <c r="A135" s="7">
        <v>403</v>
      </c>
      <c r="B135" s="7">
        <v>1</v>
      </c>
      <c r="C135" s="7" t="s">
        <v>136</v>
      </c>
      <c r="D135" s="4">
        <v>6</v>
      </c>
      <c r="E135" s="10">
        <v>170</v>
      </c>
      <c r="F135" s="8">
        <f t="shared" si="33"/>
        <v>5298.25</v>
      </c>
      <c r="G135" s="8">
        <f t="shared" si="34"/>
        <v>6076.2400000000016</v>
      </c>
      <c r="H135" s="8">
        <f t="shared" si="35"/>
        <v>0</v>
      </c>
      <c r="I135" s="8">
        <f t="shared" si="36"/>
        <v>8.9999999999890861</v>
      </c>
      <c r="J135" s="8">
        <f t="shared" si="37"/>
        <v>11383.489999999991</v>
      </c>
      <c r="K135" s="8">
        <f t="shared" si="38"/>
        <v>4660.2871943951395</v>
      </c>
      <c r="L135" s="8">
        <f t="shared" si="39"/>
        <v>16043.77719439513</v>
      </c>
      <c r="M135" s="8">
        <f t="shared" si="40"/>
        <v>66.961705882352888</v>
      </c>
      <c r="N135" s="8">
        <f t="shared" si="41"/>
        <v>4620</v>
      </c>
      <c r="O135" s="8">
        <f t="shared" si="42"/>
        <v>118</v>
      </c>
      <c r="P135" s="8">
        <f t="shared" si="43"/>
        <v>271</v>
      </c>
      <c r="Q135" s="8">
        <f t="shared" si="44"/>
        <v>289.25</v>
      </c>
      <c r="R135" s="8">
        <f t="shared" si="45"/>
        <v>0</v>
      </c>
      <c r="S135" s="8">
        <f t="shared" si="46"/>
        <v>0</v>
      </c>
      <c r="T135" s="8">
        <f t="shared" si="47"/>
        <v>6076.2400000000016</v>
      </c>
      <c r="U135" s="8">
        <f t="shared" si="48"/>
        <v>0</v>
      </c>
      <c r="V135" s="8">
        <f t="shared" si="49"/>
        <v>9</v>
      </c>
      <c r="W135" s="8">
        <f t="shared" si="50"/>
        <v>0</v>
      </c>
      <c r="X135" s="8">
        <f t="shared" si="51"/>
        <v>11383.489999999991</v>
      </c>
      <c r="Y135" s="10">
        <v>1072949</v>
      </c>
      <c r="Z135" s="10">
        <v>27311</v>
      </c>
      <c r="AA135" s="10">
        <v>62928</v>
      </c>
      <c r="AB135" s="10">
        <v>57468</v>
      </c>
      <c r="AC135" s="10">
        <v>0</v>
      </c>
      <c r="AD135" s="10">
        <v>81179</v>
      </c>
      <c r="AE135" s="10">
        <v>0</v>
      </c>
      <c r="AF135" s="10">
        <v>0</v>
      </c>
      <c r="AG135" s="10">
        <v>13512</v>
      </c>
      <c r="AH135" s="10">
        <f t="shared" si="52"/>
        <v>393394.55000000005</v>
      </c>
      <c r="AI135" s="10">
        <v>1708741.55</v>
      </c>
      <c r="AJ135" s="10">
        <v>1077569</v>
      </c>
      <c r="AK135" s="10">
        <v>27429</v>
      </c>
      <c r="AL135" s="10">
        <v>63199</v>
      </c>
      <c r="AM135" s="10">
        <v>57757.25</v>
      </c>
      <c r="AN135" s="10">
        <v>0</v>
      </c>
      <c r="AO135" s="10">
        <v>81179</v>
      </c>
      <c r="AP135" s="10">
        <v>6076.2400000000016</v>
      </c>
      <c r="AQ135" s="10">
        <v>0</v>
      </c>
      <c r="AR135" s="10">
        <v>13521</v>
      </c>
      <c r="AS135" s="10">
        <f t="shared" si="55"/>
        <v>393394.55000000005</v>
      </c>
      <c r="AT135" s="10">
        <v>1720125.04</v>
      </c>
      <c r="AU135" s="12">
        <v>18000</v>
      </c>
      <c r="AV135" s="12">
        <v>2207.4594887094659</v>
      </c>
      <c r="AW135" s="12">
        <v>3573.625</v>
      </c>
      <c r="AX135" s="12">
        <f t="shared" si="53"/>
        <v>23781.084488709464</v>
      </c>
      <c r="AY135" s="12">
        <v>20116.95</v>
      </c>
      <c r="AZ135" s="12">
        <v>2644.7966831046051</v>
      </c>
      <c r="BA135" s="12">
        <v>5679.625</v>
      </c>
      <c r="BB135" s="12">
        <f t="shared" si="54"/>
        <v>28441.371683104604</v>
      </c>
      <c r="BC135" s="12">
        <v>2116.9500000000007</v>
      </c>
      <c r="BD135" s="12">
        <v>437.33719439513925</v>
      </c>
      <c r="BE135" s="12">
        <v>2106</v>
      </c>
      <c r="BF135" s="12">
        <v>4660.2871943951395</v>
      </c>
    </row>
    <row r="136" spans="1:58" x14ac:dyDescent="0.25">
      <c r="A136" s="7">
        <v>404</v>
      </c>
      <c r="B136" s="7">
        <v>1</v>
      </c>
      <c r="C136" s="7" t="s">
        <v>137</v>
      </c>
      <c r="D136" s="4">
        <v>6</v>
      </c>
      <c r="E136" s="10">
        <v>162</v>
      </c>
      <c r="F136" s="8">
        <f t="shared" si="33"/>
        <v>4802</v>
      </c>
      <c r="G136" s="8">
        <f t="shared" si="34"/>
        <v>3753.86</v>
      </c>
      <c r="H136" s="8">
        <f t="shared" si="35"/>
        <v>0</v>
      </c>
      <c r="I136" s="8">
        <f t="shared" si="36"/>
        <v>1.0231815394945443E-10</v>
      </c>
      <c r="J136" s="8">
        <f t="shared" si="37"/>
        <v>8555.8600000001024</v>
      </c>
      <c r="K136" s="8">
        <f t="shared" si="38"/>
        <v>3348.5174319020316</v>
      </c>
      <c r="L136" s="8">
        <f t="shared" si="39"/>
        <v>11904.377431902134</v>
      </c>
      <c r="M136" s="8">
        <f t="shared" si="40"/>
        <v>52.813950617284583</v>
      </c>
      <c r="N136" s="8">
        <f t="shared" si="41"/>
        <v>4300</v>
      </c>
      <c r="O136" s="8">
        <f t="shared" si="42"/>
        <v>53</v>
      </c>
      <c r="P136" s="8">
        <f t="shared" si="43"/>
        <v>234</v>
      </c>
      <c r="Q136" s="8">
        <f t="shared" si="44"/>
        <v>215</v>
      </c>
      <c r="R136" s="8">
        <f t="shared" si="45"/>
        <v>0</v>
      </c>
      <c r="S136" s="8">
        <f t="shared" si="46"/>
        <v>0</v>
      </c>
      <c r="T136" s="8">
        <f t="shared" si="47"/>
        <v>3753.86</v>
      </c>
      <c r="U136" s="8">
        <f t="shared" si="48"/>
        <v>0</v>
      </c>
      <c r="V136" s="8">
        <f t="shared" si="49"/>
        <v>0</v>
      </c>
      <c r="W136" s="8">
        <f t="shared" si="50"/>
        <v>0</v>
      </c>
      <c r="X136" s="8">
        <f t="shared" si="51"/>
        <v>8555.8600000001024</v>
      </c>
      <c r="Y136" s="10">
        <v>998632</v>
      </c>
      <c r="Z136" s="10">
        <v>12355</v>
      </c>
      <c r="AA136" s="10">
        <v>54377</v>
      </c>
      <c r="AB136" s="10">
        <v>42716</v>
      </c>
      <c r="AC136" s="10">
        <v>0</v>
      </c>
      <c r="AD136" s="10">
        <v>76804</v>
      </c>
      <c r="AE136" s="10">
        <v>0</v>
      </c>
      <c r="AF136" s="10">
        <v>0</v>
      </c>
      <c r="AG136" s="10">
        <v>8600</v>
      </c>
      <c r="AH136" s="10">
        <f t="shared" si="52"/>
        <v>443817.8600000001</v>
      </c>
      <c r="AI136" s="10">
        <v>1637301.86</v>
      </c>
      <c r="AJ136" s="10">
        <v>1002932</v>
      </c>
      <c r="AK136" s="10">
        <v>12408</v>
      </c>
      <c r="AL136" s="10">
        <v>54611</v>
      </c>
      <c r="AM136" s="10">
        <v>42931</v>
      </c>
      <c r="AN136" s="10">
        <v>0</v>
      </c>
      <c r="AO136" s="10">
        <v>76804</v>
      </c>
      <c r="AP136" s="10">
        <v>3753.86</v>
      </c>
      <c r="AQ136" s="10">
        <v>0</v>
      </c>
      <c r="AR136" s="10">
        <v>8600</v>
      </c>
      <c r="AS136" s="10">
        <f t="shared" si="55"/>
        <v>443817.8600000001</v>
      </c>
      <c r="AT136" s="10">
        <v>1645857.7200000002</v>
      </c>
      <c r="AU136" s="12">
        <v>18000</v>
      </c>
      <c r="AV136" s="12">
        <v>2156.1276125254931</v>
      </c>
      <c r="AW136" s="12">
        <v>2108.875</v>
      </c>
      <c r="AX136" s="12">
        <f t="shared" si="53"/>
        <v>22265.002612525492</v>
      </c>
      <c r="AY136" s="12">
        <v>20116.95</v>
      </c>
      <c r="AZ136" s="12">
        <v>2583.2950444275225</v>
      </c>
      <c r="BA136" s="12">
        <v>2913.2750000000001</v>
      </c>
      <c r="BB136" s="12">
        <f t="shared" si="54"/>
        <v>25613.520044427525</v>
      </c>
      <c r="BC136" s="12">
        <v>2116.9500000000007</v>
      </c>
      <c r="BD136" s="12">
        <v>427.16743190202942</v>
      </c>
      <c r="BE136" s="12">
        <v>804.40000000000146</v>
      </c>
      <c r="BF136" s="12">
        <v>3348.5174319020316</v>
      </c>
    </row>
    <row r="137" spans="1:58" x14ac:dyDescent="0.25">
      <c r="A137" s="7">
        <v>413</v>
      </c>
      <c r="B137" s="7">
        <v>1</v>
      </c>
      <c r="C137" s="7" t="s">
        <v>138</v>
      </c>
      <c r="D137" s="4">
        <v>4</v>
      </c>
      <c r="E137" s="10">
        <v>2272</v>
      </c>
      <c r="F137" s="8">
        <f t="shared" si="33"/>
        <v>68861.75</v>
      </c>
      <c r="G137" s="8">
        <f t="shared" si="34"/>
        <v>0</v>
      </c>
      <c r="H137" s="8">
        <f t="shared" si="35"/>
        <v>13847</v>
      </c>
      <c r="I137" s="8">
        <f t="shared" si="36"/>
        <v>15</v>
      </c>
      <c r="J137" s="8">
        <f t="shared" si="37"/>
        <v>82723.75</v>
      </c>
      <c r="K137" s="8">
        <f t="shared" si="38"/>
        <v>28490.803289152434</v>
      </c>
      <c r="L137" s="8">
        <f t="shared" si="39"/>
        <v>111214.55328915243</v>
      </c>
      <c r="M137" s="8">
        <f t="shared" si="40"/>
        <v>36.410101232394368</v>
      </c>
      <c r="N137" s="8">
        <f t="shared" si="41"/>
        <v>62160</v>
      </c>
      <c r="O137" s="8">
        <f t="shared" si="42"/>
        <v>0</v>
      </c>
      <c r="P137" s="8">
        <f t="shared" si="43"/>
        <v>1172</v>
      </c>
      <c r="Q137" s="8">
        <f t="shared" si="44"/>
        <v>5529.75</v>
      </c>
      <c r="R137" s="8">
        <f t="shared" si="45"/>
        <v>0</v>
      </c>
      <c r="S137" s="8">
        <f t="shared" si="46"/>
        <v>0</v>
      </c>
      <c r="T137" s="8">
        <f t="shared" si="47"/>
        <v>0</v>
      </c>
      <c r="U137" s="8">
        <f t="shared" si="48"/>
        <v>13847</v>
      </c>
      <c r="V137" s="8">
        <f t="shared" si="49"/>
        <v>15</v>
      </c>
      <c r="W137" s="8">
        <f t="shared" si="50"/>
        <v>0</v>
      </c>
      <c r="X137" s="8">
        <f t="shared" si="51"/>
        <v>82723.75</v>
      </c>
      <c r="Y137" s="10">
        <v>14436038</v>
      </c>
      <c r="Z137" s="10">
        <v>0</v>
      </c>
      <c r="AA137" s="10">
        <v>272187</v>
      </c>
      <c r="AB137" s="10">
        <v>1098651</v>
      </c>
      <c r="AC137" s="10">
        <v>0</v>
      </c>
      <c r="AD137" s="10">
        <v>0</v>
      </c>
      <c r="AE137" s="10">
        <v>599820</v>
      </c>
      <c r="AF137" s="10">
        <v>182405</v>
      </c>
      <c r="AG137" s="10">
        <v>337651</v>
      </c>
      <c r="AH137" s="10">
        <f t="shared" si="52"/>
        <v>2588717.8599999994</v>
      </c>
      <c r="AI137" s="10">
        <v>19515469.859999999</v>
      </c>
      <c r="AJ137" s="10">
        <v>14498198</v>
      </c>
      <c r="AK137" s="10">
        <v>0</v>
      </c>
      <c r="AL137" s="10">
        <v>273359</v>
      </c>
      <c r="AM137" s="10">
        <v>1104180.75</v>
      </c>
      <c r="AN137" s="10">
        <v>0</v>
      </c>
      <c r="AO137" s="10">
        <v>0</v>
      </c>
      <c r="AP137" s="10">
        <v>599820</v>
      </c>
      <c r="AQ137" s="10">
        <v>196252</v>
      </c>
      <c r="AR137" s="10">
        <v>337666</v>
      </c>
      <c r="AS137" s="10">
        <f t="shared" si="55"/>
        <v>2588717.8599999994</v>
      </c>
      <c r="AT137" s="10">
        <v>19598193.609999999</v>
      </c>
      <c r="AU137" s="12">
        <v>103800</v>
      </c>
      <c r="AV137" s="12">
        <v>29389.867714496817</v>
      </c>
      <c r="AW137" s="12">
        <v>36844.875</v>
      </c>
      <c r="AX137" s="12">
        <f t="shared" si="53"/>
        <v>170034.74271449682</v>
      </c>
      <c r="AY137" s="12">
        <v>116007.745</v>
      </c>
      <c r="AZ137" s="12">
        <v>35212.526003649233</v>
      </c>
      <c r="BA137" s="12">
        <v>47305.275000000001</v>
      </c>
      <c r="BB137" s="12">
        <f t="shared" si="54"/>
        <v>198525.54600364921</v>
      </c>
      <c r="BC137" s="12">
        <v>12207.744999999995</v>
      </c>
      <c r="BD137" s="12">
        <v>5822.6582891524158</v>
      </c>
      <c r="BE137" s="12">
        <v>10460.400000000023</v>
      </c>
      <c r="BF137" s="12">
        <v>28490.803289152434</v>
      </c>
    </row>
    <row r="138" spans="1:58" x14ac:dyDescent="0.25">
      <c r="A138" s="7">
        <v>414</v>
      </c>
      <c r="B138" s="7">
        <v>1</v>
      </c>
      <c r="C138" s="7" t="s">
        <v>139</v>
      </c>
      <c r="D138" s="4">
        <v>6</v>
      </c>
      <c r="E138" s="10">
        <v>480</v>
      </c>
      <c r="F138" s="8">
        <f t="shared" si="33"/>
        <v>14799.25</v>
      </c>
      <c r="G138" s="8">
        <f t="shared" si="34"/>
        <v>0</v>
      </c>
      <c r="H138" s="8">
        <f t="shared" si="35"/>
        <v>0</v>
      </c>
      <c r="I138" s="8">
        <f t="shared" si="36"/>
        <v>7</v>
      </c>
      <c r="J138" s="8">
        <f t="shared" si="37"/>
        <v>14806.25</v>
      </c>
      <c r="K138" s="8">
        <f t="shared" si="38"/>
        <v>5287.6388120245456</v>
      </c>
      <c r="L138" s="8">
        <f t="shared" si="39"/>
        <v>20093.888812024546</v>
      </c>
      <c r="M138" s="8">
        <f t="shared" si="40"/>
        <v>30.846354166666668</v>
      </c>
      <c r="N138" s="8">
        <f t="shared" si="41"/>
        <v>13043</v>
      </c>
      <c r="O138" s="8">
        <f t="shared" si="42"/>
        <v>0</v>
      </c>
      <c r="P138" s="8">
        <f t="shared" si="43"/>
        <v>553</v>
      </c>
      <c r="Q138" s="8">
        <f t="shared" si="44"/>
        <v>935.25</v>
      </c>
      <c r="R138" s="8">
        <f t="shared" si="45"/>
        <v>268</v>
      </c>
      <c r="S138" s="8">
        <f t="shared" si="46"/>
        <v>0</v>
      </c>
      <c r="T138" s="8">
        <f t="shared" si="47"/>
        <v>0</v>
      </c>
      <c r="U138" s="8">
        <f t="shared" si="48"/>
        <v>0</v>
      </c>
      <c r="V138" s="8">
        <f t="shared" si="49"/>
        <v>7</v>
      </c>
      <c r="W138" s="8">
        <f t="shared" si="50"/>
        <v>0</v>
      </c>
      <c r="X138" s="8">
        <f t="shared" si="51"/>
        <v>14806.25</v>
      </c>
      <c r="Y138" s="10">
        <v>3028990</v>
      </c>
      <c r="Z138" s="10">
        <v>0</v>
      </c>
      <c r="AA138" s="10">
        <v>128469</v>
      </c>
      <c r="AB138" s="10">
        <v>185815</v>
      </c>
      <c r="AC138" s="10">
        <v>56447</v>
      </c>
      <c r="AD138" s="10">
        <v>129575</v>
      </c>
      <c r="AE138" s="10">
        <v>120120</v>
      </c>
      <c r="AF138" s="10">
        <v>15935</v>
      </c>
      <c r="AG138" s="10">
        <v>65084</v>
      </c>
      <c r="AH138" s="10">
        <f t="shared" si="52"/>
        <v>517746.6799999997</v>
      </c>
      <c r="AI138" s="10">
        <v>4248181.68</v>
      </c>
      <c r="AJ138" s="10">
        <v>3042033</v>
      </c>
      <c r="AK138" s="10">
        <v>0</v>
      </c>
      <c r="AL138" s="10">
        <v>129022</v>
      </c>
      <c r="AM138" s="10">
        <v>186750.25</v>
      </c>
      <c r="AN138" s="10">
        <v>56715</v>
      </c>
      <c r="AO138" s="10">
        <v>129575</v>
      </c>
      <c r="AP138" s="10">
        <v>120120</v>
      </c>
      <c r="AQ138" s="10">
        <v>15935</v>
      </c>
      <c r="AR138" s="10">
        <v>65091</v>
      </c>
      <c r="AS138" s="10">
        <f t="shared" si="55"/>
        <v>517746.6799999997</v>
      </c>
      <c r="AT138" s="10">
        <v>4262987.93</v>
      </c>
      <c r="AU138" s="12">
        <v>18000</v>
      </c>
      <c r="AV138" s="12">
        <v>4770.3357786938977</v>
      </c>
      <c r="AW138" s="12">
        <v>7690</v>
      </c>
      <c r="AX138" s="12">
        <f t="shared" si="53"/>
        <v>30460.335778693898</v>
      </c>
      <c r="AY138" s="12">
        <v>20116.95</v>
      </c>
      <c r="AZ138" s="12">
        <v>5715.4245907184441</v>
      </c>
      <c r="BA138" s="12">
        <v>9915.6</v>
      </c>
      <c r="BB138" s="12">
        <f t="shared" si="54"/>
        <v>35747.974590718448</v>
      </c>
      <c r="BC138" s="12">
        <v>2116.9500000000007</v>
      </c>
      <c r="BD138" s="12">
        <v>945.08881202454631</v>
      </c>
      <c r="BE138" s="12">
        <v>2225.5999999999985</v>
      </c>
      <c r="BF138" s="12">
        <v>5287.6388120245456</v>
      </c>
    </row>
    <row r="139" spans="1:58" x14ac:dyDescent="0.25">
      <c r="A139" s="7">
        <v>415</v>
      </c>
      <c r="B139" s="7">
        <v>1</v>
      </c>
      <c r="C139" s="7" t="s">
        <v>140</v>
      </c>
      <c r="D139" s="4">
        <v>6</v>
      </c>
      <c r="E139" s="10">
        <v>156</v>
      </c>
      <c r="F139" s="8">
        <f t="shared" si="33"/>
        <v>5345.5</v>
      </c>
      <c r="G139" s="8">
        <f t="shared" si="34"/>
        <v>0</v>
      </c>
      <c r="H139" s="8">
        <f t="shared" si="35"/>
        <v>0</v>
      </c>
      <c r="I139" s="8">
        <f t="shared" si="36"/>
        <v>8</v>
      </c>
      <c r="J139" s="8">
        <f t="shared" si="37"/>
        <v>5353.5</v>
      </c>
      <c r="K139" s="8">
        <f t="shared" si="38"/>
        <v>3360.3161770961206</v>
      </c>
      <c r="L139" s="8">
        <f t="shared" si="39"/>
        <v>8713.8161770961196</v>
      </c>
      <c r="M139" s="8">
        <f t="shared" si="40"/>
        <v>34.317307692307693</v>
      </c>
      <c r="N139" s="8">
        <f t="shared" si="41"/>
        <v>4115</v>
      </c>
      <c r="O139" s="8">
        <f t="shared" si="42"/>
        <v>26</v>
      </c>
      <c r="P139" s="8">
        <f t="shared" si="43"/>
        <v>186</v>
      </c>
      <c r="Q139" s="8">
        <f t="shared" si="44"/>
        <v>1018.5</v>
      </c>
      <c r="R139" s="8">
        <f t="shared" si="45"/>
        <v>0</v>
      </c>
      <c r="S139" s="8">
        <f t="shared" si="46"/>
        <v>0</v>
      </c>
      <c r="T139" s="8">
        <f t="shared" si="47"/>
        <v>0</v>
      </c>
      <c r="U139" s="8">
        <f t="shared" si="48"/>
        <v>0</v>
      </c>
      <c r="V139" s="8">
        <f t="shared" si="49"/>
        <v>8</v>
      </c>
      <c r="W139" s="8">
        <f t="shared" si="50"/>
        <v>0</v>
      </c>
      <c r="X139" s="8">
        <f t="shared" si="51"/>
        <v>5353.5</v>
      </c>
      <c r="Y139" s="10">
        <v>955668</v>
      </c>
      <c r="Z139" s="10">
        <v>5852</v>
      </c>
      <c r="AA139" s="10">
        <v>43183</v>
      </c>
      <c r="AB139" s="10">
        <v>202356</v>
      </c>
      <c r="AC139" s="10">
        <v>0</v>
      </c>
      <c r="AD139" s="10">
        <v>74190</v>
      </c>
      <c r="AE139" s="10">
        <v>34580</v>
      </c>
      <c r="AF139" s="10">
        <v>19080</v>
      </c>
      <c r="AG139" s="10">
        <v>12850</v>
      </c>
      <c r="AH139" s="10">
        <f t="shared" si="52"/>
        <v>352650.07000000007</v>
      </c>
      <c r="AI139" s="10">
        <v>1700409.07</v>
      </c>
      <c r="AJ139" s="10">
        <v>959783</v>
      </c>
      <c r="AK139" s="10">
        <v>5878</v>
      </c>
      <c r="AL139" s="10">
        <v>43369</v>
      </c>
      <c r="AM139" s="10">
        <v>203374.5</v>
      </c>
      <c r="AN139" s="10">
        <v>0</v>
      </c>
      <c r="AO139" s="10">
        <v>74190</v>
      </c>
      <c r="AP139" s="10">
        <v>34580</v>
      </c>
      <c r="AQ139" s="10">
        <v>19080</v>
      </c>
      <c r="AR139" s="10">
        <v>12858</v>
      </c>
      <c r="AS139" s="10">
        <f t="shared" si="55"/>
        <v>352650.07000000007</v>
      </c>
      <c r="AT139" s="10">
        <v>1705762.57</v>
      </c>
      <c r="AU139" s="12">
        <v>18000</v>
      </c>
      <c r="AV139" s="12">
        <v>2478.1517788926567</v>
      </c>
      <c r="AW139" s="12">
        <v>2539.25</v>
      </c>
      <c r="AX139" s="12">
        <f t="shared" si="53"/>
        <v>23017.401778892658</v>
      </c>
      <c r="AY139" s="12">
        <v>20116.95</v>
      </c>
      <c r="AZ139" s="12">
        <v>2969.1179559887751</v>
      </c>
      <c r="BA139" s="12">
        <v>3291.65</v>
      </c>
      <c r="BB139" s="12">
        <f t="shared" si="54"/>
        <v>26377.717955988777</v>
      </c>
      <c r="BC139" s="12">
        <v>2116.9500000000007</v>
      </c>
      <c r="BD139" s="12">
        <v>490.96617709611837</v>
      </c>
      <c r="BE139" s="12">
        <v>752.40000000000146</v>
      </c>
      <c r="BF139" s="12">
        <v>3360.3161770961206</v>
      </c>
    </row>
    <row r="140" spans="1:58" x14ac:dyDescent="0.25">
      <c r="A140" s="7">
        <v>423</v>
      </c>
      <c r="B140" s="7">
        <v>1</v>
      </c>
      <c r="C140" s="7" t="s">
        <v>141</v>
      </c>
      <c r="D140" s="4">
        <v>4</v>
      </c>
      <c r="E140" s="10">
        <v>2912</v>
      </c>
      <c r="F140" s="8">
        <f t="shared" si="33"/>
        <v>85084.25</v>
      </c>
      <c r="G140" s="8">
        <f t="shared" si="34"/>
        <v>64256.54</v>
      </c>
      <c r="H140" s="8">
        <f t="shared" si="35"/>
        <v>5304</v>
      </c>
      <c r="I140" s="8">
        <f t="shared" si="36"/>
        <v>637.99999999910506</v>
      </c>
      <c r="J140" s="8">
        <f t="shared" si="37"/>
        <v>155282.78999999911</v>
      </c>
      <c r="K140" s="8">
        <f t="shared" si="38"/>
        <v>36271.742595047122</v>
      </c>
      <c r="L140" s="8">
        <f t="shared" si="39"/>
        <v>191554.53259504621</v>
      </c>
      <c r="M140" s="8">
        <f t="shared" si="40"/>
        <v>53.32513392857112</v>
      </c>
      <c r="N140" s="8">
        <f t="shared" si="41"/>
        <v>79715</v>
      </c>
      <c r="O140" s="8">
        <f t="shared" si="42"/>
        <v>0</v>
      </c>
      <c r="P140" s="8">
        <f t="shared" si="43"/>
        <v>1340</v>
      </c>
      <c r="Q140" s="8">
        <f t="shared" si="44"/>
        <v>4029.25</v>
      </c>
      <c r="R140" s="8">
        <f t="shared" si="45"/>
        <v>0</v>
      </c>
      <c r="S140" s="8">
        <f t="shared" si="46"/>
        <v>0</v>
      </c>
      <c r="T140" s="8">
        <f t="shared" si="47"/>
        <v>64256.54</v>
      </c>
      <c r="U140" s="8">
        <f t="shared" si="48"/>
        <v>5304</v>
      </c>
      <c r="V140" s="8">
        <f t="shared" si="49"/>
        <v>53</v>
      </c>
      <c r="W140" s="8">
        <f t="shared" si="50"/>
        <v>585</v>
      </c>
      <c r="X140" s="8">
        <f t="shared" si="51"/>
        <v>155282.78999999911</v>
      </c>
      <c r="Y140" s="10">
        <v>18513012</v>
      </c>
      <c r="Z140" s="10">
        <v>0</v>
      </c>
      <c r="AA140" s="10">
        <v>311016</v>
      </c>
      <c r="AB140" s="10">
        <v>800531</v>
      </c>
      <c r="AC140" s="10">
        <v>0</v>
      </c>
      <c r="AD140" s="10">
        <v>0</v>
      </c>
      <c r="AE140" s="10">
        <v>0</v>
      </c>
      <c r="AF140" s="10">
        <v>23302</v>
      </c>
      <c r="AG140" s="10">
        <v>382728</v>
      </c>
      <c r="AH140" s="10">
        <f t="shared" si="52"/>
        <v>4386606.5100000016</v>
      </c>
      <c r="AI140" s="10">
        <v>24417195.510000002</v>
      </c>
      <c r="AJ140" s="10">
        <v>18592727</v>
      </c>
      <c r="AK140" s="10">
        <v>0</v>
      </c>
      <c r="AL140" s="10">
        <v>312356</v>
      </c>
      <c r="AM140" s="10">
        <v>804560.25</v>
      </c>
      <c r="AN140" s="10">
        <v>0</v>
      </c>
      <c r="AO140" s="10">
        <v>0</v>
      </c>
      <c r="AP140" s="10">
        <v>64256.54</v>
      </c>
      <c r="AQ140" s="10">
        <v>28606</v>
      </c>
      <c r="AR140" s="10">
        <v>382781</v>
      </c>
      <c r="AS140" s="10">
        <f t="shared" si="55"/>
        <v>4387191.5100000016</v>
      </c>
      <c r="AT140" s="10">
        <v>24572478.300000001</v>
      </c>
      <c r="AU140" s="12">
        <v>161400</v>
      </c>
      <c r="AV140" s="12">
        <v>32282.586461000399</v>
      </c>
      <c r="AW140" s="12">
        <v>45580.625</v>
      </c>
      <c r="AX140" s="12">
        <f t="shared" si="53"/>
        <v>239263.21146100041</v>
      </c>
      <c r="AY140" s="12">
        <v>180381.98499999999</v>
      </c>
      <c r="AZ140" s="12">
        <v>38678.344056047536</v>
      </c>
      <c r="BA140" s="12">
        <v>56474.625</v>
      </c>
      <c r="BB140" s="12">
        <f t="shared" si="54"/>
        <v>275534.95405604749</v>
      </c>
      <c r="BC140" s="12">
        <v>18981.984999999986</v>
      </c>
      <c r="BD140" s="12">
        <v>6395.7575950471364</v>
      </c>
      <c r="BE140" s="12">
        <v>10894</v>
      </c>
      <c r="BF140" s="12">
        <v>36271.742595047122</v>
      </c>
    </row>
    <row r="141" spans="1:58" x14ac:dyDescent="0.25">
      <c r="A141" s="7">
        <v>424</v>
      </c>
      <c r="B141" s="7">
        <v>1</v>
      </c>
      <c r="C141" s="7" t="s">
        <v>142</v>
      </c>
      <c r="D141" s="4">
        <v>6</v>
      </c>
      <c r="E141" s="10">
        <v>402</v>
      </c>
      <c r="F141" s="8">
        <f t="shared" si="33"/>
        <v>11475.75</v>
      </c>
      <c r="G141" s="8">
        <f t="shared" si="34"/>
        <v>10458.26</v>
      </c>
      <c r="H141" s="8">
        <f t="shared" si="35"/>
        <v>6701</v>
      </c>
      <c r="I141" s="8">
        <f t="shared" si="36"/>
        <v>4.9999999997762643</v>
      </c>
      <c r="J141" s="8">
        <f t="shared" si="37"/>
        <v>28640.009999999776</v>
      </c>
      <c r="K141" s="8">
        <f t="shared" si="38"/>
        <v>4971.6999649609552</v>
      </c>
      <c r="L141" s="8">
        <f t="shared" si="39"/>
        <v>33611.709964960733</v>
      </c>
      <c r="M141" s="8">
        <f t="shared" si="40"/>
        <v>71.243805970148699</v>
      </c>
      <c r="N141" s="8">
        <f t="shared" si="41"/>
        <v>10602</v>
      </c>
      <c r="O141" s="8">
        <f t="shared" si="42"/>
        <v>0</v>
      </c>
      <c r="P141" s="8">
        <f t="shared" si="43"/>
        <v>233</v>
      </c>
      <c r="Q141" s="8">
        <f t="shared" si="44"/>
        <v>640.75</v>
      </c>
      <c r="R141" s="8">
        <f t="shared" si="45"/>
        <v>0</v>
      </c>
      <c r="S141" s="8">
        <f t="shared" si="46"/>
        <v>0</v>
      </c>
      <c r="T141" s="8">
        <f t="shared" si="47"/>
        <v>10458.26</v>
      </c>
      <c r="U141" s="8">
        <f t="shared" si="48"/>
        <v>6701</v>
      </c>
      <c r="V141" s="8">
        <f t="shared" si="49"/>
        <v>5</v>
      </c>
      <c r="W141" s="8">
        <f t="shared" si="50"/>
        <v>0</v>
      </c>
      <c r="X141" s="8">
        <f t="shared" si="51"/>
        <v>28640.009999999776</v>
      </c>
      <c r="Y141" s="10">
        <v>2462325</v>
      </c>
      <c r="Z141" s="10">
        <v>0</v>
      </c>
      <c r="AA141" s="10">
        <v>54195</v>
      </c>
      <c r="AB141" s="10">
        <v>127304</v>
      </c>
      <c r="AC141" s="10">
        <v>0</v>
      </c>
      <c r="AD141" s="10">
        <v>128789</v>
      </c>
      <c r="AE141" s="10">
        <v>0</v>
      </c>
      <c r="AF141" s="10">
        <v>31295</v>
      </c>
      <c r="AG141" s="10">
        <v>54226</v>
      </c>
      <c r="AH141" s="10">
        <f t="shared" si="52"/>
        <v>571554.62000000011</v>
      </c>
      <c r="AI141" s="10">
        <v>3429688.62</v>
      </c>
      <c r="AJ141" s="10">
        <v>2472927</v>
      </c>
      <c r="AK141" s="10">
        <v>0</v>
      </c>
      <c r="AL141" s="10">
        <v>54428</v>
      </c>
      <c r="AM141" s="10">
        <v>127944.75</v>
      </c>
      <c r="AN141" s="10">
        <v>0</v>
      </c>
      <c r="AO141" s="10">
        <v>128789</v>
      </c>
      <c r="AP141" s="10">
        <v>10458.26</v>
      </c>
      <c r="AQ141" s="10">
        <v>37996</v>
      </c>
      <c r="AR141" s="10">
        <v>54231</v>
      </c>
      <c r="AS141" s="10">
        <f t="shared" si="55"/>
        <v>571554.62000000011</v>
      </c>
      <c r="AT141" s="10">
        <v>3458328.63</v>
      </c>
      <c r="AU141" s="12">
        <v>18480</v>
      </c>
      <c r="AV141" s="12">
        <v>5055.0609781404146</v>
      </c>
      <c r="AW141" s="12">
        <v>7392</v>
      </c>
      <c r="AX141" s="12">
        <f t="shared" si="53"/>
        <v>30927.060978140413</v>
      </c>
      <c r="AY141" s="12">
        <v>20653.401999999998</v>
      </c>
      <c r="AZ141" s="12">
        <v>6056.5589431013686</v>
      </c>
      <c r="BA141" s="12">
        <v>9188.7999999999993</v>
      </c>
      <c r="BB141" s="12">
        <f t="shared" si="54"/>
        <v>35898.76094310137</v>
      </c>
      <c r="BC141" s="12">
        <v>2173.4019999999982</v>
      </c>
      <c r="BD141" s="12">
        <v>1001.4979649609541</v>
      </c>
      <c r="BE141" s="12">
        <v>1796.8000000000029</v>
      </c>
      <c r="BF141" s="12">
        <v>4971.6999649609552</v>
      </c>
    </row>
    <row r="142" spans="1:58" x14ac:dyDescent="0.25">
      <c r="A142" s="7">
        <v>432</v>
      </c>
      <c r="B142" s="7">
        <v>1</v>
      </c>
      <c r="C142" s="7" t="s">
        <v>143</v>
      </c>
      <c r="D142" s="4">
        <v>6</v>
      </c>
      <c r="E142" s="10">
        <v>600</v>
      </c>
      <c r="F142" s="8">
        <f t="shared" si="33"/>
        <v>24461.5</v>
      </c>
      <c r="G142" s="8">
        <f t="shared" si="34"/>
        <v>17259.300000000003</v>
      </c>
      <c r="H142" s="8">
        <f t="shared" si="35"/>
        <v>0</v>
      </c>
      <c r="I142" s="8">
        <f t="shared" si="36"/>
        <v>315.99999999981083</v>
      </c>
      <c r="J142" s="8">
        <f t="shared" si="37"/>
        <v>42036.799999999814</v>
      </c>
      <c r="K142" s="8">
        <f t="shared" si="38"/>
        <v>8942.5188855981396</v>
      </c>
      <c r="L142" s="8">
        <f t="shared" si="39"/>
        <v>50979.318885597953</v>
      </c>
      <c r="M142" s="8">
        <f t="shared" si="40"/>
        <v>70.061333333333025</v>
      </c>
      <c r="N142" s="8">
        <f t="shared" si="41"/>
        <v>16400</v>
      </c>
      <c r="O142" s="8">
        <f t="shared" si="42"/>
        <v>14</v>
      </c>
      <c r="P142" s="8">
        <f t="shared" si="43"/>
        <v>823</v>
      </c>
      <c r="Q142" s="8">
        <f t="shared" si="44"/>
        <v>5909.5</v>
      </c>
      <c r="R142" s="8">
        <f t="shared" si="45"/>
        <v>1315</v>
      </c>
      <c r="S142" s="8">
        <f t="shared" si="46"/>
        <v>0</v>
      </c>
      <c r="T142" s="8">
        <f t="shared" si="47"/>
        <v>17259.300000000003</v>
      </c>
      <c r="U142" s="8">
        <f t="shared" si="48"/>
        <v>0</v>
      </c>
      <c r="V142" s="8">
        <f t="shared" si="49"/>
        <v>0</v>
      </c>
      <c r="W142" s="8">
        <f t="shared" si="50"/>
        <v>316</v>
      </c>
      <c r="X142" s="8">
        <f t="shared" si="51"/>
        <v>42036.799999999814</v>
      </c>
      <c r="Y142" s="10">
        <v>3808736</v>
      </c>
      <c r="Z142" s="10">
        <v>3251</v>
      </c>
      <c r="AA142" s="10">
        <v>191071</v>
      </c>
      <c r="AB142" s="10">
        <v>1174099</v>
      </c>
      <c r="AC142" s="10">
        <v>277599</v>
      </c>
      <c r="AD142" s="10">
        <v>113007</v>
      </c>
      <c r="AE142" s="10">
        <v>0</v>
      </c>
      <c r="AF142" s="10">
        <v>0</v>
      </c>
      <c r="AG142" s="10">
        <v>94464</v>
      </c>
      <c r="AH142" s="10">
        <f t="shared" si="52"/>
        <v>515103.4299999997</v>
      </c>
      <c r="AI142" s="10">
        <v>6177330.4299999997</v>
      </c>
      <c r="AJ142" s="10">
        <v>3825136</v>
      </c>
      <c r="AK142" s="10">
        <v>3265</v>
      </c>
      <c r="AL142" s="10">
        <v>191894</v>
      </c>
      <c r="AM142" s="10">
        <v>1180008.5</v>
      </c>
      <c r="AN142" s="10">
        <v>278914</v>
      </c>
      <c r="AO142" s="10">
        <v>113007</v>
      </c>
      <c r="AP142" s="10">
        <v>17259.300000000003</v>
      </c>
      <c r="AQ142" s="10">
        <v>0</v>
      </c>
      <c r="AR142" s="10">
        <v>94464</v>
      </c>
      <c r="AS142" s="10">
        <f t="shared" si="55"/>
        <v>515419.4299999997</v>
      </c>
      <c r="AT142" s="10">
        <v>6219367.2299999995</v>
      </c>
      <c r="AU142" s="12">
        <v>38040</v>
      </c>
      <c r="AV142" s="12">
        <v>12036.762577556623</v>
      </c>
      <c r="AW142" s="12">
        <v>9395.125</v>
      </c>
      <c r="AX142" s="12">
        <f t="shared" si="53"/>
        <v>59471.887577556627</v>
      </c>
      <c r="AY142" s="12">
        <v>42513.820999999996</v>
      </c>
      <c r="AZ142" s="12">
        <v>14421.460463154766</v>
      </c>
      <c r="BA142" s="12">
        <v>11479.125</v>
      </c>
      <c r="BB142" s="12">
        <f t="shared" si="54"/>
        <v>68414.406463154766</v>
      </c>
      <c r="BC142" s="12">
        <v>4473.8209999999963</v>
      </c>
      <c r="BD142" s="12">
        <v>2384.6978855981433</v>
      </c>
      <c r="BE142" s="12">
        <v>2084</v>
      </c>
      <c r="BF142" s="12">
        <v>8942.5188855981396</v>
      </c>
    </row>
    <row r="143" spans="1:58" x14ac:dyDescent="0.25">
      <c r="A143" s="7">
        <v>435</v>
      </c>
      <c r="B143" s="7">
        <v>1</v>
      </c>
      <c r="C143" s="7" t="s">
        <v>144</v>
      </c>
      <c r="D143" s="4">
        <v>6</v>
      </c>
      <c r="E143" s="10">
        <v>585</v>
      </c>
      <c r="F143" s="8">
        <f t="shared" si="33"/>
        <v>23146.75</v>
      </c>
      <c r="G143" s="8">
        <f t="shared" si="34"/>
        <v>18814.599999999999</v>
      </c>
      <c r="H143" s="8">
        <f t="shared" si="35"/>
        <v>0</v>
      </c>
      <c r="I143" s="8">
        <f t="shared" si="36"/>
        <v>-3.7107383832335472E-10</v>
      </c>
      <c r="J143" s="8">
        <f t="shared" si="37"/>
        <v>41961.349999999627</v>
      </c>
      <c r="K143" s="8">
        <f t="shared" si="38"/>
        <v>7770.9543861822549</v>
      </c>
      <c r="L143" s="8">
        <f t="shared" si="39"/>
        <v>49732.304386181881</v>
      </c>
      <c r="M143" s="8">
        <f t="shared" si="40"/>
        <v>71.728803418802784</v>
      </c>
      <c r="N143" s="8">
        <f t="shared" si="41"/>
        <v>16015</v>
      </c>
      <c r="O143" s="8">
        <f t="shared" si="42"/>
        <v>0</v>
      </c>
      <c r="P143" s="8">
        <f t="shared" si="43"/>
        <v>874</v>
      </c>
      <c r="Q143" s="8">
        <f t="shared" si="44"/>
        <v>4629.75</v>
      </c>
      <c r="R143" s="8">
        <f t="shared" si="45"/>
        <v>1628</v>
      </c>
      <c r="S143" s="8">
        <f t="shared" si="46"/>
        <v>0</v>
      </c>
      <c r="T143" s="8">
        <f t="shared" si="47"/>
        <v>18814.599999999999</v>
      </c>
      <c r="U143" s="8">
        <f t="shared" si="48"/>
        <v>0</v>
      </c>
      <c r="V143" s="8">
        <f t="shared" si="49"/>
        <v>0</v>
      </c>
      <c r="W143" s="8">
        <f t="shared" si="50"/>
        <v>0</v>
      </c>
      <c r="X143" s="8">
        <f t="shared" si="51"/>
        <v>41961.349999999627</v>
      </c>
      <c r="Y143" s="10">
        <v>3719324</v>
      </c>
      <c r="Z143" s="10">
        <v>0</v>
      </c>
      <c r="AA143" s="10">
        <v>203003</v>
      </c>
      <c r="AB143" s="10">
        <v>919839</v>
      </c>
      <c r="AC143" s="10">
        <v>343599</v>
      </c>
      <c r="AD143" s="10">
        <v>115944</v>
      </c>
      <c r="AE143" s="10">
        <v>0</v>
      </c>
      <c r="AF143" s="10">
        <v>0</v>
      </c>
      <c r="AG143" s="10">
        <v>92246</v>
      </c>
      <c r="AH143" s="10">
        <f t="shared" si="52"/>
        <v>414329.84999999963</v>
      </c>
      <c r="AI143" s="10">
        <v>5808284.8499999996</v>
      </c>
      <c r="AJ143" s="10">
        <v>3735339</v>
      </c>
      <c r="AK143" s="10">
        <v>0</v>
      </c>
      <c r="AL143" s="10">
        <v>203877</v>
      </c>
      <c r="AM143" s="10">
        <v>924468.75</v>
      </c>
      <c r="AN143" s="10">
        <v>345227</v>
      </c>
      <c r="AO143" s="10">
        <v>115944</v>
      </c>
      <c r="AP143" s="10">
        <v>18814.599999999999</v>
      </c>
      <c r="AQ143" s="10">
        <v>0</v>
      </c>
      <c r="AR143" s="10">
        <v>92246</v>
      </c>
      <c r="AS143" s="10">
        <f t="shared" si="55"/>
        <v>414329.84999999963</v>
      </c>
      <c r="AT143" s="10">
        <v>5850246.1999999993</v>
      </c>
      <c r="AU143" s="12">
        <v>23400</v>
      </c>
      <c r="AV143" s="12">
        <v>9879.569601754898</v>
      </c>
      <c r="AW143" s="12">
        <v>9739.875</v>
      </c>
      <c r="AX143" s="12">
        <f t="shared" si="53"/>
        <v>43019.444601754898</v>
      </c>
      <c r="AY143" s="12">
        <v>26152.035</v>
      </c>
      <c r="AZ143" s="12">
        <v>11836.888987937147</v>
      </c>
      <c r="BA143" s="12">
        <v>12801.475</v>
      </c>
      <c r="BB143" s="12">
        <f t="shared" si="54"/>
        <v>50790.398987937144</v>
      </c>
      <c r="BC143" s="12">
        <v>2752.0349999999999</v>
      </c>
      <c r="BD143" s="12">
        <v>1957.3193861822492</v>
      </c>
      <c r="BE143" s="12">
        <v>3061.6000000000058</v>
      </c>
      <c r="BF143" s="12">
        <v>7770.9543861822549</v>
      </c>
    </row>
    <row r="144" spans="1:58" x14ac:dyDescent="0.25">
      <c r="A144" s="7">
        <v>441</v>
      </c>
      <c r="B144" s="7">
        <v>1</v>
      </c>
      <c r="C144" s="7" t="s">
        <v>145</v>
      </c>
      <c r="D144" s="4">
        <v>6</v>
      </c>
      <c r="E144" s="10">
        <v>406</v>
      </c>
      <c r="F144" s="8">
        <f t="shared" si="33"/>
        <v>14761.75</v>
      </c>
      <c r="G144" s="8">
        <f t="shared" si="34"/>
        <v>12095.100000000002</v>
      </c>
      <c r="H144" s="8">
        <f t="shared" si="35"/>
        <v>0</v>
      </c>
      <c r="I144" s="8">
        <f t="shared" si="36"/>
        <v>14.999999999625288</v>
      </c>
      <c r="J144" s="8">
        <f t="shared" si="37"/>
        <v>26871.849999999627</v>
      </c>
      <c r="K144" s="8">
        <f t="shared" si="38"/>
        <v>6404.0915071286472</v>
      </c>
      <c r="L144" s="8">
        <f t="shared" si="39"/>
        <v>33275.941507128271</v>
      </c>
      <c r="M144" s="8">
        <f t="shared" si="40"/>
        <v>66.186822660097604</v>
      </c>
      <c r="N144" s="8">
        <f t="shared" si="41"/>
        <v>10777</v>
      </c>
      <c r="O144" s="8">
        <f t="shared" si="42"/>
        <v>0</v>
      </c>
      <c r="P144" s="8">
        <f t="shared" si="43"/>
        <v>694</v>
      </c>
      <c r="Q144" s="8">
        <f t="shared" si="44"/>
        <v>827.75</v>
      </c>
      <c r="R144" s="8">
        <f t="shared" si="45"/>
        <v>2463</v>
      </c>
      <c r="S144" s="8">
        <f t="shared" si="46"/>
        <v>0</v>
      </c>
      <c r="T144" s="8">
        <f t="shared" si="47"/>
        <v>12095.100000000002</v>
      </c>
      <c r="U144" s="8">
        <f t="shared" si="48"/>
        <v>0</v>
      </c>
      <c r="V144" s="8">
        <f t="shared" si="49"/>
        <v>15</v>
      </c>
      <c r="W144" s="8">
        <f t="shared" si="50"/>
        <v>0</v>
      </c>
      <c r="X144" s="8">
        <f t="shared" si="51"/>
        <v>26871.849999999627</v>
      </c>
      <c r="Y144" s="10">
        <v>2502676</v>
      </c>
      <c r="Z144" s="10">
        <v>0</v>
      </c>
      <c r="AA144" s="10">
        <v>161175</v>
      </c>
      <c r="AB144" s="10">
        <v>164457</v>
      </c>
      <c r="AC144" s="10">
        <v>519758</v>
      </c>
      <c r="AD144" s="10">
        <v>129202</v>
      </c>
      <c r="AE144" s="10">
        <v>0</v>
      </c>
      <c r="AF144" s="10">
        <v>0</v>
      </c>
      <c r="AG144" s="10">
        <v>40064</v>
      </c>
      <c r="AH144" s="10">
        <f t="shared" si="52"/>
        <v>721820.25</v>
      </c>
      <c r="AI144" s="10">
        <v>4239152.25</v>
      </c>
      <c r="AJ144" s="10">
        <v>2513453</v>
      </c>
      <c r="AK144" s="10">
        <v>0</v>
      </c>
      <c r="AL144" s="10">
        <v>161869</v>
      </c>
      <c r="AM144" s="10">
        <v>165284.75</v>
      </c>
      <c r="AN144" s="10">
        <v>522221</v>
      </c>
      <c r="AO144" s="10">
        <v>129202</v>
      </c>
      <c r="AP144" s="10">
        <v>12095.100000000002</v>
      </c>
      <c r="AQ144" s="10">
        <v>0</v>
      </c>
      <c r="AR144" s="10">
        <v>40079</v>
      </c>
      <c r="AS144" s="10">
        <f t="shared" si="55"/>
        <v>721820.24999999953</v>
      </c>
      <c r="AT144" s="10">
        <v>4266024.0999999996</v>
      </c>
      <c r="AU144" s="12">
        <v>18000</v>
      </c>
      <c r="AV144" s="12">
        <v>5241.0287572318302</v>
      </c>
      <c r="AW144" s="12">
        <v>6834.25</v>
      </c>
      <c r="AX144" s="12">
        <f t="shared" si="53"/>
        <v>30075.27875723183</v>
      </c>
      <c r="AY144" s="12">
        <v>20116.95</v>
      </c>
      <c r="AZ144" s="12">
        <v>6279.3702643604738</v>
      </c>
      <c r="BA144" s="12">
        <v>10083.049999999999</v>
      </c>
      <c r="BB144" s="12">
        <f t="shared" si="54"/>
        <v>36479.370264360477</v>
      </c>
      <c r="BC144" s="12">
        <v>2116.9500000000007</v>
      </c>
      <c r="BD144" s="12">
        <v>1038.3415071286436</v>
      </c>
      <c r="BE144" s="12">
        <v>3248.8000000000029</v>
      </c>
      <c r="BF144" s="12">
        <v>6404.0915071286472</v>
      </c>
    </row>
    <row r="145" spans="1:58" x14ac:dyDescent="0.25">
      <c r="A145" s="7">
        <v>447</v>
      </c>
      <c r="B145" s="7">
        <v>1</v>
      </c>
      <c r="C145" s="7" t="s">
        <v>146</v>
      </c>
      <c r="D145" s="4">
        <v>6</v>
      </c>
      <c r="E145" s="10">
        <v>148</v>
      </c>
      <c r="F145" s="8">
        <f t="shared" ref="F145:F208" si="56">SUM(N145:S145)</f>
        <v>7723.5</v>
      </c>
      <c r="G145" s="8">
        <f t="shared" ref="G145:G208" si="57">T145</f>
        <v>6656.08</v>
      </c>
      <c r="H145" s="8">
        <f t="shared" ref="H145:H208" si="58">U145</f>
        <v>0</v>
      </c>
      <c r="I145" s="8">
        <f t="shared" ref="I145:I208" si="59">J145-F145-G145-H145</f>
        <v>3.0000000000745786</v>
      </c>
      <c r="J145" s="8">
        <f t="shared" ref="J145:J208" si="60">X145</f>
        <v>14382.580000000075</v>
      </c>
      <c r="K145" s="8">
        <f t="shared" ref="K145:K208" si="61">BF145</f>
        <v>5039.5781686853625</v>
      </c>
      <c r="L145" s="8">
        <f t="shared" ref="L145:L208" si="62">J145+K145</f>
        <v>19422.158168685437</v>
      </c>
      <c r="M145" s="8">
        <f t="shared" ref="M145:M208" si="63">IF(E145=0,0,J145/E145)</f>
        <v>97.179594594595102</v>
      </c>
      <c r="N145" s="8">
        <f t="shared" ref="N145:N208" si="64">AJ145-Y145</f>
        <v>4075</v>
      </c>
      <c r="O145" s="8">
        <f t="shared" ref="O145:O208" si="65">AK145-Z145</f>
        <v>68</v>
      </c>
      <c r="P145" s="8">
        <f t="shared" ref="P145:P208" si="66">AL145-AA145</f>
        <v>574</v>
      </c>
      <c r="Q145" s="8">
        <f t="shared" ref="Q145:Q208" si="67">AM145-AB145</f>
        <v>525.5</v>
      </c>
      <c r="R145" s="8">
        <f t="shared" ref="R145:R208" si="68">AN145-AC145</f>
        <v>2481</v>
      </c>
      <c r="S145" s="8">
        <f t="shared" ref="S145:S208" si="69">AO145-AD145</f>
        <v>0</v>
      </c>
      <c r="T145" s="8">
        <f t="shared" ref="T145:T208" si="70">AP145-AE145</f>
        <v>6656.08</v>
      </c>
      <c r="U145" s="8">
        <f t="shared" ref="U145:U208" si="71">AQ145-AF145</f>
        <v>0</v>
      </c>
      <c r="V145" s="8">
        <f t="shared" ref="V145:V208" si="72">AR145-AG145</f>
        <v>3</v>
      </c>
      <c r="W145" s="8">
        <f t="shared" ref="W145:W208" si="73">AS145-AH145</f>
        <v>0</v>
      </c>
      <c r="X145" s="8">
        <f t="shared" ref="X145:X208" si="74">AT145-AI145</f>
        <v>14382.580000000075</v>
      </c>
      <c r="Y145" s="10">
        <v>946378</v>
      </c>
      <c r="Z145" s="10">
        <v>15932</v>
      </c>
      <c r="AA145" s="10">
        <v>133329</v>
      </c>
      <c r="AB145" s="10">
        <v>104406</v>
      </c>
      <c r="AC145" s="10">
        <v>523410</v>
      </c>
      <c r="AD145" s="10">
        <v>73616</v>
      </c>
      <c r="AE145" s="10">
        <v>0</v>
      </c>
      <c r="AF145" s="10">
        <v>120204</v>
      </c>
      <c r="AG145" s="10">
        <v>18818</v>
      </c>
      <c r="AH145" s="10">
        <f t="shared" ref="AH145:AH208" si="75">AI145-SUM(Y145:AG145)</f>
        <v>196119.33000000007</v>
      </c>
      <c r="AI145" s="10">
        <v>2132212.33</v>
      </c>
      <c r="AJ145" s="10">
        <v>950453</v>
      </c>
      <c r="AK145" s="10">
        <v>16000</v>
      </c>
      <c r="AL145" s="10">
        <v>133903</v>
      </c>
      <c r="AM145" s="10">
        <v>104931.5</v>
      </c>
      <c r="AN145" s="10">
        <v>525891</v>
      </c>
      <c r="AO145" s="10">
        <v>73616</v>
      </c>
      <c r="AP145" s="10">
        <v>6656.08</v>
      </c>
      <c r="AQ145" s="10">
        <v>120204</v>
      </c>
      <c r="AR145" s="10">
        <v>18821</v>
      </c>
      <c r="AS145" s="10">
        <f t="shared" si="55"/>
        <v>196119.33000000007</v>
      </c>
      <c r="AT145" s="10">
        <v>2146594.91</v>
      </c>
      <c r="AU145" s="12">
        <v>18000</v>
      </c>
      <c r="AV145" s="12">
        <v>2292.7166814393563</v>
      </c>
      <c r="AW145" s="12">
        <v>3079.375</v>
      </c>
      <c r="AX145" s="12">
        <f t="shared" ref="AX145:AX208" si="76">AU145+AV145+AW145</f>
        <v>23372.091681439357</v>
      </c>
      <c r="AY145" s="12">
        <v>20116.95</v>
      </c>
      <c r="AZ145" s="12">
        <v>2746.9448501247166</v>
      </c>
      <c r="BA145" s="12">
        <v>5547.7749999999996</v>
      </c>
      <c r="BB145" s="12">
        <f t="shared" ref="BB145:BB208" si="77">AY145+AZ145+BA145</f>
        <v>28411.669850124716</v>
      </c>
      <c r="BC145" s="12">
        <v>2116.9500000000007</v>
      </c>
      <c r="BD145" s="12">
        <v>454.22816868536029</v>
      </c>
      <c r="BE145" s="12">
        <v>2468.4000000000015</v>
      </c>
      <c r="BF145" s="12">
        <v>5039.5781686853625</v>
      </c>
    </row>
    <row r="146" spans="1:58" x14ac:dyDescent="0.25">
      <c r="A146" s="7">
        <v>458</v>
      </c>
      <c r="B146" s="7">
        <v>1</v>
      </c>
      <c r="C146" s="7" t="s">
        <v>147</v>
      </c>
      <c r="D146" s="4">
        <v>6</v>
      </c>
      <c r="E146" s="10">
        <v>197</v>
      </c>
      <c r="F146" s="8">
        <f t="shared" si="56"/>
        <v>6500.25</v>
      </c>
      <c r="G146" s="8">
        <f t="shared" si="57"/>
        <v>6731.5800000000008</v>
      </c>
      <c r="H146" s="8">
        <f t="shared" si="58"/>
        <v>18636</v>
      </c>
      <c r="I146" s="8">
        <f t="shared" si="59"/>
        <v>7.2759576141834259E-11</v>
      </c>
      <c r="J146" s="8">
        <f t="shared" si="60"/>
        <v>31867.830000000075</v>
      </c>
      <c r="K146" s="8">
        <f t="shared" si="61"/>
        <v>4999.7690840046253</v>
      </c>
      <c r="L146" s="8">
        <f t="shared" si="62"/>
        <v>36867.599084004702</v>
      </c>
      <c r="M146" s="8">
        <f t="shared" si="63"/>
        <v>161.76563451776687</v>
      </c>
      <c r="N146" s="8">
        <f t="shared" si="64"/>
        <v>5395</v>
      </c>
      <c r="O146" s="8">
        <f t="shared" si="65"/>
        <v>95</v>
      </c>
      <c r="P146" s="8">
        <f t="shared" si="66"/>
        <v>254</v>
      </c>
      <c r="Q146" s="8">
        <f t="shared" si="67"/>
        <v>756.25</v>
      </c>
      <c r="R146" s="8">
        <f t="shared" si="68"/>
        <v>0</v>
      </c>
      <c r="S146" s="8">
        <f t="shared" si="69"/>
        <v>0</v>
      </c>
      <c r="T146" s="8">
        <f t="shared" si="70"/>
        <v>6731.5800000000008</v>
      </c>
      <c r="U146" s="8">
        <f t="shared" si="71"/>
        <v>18636</v>
      </c>
      <c r="V146" s="8">
        <f t="shared" si="72"/>
        <v>0</v>
      </c>
      <c r="W146" s="8">
        <f t="shared" si="73"/>
        <v>0</v>
      </c>
      <c r="X146" s="8">
        <f t="shared" si="74"/>
        <v>31867.830000000075</v>
      </c>
      <c r="Y146" s="10">
        <v>1252935</v>
      </c>
      <c r="Z146" s="10">
        <v>22109</v>
      </c>
      <c r="AA146" s="10">
        <v>59108</v>
      </c>
      <c r="AB146" s="10">
        <v>150252</v>
      </c>
      <c r="AC146" s="10">
        <v>0</v>
      </c>
      <c r="AD146" s="10">
        <v>91006</v>
      </c>
      <c r="AE146" s="10">
        <v>0</v>
      </c>
      <c r="AF146" s="10">
        <v>0</v>
      </c>
      <c r="AG146" s="10">
        <v>10790</v>
      </c>
      <c r="AH146" s="10">
        <f t="shared" si="75"/>
        <v>568714.85999999987</v>
      </c>
      <c r="AI146" s="10">
        <v>2154914.86</v>
      </c>
      <c r="AJ146" s="10">
        <v>1258330</v>
      </c>
      <c r="AK146" s="10">
        <v>22204</v>
      </c>
      <c r="AL146" s="10">
        <v>59362</v>
      </c>
      <c r="AM146" s="10">
        <v>151008.25</v>
      </c>
      <c r="AN146" s="10">
        <v>0</v>
      </c>
      <c r="AO146" s="10">
        <v>91006</v>
      </c>
      <c r="AP146" s="10">
        <v>6731.5800000000008</v>
      </c>
      <c r="AQ146" s="10">
        <v>18636</v>
      </c>
      <c r="AR146" s="10">
        <v>10790</v>
      </c>
      <c r="AS146" s="10">
        <f t="shared" si="55"/>
        <v>568714.85999999987</v>
      </c>
      <c r="AT146" s="10">
        <v>2186782.69</v>
      </c>
      <c r="AU146" s="12">
        <v>18480</v>
      </c>
      <c r="AV146" s="12">
        <v>3757.1928565133553</v>
      </c>
      <c r="AW146" s="12">
        <v>4525.125</v>
      </c>
      <c r="AX146" s="12">
        <f t="shared" si="76"/>
        <v>26762.317856513357</v>
      </c>
      <c r="AY146" s="12">
        <v>20653.401999999998</v>
      </c>
      <c r="AZ146" s="12">
        <v>4501.5599405179828</v>
      </c>
      <c r="BA146" s="12">
        <v>6607.125</v>
      </c>
      <c r="BB146" s="12">
        <f t="shared" si="77"/>
        <v>31762.08694051798</v>
      </c>
      <c r="BC146" s="12">
        <v>2173.4019999999982</v>
      </c>
      <c r="BD146" s="12">
        <v>744.36708400462749</v>
      </c>
      <c r="BE146" s="12">
        <v>2082</v>
      </c>
      <c r="BF146" s="12">
        <v>4999.7690840046253</v>
      </c>
    </row>
    <row r="147" spans="1:58" x14ac:dyDescent="0.25">
      <c r="A147" s="7">
        <v>463</v>
      </c>
      <c r="B147" s="7">
        <v>1</v>
      </c>
      <c r="C147" s="7" t="s">
        <v>148</v>
      </c>
      <c r="D147" s="4">
        <v>6</v>
      </c>
      <c r="E147" s="10">
        <v>960</v>
      </c>
      <c r="F147" s="8">
        <f t="shared" si="56"/>
        <v>28195.5</v>
      </c>
      <c r="G147" s="8">
        <f t="shared" si="57"/>
        <v>22870.460000000003</v>
      </c>
      <c r="H147" s="8">
        <f t="shared" si="58"/>
        <v>0</v>
      </c>
      <c r="I147" s="8">
        <f t="shared" si="59"/>
        <v>16.999999999959982</v>
      </c>
      <c r="J147" s="8">
        <f t="shared" si="60"/>
        <v>51082.959999999963</v>
      </c>
      <c r="K147" s="8">
        <f t="shared" si="61"/>
        <v>14457.122165871438</v>
      </c>
      <c r="L147" s="8">
        <f t="shared" si="62"/>
        <v>65540.082165871398</v>
      </c>
      <c r="M147" s="8">
        <f t="shared" si="63"/>
        <v>53.211416666666629</v>
      </c>
      <c r="N147" s="8">
        <f t="shared" si="64"/>
        <v>25171</v>
      </c>
      <c r="O147" s="8">
        <f t="shared" si="65"/>
        <v>268</v>
      </c>
      <c r="P147" s="8">
        <f t="shared" si="66"/>
        <v>561</v>
      </c>
      <c r="Q147" s="8">
        <f t="shared" si="67"/>
        <v>2195.5</v>
      </c>
      <c r="R147" s="8">
        <f t="shared" si="68"/>
        <v>0</v>
      </c>
      <c r="S147" s="8">
        <f t="shared" si="69"/>
        <v>0</v>
      </c>
      <c r="T147" s="8">
        <f t="shared" si="70"/>
        <v>22870.460000000003</v>
      </c>
      <c r="U147" s="8">
        <f t="shared" si="71"/>
        <v>0</v>
      </c>
      <c r="V147" s="8">
        <f t="shared" si="72"/>
        <v>17</v>
      </c>
      <c r="W147" s="8">
        <f t="shared" si="73"/>
        <v>0</v>
      </c>
      <c r="X147" s="8">
        <f t="shared" si="74"/>
        <v>51082.959999999963</v>
      </c>
      <c r="Y147" s="10">
        <v>5845771</v>
      </c>
      <c r="Z147" s="10">
        <v>62345</v>
      </c>
      <c r="AA147" s="10">
        <v>130258</v>
      </c>
      <c r="AB147" s="10">
        <v>436202</v>
      </c>
      <c r="AC147" s="10">
        <v>0</v>
      </c>
      <c r="AD147" s="10">
        <v>0</v>
      </c>
      <c r="AE147" s="10">
        <v>0</v>
      </c>
      <c r="AF147" s="10">
        <v>15013</v>
      </c>
      <c r="AG147" s="10">
        <v>120877</v>
      </c>
      <c r="AH147" s="10">
        <f t="shared" si="75"/>
        <v>1094394.7800000003</v>
      </c>
      <c r="AI147" s="10">
        <v>7704860.7800000003</v>
      </c>
      <c r="AJ147" s="10">
        <v>5870942</v>
      </c>
      <c r="AK147" s="10">
        <v>62613</v>
      </c>
      <c r="AL147" s="10">
        <v>130819</v>
      </c>
      <c r="AM147" s="10">
        <v>438397.5</v>
      </c>
      <c r="AN147" s="10">
        <v>0</v>
      </c>
      <c r="AO147" s="10">
        <v>0</v>
      </c>
      <c r="AP147" s="10">
        <v>22870.460000000003</v>
      </c>
      <c r="AQ147" s="10">
        <v>15013</v>
      </c>
      <c r="AR147" s="10">
        <v>120894</v>
      </c>
      <c r="AS147" s="10">
        <f t="shared" si="55"/>
        <v>1094394.7800000003</v>
      </c>
      <c r="AT147" s="10">
        <v>7755943.7400000002</v>
      </c>
      <c r="AU147" s="12">
        <v>33000</v>
      </c>
      <c r="AV147" s="12">
        <v>11563.051069736039</v>
      </c>
      <c r="AW147" s="12">
        <v>16621.375</v>
      </c>
      <c r="AX147" s="12">
        <f t="shared" si="76"/>
        <v>61184.426069736037</v>
      </c>
      <c r="AY147" s="12">
        <v>36881.074999999997</v>
      </c>
      <c r="AZ147" s="12">
        <v>13853.898235607468</v>
      </c>
      <c r="BA147" s="12">
        <v>24906.575000000001</v>
      </c>
      <c r="BB147" s="12">
        <f t="shared" si="77"/>
        <v>75641.548235607464</v>
      </c>
      <c r="BC147" s="12">
        <v>3881.0749999999971</v>
      </c>
      <c r="BD147" s="12">
        <v>2290.8471658714298</v>
      </c>
      <c r="BE147" s="12">
        <v>8285.2000000000116</v>
      </c>
      <c r="BF147" s="12">
        <v>14457.122165871438</v>
      </c>
    </row>
    <row r="148" spans="1:58" x14ac:dyDescent="0.25">
      <c r="A148" s="7">
        <v>465</v>
      </c>
      <c r="B148" s="7">
        <v>1</v>
      </c>
      <c r="C148" s="7" t="s">
        <v>149</v>
      </c>
      <c r="D148" s="4">
        <v>5</v>
      </c>
      <c r="E148" s="10">
        <v>1743</v>
      </c>
      <c r="F148" s="8">
        <f t="shared" si="56"/>
        <v>50742.25</v>
      </c>
      <c r="G148" s="8">
        <f t="shared" si="57"/>
        <v>36152.42</v>
      </c>
      <c r="H148" s="8">
        <f t="shared" si="58"/>
        <v>2406</v>
      </c>
      <c r="I148" s="8">
        <f t="shared" si="59"/>
        <v>22.99999999992724</v>
      </c>
      <c r="J148" s="8">
        <f t="shared" si="60"/>
        <v>89323.669999999925</v>
      </c>
      <c r="K148" s="8">
        <f t="shared" si="61"/>
        <v>23993.207519872372</v>
      </c>
      <c r="L148" s="8">
        <f t="shared" si="62"/>
        <v>113316.8775198723</v>
      </c>
      <c r="M148" s="8">
        <f t="shared" si="63"/>
        <v>51.247085484796287</v>
      </c>
      <c r="N148" s="8">
        <f t="shared" si="64"/>
        <v>45646</v>
      </c>
      <c r="O148" s="8">
        <f t="shared" si="65"/>
        <v>0</v>
      </c>
      <c r="P148" s="8">
        <f t="shared" si="66"/>
        <v>1093</v>
      </c>
      <c r="Q148" s="8">
        <f t="shared" si="67"/>
        <v>4003.25</v>
      </c>
      <c r="R148" s="8">
        <f t="shared" si="68"/>
        <v>0</v>
      </c>
      <c r="S148" s="8">
        <f t="shared" si="69"/>
        <v>0</v>
      </c>
      <c r="T148" s="8">
        <f t="shared" si="70"/>
        <v>36152.42</v>
      </c>
      <c r="U148" s="8">
        <f t="shared" si="71"/>
        <v>2406</v>
      </c>
      <c r="V148" s="8">
        <f t="shared" si="72"/>
        <v>23</v>
      </c>
      <c r="W148" s="8">
        <f t="shared" si="73"/>
        <v>0</v>
      </c>
      <c r="X148" s="8">
        <f t="shared" si="74"/>
        <v>89323.669999999925</v>
      </c>
      <c r="Y148" s="10">
        <v>10600885</v>
      </c>
      <c r="Z148" s="10">
        <v>0</v>
      </c>
      <c r="AA148" s="10">
        <v>253784</v>
      </c>
      <c r="AB148" s="10">
        <v>795366</v>
      </c>
      <c r="AC148" s="10">
        <v>0</v>
      </c>
      <c r="AD148" s="10">
        <v>0</v>
      </c>
      <c r="AE148" s="10">
        <v>0</v>
      </c>
      <c r="AF148" s="10">
        <v>27791</v>
      </c>
      <c r="AG148" s="10">
        <v>230067</v>
      </c>
      <c r="AH148" s="10">
        <f t="shared" si="75"/>
        <v>1805751.5399999991</v>
      </c>
      <c r="AI148" s="10">
        <v>13713644.539999999</v>
      </c>
      <c r="AJ148" s="10">
        <v>10646531</v>
      </c>
      <c r="AK148" s="10">
        <v>0</v>
      </c>
      <c r="AL148" s="10">
        <v>254877</v>
      </c>
      <c r="AM148" s="10">
        <v>799369.25</v>
      </c>
      <c r="AN148" s="10">
        <v>0</v>
      </c>
      <c r="AO148" s="10">
        <v>0</v>
      </c>
      <c r="AP148" s="10">
        <v>36152.42</v>
      </c>
      <c r="AQ148" s="10">
        <v>30197</v>
      </c>
      <c r="AR148" s="10">
        <v>230090</v>
      </c>
      <c r="AS148" s="10">
        <f t="shared" si="55"/>
        <v>1805751.5399999991</v>
      </c>
      <c r="AT148" s="10">
        <v>13802968.209999999</v>
      </c>
      <c r="AU148" s="12">
        <v>96000</v>
      </c>
      <c r="AV148" s="12">
        <v>21873.883956555765</v>
      </c>
      <c r="AW148" s="12">
        <v>26654.375</v>
      </c>
      <c r="AX148" s="12">
        <f t="shared" si="76"/>
        <v>144528.25895655577</v>
      </c>
      <c r="AY148" s="12">
        <v>107290.4</v>
      </c>
      <c r="AZ148" s="12">
        <v>26207.491476428131</v>
      </c>
      <c r="BA148" s="12">
        <v>35023.574999999997</v>
      </c>
      <c r="BB148" s="12">
        <f t="shared" si="77"/>
        <v>168521.46647642815</v>
      </c>
      <c r="BC148" s="12">
        <v>11290.399999999994</v>
      </c>
      <c r="BD148" s="12">
        <v>4333.6075198723665</v>
      </c>
      <c r="BE148" s="12">
        <v>8369.2000000000116</v>
      </c>
      <c r="BF148" s="12">
        <v>23993.207519872372</v>
      </c>
    </row>
    <row r="149" spans="1:58" x14ac:dyDescent="0.25">
      <c r="A149" s="7">
        <v>466</v>
      </c>
      <c r="B149" s="7">
        <v>1</v>
      </c>
      <c r="C149" s="7" t="s">
        <v>150</v>
      </c>
      <c r="D149" s="4">
        <v>4</v>
      </c>
      <c r="E149" s="10">
        <v>2198</v>
      </c>
      <c r="F149" s="8">
        <f t="shared" si="56"/>
        <v>64011.75</v>
      </c>
      <c r="G149" s="8">
        <f t="shared" si="57"/>
        <v>47833.780000000006</v>
      </c>
      <c r="H149" s="8">
        <f t="shared" si="58"/>
        <v>0</v>
      </c>
      <c r="I149" s="8">
        <f t="shared" si="59"/>
        <v>-2.9999999988140189</v>
      </c>
      <c r="J149" s="8">
        <f t="shared" si="60"/>
        <v>111842.53000000119</v>
      </c>
      <c r="K149" s="8">
        <f t="shared" si="61"/>
        <v>26841.642867071758</v>
      </c>
      <c r="L149" s="8">
        <f t="shared" si="62"/>
        <v>138684.17286707295</v>
      </c>
      <c r="M149" s="8">
        <f t="shared" si="63"/>
        <v>50.883771610555591</v>
      </c>
      <c r="N149" s="8">
        <f t="shared" si="64"/>
        <v>59860</v>
      </c>
      <c r="O149" s="8">
        <f t="shared" si="65"/>
        <v>0</v>
      </c>
      <c r="P149" s="8">
        <f t="shared" si="66"/>
        <v>1217</v>
      </c>
      <c r="Q149" s="8">
        <f t="shared" si="67"/>
        <v>2934.75</v>
      </c>
      <c r="R149" s="8">
        <f t="shared" si="68"/>
        <v>0</v>
      </c>
      <c r="S149" s="8">
        <f t="shared" si="69"/>
        <v>0</v>
      </c>
      <c r="T149" s="8">
        <f t="shared" si="70"/>
        <v>47833.780000000006</v>
      </c>
      <c r="U149" s="8">
        <f t="shared" si="71"/>
        <v>0</v>
      </c>
      <c r="V149" s="8">
        <f t="shared" si="72"/>
        <v>-3</v>
      </c>
      <c r="W149" s="8">
        <f t="shared" si="73"/>
        <v>1.862645149230957E-9</v>
      </c>
      <c r="X149" s="8">
        <f t="shared" si="74"/>
        <v>111842.53000000119</v>
      </c>
      <c r="Y149" s="10">
        <v>13901886</v>
      </c>
      <c r="Z149" s="10">
        <v>0</v>
      </c>
      <c r="AA149" s="10">
        <v>282521</v>
      </c>
      <c r="AB149" s="10">
        <v>583076</v>
      </c>
      <c r="AC149" s="10">
        <v>0</v>
      </c>
      <c r="AD149" s="10">
        <v>0</v>
      </c>
      <c r="AE149" s="10">
        <v>0</v>
      </c>
      <c r="AF149" s="10">
        <v>14484</v>
      </c>
      <c r="AG149" s="10">
        <v>348411</v>
      </c>
      <c r="AH149" s="10">
        <f t="shared" si="75"/>
        <v>1901172.0700000003</v>
      </c>
      <c r="AI149" s="10">
        <v>17031550.07</v>
      </c>
      <c r="AJ149" s="10">
        <v>13961746</v>
      </c>
      <c r="AK149" s="10">
        <v>0</v>
      </c>
      <c r="AL149" s="10">
        <v>283738</v>
      </c>
      <c r="AM149" s="10">
        <v>586010.75</v>
      </c>
      <c r="AN149" s="10">
        <v>0</v>
      </c>
      <c r="AO149" s="10">
        <v>0</v>
      </c>
      <c r="AP149" s="10">
        <v>47833.780000000006</v>
      </c>
      <c r="AQ149" s="10">
        <v>14484</v>
      </c>
      <c r="AR149" s="10">
        <v>348408</v>
      </c>
      <c r="AS149" s="10">
        <f t="shared" si="55"/>
        <v>1901172.0700000022</v>
      </c>
      <c r="AT149" s="10">
        <v>17143392.600000001</v>
      </c>
      <c r="AU149" s="12">
        <v>92400</v>
      </c>
      <c r="AV149" s="12">
        <v>23171.219396544708</v>
      </c>
      <c r="AW149" s="12">
        <v>30913.75</v>
      </c>
      <c r="AX149" s="12">
        <f t="shared" si="76"/>
        <v>146484.96939654471</v>
      </c>
      <c r="AY149" s="12">
        <v>103267.01</v>
      </c>
      <c r="AZ149" s="12">
        <v>27761.852263616471</v>
      </c>
      <c r="BA149" s="12">
        <v>42297.75</v>
      </c>
      <c r="BB149" s="12">
        <f t="shared" si="77"/>
        <v>173326.61226361647</v>
      </c>
      <c r="BC149" s="12">
        <v>10867.009999999995</v>
      </c>
      <c r="BD149" s="12">
        <v>4590.632867071763</v>
      </c>
      <c r="BE149" s="12">
        <v>11384</v>
      </c>
      <c r="BF149" s="12">
        <v>26841.642867071758</v>
      </c>
    </row>
    <row r="150" spans="1:58" x14ac:dyDescent="0.25">
      <c r="A150" s="7">
        <v>473</v>
      </c>
      <c r="B150" s="7">
        <v>1</v>
      </c>
      <c r="C150" s="7" t="s">
        <v>151</v>
      </c>
      <c r="D150" s="4">
        <v>6</v>
      </c>
      <c r="E150" s="10">
        <v>475</v>
      </c>
      <c r="F150" s="8">
        <f t="shared" si="56"/>
        <v>15545.75</v>
      </c>
      <c r="G150" s="8">
        <f t="shared" si="57"/>
        <v>13372.56</v>
      </c>
      <c r="H150" s="8">
        <f t="shared" si="58"/>
        <v>0</v>
      </c>
      <c r="I150" s="8">
        <f t="shared" si="59"/>
        <v>5.6388671509921551E-11</v>
      </c>
      <c r="J150" s="8">
        <f t="shared" si="60"/>
        <v>28918.310000000056</v>
      </c>
      <c r="K150" s="8">
        <f t="shared" si="61"/>
        <v>6796.7299045355821</v>
      </c>
      <c r="L150" s="8">
        <f t="shared" si="62"/>
        <v>35715.039904535639</v>
      </c>
      <c r="M150" s="8">
        <f t="shared" si="63"/>
        <v>60.880652631579068</v>
      </c>
      <c r="N150" s="8">
        <f t="shared" si="64"/>
        <v>12960</v>
      </c>
      <c r="O150" s="8">
        <f t="shared" si="65"/>
        <v>56</v>
      </c>
      <c r="P150" s="8">
        <f t="shared" si="66"/>
        <v>648</v>
      </c>
      <c r="Q150" s="8">
        <f t="shared" si="67"/>
        <v>1698.75</v>
      </c>
      <c r="R150" s="8">
        <f t="shared" si="68"/>
        <v>183</v>
      </c>
      <c r="S150" s="8">
        <f t="shared" si="69"/>
        <v>0</v>
      </c>
      <c r="T150" s="8">
        <f t="shared" si="70"/>
        <v>13372.56</v>
      </c>
      <c r="U150" s="8">
        <f t="shared" si="71"/>
        <v>0</v>
      </c>
      <c r="V150" s="8">
        <f t="shared" si="72"/>
        <v>0</v>
      </c>
      <c r="W150" s="8">
        <f t="shared" si="73"/>
        <v>0</v>
      </c>
      <c r="X150" s="8">
        <f t="shared" si="74"/>
        <v>28918.310000000056</v>
      </c>
      <c r="Y150" s="10">
        <v>3009830</v>
      </c>
      <c r="Z150" s="10">
        <v>13005</v>
      </c>
      <c r="AA150" s="10">
        <v>150602</v>
      </c>
      <c r="AB150" s="10">
        <v>337508</v>
      </c>
      <c r="AC150" s="10">
        <v>38607</v>
      </c>
      <c r="AD150" s="10">
        <v>129724</v>
      </c>
      <c r="AE150" s="10">
        <v>0</v>
      </c>
      <c r="AF150" s="10">
        <v>0</v>
      </c>
      <c r="AG150" s="10">
        <v>74650</v>
      </c>
      <c r="AH150" s="10">
        <f t="shared" si="75"/>
        <v>332521.93999999994</v>
      </c>
      <c r="AI150" s="10">
        <v>4086447.94</v>
      </c>
      <c r="AJ150" s="10">
        <v>3022790</v>
      </c>
      <c r="AK150" s="10">
        <v>13061</v>
      </c>
      <c r="AL150" s="10">
        <v>151250</v>
      </c>
      <c r="AM150" s="10">
        <v>339206.75</v>
      </c>
      <c r="AN150" s="10">
        <v>38790</v>
      </c>
      <c r="AO150" s="10">
        <v>129724</v>
      </c>
      <c r="AP150" s="10">
        <v>13372.56</v>
      </c>
      <c r="AQ150" s="10">
        <v>0</v>
      </c>
      <c r="AR150" s="10">
        <v>74650</v>
      </c>
      <c r="AS150" s="10">
        <f t="shared" si="55"/>
        <v>332521.93999999994</v>
      </c>
      <c r="AT150" s="10">
        <v>4115366.25</v>
      </c>
      <c r="AU150" s="12">
        <v>18000</v>
      </c>
      <c r="AV150" s="12">
        <v>6035.6990681433463</v>
      </c>
      <c r="AW150" s="12">
        <v>8202.5</v>
      </c>
      <c r="AX150" s="12">
        <f t="shared" si="76"/>
        <v>32238.199068143345</v>
      </c>
      <c r="AY150" s="12">
        <v>20116.95</v>
      </c>
      <c r="AZ150" s="12">
        <v>7231.4789726789277</v>
      </c>
      <c r="BA150" s="12">
        <v>11686.5</v>
      </c>
      <c r="BB150" s="12">
        <f t="shared" si="77"/>
        <v>39034.928972678928</v>
      </c>
      <c r="BC150" s="12">
        <v>2116.9500000000007</v>
      </c>
      <c r="BD150" s="12">
        <v>1195.7799045355814</v>
      </c>
      <c r="BE150" s="12">
        <v>3484</v>
      </c>
      <c r="BF150" s="12">
        <v>6796.7299045355821</v>
      </c>
    </row>
    <row r="151" spans="1:58" x14ac:dyDescent="0.25">
      <c r="A151" s="7">
        <v>477</v>
      </c>
      <c r="B151" s="7">
        <v>1</v>
      </c>
      <c r="C151" s="7" t="s">
        <v>152</v>
      </c>
      <c r="D151" s="4">
        <v>4</v>
      </c>
      <c r="E151" s="10">
        <v>3210</v>
      </c>
      <c r="F151" s="8">
        <f t="shared" si="56"/>
        <v>93888.5</v>
      </c>
      <c r="G151" s="8">
        <f t="shared" si="57"/>
        <v>0</v>
      </c>
      <c r="H151" s="8">
        <f t="shared" si="58"/>
        <v>0</v>
      </c>
      <c r="I151" s="8">
        <f t="shared" si="59"/>
        <v>0</v>
      </c>
      <c r="J151" s="8">
        <f t="shared" si="60"/>
        <v>93888.5</v>
      </c>
      <c r="K151" s="8">
        <f t="shared" si="61"/>
        <v>42020.442729149057</v>
      </c>
      <c r="L151" s="8">
        <f t="shared" si="62"/>
        <v>135908.94272914907</v>
      </c>
      <c r="M151" s="8">
        <f t="shared" si="63"/>
        <v>29.248753894080998</v>
      </c>
      <c r="N151" s="8">
        <f t="shared" si="64"/>
        <v>87765</v>
      </c>
      <c r="O151" s="8">
        <f t="shared" si="65"/>
        <v>228</v>
      </c>
      <c r="P151" s="8">
        <f t="shared" si="66"/>
        <v>1586</v>
      </c>
      <c r="Q151" s="8">
        <f t="shared" si="67"/>
        <v>4309.5</v>
      </c>
      <c r="R151" s="8">
        <f t="shared" si="68"/>
        <v>0</v>
      </c>
      <c r="S151" s="8">
        <f t="shared" si="69"/>
        <v>0</v>
      </c>
      <c r="T151" s="8">
        <f t="shared" si="70"/>
        <v>0</v>
      </c>
      <c r="U151" s="8">
        <f t="shared" si="71"/>
        <v>0</v>
      </c>
      <c r="V151" s="8">
        <f t="shared" si="72"/>
        <v>0</v>
      </c>
      <c r="W151" s="8">
        <f t="shared" si="73"/>
        <v>0</v>
      </c>
      <c r="X151" s="8">
        <f t="shared" si="74"/>
        <v>93888.5</v>
      </c>
      <c r="Y151" s="10">
        <v>20382544</v>
      </c>
      <c r="Z151" s="10">
        <v>52997</v>
      </c>
      <c r="AA151" s="10">
        <v>368349</v>
      </c>
      <c r="AB151" s="10">
        <v>856211</v>
      </c>
      <c r="AC151" s="10">
        <v>0</v>
      </c>
      <c r="AD151" s="10">
        <v>0</v>
      </c>
      <c r="AE151" s="10">
        <v>853060</v>
      </c>
      <c r="AF151" s="10">
        <v>14355</v>
      </c>
      <c r="AG151" s="10">
        <v>505526</v>
      </c>
      <c r="AH151" s="10">
        <f t="shared" si="75"/>
        <v>2748810.5399999991</v>
      </c>
      <c r="AI151" s="10">
        <v>25781852.539999999</v>
      </c>
      <c r="AJ151" s="10">
        <v>20470309</v>
      </c>
      <c r="AK151" s="10">
        <v>53225</v>
      </c>
      <c r="AL151" s="10">
        <v>369935</v>
      </c>
      <c r="AM151" s="10">
        <v>860520.5</v>
      </c>
      <c r="AN151" s="10">
        <v>0</v>
      </c>
      <c r="AO151" s="10">
        <v>0</v>
      </c>
      <c r="AP151" s="10">
        <v>853060</v>
      </c>
      <c r="AQ151" s="10">
        <v>14355</v>
      </c>
      <c r="AR151" s="10">
        <v>505526</v>
      </c>
      <c r="AS151" s="10">
        <f t="shared" si="55"/>
        <v>2748810.5399999991</v>
      </c>
      <c r="AT151" s="10">
        <v>25875741.039999999</v>
      </c>
      <c r="AU151" s="12">
        <v>175800</v>
      </c>
      <c r="AV151" s="12">
        <v>36665.533287879836</v>
      </c>
      <c r="AW151" s="12">
        <v>51405.375</v>
      </c>
      <c r="AX151" s="12">
        <f t="shared" si="76"/>
        <v>263870.90828787984</v>
      </c>
      <c r="AY151" s="12">
        <v>196475.54500000001</v>
      </c>
      <c r="AZ151" s="12">
        <v>43929.631017028893</v>
      </c>
      <c r="BA151" s="12">
        <v>65486.175000000003</v>
      </c>
      <c r="BB151" s="12">
        <f t="shared" si="77"/>
        <v>305891.35101702891</v>
      </c>
      <c r="BC151" s="12">
        <v>20675.545000000013</v>
      </c>
      <c r="BD151" s="12">
        <v>7264.0977291490562</v>
      </c>
      <c r="BE151" s="12">
        <v>14080.799999999988</v>
      </c>
      <c r="BF151" s="12">
        <v>42020.442729149057</v>
      </c>
    </row>
    <row r="152" spans="1:58" x14ac:dyDescent="0.25">
      <c r="A152" s="7">
        <v>480</v>
      </c>
      <c r="B152" s="7">
        <v>1</v>
      </c>
      <c r="C152" s="7" t="s">
        <v>153</v>
      </c>
      <c r="D152" s="4">
        <v>6</v>
      </c>
      <c r="E152" s="10">
        <v>611</v>
      </c>
      <c r="F152" s="8">
        <f t="shared" si="56"/>
        <v>22900.25</v>
      </c>
      <c r="G152" s="8">
        <f t="shared" si="57"/>
        <v>23830.82</v>
      </c>
      <c r="H152" s="8">
        <f t="shared" si="58"/>
        <v>0</v>
      </c>
      <c r="I152" s="8">
        <f t="shared" si="59"/>
        <v>10.000000000298314</v>
      </c>
      <c r="J152" s="8">
        <f t="shared" si="60"/>
        <v>46741.070000000298</v>
      </c>
      <c r="K152" s="8">
        <f t="shared" si="61"/>
        <v>12125.681995892995</v>
      </c>
      <c r="L152" s="8">
        <f t="shared" si="62"/>
        <v>58866.751995893297</v>
      </c>
      <c r="M152" s="8">
        <f t="shared" si="63"/>
        <v>76.499296235679708</v>
      </c>
      <c r="N152" s="8">
        <f t="shared" si="64"/>
        <v>16132</v>
      </c>
      <c r="O152" s="8">
        <f t="shared" si="65"/>
        <v>0</v>
      </c>
      <c r="P152" s="8">
        <f t="shared" si="66"/>
        <v>807</v>
      </c>
      <c r="Q152" s="8">
        <f t="shared" si="67"/>
        <v>5059.25</v>
      </c>
      <c r="R152" s="8">
        <f t="shared" si="68"/>
        <v>902</v>
      </c>
      <c r="S152" s="8">
        <f t="shared" si="69"/>
        <v>0</v>
      </c>
      <c r="T152" s="8">
        <f t="shared" si="70"/>
        <v>23830.82</v>
      </c>
      <c r="U152" s="8">
        <f t="shared" si="71"/>
        <v>0</v>
      </c>
      <c r="V152" s="8">
        <f t="shared" si="72"/>
        <v>10</v>
      </c>
      <c r="W152" s="8">
        <f t="shared" si="73"/>
        <v>0</v>
      </c>
      <c r="X152" s="8">
        <f t="shared" si="74"/>
        <v>46741.070000000298</v>
      </c>
      <c r="Y152" s="10">
        <v>3746612</v>
      </c>
      <c r="Z152" s="10">
        <v>0</v>
      </c>
      <c r="AA152" s="10">
        <v>187291</v>
      </c>
      <c r="AB152" s="10">
        <v>1005172</v>
      </c>
      <c r="AC152" s="10">
        <v>190399</v>
      </c>
      <c r="AD152" s="10">
        <v>115076</v>
      </c>
      <c r="AE152" s="10">
        <v>0</v>
      </c>
      <c r="AF152" s="10">
        <v>0</v>
      </c>
      <c r="AG152" s="10">
        <v>78951</v>
      </c>
      <c r="AH152" s="10">
        <f t="shared" si="75"/>
        <v>755723.00999999978</v>
      </c>
      <c r="AI152" s="10">
        <v>6079224.0099999998</v>
      </c>
      <c r="AJ152" s="10">
        <v>3762744</v>
      </c>
      <c r="AK152" s="10">
        <v>0</v>
      </c>
      <c r="AL152" s="10">
        <v>188098</v>
      </c>
      <c r="AM152" s="10">
        <v>1010231.25</v>
      </c>
      <c r="AN152" s="10">
        <v>191301</v>
      </c>
      <c r="AO152" s="10">
        <v>115076</v>
      </c>
      <c r="AP152" s="10">
        <v>23830.82</v>
      </c>
      <c r="AQ152" s="10">
        <v>0</v>
      </c>
      <c r="AR152" s="10">
        <v>78961</v>
      </c>
      <c r="AS152" s="10">
        <f t="shared" si="55"/>
        <v>755723.00999999978</v>
      </c>
      <c r="AT152" s="10">
        <v>6125965.0800000001</v>
      </c>
      <c r="AU152" s="12">
        <v>48000</v>
      </c>
      <c r="AV152" s="12">
        <v>13164.293874269937</v>
      </c>
      <c r="AW152" s="12">
        <v>8593.125</v>
      </c>
      <c r="AX152" s="12">
        <f t="shared" si="76"/>
        <v>69757.418874269933</v>
      </c>
      <c r="AY152" s="12">
        <v>53645.2</v>
      </c>
      <c r="AZ152" s="12">
        <v>15772.375870162941</v>
      </c>
      <c r="BA152" s="12">
        <v>12465.525</v>
      </c>
      <c r="BB152" s="12">
        <f t="shared" si="77"/>
        <v>81883.100870162933</v>
      </c>
      <c r="BC152" s="12">
        <v>5645.1999999999971</v>
      </c>
      <c r="BD152" s="12">
        <v>2608.0819958930042</v>
      </c>
      <c r="BE152" s="12">
        <v>3872.3999999999942</v>
      </c>
      <c r="BF152" s="12">
        <v>12125.681995892995</v>
      </c>
    </row>
    <row r="153" spans="1:58" x14ac:dyDescent="0.25">
      <c r="A153" s="7">
        <v>482</v>
      </c>
      <c r="B153" s="7">
        <v>1</v>
      </c>
      <c r="C153" s="7" t="s">
        <v>154</v>
      </c>
      <c r="D153" s="4">
        <v>4</v>
      </c>
      <c r="E153" s="10">
        <v>2468</v>
      </c>
      <c r="F153" s="8">
        <f t="shared" si="56"/>
        <v>77431.75</v>
      </c>
      <c r="G153" s="8">
        <f t="shared" si="57"/>
        <v>58557.799999999996</v>
      </c>
      <c r="H153" s="8">
        <f t="shared" si="58"/>
        <v>0</v>
      </c>
      <c r="I153" s="8">
        <f t="shared" si="59"/>
        <v>37.000000000749424</v>
      </c>
      <c r="J153" s="8">
        <f t="shared" si="60"/>
        <v>136026.55000000075</v>
      </c>
      <c r="K153" s="8">
        <f t="shared" si="61"/>
        <v>38189.319193195894</v>
      </c>
      <c r="L153" s="8">
        <f t="shared" si="62"/>
        <v>174215.86919319665</v>
      </c>
      <c r="M153" s="8">
        <f t="shared" si="63"/>
        <v>55.116106158833368</v>
      </c>
      <c r="N153" s="8">
        <f t="shared" si="64"/>
        <v>67595</v>
      </c>
      <c r="O153" s="8">
        <f t="shared" si="65"/>
        <v>144</v>
      </c>
      <c r="P153" s="8">
        <f t="shared" si="66"/>
        <v>1675</v>
      </c>
      <c r="Q153" s="8">
        <f t="shared" si="67"/>
        <v>8017.75</v>
      </c>
      <c r="R153" s="8">
        <f t="shared" si="68"/>
        <v>0</v>
      </c>
      <c r="S153" s="8">
        <f t="shared" si="69"/>
        <v>0</v>
      </c>
      <c r="T153" s="8">
        <f t="shared" si="70"/>
        <v>58557.799999999996</v>
      </c>
      <c r="U153" s="8">
        <f t="shared" si="71"/>
        <v>0</v>
      </c>
      <c r="V153" s="8">
        <f t="shared" si="72"/>
        <v>37</v>
      </c>
      <c r="W153" s="8">
        <f t="shared" si="73"/>
        <v>0</v>
      </c>
      <c r="X153" s="8">
        <f t="shared" si="74"/>
        <v>136026.55000000075</v>
      </c>
      <c r="Y153" s="10">
        <v>15698263</v>
      </c>
      <c r="Z153" s="10">
        <v>33489</v>
      </c>
      <c r="AA153" s="10">
        <v>388822</v>
      </c>
      <c r="AB153" s="10">
        <v>1592967</v>
      </c>
      <c r="AC153" s="10">
        <v>0</v>
      </c>
      <c r="AD153" s="10">
        <v>0</v>
      </c>
      <c r="AE153" s="10">
        <v>0</v>
      </c>
      <c r="AF153" s="10">
        <v>14441</v>
      </c>
      <c r="AG153" s="10">
        <v>335676</v>
      </c>
      <c r="AH153" s="10">
        <f t="shared" si="75"/>
        <v>3387457.6799999997</v>
      </c>
      <c r="AI153" s="10">
        <v>21451115.68</v>
      </c>
      <c r="AJ153" s="10">
        <v>15765858</v>
      </c>
      <c r="AK153" s="10">
        <v>33633</v>
      </c>
      <c r="AL153" s="10">
        <v>390497</v>
      </c>
      <c r="AM153" s="10">
        <v>1600984.75</v>
      </c>
      <c r="AN153" s="10">
        <v>0</v>
      </c>
      <c r="AO153" s="10">
        <v>0</v>
      </c>
      <c r="AP153" s="10">
        <v>58557.799999999996</v>
      </c>
      <c r="AQ153" s="10">
        <v>14441</v>
      </c>
      <c r="AR153" s="10">
        <v>335713</v>
      </c>
      <c r="AS153" s="10">
        <f t="shared" si="55"/>
        <v>3387457.6799999997</v>
      </c>
      <c r="AT153" s="10">
        <v>21587142.23</v>
      </c>
      <c r="AU153" s="12">
        <v>133200</v>
      </c>
      <c r="AV153" s="12">
        <v>34518.283702656256</v>
      </c>
      <c r="AW153" s="12">
        <v>33797.125</v>
      </c>
      <c r="AX153" s="12">
        <f t="shared" si="76"/>
        <v>201515.40870265625</v>
      </c>
      <c r="AY153" s="12">
        <v>148865.43</v>
      </c>
      <c r="AZ153" s="12">
        <v>41356.972895852145</v>
      </c>
      <c r="BA153" s="12">
        <v>49482.324999999997</v>
      </c>
      <c r="BB153" s="12">
        <f t="shared" si="77"/>
        <v>239704.72789585212</v>
      </c>
      <c r="BC153" s="12">
        <v>15665.429999999993</v>
      </c>
      <c r="BD153" s="12">
        <v>6838.6891931958889</v>
      </c>
      <c r="BE153" s="12">
        <v>15685.200000000012</v>
      </c>
      <c r="BF153" s="12">
        <v>38189.319193195894</v>
      </c>
    </row>
    <row r="154" spans="1:58" x14ac:dyDescent="0.25">
      <c r="A154" s="7">
        <v>484</v>
      </c>
      <c r="B154" s="7">
        <v>1</v>
      </c>
      <c r="C154" s="7" t="s">
        <v>155</v>
      </c>
      <c r="D154" s="4">
        <v>5</v>
      </c>
      <c r="E154" s="10">
        <v>1121</v>
      </c>
      <c r="F154" s="8">
        <f t="shared" si="56"/>
        <v>34394.25</v>
      </c>
      <c r="G154" s="8">
        <f t="shared" si="57"/>
        <v>25615.64</v>
      </c>
      <c r="H154" s="8">
        <f t="shared" si="58"/>
        <v>14863</v>
      </c>
      <c r="I154" s="8">
        <f t="shared" si="59"/>
        <v>7.0000000005966285</v>
      </c>
      <c r="J154" s="8">
        <f t="shared" si="60"/>
        <v>74879.890000000596</v>
      </c>
      <c r="K154" s="8">
        <f t="shared" si="61"/>
        <v>16766.016072295119</v>
      </c>
      <c r="L154" s="8">
        <f t="shared" si="62"/>
        <v>91645.906072295707</v>
      </c>
      <c r="M154" s="8">
        <f t="shared" si="63"/>
        <v>66.797404103479565</v>
      </c>
      <c r="N154" s="8">
        <f t="shared" si="64"/>
        <v>30950</v>
      </c>
      <c r="O154" s="8">
        <f t="shared" si="65"/>
        <v>0</v>
      </c>
      <c r="P154" s="8">
        <f t="shared" si="66"/>
        <v>1030</v>
      </c>
      <c r="Q154" s="8">
        <f t="shared" si="67"/>
        <v>2414.25</v>
      </c>
      <c r="R154" s="8">
        <f t="shared" si="68"/>
        <v>0</v>
      </c>
      <c r="S154" s="8">
        <f t="shared" si="69"/>
        <v>0</v>
      </c>
      <c r="T154" s="8">
        <f t="shared" si="70"/>
        <v>25615.64</v>
      </c>
      <c r="U154" s="8">
        <f t="shared" si="71"/>
        <v>14863</v>
      </c>
      <c r="V154" s="8">
        <f t="shared" si="72"/>
        <v>7</v>
      </c>
      <c r="W154" s="8">
        <f t="shared" si="73"/>
        <v>9.3132257461547852E-10</v>
      </c>
      <c r="X154" s="8">
        <f t="shared" si="74"/>
        <v>74879.890000000596</v>
      </c>
      <c r="Y154" s="10">
        <v>7187828</v>
      </c>
      <c r="Z154" s="10">
        <v>0</v>
      </c>
      <c r="AA154" s="10">
        <v>239224</v>
      </c>
      <c r="AB154" s="10">
        <v>479663</v>
      </c>
      <c r="AC154" s="10">
        <v>0</v>
      </c>
      <c r="AD154" s="10">
        <v>0</v>
      </c>
      <c r="AE154" s="10">
        <v>0</v>
      </c>
      <c r="AF154" s="10">
        <v>0</v>
      </c>
      <c r="AG154" s="10">
        <v>169054</v>
      </c>
      <c r="AH154" s="10">
        <f t="shared" si="75"/>
        <v>898595.26999999955</v>
      </c>
      <c r="AI154" s="10">
        <v>8974364.2699999996</v>
      </c>
      <c r="AJ154" s="10">
        <v>7218778</v>
      </c>
      <c r="AK154" s="10">
        <v>0</v>
      </c>
      <c r="AL154" s="10">
        <v>240254</v>
      </c>
      <c r="AM154" s="10">
        <v>482077.25</v>
      </c>
      <c r="AN154" s="10">
        <v>0</v>
      </c>
      <c r="AO154" s="10">
        <v>0</v>
      </c>
      <c r="AP154" s="10">
        <v>25615.64</v>
      </c>
      <c r="AQ154" s="10">
        <v>14863</v>
      </c>
      <c r="AR154" s="10">
        <v>169061</v>
      </c>
      <c r="AS154" s="10">
        <f t="shared" si="55"/>
        <v>898595.27000000048</v>
      </c>
      <c r="AT154" s="10">
        <v>9049244.1600000001</v>
      </c>
      <c r="AU154" s="12">
        <v>39600</v>
      </c>
      <c r="AV154" s="12">
        <v>12709.231849909678</v>
      </c>
      <c r="AW154" s="12">
        <v>19322</v>
      </c>
      <c r="AX154" s="12">
        <f t="shared" si="76"/>
        <v>71631.231849909673</v>
      </c>
      <c r="AY154" s="12">
        <v>44257.29</v>
      </c>
      <c r="AZ154" s="12">
        <v>15227.157922204809</v>
      </c>
      <c r="BA154" s="12">
        <v>28912.800000000003</v>
      </c>
      <c r="BB154" s="12">
        <f t="shared" si="77"/>
        <v>88397.247922204813</v>
      </c>
      <c r="BC154" s="12">
        <v>4657.2900000000009</v>
      </c>
      <c r="BD154" s="12">
        <v>2517.9260722951312</v>
      </c>
      <c r="BE154" s="12">
        <v>9590.7999999999884</v>
      </c>
      <c r="BF154" s="12">
        <v>16766.016072295119</v>
      </c>
    </row>
    <row r="155" spans="1:58" x14ac:dyDescent="0.25">
      <c r="A155" s="7">
        <v>485</v>
      </c>
      <c r="B155" s="7">
        <v>1</v>
      </c>
      <c r="C155" s="7" t="s">
        <v>156</v>
      </c>
      <c r="D155" s="4">
        <v>6</v>
      </c>
      <c r="E155" s="10">
        <v>876</v>
      </c>
      <c r="F155" s="8">
        <f t="shared" si="56"/>
        <v>24801</v>
      </c>
      <c r="G155" s="8">
        <f t="shared" si="57"/>
        <v>19355.18</v>
      </c>
      <c r="H155" s="8">
        <f t="shared" si="58"/>
        <v>0</v>
      </c>
      <c r="I155" s="8">
        <f t="shared" si="59"/>
        <v>-2.9831426218152046E-10</v>
      </c>
      <c r="J155" s="8">
        <f t="shared" si="60"/>
        <v>44156.179999999702</v>
      </c>
      <c r="K155" s="8">
        <f t="shared" si="61"/>
        <v>11982.163768684994</v>
      </c>
      <c r="L155" s="8">
        <f t="shared" si="62"/>
        <v>56138.343768684696</v>
      </c>
      <c r="M155" s="8">
        <f t="shared" si="63"/>
        <v>50.40659817351564</v>
      </c>
      <c r="N155" s="8">
        <f t="shared" si="64"/>
        <v>23081</v>
      </c>
      <c r="O155" s="8">
        <f t="shared" si="65"/>
        <v>0</v>
      </c>
      <c r="P155" s="8">
        <f t="shared" si="66"/>
        <v>605</v>
      </c>
      <c r="Q155" s="8">
        <f t="shared" si="67"/>
        <v>1115</v>
      </c>
      <c r="R155" s="8">
        <f t="shared" si="68"/>
        <v>0</v>
      </c>
      <c r="S155" s="8">
        <f t="shared" si="69"/>
        <v>0</v>
      </c>
      <c r="T155" s="8">
        <f t="shared" si="70"/>
        <v>19355.18</v>
      </c>
      <c r="U155" s="8">
        <f t="shared" si="71"/>
        <v>0</v>
      </c>
      <c r="V155" s="8">
        <f t="shared" si="72"/>
        <v>0</v>
      </c>
      <c r="W155" s="8">
        <f t="shared" si="73"/>
        <v>0</v>
      </c>
      <c r="X155" s="8">
        <f t="shared" si="74"/>
        <v>44156.179999999702</v>
      </c>
      <c r="Y155" s="10">
        <v>5360390</v>
      </c>
      <c r="Z155" s="10">
        <v>0</v>
      </c>
      <c r="AA155" s="10">
        <v>140429</v>
      </c>
      <c r="AB155" s="10">
        <v>221528</v>
      </c>
      <c r="AC155" s="10">
        <v>0</v>
      </c>
      <c r="AD155" s="10">
        <v>19227</v>
      </c>
      <c r="AE155" s="10">
        <v>0</v>
      </c>
      <c r="AF155" s="10">
        <v>0</v>
      </c>
      <c r="AG155" s="10">
        <v>132949</v>
      </c>
      <c r="AH155" s="10">
        <f t="shared" si="75"/>
        <v>539641.87999999989</v>
      </c>
      <c r="AI155" s="10">
        <v>6414164.8799999999</v>
      </c>
      <c r="AJ155" s="10">
        <v>5383471</v>
      </c>
      <c r="AK155" s="10">
        <v>0</v>
      </c>
      <c r="AL155" s="10">
        <v>141034</v>
      </c>
      <c r="AM155" s="10">
        <v>222643</v>
      </c>
      <c r="AN155" s="10">
        <v>0</v>
      </c>
      <c r="AO155" s="10">
        <v>19227</v>
      </c>
      <c r="AP155" s="10">
        <v>19355.18</v>
      </c>
      <c r="AQ155" s="10">
        <v>0</v>
      </c>
      <c r="AR155" s="10">
        <v>132949</v>
      </c>
      <c r="AS155" s="10">
        <f t="shared" si="55"/>
        <v>539641.87999999989</v>
      </c>
      <c r="AT155" s="10">
        <v>6458321.0599999996</v>
      </c>
      <c r="AU155" s="12">
        <v>33000</v>
      </c>
      <c r="AV155" s="12">
        <v>8511.5425599375048</v>
      </c>
      <c r="AW155" s="12">
        <v>15367.75</v>
      </c>
      <c r="AX155" s="12">
        <f t="shared" si="76"/>
        <v>56879.292559937501</v>
      </c>
      <c r="AY155" s="12">
        <v>36881.074999999997</v>
      </c>
      <c r="AZ155" s="12">
        <v>10197.831328622498</v>
      </c>
      <c r="BA155" s="12">
        <v>21782.55</v>
      </c>
      <c r="BB155" s="12">
        <f t="shared" si="77"/>
        <v>68861.456328622502</v>
      </c>
      <c r="BC155" s="12">
        <v>3881.0749999999971</v>
      </c>
      <c r="BD155" s="12">
        <v>1686.2887686849936</v>
      </c>
      <c r="BE155" s="12">
        <v>6414.8000000000029</v>
      </c>
      <c r="BF155" s="12">
        <v>11982.163768684994</v>
      </c>
    </row>
    <row r="156" spans="1:58" x14ac:dyDescent="0.25">
      <c r="A156" s="7">
        <v>486</v>
      </c>
      <c r="B156" s="7">
        <v>1</v>
      </c>
      <c r="C156" s="7" t="s">
        <v>157</v>
      </c>
      <c r="D156" s="4">
        <v>6</v>
      </c>
      <c r="E156" s="10">
        <v>328</v>
      </c>
      <c r="F156" s="8">
        <f t="shared" si="56"/>
        <v>9883.5</v>
      </c>
      <c r="G156" s="8">
        <f t="shared" si="57"/>
        <v>8739.880000000001</v>
      </c>
      <c r="H156" s="8">
        <f t="shared" si="58"/>
        <v>0</v>
      </c>
      <c r="I156" s="8">
        <f t="shared" si="59"/>
        <v>5.9999999998872227</v>
      </c>
      <c r="J156" s="8">
        <f t="shared" si="60"/>
        <v>18629.379999999888</v>
      </c>
      <c r="K156" s="8">
        <f t="shared" si="61"/>
        <v>4897.0884311894206</v>
      </c>
      <c r="L156" s="8">
        <f t="shared" si="62"/>
        <v>23526.468431189307</v>
      </c>
      <c r="M156" s="8">
        <f t="shared" si="63"/>
        <v>56.796890243902098</v>
      </c>
      <c r="N156" s="8">
        <f t="shared" si="64"/>
        <v>8895</v>
      </c>
      <c r="O156" s="8">
        <f t="shared" si="65"/>
        <v>98</v>
      </c>
      <c r="P156" s="8">
        <f t="shared" si="66"/>
        <v>313</v>
      </c>
      <c r="Q156" s="8">
        <f t="shared" si="67"/>
        <v>577.5</v>
      </c>
      <c r="R156" s="8">
        <f t="shared" si="68"/>
        <v>0</v>
      </c>
      <c r="S156" s="8">
        <f t="shared" si="69"/>
        <v>0</v>
      </c>
      <c r="T156" s="8">
        <f t="shared" si="70"/>
        <v>8739.880000000001</v>
      </c>
      <c r="U156" s="8">
        <f t="shared" si="71"/>
        <v>0</v>
      </c>
      <c r="V156" s="8">
        <f t="shared" si="72"/>
        <v>6</v>
      </c>
      <c r="W156" s="8">
        <f t="shared" si="73"/>
        <v>0</v>
      </c>
      <c r="X156" s="8">
        <f t="shared" si="74"/>
        <v>18629.379999999888</v>
      </c>
      <c r="Y156" s="10">
        <v>2065775</v>
      </c>
      <c r="Z156" s="10">
        <v>22760</v>
      </c>
      <c r="AA156" s="10">
        <v>72782</v>
      </c>
      <c r="AB156" s="10">
        <v>114738</v>
      </c>
      <c r="AC156" s="10">
        <v>0</v>
      </c>
      <c r="AD156" s="10">
        <v>121819</v>
      </c>
      <c r="AE156" s="10">
        <v>0</v>
      </c>
      <c r="AF156" s="10">
        <v>294786</v>
      </c>
      <c r="AG156" s="10">
        <v>42714</v>
      </c>
      <c r="AH156" s="10">
        <f t="shared" si="75"/>
        <v>386114.7200000002</v>
      </c>
      <c r="AI156" s="10">
        <v>3121488.72</v>
      </c>
      <c r="AJ156" s="10">
        <v>2074670</v>
      </c>
      <c r="AK156" s="10">
        <v>22858</v>
      </c>
      <c r="AL156" s="10">
        <v>73095</v>
      </c>
      <c r="AM156" s="10">
        <v>115315.5</v>
      </c>
      <c r="AN156" s="10">
        <v>0</v>
      </c>
      <c r="AO156" s="10">
        <v>121819</v>
      </c>
      <c r="AP156" s="10">
        <v>8739.880000000001</v>
      </c>
      <c r="AQ156" s="10">
        <v>294786</v>
      </c>
      <c r="AR156" s="10">
        <v>42720</v>
      </c>
      <c r="AS156" s="10">
        <f t="shared" si="55"/>
        <v>386114.7200000002</v>
      </c>
      <c r="AT156" s="10">
        <v>3140118.1</v>
      </c>
      <c r="AU156" s="12">
        <v>18000</v>
      </c>
      <c r="AV156" s="12">
        <v>3505.6827314286029</v>
      </c>
      <c r="AW156" s="12">
        <v>5593.25</v>
      </c>
      <c r="AX156" s="12">
        <f t="shared" si="76"/>
        <v>27098.932731428602</v>
      </c>
      <c r="AY156" s="12">
        <v>20116.95</v>
      </c>
      <c r="AZ156" s="12">
        <v>4200.2211626180242</v>
      </c>
      <c r="BA156" s="12">
        <v>7678.85</v>
      </c>
      <c r="BB156" s="12">
        <f t="shared" si="77"/>
        <v>31996.021162618024</v>
      </c>
      <c r="BC156" s="12">
        <v>2116.9500000000007</v>
      </c>
      <c r="BD156" s="12">
        <v>694.53843118942132</v>
      </c>
      <c r="BE156" s="12">
        <v>2085.5999999999985</v>
      </c>
      <c r="BF156" s="12">
        <v>4897.0884311894206</v>
      </c>
    </row>
    <row r="157" spans="1:58" x14ac:dyDescent="0.25">
      <c r="A157" s="7">
        <v>487</v>
      </c>
      <c r="B157" s="7">
        <v>1</v>
      </c>
      <c r="C157" s="7" t="s">
        <v>158</v>
      </c>
      <c r="D157" s="4">
        <v>6</v>
      </c>
      <c r="E157" s="10">
        <v>355</v>
      </c>
      <c r="F157" s="8">
        <f t="shared" si="56"/>
        <v>10331.5</v>
      </c>
      <c r="G157" s="8">
        <f t="shared" si="57"/>
        <v>8839.5399999999991</v>
      </c>
      <c r="H157" s="8">
        <f t="shared" si="58"/>
        <v>0</v>
      </c>
      <c r="I157" s="8">
        <f t="shared" si="59"/>
        <v>7.0000000000381988</v>
      </c>
      <c r="J157" s="8">
        <f t="shared" si="60"/>
        <v>19178.040000000037</v>
      </c>
      <c r="K157" s="8">
        <f t="shared" si="61"/>
        <v>6277.6581936825323</v>
      </c>
      <c r="L157" s="8">
        <f t="shared" si="62"/>
        <v>25455.698193682569</v>
      </c>
      <c r="M157" s="8">
        <f t="shared" si="63"/>
        <v>54.022647887324048</v>
      </c>
      <c r="N157" s="8">
        <f t="shared" si="64"/>
        <v>9407</v>
      </c>
      <c r="O157" s="8">
        <f t="shared" si="65"/>
        <v>0</v>
      </c>
      <c r="P157" s="8">
        <f t="shared" si="66"/>
        <v>301</v>
      </c>
      <c r="Q157" s="8">
        <f t="shared" si="67"/>
        <v>623.5</v>
      </c>
      <c r="R157" s="8">
        <f t="shared" si="68"/>
        <v>0</v>
      </c>
      <c r="S157" s="8">
        <f t="shared" si="69"/>
        <v>0</v>
      </c>
      <c r="T157" s="8">
        <f t="shared" si="70"/>
        <v>8839.5399999999991</v>
      </c>
      <c r="U157" s="8">
        <f t="shared" si="71"/>
        <v>0</v>
      </c>
      <c r="V157" s="8">
        <f t="shared" si="72"/>
        <v>7</v>
      </c>
      <c r="W157" s="8">
        <f t="shared" si="73"/>
        <v>0</v>
      </c>
      <c r="X157" s="8">
        <f t="shared" si="74"/>
        <v>19178.040000000037</v>
      </c>
      <c r="Y157" s="10">
        <v>2184798</v>
      </c>
      <c r="Z157" s="10">
        <v>0</v>
      </c>
      <c r="AA157" s="10">
        <v>69825</v>
      </c>
      <c r="AB157" s="10">
        <v>123877</v>
      </c>
      <c r="AC157" s="10">
        <v>0</v>
      </c>
      <c r="AD157" s="10">
        <v>124466</v>
      </c>
      <c r="AE157" s="10">
        <v>0</v>
      </c>
      <c r="AF157" s="10">
        <v>0</v>
      </c>
      <c r="AG157" s="10">
        <v>44677</v>
      </c>
      <c r="AH157" s="10">
        <f t="shared" si="75"/>
        <v>422693.56000000006</v>
      </c>
      <c r="AI157" s="10">
        <v>2970336.56</v>
      </c>
      <c r="AJ157" s="10">
        <v>2194205</v>
      </c>
      <c r="AK157" s="10">
        <v>0</v>
      </c>
      <c r="AL157" s="10">
        <v>70126</v>
      </c>
      <c r="AM157" s="10">
        <v>124500.5</v>
      </c>
      <c r="AN157" s="10">
        <v>0</v>
      </c>
      <c r="AO157" s="10">
        <v>124466</v>
      </c>
      <c r="AP157" s="10">
        <v>8839.5399999999991</v>
      </c>
      <c r="AQ157" s="10">
        <v>0</v>
      </c>
      <c r="AR157" s="10">
        <v>44684</v>
      </c>
      <c r="AS157" s="10">
        <f t="shared" si="55"/>
        <v>422693.56000000006</v>
      </c>
      <c r="AT157" s="10">
        <v>2989514.6</v>
      </c>
      <c r="AU157" s="12">
        <v>18000</v>
      </c>
      <c r="AV157" s="12">
        <v>3557.0146076125757</v>
      </c>
      <c r="AW157" s="12">
        <v>6598.5</v>
      </c>
      <c r="AX157" s="12">
        <f t="shared" si="76"/>
        <v>28155.514607612575</v>
      </c>
      <c r="AY157" s="12">
        <v>20116.95</v>
      </c>
      <c r="AZ157" s="12">
        <v>4261.7228012951073</v>
      </c>
      <c r="BA157" s="12">
        <v>10054.5</v>
      </c>
      <c r="BB157" s="12">
        <f t="shared" si="77"/>
        <v>34433.172801295106</v>
      </c>
      <c r="BC157" s="12">
        <v>2116.9500000000007</v>
      </c>
      <c r="BD157" s="12">
        <v>704.7081936825316</v>
      </c>
      <c r="BE157" s="12">
        <v>3456</v>
      </c>
      <c r="BF157" s="12">
        <v>6277.6581936825323</v>
      </c>
    </row>
    <row r="158" spans="1:58" x14ac:dyDescent="0.25">
      <c r="A158" s="7">
        <v>492</v>
      </c>
      <c r="B158" s="7">
        <v>1</v>
      </c>
      <c r="C158" s="7" t="s">
        <v>159</v>
      </c>
      <c r="D158" s="4">
        <v>4</v>
      </c>
      <c r="E158" s="10">
        <v>4667</v>
      </c>
      <c r="F158" s="8">
        <f t="shared" si="56"/>
        <v>153428.5</v>
      </c>
      <c r="G158" s="8">
        <f t="shared" si="57"/>
        <v>113265.1</v>
      </c>
      <c r="H158" s="8">
        <f t="shared" si="58"/>
        <v>56010</v>
      </c>
      <c r="I158" s="8">
        <f t="shared" si="59"/>
        <v>9.0000000014842954</v>
      </c>
      <c r="J158" s="8">
        <f t="shared" si="60"/>
        <v>322712.60000000149</v>
      </c>
      <c r="K158" s="8">
        <f t="shared" si="61"/>
        <v>66429.941408200422</v>
      </c>
      <c r="L158" s="8">
        <f t="shared" si="62"/>
        <v>389142.54140820191</v>
      </c>
      <c r="M158" s="8">
        <f t="shared" si="63"/>
        <v>69.147760874223593</v>
      </c>
      <c r="N158" s="8">
        <f t="shared" si="64"/>
        <v>126905</v>
      </c>
      <c r="O158" s="8">
        <f t="shared" si="65"/>
        <v>0</v>
      </c>
      <c r="P158" s="8">
        <f t="shared" si="66"/>
        <v>1468</v>
      </c>
      <c r="Q158" s="8">
        <f t="shared" si="67"/>
        <v>25055.5</v>
      </c>
      <c r="R158" s="8">
        <f t="shared" si="68"/>
        <v>0</v>
      </c>
      <c r="S158" s="8">
        <f t="shared" si="69"/>
        <v>0</v>
      </c>
      <c r="T158" s="8">
        <f t="shared" si="70"/>
        <v>113265.1</v>
      </c>
      <c r="U158" s="8">
        <f t="shared" si="71"/>
        <v>56010</v>
      </c>
      <c r="V158" s="8">
        <f t="shared" si="72"/>
        <v>41</v>
      </c>
      <c r="W158" s="8">
        <f t="shared" si="73"/>
        <v>-32</v>
      </c>
      <c r="X158" s="8">
        <f t="shared" si="74"/>
        <v>322712.60000000149</v>
      </c>
      <c r="Y158" s="10">
        <v>29472417</v>
      </c>
      <c r="Z158" s="10">
        <v>0</v>
      </c>
      <c r="AA158" s="10">
        <v>341040</v>
      </c>
      <c r="AB158" s="10">
        <v>4978027</v>
      </c>
      <c r="AC158" s="10">
        <v>0</v>
      </c>
      <c r="AD158" s="10">
        <v>0</v>
      </c>
      <c r="AE158" s="10">
        <v>0</v>
      </c>
      <c r="AF158" s="10">
        <v>505620</v>
      </c>
      <c r="AG158" s="10">
        <v>671657</v>
      </c>
      <c r="AH158" s="10">
        <f t="shared" si="75"/>
        <v>6042469.7299999967</v>
      </c>
      <c r="AI158" s="10">
        <v>42011230.729999997</v>
      </c>
      <c r="AJ158" s="10">
        <v>29599322</v>
      </c>
      <c r="AK158" s="10">
        <v>0</v>
      </c>
      <c r="AL158" s="10">
        <v>342508</v>
      </c>
      <c r="AM158" s="10">
        <v>5003082.5</v>
      </c>
      <c r="AN158" s="10">
        <v>0</v>
      </c>
      <c r="AO158" s="10">
        <v>0</v>
      </c>
      <c r="AP158" s="10">
        <v>113265.1</v>
      </c>
      <c r="AQ158" s="10">
        <v>561630</v>
      </c>
      <c r="AR158" s="10">
        <v>671698</v>
      </c>
      <c r="AS158" s="10">
        <f t="shared" si="55"/>
        <v>6042437.7299999967</v>
      </c>
      <c r="AT158" s="10">
        <v>42333943.329999998</v>
      </c>
      <c r="AU158" s="12">
        <v>221040</v>
      </c>
      <c r="AV158" s="12">
        <v>78309.920322891849</v>
      </c>
      <c r="AW158" s="12">
        <v>70894.875</v>
      </c>
      <c r="AX158" s="12">
        <f t="shared" si="76"/>
        <v>370244.79532289185</v>
      </c>
      <c r="AY158" s="12">
        <v>247036.14600000001</v>
      </c>
      <c r="AZ158" s="12">
        <v>93824.51573109231</v>
      </c>
      <c r="BA158" s="12">
        <v>95814.074999999997</v>
      </c>
      <c r="BB158" s="12">
        <f t="shared" si="77"/>
        <v>436674.73673109233</v>
      </c>
      <c r="BC158" s="12">
        <v>25996.146000000008</v>
      </c>
      <c r="BD158" s="12">
        <v>15514.595408200461</v>
      </c>
      <c r="BE158" s="12">
        <v>24919.199999999953</v>
      </c>
      <c r="BF158" s="12">
        <v>66429.941408200422</v>
      </c>
    </row>
    <row r="159" spans="1:58" x14ac:dyDescent="0.25">
      <c r="A159" s="7">
        <v>495</v>
      </c>
      <c r="B159" s="7">
        <v>1</v>
      </c>
      <c r="C159" s="7" t="s">
        <v>160</v>
      </c>
      <c r="D159" s="4">
        <v>6</v>
      </c>
      <c r="E159" s="10">
        <v>398</v>
      </c>
      <c r="F159" s="8">
        <f t="shared" si="56"/>
        <v>11492.5</v>
      </c>
      <c r="G159" s="8">
        <f t="shared" si="57"/>
        <v>0</v>
      </c>
      <c r="H159" s="8">
        <f t="shared" si="58"/>
        <v>0</v>
      </c>
      <c r="I159" s="8">
        <f t="shared" si="59"/>
        <v>15</v>
      </c>
      <c r="J159" s="8">
        <f t="shared" si="60"/>
        <v>11507.5</v>
      </c>
      <c r="K159" s="8">
        <f t="shared" si="61"/>
        <v>5045.2398123772</v>
      </c>
      <c r="L159" s="8">
        <f t="shared" si="62"/>
        <v>16552.7398123772</v>
      </c>
      <c r="M159" s="8">
        <f t="shared" si="63"/>
        <v>28.913316582914572</v>
      </c>
      <c r="N159" s="8">
        <f t="shared" si="64"/>
        <v>10463</v>
      </c>
      <c r="O159" s="8">
        <f t="shared" si="65"/>
        <v>0</v>
      </c>
      <c r="P159" s="8">
        <f t="shared" si="66"/>
        <v>334</v>
      </c>
      <c r="Q159" s="8">
        <f t="shared" si="67"/>
        <v>695.5</v>
      </c>
      <c r="R159" s="8">
        <f t="shared" si="68"/>
        <v>0</v>
      </c>
      <c r="S159" s="8">
        <f t="shared" si="69"/>
        <v>0</v>
      </c>
      <c r="T159" s="8">
        <f t="shared" si="70"/>
        <v>0</v>
      </c>
      <c r="U159" s="8">
        <f t="shared" si="71"/>
        <v>0</v>
      </c>
      <c r="V159" s="8">
        <f t="shared" si="72"/>
        <v>15</v>
      </c>
      <c r="W159" s="8">
        <f t="shared" si="73"/>
        <v>0</v>
      </c>
      <c r="X159" s="8">
        <f t="shared" si="74"/>
        <v>11507.5</v>
      </c>
      <c r="Y159" s="10">
        <v>2429811</v>
      </c>
      <c r="Z159" s="10">
        <v>0</v>
      </c>
      <c r="AA159" s="10">
        <v>77544</v>
      </c>
      <c r="AB159" s="10">
        <v>138182</v>
      </c>
      <c r="AC159" s="10">
        <v>0</v>
      </c>
      <c r="AD159" s="10">
        <v>128417</v>
      </c>
      <c r="AE159" s="10">
        <v>106600</v>
      </c>
      <c r="AF159" s="10">
        <v>0</v>
      </c>
      <c r="AG159" s="10">
        <v>38924</v>
      </c>
      <c r="AH159" s="10">
        <f t="shared" si="75"/>
        <v>691816.83000000007</v>
      </c>
      <c r="AI159" s="10">
        <v>3611294.83</v>
      </c>
      <c r="AJ159" s="10">
        <v>2440274</v>
      </c>
      <c r="AK159" s="10">
        <v>0</v>
      </c>
      <c r="AL159" s="10">
        <v>77878</v>
      </c>
      <c r="AM159" s="10">
        <v>138877.5</v>
      </c>
      <c r="AN159" s="10">
        <v>0</v>
      </c>
      <c r="AO159" s="10">
        <v>128417</v>
      </c>
      <c r="AP159" s="10">
        <v>106600</v>
      </c>
      <c r="AQ159" s="10">
        <v>0</v>
      </c>
      <c r="AR159" s="10">
        <v>38939</v>
      </c>
      <c r="AS159" s="10">
        <f t="shared" si="55"/>
        <v>691816.83000000007</v>
      </c>
      <c r="AT159" s="10">
        <v>3622802.33</v>
      </c>
      <c r="AU159" s="12">
        <v>18000</v>
      </c>
      <c r="AV159" s="12">
        <v>3708.3468279739191</v>
      </c>
      <c r="AW159" s="12">
        <v>6128.125</v>
      </c>
      <c r="AX159" s="12">
        <f t="shared" si="76"/>
        <v>27836.471827973917</v>
      </c>
      <c r="AY159" s="12">
        <v>20116.95</v>
      </c>
      <c r="AZ159" s="12">
        <v>4443.0366403511198</v>
      </c>
      <c r="BA159" s="12">
        <v>8321.7250000000004</v>
      </c>
      <c r="BB159" s="12">
        <f t="shared" si="77"/>
        <v>32881.711640351117</v>
      </c>
      <c r="BC159" s="12">
        <v>2116.9500000000007</v>
      </c>
      <c r="BD159" s="12">
        <v>734.68981237720072</v>
      </c>
      <c r="BE159" s="12">
        <v>2193.5999999999985</v>
      </c>
      <c r="BF159" s="12">
        <v>5045.2398123772</v>
      </c>
    </row>
    <row r="160" spans="1:58" x14ac:dyDescent="0.25">
      <c r="A160" s="7">
        <v>497</v>
      </c>
      <c r="B160" s="7">
        <v>1</v>
      </c>
      <c r="C160" s="7" t="s">
        <v>161</v>
      </c>
      <c r="D160" s="4">
        <v>6</v>
      </c>
      <c r="E160" s="10">
        <v>236</v>
      </c>
      <c r="F160" s="8">
        <f t="shared" si="56"/>
        <v>7775.25</v>
      </c>
      <c r="G160" s="8">
        <f t="shared" si="57"/>
        <v>7314.44</v>
      </c>
      <c r="H160" s="8">
        <f t="shared" si="58"/>
        <v>0</v>
      </c>
      <c r="I160" s="8">
        <f t="shared" si="59"/>
        <v>2.9999999999445208</v>
      </c>
      <c r="J160" s="8">
        <f t="shared" si="60"/>
        <v>15092.689999999944</v>
      </c>
      <c r="K160" s="8">
        <f t="shared" si="61"/>
        <v>4306.0307275570167</v>
      </c>
      <c r="L160" s="8">
        <f t="shared" si="62"/>
        <v>19398.72072755696</v>
      </c>
      <c r="M160" s="8">
        <f t="shared" si="63"/>
        <v>63.952076271186201</v>
      </c>
      <c r="N160" s="8">
        <f t="shared" si="64"/>
        <v>6293</v>
      </c>
      <c r="O160" s="8">
        <f t="shared" si="65"/>
        <v>0</v>
      </c>
      <c r="P160" s="8">
        <f t="shared" si="66"/>
        <v>243</v>
      </c>
      <c r="Q160" s="8">
        <f t="shared" si="67"/>
        <v>1239.25</v>
      </c>
      <c r="R160" s="8">
        <f t="shared" si="68"/>
        <v>0</v>
      </c>
      <c r="S160" s="8">
        <f t="shared" si="69"/>
        <v>0</v>
      </c>
      <c r="T160" s="8">
        <f t="shared" si="70"/>
        <v>7314.44</v>
      </c>
      <c r="U160" s="8">
        <f t="shared" si="71"/>
        <v>0</v>
      </c>
      <c r="V160" s="8">
        <f t="shared" si="72"/>
        <v>3</v>
      </c>
      <c r="W160" s="8">
        <f t="shared" si="73"/>
        <v>0</v>
      </c>
      <c r="X160" s="8">
        <f t="shared" si="74"/>
        <v>15092.689999999944</v>
      </c>
      <c r="Y160" s="10">
        <v>1461370</v>
      </c>
      <c r="Z160" s="10">
        <v>0</v>
      </c>
      <c r="AA160" s="10">
        <v>56339</v>
      </c>
      <c r="AB160" s="10">
        <v>246214</v>
      </c>
      <c r="AC160" s="10">
        <v>0</v>
      </c>
      <c r="AD160" s="10">
        <v>101025</v>
      </c>
      <c r="AE160" s="10">
        <v>0</v>
      </c>
      <c r="AF160" s="10">
        <v>0</v>
      </c>
      <c r="AG160" s="10">
        <v>31180</v>
      </c>
      <c r="AH160" s="10">
        <f t="shared" si="75"/>
        <v>254049.18000000017</v>
      </c>
      <c r="AI160" s="10">
        <v>2150177.1800000002</v>
      </c>
      <c r="AJ160" s="10">
        <v>1467663</v>
      </c>
      <c r="AK160" s="10">
        <v>0</v>
      </c>
      <c r="AL160" s="10">
        <v>56582</v>
      </c>
      <c r="AM160" s="10">
        <v>247453.25</v>
      </c>
      <c r="AN160" s="10">
        <v>0</v>
      </c>
      <c r="AO160" s="10">
        <v>101025</v>
      </c>
      <c r="AP160" s="10">
        <v>7314.44</v>
      </c>
      <c r="AQ160" s="10">
        <v>0</v>
      </c>
      <c r="AR160" s="10">
        <v>31183</v>
      </c>
      <c r="AS160" s="10">
        <f t="shared" si="55"/>
        <v>254049.18000000017</v>
      </c>
      <c r="AT160" s="10">
        <v>2165269.87</v>
      </c>
      <c r="AU160" s="12">
        <v>18000</v>
      </c>
      <c r="AV160" s="12">
        <v>3203.5509723440309</v>
      </c>
      <c r="AW160" s="12">
        <v>3458</v>
      </c>
      <c r="AX160" s="12">
        <f t="shared" si="76"/>
        <v>24661.55097234403</v>
      </c>
      <c r="AY160" s="12">
        <v>20116.95</v>
      </c>
      <c r="AZ160" s="12">
        <v>3838.2316999010454</v>
      </c>
      <c r="BA160" s="12">
        <v>5012.3999999999996</v>
      </c>
      <c r="BB160" s="12">
        <f t="shared" si="77"/>
        <v>28967.581699901049</v>
      </c>
      <c r="BC160" s="12">
        <v>2116.9500000000007</v>
      </c>
      <c r="BD160" s="12">
        <v>634.68072755701451</v>
      </c>
      <c r="BE160" s="12">
        <v>1554.4000000000015</v>
      </c>
      <c r="BF160" s="12">
        <v>4306.0307275570167</v>
      </c>
    </row>
    <row r="161" spans="1:58" x14ac:dyDescent="0.25">
      <c r="A161" s="7">
        <v>499</v>
      </c>
      <c r="B161" s="7">
        <v>1</v>
      </c>
      <c r="C161" s="7" t="s">
        <v>162</v>
      </c>
      <c r="D161" s="4">
        <v>6</v>
      </c>
      <c r="E161" s="10">
        <v>286</v>
      </c>
      <c r="F161" s="8">
        <f t="shared" si="56"/>
        <v>8688.25</v>
      </c>
      <c r="G161" s="8">
        <f t="shared" si="57"/>
        <v>8857.66</v>
      </c>
      <c r="H161" s="8">
        <f t="shared" si="58"/>
        <v>0</v>
      </c>
      <c r="I161" s="8">
        <f t="shared" si="59"/>
        <v>14.000000000149157</v>
      </c>
      <c r="J161" s="8">
        <f t="shared" si="60"/>
        <v>17559.910000000149</v>
      </c>
      <c r="K161" s="8">
        <f t="shared" si="61"/>
        <v>4055.0777616775504</v>
      </c>
      <c r="L161" s="8">
        <f t="shared" si="62"/>
        <v>21614.987761677701</v>
      </c>
      <c r="M161" s="8">
        <f t="shared" si="63"/>
        <v>61.398286713287234</v>
      </c>
      <c r="N161" s="8">
        <f t="shared" si="64"/>
        <v>7705</v>
      </c>
      <c r="O161" s="8">
        <f t="shared" si="65"/>
        <v>13</v>
      </c>
      <c r="P161" s="8">
        <f t="shared" si="66"/>
        <v>322</v>
      </c>
      <c r="Q161" s="8">
        <f t="shared" si="67"/>
        <v>648.25</v>
      </c>
      <c r="R161" s="8">
        <f t="shared" si="68"/>
        <v>0</v>
      </c>
      <c r="S161" s="8">
        <f t="shared" si="69"/>
        <v>0</v>
      </c>
      <c r="T161" s="8">
        <f t="shared" si="70"/>
        <v>8857.66</v>
      </c>
      <c r="U161" s="8">
        <f t="shared" si="71"/>
        <v>0</v>
      </c>
      <c r="V161" s="8">
        <f t="shared" si="72"/>
        <v>14</v>
      </c>
      <c r="W161" s="8">
        <f t="shared" si="73"/>
        <v>0</v>
      </c>
      <c r="X161" s="8">
        <f t="shared" si="74"/>
        <v>17559.910000000149</v>
      </c>
      <c r="Y161" s="10">
        <v>1789409</v>
      </c>
      <c r="Z161" s="10">
        <v>2926</v>
      </c>
      <c r="AA161" s="10">
        <v>74750</v>
      </c>
      <c r="AB161" s="10">
        <v>128794</v>
      </c>
      <c r="AC161" s="10">
        <v>0</v>
      </c>
      <c r="AD161" s="10">
        <v>113835</v>
      </c>
      <c r="AE161" s="10">
        <v>0</v>
      </c>
      <c r="AF161" s="10">
        <v>17162</v>
      </c>
      <c r="AG161" s="10">
        <v>23326</v>
      </c>
      <c r="AH161" s="10">
        <f t="shared" si="75"/>
        <v>634749.60999999987</v>
      </c>
      <c r="AI161" s="10">
        <v>2784951.61</v>
      </c>
      <c r="AJ161" s="10">
        <v>1797114</v>
      </c>
      <c r="AK161" s="10">
        <v>2939</v>
      </c>
      <c r="AL161" s="10">
        <v>75072</v>
      </c>
      <c r="AM161" s="10">
        <v>129442.25</v>
      </c>
      <c r="AN161" s="10">
        <v>0</v>
      </c>
      <c r="AO161" s="10">
        <v>113835</v>
      </c>
      <c r="AP161" s="10">
        <v>8857.66</v>
      </c>
      <c r="AQ161" s="10">
        <v>17162</v>
      </c>
      <c r="AR161" s="10">
        <v>23340</v>
      </c>
      <c r="AS161" s="10">
        <f t="shared" si="55"/>
        <v>634749.60999999987</v>
      </c>
      <c r="AT161" s="10">
        <v>2802511.52</v>
      </c>
      <c r="AU161" s="12">
        <v>18000</v>
      </c>
      <c r="AV161" s="12">
        <v>3303.7288770674395</v>
      </c>
      <c r="AW161" s="12">
        <v>4970.875</v>
      </c>
      <c r="AX161" s="12">
        <f t="shared" si="76"/>
        <v>26274.603877067439</v>
      </c>
      <c r="AY161" s="12">
        <v>20116.95</v>
      </c>
      <c r="AZ161" s="12">
        <v>3958.2566387449906</v>
      </c>
      <c r="BA161" s="12">
        <v>6254.4750000000004</v>
      </c>
      <c r="BB161" s="12">
        <f t="shared" si="77"/>
        <v>30329.681638744994</v>
      </c>
      <c r="BC161" s="12">
        <v>2116.9500000000007</v>
      </c>
      <c r="BD161" s="12">
        <v>654.5277616775511</v>
      </c>
      <c r="BE161" s="12">
        <v>1283.5999999999985</v>
      </c>
      <c r="BF161" s="12">
        <v>4055.0777616775504</v>
      </c>
    </row>
    <row r="162" spans="1:58" x14ac:dyDescent="0.25">
      <c r="A162" s="7">
        <v>500</v>
      </c>
      <c r="B162" s="7">
        <v>1</v>
      </c>
      <c r="C162" s="7" t="s">
        <v>163</v>
      </c>
      <c r="D162" s="4">
        <v>6</v>
      </c>
      <c r="E162" s="10">
        <v>432</v>
      </c>
      <c r="F162" s="8">
        <f t="shared" si="56"/>
        <v>12769.75</v>
      </c>
      <c r="G162" s="8">
        <f t="shared" si="57"/>
        <v>16132.84</v>
      </c>
      <c r="H162" s="8">
        <f t="shared" si="58"/>
        <v>0</v>
      </c>
      <c r="I162" s="8">
        <f t="shared" si="59"/>
        <v>6.9999999998508429</v>
      </c>
      <c r="J162" s="8">
        <f t="shared" si="60"/>
        <v>28909.589999999851</v>
      </c>
      <c r="K162" s="8">
        <f t="shared" si="61"/>
        <v>5789.6812787524177</v>
      </c>
      <c r="L162" s="8">
        <f t="shared" si="62"/>
        <v>34699.271278752269</v>
      </c>
      <c r="M162" s="8">
        <f t="shared" si="63"/>
        <v>66.920347222221878</v>
      </c>
      <c r="N162" s="8">
        <f t="shared" si="64"/>
        <v>11613</v>
      </c>
      <c r="O162" s="8">
        <f t="shared" si="65"/>
        <v>185</v>
      </c>
      <c r="P162" s="8">
        <f t="shared" si="66"/>
        <v>526</v>
      </c>
      <c r="Q162" s="8">
        <f t="shared" si="67"/>
        <v>445.75</v>
      </c>
      <c r="R162" s="8">
        <f t="shared" si="68"/>
        <v>0</v>
      </c>
      <c r="S162" s="8">
        <f t="shared" si="69"/>
        <v>0</v>
      </c>
      <c r="T162" s="8">
        <f t="shared" si="70"/>
        <v>16132.84</v>
      </c>
      <c r="U162" s="8">
        <f t="shared" si="71"/>
        <v>0</v>
      </c>
      <c r="V162" s="8">
        <f t="shared" si="72"/>
        <v>7</v>
      </c>
      <c r="W162" s="8">
        <f t="shared" si="73"/>
        <v>0</v>
      </c>
      <c r="X162" s="8">
        <f t="shared" si="74"/>
        <v>28909.589999999851</v>
      </c>
      <c r="Y162" s="10">
        <v>2696887</v>
      </c>
      <c r="Z162" s="10">
        <v>42918</v>
      </c>
      <c r="AA162" s="10">
        <v>121999</v>
      </c>
      <c r="AB162" s="10">
        <v>88562</v>
      </c>
      <c r="AC162" s="10">
        <v>0</v>
      </c>
      <c r="AD162" s="10">
        <v>130424</v>
      </c>
      <c r="AE162" s="10">
        <v>0</v>
      </c>
      <c r="AF162" s="10">
        <v>0</v>
      </c>
      <c r="AG162" s="10">
        <v>57822</v>
      </c>
      <c r="AH162" s="10">
        <f t="shared" si="75"/>
        <v>467240.89000000013</v>
      </c>
      <c r="AI162" s="10">
        <v>3605852.89</v>
      </c>
      <c r="AJ162" s="10">
        <v>2708500</v>
      </c>
      <c r="AK162" s="10">
        <v>43103</v>
      </c>
      <c r="AL162" s="10">
        <v>122525</v>
      </c>
      <c r="AM162" s="10">
        <v>89007.75</v>
      </c>
      <c r="AN162" s="10">
        <v>0</v>
      </c>
      <c r="AO162" s="10">
        <v>130424</v>
      </c>
      <c r="AP162" s="10">
        <v>16132.84</v>
      </c>
      <c r="AQ162" s="10">
        <v>0</v>
      </c>
      <c r="AR162" s="10">
        <v>57829</v>
      </c>
      <c r="AS162" s="10">
        <f t="shared" si="55"/>
        <v>467240.89000000013</v>
      </c>
      <c r="AT162" s="10">
        <v>3634762.48</v>
      </c>
      <c r="AU162" s="12">
        <v>18240</v>
      </c>
      <c r="AV162" s="12">
        <v>4902.6633945028425</v>
      </c>
      <c r="AW162" s="12">
        <v>7413</v>
      </c>
      <c r="AX162" s="12">
        <f t="shared" si="76"/>
        <v>30555.663394502844</v>
      </c>
      <c r="AY162" s="12">
        <v>20385.175999999999</v>
      </c>
      <c r="AZ162" s="12">
        <v>5873.9686732552636</v>
      </c>
      <c r="BA162" s="12">
        <v>10086.200000000001</v>
      </c>
      <c r="BB162" s="12">
        <f t="shared" si="77"/>
        <v>36345.344673255269</v>
      </c>
      <c r="BC162" s="12">
        <v>2145.1759999999995</v>
      </c>
      <c r="BD162" s="12">
        <v>971.30527875242115</v>
      </c>
      <c r="BE162" s="12">
        <v>2673.1999999999971</v>
      </c>
      <c r="BF162" s="12">
        <v>5789.6812787524177</v>
      </c>
    </row>
    <row r="163" spans="1:58" x14ac:dyDescent="0.25">
      <c r="A163" s="7">
        <v>505</v>
      </c>
      <c r="B163" s="7">
        <v>1</v>
      </c>
      <c r="C163" s="7" t="s">
        <v>164</v>
      </c>
      <c r="D163" s="4">
        <v>6</v>
      </c>
      <c r="E163" s="10">
        <v>324</v>
      </c>
      <c r="F163" s="8">
        <f t="shared" si="56"/>
        <v>10374.25</v>
      </c>
      <c r="G163" s="8">
        <f t="shared" si="57"/>
        <v>9630.7800000000007</v>
      </c>
      <c r="H163" s="8">
        <f t="shared" si="58"/>
        <v>0</v>
      </c>
      <c r="I163" s="8">
        <f t="shared" si="59"/>
        <v>8.9999999997944542</v>
      </c>
      <c r="J163" s="8">
        <f t="shared" si="60"/>
        <v>20014.029999999795</v>
      </c>
      <c r="K163" s="8">
        <f t="shared" si="61"/>
        <v>3915.312473478315</v>
      </c>
      <c r="L163" s="8">
        <f t="shared" si="62"/>
        <v>23929.342473478111</v>
      </c>
      <c r="M163" s="8">
        <f t="shared" si="63"/>
        <v>61.771697530863563</v>
      </c>
      <c r="N163" s="8">
        <f t="shared" si="64"/>
        <v>8802</v>
      </c>
      <c r="O163" s="8">
        <f t="shared" si="65"/>
        <v>107</v>
      </c>
      <c r="P163" s="8">
        <f t="shared" si="66"/>
        <v>476</v>
      </c>
      <c r="Q163" s="8">
        <f t="shared" si="67"/>
        <v>665.25</v>
      </c>
      <c r="R163" s="8">
        <f t="shared" si="68"/>
        <v>324</v>
      </c>
      <c r="S163" s="8">
        <f t="shared" si="69"/>
        <v>0</v>
      </c>
      <c r="T163" s="8">
        <f t="shared" si="70"/>
        <v>9630.7800000000007</v>
      </c>
      <c r="U163" s="8">
        <f t="shared" si="71"/>
        <v>0</v>
      </c>
      <c r="V163" s="8">
        <f t="shared" si="72"/>
        <v>9</v>
      </c>
      <c r="W163" s="8">
        <f t="shared" si="73"/>
        <v>0</v>
      </c>
      <c r="X163" s="8">
        <f t="shared" si="74"/>
        <v>20014.029999999795</v>
      </c>
      <c r="Y163" s="10">
        <v>2044293</v>
      </c>
      <c r="Z163" s="10">
        <v>24710</v>
      </c>
      <c r="AA163" s="10">
        <v>110475</v>
      </c>
      <c r="AB163" s="10">
        <v>132172</v>
      </c>
      <c r="AC163" s="10">
        <v>68494</v>
      </c>
      <c r="AD163" s="10">
        <v>121290</v>
      </c>
      <c r="AE163" s="10">
        <v>0</v>
      </c>
      <c r="AF163" s="10">
        <v>0</v>
      </c>
      <c r="AG163" s="10">
        <v>37804</v>
      </c>
      <c r="AH163" s="10">
        <f t="shared" si="75"/>
        <v>485793.14000000013</v>
      </c>
      <c r="AI163" s="10">
        <v>3025031.14</v>
      </c>
      <c r="AJ163" s="10">
        <v>2053095</v>
      </c>
      <c r="AK163" s="10">
        <v>24817</v>
      </c>
      <c r="AL163" s="10">
        <v>110951</v>
      </c>
      <c r="AM163" s="10">
        <v>132837.25</v>
      </c>
      <c r="AN163" s="10">
        <v>68818</v>
      </c>
      <c r="AO163" s="10">
        <v>121290</v>
      </c>
      <c r="AP163" s="10">
        <v>9630.7800000000007</v>
      </c>
      <c r="AQ163" s="10">
        <v>0</v>
      </c>
      <c r="AR163" s="10">
        <v>37813</v>
      </c>
      <c r="AS163" s="10">
        <f t="shared" si="55"/>
        <v>485793.14000000013</v>
      </c>
      <c r="AT163" s="10">
        <v>3045045.17</v>
      </c>
      <c r="AU163" s="12">
        <v>18000</v>
      </c>
      <c r="AV163" s="12">
        <v>3724.8655848817816</v>
      </c>
      <c r="AW163" s="12">
        <v>5210.875</v>
      </c>
      <c r="AX163" s="12">
        <f t="shared" si="76"/>
        <v>26935.74058488178</v>
      </c>
      <c r="AY163" s="12">
        <v>20116.95</v>
      </c>
      <c r="AZ163" s="12">
        <v>4462.8280583600945</v>
      </c>
      <c r="BA163" s="12">
        <v>6271.2749999999996</v>
      </c>
      <c r="BB163" s="12">
        <f t="shared" si="77"/>
        <v>30851.053058360092</v>
      </c>
      <c r="BC163" s="12">
        <v>2116.9500000000007</v>
      </c>
      <c r="BD163" s="12">
        <v>737.96247347831286</v>
      </c>
      <c r="BE163" s="12">
        <v>1060.4000000000015</v>
      </c>
      <c r="BF163" s="12">
        <v>3915.312473478315</v>
      </c>
    </row>
    <row r="164" spans="1:58" x14ac:dyDescent="0.25">
      <c r="A164" s="7">
        <v>507</v>
      </c>
      <c r="B164" s="7">
        <v>1</v>
      </c>
      <c r="C164" s="7" t="s">
        <v>165</v>
      </c>
      <c r="D164" s="4">
        <v>6</v>
      </c>
      <c r="E164" s="10">
        <v>351</v>
      </c>
      <c r="F164" s="8">
        <f t="shared" si="56"/>
        <v>10112.75</v>
      </c>
      <c r="G164" s="8">
        <f t="shared" si="57"/>
        <v>8909</v>
      </c>
      <c r="H164" s="8">
        <f t="shared" si="58"/>
        <v>0</v>
      </c>
      <c r="I164" s="8">
        <f t="shared" si="59"/>
        <v>15</v>
      </c>
      <c r="J164" s="8">
        <f t="shared" si="60"/>
        <v>19036.75</v>
      </c>
      <c r="K164" s="8">
        <f t="shared" si="61"/>
        <v>3568.2451688029096</v>
      </c>
      <c r="L164" s="8">
        <f t="shared" si="62"/>
        <v>22604.99516880291</v>
      </c>
      <c r="M164" s="8">
        <f t="shared" si="63"/>
        <v>54.235754985754987</v>
      </c>
      <c r="N164" s="8">
        <f t="shared" si="64"/>
        <v>9510</v>
      </c>
      <c r="O164" s="8">
        <f t="shared" si="65"/>
        <v>0</v>
      </c>
      <c r="P164" s="8">
        <f t="shared" si="66"/>
        <v>406</v>
      </c>
      <c r="Q164" s="8">
        <f t="shared" si="67"/>
        <v>196.75</v>
      </c>
      <c r="R164" s="8">
        <f t="shared" si="68"/>
        <v>0</v>
      </c>
      <c r="S164" s="8">
        <f t="shared" si="69"/>
        <v>0</v>
      </c>
      <c r="T164" s="8">
        <f t="shared" si="70"/>
        <v>8909</v>
      </c>
      <c r="U164" s="8">
        <f t="shared" si="71"/>
        <v>0</v>
      </c>
      <c r="V164" s="8">
        <f t="shared" si="72"/>
        <v>15</v>
      </c>
      <c r="W164" s="8">
        <f t="shared" si="73"/>
        <v>0</v>
      </c>
      <c r="X164" s="8">
        <f t="shared" si="74"/>
        <v>19036.75</v>
      </c>
      <c r="Y164" s="10">
        <v>2208602</v>
      </c>
      <c r="Z164" s="10">
        <v>0</v>
      </c>
      <c r="AA164" s="10">
        <v>94277</v>
      </c>
      <c r="AB164" s="10">
        <v>39090</v>
      </c>
      <c r="AC164" s="10">
        <v>0</v>
      </c>
      <c r="AD164" s="10">
        <v>124939</v>
      </c>
      <c r="AE164" s="10">
        <v>0</v>
      </c>
      <c r="AF164" s="10">
        <v>0</v>
      </c>
      <c r="AG164" s="10">
        <v>33072</v>
      </c>
      <c r="AH164" s="10">
        <f t="shared" si="75"/>
        <v>685648.24000000022</v>
      </c>
      <c r="AI164" s="10">
        <v>3185628.24</v>
      </c>
      <c r="AJ164" s="10">
        <v>2218112</v>
      </c>
      <c r="AK164" s="10">
        <v>0</v>
      </c>
      <c r="AL164" s="10">
        <v>94683</v>
      </c>
      <c r="AM164" s="10">
        <v>39286.75</v>
      </c>
      <c r="AN164" s="10">
        <v>0</v>
      </c>
      <c r="AO164" s="10">
        <v>124939</v>
      </c>
      <c r="AP164" s="10">
        <v>8909</v>
      </c>
      <c r="AQ164" s="10">
        <v>0</v>
      </c>
      <c r="AR164" s="10">
        <v>33087</v>
      </c>
      <c r="AS164" s="10">
        <f t="shared" si="55"/>
        <v>685648.24000000022</v>
      </c>
      <c r="AT164" s="10">
        <v>3204664.99</v>
      </c>
      <c r="AU164" s="12">
        <v>18000</v>
      </c>
      <c r="AV164" s="12">
        <v>1938.7203645326967</v>
      </c>
      <c r="AW164" s="12">
        <v>5113</v>
      </c>
      <c r="AX164" s="12">
        <f t="shared" si="76"/>
        <v>25051.720364532695</v>
      </c>
      <c r="AY164" s="12">
        <v>20116.95</v>
      </c>
      <c r="AZ164" s="12">
        <v>2322.8155333356085</v>
      </c>
      <c r="BA164" s="12">
        <v>6180.2</v>
      </c>
      <c r="BB164" s="12">
        <f t="shared" si="77"/>
        <v>28619.96553333561</v>
      </c>
      <c r="BC164" s="12">
        <v>2116.9500000000007</v>
      </c>
      <c r="BD164" s="12">
        <v>384.09516880291176</v>
      </c>
      <c r="BE164" s="12">
        <v>1067.1999999999971</v>
      </c>
      <c r="BF164" s="12">
        <v>3568.2451688029096</v>
      </c>
    </row>
    <row r="165" spans="1:58" x14ac:dyDescent="0.25">
      <c r="A165" s="7">
        <v>508</v>
      </c>
      <c r="B165" s="7">
        <v>1</v>
      </c>
      <c r="C165" s="7" t="s">
        <v>166</v>
      </c>
      <c r="D165" s="4">
        <v>5</v>
      </c>
      <c r="E165" s="10">
        <v>1927</v>
      </c>
      <c r="F165" s="8">
        <f t="shared" si="56"/>
        <v>58716.5</v>
      </c>
      <c r="G165" s="8">
        <f t="shared" si="57"/>
        <v>45100.679999999993</v>
      </c>
      <c r="H165" s="8">
        <f t="shared" si="58"/>
        <v>3480</v>
      </c>
      <c r="I165" s="8">
        <f t="shared" si="59"/>
        <v>40.999999999708962</v>
      </c>
      <c r="J165" s="8">
        <f t="shared" si="60"/>
        <v>107338.1799999997</v>
      </c>
      <c r="K165" s="8">
        <f t="shared" si="61"/>
        <v>23729.82770490905</v>
      </c>
      <c r="L165" s="8">
        <f t="shared" si="62"/>
        <v>131068.00770490876</v>
      </c>
      <c r="M165" s="8">
        <f t="shared" si="63"/>
        <v>55.702221069019046</v>
      </c>
      <c r="N165" s="8">
        <f t="shared" si="64"/>
        <v>52260</v>
      </c>
      <c r="O165" s="8">
        <f t="shared" si="65"/>
        <v>0</v>
      </c>
      <c r="P165" s="8">
        <f t="shared" si="66"/>
        <v>903</v>
      </c>
      <c r="Q165" s="8">
        <f t="shared" si="67"/>
        <v>5553.5</v>
      </c>
      <c r="R165" s="8">
        <f t="shared" si="68"/>
        <v>0</v>
      </c>
      <c r="S165" s="8">
        <f t="shared" si="69"/>
        <v>0</v>
      </c>
      <c r="T165" s="8">
        <f t="shared" si="70"/>
        <v>45100.679999999993</v>
      </c>
      <c r="U165" s="8">
        <f t="shared" si="71"/>
        <v>3480</v>
      </c>
      <c r="V165" s="8">
        <f t="shared" si="72"/>
        <v>41</v>
      </c>
      <c r="W165" s="8">
        <f t="shared" si="73"/>
        <v>0</v>
      </c>
      <c r="X165" s="8">
        <f t="shared" si="74"/>
        <v>107338.1799999997</v>
      </c>
      <c r="Y165" s="10">
        <v>12136862</v>
      </c>
      <c r="Z165" s="10">
        <v>0</v>
      </c>
      <c r="AA165" s="10">
        <v>209681</v>
      </c>
      <c r="AB165" s="10">
        <v>1103369</v>
      </c>
      <c r="AC165" s="10">
        <v>0</v>
      </c>
      <c r="AD165" s="10">
        <v>0</v>
      </c>
      <c r="AE165" s="10">
        <v>0</v>
      </c>
      <c r="AF165" s="10">
        <v>54931</v>
      </c>
      <c r="AG165" s="10">
        <v>241673</v>
      </c>
      <c r="AH165" s="10">
        <f t="shared" si="75"/>
        <v>2746836.09</v>
      </c>
      <c r="AI165" s="10">
        <v>16493352.09</v>
      </c>
      <c r="AJ165" s="10">
        <v>12189122</v>
      </c>
      <c r="AK165" s="10">
        <v>0</v>
      </c>
      <c r="AL165" s="10">
        <v>210584</v>
      </c>
      <c r="AM165" s="10">
        <v>1108922.5</v>
      </c>
      <c r="AN165" s="10">
        <v>0</v>
      </c>
      <c r="AO165" s="10">
        <v>0</v>
      </c>
      <c r="AP165" s="10">
        <v>45100.679999999993</v>
      </c>
      <c r="AQ165" s="10">
        <v>58411</v>
      </c>
      <c r="AR165" s="10">
        <v>241714</v>
      </c>
      <c r="AS165" s="10">
        <f t="shared" si="55"/>
        <v>2746836.09</v>
      </c>
      <c r="AT165" s="10">
        <v>16600690.27</v>
      </c>
      <c r="AU165" s="12">
        <v>92160</v>
      </c>
      <c r="AV165" s="12">
        <v>25953.456100528358</v>
      </c>
      <c r="AW165" s="12">
        <v>26346.375</v>
      </c>
      <c r="AX165" s="12">
        <f t="shared" si="76"/>
        <v>144459.83110052836</v>
      </c>
      <c r="AY165" s="12">
        <v>102998.784</v>
      </c>
      <c r="AZ165" s="12">
        <v>31095.299805437397</v>
      </c>
      <c r="BA165" s="12">
        <v>34095.574999999997</v>
      </c>
      <c r="BB165" s="12">
        <f t="shared" si="77"/>
        <v>168189.65880543739</v>
      </c>
      <c r="BC165" s="12">
        <v>10838.784</v>
      </c>
      <c r="BD165" s="12">
        <v>5141.8437049090389</v>
      </c>
      <c r="BE165" s="12">
        <v>7749.2000000000116</v>
      </c>
      <c r="BF165" s="12">
        <v>23729.82770490905</v>
      </c>
    </row>
    <row r="166" spans="1:58" x14ac:dyDescent="0.25">
      <c r="A166" s="7">
        <v>511</v>
      </c>
      <c r="B166" s="7">
        <v>1</v>
      </c>
      <c r="C166" s="7" t="s">
        <v>167</v>
      </c>
      <c r="D166" s="4">
        <v>6</v>
      </c>
      <c r="E166" s="10">
        <v>591</v>
      </c>
      <c r="F166" s="8">
        <f t="shared" si="56"/>
        <v>18159.25</v>
      </c>
      <c r="G166" s="8">
        <f t="shared" si="57"/>
        <v>14459.76</v>
      </c>
      <c r="H166" s="8">
        <f t="shared" si="58"/>
        <v>0</v>
      </c>
      <c r="I166" s="8">
        <f t="shared" si="59"/>
        <v>17.999999999776264</v>
      </c>
      <c r="J166" s="8">
        <f t="shared" si="60"/>
        <v>32637.009999999776</v>
      </c>
      <c r="K166" s="8">
        <f t="shared" si="61"/>
        <v>8443.619362250347</v>
      </c>
      <c r="L166" s="8">
        <f t="shared" si="62"/>
        <v>41080.629362250125</v>
      </c>
      <c r="M166" s="8">
        <f t="shared" si="63"/>
        <v>55.223367174280504</v>
      </c>
      <c r="N166" s="8">
        <f t="shared" si="64"/>
        <v>16180</v>
      </c>
      <c r="O166" s="8">
        <f t="shared" si="65"/>
        <v>14</v>
      </c>
      <c r="P166" s="8">
        <f t="shared" si="66"/>
        <v>664</v>
      </c>
      <c r="Q166" s="8">
        <f t="shared" si="67"/>
        <v>1301.25</v>
      </c>
      <c r="R166" s="8">
        <f t="shared" si="68"/>
        <v>0</v>
      </c>
      <c r="S166" s="8">
        <f t="shared" si="69"/>
        <v>0</v>
      </c>
      <c r="T166" s="8">
        <f t="shared" si="70"/>
        <v>14459.76</v>
      </c>
      <c r="U166" s="8">
        <f t="shared" si="71"/>
        <v>0</v>
      </c>
      <c r="V166" s="8">
        <f t="shared" si="72"/>
        <v>18</v>
      </c>
      <c r="W166" s="8">
        <f t="shared" si="73"/>
        <v>0</v>
      </c>
      <c r="X166" s="8">
        <f t="shared" si="74"/>
        <v>32637.009999999776</v>
      </c>
      <c r="Y166" s="10">
        <v>3757643</v>
      </c>
      <c r="Z166" s="10">
        <v>3251</v>
      </c>
      <c r="AA166" s="10">
        <v>154196</v>
      </c>
      <c r="AB166" s="10">
        <v>258532</v>
      </c>
      <c r="AC166" s="10">
        <v>0</v>
      </c>
      <c r="AD166" s="10">
        <v>114718</v>
      </c>
      <c r="AE166" s="10">
        <v>0</v>
      </c>
      <c r="AF166" s="10">
        <v>15574</v>
      </c>
      <c r="AG166" s="10">
        <v>68285</v>
      </c>
      <c r="AH166" s="10">
        <f t="shared" si="75"/>
        <v>907695.96</v>
      </c>
      <c r="AI166" s="10">
        <v>5279894.96</v>
      </c>
      <c r="AJ166" s="10">
        <v>3773823</v>
      </c>
      <c r="AK166" s="10">
        <v>3265</v>
      </c>
      <c r="AL166" s="10">
        <v>154860</v>
      </c>
      <c r="AM166" s="10">
        <v>259833.25</v>
      </c>
      <c r="AN166" s="10">
        <v>0</v>
      </c>
      <c r="AO166" s="10">
        <v>114718</v>
      </c>
      <c r="AP166" s="10">
        <v>14459.76</v>
      </c>
      <c r="AQ166" s="10">
        <v>15574</v>
      </c>
      <c r="AR166" s="10">
        <v>68303</v>
      </c>
      <c r="AS166" s="10">
        <f t="shared" si="55"/>
        <v>907695.96</v>
      </c>
      <c r="AT166" s="10">
        <v>5312531.97</v>
      </c>
      <c r="AU166" s="12">
        <v>18000</v>
      </c>
      <c r="AV166" s="12">
        <v>6203.7276059585911</v>
      </c>
      <c r="AW166" s="12">
        <v>11675.25</v>
      </c>
      <c r="AX166" s="12">
        <f t="shared" si="76"/>
        <v>35878.977605958593</v>
      </c>
      <c r="AY166" s="12">
        <v>20116.95</v>
      </c>
      <c r="AZ166" s="12">
        <v>7432.7969682089315</v>
      </c>
      <c r="BA166" s="12">
        <v>16772.849999999999</v>
      </c>
      <c r="BB166" s="12">
        <f t="shared" si="77"/>
        <v>44322.596968208934</v>
      </c>
      <c r="BC166" s="12">
        <v>2116.9500000000007</v>
      </c>
      <c r="BD166" s="12">
        <v>1229.0693622503404</v>
      </c>
      <c r="BE166" s="12">
        <v>5097.6000000000058</v>
      </c>
      <c r="BF166" s="12">
        <v>8443.619362250347</v>
      </c>
    </row>
    <row r="167" spans="1:58" x14ac:dyDescent="0.25">
      <c r="A167" s="7">
        <v>514</v>
      </c>
      <c r="B167" s="7">
        <v>1</v>
      </c>
      <c r="C167" s="7" t="s">
        <v>168</v>
      </c>
      <c r="D167" s="4">
        <v>6</v>
      </c>
      <c r="E167" s="10">
        <v>150</v>
      </c>
      <c r="F167" s="8">
        <f t="shared" si="56"/>
        <v>4819.25</v>
      </c>
      <c r="G167" s="8">
        <f t="shared" si="57"/>
        <v>6284.62</v>
      </c>
      <c r="H167" s="8">
        <f t="shared" si="58"/>
        <v>0</v>
      </c>
      <c r="I167" s="8">
        <f t="shared" si="59"/>
        <v>8.0000000001118678</v>
      </c>
      <c r="J167" s="8">
        <f t="shared" si="60"/>
        <v>11111.870000000112</v>
      </c>
      <c r="K167" s="8">
        <f t="shared" si="61"/>
        <v>3511.9607196164611</v>
      </c>
      <c r="L167" s="8">
        <f t="shared" si="62"/>
        <v>14623.830719616573</v>
      </c>
      <c r="M167" s="8">
        <f t="shared" si="63"/>
        <v>74.079133333334084</v>
      </c>
      <c r="N167" s="8">
        <f t="shared" si="64"/>
        <v>4032</v>
      </c>
      <c r="O167" s="8">
        <f t="shared" si="65"/>
        <v>71</v>
      </c>
      <c r="P167" s="8">
        <f t="shared" si="66"/>
        <v>223</v>
      </c>
      <c r="Q167" s="8">
        <f t="shared" si="67"/>
        <v>493.25</v>
      </c>
      <c r="R167" s="8">
        <f t="shared" si="68"/>
        <v>0</v>
      </c>
      <c r="S167" s="8">
        <f t="shared" si="69"/>
        <v>0</v>
      </c>
      <c r="T167" s="8">
        <f t="shared" si="70"/>
        <v>6284.62</v>
      </c>
      <c r="U167" s="8">
        <f t="shared" si="71"/>
        <v>0</v>
      </c>
      <c r="V167" s="8">
        <f t="shared" si="72"/>
        <v>8</v>
      </c>
      <c r="W167" s="8">
        <f t="shared" si="73"/>
        <v>0</v>
      </c>
      <c r="X167" s="8">
        <f t="shared" si="74"/>
        <v>11111.870000000112</v>
      </c>
      <c r="Y167" s="10">
        <v>936508</v>
      </c>
      <c r="Z167" s="10">
        <v>16419</v>
      </c>
      <c r="AA167" s="10">
        <v>51820</v>
      </c>
      <c r="AB167" s="10">
        <v>97999</v>
      </c>
      <c r="AC167" s="10">
        <v>0</v>
      </c>
      <c r="AD167" s="10">
        <v>73004</v>
      </c>
      <c r="AE167" s="10">
        <v>0</v>
      </c>
      <c r="AF167" s="10">
        <v>0</v>
      </c>
      <c r="AG167" s="10">
        <v>11794</v>
      </c>
      <c r="AH167" s="10">
        <f t="shared" si="75"/>
        <v>343185.23</v>
      </c>
      <c r="AI167" s="10">
        <v>1530729.23</v>
      </c>
      <c r="AJ167" s="10">
        <v>940540</v>
      </c>
      <c r="AK167" s="10">
        <v>16490</v>
      </c>
      <c r="AL167" s="10">
        <v>52043</v>
      </c>
      <c r="AM167" s="10">
        <v>98492.25</v>
      </c>
      <c r="AN167" s="10">
        <v>0</v>
      </c>
      <c r="AO167" s="10">
        <v>73004</v>
      </c>
      <c r="AP167" s="10">
        <v>6284.62</v>
      </c>
      <c r="AQ167" s="10">
        <v>0</v>
      </c>
      <c r="AR167" s="10">
        <v>11802</v>
      </c>
      <c r="AS167" s="10">
        <f t="shared" si="55"/>
        <v>343185.23</v>
      </c>
      <c r="AT167" s="10">
        <v>1541841.1</v>
      </c>
      <c r="AU167" s="12">
        <v>18000</v>
      </c>
      <c r="AV167" s="12">
        <v>1602.1306072640919</v>
      </c>
      <c r="AW167" s="12">
        <v>2954.375</v>
      </c>
      <c r="AX167" s="12">
        <f t="shared" si="76"/>
        <v>22556.505607264091</v>
      </c>
      <c r="AY167" s="12">
        <v>20116.95</v>
      </c>
      <c r="AZ167" s="12">
        <v>1919.5413268805537</v>
      </c>
      <c r="BA167" s="12">
        <v>4031.9750000000004</v>
      </c>
      <c r="BB167" s="12">
        <f t="shared" si="77"/>
        <v>26068.466326880553</v>
      </c>
      <c r="BC167" s="12">
        <v>2116.9500000000007</v>
      </c>
      <c r="BD167" s="12">
        <v>317.41071961646185</v>
      </c>
      <c r="BE167" s="12">
        <v>1077.5999999999985</v>
      </c>
      <c r="BF167" s="12">
        <v>3511.9607196164611</v>
      </c>
    </row>
    <row r="168" spans="1:58" x14ac:dyDescent="0.25">
      <c r="A168" s="7">
        <v>518</v>
      </c>
      <c r="B168" s="7">
        <v>1</v>
      </c>
      <c r="C168" s="7" t="s">
        <v>169</v>
      </c>
      <c r="D168" s="4">
        <v>4</v>
      </c>
      <c r="E168" s="10">
        <v>2846</v>
      </c>
      <c r="F168" s="8">
        <f t="shared" si="56"/>
        <v>100258.25</v>
      </c>
      <c r="G168" s="8">
        <f t="shared" si="57"/>
        <v>72679.319999999992</v>
      </c>
      <c r="H168" s="8">
        <f t="shared" si="58"/>
        <v>36710</v>
      </c>
      <c r="I168" s="8">
        <f t="shared" si="59"/>
        <v>25.00000000030559</v>
      </c>
      <c r="J168" s="8">
        <f t="shared" si="60"/>
        <v>209672.5700000003</v>
      </c>
      <c r="K168" s="8">
        <f t="shared" si="61"/>
        <v>44025.128279080214</v>
      </c>
      <c r="L168" s="8">
        <f t="shared" si="62"/>
        <v>253697.69827908051</v>
      </c>
      <c r="M168" s="8">
        <f t="shared" si="63"/>
        <v>73.672723120168769</v>
      </c>
      <c r="N168" s="8">
        <f t="shared" si="64"/>
        <v>77275</v>
      </c>
      <c r="O168" s="8">
        <f t="shared" si="65"/>
        <v>0</v>
      </c>
      <c r="P168" s="8">
        <f t="shared" si="66"/>
        <v>1563</v>
      </c>
      <c r="Q168" s="8">
        <f t="shared" si="67"/>
        <v>21420.25</v>
      </c>
      <c r="R168" s="8">
        <f t="shared" si="68"/>
        <v>0</v>
      </c>
      <c r="S168" s="8">
        <f t="shared" si="69"/>
        <v>0</v>
      </c>
      <c r="T168" s="8">
        <f t="shared" si="70"/>
        <v>72679.319999999992</v>
      </c>
      <c r="U168" s="8">
        <f t="shared" si="71"/>
        <v>36710</v>
      </c>
      <c r="V168" s="8">
        <f t="shared" si="72"/>
        <v>57</v>
      </c>
      <c r="W168" s="8">
        <f t="shared" si="73"/>
        <v>-32</v>
      </c>
      <c r="X168" s="8">
        <f t="shared" si="74"/>
        <v>209672.5700000003</v>
      </c>
      <c r="Y168" s="10">
        <v>17946346</v>
      </c>
      <c r="Z168" s="10">
        <v>0</v>
      </c>
      <c r="AA168" s="10">
        <v>363069</v>
      </c>
      <c r="AB168" s="10">
        <v>4255775</v>
      </c>
      <c r="AC168" s="10">
        <v>0</v>
      </c>
      <c r="AD168" s="10">
        <v>0</v>
      </c>
      <c r="AE168" s="10">
        <v>0</v>
      </c>
      <c r="AF168" s="10">
        <v>490356</v>
      </c>
      <c r="AG168" s="10">
        <v>363279</v>
      </c>
      <c r="AH168" s="10">
        <f t="shared" si="75"/>
        <v>4737287.8099999987</v>
      </c>
      <c r="AI168" s="10">
        <v>28156112.809999999</v>
      </c>
      <c r="AJ168" s="10">
        <v>18023621</v>
      </c>
      <c r="AK168" s="10">
        <v>0</v>
      </c>
      <c r="AL168" s="10">
        <v>364632</v>
      </c>
      <c r="AM168" s="10">
        <v>4277195.25</v>
      </c>
      <c r="AN168" s="10">
        <v>0</v>
      </c>
      <c r="AO168" s="10">
        <v>0</v>
      </c>
      <c r="AP168" s="10">
        <v>72679.319999999992</v>
      </c>
      <c r="AQ168" s="10">
        <v>527066</v>
      </c>
      <c r="AR168" s="10">
        <v>363336</v>
      </c>
      <c r="AS168" s="10">
        <f t="shared" si="55"/>
        <v>4737255.8099999987</v>
      </c>
      <c r="AT168" s="10">
        <v>28365785.379999999</v>
      </c>
      <c r="AU168" s="12">
        <v>164880</v>
      </c>
      <c r="AV168" s="12">
        <v>50960.90404365756</v>
      </c>
      <c r="AW168" s="12">
        <v>48719.875</v>
      </c>
      <c r="AX168" s="12">
        <f t="shared" si="76"/>
        <v>264560.77904365759</v>
      </c>
      <c r="AY168" s="12">
        <v>184271.26199999999</v>
      </c>
      <c r="AZ168" s="12">
        <v>61057.170322737809</v>
      </c>
      <c r="BA168" s="12">
        <v>63257.474999999999</v>
      </c>
      <c r="BB168" s="12">
        <f t="shared" si="77"/>
        <v>308585.9073227378</v>
      </c>
      <c r="BC168" s="12">
        <v>19391.261999999988</v>
      </c>
      <c r="BD168" s="12">
        <v>10096.26627908025</v>
      </c>
      <c r="BE168" s="12">
        <v>14537.599999999977</v>
      </c>
      <c r="BF168" s="12">
        <v>44025.128279080214</v>
      </c>
    </row>
    <row r="169" spans="1:58" x14ac:dyDescent="0.25">
      <c r="A169" s="7">
        <v>531</v>
      </c>
      <c r="B169" s="7">
        <v>1</v>
      </c>
      <c r="C169" s="7" t="s">
        <v>170</v>
      </c>
      <c r="D169" s="4">
        <v>5</v>
      </c>
      <c r="E169" s="10">
        <v>1944</v>
      </c>
      <c r="F169" s="8">
        <f t="shared" si="56"/>
        <v>52544.75</v>
      </c>
      <c r="G169" s="8">
        <f t="shared" si="57"/>
        <v>37743.96</v>
      </c>
      <c r="H169" s="8">
        <f t="shared" si="58"/>
        <v>0</v>
      </c>
      <c r="I169" s="8">
        <f t="shared" si="59"/>
        <v>-31.999999999105057</v>
      </c>
      <c r="J169" s="8">
        <f t="shared" si="60"/>
        <v>90256.710000000894</v>
      </c>
      <c r="K169" s="8">
        <f t="shared" si="61"/>
        <v>15706.283218385452</v>
      </c>
      <c r="L169" s="8">
        <f t="shared" si="62"/>
        <v>105962.99321838634</v>
      </c>
      <c r="M169" s="8">
        <f t="shared" si="63"/>
        <v>46.42834876543256</v>
      </c>
      <c r="N169" s="8">
        <f t="shared" si="64"/>
        <v>51238</v>
      </c>
      <c r="O169" s="8">
        <f t="shared" si="65"/>
        <v>0</v>
      </c>
      <c r="P169" s="8">
        <f t="shared" si="66"/>
        <v>751</v>
      </c>
      <c r="Q169" s="8">
        <f t="shared" si="67"/>
        <v>555.75</v>
      </c>
      <c r="R169" s="8">
        <f t="shared" si="68"/>
        <v>0</v>
      </c>
      <c r="S169" s="8">
        <f t="shared" si="69"/>
        <v>0</v>
      </c>
      <c r="T169" s="8">
        <f t="shared" si="70"/>
        <v>37743.96</v>
      </c>
      <c r="U169" s="8">
        <f t="shared" si="71"/>
        <v>0</v>
      </c>
      <c r="V169" s="8">
        <f t="shared" si="72"/>
        <v>0</v>
      </c>
      <c r="W169" s="8">
        <f t="shared" si="73"/>
        <v>-32</v>
      </c>
      <c r="X169" s="8">
        <f t="shared" si="74"/>
        <v>90256.710000000894</v>
      </c>
      <c r="Y169" s="10">
        <v>11899397</v>
      </c>
      <c r="Z169" s="10">
        <v>0</v>
      </c>
      <c r="AA169" s="10">
        <v>174563</v>
      </c>
      <c r="AB169" s="10">
        <v>110416</v>
      </c>
      <c r="AC169" s="10">
        <v>0</v>
      </c>
      <c r="AD169" s="10">
        <v>0</v>
      </c>
      <c r="AE169" s="10">
        <v>0</v>
      </c>
      <c r="AF169" s="10">
        <v>14535</v>
      </c>
      <c r="AG169" s="10">
        <v>296068</v>
      </c>
      <c r="AH169" s="10">
        <f t="shared" si="75"/>
        <v>1135710.1899999995</v>
      </c>
      <c r="AI169" s="10">
        <v>13630689.189999999</v>
      </c>
      <c r="AJ169" s="10">
        <v>11950635</v>
      </c>
      <c r="AK169" s="10">
        <v>0</v>
      </c>
      <c r="AL169" s="10">
        <v>175314</v>
      </c>
      <c r="AM169" s="10">
        <v>110971.75</v>
      </c>
      <c r="AN169" s="10">
        <v>0</v>
      </c>
      <c r="AO169" s="10">
        <v>0</v>
      </c>
      <c r="AP169" s="10">
        <v>37743.96</v>
      </c>
      <c r="AQ169" s="10">
        <v>14535</v>
      </c>
      <c r="AR169" s="10">
        <v>296068</v>
      </c>
      <c r="AS169" s="10">
        <f t="shared" si="55"/>
        <v>1135678.1899999995</v>
      </c>
      <c r="AT169" s="10">
        <v>13720945.9</v>
      </c>
      <c r="AU169" s="12">
        <v>67200</v>
      </c>
      <c r="AV169" s="12">
        <v>12078.683744800564</v>
      </c>
      <c r="AW169" s="12">
        <v>28730.25</v>
      </c>
      <c r="AX169" s="12">
        <f t="shared" si="76"/>
        <v>108008.93374480057</v>
      </c>
      <c r="AY169" s="12">
        <v>75103.28</v>
      </c>
      <c r="AZ169" s="12">
        <v>14471.686963186017</v>
      </c>
      <c r="BA169" s="12">
        <v>34140.25</v>
      </c>
      <c r="BB169" s="12">
        <f t="shared" si="77"/>
        <v>123715.21696318602</v>
      </c>
      <c r="BC169" s="12">
        <v>7903.2799999999988</v>
      </c>
      <c r="BD169" s="12">
        <v>2393.0032183854528</v>
      </c>
      <c r="BE169" s="12">
        <v>5410</v>
      </c>
      <c r="BF169" s="12">
        <v>15706.283218385452</v>
      </c>
    </row>
    <row r="170" spans="1:58" x14ac:dyDescent="0.25">
      <c r="A170" s="7">
        <v>533</v>
      </c>
      <c r="B170" s="7">
        <v>1</v>
      </c>
      <c r="C170" s="7" t="s">
        <v>171</v>
      </c>
      <c r="D170" s="4">
        <v>5</v>
      </c>
      <c r="E170" s="10">
        <v>1246</v>
      </c>
      <c r="F170" s="8">
        <f t="shared" si="56"/>
        <v>34660.5</v>
      </c>
      <c r="G170" s="8">
        <f t="shared" si="57"/>
        <v>25869.32</v>
      </c>
      <c r="H170" s="8">
        <f t="shared" si="58"/>
        <v>0</v>
      </c>
      <c r="I170" s="8">
        <f t="shared" si="59"/>
        <v>2.9831426218152046E-10</v>
      </c>
      <c r="J170" s="8">
        <f t="shared" si="60"/>
        <v>60529.820000000298</v>
      </c>
      <c r="K170" s="8">
        <f t="shared" si="61"/>
        <v>9873.4216507138772</v>
      </c>
      <c r="L170" s="8">
        <f t="shared" si="62"/>
        <v>70403.241650714175</v>
      </c>
      <c r="M170" s="8">
        <f t="shared" si="63"/>
        <v>48.579309791332506</v>
      </c>
      <c r="N170" s="8">
        <f t="shared" si="64"/>
        <v>33265</v>
      </c>
      <c r="O170" s="8">
        <f t="shared" si="65"/>
        <v>0</v>
      </c>
      <c r="P170" s="8">
        <f t="shared" si="66"/>
        <v>767</v>
      </c>
      <c r="Q170" s="8">
        <f t="shared" si="67"/>
        <v>628.5</v>
      </c>
      <c r="R170" s="8">
        <f t="shared" si="68"/>
        <v>0</v>
      </c>
      <c r="S170" s="8">
        <f t="shared" si="69"/>
        <v>0</v>
      </c>
      <c r="T170" s="8">
        <f t="shared" si="70"/>
        <v>25869.32</v>
      </c>
      <c r="U170" s="8">
        <f t="shared" si="71"/>
        <v>0</v>
      </c>
      <c r="V170" s="8">
        <f t="shared" si="72"/>
        <v>0</v>
      </c>
      <c r="W170" s="8">
        <f t="shared" si="73"/>
        <v>0</v>
      </c>
      <c r="X170" s="8">
        <f t="shared" si="74"/>
        <v>60529.820000000298</v>
      </c>
      <c r="Y170" s="10">
        <v>7725464</v>
      </c>
      <c r="Z170" s="10">
        <v>0</v>
      </c>
      <c r="AA170" s="10">
        <v>178148</v>
      </c>
      <c r="AB170" s="10">
        <v>124870</v>
      </c>
      <c r="AC170" s="10">
        <v>0</v>
      </c>
      <c r="AD170" s="10">
        <v>0</v>
      </c>
      <c r="AE170" s="10">
        <v>0</v>
      </c>
      <c r="AF170" s="10">
        <v>14785</v>
      </c>
      <c r="AG170" s="10">
        <v>191606</v>
      </c>
      <c r="AH170" s="10">
        <f t="shared" si="75"/>
        <v>998366.59999999963</v>
      </c>
      <c r="AI170" s="10">
        <v>9233239.5999999996</v>
      </c>
      <c r="AJ170" s="10">
        <v>7758729</v>
      </c>
      <c r="AK170" s="10">
        <v>0</v>
      </c>
      <c r="AL170" s="10">
        <v>178915</v>
      </c>
      <c r="AM170" s="10">
        <v>125498.5</v>
      </c>
      <c r="AN170" s="10">
        <v>0</v>
      </c>
      <c r="AO170" s="10">
        <v>0</v>
      </c>
      <c r="AP170" s="10">
        <v>25869.32</v>
      </c>
      <c r="AQ170" s="10">
        <v>14785</v>
      </c>
      <c r="AR170" s="10">
        <v>191606</v>
      </c>
      <c r="AS170" s="10">
        <f t="shared" si="55"/>
        <v>998366.59999999963</v>
      </c>
      <c r="AT170" s="10">
        <v>9293769.4199999999</v>
      </c>
      <c r="AU170" s="12">
        <v>31800</v>
      </c>
      <c r="AV170" s="12">
        <v>8172.2893944783245</v>
      </c>
      <c r="AW170" s="12">
        <v>18948.125</v>
      </c>
      <c r="AX170" s="12">
        <f t="shared" si="76"/>
        <v>58920.414394478328</v>
      </c>
      <c r="AY170" s="12">
        <v>35539.945</v>
      </c>
      <c r="AZ170" s="12">
        <v>9791.3660451922078</v>
      </c>
      <c r="BA170" s="12">
        <v>23462.525000000001</v>
      </c>
      <c r="BB170" s="12">
        <f t="shared" si="77"/>
        <v>68793.836045192205</v>
      </c>
      <c r="BC170" s="12">
        <v>3739.9449999999997</v>
      </c>
      <c r="BD170" s="12">
        <v>1619.0766507138833</v>
      </c>
      <c r="BE170" s="12">
        <v>4514.3999999999942</v>
      </c>
      <c r="BF170" s="12">
        <v>9873.4216507138772</v>
      </c>
    </row>
    <row r="171" spans="1:58" x14ac:dyDescent="0.25">
      <c r="A171" s="7">
        <v>534</v>
      </c>
      <c r="B171" s="7">
        <v>1</v>
      </c>
      <c r="C171" s="7" t="s">
        <v>172</v>
      </c>
      <c r="D171" s="4">
        <v>5</v>
      </c>
      <c r="E171" s="10">
        <v>1951</v>
      </c>
      <c r="F171" s="8">
        <f t="shared" si="56"/>
        <v>54473.25</v>
      </c>
      <c r="G171" s="8">
        <f t="shared" si="57"/>
        <v>44294.34</v>
      </c>
      <c r="H171" s="8">
        <f t="shared" si="58"/>
        <v>0</v>
      </c>
      <c r="I171" s="8">
        <f t="shared" si="59"/>
        <v>29.999999999854481</v>
      </c>
      <c r="J171" s="8">
        <f t="shared" si="60"/>
        <v>98797.589999999851</v>
      </c>
      <c r="K171" s="8">
        <f t="shared" si="61"/>
        <v>21569.674318021465</v>
      </c>
      <c r="L171" s="8">
        <f t="shared" si="62"/>
        <v>120367.26431802132</v>
      </c>
      <c r="M171" s="8">
        <f t="shared" si="63"/>
        <v>50.639461814454052</v>
      </c>
      <c r="N171" s="8">
        <f t="shared" si="64"/>
        <v>51661</v>
      </c>
      <c r="O171" s="8">
        <f t="shared" si="65"/>
        <v>0</v>
      </c>
      <c r="P171" s="8">
        <f t="shared" si="66"/>
        <v>1058</v>
      </c>
      <c r="Q171" s="8">
        <f t="shared" si="67"/>
        <v>1754.25</v>
      </c>
      <c r="R171" s="8">
        <f t="shared" si="68"/>
        <v>0</v>
      </c>
      <c r="S171" s="8">
        <f t="shared" si="69"/>
        <v>0</v>
      </c>
      <c r="T171" s="8">
        <f t="shared" si="70"/>
        <v>44294.34</v>
      </c>
      <c r="U171" s="8">
        <f t="shared" si="71"/>
        <v>0</v>
      </c>
      <c r="V171" s="8">
        <f t="shared" si="72"/>
        <v>30</v>
      </c>
      <c r="W171" s="8">
        <f t="shared" si="73"/>
        <v>0</v>
      </c>
      <c r="X171" s="8">
        <f t="shared" si="74"/>
        <v>98797.589999999851</v>
      </c>
      <c r="Y171" s="10">
        <v>11997809</v>
      </c>
      <c r="Z171" s="10">
        <v>0</v>
      </c>
      <c r="AA171" s="10">
        <v>245633</v>
      </c>
      <c r="AB171" s="10">
        <v>348534</v>
      </c>
      <c r="AC171" s="10">
        <v>0</v>
      </c>
      <c r="AD171" s="10">
        <v>0</v>
      </c>
      <c r="AE171" s="10">
        <v>0</v>
      </c>
      <c r="AF171" s="10">
        <v>14532</v>
      </c>
      <c r="AG171" s="10">
        <v>254055</v>
      </c>
      <c r="AH171" s="10">
        <f t="shared" si="75"/>
        <v>2128830.7300000004</v>
      </c>
      <c r="AI171" s="10">
        <v>14989393.73</v>
      </c>
      <c r="AJ171" s="10">
        <v>12049470</v>
      </c>
      <c r="AK171" s="10">
        <v>0</v>
      </c>
      <c r="AL171" s="10">
        <v>246691</v>
      </c>
      <c r="AM171" s="10">
        <v>350288.25</v>
      </c>
      <c r="AN171" s="10">
        <v>0</v>
      </c>
      <c r="AO171" s="10">
        <v>0</v>
      </c>
      <c r="AP171" s="10">
        <v>44294.34</v>
      </c>
      <c r="AQ171" s="10">
        <v>14532</v>
      </c>
      <c r="AR171" s="10">
        <v>254085</v>
      </c>
      <c r="AS171" s="10">
        <f t="shared" si="55"/>
        <v>2128830.7300000004</v>
      </c>
      <c r="AT171" s="10">
        <v>15088191.32</v>
      </c>
      <c r="AU171" s="12">
        <v>84480</v>
      </c>
      <c r="AV171" s="12">
        <v>18197.864400213417</v>
      </c>
      <c r="AW171" s="12">
        <v>27361.25</v>
      </c>
      <c r="AX171" s="12">
        <f t="shared" si="76"/>
        <v>130039.11440021341</v>
      </c>
      <c r="AY171" s="12">
        <v>94415.551999999996</v>
      </c>
      <c r="AZ171" s="12">
        <v>21803.186718234898</v>
      </c>
      <c r="BA171" s="12">
        <v>35390.050000000003</v>
      </c>
      <c r="BB171" s="12">
        <f t="shared" si="77"/>
        <v>151608.78871823489</v>
      </c>
      <c r="BC171" s="12">
        <v>9935.551999999996</v>
      </c>
      <c r="BD171" s="12">
        <v>3605.3223180214809</v>
      </c>
      <c r="BE171" s="12">
        <v>8028.7999999999884</v>
      </c>
      <c r="BF171" s="12">
        <v>21569.674318021465</v>
      </c>
    </row>
    <row r="172" spans="1:58" x14ac:dyDescent="0.25">
      <c r="A172" s="7">
        <v>535</v>
      </c>
      <c r="B172" s="7">
        <v>1</v>
      </c>
      <c r="C172" s="7" t="s">
        <v>173</v>
      </c>
      <c r="D172" s="4">
        <v>4</v>
      </c>
      <c r="E172" s="10">
        <v>16473</v>
      </c>
      <c r="F172" s="8">
        <f t="shared" si="56"/>
        <v>492596.5</v>
      </c>
      <c r="G172" s="8">
        <f t="shared" si="57"/>
        <v>379121.74000000005</v>
      </c>
      <c r="H172" s="8">
        <f t="shared" si="58"/>
        <v>225005</v>
      </c>
      <c r="I172" s="8">
        <f t="shared" si="59"/>
        <v>-34.000000005413312</v>
      </c>
      <c r="J172" s="8">
        <f t="shared" si="60"/>
        <v>1096689.2399999946</v>
      </c>
      <c r="K172" s="8">
        <f t="shared" si="61"/>
        <v>211343.42778840289</v>
      </c>
      <c r="L172" s="8">
        <f t="shared" si="62"/>
        <v>1308032.6677883975</v>
      </c>
      <c r="M172" s="8">
        <f t="shared" si="63"/>
        <v>66.574955381533087</v>
      </c>
      <c r="N172" s="8">
        <f t="shared" si="64"/>
        <v>447560</v>
      </c>
      <c r="O172" s="8">
        <f t="shared" si="65"/>
        <v>0</v>
      </c>
      <c r="P172" s="8">
        <f t="shared" si="66"/>
        <v>2331</v>
      </c>
      <c r="Q172" s="8">
        <f t="shared" si="67"/>
        <v>42705.5</v>
      </c>
      <c r="R172" s="8">
        <f t="shared" si="68"/>
        <v>0</v>
      </c>
      <c r="S172" s="8">
        <f t="shared" si="69"/>
        <v>0</v>
      </c>
      <c r="T172" s="8">
        <f t="shared" si="70"/>
        <v>379121.74000000005</v>
      </c>
      <c r="U172" s="8">
        <f t="shared" si="71"/>
        <v>225005</v>
      </c>
      <c r="V172" s="8">
        <f t="shared" si="72"/>
        <v>25</v>
      </c>
      <c r="W172" s="8">
        <f t="shared" si="73"/>
        <v>-59</v>
      </c>
      <c r="X172" s="8">
        <f t="shared" si="74"/>
        <v>1096689.2399999946</v>
      </c>
      <c r="Y172" s="10">
        <v>103941334</v>
      </c>
      <c r="Z172" s="10">
        <v>0</v>
      </c>
      <c r="AA172" s="10">
        <v>541315</v>
      </c>
      <c r="AB172" s="10">
        <v>8484729</v>
      </c>
      <c r="AC172" s="10">
        <v>0</v>
      </c>
      <c r="AD172" s="10">
        <v>0</v>
      </c>
      <c r="AE172" s="10">
        <v>0</v>
      </c>
      <c r="AF172" s="10">
        <v>1093433</v>
      </c>
      <c r="AG172" s="10">
        <v>2542538</v>
      </c>
      <c r="AH172" s="10">
        <f t="shared" si="75"/>
        <v>17205918.040000007</v>
      </c>
      <c r="AI172" s="10">
        <v>133809267.04000001</v>
      </c>
      <c r="AJ172" s="10">
        <v>104388894</v>
      </c>
      <c r="AK172" s="10">
        <v>0</v>
      </c>
      <c r="AL172" s="10">
        <v>543646</v>
      </c>
      <c r="AM172" s="10">
        <v>8527434.5</v>
      </c>
      <c r="AN172" s="10">
        <v>0</v>
      </c>
      <c r="AO172" s="10">
        <v>0</v>
      </c>
      <c r="AP172" s="10">
        <v>379121.74000000005</v>
      </c>
      <c r="AQ172" s="10">
        <v>1318438</v>
      </c>
      <c r="AR172" s="10">
        <v>2542563</v>
      </c>
      <c r="AS172" s="10">
        <f t="shared" si="55"/>
        <v>17205859.040000007</v>
      </c>
      <c r="AT172" s="10">
        <v>134905956.28</v>
      </c>
      <c r="AU172" s="12">
        <v>1030920</v>
      </c>
      <c r="AV172" s="12">
        <v>221733.87256946339</v>
      </c>
      <c r="AW172" s="12">
        <v>195199.125</v>
      </c>
      <c r="AX172" s="12">
        <f t="shared" si="76"/>
        <v>1447852.9975694634</v>
      </c>
      <c r="AY172" s="12">
        <v>1152164.7830000001</v>
      </c>
      <c r="AZ172" s="12">
        <v>265663.31735786627</v>
      </c>
      <c r="BA172" s="12">
        <v>241368.32500000001</v>
      </c>
      <c r="BB172" s="12">
        <f t="shared" si="77"/>
        <v>1659196.4253578663</v>
      </c>
      <c r="BC172" s="12">
        <v>121244.78300000005</v>
      </c>
      <c r="BD172" s="12">
        <v>43929.444788402878</v>
      </c>
      <c r="BE172" s="12">
        <v>46169.199999999953</v>
      </c>
      <c r="BF172" s="12">
        <v>211343.42778840289</v>
      </c>
    </row>
    <row r="173" spans="1:58" x14ac:dyDescent="0.25">
      <c r="A173" s="7">
        <v>542</v>
      </c>
      <c r="B173" s="7">
        <v>1</v>
      </c>
      <c r="C173" s="7" t="s">
        <v>174</v>
      </c>
      <c r="D173" s="4">
        <v>6</v>
      </c>
      <c r="E173" s="10">
        <v>433</v>
      </c>
      <c r="F173" s="8">
        <f t="shared" si="56"/>
        <v>13047</v>
      </c>
      <c r="G173" s="8">
        <f t="shared" si="57"/>
        <v>11388.42</v>
      </c>
      <c r="H173" s="8">
        <f t="shared" si="58"/>
        <v>0</v>
      </c>
      <c r="I173" s="8">
        <f t="shared" si="59"/>
        <v>4.9999999999254214</v>
      </c>
      <c r="J173" s="8">
        <f t="shared" si="60"/>
        <v>24440.419999999925</v>
      </c>
      <c r="K173" s="8">
        <f t="shared" si="61"/>
        <v>5966.2529053730477</v>
      </c>
      <c r="L173" s="8">
        <f t="shared" si="62"/>
        <v>30406.672905372972</v>
      </c>
      <c r="M173" s="8">
        <f t="shared" si="63"/>
        <v>56.444387990761953</v>
      </c>
      <c r="N173" s="8">
        <f t="shared" si="64"/>
        <v>11666</v>
      </c>
      <c r="O173" s="8">
        <f t="shared" si="65"/>
        <v>17</v>
      </c>
      <c r="P173" s="8">
        <f t="shared" si="66"/>
        <v>487</v>
      </c>
      <c r="Q173" s="8">
        <f t="shared" si="67"/>
        <v>877</v>
      </c>
      <c r="R173" s="8">
        <f t="shared" si="68"/>
        <v>0</v>
      </c>
      <c r="S173" s="8">
        <f t="shared" si="69"/>
        <v>0</v>
      </c>
      <c r="T173" s="8">
        <f t="shared" si="70"/>
        <v>11388.42</v>
      </c>
      <c r="U173" s="8">
        <f t="shared" si="71"/>
        <v>0</v>
      </c>
      <c r="V173" s="8">
        <f t="shared" si="72"/>
        <v>5</v>
      </c>
      <c r="W173" s="8">
        <f t="shared" si="73"/>
        <v>0</v>
      </c>
      <c r="X173" s="8">
        <f t="shared" si="74"/>
        <v>24440.419999999925</v>
      </c>
      <c r="Y173" s="10">
        <v>2709370</v>
      </c>
      <c r="Z173" s="10">
        <v>3820</v>
      </c>
      <c r="AA173" s="10">
        <v>113162</v>
      </c>
      <c r="AB173" s="10">
        <v>174242</v>
      </c>
      <c r="AC173" s="10">
        <v>0</v>
      </c>
      <c r="AD173" s="10">
        <v>130459</v>
      </c>
      <c r="AE173" s="10">
        <v>0</v>
      </c>
      <c r="AF173" s="10">
        <v>0</v>
      </c>
      <c r="AG173" s="10">
        <v>60568</v>
      </c>
      <c r="AH173" s="10">
        <f t="shared" si="75"/>
        <v>418054.89000000013</v>
      </c>
      <c r="AI173" s="10">
        <v>3609675.89</v>
      </c>
      <c r="AJ173" s="10">
        <v>2721036</v>
      </c>
      <c r="AK173" s="10">
        <v>3837</v>
      </c>
      <c r="AL173" s="10">
        <v>113649</v>
      </c>
      <c r="AM173" s="10">
        <v>175119</v>
      </c>
      <c r="AN173" s="10">
        <v>0</v>
      </c>
      <c r="AO173" s="10">
        <v>130459</v>
      </c>
      <c r="AP173" s="10">
        <v>11388.42</v>
      </c>
      <c r="AQ173" s="10">
        <v>0</v>
      </c>
      <c r="AR173" s="10">
        <v>60573</v>
      </c>
      <c r="AS173" s="10">
        <f t="shared" si="55"/>
        <v>418054.89000000013</v>
      </c>
      <c r="AT173" s="10">
        <v>3634116.31</v>
      </c>
      <c r="AU173" s="12">
        <v>18000</v>
      </c>
      <c r="AV173" s="12">
        <v>5106.5704148704262</v>
      </c>
      <c r="AW173" s="12">
        <v>8296.875</v>
      </c>
      <c r="AX173" s="12">
        <f t="shared" si="76"/>
        <v>31403.445414870424</v>
      </c>
      <c r="AY173" s="12">
        <v>20116.95</v>
      </c>
      <c r="AZ173" s="12">
        <v>6118.2733202434674</v>
      </c>
      <c r="BA173" s="12">
        <v>11134.475</v>
      </c>
      <c r="BB173" s="12">
        <f t="shared" si="77"/>
        <v>37369.698320243471</v>
      </c>
      <c r="BC173" s="12">
        <v>2116.9500000000007</v>
      </c>
      <c r="BD173" s="12">
        <v>1011.7029053730412</v>
      </c>
      <c r="BE173" s="12">
        <v>2837.6000000000058</v>
      </c>
      <c r="BF173" s="12">
        <v>5966.2529053730477</v>
      </c>
    </row>
    <row r="174" spans="1:58" x14ac:dyDescent="0.25">
      <c r="A174" s="7">
        <v>544</v>
      </c>
      <c r="B174" s="7">
        <v>1</v>
      </c>
      <c r="C174" s="7" t="s">
        <v>175</v>
      </c>
      <c r="D174" s="4">
        <v>4</v>
      </c>
      <c r="E174" s="10">
        <v>2366</v>
      </c>
      <c r="F174" s="8">
        <f t="shared" si="56"/>
        <v>70966</v>
      </c>
      <c r="G174" s="8">
        <f t="shared" si="57"/>
        <v>52949.659999999996</v>
      </c>
      <c r="H174" s="8">
        <f t="shared" si="58"/>
        <v>0</v>
      </c>
      <c r="I174" s="8">
        <f t="shared" si="59"/>
        <v>1.5279510989785194E-10</v>
      </c>
      <c r="J174" s="8">
        <f t="shared" si="60"/>
        <v>123915.66000000015</v>
      </c>
      <c r="K174" s="8">
        <f t="shared" si="61"/>
        <v>29489.902586247212</v>
      </c>
      <c r="L174" s="8">
        <f t="shared" si="62"/>
        <v>153405.56258624737</v>
      </c>
      <c r="M174" s="8">
        <f t="shared" si="63"/>
        <v>52.37348267117504</v>
      </c>
      <c r="N174" s="8">
        <f t="shared" si="64"/>
        <v>63845</v>
      </c>
      <c r="O174" s="8">
        <f t="shared" si="65"/>
        <v>941</v>
      </c>
      <c r="P174" s="8">
        <f t="shared" si="66"/>
        <v>1701</v>
      </c>
      <c r="Q174" s="8">
        <f t="shared" si="67"/>
        <v>4479</v>
      </c>
      <c r="R174" s="8">
        <f t="shared" si="68"/>
        <v>0</v>
      </c>
      <c r="S174" s="8">
        <f t="shared" si="69"/>
        <v>0</v>
      </c>
      <c r="T174" s="8">
        <f t="shared" si="70"/>
        <v>52949.659999999996</v>
      </c>
      <c r="U174" s="8">
        <f t="shared" si="71"/>
        <v>0</v>
      </c>
      <c r="V174" s="8">
        <f t="shared" si="72"/>
        <v>0</v>
      </c>
      <c r="W174" s="8">
        <f t="shared" si="73"/>
        <v>0</v>
      </c>
      <c r="X174" s="8">
        <f t="shared" si="74"/>
        <v>123915.66000000015</v>
      </c>
      <c r="Y174" s="10">
        <v>14827363</v>
      </c>
      <c r="Z174" s="10">
        <v>218491</v>
      </c>
      <c r="AA174" s="10">
        <v>395216</v>
      </c>
      <c r="AB174" s="10">
        <v>889888</v>
      </c>
      <c r="AC174" s="10">
        <v>0</v>
      </c>
      <c r="AD174" s="10">
        <v>0</v>
      </c>
      <c r="AE174" s="10">
        <v>0</v>
      </c>
      <c r="AF174" s="10">
        <v>14451</v>
      </c>
      <c r="AG174" s="10">
        <v>367747</v>
      </c>
      <c r="AH174" s="10">
        <f t="shared" si="75"/>
        <v>2039628.3599999994</v>
      </c>
      <c r="AI174" s="10">
        <v>18752784.359999999</v>
      </c>
      <c r="AJ174" s="10">
        <v>14891208</v>
      </c>
      <c r="AK174" s="10">
        <v>219432</v>
      </c>
      <c r="AL174" s="10">
        <v>396917</v>
      </c>
      <c r="AM174" s="10">
        <v>894367</v>
      </c>
      <c r="AN174" s="10">
        <v>0</v>
      </c>
      <c r="AO174" s="10">
        <v>0</v>
      </c>
      <c r="AP174" s="10">
        <v>52949.659999999996</v>
      </c>
      <c r="AQ174" s="10">
        <v>14451</v>
      </c>
      <c r="AR174" s="10">
        <v>367747</v>
      </c>
      <c r="AS174" s="10">
        <f t="shared" si="55"/>
        <v>2039628.3599999994</v>
      </c>
      <c r="AT174" s="10">
        <v>18876700.02</v>
      </c>
      <c r="AU174" s="12">
        <v>115560</v>
      </c>
      <c r="AV174" s="12">
        <v>29287.026401582836</v>
      </c>
      <c r="AW174" s="12">
        <v>28495.875</v>
      </c>
      <c r="AX174" s="12">
        <f t="shared" si="76"/>
        <v>173342.90140158284</v>
      </c>
      <c r="AY174" s="12">
        <v>129150.819</v>
      </c>
      <c r="AZ174" s="12">
        <v>35089.309987830056</v>
      </c>
      <c r="BA174" s="12">
        <v>38592.675000000003</v>
      </c>
      <c r="BB174" s="12">
        <f t="shared" si="77"/>
        <v>202832.80398783006</v>
      </c>
      <c r="BC174" s="12">
        <v>13590.819000000003</v>
      </c>
      <c r="BD174" s="12">
        <v>5802.2835862472202</v>
      </c>
      <c r="BE174" s="12">
        <v>10096.799999999988</v>
      </c>
      <c r="BF174" s="12">
        <v>29489.902586247212</v>
      </c>
    </row>
    <row r="175" spans="1:58" x14ac:dyDescent="0.25">
      <c r="A175" s="7">
        <v>545</v>
      </c>
      <c r="B175" s="7">
        <v>1</v>
      </c>
      <c r="C175" s="7" t="s">
        <v>176</v>
      </c>
      <c r="D175" s="4">
        <v>6</v>
      </c>
      <c r="E175" s="10">
        <v>378</v>
      </c>
      <c r="F175" s="8">
        <f t="shared" si="56"/>
        <v>12562.75</v>
      </c>
      <c r="G175" s="8">
        <f t="shared" si="57"/>
        <v>10856.900000000001</v>
      </c>
      <c r="H175" s="8">
        <f t="shared" si="58"/>
        <v>0</v>
      </c>
      <c r="I175" s="8">
        <f t="shared" si="59"/>
        <v>12.999999999905413</v>
      </c>
      <c r="J175" s="8">
        <f t="shared" si="60"/>
        <v>23432.649999999907</v>
      </c>
      <c r="K175" s="8">
        <f t="shared" si="61"/>
        <v>5881.8531170379983</v>
      </c>
      <c r="L175" s="8">
        <f t="shared" si="62"/>
        <v>29314.503117037904</v>
      </c>
      <c r="M175" s="8">
        <f t="shared" si="63"/>
        <v>61.991137566137319</v>
      </c>
      <c r="N175" s="8">
        <f t="shared" si="64"/>
        <v>10480</v>
      </c>
      <c r="O175" s="8">
        <f t="shared" si="65"/>
        <v>23</v>
      </c>
      <c r="P175" s="8">
        <f t="shared" si="66"/>
        <v>424</v>
      </c>
      <c r="Q175" s="8">
        <f t="shared" si="67"/>
        <v>1025.75</v>
      </c>
      <c r="R175" s="8">
        <f t="shared" si="68"/>
        <v>610</v>
      </c>
      <c r="S175" s="8">
        <f t="shared" si="69"/>
        <v>0</v>
      </c>
      <c r="T175" s="8">
        <f t="shared" si="70"/>
        <v>10856.900000000001</v>
      </c>
      <c r="U175" s="8">
        <f t="shared" si="71"/>
        <v>0</v>
      </c>
      <c r="V175" s="8">
        <f t="shared" si="72"/>
        <v>13</v>
      </c>
      <c r="W175" s="8">
        <f t="shared" si="73"/>
        <v>0</v>
      </c>
      <c r="X175" s="8">
        <f t="shared" si="74"/>
        <v>23432.649999999907</v>
      </c>
      <c r="Y175" s="10">
        <v>2433875</v>
      </c>
      <c r="Z175" s="10">
        <v>5202</v>
      </c>
      <c r="AA175" s="10">
        <v>98323</v>
      </c>
      <c r="AB175" s="10">
        <v>203796</v>
      </c>
      <c r="AC175" s="10">
        <v>128722</v>
      </c>
      <c r="AD175" s="10">
        <v>128465</v>
      </c>
      <c r="AE175" s="10">
        <v>0</v>
      </c>
      <c r="AF175" s="10">
        <v>0</v>
      </c>
      <c r="AG175" s="10">
        <v>42162</v>
      </c>
      <c r="AH175" s="10">
        <f t="shared" si="75"/>
        <v>690715.35999999987</v>
      </c>
      <c r="AI175" s="10">
        <v>3731260.36</v>
      </c>
      <c r="AJ175" s="10">
        <v>2444355</v>
      </c>
      <c r="AK175" s="10">
        <v>5225</v>
      </c>
      <c r="AL175" s="10">
        <v>98747</v>
      </c>
      <c r="AM175" s="10">
        <v>204821.75</v>
      </c>
      <c r="AN175" s="10">
        <v>129332</v>
      </c>
      <c r="AO175" s="10">
        <v>128465</v>
      </c>
      <c r="AP175" s="10">
        <v>10856.900000000001</v>
      </c>
      <c r="AQ175" s="10">
        <v>0</v>
      </c>
      <c r="AR175" s="10">
        <v>42175</v>
      </c>
      <c r="AS175" s="10">
        <f t="shared" si="55"/>
        <v>690715.35999999987</v>
      </c>
      <c r="AT175" s="10">
        <v>3754693.01</v>
      </c>
      <c r="AU175" s="12">
        <v>18000</v>
      </c>
      <c r="AV175" s="12">
        <v>3945.6464832493066</v>
      </c>
      <c r="AW175" s="12">
        <v>6260.75</v>
      </c>
      <c r="AX175" s="12">
        <f t="shared" si="76"/>
        <v>28206.396483249307</v>
      </c>
      <c r="AY175" s="12">
        <v>20116.95</v>
      </c>
      <c r="AZ175" s="12">
        <v>4727.3496002873071</v>
      </c>
      <c r="BA175" s="12">
        <v>9243.9500000000007</v>
      </c>
      <c r="BB175" s="12">
        <f t="shared" si="77"/>
        <v>34088.249600287309</v>
      </c>
      <c r="BC175" s="12">
        <v>2116.9500000000007</v>
      </c>
      <c r="BD175" s="12">
        <v>781.70311703800053</v>
      </c>
      <c r="BE175" s="12">
        <v>2983.1999999999971</v>
      </c>
      <c r="BF175" s="12">
        <v>5881.8531170379983</v>
      </c>
    </row>
    <row r="176" spans="1:58" x14ac:dyDescent="0.25">
      <c r="A176" s="7">
        <v>547</v>
      </c>
      <c r="B176" s="7">
        <v>1</v>
      </c>
      <c r="C176" s="7" t="s">
        <v>177</v>
      </c>
      <c r="D176" s="4">
        <v>6</v>
      </c>
      <c r="E176" s="10">
        <v>485</v>
      </c>
      <c r="F176" s="8">
        <f t="shared" si="56"/>
        <v>15558.75</v>
      </c>
      <c r="G176" s="8">
        <f t="shared" si="57"/>
        <v>13233.64</v>
      </c>
      <c r="H176" s="8">
        <f t="shared" si="58"/>
        <v>0</v>
      </c>
      <c r="I176" s="8">
        <f t="shared" si="59"/>
        <v>15.000000000596629</v>
      </c>
      <c r="J176" s="8">
        <f t="shared" si="60"/>
        <v>28807.390000000596</v>
      </c>
      <c r="K176" s="8">
        <f t="shared" si="61"/>
        <v>7018.5520575749342</v>
      </c>
      <c r="L176" s="8">
        <f t="shared" si="62"/>
        <v>35825.942057575528</v>
      </c>
      <c r="M176" s="8">
        <f t="shared" si="63"/>
        <v>59.396680412372362</v>
      </c>
      <c r="N176" s="8">
        <f t="shared" si="64"/>
        <v>13295</v>
      </c>
      <c r="O176" s="8">
        <f t="shared" si="65"/>
        <v>139</v>
      </c>
      <c r="P176" s="8">
        <f t="shared" si="66"/>
        <v>599</v>
      </c>
      <c r="Q176" s="8">
        <f t="shared" si="67"/>
        <v>843.75</v>
      </c>
      <c r="R176" s="8">
        <f t="shared" si="68"/>
        <v>682</v>
      </c>
      <c r="S176" s="8">
        <f t="shared" si="69"/>
        <v>0</v>
      </c>
      <c r="T176" s="8">
        <f t="shared" si="70"/>
        <v>13233.64</v>
      </c>
      <c r="U176" s="8">
        <f t="shared" si="71"/>
        <v>0</v>
      </c>
      <c r="V176" s="8">
        <f t="shared" si="72"/>
        <v>15</v>
      </c>
      <c r="W176" s="8">
        <f t="shared" si="73"/>
        <v>0</v>
      </c>
      <c r="X176" s="8">
        <f t="shared" si="74"/>
        <v>28807.390000000596</v>
      </c>
      <c r="Y176" s="10">
        <v>3087631</v>
      </c>
      <c r="Z176" s="10">
        <v>32188</v>
      </c>
      <c r="AA176" s="10">
        <v>139157</v>
      </c>
      <c r="AB176" s="10">
        <v>167636</v>
      </c>
      <c r="AC176" s="10">
        <v>143959</v>
      </c>
      <c r="AD176" s="10">
        <v>129039</v>
      </c>
      <c r="AE176" s="10">
        <v>0</v>
      </c>
      <c r="AF176" s="10">
        <v>0</v>
      </c>
      <c r="AG176" s="10">
        <v>54736</v>
      </c>
      <c r="AH176" s="10">
        <f t="shared" si="75"/>
        <v>780183.83999999985</v>
      </c>
      <c r="AI176" s="10">
        <v>4534529.84</v>
      </c>
      <c r="AJ176" s="10">
        <v>3100926</v>
      </c>
      <c r="AK176" s="10">
        <v>32327</v>
      </c>
      <c r="AL176" s="10">
        <v>139756</v>
      </c>
      <c r="AM176" s="10">
        <v>168479.75</v>
      </c>
      <c r="AN176" s="10">
        <v>144641</v>
      </c>
      <c r="AO176" s="10">
        <v>129039</v>
      </c>
      <c r="AP176" s="10">
        <v>13233.64</v>
      </c>
      <c r="AQ176" s="10">
        <v>0</v>
      </c>
      <c r="AR176" s="10">
        <v>54751</v>
      </c>
      <c r="AS176" s="10">
        <f t="shared" si="55"/>
        <v>780183.84000000032</v>
      </c>
      <c r="AT176" s="10">
        <v>4563337.2300000004</v>
      </c>
      <c r="AU176" s="12">
        <v>18000</v>
      </c>
      <c r="AV176" s="12">
        <v>4417.5823856095067</v>
      </c>
      <c r="AW176" s="12">
        <v>8858.5</v>
      </c>
      <c r="AX176" s="12">
        <f t="shared" si="76"/>
        <v>31276.082385609508</v>
      </c>
      <c r="AY176" s="12">
        <v>20116.95</v>
      </c>
      <c r="AZ176" s="12">
        <v>5292.784443184446</v>
      </c>
      <c r="BA176" s="12">
        <v>12884.9</v>
      </c>
      <c r="BB176" s="12">
        <f t="shared" si="77"/>
        <v>38294.634443184448</v>
      </c>
      <c r="BC176" s="12">
        <v>2116.9500000000007</v>
      </c>
      <c r="BD176" s="12">
        <v>875.20205757493932</v>
      </c>
      <c r="BE176" s="12">
        <v>4026.3999999999942</v>
      </c>
      <c r="BF176" s="12">
        <v>7018.5520575749342</v>
      </c>
    </row>
    <row r="177" spans="1:58" x14ac:dyDescent="0.25">
      <c r="A177" s="7">
        <v>548</v>
      </c>
      <c r="B177" s="7">
        <v>1</v>
      </c>
      <c r="C177" s="7" t="s">
        <v>178</v>
      </c>
      <c r="D177" s="4">
        <v>6</v>
      </c>
      <c r="E177" s="10">
        <v>900</v>
      </c>
      <c r="F177" s="8">
        <f t="shared" si="56"/>
        <v>28363</v>
      </c>
      <c r="G177" s="8">
        <f t="shared" si="57"/>
        <v>22906.699999999997</v>
      </c>
      <c r="H177" s="8">
        <f t="shared" si="58"/>
        <v>10294</v>
      </c>
      <c r="I177" s="8">
        <f t="shared" si="59"/>
        <v>13.000000000189175</v>
      </c>
      <c r="J177" s="8">
        <f t="shared" si="60"/>
        <v>61576.700000000186</v>
      </c>
      <c r="K177" s="8">
        <f t="shared" si="61"/>
        <v>12297.259479677501</v>
      </c>
      <c r="L177" s="8">
        <f t="shared" si="62"/>
        <v>73873.959479677695</v>
      </c>
      <c r="M177" s="8">
        <f t="shared" si="63"/>
        <v>68.418555555555756</v>
      </c>
      <c r="N177" s="8">
        <f t="shared" si="64"/>
        <v>24625</v>
      </c>
      <c r="O177" s="8">
        <f t="shared" si="65"/>
        <v>89</v>
      </c>
      <c r="P177" s="8">
        <f t="shared" si="66"/>
        <v>904</v>
      </c>
      <c r="Q177" s="8">
        <f t="shared" si="67"/>
        <v>2745</v>
      </c>
      <c r="R177" s="8">
        <f t="shared" si="68"/>
        <v>0</v>
      </c>
      <c r="S177" s="8">
        <f t="shared" si="69"/>
        <v>0</v>
      </c>
      <c r="T177" s="8">
        <f t="shared" si="70"/>
        <v>22906.699999999997</v>
      </c>
      <c r="U177" s="8">
        <f t="shared" si="71"/>
        <v>10294</v>
      </c>
      <c r="V177" s="8">
        <f t="shared" si="72"/>
        <v>13</v>
      </c>
      <c r="W177" s="8">
        <f t="shared" si="73"/>
        <v>0</v>
      </c>
      <c r="X177" s="8">
        <f t="shared" si="74"/>
        <v>61576.700000000186</v>
      </c>
      <c r="Y177" s="10">
        <v>5718910</v>
      </c>
      <c r="Z177" s="10">
        <v>20809</v>
      </c>
      <c r="AA177" s="10">
        <v>210047</v>
      </c>
      <c r="AB177" s="10">
        <v>545377</v>
      </c>
      <c r="AC177" s="10">
        <v>0</v>
      </c>
      <c r="AD177" s="10">
        <v>0</v>
      </c>
      <c r="AE177" s="10">
        <v>0</v>
      </c>
      <c r="AF177" s="10">
        <v>78514</v>
      </c>
      <c r="AG177" s="10">
        <v>122490</v>
      </c>
      <c r="AH177" s="10">
        <f t="shared" si="75"/>
        <v>1066993.5099999998</v>
      </c>
      <c r="AI177" s="10">
        <v>7763140.5099999998</v>
      </c>
      <c r="AJ177" s="10">
        <v>5743535</v>
      </c>
      <c r="AK177" s="10">
        <v>20898</v>
      </c>
      <c r="AL177" s="10">
        <v>210951</v>
      </c>
      <c r="AM177" s="10">
        <v>548122</v>
      </c>
      <c r="AN177" s="10">
        <v>0</v>
      </c>
      <c r="AO177" s="10">
        <v>0</v>
      </c>
      <c r="AP177" s="10">
        <v>22906.699999999997</v>
      </c>
      <c r="AQ177" s="10">
        <v>88808</v>
      </c>
      <c r="AR177" s="10">
        <v>122503</v>
      </c>
      <c r="AS177" s="10">
        <f t="shared" si="55"/>
        <v>1066993.5099999998</v>
      </c>
      <c r="AT177" s="10">
        <v>7824717.21</v>
      </c>
      <c r="AU177" s="12">
        <v>39240</v>
      </c>
      <c r="AV177" s="12">
        <v>12959.499051172163</v>
      </c>
      <c r="AW177" s="12">
        <v>13560</v>
      </c>
      <c r="AX177" s="12">
        <f t="shared" si="76"/>
        <v>65759.49905117217</v>
      </c>
      <c r="AY177" s="12">
        <v>43854.951000000001</v>
      </c>
      <c r="AZ177" s="12">
        <v>15527.00753084966</v>
      </c>
      <c r="BA177" s="12">
        <v>18674.8</v>
      </c>
      <c r="BB177" s="12">
        <f t="shared" si="77"/>
        <v>78056.758530849664</v>
      </c>
      <c r="BC177" s="12">
        <v>4614.9510000000009</v>
      </c>
      <c r="BD177" s="12">
        <v>2567.5084796774972</v>
      </c>
      <c r="BE177" s="12">
        <v>5114.8000000000029</v>
      </c>
      <c r="BF177" s="12">
        <v>12297.259479677501</v>
      </c>
    </row>
    <row r="178" spans="1:58" x14ac:dyDescent="0.25">
      <c r="A178" s="7">
        <v>549</v>
      </c>
      <c r="B178" s="7">
        <v>1</v>
      </c>
      <c r="C178" s="7" t="s">
        <v>179</v>
      </c>
      <c r="D178" s="4">
        <v>5</v>
      </c>
      <c r="E178" s="10">
        <v>1302</v>
      </c>
      <c r="F178" s="8">
        <f t="shared" si="56"/>
        <v>39174.75</v>
      </c>
      <c r="G178" s="8">
        <f t="shared" si="57"/>
        <v>33691.120000000003</v>
      </c>
      <c r="H178" s="8">
        <f t="shared" si="58"/>
        <v>1558</v>
      </c>
      <c r="I178" s="8">
        <f t="shared" si="59"/>
        <v>-32.000000000822183</v>
      </c>
      <c r="J178" s="8">
        <f t="shared" si="60"/>
        <v>74391.86999999918</v>
      </c>
      <c r="K178" s="8">
        <f t="shared" si="61"/>
        <v>17603.737995657888</v>
      </c>
      <c r="L178" s="8">
        <f t="shared" si="62"/>
        <v>91995.607995657076</v>
      </c>
      <c r="M178" s="8">
        <f t="shared" si="63"/>
        <v>57.136612903225178</v>
      </c>
      <c r="N178" s="8">
        <f t="shared" si="64"/>
        <v>35027</v>
      </c>
      <c r="O178" s="8">
        <f t="shared" si="65"/>
        <v>230</v>
      </c>
      <c r="P178" s="8">
        <f t="shared" si="66"/>
        <v>1290</v>
      </c>
      <c r="Q178" s="8">
        <f t="shared" si="67"/>
        <v>2627.75</v>
      </c>
      <c r="R178" s="8">
        <f t="shared" si="68"/>
        <v>0</v>
      </c>
      <c r="S178" s="8">
        <f t="shared" si="69"/>
        <v>0</v>
      </c>
      <c r="T178" s="8">
        <f t="shared" si="70"/>
        <v>33691.120000000003</v>
      </c>
      <c r="U178" s="8">
        <f t="shared" si="71"/>
        <v>1558</v>
      </c>
      <c r="V178" s="8">
        <f t="shared" si="72"/>
        <v>0</v>
      </c>
      <c r="W178" s="8">
        <f t="shared" si="73"/>
        <v>-32</v>
      </c>
      <c r="X178" s="8">
        <f t="shared" si="74"/>
        <v>74391.86999999918</v>
      </c>
      <c r="Y178" s="10">
        <v>8134496</v>
      </c>
      <c r="Z178" s="10">
        <v>53322</v>
      </c>
      <c r="AA178" s="10">
        <v>299566</v>
      </c>
      <c r="AB178" s="10">
        <v>522081</v>
      </c>
      <c r="AC178" s="10">
        <v>0</v>
      </c>
      <c r="AD178" s="10">
        <v>0</v>
      </c>
      <c r="AE178" s="10">
        <v>0</v>
      </c>
      <c r="AF178" s="10">
        <v>15532</v>
      </c>
      <c r="AG178" s="10">
        <v>201752</v>
      </c>
      <c r="AH178" s="10">
        <f t="shared" si="75"/>
        <v>940964.72000000067</v>
      </c>
      <c r="AI178" s="10">
        <v>10167713.720000001</v>
      </c>
      <c r="AJ178" s="10">
        <v>8169523</v>
      </c>
      <c r="AK178" s="10">
        <v>53552</v>
      </c>
      <c r="AL178" s="10">
        <v>300856</v>
      </c>
      <c r="AM178" s="10">
        <v>524708.75</v>
      </c>
      <c r="AN178" s="10">
        <v>0</v>
      </c>
      <c r="AO178" s="10">
        <v>0</v>
      </c>
      <c r="AP178" s="10">
        <v>33691.120000000003</v>
      </c>
      <c r="AQ178" s="10">
        <v>17090</v>
      </c>
      <c r="AR178" s="10">
        <v>201752</v>
      </c>
      <c r="AS178" s="10">
        <f t="shared" si="55"/>
        <v>940932.72000000067</v>
      </c>
      <c r="AT178" s="10">
        <v>10242105.59</v>
      </c>
      <c r="AU178" s="12">
        <v>51600</v>
      </c>
      <c r="AV178" s="12">
        <v>13872.28650808326</v>
      </c>
      <c r="AW178" s="12">
        <v>23489.75</v>
      </c>
      <c r="AX178" s="12">
        <f t="shared" si="76"/>
        <v>88962.036508083256</v>
      </c>
      <c r="AY178" s="12">
        <v>57668.59</v>
      </c>
      <c r="AZ178" s="12">
        <v>16620.634503741163</v>
      </c>
      <c r="BA178" s="12">
        <v>32276.550000000003</v>
      </c>
      <c r="BB178" s="12">
        <f t="shared" si="77"/>
        <v>106565.77450374117</v>
      </c>
      <c r="BC178" s="12">
        <v>6068.5899999999965</v>
      </c>
      <c r="BD178" s="12">
        <v>2748.3479956579031</v>
      </c>
      <c r="BE178" s="12">
        <v>8786.7999999999884</v>
      </c>
      <c r="BF178" s="12">
        <v>17603.737995657888</v>
      </c>
    </row>
    <row r="179" spans="1:58" x14ac:dyDescent="0.25">
      <c r="A179" s="7">
        <v>550</v>
      </c>
      <c r="B179" s="7">
        <v>1</v>
      </c>
      <c r="C179" s="7" t="s">
        <v>180</v>
      </c>
      <c r="D179" s="4">
        <v>6</v>
      </c>
      <c r="E179" s="10">
        <v>550</v>
      </c>
      <c r="F179" s="8">
        <f t="shared" si="56"/>
        <v>17432.75</v>
      </c>
      <c r="G179" s="8">
        <f t="shared" si="57"/>
        <v>12871.240000000002</v>
      </c>
      <c r="H179" s="8">
        <f t="shared" si="58"/>
        <v>0</v>
      </c>
      <c r="I179" s="8">
        <f t="shared" si="59"/>
        <v>1.0000000002219167</v>
      </c>
      <c r="J179" s="8">
        <f t="shared" si="60"/>
        <v>30304.990000000224</v>
      </c>
      <c r="K179" s="8">
        <f t="shared" si="61"/>
        <v>9570.8285906192614</v>
      </c>
      <c r="L179" s="8">
        <f t="shared" si="62"/>
        <v>39875.818590619485</v>
      </c>
      <c r="M179" s="8">
        <f t="shared" si="63"/>
        <v>55.099981818182222</v>
      </c>
      <c r="N179" s="8">
        <f t="shared" si="64"/>
        <v>15065</v>
      </c>
      <c r="O179" s="8">
        <f t="shared" si="65"/>
        <v>0</v>
      </c>
      <c r="P179" s="8">
        <f t="shared" si="66"/>
        <v>687</v>
      </c>
      <c r="Q179" s="8">
        <f t="shared" si="67"/>
        <v>1680.75</v>
      </c>
      <c r="R179" s="8">
        <f t="shared" si="68"/>
        <v>0</v>
      </c>
      <c r="S179" s="8">
        <f t="shared" si="69"/>
        <v>0</v>
      </c>
      <c r="T179" s="8">
        <f t="shared" si="70"/>
        <v>12871.240000000002</v>
      </c>
      <c r="U179" s="8">
        <f t="shared" si="71"/>
        <v>0</v>
      </c>
      <c r="V179" s="8">
        <f t="shared" si="72"/>
        <v>1</v>
      </c>
      <c r="W179" s="8">
        <f t="shared" si="73"/>
        <v>0</v>
      </c>
      <c r="X179" s="8">
        <f t="shared" si="74"/>
        <v>30304.990000000224</v>
      </c>
      <c r="Y179" s="10">
        <v>3498696</v>
      </c>
      <c r="Z179" s="10">
        <v>0</v>
      </c>
      <c r="AA179" s="10">
        <v>159642</v>
      </c>
      <c r="AB179" s="10">
        <v>333931</v>
      </c>
      <c r="AC179" s="10">
        <v>0</v>
      </c>
      <c r="AD179" s="10">
        <v>122043</v>
      </c>
      <c r="AE179" s="10">
        <v>0</v>
      </c>
      <c r="AF179" s="10">
        <v>0</v>
      </c>
      <c r="AG179" s="10">
        <v>84699</v>
      </c>
      <c r="AH179" s="10">
        <f t="shared" si="75"/>
        <v>389085.37000000011</v>
      </c>
      <c r="AI179" s="10">
        <v>4588096.37</v>
      </c>
      <c r="AJ179" s="10">
        <v>3513761</v>
      </c>
      <c r="AK179" s="10">
        <v>0</v>
      </c>
      <c r="AL179" s="10">
        <v>160329</v>
      </c>
      <c r="AM179" s="10">
        <v>335611.75</v>
      </c>
      <c r="AN179" s="10">
        <v>0</v>
      </c>
      <c r="AO179" s="10">
        <v>122043</v>
      </c>
      <c r="AP179" s="10">
        <v>12871.240000000002</v>
      </c>
      <c r="AQ179" s="10">
        <v>0</v>
      </c>
      <c r="AR179" s="10">
        <v>84700</v>
      </c>
      <c r="AS179" s="10">
        <f t="shared" si="55"/>
        <v>389085.37000000011</v>
      </c>
      <c r="AT179" s="10">
        <v>4618401.3600000003</v>
      </c>
      <c r="AU179" s="12">
        <v>18000</v>
      </c>
      <c r="AV179" s="12">
        <v>5767.6701861507308</v>
      </c>
      <c r="AW179" s="12">
        <v>10992.75</v>
      </c>
      <c r="AX179" s="12">
        <f t="shared" si="76"/>
        <v>34760.420186150732</v>
      </c>
      <c r="AY179" s="12">
        <v>20116.95</v>
      </c>
      <c r="AZ179" s="12">
        <v>6910.3487767699944</v>
      </c>
      <c r="BA179" s="12">
        <v>17303.95</v>
      </c>
      <c r="BB179" s="12">
        <f t="shared" si="77"/>
        <v>44331.248776769993</v>
      </c>
      <c r="BC179" s="12">
        <v>2116.9500000000007</v>
      </c>
      <c r="BD179" s="12">
        <v>1142.6785906192636</v>
      </c>
      <c r="BE179" s="12">
        <v>6311.1999999999971</v>
      </c>
      <c r="BF179" s="12">
        <v>9570.8285906192614</v>
      </c>
    </row>
    <row r="180" spans="1:58" x14ac:dyDescent="0.25">
      <c r="A180" s="7">
        <v>553</v>
      </c>
      <c r="B180" s="7">
        <v>1</v>
      </c>
      <c r="C180" s="7" t="s">
        <v>181</v>
      </c>
      <c r="D180" s="4">
        <v>6</v>
      </c>
      <c r="E180" s="10">
        <v>725</v>
      </c>
      <c r="F180" s="8">
        <f t="shared" si="56"/>
        <v>22188.75</v>
      </c>
      <c r="G180" s="8">
        <f t="shared" si="57"/>
        <v>16163.04</v>
      </c>
      <c r="H180" s="8">
        <f t="shared" si="58"/>
        <v>0</v>
      </c>
      <c r="I180" s="8">
        <f t="shared" si="59"/>
        <v>4.0000000000363798</v>
      </c>
      <c r="J180" s="8">
        <f t="shared" si="60"/>
        <v>38355.790000000037</v>
      </c>
      <c r="K180" s="8">
        <f t="shared" si="61"/>
        <v>9909.4594972999676</v>
      </c>
      <c r="L180" s="8">
        <f t="shared" si="62"/>
        <v>48265.249497300007</v>
      </c>
      <c r="M180" s="8">
        <f t="shared" si="63"/>
        <v>52.904537931034533</v>
      </c>
      <c r="N180" s="8">
        <f t="shared" si="64"/>
        <v>19715</v>
      </c>
      <c r="O180" s="8">
        <f t="shared" si="65"/>
        <v>0</v>
      </c>
      <c r="P180" s="8">
        <f t="shared" si="66"/>
        <v>760</v>
      </c>
      <c r="Q180" s="8">
        <f t="shared" si="67"/>
        <v>1713.75</v>
      </c>
      <c r="R180" s="8">
        <f t="shared" si="68"/>
        <v>0</v>
      </c>
      <c r="S180" s="8">
        <f t="shared" si="69"/>
        <v>0</v>
      </c>
      <c r="T180" s="8">
        <f t="shared" si="70"/>
        <v>16163.04</v>
      </c>
      <c r="U180" s="8">
        <f t="shared" si="71"/>
        <v>0</v>
      </c>
      <c r="V180" s="8">
        <f t="shared" si="72"/>
        <v>4</v>
      </c>
      <c r="W180" s="8">
        <f t="shared" si="73"/>
        <v>0</v>
      </c>
      <c r="X180" s="8">
        <f t="shared" si="74"/>
        <v>38355.790000000037</v>
      </c>
      <c r="Y180" s="10">
        <v>4578612</v>
      </c>
      <c r="Z180" s="10">
        <v>0</v>
      </c>
      <c r="AA180" s="10">
        <v>176564</v>
      </c>
      <c r="AB180" s="10">
        <v>340488</v>
      </c>
      <c r="AC180" s="10">
        <v>0</v>
      </c>
      <c r="AD180" s="10">
        <v>76594</v>
      </c>
      <c r="AE180" s="10">
        <v>0</v>
      </c>
      <c r="AF180" s="10">
        <v>0</v>
      </c>
      <c r="AG180" s="10">
        <v>107689</v>
      </c>
      <c r="AH180" s="10">
        <f t="shared" si="75"/>
        <v>568216.44000000041</v>
      </c>
      <c r="AI180" s="10">
        <v>5848163.4400000004</v>
      </c>
      <c r="AJ180" s="10">
        <v>4598327</v>
      </c>
      <c r="AK180" s="10">
        <v>0</v>
      </c>
      <c r="AL180" s="10">
        <v>177324</v>
      </c>
      <c r="AM180" s="10">
        <v>342201.75</v>
      </c>
      <c r="AN180" s="10">
        <v>0</v>
      </c>
      <c r="AO180" s="10">
        <v>76594</v>
      </c>
      <c r="AP180" s="10">
        <v>16163.04</v>
      </c>
      <c r="AQ180" s="10">
        <v>0</v>
      </c>
      <c r="AR180" s="10">
        <v>107693</v>
      </c>
      <c r="AS180" s="10">
        <f t="shared" ref="AS180:AS243" si="78">AT180-SUM(AJ180:AR180)</f>
        <v>568216.44000000041</v>
      </c>
      <c r="AT180" s="10">
        <v>5886519.2300000004</v>
      </c>
      <c r="AU180" s="12">
        <v>23880</v>
      </c>
      <c r="AV180" s="12">
        <v>8529.126680121597</v>
      </c>
      <c r="AW180" s="12">
        <v>12139</v>
      </c>
      <c r="AX180" s="12">
        <f t="shared" si="76"/>
        <v>44548.126680121597</v>
      </c>
      <c r="AY180" s="12">
        <v>26688.487000000001</v>
      </c>
      <c r="AZ180" s="12">
        <v>10218.899177421566</v>
      </c>
      <c r="BA180" s="12">
        <v>17550.2</v>
      </c>
      <c r="BB180" s="12">
        <f t="shared" si="77"/>
        <v>54457.586177421574</v>
      </c>
      <c r="BC180" s="12">
        <v>2808.487000000001</v>
      </c>
      <c r="BD180" s="12">
        <v>1689.7724972999695</v>
      </c>
      <c r="BE180" s="12">
        <v>5411.1999999999971</v>
      </c>
      <c r="BF180" s="12">
        <v>9909.4594972999676</v>
      </c>
    </row>
    <row r="181" spans="1:58" x14ac:dyDescent="0.25">
      <c r="A181" s="7">
        <v>561</v>
      </c>
      <c r="B181" s="7">
        <v>1</v>
      </c>
      <c r="C181" s="7" t="s">
        <v>182</v>
      </c>
      <c r="D181" s="4">
        <v>6</v>
      </c>
      <c r="E181" s="10">
        <v>206</v>
      </c>
      <c r="F181" s="8">
        <f t="shared" si="56"/>
        <v>8205.75</v>
      </c>
      <c r="G181" s="8">
        <f t="shared" si="57"/>
        <v>6644</v>
      </c>
      <c r="H181" s="8">
        <f t="shared" si="58"/>
        <v>0</v>
      </c>
      <c r="I181" s="8">
        <f t="shared" si="59"/>
        <v>0</v>
      </c>
      <c r="J181" s="8">
        <f t="shared" si="60"/>
        <v>14849.75</v>
      </c>
      <c r="K181" s="8">
        <f t="shared" si="61"/>
        <v>4292.7236772246197</v>
      </c>
      <c r="L181" s="8">
        <f t="shared" si="62"/>
        <v>19142.473677224618</v>
      </c>
      <c r="M181" s="8">
        <f t="shared" si="63"/>
        <v>72.086165048543691</v>
      </c>
      <c r="N181" s="8">
        <f t="shared" si="64"/>
        <v>5540</v>
      </c>
      <c r="O181" s="8">
        <f t="shared" si="65"/>
        <v>0</v>
      </c>
      <c r="P181" s="8">
        <f t="shared" si="66"/>
        <v>458</v>
      </c>
      <c r="Q181" s="8">
        <f t="shared" si="67"/>
        <v>562.75</v>
      </c>
      <c r="R181" s="8">
        <f t="shared" si="68"/>
        <v>1645</v>
      </c>
      <c r="S181" s="8">
        <f t="shared" si="69"/>
        <v>0</v>
      </c>
      <c r="T181" s="8">
        <f t="shared" si="70"/>
        <v>6644</v>
      </c>
      <c r="U181" s="8">
        <f t="shared" si="71"/>
        <v>0</v>
      </c>
      <c r="V181" s="8">
        <f t="shared" si="72"/>
        <v>0</v>
      </c>
      <c r="W181" s="8">
        <f t="shared" si="73"/>
        <v>0</v>
      </c>
      <c r="X181" s="8">
        <f t="shared" si="74"/>
        <v>14849.75</v>
      </c>
      <c r="Y181" s="10">
        <v>1286610</v>
      </c>
      <c r="Z181" s="10">
        <v>0</v>
      </c>
      <c r="AA181" s="10">
        <v>106357</v>
      </c>
      <c r="AB181" s="10">
        <v>111807</v>
      </c>
      <c r="AC181" s="10">
        <v>347341</v>
      </c>
      <c r="AD181" s="10">
        <v>92723</v>
      </c>
      <c r="AE181" s="10">
        <v>0</v>
      </c>
      <c r="AF181" s="10">
        <v>0</v>
      </c>
      <c r="AG181" s="10">
        <v>11080</v>
      </c>
      <c r="AH181" s="10">
        <f t="shared" si="75"/>
        <v>572874.02</v>
      </c>
      <c r="AI181" s="10">
        <v>2528792.02</v>
      </c>
      <c r="AJ181" s="10">
        <v>1292150</v>
      </c>
      <c r="AK181" s="10">
        <v>0</v>
      </c>
      <c r="AL181" s="10">
        <v>106815</v>
      </c>
      <c r="AM181" s="10">
        <v>112369.75</v>
      </c>
      <c r="AN181" s="10">
        <v>348986</v>
      </c>
      <c r="AO181" s="10">
        <v>92723</v>
      </c>
      <c r="AP181" s="10">
        <v>6644</v>
      </c>
      <c r="AQ181" s="10">
        <v>0</v>
      </c>
      <c r="AR181" s="10">
        <v>11080</v>
      </c>
      <c r="AS181" s="10">
        <f t="shared" si="78"/>
        <v>572874.02</v>
      </c>
      <c r="AT181" s="10">
        <v>2543641.77</v>
      </c>
      <c r="AU181" s="12">
        <v>18000</v>
      </c>
      <c r="AV181" s="12">
        <v>3285.78963579127</v>
      </c>
      <c r="AW181" s="12">
        <v>3555.25</v>
      </c>
      <c r="AX181" s="12">
        <f t="shared" si="76"/>
        <v>24841.039635791269</v>
      </c>
      <c r="AY181" s="12">
        <v>20116.95</v>
      </c>
      <c r="AZ181" s="12">
        <v>3936.7633130158902</v>
      </c>
      <c r="BA181" s="12">
        <v>5080.05</v>
      </c>
      <c r="BB181" s="12">
        <f t="shared" si="77"/>
        <v>29133.76331301589</v>
      </c>
      <c r="BC181" s="12">
        <v>2116.9500000000007</v>
      </c>
      <c r="BD181" s="12">
        <v>650.97367722462013</v>
      </c>
      <c r="BE181" s="12">
        <v>1524.7999999999993</v>
      </c>
      <c r="BF181" s="12">
        <v>4292.7236772246197</v>
      </c>
    </row>
    <row r="182" spans="1:58" x14ac:dyDescent="0.25">
      <c r="A182" s="7">
        <v>564</v>
      </c>
      <c r="B182" s="7">
        <v>1</v>
      </c>
      <c r="C182" s="7" t="s">
        <v>183</v>
      </c>
      <c r="D182" s="4">
        <v>5</v>
      </c>
      <c r="E182" s="10">
        <v>1994</v>
      </c>
      <c r="F182" s="8">
        <f t="shared" si="56"/>
        <v>59719.75</v>
      </c>
      <c r="G182" s="8">
        <f t="shared" si="57"/>
        <v>49259.22</v>
      </c>
      <c r="H182" s="8">
        <f t="shared" si="58"/>
        <v>750</v>
      </c>
      <c r="I182" s="8">
        <f t="shared" si="59"/>
        <v>35.000000002532033</v>
      </c>
      <c r="J182" s="8">
        <f t="shared" si="60"/>
        <v>109763.97000000253</v>
      </c>
      <c r="K182" s="8">
        <f t="shared" si="61"/>
        <v>26469.483375500753</v>
      </c>
      <c r="L182" s="8">
        <f t="shared" si="62"/>
        <v>136233.45337550328</v>
      </c>
      <c r="M182" s="8">
        <f t="shared" si="63"/>
        <v>55.047126379138682</v>
      </c>
      <c r="N182" s="8">
        <f t="shared" si="64"/>
        <v>54475</v>
      </c>
      <c r="O182" s="8">
        <f t="shared" si="65"/>
        <v>0</v>
      </c>
      <c r="P182" s="8">
        <f t="shared" si="66"/>
        <v>1618</v>
      </c>
      <c r="Q182" s="8">
        <f t="shared" si="67"/>
        <v>3626.75</v>
      </c>
      <c r="R182" s="8">
        <f t="shared" si="68"/>
        <v>0</v>
      </c>
      <c r="S182" s="8">
        <f t="shared" si="69"/>
        <v>0</v>
      </c>
      <c r="T182" s="8">
        <f t="shared" si="70"/>
        <v>49259.22</v>
      </c>
      <c r="U182" s="8">
        <f t="shared" si="71"/>
        <v>750</v>
      </c>
      <c r="V182" s="8">
        <f t="shared" si="72"/>
        <v>35</v>
      </c>
      <c r="W182" s="8">
        <f t="shared" si="73"/>
        <v>0</v>
      </c>
      <c r="X182" s="8">
        <f t="shared" si="74"/>
        <v>109763.97000000253</v>
      </c>
      <c r="Y182" s="10">
        <v>12651274</v>
      </c>
      <c r="Z182" s="10">
        <v>0</v>
      </c>
      <c r="AA182" s="10">
        <v>375817</v>
      </c>
      <c r="AB182" s="10">
        <v>720563</v>
      </c>
      <c r="AC182" s="10">
        <v>0</v>
      </c>
      <c r="AD182" s="10">
        <v>0</v>
      </c>
      <c r="AE182" s="10">
        <v>0</v>
      </c>
      <c r="AF182" s="10">
        <v>14524</v>
      </c>
      <c r="AG182" s="10">
        <v>263282</v>
      </c>
      <c r="AH182" s="10">
        <f t="shared" si="75"/>
        <v>2545041.7300000004</v>
      </c>
      <c r="AI182" s="10">
        <v>16570501.73</v>
      </c>
      <c r="AJ182" s="10">
        <v>12705749</v>
      </c>
      <c r="AK182" s="10">
        <v>0</v>
      </c>
      <c r="AL182" s="10">
        <v>377435</v>
      </c>
      <c r="AM182" s="10">
        <v>724189.75</v>
      </c>
      <c r="AN182" s="10">
        <v>0</v>
      </c>
      <c r="AO182" s="10">
        <v>0</v>
      </c>
      <c r="AP182" s="10">
        <v>49259.22</v>
      </c>
      <c r="AQ182" s="10">
        <v>15274</v>
      </c>
      <c r="AR182" s="10">
        <v>263317</v>
      </c>
      <c r="AS182" s="10">
        <f t="shared" si="78"/>
        <v>2545041.7300000023</v>
      </c>
      <c r="AT182" s="10">
        <v>16680265.700000003</v>
      </c>
      <c r="AU182" s="12">
        <v>103800</v>
      </c>
      <c r="AV182" s="12">
        <v>25292.711450340132</v>
      </c>
      <c r="AW182" s="12">
        <v>26552.5</v>
      </c>
      <c r="AX182" s="12">
        <f t="shared" si="76"/>
        <v>155645.21145034014</v>
      </c>
      <c r="AY182" s="12">
        <v>116007.745</v>
      </c>
      <c r="AZ182" s="12">
        <v>30303.649825840901</v>
      </c>
      <c r="BA182" s="12">
        <v>35803.300000000003</v>
      </c>
      <c r="BB182" s="12">
        <f t="shared" si="77"/>
        <v>182114.69482584088</v>
      </c>
      <c r="BC182" s="12">
        <v>12207.744999999995</v>
      </c>
      <c r="BD182" s="12">
        <v>5010.9383755007693</v>
      </c>
      <c r="BE182" s="12">
        <v>9250.7999999999884</v>
      </c>
      <c r="BF182" s="12">
        <v>26469.483375500753</v>
      </c>
    </row>
    <row r="183" spans="1:58" x14ac:dyDescent="0.25">
      <c r="A183" s="7">
        <v>577</v>
      </c>
      <c r="B183" s="7">
        <v>1</v>
      </c>
      <c r="C183" s="7" t="s">
        <v>184</v>
      </c>
      <c r="D183" s="4">
        <v>6</v>
      </c>
      <c r="E183" s="10">
        <v>417</v>
      </c>
      <c r="F183" s="8">
        <f t="shared" si="56"/>
        <v>14134.25</v>
      </c>
      <c r="G183" s="8">
        <f t="shared" si="57"/>
        <v>12179.66</v>
      </c>
      <c r="H183" s="8">
        <f t="shared" si="58"/>
        <v>0</v>
      </c>
      <c r="I183" s="8">
        <f t="shared" si="59"/>
        <v>1.4915713109076023E-10</v>
      </c>
      <c r="J183" s="8">
        <f t="shared" si="60"/>
        <v>26313.910000000149</v>
      </c>
      <c r="K183" s="8">
        <f t="shared" si="61"/>
        <v>5089.5874218309509</v>
      </c>
      <c r="L183" s="8">
        <f t="shared" si="62"/>
        <v>31403.4974218311</v>
      </c>
      <c r="M183" s="8">
        <f t="shared" si="63"/>
        <v>63.102901678657432</v>
      </c>
      <c r="N183" s="8">
        <f t="shared" si="64"/>
        <v>11380</v>
      </c>
      <c r="O183" s="8">
        <f t="shared" si="65"/>
        <v>23</v>
      </c>
      <c r="P183" s="8">
        <f t="shared" si="66"/>
        <v>521</v>
      </c>
      <c r="Q183" s="8">
        <f t="shared" si="67"/>
        <v>1415.25</v>
      </c>
      <c r="R183" s="8">
        <f t="shared" si="68"/>
        <v>795</v>
      </c>
      <c r="S183" s="8">
        <f t="shared" si="69"/>
        <v>0</v>
      </c>
      <c r="T183" s="8">
        <f t="shared" si="70"/>
        <v>12179.66</v>
      </c>
      <c r="U183" s="8">
        <f t="shared" si="71"/>
        <v>0</v>
      </c>
      <c r="V183" s="8">
        <f t="shared" si="72"/>
        <v>0</v>
      </c>
      <c r="W183" s="8">
        <f t="shared" si="73"/>
        <v>0</v>
      </c>
      <c r="X183" s="8">
        <f t="shared" si="74"/>
        <v>26313.910000000149</v>
      </c>
      <c r="Y183" s="10">
        <v>2642891</v>
      </c>
      <c r="Z183" s="10">
        <v>5202</v>
      </c>
      <c r="AA183" s="10">
        <v>121031</v>
      </c>
      <c r="AB183" s="10">
        <v>281182</v>
      </c>
      <c r="AC183" s="10">
        <v>167809</v>
      </c>
      <c r="AD183" s="10">
        <v>130211</v>
      </c>
      <c r="AE183" s="10">
        <v>0</v>
      </c>
      <c r="AF183" s="10">
        <v>16210</v>
      </c>
      <c r="AG183" s="10">
        <v>65549</v>
      </c>
      <c r="AH183" s="10">
        <f t="shared" si="75"/>
        <v>277412.20000000019</v>
      </c>
      <c r="AI183" s="10">
        <v>3707497.2</v>
      </c>
      <c r="AJ183" s="10">
        <v>2654271</v>
      </c>
      <c r="AK183" s="10">
        <v>5225</v>
      </c>
      <c r="AL183" s="10">
        <v>121552</v>
      </c>
      <c r="AM183" s="10">
        <v>282597.25</v>
      </c>
      <c r="AN183" s="10">
        <v>168604</v>
      </c>
      <c r="AO183" s="10">
        <v>130211</v>
      </c>
      <c r="AP183" s="10">
        <v>12179.66</v>
      </c>
      <c r="AQ183" s="10">
        <v>16210</v>
      </c>
      <c r="AR183" s="10">
        <v>65549</v>
      </c>
      <c r="AS183" s="10">
        <f t="shared" si="78"/>
        <v>277412.20000000019</v>
      </c>
      <c r="AT183" s="10">
        <v>3733811.1100000003</v>
      </c>
      <c r="AU183" s="12">
        <v>18000</v>
      </c>
      <c r="AV183" s="12">
        <v>5377.7953866917323</v>
      </c>
      <c r="AW183" s="12">
        <v>6767.75</v>
      </c>
      <c r="AX183" s="12">
        <f t="shared" si="76"/>
        <v>30145.545386691731</v>
      </c>
      <c r="AY183" s="12">
        <v>20116.95</v>
      </c>
      <c r="AZ183" s="12">
        <v>6443.2328085226854</v>
      </c>
      <c r="BA183" s="12">
        <v>8674.9500000000007</v>
      </c>
      <c r="BB183" s="12">
        <f t="shared" si="77"/>
        <v>35235.132808522685</v>
      </c>
      <c r="BC183" s="12">
        <v>2116.9500000000007</v>
      </c>
      <c r="BD183" s="12">
        <v>1065.4374218309531</v>
      </c>
      <c r="BE183" s="12">
        <v>1907.1999999999971</v>
      </c>
      <c r="BF183" s="12">
        <v>5089.5874218309509</v>
      </c>
    </row>
    <row r="184" spans="1:58" x14ac:dyDescent="0.25">
      <c r="A184" s="7">
        <v>578</v>
      </c>
      <c r="B184" s="7">
        <v>1</v>
      </c>
      <c r="C184" s="7" t="s">
        <v>185</v>
      </c>
      <c r="D184" s="4">
        <v>5</v>
      </c>
      <c r="E184" s="10">
        <v>1688</v>
      </c>
      <c r="F184" s="8">
        <f t="shared" si="56"/>
        <v>52701.25</v>
      </c>
      <c r="G184" s="8">
        <f t="shared" si="57"/>
        <v>41476.68</v>
      </c>
      <c r="H184" s="8">
        <f t="shared" si="58"/>
        <v>14597</v>
      </c>
      <c r="I184" s="8">
        <f t="shared" si="59"/>
        <v>33.999999999701686</v>
      </c>
      <c r="J184" s="8">
        <f t="shared" si="60"/>
        <v>108808.9299999997</v>
      </c>
      <c r="K184" s="8">
        <f t="shared" si="61"/>
        <v>21283.432145765797</v>
      </c>
      <c r="L184" s="8">
        <f t="shared" si="62"/>
        <v>130092.3621457655</v>
      </c>
      <c r="M184" s="8">
        <f t="shared" si="63"/>
        <v>64.460266587677552</v>
      </c>
      <c r="N184" s="8">
        <f t="shared" si="64"/>
        <v>46255</v>
      </c>
      <c r="O184" s="8">
        <f t="shared" si="65"/>
        <v>0</v>
      </c>
      <c r="P184" s="8">
        <f t="shared" si="66"/>
        <v>1104</v>
      </c>
      <c r="Q184" s="8">
        <f t="shared" si="67"/>
        <v>5342.25</v>
      </c>
      <c r="R184" s="8">
        <f t="shared" si="68"/>
        <v>0</v>
      </c>
      <c r="S184" s="8">
        <f t="shared" si="69"/>
        <v>0</v>
      </c>
      <c r="T184" s="8">
        <f t="shared" si="70"/>
        <v>41476.68</v>
      </c>
      <c r="U184" s="8">
        <f t="shared" si="71"/>
        <v>14597</v>
      </c>
      <c r="V184" s="8">
        <f t="shared" si="72"/>
        <v>34</v>
      </c>
      <c r="W184" s="8">
        <f t="shared" si="73"/>
        <v>0</v>
      </c>
      <c r="X184" s="8">
        <f t="shared" si="74"/>
        <v>108808.9299999997</v>
      </c>
      <c r="Y184" s="10">
        <v>10742261</v>
      </c>
      <c r="Z184" s="10">
        <v>0</v>
      </c>
      <c r="AA184" s="10">
        <v>256346</v>
      </c>
      <c r="AB184" s="10">
        <v>1061398</v>
      </c>
      <c r="AC184" s="10">
        <v>0</v>
      </c>
      <c r="AD184" s="10">
        <v>0</v>
      </c>
      <c r="AE184" s="10">
        <v>0</v>
      </c>
      <c r="AF184" s="10">
        <v>0</v>
      </c>
      <c r="AG184" s="10">
        <v>217361</v>
      </c>
      <c r="AH184" s="10">
        <f t="shared" si="75"/>
        <v>2137805.2799999993</v>
      </c>
      <c r="AI184" s="10">
        <v>14415171.279999999</v>
      </c>
      <c r="AJ184" s="10">
        <v>10788516</v>
      </c>
      <c r="AK184" s="10">
        <v>0</v>
      </c>
      <c r="AL184" s="10">
        <v>257450</v>
      </c>
      <c r="AM184" s="10">
        <v>1066740.25</v>
      </c>
      <c r="AN184" s="10">
        <v>0</v>
      </c>
      <c r="AO184" s="10">
        <v>0</v>
      </c>
      <c r="AP184" s="10">
        <v>41476.68</v>
      </c>
      <c r="AQ184" s="10">
        <v>14597</v>
      </c>
      <c r="AR184" s="10">
        <v>217395</v>
      </c>
      <c r="AS184" s="10">
        <f t="shared" si="78"/>
        <v>2137805.2799999993</v>
      </c>
      <c r="AT184" s="10">
        <v>14523980.209999999</v>
      </c>
      <c r="AU184" s="12">
        <v>80400</v>
      </c>
      <c r="AV184" s="12">
        <v>21878.500530752761</v>
      </c>
      <c r="AW184" s="12">
        <v>24278.375</v>
      </c>
      <c r="AX184" s="12">
        <f t="shared" si="76"/>
        <v>126556.87553075276</v>
      </c>
      <c r="AY184" s="12">
        <v>89855.71</v>
      </c>
      <c r="AZ184" s="12">
        <v>26213.02267651854</v>
      </c>
      <c r="BA184" s="12">
        <v>31771.575000000001</v>
      </c>
      <c r="BB184" s="12">
        <f t="shared" si="77"/>
        <v>147840.30767651854</v>
      </c>
      <c r="BC184" s="12">
        <v>9455.7100000000064</v>
      </c>
      <c r="BD184" s="12">
        <v>4334.522145765779</v>
      </c>
      <c r="BE184" s="12">
        <v>7493.2000000000116</v>
      </c>
      <c r="BF184" s="12">
        <v>21283.432145765797</v>
      </c>
    </row>
    <row r="185" spans="1:58" x14ac:dyDescent="0.25">
      <c r="A185" s="7">
        <v>581</v>
      </c>
      <c r="B185" s="7">
        <v>1</v>
      </c>
      <c r="C185" s="7" t="s">
        <v>186</v>
      </c>
      <c r="D185" s="4">
        <v>6</v>
      </c>
      <c r="E185" s="10">
        <v>385</v>
      </c>
      <c r="F185" s="8">
        <f t="shared" si="56"/>
        <v>12572.75</v>
      </c>
      <c r="G185" s="8">
        <f t="shared" si="57"/>
        <v>10126.06</v>
      </c>
      <c r="H185" s="8">
        <f t="shared" si="58"/>
        <v>3707</v>
      </c>
      <c r="I185" s="8">
        <f t="shared" si="59"/>
        <v>9.0000000000563887</v>
      </c>
      <c r="J185" s="8">
        <f t="shared" si="60"/>
        <v>26414.810000000056</v>
      </c>
      <c r="K185" s="8">
        <f t="shared" si="61"/>
        <v>6486.4835154218517</v>
      </c>
      <c r="L185" s="8">
        <f t="shared" si="62"/>
        <v>32901.293515421909</v>
      </c>
      <c r="M185" s="8">
        <f t="shared" si="63"/>
        <v>68.609896103896247</v>
      </c>
      <c r="N185" s="8">
        <f t="shared" si="64"/>
        <v>10123</v>
      </c>
      <c r="O185" s="8">
        <f t="shared" si="65"/>
        <v>0</v>
      </c>
      <c r="P185" s="8">
        <f t="shared" si="66"/>
        <v>518</v>
      </c>
      <c r="Q185" s="8">
        <f t="shared" si="67"/>
        <v>1383.75</v>
      </c>
      <c r="R185" s="8">
        <f t="shared" si="68"/>
        <v>548</v>
      </c>
      <c r="S185" s="8">
        <f t="shared" si="69"/>
        <v>0</v>
      </c>
      <c r="T185" s="8">
        <f t="shared" si="70"/>
        <v>10126.06</v>
      </c>
      <c r="U185" s="8">
        <f t="shared" si="71"/>
        <v>3707</v>
      </c>
      <c r="V185" s="8">
        <f t="shared" si="72"/>
        <v>9</v>
      </c>
      <c r="W185" s="8">
        <f t="shared" si="73"/>
        <v>0</v>
      </c>
      <c r="X185" s="8">
        <f t="shared" si="74"/>
        <v>26414.810000000056</v>
      </c>
      <c r="Y185" s="10">
        <v>2350849</v>
      </c>
      <c r="Z185" s="10">
        <v>0</v>
      </c>
      <c r="AA185" s="10">
        <v>120224</v>
      </c>
      <c r="AB185" s="10">
        <v>274923</v>
      </c>
      <c r="AC185" s="10">
        <v>115689</v>
      </c>
      <c r="AD185" s="10">
        <v>127364</v>
      </c>
      <c r="AE185" s="10">
        <v>0</v>
      </c>
      <c r="AF185" s="10">
        <v>36246</v>
      </c>
      <c r="AG185" s="10">
        <v>45275</v>
      </c>
      <c r="AH185" s="10">
        <f t="shared" si="75"/>
        <v>529041.29999999981</v>
      </c>
      <c r="AI185" s="10">
        <v>3599611.3</v>
      </c>
      <c r="AJ185" s="10">
        <v>2360972</v>
      </c>
      <c r="AK185" s="10">
        <v>0</v>
      </c>
      <c r="AL185" s="10">
        <v>120742</v>
      </c>
      <c r="AM185" s="10">
        <v>276306.75</v>
      </c>
      <c r="AN185" s="10">
        <v>116237</v>
      </c>
      <c r="AO185" s="10">
        <v>127364</v>
      </c>
      <c r="AP185" s="10">
        <v>10126.06</v>
      </c>
      <c r="AQ185" s="10">
        <v>39953</v>
      </c>
      <c r="AR185" s="10">
        <v>45284</v>
      </c>
      <c r="AS185" s="10">
        <f t="shared" si="78"/>
        <v>529041.29999999981</v>
      </c>
      <c r="AT185" s="10">
        <v>3626026.11</v>
      </c>
      <c r="AU185" s="12">
        <v>20040</v>
      </c>
      <c r="AV185" s="12">
        <v>5780.4601715917897</v>
      </c>
      <c r="AW185" s="12">
        <v>6338.625</v>
      </c>
      <c r="AX185" s="12">
        <f t="shared" si="76"/>
        <v>32159.085171591789</v>
      </c>
      <c r="AY185" s="12">
        <v>22396.870999999999</v>
      </c>
      <c r="AZ185" s="12">
        <v>6925.6726870136408</v>
      </c>
      <c r="BA185" s="12">
        <v>9323.0249999999996</v>
      </c>
      <c r="BB185" s="12">
        <f t="shared" si="77"/>
        <v>38645.568687013641</v>
      </c>
      <c r="BC185" s="12">
        <v>2356.8709999999992</v>
      </c>
      <c r="BD185" s="12">
        <v>1145.2125154218511</v>
      </c>
      <c r="BE185" s="12">
        <v>2984.4000000000015</v>
      </c>
      <c r="BF185" s="12">
        <v>6486.4835154218517</v>
      </c>
    </row>
    <row r="186" spans="1:58" x14ac:dyDescent="0.25">
      <c r="A186" s="7">
        <v>592</v>
      </c>
      <c r="B186" s="7">
        <v>1</v>
      </c>
      <c r="C186" s="7" t="s">
        <v>187</v>
      </c>
      <c r="D186" s="4">
        <v>6</v>
      </c>
      <c r="E186" s="10">
        <v>120</v>
      </c>
      <c r="F186" s="8">
        <f t="shared" si="56"/>
        <v>4840.75</v>
      </c>
      <c r="G186" s="8">
        <f t="shared" si="57"/>
        <v>7296.3199999999988</v>
      </c>
      <c r="H186" s="8">
        <f t="shared" si="58"/>
        <v>0</v>
      </c>
      <c r="I186" s="8">
        <f t="shared" si="59"/>
        <v>6.6393113229423761E-11</v>
      </c>
      <c r="J186" s="8">
        <f t="shared" si="60"/>
        <v>12137.070000000065</v>
      </c>
      <c r="K186" s="8">
        <f t="shared" si="61"/>
        <v>3971.2575412272818</v>
      </c>
      <c r="L186" s="8">
        <f t="shared" si="62"/>
        <v>16108.327541227347</v>
      </c>
      <c r="M186" s="8">
        <f t="shared" si="63"/>
        <v>101.14225000000054</v>
      </c>
      <c r="N186" s="8">
        <f t="shared" si="64"/>
        <v>3168</v>
      </c>
      <c r="O186" s="8">
        <f t="shared" si="65"/>
        <v>87</v>
      </c>
      <c r="P186" s="8">
        <f t="shared" si="66"/>
        <v>204</v>
      </c>
      <c r="Q186" s="8">
        <f t="shared" si="67"/>
        <v>1181.75</v>
      </c>
      <c r="R186" s="8">
        <f t="shared" si="68"/>
        <v>200</v>
      </c>
      <c r="S186" s="8">
        <f t="shared" si="69"/>
        <v>0</v>
      </c>
      <c r="T186" s="8">
        <f t="shared" si="70"/>
        <v>7296.3199999999988</v>
      </c>
      <c r="U186" s="8">
        <f t="shared" si="71"/>
        <v>0</v>
      </c>
      <c r="V186" s="8">
        <f t="shared" si="72"/>
        <v>0</v>
      </c>
      <c r="W186" s="8">
        <f t="shared" si="73"/>
        <v>0</v>
      </c>
      <c r="X186" s="8">
        <f t="shared" si="74"/>
        <v>12137.070000000065</v>
      </c>
      <c r="Y186" s="10">
        <v>735620</v>
      </c>
      <c r="Z186" s="10">
        <v>20077</v>
      </c>
      <c r="AA186" s="10">
        <v>47276</v>
      </c>
      <c r="AB186" s="10">
        <v>234790</v>
      </c>
      <c r="AC186" s="10">
        <v>42311</v>
      </c>
      <c r="AD186" s="10">
        <v>59828</v>
      </c>
      <c r="AE186" s="10">
        <v>0</v>
      </c>
      <c r="AF186" s="10">
        <v>0</v>
      </c>
      <c r="AG186" s="10">
        <v>6335</v>
      </c>
      <c r="AH186" s="10">
        <f t="shared" si="75"/>
        <v>332009.42999999993</v>
      </c>
      <c r="AI186" s="10">
        <v>1478246.43</v>
      </c>
      <c r="AJ186" s="10">
        <v>738788</v>
      </c>
      <c r="AK186" s="10">
        <v>20164</v>
      </c>
      <c r="AL186" s="10">
        <v>47480</v>
      </c>
      <c r="AM186" s="10">
        <v>235971.75</v>
      </c>
      <c r="AN186" s="10">
        <v>42511</v>
      </c>
      <c r="AO186" s="10">
        <v>59828</v>
      </c>
      <c r="AP186" s="10">
        <v>7296.3199999999988</v>
      </c>
      <c r="AQ186" s="10">
        <v>0</v>
      </c>
      <c r="AR186" s="10">
        <v>6335</v>
      </c>
      <c r="AS186" s="10">
        <f t="shared" si="78"/>
        <v>332009.42999999993</v>
      </c>
      <c r="AT186" s="10">
        <v>1490383.5</v>
      </c>
      <c r="AU186" s="12">
        <v>18000</v>
      </c>
      <c r="AV186" s="12">
        <v>3017.938314344693</v>
      </c>
      <c r="AW186" s="12">
        <v>3279.125</v>
      </c>
      <c r="AX186" s="12">
        <f t="shared" si="76"/>
        <v>24297.063314344694</v>
      </c>
      <c r="AY186" s="12">
        <v>20116.95</v>
      </c>
      <c r="AZ186" s="12">
        <v>3615.8458555719726</v>
      </c>
      <c r="BA186" s="12">
        <v>4535.5249999999996</v>
      </c>
      <c r="BB186" s="12">
        <f t="shared" si="77"/>
        <v>28268.320855571976</v>
      </c>
      <c r="BC186" s="12">
        <v>2116.9500000000007</v>
      </c>
      <c r="BD186" s="12">
        <v>597.90754122727958</v>
      </c>
      <c r="BE186" s="12">
        <v>1256.4000000000015</v>
      </c>
      <c r="BF186" s="12">
        <v>3971.2575412272818</v>
      </c>
    </row>
    <row r="187" spans="1:58" x14ac:dyDescent="0.25">
      <c r="A187" s="7">
        <v>593</v>
      </c>
      <c r="B187" s="7">
        <v>1</v>
      </c>
      <c r="C187" s="7" t="s">
        <v>188</v>
      </c>
      <c r="D187" s="4">
        <v>5</v>
      </c>
      <c r="E187" s="10">
        <v>1263</v>
      </c>
      <c r="F187" s="8">
        <f t="shared" si="56"/>
        <v>40827.75</v>
      </c>
      <c r="G187" s="8">
        <f t="shared" si="57"/>
        <v>30692.26</v>
      </c>
      <c r="H187" s="8">
        <f t="shared" si="58"/>
        <v>4804</v>
      </c>
      <c r="I187" s="8">
        <f t="shared" si="59"/>
        <v>53.999999999778083</v>
      </c>
      <c r="J187" s="8">
        <f t="shared" si="60"/>
        <v>76378.009999999776</v>
      </c>
      <c r="K187" s="8">
        <f t="shared" si="61"/>
        <v>17183.940079442022</v>
      </c>
      <c r="L187" s="8">
        <f t="shared" si="62"/>
        <v>93561.950079441798</v>
      </c>
      <c r="M187" s="8">
        <f t="shared" si="63"/>
        <v>60.473483768804257</v>
      </c>
      <c r="N187" s="8">
        <f t="shared" si="64"/>
        <v>34490</v>
      </c>
      <c r="O187" s="8">
        <f t="shared" si="65"/>
        <v>0</v>
      </c>
      <c r="P187" s="8">
        <f t="shared" si="66"/>
        <v>1194</v>
      </c>
      <c r="Q187" s="8">
        <f t="shared" si="67"/>
        <v>5143.75</v>
      </c>
      <c r="R187" s="8">
        <f t="shared" si="68"/>
        <v>0</v>
      </c>
      <c r="S187" s="8">
        <f t="shared" si="69"/>
        <v>0</v>
      </c>
      <c r="T187" s="8">
        <f t="shared" si="70"/>
        <v>30692.26</v>
      </c>
      <c r="U187" s="8">
        <f t="shared" si="71"/>
        <v>4804</v>
      </c>
      <c r="V187" s="8">
        <f t="shared" si="72"/>
        <v>54</v>
      </c>
      <c r="W187" s="8">
        <f t="shared" si="73"/>
        <v>0</v>
      </c>
      <c r="X187" s="8">
        <f t="shared" si="74"/>
        <v>76378.009999999776</v>
      </c>
      <c r="Y187" s="10">
        <v>8009958</v>
      </c>
      <c r="Z187" s="10">
        <v>0</v>
      </c>
      <c r="AA187" s="10">
        <v>277274</v>
      </c>
      <c r="AB187" s="10">
        <v>1021960</v>
      </c>
      <c r="AC187" s="10">
        <v>0</v>
      </c>
      <c r="AD187" s="10">
        <v>0</v>
      </c>
      <c r="AE187" s="10">
        <v>0</v>
      </c>
      <c r="AF187" s="10">
        <v>16321</v>
      </c>
      <c r="AG187" s="10">
        <v>120648</v>
      </c>
      <c r="AH187" s="10">
        <f t="shared" si="75"/>
        <v>2581676.2799999993</v>
      </c>
      <c r="AI187" s="10">
        <v>12027837.279999999</v>
      </c>
      <c r="AJ187" s="10">
        <v>8044448</v>
      </c>
      <c r="AK187" s="10">
        <v>0</v>
      </c>
      <c r="AL187" s="10">
        <v>278468</v>
      </c>
      <c r="AM187" s="10">
        <v>1027103.75</v>
      </c>
      <c r="AN187" s="10">
        <v>0</v>
      </c>
      <c r="AO187" s="10">
        <v>0</v>
      </c>
      <c r="AP187" s="10">
        <v>30692.26</v>
      </c>
      <c r="AQ187" s="10">
        <v>21125</v>
      </c>
      <c r="AR187" s="10">
        <v>120702</v>
      </c>
      <c r="AS187" s="10">
        <f t="shared" si="78"/>
        <v>2581676.2799999993</v>
      </c>
      <c r="AT187" s="10">
        <v>12104215.289999999</v>
      </c>
      <c r="AU187" s="12">
        <v>70200</v>
      </c>
      <c r="AV187" s="12">
        <v>19886.31756348363</v>
      </c>
      <c r="AW187" s="12">
        <v>19271.5</v>
      </c>
      <c r="AX187" s="12">
        <f t="shared" si="76"/>
        <v>109357.81756348364</v>
      </c>
      <c r="AY187" s="12">
        <v>78456.104999999996</v>
      </c>
      <c r="AZ187" s="12">
        <v>23826.152642925656</v>
      </c>
      <c r="BA187" s="12">
        <v>24259.5</v>
      </c>
      <c r="BB187" s="12">
        <f t="shared" si="77"/>
        <v>126541.75764292566</v>
      </c>
      <c r="BC187" s="12">
        <v>8256.1049999999959</v>
      </c>
      <c r="BD187" s="12">
        <v>3939.8350794420257</v>
      </c>
      <c r="BE187" s="12">
        <v>4988</v>
      </c>
      <c r="BF187" s="12">
        <v>17183.940079442022</v>
      </c>
    </row>
    <row r="188" spans="1:58" x14ac:dyDescent="0.25">
      <c r="A188" s="7">
        <v>595</v>
      </c>
      <c r="B188" s="7">
        <v>1</v>
      </c>
      <c r="C188" s="7" t="s">
        <v>189</v>
      </c>
      <c r="D188" s="4">
        <v>5</v>
      </c>
      <c r="E188" s="10">
        <v>1704</v>
      </c>
      <c r="F188" s="8">
        <f t="shared" si="56"/>
        <v>49707</v>
      </c>
      <c r="G188" s="8">
        <f t="shared" si="57"/>
        <v>40751.879999999997</v>
      </c>
      <c r="H188" s="8">
        <f t="shared" si="58"/>
        <v>0</v>
      </c>
      <c r="I188" s="8">
        <f t="shared" si="59"/>
        <v>22.000000000822183</v>
      </c>
      <c r="J188" s="8">
        <f t="shared" si="60"/>
        <v>90480.88000000082</v>
      </c>
      <c r="K188" s="8">
        <f t="shared" si="61"/>
        <v>20446.524579915884</v>
      </c>
      <c r="L188" s="8">
        <f t="shared" si="62"/>
        <v>110927.40457991671</v>
      </c>
      <c r="M188" s="8">
        <f t="shared" si="63"/>
        <v>53.099107981221138</v>
      </c>
      <c r="N188" s="8">
        <f t="shared" si="64"/>
        <v>45120</v>
      </c>
      <c r="O188" s="8">
        <f t="shared" si="65"/>
        <v>797</v>
      </c>
      <c r="P188" s="8">
        <f t="shared" si="66"/>
        <v>987</v>
      </c>
      <c r="Q188" s="8">
        <f t="shared" si="67"/>
        <v>2803</v>
      </c>
      <c r="R188" s="8">
        <f t="shared" si="68"/>
        <v>0</v>
      </c>
      <c r="S188" s="8">
        <f t="shared" si="69"/>
        <v>0</v>
      </c>
      <c r="T188" s="8">
        <f t="shared" si="70"/>
        <v>40751.879999999997</v>
      </c>
      <c r="U188" s="8">
        <f t="shared" si="71"/>
        <v>0</v>
      </c>
      <c r="V188" s="8">
        <f t="shared" si="72"/>
        <v>22</v>
      </c>
      <c r="W188" s="8">
        <f t="shared" si="73"/>
        <v>0</v>
      </c>
      <c r="X188" s="8">
        <f t="shared" si="74"/>
        <v>90480.88000000082</v>
      </c>
      <c r="Y188" s="10">
        <v>10478669</v>
      </c>
      <c r="Z188" s="10">
        <v>185002</v>
      </c>
      <c r="AA188" s="10">
        <v>229233</v>
      </c>
      <c r="AB188" s="10">
        <v>556900</v>
      </c>
      <c r="AC188" s="10">
        <v>0</v>
      </c>
      <c r="AD188" s="10">
        <v>0</v>
      </c>
      <c r="AE188" s="10">
        <v>0</v>
      </c>
      <c r="AF188" s="10">
        <v>14600</v>
      </c>
      <c r="AG188" s="10">
        <v>228388</v>
      </c>
      <c r="AH188" s="10">
        <f t="shared" si="75"/>
        <v>1692480.3900000006</v>
      </c>
      <c r="AI188" s="10">
        <v>13385272.390000001</v>
      </c>
      <c r="AJ188" s="10">
        <v>10523789</v>
      </c>
      <c r="AK188" s="10">
        <v>185799</v>
      </c>
      <c r="AL188" s="10">
        <v>230220</v>
      </c>
      <c r="AM188" s="10">
        <v>559703</v>
      </c>
      <c r="AN188" s="10">
        <v>0</v>
      </c>
      <c r="AO188" s="10">
        <v>0</v>
      </c>
      <c r="AP188" s="10">
        <v>40751.879999999997</v>
      </c>
      <c r="AQ188" s="10">
        <v>14600</v>
      </c>
      <c r="AR188" s="10">
        <v>228410</v>
      </c>
      <c r="AS188" s="10">
        <f t="shared" si="78"/>
        <v>1692480.3900000006</v>
      </c>
      <c r="AT188" s="10">
        <v>13475753.270000001</v>
      </c>
      <c r="AU188" s="12">
        <v>85920</v>
      </c>
      <c r="AV188" s="12">
        <v>18857.543687125413</v>
      </c>
      <c r="AW188" s="12">
        <v>26534.125</v>
      </c>
      <c r="AX188" s="12">
        <f t="shared" si="76"/>
        <v>131311.66868712541</v>
      </c>
      <c r="AY188" s="12">
        <v>96024.907999999996</v>
      </c>
      <c r="AZ188" s="12">
        <v>22593.560267041295</v>
      </c>
      <c r="BA188" s="12">
        <v>33139.724999999999</v>
      </c>
      <c r="BB188" s="12">
        <f t="shared" si="77"/>
        <v>151758.19326704129</v>
      </c>
      <c r="BC188" s="12">
        <v>10104.907999999996</v>
      </c>
      <c r="BD188" s="12">
        <v>3736.0165799158822</v>
      </c>
      <c r="BE188" s="12">
        <v>6605.6000000000058</v>
      </c>
      <c r="BF188" s="12">
        <v>20446.524579915884</v>
      </c>
    </row>
    <row r="189" spans="1:58" x14ac:dyDescent="0.25">
      <c r="A189" s="7">
        <v>599</v>
      </c>
      <c r="B189" s="7">
        <v>1</v>
      </c>
      <c r="C189" s="7" t="s">
        <v>190</v>
      </c>
      <c r="D189" s="4">
        <v>6</v>
      </c>
      <c r="E189" s="10">
        <v>428</v>
      </c>
      <c r="F189" s="8">
        <f t="shared" si="56"/>
        <v>14847</v>
      </c>
      <c r="G189" s="8">
        <f t="shared" si="57"/>
        <v>12360.86</v>
      </c>
      <c r="H189" s="8">
        <f t="shared" si="58"/>
        <v>0</v>
      </c>
      <c r="I189" s="8">
        <f t="shared" si="59"/>
        <v>12.999999999403371</v>
      </c>
      <c r="J189" s="8">
        <f t="shared" si="60"/>
        <v>27220.859999999404</v>
      </c>
      <c r="K189" s="8">
        <f t="shared" si="61"/>
        <v>5804.2154903071305</v>
      </c>
      <c r="L189" s="8">
        <f t="shared" si="62"/>
        <v>33025.075490306532</v>
      </c>
      <c r="M189" s="8">
        <f t="shared" si="63"/>
        <v>63.600140186914494</v>
      </c>
      <c r="N189" s="8">
        <f t="shared" si="64"/>
        <v>11670</v>
      </c>
      <c r="O189" s="8">
        <f t="shared" si="65"/>
        <v>65</v>
      </c>
      <c r="P189" s="8">
        <f t="shared" si="66"/>
        <v>732</v>
      </c>
      <c r="Q189" s="8">
        <f t="shared" si="67"/>
        <v>613</v>
      </c>
      <c r="R189" s="8">
        <f t="shared" si="68"/>
        <v>1767</v>
      </c>
      <c r="S189" s="8">
        <f t="shared" si="69"/>
        <v>0</v>
      </c>
      <c r="T189" s="8">
        <f t="shared" si="70"/>
        <v>12360.86</v>
      </c>
      <c r="U189" s="8">
        <f t="shared" si="71"/>
        <v>0</v>
      </c>
      <c r="V189" s="8">
        <f t="shared" si="72"/>
        <v>13</v>
      </c>
      <c r="W189" s="8">
        <f t="shared" si="73"/>
        <v>0</v>
      </c>
      <c r="X189" s="8">
        <f t="shared" si="74"/>
        <v>27220.859999999404</v>
      </c>
      <c r="Y189" s="10">
        <v>2710241</v>
      </c>
      <c r="Z189" s="10">
        <v>14956</v>
      </c>
      <c r="AA189" s="10">
        <v>170067</v>
      </c>
      <c r="AB189" s="10">
        <v>121791</v>
      </c>
      <c r="AC189" s="10">
        <v>372930</v>
      </c>
      <c r="AD189" s="10">
        <v>130461</v>
      </c>
      <c r="AE189" s="10">
        <v>0</v>
      </c>
      <c r="AF189" s="10">
        <v>0</v>
      </c>
      <c r="AG189" s="10">
        <v>48183</v>
      </c>
      <c r="AH189" s="10">
        <f t="shared" si="75"/>
        <v>696520.04</v>
      </c>
      <c r="AI189" s="10">
        <v>4265149.04</v>
      </c>
      <c r="AJ189" s="10">
        <v>2721911</v>
      </c>
      <c r="AK189" s="10">
        <v>15021</v>
      </c>
      <c r="AL189" s="10">
        <v>170799</v>
      </c>
      <c r="AM189" s="10">
        <v>122404</v>
      </c>
      <c r="AN189" s="10">
        <v>374697</v>
      </c>
      <c r="AO189" s="10">
        <v>130461</v>
      </c>
      <c r="AP189" s="10">
        <v>12360.86</v>
      </c>
      <c r="AQ189" s="10">
        <v>0</v>
      </c>
      <c r="AR189" s="10">
        <v>48196</v>
      </c>
      <c r="AS189" s="10">
        <f t="shared" si="78"/>
        <v>696520.03999999957</v>
      </c>
      <c r="AT189" s="10">
        <v>4292369.8999999994</v>
      </c>
      <c r="AU189" s="12">
        <v>18000</v>
      </c>
      <c r="AV189" s="12">
        <v>4870.1585623252304</v>
      </c>
      <c r="AW189" s="12">
        <v>7295.875</v>
      </c>
      <c r="AX189" s="12">
        <f t="shared" si="76"/>
        <v>30166.033562325232</v>
      </c>
      <c r="AY189" s="12">
        <v>20116.95</v>
      </c>
      <c r="AZ189" s="12">
        <v>5835.0240526323587</v>
      </c>
      <c r="BA189" s="12">
        <v>10018.275</v>
      </c>
      <c r="BB189" s="12">
        <f t="shared" si="77"/>
        <v>35970.24905263236</v>
      </c>
      <c r="BC189" s="12">
        <v>2116.9500000000007</v>
      </c>
      <c r="BD189" s="12">
        <v>964.86549030712831</v>
      </c>
      <c r="BE189" s="12">
        <v>2722.4000000000015</v>
      </c>
      <c r="BF189" s="12">
        <v>5804.2154903071305</v>
      </c>
    </row>
    <row r="190" spans="1:58" x14ac:dyDescent="0.25">
      <c r="A190" s="7">
        <v>600</v>
      </c>
      <c r="B190" s="7">
        <v>1</v>
      </c>
      <c r="C190" s="7" t="s">
        <v>191</v>
      </c>
      <c r="D190" s="4">
        <v>6</v>
      </c>
      <c r="E190" s="10">
        <v>257</v>
      </c>
      <c r="F190" s="8">
        <f t="shared" si="56"/>
        <v>7790.25</v>
      </c>
      <c r="G190" s="8">
        <f t="shared" si="57"/>
        <v>7438.2599999999993</v>
      </c>
      <c r="H190" s="8">
        <f t="shared" si="58"/>
        <v>0</v>
      </c>
      <c r="I190" s="8">
        <f t="shared" si="59"/>
        <v>4.9999999997771738</v>
      </c>
      <c r="J190" s="8">
        <f t="shared" si="60"/>
        <v>15233.509999999776</v>
      </c>
      <c r="K190" s="8">
        <f t="shared" si="61"/>
        <v>3880.9670330552767</v>
      </c>
      <c r="L190" s="8">
        <f t="shared" si="62"/>
        <v>19114.477033055053</v>
      </c>
      <c r="M190" s="8">
        <f t="shared" si="63"/>
        <v>59.27435797665283</v>
      </c>
      <c r="N190" s="8">
        <f t="shared" si="64"/>
        <v>6843</v>
      </c>
      <c r="O190" s="8">
        <f t="shared" si="65"/>
        <v>0</v>
      </c>
      <c r="P190" s="8">
        <f t="shared" si="66"/>
        <v>454</v>
      </c>
      <c r="Q190" s="8">
        <f t="shared" si="67"/>
        <v>493.25</v>
      </c>
      <c r="R190" s="8">
        <f t="shared" si="68"/>
        <v>0</v>
      </c>
      <c r="S190" s="8">
        <f t="shared" si="69"/>
        <v>0</v>
      </c>
      <c r="T190" s="8">
        <f t="shared" si="70"/>
        <v>7438.2599999999993</v>
      </c>
      <c r="U190" s="8">
        <f t="shared" si="71"/>
        <v>0</v>
      </c>
      <c r="V190" s="8">
        <f t="shared" si="72"/>
        <v>5</v>
      </c>
      <c r="W190" s="8">
        <f t="shared" si="73"/>
        <v>0</v>
      </c>
      <c r="X190" s="8">
        <f t="shared" si="74"/>
        <v>15233.509999999776</v>
      </c>
      <c r="Y190" s="10">
        <v>1589102</v>
      </c>
      <c r="Z190" s="10">
        <v>0</v>
      </c>
      <c r="AA190" s="10">
        <v>105300</v>
      </c>
      <c r="AB190" s="10">
        <v>97999</v>
      </c>
      <c r="AC190" s="10">
        <v>0</v>
      </c>
      <c r="AD190" s="10">
        <v>106443</v>
      </c>
      <c r="AE190" s="10">
        <v>0</v>
      </c>
      <c r="AF190" s="10">
        <v>0</v>
      </c>
      <c r="AG190" s="10">
        <v>32067</v>
      </c>
      <c r="AH190" s="10">
        <f t="shared" si="75"/>
        <v>317734.91999999993</v>
      </c>
      <c r="AI190" s="10">
        <v>2248645.92</v>
      </c>
      <c r="AJ190" s="10">
        <v>1595945</v>
      </c>
      <c r="AK190" s="10">
        <v>0</v>
      </c>
      <c r="AL190" s="10">
        <v>105754</v>
      </c>
      <c r="AM190" s="10">
        <v>98492.25</v>
      </c>
      <c r="AN190" s="10">
        <v>0</v>
      </c>
      <c r="AO190" s="10">
        <v>106443</v>
      </c>
      <c r="AP190" s="10">
        <v>7438.2599999999993</v>
      </c>
      <c r="AQ190" s="10">
        <v>0</v>
      </c>
      <c r="AR190" s="10">
        <v>32072</v>
      </c>
      <c r="AS190" s="10">
        <f t="shared" si="78"/>
        <v>317734.91999999969</v>
      </c>
      <c r="AT190" s="10">
        <v>2263879.4299999997</v>
      </c>
      <c r="AU190" s="12">
        <v>18000</v>
      </c>
      <c r="AV190" s="12">
        <v>2511.7219743464975</v>
      </c>
      <c r="AW190" s="12">
        <v>4145.25</v>
      </c>
      <c r="AX190" s="12">
        <f t="shared" si="76"/>
        <v>24656.971974346496</v>
      </c>
      <c r="AY190" s="12">
        <v>20116.95</v>
      </c>
      <c r="AZ190" s="12">
        <v>3009.3390074017721</v>
      </c>
      <c r="BA190" s="12">
        <v>5411.65</v>
      </c>
      <c r="BB190" s="12">
        <f t="shared" si="77"/>
        <v>28537.939007401772</v>
      </c>
      <c r="BC190" s="12">
        <v>2116.9500000000007</v>
      </c>
      <c r="BD190" s="12">
        <v>497.61703305527453</v>
      </c>
      <c r="BE190" s="12">
        <v>1266.4000000000015</v>
      </c>
      <c r="BF190" s="12">
        <v>3880.9670330552767</v>
      </c>
    </row>
    <row r="191" spans="1:58" x14ac:dyDescent="0.25">
      <c r="A191" s="7">
        <v>601</v>
      </c>
      <c r="B191" s="7">
        <v>1</v>
      </c>
      <c r="C191" s="7" t="s">
        <v>192</v>
      </c>
      <c r="D191" s="4">
        <v>6</v>
      </c>
      <c r="E191" s="10">
        <v>632</v>
      </c>
      <c r="F191" s="8">
        <f t="shared" si="56"/>
        <v>21312.75</v>
      </c>
      <c r="G191" s="8">
        <f t="shared" si="57"/>
        <v>16108.68</v>
      </c>
      <c r="H191" s="8">
        <f t="shared" si="58"/>
        <v>0</v>
      </c>
      <c r="I191" s="8">
        <f t="shared" si="59"/>
        <v>18.999999999701686</v>
      </c>
      <c r="J191" s="8">
        <f t="shared" si="60"/>
        <v>37440.429999999702</v>
      </c>
      <c r="K191" s="8">
        <f t="shared" si="61"/>
        <v>8633.2324467178696</v>
      </c>
      <c r="L191" s="8">
        <f t="shared" si="62"/>
        <v>46073.662446717572</v>
      </c>
      <c r="M191" s="8">
        <f t="shared" si="63"/>
        <v>59.24118670886029</v>
      </c>
      <c r="N191" s="8">
        <f t="shared" si="64"/>
        <v>17295</v>
      </c>
      <c r="O191" s="8">
        <f t="shared" si="65"/>
        <v>119</v>
      </c>
      <c r="P191" s="8">
        <f t="shared" si="66"/>
        <v>855</v>
      </c>
      <c r="Q191" s="8">
        <f t="shared" si="67"/>
        <v>1737.75</v>
      </c>
      <c r="R191" s="8">
        <f t="shared" si="68"/>
        <v>1306</v>
      </c>
      <c r="S191" s="8">
        <f t="shared" si="69"/>
        <v>0</v>
      </c>
      <c r="T191" s="8">
        <f t="shared" si="70"/>
        <v>16108.68</v>
      </c>
      <c r="U191" s="8">
        <f t="shared" si="71"/>
        <v>0</v>
      </c>
      <c r="V191" s="8">
        <f t="shared" si="72"/>
        <v>19</v>
      </c>
      <c r="W191" s="8">
        <f t="shared" si="73"/>
        <v>0</v>
      </c>
      <c r="X191" s="8">
        <f t="shared" si="74"/>
        <v>37440.429999999702</v>
      </c>
      <c r="Y191" s="10">
        <v>4016591</v>
      </c>
      <c r="Z191" s="10">
        <v>27637</v>
      </c>
      <c r="AA191" s="10">
        <v>198554</v>
      </c>
      <c r="AB191" s="10">
        <v>345256</v>
      </c>
      <c r="AC191" s="10">
        <v>275769</v>
      </c>
      <c r="AD191" s="10">
        <v>105140</v>
      </c>
      <c r="AE191" s="10">
        <v>0</v>
      </c>
      <c r="AF191" s="10">
        <v>0</v>
      </c>
      <c r="AG191" s="10">
        <v>72374</v>
      </c>
      <c r="AH191" s="10">
        <f t="shared" si="75"/>
        <v>984956.79999999981</v>
      </c>
      <c r="AI191" s="10">
        <v>6026277.7999999998</v>
      </c>
      <c r="AJ191" s="10">
        <v>4033886</v>
      </c>
      <c r="AK191" s="10">
        <v>27756</v>
      </c>
      <c r="AL191" s="10">
        <v>199409</v>
      </c>
      <c r="AM191" s="10">
        <v>346993.75</v>
      </c>
      <c r="AN191" s="10">
        <v>277075</v>
      </c>
      <c r="AO191" s="10">
        <v>105140</v>
      </c>
      <c r="AP191" s="10">
        <v>16108.68</v>
      </c>
      <c r="AQ191" s="10">
        <v>0</v>
      </c>
      <c r="AR191" s="10">
        <v>72393</v>
      </c>
      <c r="AS191" s="10">
        <f t="shared" si="78"/>
        <v>984956.79999999981</v>
      </c>
      <c r="AT191" s="10">
        <v>6063718.2299999995</v>
      </c>
      <c r="AU191" s="12">
        <v>28200</v>
      </c>
      <c r="AV191" s="12">
        <v>7770.5124123084588</v>
      </c>
      <c r="AW191" s="12">
        <v>10189.25</v>
      </c>
      <c r="AX191" s="12">
        <f t="shared" si="76"/>
        <v>46159.762412308461</v>
      </c>
      <c r="AY191" s="12">
        <v>31516.555</v>
      </c>
      <c r="AZ191" s="12">
        <v>9309.989859026331</v>
      </c>
      <c r="BA191" s="12">
        <v>13966.45</v>
      </c>
      <c r="BB191" s="12">
        <f t="shared" si="77"/>
        <v>54792.994859026338</v>
      </c>
      <c r="BC191" s="12">
        <v>3316.5550000000003</v>
      </c>
      <c r="BD191" s="12">
        <v>1539.4774467178722</v>
      </c>
      <c r="BE191" s="12">
        <v>3777.1999999999971</v>
      </c>
      <c r="BF191" s="12">
        <v>8633.2324467178696</v>
      </c>
    </row>
    <row r="192" spans="1:58" x14ac:dyDescent="0.25">
      <c r="A192" s="7">
        <v>621</v>
      </c>
      <c r="B192" s="7">
        <v>1</v>
      </c>
      <c r="C192" s="7" t="s">
        <v>193</v>
      </c>
      <c r="D192" s="4">
        <v>3</v>
      </c>
      <c r="E192" s="10">
        <v>10297</v>
      </c>
      <c r="F192" s="8">
        <f t="shared" si="56"/>
        <v>302687.5</v>
      </c>
      <c r="G192" s="8">
        <f t="shared" si="57"/>
        <v>0</v>
      </c>
      <c r="H192" s="8">
        <f t="shared" si="58"/>
        <v>36635</v>
      </c>
      <c r="I192" s="8">
        <f t="shared" si="59"/>
        <v>0</v>
      </c>
      <c r="J192" s="8">
        <f t="shared" si="60"/>
        <v>339322.5</v>
      </c>
      <c r="K192" s="8">
        <f t="shared" si="61"/>
        <v>135267.1241935133</v>
      </c>
      <c r="L192" s="8">
        <f t="shared" si="62"/>
        <v>474589.6241935133</v>
      </c>
      <c r="M192" s="8">
        <f t="shared" si="63"/>
        <v>32.953530154413905</v>
      </c>
      <c r="N192" s="8">
        <f t="shared" si="64"/>
        <v>281640</v>
      </c>
      <c r="O192" s="8">
        <f t="shared" si="65"/>
        <v>0</v>
      </c>
      <c r="P192" s="8">
        <f t="shared" si="66"/>
        <v>0</v>
      </c>
      <c r="Q192" s="8">
        <f t="shared" si="67"/>
        <v>21047.5</v>
      </c>
      <c r="R192" s="8">
        <f t="shared" si="68"/>
        <v>0</v>
      </c>
      <c r="S192" s="8">
        <f t="shared" si="69"/>
        <v>0</v>
      </c>
      <c r="T192" s="8">
        <f t="shared" si="70"/>
        <v>0</v>
      </c>
      <c r="U192" s="8">
        <f t="shared" si="71"/>
        <v>36635</v>
      </c>
      <c r="V192" s="8">
        <f t="shared" si="72"/>
        <v>0</v>
      </c>
      <c r="W192" s="8">
        <f t="shared" si="73"/>
        <v>0</v>
      </c>
      <c r="X192" s="8">
        <f t="shared" si="74"/>
        <v>339322.5</v>
      </c>
      <c r="Y192" s="10">
        <v>65408074</v>
      </c>
      <c r="Z192" s="10">
        <v>0</v>
      </c>
      <c r="AA192" s="10">
        <v>0</v>
      </c>
      <c r="AB192" s="10">
        <v>4181717</v>
      </c>
      <c r="AC192" s="10">
        <v>0</v>
      </c>
      <c r="AD192" s="10">
        <v>0</v>
      </c>
      <c r="AE192" s="10">
        <v>2790840</v>
      </c>
      <c r="AF192" s="10">
        <v>258109</v>
      </c>
      <c r="AG192" s="10">
        <v>1262760</v>
      </c>
      <c r="AH192" s="10">
        <f t="shared" si="75"/>
        <v>21698109.409999996</v>
      </c>
      <c r="AI192" s="10">
        <v>95599609.409999996</v>
      </c>
      <c r="AJ192" s="10">
        <v>65689714</v>
      </c>
      <c r="AK192" s="10">
        <v>0</v>
      </c>
      <c r="AL192" s="10">
        <v>0</v>
      </c>
      <c r="AM192" s="10">
        <v>4202764.5</v>
      </c>
      <c r="AN192" s="10">
        <v>0</v>
      </c>
      <c r="AO192" s="10">
        <v>0</v>
      </c>
      <c r="AP192" s="10">
        <v>2790840</v>
      </c>
      <c r="AQ192" s="10">
        <v>294744</v>
      </c>
      <c r="AR192" s="10">
        <v>1262760</v>
      </c>
      <c r="AS192" s="10">
        <f t="shared" si="78"/>
        <v>21698109.409999996</v>
      </c>
      <c r="AT192" s="10">
        <v>95938931.909999996</v>
      </c>
      <c r="AU192" s="12">
        <v>654840</v>
      </c>
      <c r="AV192" s="12">
        <v>130781.1449192591</v>
      </c>
      <c r="AW192" s="12">
        <v>128464.625</v>
      </c>
      <c r="AX192" s="12">
        <f t="shared" si="76"/>
        <v>914085.76991925912</v>
      </c>
      <c r="AY192" s="12">
        <v>731854.64099999995</v>
      </c>
      <c r="AZ192" s="12">
        <v>156691.22811277254</v>
      </c>
      <c r="BA192" s="12">
        <v>160807.02499999999</v>
      </c>
      <c r="BB192" s="12">
        <f t="shared" si="77"/>
        <v>1049352.8941127725</v>
      </c>
      <c r="BC192" s="12">
        <v>77014.640999999945</v>
      </c>
      <c r="BD192" s="12">
        <v>25910.083193513448</v>
      </c>
      <c r="BE192" s="12">
        <v>32342.399999999907</v>
      </c>
      <c r="BF192" s="12">
        <v>135267.1241935133</v>
      </c>
    </row>
    <row r="193" spans="1:58" x14ac:dyDescent="0.25">
      <c r="A193" s="7">
        <v>622</v>
      </c>
      <c r="B193" s="7">
        <v>1</v>
      </c>
      <c r="C193" s="7" t="s">
        <v>194</v>
      </c>
      <c r="D193" s="4">
        <v>2</v>
      </c>
      <c r="E193" s="10">
        <v>10795</v>
      </c>
      <c r="F193" s="8">
        <f t="shared" si="56"/>
        <v>338104.75</v>
      </c>
      <c r="G193" s="8">
        <f t="shared" si="57"/>
        <v>0</v>
      </c>
      <c r="H193" s="8">
        <f t="shared" si="58"/>
        <v>103434</v>
      </c>
      <c r="I193" s="8">
        <f t="shared" si="59"/>
        <v>-98</v>
      </c>
      <c r="J193" s="8">
        <f t="shared" si="60"/>
        <v>441440.75</v>
      </c>
      <c r="K193" s="8">
        <f t="shared" si="61"/>
        <v>141211.02990234556</v>
      </c>
      <c r="L193" s="8">
        <f t="shared" si="62"/>
        <v>582651.7799023455</v>
      </c>
      <c r="M193" s="8">
        <f t="shared" si="63"/>
        <v>40.893075497915703</v>
      </c>
      <c r="N193" s="8">
        <f t="shared" si="64"/>
        <v>296670</v>
      </c>
      <c r="O193" s="8">
        <f t="shared" si="65"/>
        <v>379</v>
      </c>
      <c r="P193" s="8">
        <f t="shared" si="66"/>
        <v>0</v>
      </c>
      <c r="Q193" s="8">
        <f t="shared" si="67"/>
        <v>41055.75</v>
      </c>
      <c r="R193" s="8">
        <f t="shared" si="68"/>
        <v>0</v>
      </c>
      <c r="S193" s="8">
        <f t="shared" si="69"/>
        <v>0</v>
      </c>
      <c r="T193" s="8">
        <f t="shared" si="70"/>
        <v>0</v>
      </c>
      <c r="U193" s="8">
        <f t="shared" si="71"/>
        <v>103434</v>
      </c>
      <c r="V193" s="8">
        <f t="shared" si="72"/>
        <v>0</v>
      </c>
      <c r="W193" s="8">
        <f t="shared" si="73"/>
        <v>-98</v>
      </c>
      <c r="X193" s="8">
        <f t="shared" si="74"/>
        <v>441440.75</v>
      </c>
      <c r="Y193" s="10">
        <v>68898641</v>
      </c>
      <c r="Z193" s="10">
        <v>88112</v>
      </c>
      <c r="AA193" s="10">
        <v>0</v>
      </c>
      <c r="AB193" s="10">
        <v>8156956</v>
      </c>
      <c r="AC193" s="10">
        <v>0</v>
      </c>
      <c r="AD193" s="10">
        <v>0</v>
      </c>
      <c r="AE193" s="10">
        <v>2756000</v>
      </c>
      <c r="AF193" s="10">
        <v>365414</v>
      </c>
      <c r="AG193" s="10">
        <v>1841816.25</v>
      </c>
      <c r="AH193" s="10">
        <f t="shared" si="75"/>
        <v>17514937.840000004</v>
      </c>
      <c r="AI193" s="10">
        <v>99621877.090000004</v>
      </c>
      <c r="AJ193" s="10">
        <v>69195311</v>
      </c>
      <c r="AK193" s="10">
        <v>88491</v>
      </c>
      <c r="AL193" s="10">
        <v>0</v>
      </c>
      <c r="AM193" s="10">
        <v>8198011.75</v>
      </c>
      <c r="AN193" s="10">
        <v>0</v>
      </c>
      <c r="AO193" s="10">
        <v>0</v>
      </c>
      <c r="AP193" s="10">
        <v>2756000</v>
      </c>
      <c r="AQ193" s="10">
        <v>468848</v>
      </c>
      <c r="AR193" s="10">
        <v>1841816.25</v>
      </c>
      <c r="AS193" s="10">
        <f t="shared" si="78"/>
        <v>17514839.840000004</v>
      </c>
      <c r="AT193" s="10">
        <v>100063317.84</v>
      </c>
      <c r="AU193" s="12">
        <v>452760</v>
      </c>
      <c r="AV193" s="12">
        <v>148163.71385458903</v>
      </c>
      <c r="AW193" s="12">
        <v>161525.375</v>
      </c>
      <c r="AX193" s="12">
        <f t="shared" si="76"/>
        <v>762449.08885458903</v>
      </c>
      <c r="AY193" s="12">
        <v>506008.34899999999</v>
      </c>
      <c r="AZ193" s="12">
        <v>177517.59475693456</v>
      </c>
      <c r="BA193" s="12">
        <v>220134.17499999999</v>
      </c>
      <c r="BB193" s="12">
        <f t="shared" si="77"/>
        <v>903660.11875693453</v>
      </c>
      <c r="BC193" s="12">
        <v>53248.348999999987</v>
      </c>
      <c r="BD193" s="12">
        <v>29353.880902345525</v>
      </c>
      <c r="BE193" s="12">
        <v>58608.800000000047</v>
      </c>
      <c r="BF193" s="12">
        <v>141211.02990234556</v>
      </c>
    </row>
    <row r="194" spans="1:58" x14ac:dyDescent="0.25">
      <c r="A194" s="7">
        <v>623</v>
      </c>
      <c r="B194" s="7">
        <v>1</v>
      </c>
      <c r="C194" s="7" t="s">
        <v>195</v>
      </c>
      <c r="D194" s="4">
        <v>2</v>
      </c>
      <c r="E194" s="10">
        <v>7260</v>
      </c>
      <c r="F194" s="8">
        <f t="shared" si="56"/>
        <v>225888.75</v>
      </c>
      <c r="G194" s="8">
        <f t="shared" si="57"/>
        <v>0</v>
      </c>
      <c r="H194" s="8">
        <f t="shared" si="58"/>
        <v>118182</v>
      </c>
      <c r="I194" s="8">
        <f t="shared" si="59"/>
        <v>-91</v>
      </c>
      <c r="J194" s="8">
        <f t="shared" si="60"/>
        <v>343979.75</v>
      </c>
      <c r="K194" s="8">
        <f t="shared" si="61"/>
        <v>87482.352013187236</v>
      </c>
      <c r="L194" s="8">
        <f t="shared" si="62"/>
        <v>431462.10201318725</v>
      </c>
      <c r="M194" s="8">
        <f t="shared" si="63"/>
        <v>47.380130853994487</v>
      </c>
      <c r="N194" s="8">
        <f t="shared" si="64"/>
        <v>198545</v>
      </c>
      <c r="O194" s="8">
        <f t="shared" si="65"/>
        <v>0</v>
      </c>
      <c r="P194" s="8">
        <f t="shared" si="66"/>
        <v>0</v>
      </c>
      <c r="Q194" s="8">
        <f t="shared" si="67"/>
        <v>27343.75</v>
      </c>
      <c r="R194" s="8">
        <f t="shared" si="68"/>
        <v>0</v>
      </c>
      <c r="S194" s="8">
        <f t="shared" si="69"/>
        <v>0</v>
      </c>
      <c r="T194" s="8">
        <f t="shared" si="70"/>
        <v>0</v>
      </c>
      <c r="U194" s="8">
        <f t="shared" si="71"/>
        <v>118182</v>
      </c>
      <c r="V194" s="8">
        <f t="shared" si="72"/>
        <v>0</v>
      </c>
      <c r="W194" s="8">
        <f t="shared" si="73"/>
        <v>-91</v>
      </c>
      <c r="X194" s="8">
        <f t="shared" si="74"/>
        <v>343979.75</v>
      </c>
      <c r="Y194" s="10">
        <v>46110091</v>
      </c>
      <c r="Z194" s="10">
        <v>0</v>
      </c>
      <c r="AA194" s="10">
        <v>0</v>
      </c>
      <c r="AB194" s="10">
        <v>5432656</v>
      </c>
      <c r="AC194" s="10">
        <v>0</v>
      </c>
      <c r="AD194" s="10">
        <v>0</v>
      </c>
      <c r="AE194" s="10">
        <v>1851980</v>
      </c>
      <c r="AF194" s="10">
        <v>810900</v>
      </c>
      <c r="AG194" s="10">
        <v>926563.75</v>
      </c>
      <c r="AH194" s="10">
        <f t="shared" si="75"/>
        <v>15665474.959999993</v>
      </c>
      <c r="AI194" s="10">
        <v>70797665.709999993</v>
      </c>
      <c r="AJ194" s="10">
        <v>46308636</v>
      </c>
      <c r="AK194" s="10">
        <v>0</v>
      </c>
      <c r="AL194" s="10">
        <v>0</v>
      </c>
      <c r="AM194" s="10">
        <v>5459999.75</v>
      </c>
      <c r="AN194" s="10">
        <v>0</v>
      </c>
      <c r="AO194" s="10">
        <v>0</v>
      </c>
      <c r="AP194" s="10">
        <v>1851980</v>
      </c>
      <c r="AQ194" s="10">
        <v>929082</v>
      </c>
      <c r="AR194" s="10">
        <v>926563.75</v>
      </c>
      <c r="AS194" s="10">
        <f t="shared" si="78"/>
        <v>15665383.959999993</v>
      </c>
      <c r="AT194" s="10">
        <v>71141645.459999993</v>
      </c>
      <c r="AU194" s="12">
        <v>340200</v>
      </c>
      <c r="AV194" s="12">
        <v>93431.228924062729</v>
      </c>
      <c r="AW194" s="12">
        <v>94172.75</v>
      </c>
      <c r="AX194" s="12">
        <f t="shared" si="76"/>
        <v>527803.9789240628</v>
      </c>
      <c r="AY194" s="12">
        <v>380210.35499999998</v>
      </c>
      <c r="AZ194" s="12">
        <v>111941.62593725001</v>
      </c>
      <c r="BA194" s="12">
        <v>123134.35</v>
      </c>
      <c r="BB194" s="12">
        <f t="shared" si="77"/>
        <v>615286.33093724994</v>
      </c>
      <c r="BC194" s="12">
        <v>40010.354999999981</v>
      </c>
      <c r="BD194" s="12">
        <v>18510.397013187277</v>
      </c>
      <c r="BE194" s="12">
        <v>28961.599999999977</v>
      </c>
      <c r="BF194" s="12">
        <v>87482.352013187236</v>
      </c>
    </row>
    <row r="195" spans="1:58" x14ac:dyDescent="0.25">
      <c r="A195" s="7">
        <v>624</v>
      </c>
      <c r="B195" s="7">
        <v>1</v>
      </c>
      <c r="C195" s="7" t="s">
        <v>196</v>
      </c>
      <c r="D195" s="4">
        <v>3</v>
      </c>
      <c r="E195" s="10">
        <v>8216</v>
      </c>
      <c r="F195" s="8">
        <f t="shared" si="56"/>
        <v>235382</v>
      </c>
      <c r="G195" s="8">
        <f t="shared" si="57"/>
        <v>179496.72</v>
      </c>
      <c r="H195" s="8">
        <f t="shared" si="58"/>
        <v>30497</v>
      </c>
      <c r="I195" s="8">
        <f t="shared" si="59"/>
        <v>-27.000000001193257</v>
      </c>
      <c r="J195" s="8">
        <f t="shared" si="60"/>
        <v>445348.71999999881</v>
      </c>
      <c r="K195" s="8">
        <f t="shared" si="61"/>
        <v>103259.22493057094</v>
      </c>
      <c r="L195" s="8">
        <f t="shared" si="62"/>
        <v>548607.94493056973</v>
      </c>
      <c r="M195" s="8">
        <f t="shared" si="63"/>
        <v>54.205053554040752</v>
      </c>
      <c r="N195" s="8">
        <f t="shared" si="64"/>
        <v>223613</v>
      </c>
      <c r="O195" s="8">
        <f t="shared" si="65"/>
        <v>120</v>
      </c>
      <c r="P195" s="8">
        <f t="shared" si="66"/>
        <v>0</v>
      </c>
      <c r="Q195" s="8">
        <f t="shared" si="67"/>
        <v>11649</v>
      </c>
      <c r="R195" s="8">
        <f t="shared" si="68"/>
        <v>0</v>
      </c>
      <c r="S195" s="8">
        <f t="shared" si="69"/>
        <v>0</v>
      </c>
      <c r="T195" s="8">
        <f t="shared" si="70"/>
        <v>179496.72</v>
      </c>
      <c r="U195" s="8">
        <f t="shared" si="71"/>
        <v>30497</v>
      </c>
      <c r="V195" s="8">
        <f t="shared" si="72"/>
        <v>0</v>
      </c>
      <c r="W195" s="8">
        <f t="shared" si="73"/>
        <v>-27</v>
      </c>
      <c r="X195" s="8">
        <f t="shared" si="74"/>
        <v>445348.71999999881</v>
      </c>
      <c r="Y195" s="10">
        <v>51931767</v>
      </c>
      <c r="Z195" s="10">
        <v>27962</v>
      </c>
      <c r="AA195" s="10">
        <v>0</v>
      </c>
      <c r="AB195" s="10">
        <v>2314423</v>
      </c>
      <c r="AC195" s="10">
        <v>0</v>
      </c>
      <c r="AD195" s="10">
        <v>0</v>
      </c>
      <c r="AE195" s="10">
        <v>0</v>
      </c>
      <c r="AF195" s="10">
        <v>206357</v>
      </c>
      <c r="AG195" s="10">
        <v>860002.5</v>
      </c>
      <c r="AH195" s="10">
        <f t="shared" si="75"/>
        <v>19014012.739999995</v>
      </c>
      <c r="AI195" s="10">
        <v>74354524.239999995</v>
      </c>
      <c r="AJ195" s="10">
        <v>52155380</v>
      </c>
      <c r="AK195" s="10">
        <v>28082</v>
      </c>
      <c r="AL195" s="10">
        <v>0</v>
      </c>
      <c r="AM195" s="10">
        <v>2326072</v>
      </c>
      <c r="AN195" s="10">
        <v>0</v>
      </c>
      <c r="AO195" s="10">
        <v>0</v>
      </c>
      <c r="AP195" s="10">
        <v>179496.72</v>
      </c>
      <c r="AQ195" s="10">
        <v>236854</v>
      </c>
      <c r="AR195" s="10">
        <v>860002.5</v>
      </c>
      <c r="AS195" s="10">
        <f t="shared" si="78"/>
        <v>19013985.739999995</v>
      </c>
      <c r="AT195" s="10">
        <v>74799872.959999993</v>
      </c>
      <c r="AU195" s="12">
        <v>451200</v>
      </c>
      <c r="AV195" s="12">
        <v>90242.965037056885</v>
      </c>
      <c r="AW195" s="12">
        <v>104152.875</v>
      </c>
      <c r="AX195" s="12">
        <f t="shared" si="76"/>
        <v>645595.84003705694</v>
      </c>
      <c r="AY195" s="12">
        <v>504264.88</v>
      </c>
      <c r="AZ195" s="12">
        <v>108121.70996762784</v>
      </c>
      <c r="BA195" s="12">
        <v>136468.47500000001</v>
      </c>
      <c r="BB195" s="12">
        <f t="shared" si="77"/>
        <v>748855.06496762787</v>
      </c>
      <c r="BC195" s="12">
        <v>53064.880000000005</v>
      </c>
      <c r="BD195" s="12">
        <v>17878.74493057096</v>
      </c>
      <c r="BE195" s="12">
        <v>32315.599999999977</v>
      </c>
      <c r="BF195" s="12">
        <v>103259.22493057094</v>
      </c>
    </row>
    <row r="196" spans="1:58" x14ac:dyDescent="0.25">
      <c r="A196" s="7">
        <v>625</v>
      </c>
      <c r="B196" s="7">
        <v>1</v>
      </c>
      <c r="C196" s="7" t="s">
        <v>197</v>
      </c>
      <c r="D196" s="4">
        <v>1</v>
      </c>
      <c r="E196" s="10">
        <v>37557</v>
      </c>
      <c r="F196" s="8">
        <f t="shared" si="56"/>
        <v>1370317</v>
      </c>
      <c r="G196" s="8">
        <f t="shared" si="57"/>
        <v>993386.71999999986</v>
      </c>
      <c r="H196" s="8">
        <f t="shared" si="58"/>
        <v>625786</v>
      </c>
      <c r="I196" s="8">
        <f t="shared" si="59"/>
        <v>-129.99999997124542</v>
      </c>
      <c r="J196" s="8">
        <f t="shared" si="60"/>
        <v>2989359.7200000286</v>
      </c>
      <c r="K196" s="8">
        <f t="shared" si="61"/>
        <v>649741.74595503521</v>
      </c>
      <c r="L196" s="8">
        <f t="shared" si="62"/>
        <v>3639101.4659550637</v>
      </c>
      <c r="M196" s="8">
        <f t="shared" si="63"/>
        <v>79.595274382938697</v>
      </c>
      <c r="N196" s="8">
        <f t="shared" si="64"/>
        <v>1018200</v>
      </c>
      <c r="O196" s="8">
        <f t="shared" si="65"/>
        <v>66</v>
      </c>
      <c r="P196" s="8">
        <f t="shared" si="66"/>
        <v>0</v>
      </c>
      <c r="Q196" s="8">
        <f t="shared" si="67"/>
        <v>352051</v>
      </c>
      <c r="R196" s="8">
        <f t="shared" si="68"/>
        <v>0</v>
      </c>
      <c r="S196" s="8">
        <f t="shared" si="69"/>
        <v>0</v>
      </c>
      <c r="T196" s="8">
        <f t="shared" si="70"/>
        <v>993386.71999999986</v>
      </c>
      <c r="U196" s="8">
        <f t="shared" si="71"/>
        <v>625786</v>
      </c>
      <c r="V196" s="8">
        <f t="shared" si="72"/>
        <v>0</v>
      </c>
      <c r="W196" s="8">
        <f t="shared" si="73"/>
        <v>-130</v>
      </c>
      <c r="X196" s="8">
        <f t="shared" si="74"/>
        <v>2989359.7200000286</v>
      </c>
      <c r="Y196" s="10">
        <v>236466768</v>
      </c>
      <c r="Z196" s="10">
        <v>15281</v>
      </c>
      <c r="AA196" s="10">
        <v>0</v>
      </c>
      <c r="AB196" s="10">
        <v>69945493</v>
      </c>
      <c r="AC196" s="10">
        <v>0</v>
      </c>
      <c r="AD196" s="10">
        <v>0</v>
      </c>
      <c r="AE196" s="10">
        <v>0</v>
      </c>
      <c r="AF196" s="10">
        <v>7547094</v>
      </c>
      <c r="AG196" s="10">
        <v>2036400</v>
      </c>
      <c r="AH196" s="10">
        <f t="shared" si="75"/>
        <v>75371268.420000017</v>
      </c>
      <c r="AI196" s="10">
        <v>391382304.42000002</v>
      </c>
      <c r="AJ196" s="10">
        <v>237484968</v>
      </c>
      <c r="AK196" s="10">
        <v>15347</v>
      </c>
      <c r="AL196" s="10">
        <v>0</v>
      </c>
      <c r="AM196" s="10">
        <v>70297544</v>
      </c>
      <c r="AN196" s="10">
        <v>0</v>
      </c>
      <c r="AO196" s="10">
        <v>0</v>
      </c>
      <c r="AP196" s="10">
        <v>993386.71999999986</v>
      </c>
      <c r="AQ196" s="10">
        <v>8172880</v>
      </c>
      <c r="AR196" s="10">
        <v>2036400</v>
      </c>
      <c r="AS196" s="10">
        <f t="shared" si="78"/>
        <v>75371138.420000017</v>
      </c>
      <c r="AT196" s="10">
        <v>394371664.14000005</v>
      </c>
      <c r="AU196" s="12">
        <v>2905560</v>
      </c>
      <c r="AV196" s="12">
        <v>777204.34343054122</v>
      </c>
      <c r="AW196" s="12">
        <v>620848.75</v>
      </c>
      <c r="AX196" s="12">
        <f t="shared" si="76"/>
        <v>4303613.0934305415</v>
      </c>
      <c r="AY196" s="12">
        <v>3247278.0690000001</v>
      </c>
      <c r="AZ196" s="12">
        <v>931182.42038557667</v>
      </c>
      <c r="BA196" s="12">
        <v>774894.35</v>
      </c>
      <c r="BB196" s="12">
        <f t="shared" si="77"/>
        <v>4953354.8393855765</v>
      </c>
      <c r="BC196" s="12">
        <v>341718.06900000013</v>
      </c>
      <c r="BD196" s="12">
        <v>153978.07695503545</v>
      </c>
      <c r="BE196" s="12">
        <v>154045.59999999963</v>
      </c>
      <c r="BF196" s="12">
        <v>649741.74595503521</v>
      </c>
    </row>
    <row r="197" spans="1:58" x14ac:dyDescent="0.25">
      <c r="A197" s="7">
        <v>630</v>
      </c>
      <c r="B197" s="7">
        <v>1</v>
      </c>
      <c r="C197" s="7" t="s">
        <v>198</v>
      </c>
      <c r="D197" s="4">
        <v>6</v>
      </c>
      <c r="E197" s="10">
        <v>360</v>
      </c>
      <c r="F197" s="8">
        <f t="shared" si="56"/>
        <v>11780</v>
      </c>
      <c r="G197" s="8">
        <f t="shared" si="57"/>
        <v>12237.039999999999</v>
      </c>
      <c r="H197" s="8">
        <f t="shared" si="58"/>
        <v>0</v>
      </c>
      <c r="I197" s="8">
        <f t="shared" si="59"/>
        <v>17.000000000038199</v>
      </c>
      <c r="J197" s="8">
        <f t="shared" si="60"/>
        <v>24034.040000000037</v>
      </c>
      <c r="K197" s="8">
        <f t="shared" si="61"/>
        <v>5981.4913889078307</v>
      </c>
      <c r="L197" s="8">
        <f t="shared" si="62"/>
        <v>30015.531388907868</v>
      </c>
      <c r="M197" s="8">
        <f t="shared" si="63"/>
        <v>66.761222222222329</v>
      </c>
      <c r="N197" s="8">
        <f t="shared" si="64"/>
        <v>9820</v>
      </c>
      <c r="O197" s="8">
        <f t="shared" si="65"/>
        <v>63</v>
      </c>
      <c r="P197" s="8">
        <f t="shared" si="66"/>
        <v>476</v>
      </c>
      <c r="Q197" s="8">
        <f t="shared" si="67"/>
        <v>426</v>
      </c>
      <c r="R197" s="8">
        <f t="shared" si="68"/>
        <v>995</v>
      </c>
      <c r="S197" s="8">
        <f t="shared" si="69"/>
        <v>0</v>
      </c>
      <c r="T197" s="8">
        <f t="shared" si="70"/>
        <v>12237.039999999999</v>
      </c>
      <c r="U197" s="8">
        <f t="shared" si="71"/>
        <v>0</v>
      </c>
      <c r="V197" s="8">
        <f t="shared" si="72"/>
        <v>17</v>
      </c>
      <c r="W197" s="8">
        <f t="shared" si="73"/>
        <v>0</v>
      </c>
      <c r="X197" s="8">
        <f t="shared" si="74"/>
        <v>24034.040000000037</v>
      </c>
      <c r="Y197" s="10">
        <v>2280597</v>
      </c>
      <c r="Z197" s="10">
        <v>14631</v>
      </c>
      <c r="AA197" s="10">
        <v>110566</v>
      </c>
      <c r="AB197" s="10">
        <v>84638</v>
      </c>
      <c r="AC197" s="10">
        <v>209988</v>
      </c>
      <c r="AD197" s="10">
        <v>126251</v>
      </c>
      <c r="AE197" s="10">
        <v>0</v>
      </c>
      <c r="AF197" s="10">
        <v>0</v>
      </c>
      <c r="AG197" s="10">
        <v>31809</v>
      </c>
      <c r="AH197" s="10">
        <f t="shared" si="75"/>
        <v>762897.08999999985</v>
      </c>
      <c r="AI197" s="10">
        <v>3621377.09</v>
      </c>
      <c r="AJ197" s="10">
        <v>2290417</v>
      </c>
      <c r="AK197" s="10">
        <v>14694</v>
      </c>
      <c r="AL197" s="10">
        <v>111042</v>
      </c>
      <c r="AM197" s="10">
        <v>85064</v>
      </c>
      <c r="AN197" s="10">
        <v>210983</v>
      </c>
      <c r="AO197" s="10">
        <v>126251</v>
      </c>
      <c r="AP197" s="10">
        <v>12237.039999999999</v>
      </c>
      <c r="AQ197" s="10">
        <v>0</v>
      </c>
      <c r="AR197" s="10">
        <v>31826</v>
      </c>
      <c r="AS197" s="10">
        <f t="shared" si="78"/>
        <v>762897.08999999985</v>
      </c>
      <c r="AT197" s="10">
        <v>3645411.13</v>
      </c>
      <c r="AU197" s="12">
        <v>18000</v>
      </c>
      <c r="AV197" s="12">
        <v>4060.9226605122722</v>
      </c>
      <c r="AW197" s="12">
        <v>6773.25</v>
      </c>
      <c r="AX197" s="12">
        <f t="shared" si="76"/>
        <v>28834.172660512271</v>
      </c>
      <c r="AY197" s="12">
        <v>20116.95</v>
      </c>
      <c r="AZ197" s="12">
        <v>4865.4640494201021</v>
      </c>
      <c r="BA197" s="12">
        <v>9833.25</v>
      </c>
      <c r="BB197" s="12">
        <f t="shared" si="77"/>
        <v>34815.664049420098</v>
      </c>
      <c r="BC197" s="12">
        <v>2116.9500000000007</v>
      </c>
      <c r="BD197" s="12">
        <v>804.54138890782997</v>
      </c>
      <c r="BE197" s="12">
        <v>3060</v>
      </c>
      <c r="BF197" s="12">
        <v>5981.4913889078307</v>
      </c>
    </row>
    <row r="198" spans="1:58" x14ac:dyDescent="0.25">
      <c r="A198" s="7">
        <v>635</v>
      </c>
      <c r="B198" s="7">
        <v>1</v>
      </c>
      <c r="C198" s="7" t="s">
        <v>199</v>
      </c>
      <c r="D198" s="4">
        <v>6</v>
      </c>
      <c r="E198" s="10">
        <v>48</v>
      </c>
      <c r="F198" s="8">
        <f t="shared" si="56"/>
        <v>1545</v>
      </c>
      <c r="G198" s="8">
        <f t="shared" si="57"/>
        <v>0</v>
      </c>
      <c r="H198" s="8">
        <f t="shared" si="58"/>
        <v>0</v>
      </c>
      <c r="I198" s="8">
        <f t="shared" si="59"/>
        <v>128</v>
      </c>
      <c r="J198" s="8">
        <f t="shared" si="60"/>
        <v>1673</v>
      </c>
      <c r="K198" s="8">
        <f t="shared" si="61"/>
        <v>3023.0630338854348</v>
      </c>
      <c r="L198" s="8">
        <f t="shared" si="62"/>
        <v>4696.0630338854353</v>
      </c>
      <c r="M198" s="8">
        <f t="shared" si="63"/>
        <v>34.854166666666664</v>
      </c>
      <c r="N198" s="8">
        <f t="shared" si="64"/>
        <v>1370</v>
      </c>
      <c r="O198" s="8">
        <f t="shared" si="65"/>
        <v>55</v>
      </c>
      <c r="P198" s="8">
        <f t="shared" si="66"/>
        <v>87</v>
      </c>
      <c r="Q198" s="8">
        <f t="shared" si="67"/>
        <v>33</v>
      </c>
      <c r="R198" s="8">
        <f t="shared" si="68"/>
        <v>0</v>
      </c>
      <c r="S198" s="8">
        <f t="shared" si="69"/>
        <v>0</v>
      </c>
      <c r="T198" s="8">
        <f t="shared" si="70"/>
        <v>0</v>
      </c>
      <c r="U198" s="8">
        <f t="shared" si="71"/>
        <v>0</v>
      </c>
      <c r="V198" s="8">
        <f t="shared" si="72"/>
        <v>0</v>
      </c>
      <c r="W198" s="8">
        <f t="shared" si="73"/>
        <v>128</v>
      </c>
      <c r="X198" s="8">
        <f t="shared" si="74"/>
        <v>1673</v>
      </c>
      <c r="Y198" s="10">
        <v>318169</v>
      </c>
      <c r="Z198" s="10">
        <v>12680</v>
      </c>
      <c r="AA198" s="10">
        <v>20194</v>
      </c>
      <c r="AB198" s="10">
        <v>6556</v>
      </c>
      <c r="AC198" s="10">
        <v>0</v>
      </c>
      <c r="AD198" s="10">
        <v>28109</v>
      </c>
      <c r="AE198" s="10">
        <v>6500</v>
      </c>
      <c r="AF198" s="10">
        <v>0</v>
      </c>
      <c r="AG198" s="10">
        <v>2740</v>
      </c>
      <c r="AH198" s="10">
        <f t="shared" si="75"/>
        <v>232397.27000000002</v>
      </c>
      <c r="AI198" s="10">
        <v>627345.27</v>
      </c>
      <c r="AJ198" s="10">
        <v>319539</v>
      </c>
      <c r="AK198" s="10">
        <v>12735</v>
      </c>
      <c r="AL198" s="10">
        <v>20281</v>
      </c>
      <c r="AM198" s="10">
        <v>6589</v>
      </c>
      <c r="AN198" s="10">
        <v>0</v>
      </c>
      <c r="AO198" s="10">
        <v>28109</v>
      </c>
      <c r="AP198" s="10">
        <v>6500</v>
      </c>
      <c r="AQ198" s="10">
        <v>0</v>
      </c>
      <c r="AR198" s="10">
        <v>2740</v>
      </c>
      <c r="AS198" s="10">
        <f t="shared" si="78"/>
        <v>232525.27000000002</v>
      </c>
      <c r="AT198" s="10">
        <v>629018.27</v>
      </c>
      <c r="AU198" s="12">
        <v>18000</v>
      </c>
      <c r="AV198" s="12">
        <v>808.17053853672849</v>
      </c>
      <c r="AW198" s="12">
        <v>1382.125</v>
      </c>
      <c r="AX198" s="12">
        <f t="shared" si="76"/>
        <v>20190.295538536728</v>
      </c>
      <c r="AY198" s="12">
        <v>20116.95</v>
      </c>
      <c r="AZ198" s="12">
        <v>968.28357242216259</v>
      </c>
      <c r="BA198" s="12">
        <v>2128.125</v>
      </c>
      <c r="BB198" s="12">
        <f t="shared" si="77"/>
        <v>23213.358572422163</v>
      </c>
      <c r="BC198" s="12">
        <v>2116.9500000000007</v>
      </c>
      <c r="BD198" s="12">
        <v>160.11303388543411</v>
      </c>
      <c r="BE198" s="12">
        <v>746</v>
      </c>
      <c r="BF198" s="12">
        <v>3023.0630338854348</v>
      </c>
    </row>
    <row r="199" spans="1:58" x14ac:dyDescent="0.25">
      <c r="A199" s="7">
        <v>640</v>
      </c>
      <c r="B199" s="7">
        <v>1</v>
      </c>
      <c r="C199" s="7" t="s">
        <v>200</v>
      </c>
      <c r="D199" s="4">
        <v>6</v>
      </c>
      <c r="E199" s="10">
        <v>370</v>
      </c>
      <c r="F199" s="8">
        <f t="shared" si="56"/>
        <v>11701</v>
      </c>
      <c r="G199" s="8">
        <f t="shared" si="57"/>
        <v>10110.960000000001</v>
      </c>
      <c r="H199" s="8">
        <f t="shared" si="58"/>
        <v>0</v>
      </c>
      <c r="I199" s="8">
        <f t="shared" si="59"/>
        <v>9.9999999999618012</v>
      </c>
      <c r="J199" s="8">
        <f t="shared" si="60"/>
        <v>21821.959999999963</v>
      </c>
      <c r="K199" s="8">
        <f t="shared" si="61"/>
        <v>5980.0564565465484</v>
      </c>
      <c r="L199" s="8">
        <f t="shared" si="62"/>
        <v>27802.016456546509</v>
      </c>
      <c r="M199" s="8">
        <f t="shared" si="63"/>
        <v>58.978270270270173</v>
      </c>
      <c r="N199" s="8">
        <f t="shared" si="64"/>
        <v>10245</v>
      </c>
      <c r="O199" s="8">
        <f t="shared" si="65"/>
        <v>136</v>
      </c>
      <c r="P199" s="8">
        <f t="shared" si="66"/>
        <v>577</v>
      </c>
      <c r="Q199" s="8">
        <f t="shared" si="67"/>
        <v>508</v>
      </c>
      <c r="R199" s="8">
        <f t="shared" si="68"/>
        <v>235</v>
      </c>
      <c r="S199" s="8">
        <f t="shared" si="69"/>
        <v>0</v>
      </c>
      <c r="T199" s="8">
        <f t="shared" si="70"/>
        <v>10110.960000000001</v>
      </c>
      <c r="U199" s="8">
        <f t="shared" si="71"/>
        <v>0</v>
      </c>
      <c r="V199" s="8">
        <f t="shared" si="72"/>
        <v>10</v>
      </c>
      <c r="W199" s="8">
        <f t="shared" si="73"/>
        <v>0</v>
      </c>
      <c r="X199" s="8">
        <f t="shared" si="74"/>
        <v>21821.959999999963</v>
      </c>
      <c r="Y199" s="10">
        <v>2379299</v>
      </c>
      <c r="Z199" s="10">
        <v>31538</v>
      </c>
      <c r="AA199" s="10">
        <v>134045</v>
      </c>
      <c r="AB199" s="10">
        <v>100929</v>
      </c>
      <c r="AC199" s="10">
        <v>49456</v>
      </c>
      <c r="AD199" s="10">
        <v>127767</v>
      </c>
      <c r="AE199" s="10">
        <v>0</v>
      </c>
      <c r="AF199" s="10">
        <v>16443</v>
      </c>
      <c r="AG199" s="10">
        <v>44601</v>
      </c>
      <c r="AH199" s="10">
        <f t="shared" si="75"/>
        <v>551542.50999999978</v>
      </c>
      <c r="AI199" s="10">
        <v>3435620.51</v>
      </c>
      <c r="AJ199" s="10">
        <v>2389544</v>
      </c>
      <c r="AK199" s="10">
        <v>31674</v>
      </c>
      <c r="AL199" s="10">
        <v>134622</v>
      </c>
      <c r="AM199" s="10">
        <v>101437</v>
      </c>
      <c r="AN199" s="10">
        <v>49691</v>
      </c>
      <c r="AO199" s="10">
        <v>127767</v>
      </c>
      <c r="AP199" s="10">
        <v>10110.960000000001</v>
      </c>
      <c r="AQ199" s="10">
        <v>16443</v>
      </c>
      <c r="AR199" s="10">
        <v>44611</v>
      </c>
      <c r="AS199" s="10">
        <f t="shared" si="78"/>
        <v>551542.50999999978</v>
      </c>
      <c r="AT199" s="10">
        <v>3457442.4699999997</v>
      </c>
      <c r="AU199" s="12">
        <v>20400</v>
      </c>
      <c r="AV199" s="12">
        <v>4482.4144894186911</v>
      </c>
      <c r="AW199" s="12">
        <v>7027</v>
      </c>
      <c r="AX199" s="12">
        <f t="shared" si="76"/>
        <v>31909.41448941869</v>
      </c>
      <c r="AY199" s="12">
        <v>22799.21</v>
      </c>
      <c r="AZ199" s="12">
        <v>5370.4609459652374</v>
      </c>
      <c r="BA199" s="12">
        <v>9719.7999999999993</v>
      </c>
      <c r="BB199" s="12">
        <f t="shared" si="77"/>
        <v>37889.470945965237</v>
      </c>
      <c r="BC199" s="12">
        <v>2399.2099999999991</v>
      </c>
      <c r="BD199" s="12">
        <v>888.04645654654632</v>
      </c>
      <c r="BE199" s="12">
        <v>2692.8000000000029</v>
      </c>
      <c r="BF199" s="12">
        <v>5980.0564565465484</v>
      </c>
    </row>
    <row r="200" spans="1:58" x14ac:dyDescent="0.25">
      <c r="A200" s="7">
        <v>656</v>
      </c>
      <c r="B200" s="7">
        <v>1</v>
      </c>
      <c r="C200" s="7" t="s">
        <v>201</v>
      </c>
      <c r="D200" s="4">
        <v>4</v>
      </c>
      <c r="E200" s="10">
        <v>3897</v>
      </c>
      <c r="F200" s="8">
        <f t="shared" si="56"/>
        <v>125426.25</v>
      </c>
      <c r="G200" s="8">
        <f t="shared" si="57"/>
        <v>89543</v>
      </c>
      <c r="H200" s="8">
        <f t="shared" si="58"/>
        <v>51001</v>
      </c>
      <c r="I200" s="8">
        <f t="shared" si="59"/>
        <v>928</v>
      </c>
      <c r="J200" s="8">
        <f t="shared" si="60"/>
        <v>266898.25</v>
      </c>
      <c r="K200" s="8">
        <f t="shared" si="61"/>
        <v>53492.912921052615</v>
      </c>
      <c r="L200" s="8">
        <f t="shared" si="62"/>
        <v>320391.1629210526</v>
      </c>
      <c r="M200" s="8">
        <f t="shared" si="63"/>
        <v>68.488131896330515</v>
      </c>
      <c r="N200" s="8">
        <f t="shared" si="64"/>
        <v>103105</v>
      </c>
      <c r="O200" s="8">
        <f t="shared" si="65"/>
        <v>0</v>
      </c>
      <c r="P200" s="8">
        <f t="shared" si="66"/>
        <v>1599</v>
      </c>
      <c r="Q200" s="8">
        <f t="shared" si="67"/>
        <v>20722.25</v>
      </c>
      <c r="R200" s="8">
        <f t="shared" si="68"/>
        <v>0</v>
      </c>
      <c r="S200" s="8">
        <f t="shared" si="69"/>
        <v>0</v>
      </c>
      <c r="T200" s="8">
        <f t="shared" si="70"/>
        <v>89543</v>
      </c>
      <c r="U200" s="8">
        <f t="shared" si="71"/>
        <v>51001</v>
      </c>
      <c r="V200" s="8">
        <f t="shared" si="72"/>
        <v>83</v>
      </c>
      <c r="W200" s="8">
        <f t="shared" si="73"/>
        <v>845</v>
      </c>
      <c r="X200" s="8">
        <f t="shared" si="74"/>
        <v>266898.25</v>
      </c>
      <c r="Y200" s="10">
        <v>23945105</v>
      </c>
      <c r="Z200" s="10">
        <v>0</v>
      </c>
      <c r="AA200" s="10">
        <v>371392</v>
      </c>
      <c r="AB200" s="10">
        <v>4117097</v>
      </c>
      <c r="AC200" s="10">
        <v>0</v>
      </c>
      <c r="AD200" s="10">
        <v>0</v>
      </c>
      <c r="AE200" s="10">
        <v>0</v>
      </c>
      <c r="AF200" s="10">
        <v>477000</v>
      </c>
      <c r="AG200" s="10">
        <v>474518</v>
      </c>
      <c r="AH200" s="10">
        <f t="shared" si="75"/>
        <v>6297387.7700000033</v>
      </c>
      <c r="AI200" s="10">
        <v>35682499.770000003</v>
      </c>
      <c r="AJ200" s="10">
        <v>24048210</v>
      </c>
      <c r="AK200" s="10">
        <v>0</v>
      </c>
      <c r="AL200" s="10">
        <v>372991</v>
      </c>
      <c r="AM200" s="10">
        <v>4137819.25</v>
      </c>
      <c r="AN200" s="10">
        <v>0</v>
      </c>
      <c r="AO200" s="10">
        <v>0</v>
      </c>
      <c r="AP200" s="10">
        <v>89543</v>
      </c>
      <c r="AQ200" s="10">
        <v>528001</v>
      </c>
      <c r="AR200" s="10">
        <v>474601</v>
      </c>
      <c r="AS200" s="10">
        <f t="shared" si="78"/>
        <v>6298232.7700000033</v>
      </c>
      <c r="AT200" s="10">
        <v>35949398.020000003</v>
      </c>
      <c r="AU200" s="12">
        <v>210720</v>
      </c>
      <c r="AV200" s="12">
        <v>62333.015639013101</v>
      </c>
      <c r="AW200" s="12">
        <v>57829</v>
      </c>
      <c r="AX200" s="12">
        <f t="shared" si="76"/>
        <v>330882.01563901309</v>
      </c>
      <c r="AY200" s="12">
        <v>235502.42799999999</v>
      </c>
      <c r="AZ200" s="12">
        <v>74682.30056006572</v>
      </c>
      <c r="BA200" s="12">
        <v>74190.2</v>
      </c>
      <c r="BB200" s="12">
        <f t="shared" si="77"/>
        <v>384374.92856006575</v>
      </c>
      <c r="BC200" s="12">
        <v>24782.427999999985</v>
      </c>
      <c r="BD200" s="12">
        <v>12349.284921052618</v>
      </c>
      <c r="BE200" s="12">
        <v>16361.200000000012</v>
      </c>
      <c r="BF200" s="12">
        <v>53492.912921052615</v>
      </c>
    </row>
    <row r="201" spans="1:58" x14ac:dyDescent="0.25">
      <c r="A201" s="7">
        <v>659</v>
      </c>
      <c r="B201" s="7">
        <v>1</v>
      </c>
      <c r="C201" s="7" t="s">
        <v>202</v>
      </c>
      <c r="D201" s="4">
        <v>3</v>
      </c>
      <c r="E201" s="10">
        <v>3693</v>
      </c>
      <c r="F201" s="8">
        <f t="shared" si="56"/>
        <v>107781</v>
      </c>
      <c r="G201" s="8">
        <f t="shared" si="57"/>
        <v>91367.08</v>
      </c>
      <c r="H201" s="8">
        <f t="shared" si="58"/>
        <v>33516</v>
      </c>
      <c r="I201" s="8">
        <f t="shared" si="59"/>
        <v>536.99999999821011</v>
      </c>
      <c r="J201" s="8">
        <f t="shared" si="60"/>
        <v>233201.07999999821</v>
      </c>
      <c r="K201" s="8">
        <f t="shared" si="61"/>
        <v>41517.88688138748</v>
      </c>
      <c r="L201" s="8">
        <f t="shared" si="62"/>
        <v>274718.96688138571</v>
      </c>
      <c r="M201" s="8">
        <f t="shared" si="63"/>
        <v>63.146785810993286</v>
      </c>
      <c r="N201" s="8">
        <f t="shared" si="64"/>
        <v>101475</v>
      </c>
      <c r="O201" s="8">
        <f t="shared" si="65"/>
        <v>0</v>
      </c>
      <c r="P201" s="8">
        <f t="shared" si="66"/>
        <v>1524</v>
      </c>
      <c r="Q201" s="8">
        <f t="shared" si="67"/>
        <v>4782</v>
      </c>
      <c r="R201" s="8">
        <f t="shared" si="68"/>
        <v>0</v>
      </c>
      <c r="S201" s="8">
        <f t="shared" si="69"/>
        <v>0</v>
      </c>
      <c r="T201" s="8">
        <f t="shared" si="70"/>
        <v>91367.08</v>
      </c>
      <c r="U201" s="8">
        <f t="shared" si="71"/>
        <v>33516</v>
      </c>
      <c r="V201" s="8">
        <f t="shared" si="72"/>
        <v>138</v>
      </c>
      <c r="W201" s="8">
        <f t="shared" si="73"/>
        <v>399</v>
      </c>
      <c r="X201" s="8">
        <f t="shared" si="74"/>
        <v>233201.07999999821</v>
      </c>
      <c r="Y201" s="10">
        <v>23566554</v>
      </c>
      <c r="Z201" s="10">
        <v>0</v>
      </c>
      <c r="AA201" s="10">
        <v>353988</v>
      </c>
      <c r="AB201" s="10">
        <v>950088</v>
      </c>
      <c r="AC201" s="10">
        <v>0</v>
      </c>
      <c r="AD201" s="10">
        <v>0</v>
      </c>
      <c r="AE201" s="10">
        <v>0</v>
      </c>
      <c r="AF201" s="10">
        <v>132480</v>
      </c>
      <c r="AG201" s="10">
        <v>385332</v>
      </c>
      <c r="AH201" s="10">
        <f t="shared" si="75"/>
        <v>8609725.799999997</v>
      </c>
      <c r="AI201" s="10">
        <v>33998167.799999997</v>
      </c>
      <c r="AJ201" s="10">
        <v>23668029</v>
      </c>
      <c r="AK201" s="10">
        <v>0</v>
      </c>
      <c r="AL201" s="10">
        <v>355512</v>
      </c>
      <c r="AM201" s="10">
        <v>954870</v>
      </c>
      <c r="AN201" s="10">
        <v>0</v>
      </c>
      <c r="AO201" s="10">
        <v>0</v>
      </c>
      <c r="AP201" s="10">
        <v>91367.08</v>
      </c>
      <c r="AQ201" s="10">
        <v>165996</v>
      </c>
      <c r="AR201" s="10">
        <v>385470</v>
      </c>
      <c r="AS201" s="10">
        <f t="shared" si="78"/>
        <v>8610124.799999997</v>
      </c>
      <c r="AT201" s="10">
        <v>34231368.879999995</v>
      </c>
      <c r="AU201" s="12">
        <v>196200</v>
      </c>
      <c r="AV201" s="12">
        <v>39848.659171303159</v>
      </c>
      <c r="AW201" s="12">
        <v>46074.75</v>
      </c>
      <c r="AX201" s="12">
        <f t="shared" si="76"/>
        <v>282123.40917130315</v>
      </c>
      <c r="AY201" s="12">
        <v>219274.755</v>
      </c>
      <c r="AZ201" s="12">
        <v>47743.391052690611</v>
      </c>
      <c r="BA201" s="12">
        <v>56623.15</v>
      </c>
      <c r="BB201" s="12">
        <f t="shared" si="77"/>
        <v>323641.29605269065</v>
      </c>
      <c r="BC201" s="12">
        <v>23074.755000000005</v>
      </c>
      <c r="BD201" s="12">
        <v>7894.7318813874517</v>
      </c>
      <c r="BE201" s="12">
        <v>10548.400000000023</v>
      </c>
      <c r="BF201" s="12">
        <v>41517.88688138748</v>
      </c>
    </row>
    <row r="202" spans="1:58" x14ac:dyDescent="0.25">
      <c r="A202" s="7">
        <v>671</v>
      </c>
      <c r="B202" s="7">
        <v>1</v>
      </c>
      <c r="C202" s="7" t="s">
        <v>203</v>
      </c>
      <c r="D202" s="4">
        <v>6</v>
      </c>
      <c r="E202" s="10">
        <v>332</v>
      </c>
      <c r="F202" s="8">
        <f t="shared" si="56"/>
        <v>10069</v>
      </c>
      <c r="G202" s="8">
        <f t="shared" si="57"/>
        <v>8298.9600000000009</v>
      </c>
      <c r="H202" s="8">
        <f t="shared" si="58"/>
        <v>0</v>
      </c>
      <c r="I202" s="8">
        <f t="shared" si="59"/>
        <v>14.999999999961801</v>
      </c>
      <c r="J202" s="8">
        <f t="shared" si="60"/>
        <v>18382.959999999963</v>
      </c>
      <c r="K202" s="8">
        <f t="shared" si="61"/>
        <v>5400.4031178827627</v>
      </c>
      <c r="L202" s="8">
        <f t="shared" si="62"/>
        <v>23783.363117882727</v>
      </c>
      <c r="M202" s="8">
        <f t="shared" si="63"/>
        <v>55.370361445783018</v>
      </c>
      <c r="N202" s="8">
        <f t="shared" si="64"/>
        <v>8970</v>
      </c>
      <c r="O202" s="8">
        <f t="shared" si="65"/>
        <v>28</v>
      </c>
      <c r="P202" s="8">
        <f t="shared" si="66"/>
        <v>346</v>
      </c>
      <c r="Q202" s="8">
        <f t="shared" si="67"/>
        <v>359</v>
      </c>
      <c r="R202" s="8">
        <f t="shared" si="68"/>
        <v>366</v>
      </c>
      <c r="S202" s="8">
        <f t="shared" si="69"/>
        <v>0</v>
      </c>
      <c r="T202" s="8">
        <f t="shared" si="70"/>
        <v>8298.9600000000009</v>
      </c>
      <c r="U202" s="8">
        <f t="shared" si="71"/>
        <v>0</v>
      </c>
      <c r="V202" s="8">
        <f t="shared" si="72"/>
        <v>15</v>
      </c>
      <c r="W202" s="8">
        <f t="shared" si="73"/>
        <v>0</v>
      </c>
      <c r="X202" s="8">
        <f t="shared" si="74"/>
        <v>18382.959999999963</v>
      </c>
      <c r="Y202" s="10">
        <v>2083193</v>
      </c>
      <c r="Z202" s="10">
        <v>6503</v>
      </c>
      <c r="AA202" s="10">
        <v>80398</v>
      </c>
      <c r="AB202" s="10">
        <v>71326</v>
      </c>
      <c r="AC202" s="10">
        <v>77229</v>
      </c>
      <c r="AD202" s="10">
        <v>122236</v>
      </c>
      <c r="AE202" s="10">
        <v>0</v>
      </c>
      <c r="AF202" s="10">
        <v>0</v>
      </c>
      <c r="AG202" s="10">
        <v>29962</v>
      </c>
      <c r="AH202" s="10">
        <f t="shared" si="75"/>
        <v>674338.56</v>
      </c>
      <c r="AI202" s="10">
        <v>3145185.56</v>
      </c>
      <c r="AJ202" s="10">
        <v>2092163</v>
      </c>
      <c r="AK202" s="10">
        <v>6531</v>
      </c>
      <c r="AL202" s="10">
        <v>80744</v>
      </c>
      <c r="AM202" s="10">
        <v>71685</v>
      </c>
      <c r="AN202" s="10">
        <v>77595</v>
      </c>
      <c r="AO202" s="10">
        <v>122236</v>
      </c>
      <c r="AP202" s="10">
        <v>8298.9600000000009</v>
      </c>
      <c r="AQ202" s="10">
        <v>0</v>
      </c>
      <c r="AR202" s="10">
        <v>29977</v>
      </c>
      <c r="AS202" s="10">
        <f t="shared" si="78"/>
        <v>674338.56</v>
      </c>
      <c r="AT202" s="10">
        <v>3163568.52</v>
      </c>
      <c r="AU202" s="12">
        <v>18000</v>
      </c>
      <c r="AV202" s="12">
        <v>3790.940612513235</v>
      </c>
      <c r="AW202" s="12">
        <v>6017.875</v>
      </c>
      <c r="AX202" s="12">
        <f t="shared" si="76"/>
        <v>27808.815612513234</v>
      </c>
      <c r="AY202" s="12">
        <v>20116.95</v>
      </c>
      <c r="AZ202" s="12">
        <v>4541.993730395996</v>
      </c>
      <c r="BA202" s="12">
        <v>8550.2749999999996</v>
      </c>
      <c r="BB202" s="12">
        <f t="shared" si="77"/>
        <v>33209.218730395994</v>
      </c>
      <c r="BC202" s="12">
        <v>2116.9500000000007</v>
      </c>
      <c r="BD202" s="12">
        <v>751.05311788276094</v>
      </c>
      <c r="BE202" s="12">
        <v>2532.4000000000015</v>
      </c>
      <c r="BF202" s="12">
        <v>5400.4031178827627</v>
      </c>
    </row>
    <row r="203" spans="1:58" x14ac:dyDescent="0.25">
      <c r="A203" s="7">
        <v>676</v>
      </c>
      <c r="B203" s="7">
        <v>1</v>
      </c>
      <c r="C203" s="7" t="s">
        <v>204</v>
      </c>
      <c r="D203" s="4">
        <v>6</v>
      </c>
      <c r="E203" s="10">
        <v>209</v>
      </c>
      <c r="F203" s="8">
        <f t="shared" si="56"/>
        <v>6876</v>
      </c>
      <c r="G203" s="8">
        <f t="shared" si="57"/>
        <v>6770.84</v>
      </c>
      <c r="H203" s="8">
        <f t="shared" si="58"/>
        <v>0</v>
      </c>
      <c r="I203" s="8">
        <f t="shared" si="59"/>
        <v>-1.4915713109076023E-10</v>
      </c>
      <c r="J203" s="8">
        <f t="shared" si="60"/>
        <v>13646.839999999851</v>
      </c>
      <c r="K203" s="8">
        <f t="shared" si="61"/>
        <v>6289.0793463692344</v>
      </c>
      <c r="L203" s="8">
        <f t="shared" si="62"/>
        <v>19935.919346369086</v>
      </c>
      <c r="M203" s="8">
        <f t="shared" si="63"/>
        <v>65.295885167463396</v>
      </c>
      <c r="N203" s="8">
        <f t="shared" si="64"/>
        <v>5614</v>
      </c>
      <c r="O203" s="8">
        <f t="shared" si="65"/>
        <v>49</v>
      </c>
      <c r="P203" s="8">
        <f t="shared" si="66"/>
        <v>363</v>
      </c>
      <c r="Q203" s="8">
        <f t="shared" si="67"/>
        <v>618</v>
      </c>
      <c r="R203" s="8">
        <f t="shared" si="68"/>
        <v>232</v>
      </c>
      <c r="S203" s="8">
        <f t="shared" si="69"/>
        <v>0</v>
      </c>
      <c r="T203" s="8">
        <f t="shared" si="70"/>
        <v>6770.84</v>
      </c>
      <c r="U203" s="8">
        <f t="shared" si="71"/>
        <v>0</v>
      </c>
      <c r="V203" s="8">
        <f t="shared" si="72"/>
        <v>0</v>
      </c>
      <c r="W203" s="8">
        <f t="shared" si="73"/>
        <v>0</v>
      </c>
      <c r="X203" s="8">
        <f t="shared" si="74"/>
        <v>13646.839999999851</v>
      </c>
      <c r="Y203" s="10">
        <v>1303737</v>
      </c>
      <c r="Z203" s="10">
        <v>11380</v>
      </c>
      <c r="AA203" s="10">
        <v>84239</v>
      </c>
      <c r="AB203" s="10">
        <v>122784</v>
      </c>
      <c r="AC203" s="10">
        <v>48937</v>
      </c>
      <c r="AD203" s="10">
        <v>93582</v>
      </c>
      <c r="AE203" s="10">
        <v>0</v>
      </c>
      <c r="AF203" s="10">
        <v>0</v>
      </c>
      <c r="AG203" s="10">
        <v>11228</v>
      </c>
      <c r="AH203" s="10">
        <f t="shared" si="75"/>
        <v>526599.5</v>
      </c>
      <c r="AI203" s="10">
        <v>2202486.5</v>
      </c>
      <c r="AJ203" s="10">
        <v>1309351</v>
      </c>
      <c r="AK203" s="10">
        <v>11429</v>
      </c>
      <c r="AL203" s="10">
        <v>84602</v>
      </c>
      <c r="AM203" s="10">
        <v>123402</v>
      </c>
      <c r="AN203" s="10">
        <v>49169</v>
      </c>
      <c r="AO203" s="10">
        <v>93582</v>
      </c>
      <c r="AP203" s="10">
        <v>6770.84</v>
      </c>
      <c r="AQ203" s="10">
        <v>0</v>
      </c>
      <c r="AR203" s="10">
        <v>11228</v>
      </c>
      <c r="AS203" s="10">
        <f t="shared" si="78"/>
        <v>526599.49999999977</v>
      </c>
      <c r="AT203" s="10">
        <v>2216133.34</v>
      </c>
      <c r="AU203" s="12">
        <v>18000</v>
      </c>
      <c r="AV203" s="12">
        <v>3000.8868757987143</v>
      </c>
      <c r="AW203" s="12">
        <v>4502</v>
      </c>
      <c r="AX203" s="12">
        <f t="shared" si="76"/>
        <v>25502.886875798715</v>
      </c>
      <c r="AY203" s="12">
        <v>20116.95</v>
      </c>
      <c r="AZ203" s="12">
        <v>3595.4162221679494</v>
      </c>
      <c r="BA203" s="12">
        <v>8079.6</v>
      </c>
      <c r="BB203" s="12">
        <f t="shared" si="77"/>
        <v>31791.966222167954</v>
      </c>
      <c r="BC203" s="12">
        <v>2116.9500000000007</v>
      </c>
      <c r="BD203" s="12">
        <v>594.5293463692351</v>
      </c>
      <c r="BE203" s="12">
        <v>3577.5999999999985</v>
      </c>
      <c r="BF203" s="12">
        <v>6289.0793463692344</v>
      </c>
    </row>
    <row r="204" spans="1:58" x14ac:dyDescent="0.25">
      <c r="A204" s="7">
        <v>682</v>
      </c>
      <c r="B204" s="7">
        <v>1</v>
      </c>
      <c r="C204" s="7" t="s">
        <v>205</v>
      </c>
      <c r="D204" s="4">
        <v>5</v>
      </c>
      <c r="E204" s="10">
        <v>1227</v>
      </c>
      <c r="F204" s="8">
        <f t="shared" si="56"/>
        <v>35963.75</v>
      </c>
      <c r="G204" s="8">
        <f t="shared" si="57"/>
        <v>26917.260000000002</v>
      </c>
      <c r="H204" s="8">
        <f t="shared" si="58"/>
        <v>0</v>
      </c>
      <c r="I204" s="8">
        <f t="shared" si="59"/>
        <v>18.999999999774445</v>
      </c>
      <c r="J204" s="8">
        <f t="shared" si="60"/>
        <v>62900.009999999776</v>
      </c>
      <c r="K204" s="8">
        <f t="shared" si="61"/>
        <v>13913.527107848182</v>
      </c>
      <c r="L204" s="8">
        <f t="shared" si="62"/>
        <v>76813.537107847951</v>
      </c>
      <c r="M204" s="8">
        <f t="shared" si="63"/>
        <v>51.263251833740647</v>
      </c>
      <c r="N204" s="8">
        <f t="shared" si="64"/>
        <v>33430</v>
      </c>
      <c r="O204" s="8">
        <f t="shared" si="65"/>
        <v>0</v>
      </c>
      <c r="P204" s="8">
        <f t="shared" si="66"/>
        <v>1690</v>
      </c>
      <c r="Q204" s="8">
        <f t="shared" si="67"/>
        <v>843.75</v>
      </c>
      <c r="R204" s="8">
        <f t="shared" si="68"/>
        <v>0</v>
      </c>
      <c r="S204" s="8">
        <f t="shared" si="69"/>
        <v>0</v>
      </c>
      <c r="T204" s="8">
        <f t="shared" si="70"/>
        <v>26917.260000000002</v>
      </c>
      <c r="U204" s="8">
        <f t="shared" si="71"/>
        <v>0</v>
      </c>
      <c r="V204" s="8">
        <f t="shared" si="72"/>
        <v>19</v>
      </c>
      <c r="W204" s="8">
        <f t="shared" si="73"/>
        <v>0</v>
      </c>
      <c r="X204" s="8">
        <f t="shared" si="74"/>
        <v>62900.009999999776</v>
      </c>
      <c r="Y204" s="10">
        <v>7763783</v>
      </c>
      <c r="Z204" s="10">
        <v>0</v>
      </c>
      <c r="AA204" s="10">
        <v>392507</v>
      </c>
      <c r="AB204" s="10">
        <v>167636</v>
      </c>
      <c r="AC204" s="10">
        <v>0</v>
      </c>
      <c r="AD204" s="10">
        <v>0</v>
      </c>
      <c r="AE204" s="10">
        <v>0</v>
      </c>
      <c r="AF204" s="10">
        <v>14791</v>
      </c>
      <c r="AG204" s="10">
        <v>165759</v>
      </c>
      <c r="AH204" s="10">
        <f t="shared" si="75"/>
        <v>1331172.7599999998</v>
      </c>
      <c r="AI204" s="10">
        <v>9835648.7599999998</v>
      </c>
      <c r="AJ204" s="10">
        <v>7797213</v>
      </c>
      <c r="AK204" s="10">
        <v>0</v>
      </c>
      <c r="AL204" s="10">
        <v>394197</v>
      </c>
      <c r="AM204" s="10">
        <v>168479.75</v>
      </c>
      <c r="AN204" s="10">
        <v>0</v>
      </c>
      <c r="AO204" s="10">
        <v>0</v>
      </c>
      <c r="AP204" s="10">
        <v>26917.260000000002</v>
      </c>
      <c r="AQ204" s="10">
        <v>14791</v>
      </c>
      <c r="AR204" s="10">
        <v>165778</v>
      </c>
      <c r="AS204" s="10">
        <f t="shared" si="78"/>
        <v>1331172.7599999998</v>
      </c>
      <c r="AT204" s="10">
        <v>9898548.7699999996</v>
      </c>
      <c r="AU204" s="12">
        <v>49560</v>
      </c>
      <c r="AV204" s="12">
        <v>10884.722299363719</v>
      </c>
      <c r="AW204" s="12">
        <v>16782.625</v>
      </c>
      <c r="AX204" s="12">
        <f t="shared" si="76"/>
        <v>77227.347299363726</v>
      </c>
      <c r="AY204" s="12">
        <v>55388.669000000002</v>
      </c>
      <c r="AZ204" s="12">
        <v>13041.180407211905</v>
      </c>
      <c r="BA204" s="12">
        <v>22711.025000000001</v>
      </c>
      <c r="BB204" s="12">
        <f t="shared" si="77"/>
        <v>91140.874407211901</v>
      </c>
      <c r="BC204" s="12">
        <v>5828.6690000000017</v>
      </c>
      <c r="BD204" s="12">
        <v>2156.458107848186</v>
      </c>
      <c r="BE204" s="12">
        <v>5928.3999999999942</v>
      </c>
      <c r="BF204" s="12">
        <v>13913.527107848182</v>
      </c>
    </row>
    <row r="205" spans="1:58" x14ac:dyDescent="0.25">
      <c r="A205" s="7">
        <v>690</v>
      </c>
      <c r="B205" s="7">
        <v>1</v>
      </c>
      <c r="C205" s="7" t="s">
        <v>206</v>
      </c>
      <c r="D205" s="4">
        <v>5</v>
      </c>
      <c r="E205" s="10">
        <v>1038</v>
      </c>
      <c r="F205" s="8">
        <f t="shared" si="56"/>
        <v>33125.25</v>
      </c>
      <c r="G205" s="8">
        <f t="shared" si="57"/>
        <v>22565.439999999999</v>
      </c>
      <c r="H205" s="8">
        <f t="shared" si="58"/>
        <v>0</v>
      </c>
      <c r="I205" s="8">
        <f t="shared" si="59"/>
        <v>13.000000001342414</v>
      </c>
      <c r="J205" s="8">
        <f t="shared" si="60"/>
        <v>55703.690000001341</v>
      </c>
      <c r="K205" s="8">
        <f t="shared" si="61"/>
        <v>15303.657419847184</v>
      </c>
      <c r="L205" s="8">
        <f t="shared" si="62"/>
        <v>71007.34741984852</v>
      </c>
      <c r="M205" s="8">
        <f t="shared" si="63"/>
        <v>53.66444123314195</v>
      </c>
      <c r="N205" s="8">
        <f t="shared" si="64"/>
        <v>28305</v>
      </c>
      <c r="O205" s="8">
        <f t="shared" si="65"/>
        <v>0</v>
      </c>
      <c r="P205" s="8">
        <f t="shared" si="66"/>
        <v>1780</v>
      </c>
      <c r="Q205" s="8">
        <f t="shared" si="67"/>
        <v>2876.25</v>
      </c>
      <c r="R205" s="8">
        <f t="shared" si="68"/>
        <v>164</v>
      </c>
      <c r="S205" s="8">
        <f t="shared" si="69"/>
        <v>0</v>
      </c>
      <c r="T205" s="8">
        <f t="shared" si="70"/>
        <v>22565.439999999999</v>
      </c>
      <c r="U205" s="8">
        <f t="shared" si="71"/>
        <v>0</v>
      </c>
      <c r="V205" s="8">
        <f t="shared" si="72"/>
        <v>13</v>
      </c>
      <c r="W205" s="8">
        <f t="shared" si="73"/>
        <v>0</v>
      </c>
      <c r="X205" s="8">
        <f t="shared" si="74"/>
        <v>55703.690000001341</v>
      </c>
      <c r="Y205" s="10">
        <v>6573553</v>
      </c>
      <c r="Z205" s="10">
        <v>0</v>
      </c>
      <c r="AA205" s="10">
        <v>413471</v>
      </c>
      <c r="AB205" s="10">
        <v>571453</v>
      </c>
      <c r="AC205" s="10">
        <v>34612</v>
      </c>
      <c r="AD205" s="10">
        <v>0</v>
      </c>
      <c r="AE205" s="10">
        <v>0</v>
      </c>
      <c r="AF205" s="10">
        <v>14940</v>
      </c>
      <c r="AG205" s="10">
        <v>143543</v>
      </c>
      <c r="AH205" s="10">
        <f t="shared" si="75"/>
        <v>1062522</v>
      </c>
      <c r="AI205" s="10">
        <v>8814094</v>
      </c>
      <c r="AJ205" s="10">
        <v>6601858</v>
      </c>
      <c r="AK205" s="10">
        <v>0</v>
      </c>
      <c r="AL205" s="10">
        <v>415251</v>
      </c>
      <c r="AM205" s="10">
        <v>574329.25</v>
      </c>
      <c r="AN205" s="10">
        <v>34776</v>
      </c>
      <c r="AO205" s="10">
        <v>0</v>
      </c>
      <c r="AP205" s="10">
        <v>22565.439999999999</v>
      </c>
      <c r="AQ205" s="10">
        <v>14940</v>
      </c>
      <c r="AR205" s="10">
        <v>143556</v>
      </c>
      <c r="AS205" s="10">
        <f t="shared" si="78"/>
        <v>1062522.0000000009</v>
      </c>
      <c r="AT205" s="10">
        <v>8869797.6900000013</v>
      </c>
      <c r="AU205" s="12">
        <v>46200</v>
      </c>
      <c r="AV205" s="12">
        <v>12944.578339178646</v>
      </c>
      <c r="AW205" s="12">
        <v>15145.25</v>
      </c>
      <c r="AX205" s="12">
        <f t="shared" si="76"/>
        <v>74289.828339178639</v>
      </c>
      <c r="AY205" s="12">
        <v>51633.504999999997</v>
      </c>
      <c r="AZ205" s="12">
        <v>15509.130759025828</v>
      </c>
      <c r="BA205" s="12">
        <v>22450.85</v>
      </c>
      <c r="BB205" s="12">
        <f t="shared" si="77"/>
        <v>89593.485759025818</v>
      </c>
      <c r="BC205" s="12">
        <v>5433.5049999999974</v>
      </c>
      <c r="BD205" s="12">
        <v>2564.5524198471812</v>
      </c>
      <c r="BE205" s="12">
        <v>7305.6000000000058</v>
      </c>
      <c r="BF205" s="12">
        <v>15303.657419847184</v>
      </c>
    </row>
    <row r="206" spans="1:58" x14ac:dyDescent="0.25">
      <c r="A206" s="7">
        <v>695</v>
      </c>
      <c r="B206" s="7">
        <v>1</v>
      </c>
      <c r="C206" s="7" t="s">
        <v>207</v>
      </c>
      <c r="D206" s="4">
        <v>6</v>
      </c>
      <c r="E206" s="10">
        <v>740</v>
      </c>
      <c r="F206" s="8">
        <f t="shared" si="56"/>
        <v>22747.75</v>
      </c>
      <c r="G206" s="8">
        <f t="shared" si="57"/>
        <v>18177.38</v>
      </c>
      <c r="H206" s="8">
        <f t="shared" si="58"/>
        <v>0</v>
      </c>
      <c r="I206" s="8">
        <f t="shared" si="59"/>
        <v>17.999999999887223</v>
      </c>
      <c r="J206" s="8">
        <f t="shared" si="60"/>
        <v>40943.129999999888</v>
      </c>
      <c r="K206" s="8">
        <f t="shared" si="61"/>
        <v>10794.839599073821</v>
      </c>
      <c r="L206" s="8">
        <f t="shared" si="62"/>
        <v>51737.969599073709</v>
      </c>
      <c r="M206" s="8">
        <f t="shared" si="63"/>
        <v>55.328554054053903</v>
      </c>
      <c r="N206" s="8">
        <f t="shared" si="64"/>
        <v>20105</v>
      </c>
      <c r="O206" s="8">
        <f t="shared" si="65"/>
        <v>0</v>
      </c>
      <c r="P206" s="8">
        <f t="shared" si="66"/>
        <v>395</v>
      </c>
      <c r="Q206" s="8">
        <f t="shared" si="67"/>
        <v>2247.75</v>
      </c>
      <c r="R206" s="8">
        <f t="shared" si="68"/>
        <v>0</v>
      </c>
      <c r="S206" s="8">
        <f t="shared" si="69"/>
        <v>0</v>
      </c>
      <c r="T206" s="8">
        <f t="shared" si="70"/>
        <v>18177.38</v>
      </c>
      <c r="U206" s="8">
        <f t="shared" si="71"/>
        <v>0</v>
      </c>
      <c r="V206" s="8">
        <f t="shared" si="72"/>
        <v>18</v>
      </c>
      <c r="W206" s="8">
        <f t="shared" si="73"/>
        <v>0</v>
      </c>
      <c r="X206" s="8">
        <f t="shared" si="74"/>
        <v>40943.129999999888</v>
      </c>
      <c r="Y206" s="10">
        <v>4669185</v>
      </c>
      <c r="Z206" s="10">
        <v>0</v>
      </c>
      <c r="AA206" s="10">
        <v>91658</v>
      </c>
      <c r="AB206" s="10">
        <v>446583</v>
      </c>
      <c r="AC206" s="10">
        <v>0</v>
      </c>
      <c r="AD206" s="10">
        <v>71000</v>
      </c>
      <c r="AE206" s="10">
        <v>0</v>
      </c>
      <c r="AF206" s="10">
        <v>15273</v>
      </c>
      <c r="AG206" s="10">
        <v>90817</v>
      </c>
      <c r="AH206" s="10">
        <f t="shared" si="75"/>
        <v>1025315.5</v>
      </c>
      <c r="AI206" s="10">
        <v>6409831.5</v>
      </c>
      <c r="AJ206" s="10">
        <v>4689290</v>
      </c>
      <c r="AK206" s="10">
        <v>0</v>
      </c>
      <c r="AL206" s="10">
        <v>92053</v>
      </c>
      <c r="AM206" s="10">
        <v>448830.75</v>
      </c>
      <c r="AN206" s="10">
        <v>0</v>
      </c>
      <c r="AO206" s="10">
        <v>71000</v>
      </c>
      <c r="AP206" s="10">
        <v>18177.38</v>
      </c>
      <c r="AQ206" s="10">
        <v>15273</v>
      </c>
      <c r="AR206" s="10">
        <v>90835</v>
      </c>
      <c r="AS206" s="10">
        <f t="shared" si="78"/>
        <v>1025315.5</v>
      </c>
      <c r="AT206" s="10">
        <v>6450774.6299999999</v>
      </c>
      <c r="AU206" s="12">
        <v>47640</v>
      </c>
      <c r="AV206" s="12">
        <v>10599.641978825124</v>
      </c>
      <c r="AW206" s="12">
        <v>8315.625</v>
      </c>
      <c r="AX206" s="12">
        <f t="shared" si="76"/>
        <v>66555.266978825122</v>
      </c>
      <c r="AY206" s="12">
        <v>53242.860999999997</v>
      </c>
      <c r="AZ206" s="12">
        <v>12699.620577898948</v>
      </c>
      <c r="BA206" s="12">
        <v>11407.625</v>
      </c>
      <c r="BB206" s="12">
        <f t="shared" si="77"/>
        <v>77350.106577898943</v>
      </c>
      <c r="BC206" s="12">
        <v>5602.8609999999971</v>
      </c>
      <c r="BD206" s="12">
        <v>2099.9785990738237</v>
      </c>
      <c r="BE206" s="12">
        <v>3092</v>
      </c>
      <c r="BF206" s="12">
        <v>10794.839599073821</v>
      </c>
    </row>
    <row r="207" spans="1:58" x14ac:dyDescent="0.25">
      <c r="A207" s="7">
        <v>696</v>
      </c>
      <c r="B207" s="7">
        <v>1</v>
      </c>
      <c r="C207" s="7" t="s">
        <v>208</v>
      </c>
      <c r="D207" s="4">
        <v>6</v>
      </c>
      <c r="E207" s="10">
        <v>545</v>
      </c>
      <c r="F207" s="8">
        <f t="shared" si="56"/>
        <v>17377.5</v>
      </c>
      <c r="G207" s="8">
        <f t="shared" si="57"/>
        <v>0</v>
      </c>
      <c r="H207" s="8">
        <f t="shared" si="58"/>
        <v>0</v>
      </c>
      <c r="I207" s="8">
        <f t="shared" si="59"/>
        <v>12</v>
      </c>
      <c r="J207" s="8">
        <f t="shared" si="60"/>
        <v>17389.5</v>
      </c>
      <c r="K207" s="8">
        <f t="shared" si="61"/>
        <v>6740.4110405329247</v>
      </c>
      <c r="L207" s="8">
        <f t="shared" si="62"/>
        <v>24129.911040532927</v>
      </c>
      <c r="M207" s="8">
        <f t="shared" si="63"/>
        <v>31.907339449541283</v>
      </c>
      <c r="N207" s="8">
        <f t="shared" si="64"/>
        <v>14527</v>
      </c>
      <c r="O207" s="8">
        <f t="shared" si="65"/>
        <v>22</v>
      </c>
      <c r="P207" s="8">
        <f t="shared" si="66"/>
        <v>703</v>
      </c>
      <c r="Q207" s="8">
        <f t="shared" si="67"/>
        <v>1120.5</v>
      </c>
      <c r="R207" s="8">
        <f t="shared" si="68"/>
        <v>1005</v>
      </c>
      <c r="S207" s="8">
        <f t="shared" si="69"/>
        <v>0</v>
      </c>
      <c r="T207" s="8">
        <f t="shared" si="70"/>
        <v>0</v>
      </c>
      <c r="U207" s="8">
        <f t="shared" si="71"/>
        <v>0</v>
      </c>
      <c r="V207" s="8">
        <f t="shared" si="72"/>
        <v>12</v>
      </c>
      <c r="W207" s="8">
        <f t="shared" si="73"/>
        <v>0</v>
      </c>
      <c r="X207" s="8">
        <f t="shared" si="74"/>
        <v>17389.5</v>
      </c>
      <c r="Y207" s="10">
        <v>3373867</v>
      </c>
      <c r="Z207" s="10">
        <v>4958</v>
      </c>
      <c r="AA207" s="10">
        <v>163130</v>
      </c>
      <c r="AB207" s="10">
        <v>222621</v>
      </c>
      <c r="AC207" s="10">
        <v>212019</v>
      </c>
      <c r="AD207" s="10">
        <v>124768</v>
      </c>
      <c r="AE207" s="10">
        <v>145860</v>
      </c>
      <c r="AF207" s="10">
        <v>0</v>
      </c>
      <c r="AG207" s="10">
        <v>65839</v>
      </c>
      <c r="AH207" s="10">
        <f t="shared" si="75"/>
        <v>727639.69000000041</v>
      </c>
      <c r="AI207" s="10">
        <v>5040701.6900000004</v>
      </c>
      <c r="AJ207" s="10">
        <v>3388394</v>
      </c>
      <c r="AK207" s="10">
        <v>4980</v>
      </c>
      <c r="AL207" s="10">
        <v>163833</v>
      </c>
      <c r="AM207" s="10">
        <v>223741.5</v>
      </c>
      <c r="AN207" s="10">
        <v>213024</v>
      </c>
      <c r="AO207" s="10">
        <v>124768</v>
      </c>
      <c r="AP207" s="10">
        <v>145860</v>
      </c>
      <c r="AQ207" s="10">
        <v>0</v>
      </c>
      <c r="AR207" s="10">
        <v>65851</v>
      </c>
      <c r="AS207" s="10">
        <f t="shared" si="78"/>
        <v>727639.69000000041</v>
      </c>
      <c r="AT207" s="10">
        <v>5058091.1900000004</v>
      </c>
      <c r="AU207" s="12">
        <v>24600</v>
      </c>
      <c r="AV207" s="12">
        <v>6303.5503895899237</v>
      </c>
      <c r="AW207" s="12">
        <v>5738.625</v>
      </c>
      <c r="AX207" s="12">
        <f t="shared" si="76"/>
        <v>36642.175389589924</v>
      </c>
      <c r="AY207" s="12">
        <v>27493.165000000001</v>
      </c>
      <c r="AZ207" s="12">
        <v>7552.3964301228461</v>
      </c>
      <c r="BA207" s="12">
        <v>8337.0249999999996</v>
      </c>
      <c r="BB207" s="12">
        <f t="shared" si="77"/>
        <v>43382.58643012285</v>
      </c>
      <c r="BC207" s="12">
        <v>2893.1650000000009</v>
      </c>
      <c r="BD207" s="12">
        <v>1248.8460405329224</v>
      </c>
      <c r="BE207" s="12">
        <v>2598.4000000000015</v>
      </c>
      <c r="BF207" s="12">
        <v>6740.4110405329247</v>
      </c>
    </row>
    <row r="208" spans="1:58" x14ac:dyDescent="0.25">
      <c r="A208" s="7">
        <v>698</v>
      </c>
      <c r="B208" s="7">
        <v>1</v>
      </c>
      <c r="C208" s="7" t="s">
        <v>209</v>
      </c>
      <c r="D208" s="4">
        <v>6</v>
      </c>
      <c r="E208" s="10">
        <v>252</v>
      </c>
      <c r="F208" s="8">
        <f t="shared" si="56"/>
        <v>9886.25</v>
      </c>
      <c r="G208" s="8">
        <f t="shared" si="57"/>
        <v>7688.92</v>
      </c>
      <c r="H208" s="8">
        <f t="shared" si="58"/>
        <v>0</v>
      </c>
      <c r="I208" s="8">
        <f t="shared" si="59"/>
        <v>-2.0000000000745786</v>
      </c>
      <c r="J208" s="8">
        <f t="shared" si="60"/>
        <v>17573.169999999925</v>
      </c>
      <c r="K208" s="8">
        <f t="shared" si="61"/>
        <v>4635.0541855068786</v>
      </c>
      <c r="L208" s="8">
        <f t="shared" si="62"/>
        <v>22208.224185506806</v>
      </c>
      <c r="M208" s="8">
        <f t="shared" si="63"/>
        <v>69.734801587301291</v>
      </c>
      <c r="N208" s="8">
        <f t="shared" si="64"/>
        <v>6980</v>
      </c>
      <c r="O208" s="8">
        <f t="shared" si="65"/>
        <v>99</v>
      </c>
      <c r="P208" s="8">
        <f t="shared" si="66"/>
        <v>571</v>
      </c>
      <c r="Q208" s="8">
        <f t="shared" si="67"/>
        <v>575.25</v>
      </c>
      <c r="R208" s="8">
        <f t="shared" si="68"/>
        <v>1661</v>
      </c>
      <c r="S208" s="8">
        <f t="shared" si="69"/>
        <v>0</v>
      </c>
      <c r="T208" s="8">
        <f t="shared" si="70"/>
        <v>7688.92</v>
      </c>
      <c r="U208" s="8">
        <f t="shared" si="71"/>
        <v>0</v>
      </c>
      <c r="V208" s="8">
        <f t="shared" si="72"/>
        <v>-2</v>
      </c>
      <c r="W208" s="8">
        <f t="shared" si="73"/>
        <v>0</v>
      </c>
      <c r="X208" s="8">
        <f t="shared" si="74"/>
        <v>17573.169999999925</v>
      </c>
      <c r="Y208" s="10">
        <v>1621035</v>
      </c>
      <c r="Z208" s="10">
        <v>23085</v>
      </c>
      <c r="AA208" s="10">
        <v>132415</v>
      </c>
      <c r="AB208" s="10">
        <v>114291</v>
      </c>
      <c r="AC208" s="10">
        <v>350603</v>
      </c>
      <c r="AD208" s="10">
        <v>107712</v>
      </c>
      <c r="AE208" s="10">
        <v>0</v>
      </c>
      <c r="AF208" s="10">
        <v>0</v>
      </c>
      <c r="AG208" s="10">
        <v>50942.501646796169</v>
      </c>
      <c r="AH208" s="10">
        <f t="shared" si="75"/>
        <v>90553.450000000186</v>
      </c>
      <c r="AI208" s="10">
        <v>2490636.9516467964</v>
      </c>
      <c r="AJ208" s="10">
        <v>1628015</v>
      </c>
      <c r="AK208" s="10">
        <v>23184</v>
      </c>
      <c r="AL208" s="10">
        <v>132986</v>
      </c>
      <c r="AM208" s="10">
        <v>114866.25</v>
      </c>
      <c r="AN208" s="10">
        <v>352264</v>
      </c>
      <c r="AO208" s="10">
        <v>107712</v>
      </c>
      <c r="AP208" s="10">
        <v>7688.92</v>
      </c>
      <c r="AQ208" s="10">
        <v>0</v>
      </c>
      <c r="AR208" s="10">
        <v>50940.501646796169</v>
      </c>
      <c r="AS208" s="10">
        <f t="shared" si="78"/>
        <v>90553.450000000186</v>
      </c>
      <c r="AT208" s="10">
        <v>2508210.1216467964</v>
      </c>
      <c r="AU208" s="12">
        <v>18000</v>
      </c>
      <c r="AV208" s="12">
        <v>2663.5868763459562</v>
      </c>
      <c r="AW208" s="12">
        <v>3284.625</v>
      </c>
      <c r="AX208" s="12">
        <f t="shared" si="76"/>
        <v>23948.211876345955</v>
      </c>
      <c r="AY208" s="12">
        <v>20116.95</v>
      </c>
      <c r="AZ208" s="12">
        <v>3191.2910618528322</v>
      </c>
      <c r="BA208" s="12">
        <v>5275.0249999999996</v>
      </c>
      <c r="BB208" s="12">
        <f t="shared" si="77"/>
        <v>28583.266061852832</v>
      </c>
      <c r="BC208" s="12">
        <v>2116.9500000000007</v>
      </c>
      <c r="BD208" s="12">
        <v>527.704185506876</v>
      </c>
      <c r="BE208" s="12">
        <v>1990.4000000000015</v>
      </c>
      <c r="BF208" s="12">
        <v>4635.0541855068786</v>
      </c>
    </row>
    <row r="209" spans="1:58" x14ac:dyDescent="0.25">
      <c r="A209" s="7">
        <v>700</v>
      </c>
      <c r="B209" s="7">
        <v>1</v>
      </c>
      <c r="C209" s="7" t="s">
        <v>210</v>
      </c>
      <c r="D209" s="4">
        <v>4</v>
      </c>
      <c r="E209" s="10">
        <v>2026</v>
      </c>
      <c r="F209" s="8">
        <f t="shared" ref="F209:F272" si="79">SUM(N209:S209)</f>
        <v>55780.75</v>
      </c>
      <c r="G209" s="8">
        <f t="shared" ref="G209:G272" si="80">T209</f>
        <v>39492.54</v>
      </c>
      <c r="H209" s="8">
        <f t="shared" ref="H209:H272" si="81">U209</f>
        <v>0</v>
      </c>
      <c r="I209" s="8">
        <f t="shared" ref="I209:I272" si="82">J209-F209-G209-H209</f>
        <v>-21.000000000894943</v>
      </c>
      <c r="J209" s="8">
        <f t="shared" ref="J209:J272" si="83">X209</f>
        <v>95252.289999999106</v>
      </c>
      <c r="K209" s="8">
        <f t="shared" ref="K209:K272" si="84">BF209</f>
        <v>14922.990811267387</v>
      </c>
      <c r="L209" s="8">
        <f t="shared" ref="L209:L272" si="85">J209+K209</f>
        <v>110175.28081126649</v>
      </c>
      <c r="M209" s="8">
        <f t="shared" ref="M209:M272" si="86">IF(E209=0,0,J209/E209)</f>
        <v>47.014950641657997</v>
      </c>
      <c r="N209" s="8">
        <f t="shared" ref="N209:N272" si="87">AJ209-Y209</f>
        <v>54118</v>
      </c>
      <c r="O209" s="8">
        <f t="shared" ref="O209:O272" si="88">AK209-Z209</f>
        <v>0</v>
      </c>
      <c r="P209" s="8">
        <f t="shared" ref="P209:P272" si="89">AL209-AA209</f>
        <v>865</v>
      </c>
      <c r="Q209" s="8">
        <f t="shared" ref="Q209:Q272" si="90">AM209-AB209</f>
        <v>797.75</v>
      </c>
      <c r="R209" s="8">
        <f t="shared" ref="R209:R272" si="91">AN209-AC209</f>
        <v>0</v>
      </c>
      <c r="S209" s="8">
        <f t="shared" ref="S209:S272" si="92">AO209-AD209</f>
        <v>0</v>
      </c>
      <c r="T209" s="8">
        <f t="shared" ref="T209:T272" si="93">AP209-AE209</f>
        <v>39492.54</v>
      </c>
      <c r="U209" s="8">
        <f t="shared" ref="U209:U272" si="94">AQ209-AF209</f>
        <v>0</v>
      </c>
      <c r="V209" s="8">
        <f t="shared" ref="V209:V272" si="95">AR209-AG209</f>
        <v>-21</v>
      </c>
      <c r="W209" s="8">
        <f t="shared" ref="W209:W272" si="96">AS209-AH209</f>
        <v>0</v>
      </c>
      <c r="X209" s="8">
        <f t="shared" ref="X209:X272" si="97">AT209-AI209</f>
        <v>95252.289999999106</v>
      </c>
      <c r="Y209" s="10">
        <v>12568248</v>
      </c>
      <c r="Z209" s="10">
        <v>0</v>
      </c>
      <c r="AA209" s="10">
        <v>200869</v>
      </c>
      <c r="AB209" s="10">
        <v>158497</v>
      </c>
      <c r="AC209" s="10">
        <v>0</v>
      </c>
      <c r="AD209" s="10">
        <v>0</v>
      </c>
      <c r="AE209" s="10">
        <v>0</v>
      </c>
      <c r="AF209" s="10">
        <v>0</v>
      </c>
      <c r="AG209" s="10">
        <v>441415</v>
      </c>
      <c r="AH209" s="10">
        <f t="shared" ref="AH209:AH272" si="98">AI209-SUM(Y209:AG209)</f>
        <v>588833.6799999997</v>
      </c>
      <c r="AI209" s="10">
        <v>13957862.68</v>
      </c>
      <c r="AJ209" s="10">
        <v>12622366</v>
      </c>
      <c r="AK209" s="10">
        <v>0</v>
      </c>
      <c r="AL209" s="10">
        <v>201734</v>
      </c>
      <c r="AM209" s="10">
        <v>159294.75</v>
      </c>
      <c r="AN209" s="10">
        <v>0</v>
      </c>
      <c r="AO209" s="10">
        <v>0</v>
      </c>
      <c r="AP209" s="10">
        <v>39492.54</v>
      </c>
      <c r="AQ209" s="10">
        <v>0</v>
      </c>
      <c r="AR209" s="10">
        <v>441394</v>
      </c>
      <c r="AS209" s="10">
        <f t="shared" si="78"/>
        <v>588833.6799999997</v>
      </c>
      <c r="AT209" s="10">
        <v>14053114.969999999</v>
      </c>
      <c r="AU209" s="12">
        <v>78720</v>
      </c>
      <c r="AV209" s="12">
        <v>14218.115039872155</v>
      </c>
      <c r="AW209" s="12">
        <v>20235.125</v>
      </c>
      <c r="AX209" s="12">
        <f t="shared" ref="AX209:AX272" si="99">AU209+AV209+AW209</f>
        <v>113173.24003987215</v>
      </c>
      <c r="AY209" s="12">
        <v>87978.127999999997</v>
      </c>
      <c r="AZ209" s="12">
        <v>17034.977851139545</v>
      </c>
      <c r="BA209" s="12">
        <v>23083.125</v>
      </c>
      <c r="BB209" s="12">
        <f t="shared" ref="BB209:BB272" si="100">AY209+AZ209+BA209</f>
        <v>128096.23085113954</v>
      </c>
      <c r="BC209" s="12">
        <v>9258.127999999997</v>
      </c>
      <c r="BD209" s="12">
        <v>2816.8628112673905</v>
      </c>
      <c r="BE209" s="12">
        <v>2848</v>
      </c>
      <c r="BF209" s="12">
        <v>14922.990811267387</v>
      </c>
    </row>
    <row r="210" spans="1:58" x14ac:dyDescent="0.25">
      <c r="A210" s="7">
        <v>701</v>
      </c>
      <c r="B210" s="7">
        <v>1</v>
      </c>
      <c r="C210" s="7" t="s">
        <v>211</v>
      </c>
      <c r="D210" s="4">
        <v>4</v>
      </c>
      <c r="E210" s="10">
        <v>2333</v>
      </c>
      <c r="F210" s="8">
        <f t="shared" si="79"/>
        <v>74029.25</v>
      </c>
      <c r="G210" s="8">
        <f t="shared" si="80"/>
        <v>46202.979999999996</v>
      </c>
      <c r="H210" s="8">
        <f t="shared" si="81"/>
        <v>0</v>
      </c>
      <c r="I210" s="8">
        <f t="shared" si="82"/>
        <v>16.000000000451109</v>
      </c>
      <c r="J210" s="8">
        <f t="shared" si="83"/>
        <v>120248.23000000045</v>
      </c>
      <c r="K210" s="8">
        <f t="shared" si="84"/>
        <v>34133.30749822397</v>
      </c>
      <c r="L210" s="8">
        <f t="shared" si="85"/>
        <v>154381.53749822441</v>
      </c>
      <c r="M210" s="8">
        <f t="shared" si="86"/>
        <v>51.542318902700579</v>
      </c>
      <c r="N210" s="8">
        <f t="shared" si="87"/>
        <v>63440</v>
      </c>
      <c r="O210" s="8">
        <f t="shared" si="88"/>
        <v>0</v>
      </c>
      <c r="P210" s="8">
        <f t="shared" si="89"/>
        <v>1602</v>
      </c>
      <c r="Q210" s="8">
        <f t="shared" si="90"/>
        <v>8987.25</v>
      </c>
      <c r="R210" s="8">
        <f t="shared" si="91"/>
        <v>0</v>
      </c>
      <c r="S210" s="8">
        <f t="shared" si="92"/>
        <v>0</v>
      </c>
      <c r="T210" s="8">
        <f t="shared" si="93"/>
        <v>46202.979999999996</v>
      </c>
      <c r="U210" s="8">
        <f t="shared" si="94"/>
        <v>0</v>
      </c>
      <c r="V210" s="8">
        <f t="shared" si="95"/>
        <v>16</v>
      </c>
      <c r="W210" s="8">
        <f t="shared" si="96"/>
        <v>0</v>
      </c>
      <c r="X210" s="8">
        <f t="shared" si="97"/>
        <v>120248.23000000045</v>
      </c>
      <c r="Y210" s="10">
        <v>14733306</v>
      </c>
      <c r="Z210" s="10">
        <v>0</v>
      </c>
      <c r="AA210" s="10">
        <v>371936</v>
      </c>
      <c r="AB210" s="10">
        <v>1785587</v>
      </c>
      <c r="AC210" s="10">
        <v>0</v>
      </c>
      <c r="AD210" s="10">
        <v>0</v>
      </c>
      <c r="AE210" s="10">
        <v>0</v>
      </c>
      <c r="AF210" s="10">
        <v>14459</v>
      </c>
      <c r="AG210" s="10">
        <v>342148</v>
      </c>
      <c r="AH210" s="10">
        <f t="shared" si="98"/>
        <v>2534566.66</v>
      </c>
      <c r="AI210" s="10">
        <v>19782002.66</v>
      </c>
      <c r="AJ210" s="10">
        <v>14796746</v>
      </c>
      <c r="AK210" s="10">
        <v>0</v>
      </c>
      <c r="AL210" s="10">
        <v>373538</v>
      </c>
      <c r="AM210" s="10">
        <v>1794574.25</v>
      </c>
      <c r="AN210" s="10">
        <v>0</v>
      </c>
      <c r="AO210" s="10">
        <v>0</v>
      </c>
      <c r="AP210" s="10">
        <v>46202.979999999996</v>
      </c>
      <c r="AQ210" s="10">
        <v>14459</v>
      </c>
      <c r="AR210" s="10">
        <v>342164</v>
      </c>
      <c r="AS210" s="10">
        <f t="shared" si="78"/>
        <v>2534566.66</v>
      </c>
      <c r="AT210" s="10">
        <v>19902250.890000001</v>
      </c>
      <c r="AU210" s="12">
        <v>138000</v>
      </c>
      <c r="AV210" s="12">
        <v>35242.439972285363</v>
      </c>
      <c r="AW210" s="12">
        <v>31149.5</v>
      </c>
      <c r="AX210" s="12">
        <f t="shared" si="99"/>
        <v>204391.93997228536</v>
      </c>
      <c r="AY210" s="12">
        <v>154229.95000000001</v>
      </c>
      <c r="AZ210" s="12">
        <v>42224.59747050931</v>
      </c>
      <c r="BA210" s="12">
        <v>42070.7</v>
      </c>
      <c r="BB210" s="12">
        <f t="shared" si="100"/>
        <v>238525.24747050932</v>
      </c>
      <c r="BC210" s="12">
        <v>16229.950000000012</v>
      </c>
      <c r="BD210" s="12">
        <v>6982.1574982239472</v>
      </c>
      <c r="BE210" s="12">
        <v>10921.200000000012</v>
      </c>
      <c r="BF210" s="12">
        <v>34133.30749822397</v>
      </c>
    </row>
    <row r="211" spans="1:58" x14ac:dyDescent="0.25">
      <c r="A211" s="7">
        <v>704</v>
      </c>
      <c r="B211" s="7">
        <v>1</v>
      </c>
      <c r="C211" s="7" t="s">
        <v>212</v>
      </c>
      <c r="D211" s="4">
        <v>5</v>
      </c>
      <c r="E211" s="10">
        <v>1797</v>
      </c>
      <c r="F211" s="8">
        <f t="shared" si="79"/>
        <v>53088.25</v>
      </c>
      <c r="G211" s="8">
        <f t="shared" si="80"/>
        <v>0</v>
      </c>
      <c r="H211" s="8">
        <f t="shared" si="81"/>
        <v>0</v>
      </c>
      <c r="I211" s="8">
        <f t="shared" si="82"/>
        <v>0</v>
      </c>
      <c r="J211" s="8">
        <f t="shared" si="83"/>
        <v>53088.25</v>
      </c>
      <c r="K211" s="8">
        <f t="shared" si="84"/>
        <v>19429.202715310861</v>
      </c>
      <c r="L211" s="8">
        <f t="shared" si="85"/>
        <v>72517.452715310865</v>
      </c>
      <c r="M211" s="8">
        <f t="shared" si="86"/>
        <v>29.542710072342793</v>
      </c>
      <c r="N211" s="8">
        <f t="shared" si="87"/>
        <v>49120</v>
      </c>
      <c r="O211" s="8">
        <f t="shared" si="88"/>
        <v>0</v>
      </c>
      <c r="P211" s="8">
        <f t="shared" si="89"/>
        <v>985</v>
      </c>
      <c r="Q211" s="8">
        <f t="shared" si="90"/>
        <v>2983.25</v>
      </c>
      <c r="R211" s="8">
        <f t="shared" si="91"/>
        <v>0</v>
      </c>
      <c r="S211" s="8">
        <f t="shared" si="92"/>
        <v>0</v>
      </c>
      <c r="T211" s="8">
        <f t="shared" si="93"/>
        <v>0</v>
      </c>
      <c r="U211" s="8">
        <f t="shared" si="94"/>
        <v>0</v>
      </c>
      <c r="V211" s="8">
        <f t="shared" si="95"/>
        <v>0</v>
      </c>
      <c r="W211" s="8">
        <f t="shared" si="96"/>
        <v>0</v>
      </c>
      <c r="X211" s="8">
        <f t="shared" si="97"/>
        <v>53088.25</v>
      </c>
      <c r="Y211" s="10">
        <v>11407629</v>
      </c>
      <c r="Z211" s="10">
        <v>0</v>
      </c>
      <c r="AA211" s="10">
        <v>228767</v>
      </c>
      <c r="AB211" s="10">
        <v>592712</v>
      </c>
      <c r="AC211" s="10">
        <v>0</v>
      </c>
      <c r="AD211" s="10">
        <v>0</v>
      </c>
      <c r="AE211" s="10">
        <v>467480</v>
      </c>
      <c r="AF211" s="10">
        <v>14573</v>
      </c>
      <c r="AG211" s="10">
        <v>282931</v>
      </c>
      <c r="AH211" s="10">
        <f t="shared" si="98"/>
        <v>1136290.1799999997</v>
      </c>
      <c r="AI211" s="10">
        <v>14130382.18</v>
      </c>
      <c r="AJ211" s="10">
        <v>11456749</v>
      </c>
      <c r="AK211" s="10">
        <v>0</v>
      </c>
      <c r="AL211" s="10">
        <v>229752</v>
      </c>
      <c r="AM211" s="10">
        <v>595695.25</v>
      </c>
      <c r="AN211" s="10">
        <v>0</v>
      </c>
      <c r="AO211" s="10">
        <v>0</v>
      </c>
      <c r="AP211" s="10">
        <v>467480</v>
      </c>
      <c r="AQ211" s="10">
        <v>14573</v>
      </c>
      <c r="AR211" s="10">
        <v>282931</v>
      </c>
      <c r="AS211" s="10">
        <f t="shared" si="78"/>
        <v>1136290.1799999997</v>
      </c>
      <c r="AT211" s="10">
        <v>14183470.43</v>
      </c>
      <c r="AU211" s="12">
        <v>83160</v>
      </c>
      <c r="AV211" s="12">
        <v>19346.531028031597</v>
      </c>
      <c r="AW211" s="12">
        <v>21609.125</v>
      </c>
      <c r="AX211" s="12">
        <f t="shared" si="99"/>
        <v>124115.6560280316</v>
      </c>
      <c r="AY211" s="12">
        <v>92940.308999999994</v>
      </c>
      <c r="AZ211" s="12">
        <v>23179.424743342464</v>
      </c>
      <c r="BA211" s="12">
        <v>27425.125</v>
      </c>
      <c r="BB211" s="12">
        <f t="shared" si="100"/>
        <v>143544.85874334245</v>
      </c>
      <c r="BC211" s="12">
        <v>9780.3089999999938</v>
      </c>
      <c r="BD211" s="12">
        <v>3832.8937153108673</v>
      </c>
      <c r="BE211" s="12">
        <v>5816</v>
      </c>
      <c r="BF211" s="12">
        <v>19429.202715310861</v>
      </c>
    </row>
    <row r="212" spans="1:58" x14ac:dyDescent="0.25">
      <c r="A212" s="7">
        <v>706</v>
      </c>
      <c r="B212" s="7">
        <v>1</v>
      </c>
      <c r="C212" s="7" t="s">
        <v>213</v>
      </c>
      <c r="D212" s="4">
        <v>5</v>
      </c>
      <c r="E212" s="10">
        <v>1740</v>
      </c>
      <c r="F212" s="8">
        <f t="shared" si="79"/>
        <v>52704.25</v>
      </c>
      <c r="G212" s="8">
        <f t="shared" si="80"/>
        <v>35992.36</v>
      </c>
      <c r="H212" s="8">
        <f t="shared" si="81"/>
        <v>0</v>
      </c>
      <c r="I212" s="8">
        <f t="shared" si="82"/>
        <v>-8.0000000005966285</v>
      </c>
      <c r="J212" s="8">
        <f t="shared" si="83"/>
        <v>88688.609999999404</v>
      </c>
      <c r="K212" s="8">
        <f t="shared" si="84"/>
        <v>21295.611120893453</v>
      </c>
      <c r="L212" s="8">
        <f t="shared" si="85"/>
        <v>109984.22112089285</v>
      </c>
      <c r="M212" s="8">
        <f t="shared" si="86"/>
        <v>50.970465517241038</v>
      </c>
      <c r="N212" s="8">
        <f t="shared" si="87"/>
        <v>47170</v>
      </c>
      <c r="O212" s="8">
        <f t="shared" si="88"/>
        <v>5</v>
      </c>
      <c r="P212" s="8">
        <f t="shared" si="89"/>
        <v>1081</v>
      </c>
      <c r="Q212" s="8">
        <f t="shared" si="90"/>
        <v>4448.25</v>
      </c>
      <c r="R212" s="8">
        <f t="shared" si="91"/>
        <v>0</v>
      </c>
      <c r="S212" s="8">
        <f t="shared" si="92"/>
        <v>0</v>
      </c>
      <c r="T212" s="8">
        <f t="shared" si="93"/>
        <v>35992.36</v>
      </c>
      <c r="U212" s="8">
        <f t="shared" si="94"/>
        <v>0</v>
      </c>
      <c r="V212" s="8">
        <f t="shared" si="95"/>
        <v>24</v>
      </c>
      <c r="W212" s="8">
        <f t="shared" si="96"/>
        <v>-32</v>
      </c>
      <c r="X212" s="8">
        <f t="shared" si="97"/>
        <v>88688.609999999404</v>
      </c>
      <c r="Y212" s="10">
        <v>10954761</v>
      </c>
      <c r="Z212" s="10">
        <v>1301</v>
      </c>
      <c r="AA212" s="10">
        <v>251077</v>
      </c>
      <c r="AB212" s="10">
        <v>883778</v>
      </c>
      <c r="AC212" s="10">
        <v>0</v>
      </c>
      <c r="AD212" s="10">
        <v>0</v>
      </c>
      <c r="AE212" s="10">
        <v>0</v>
      </c>
      <c r="AF212" s="10">
        <v>14588</v>
      </c>
      <c r="AG212" s="10">
        <v>236654</v>
      </c>
      <c r="AH212" s="10">
        <f t="shared" si="98"/>
        <v>1858837.2300000004</v>
      </c>
      <c r="AI212" s="10">
        <v>14200996.23</v>
      </c>
      <c r="AJ212" s="10">
        <v>11001931</v>
      </c>
      <c r="AK212" s="10">
        <v>1306</v>
      </c>
      <c r="AL212" s="10">
        <v>252158</v>
      </c>
      <c r="AM212" s="10">
        <v>888226.25</v>
      </c>
      <c r="AN212" s="10">
        <v>0</v>
      </c>
      <c r="AO212" s="10">
        <v>0</v>
      </c>
      <c r="AP212" s="10">
        <v>35992.36</v>
      </c>
      <c r="AQ212" s="10">
        <v>14588</v>
      </c>
      <c r="AR212" s="10">
        <v>236678</v>
      </c>
      <c r="AS212" s="10">
        <f t="shared" si="78"/>
        <v>1858805.2300000004</v>
      </c>
      <c r="AT212" s="10">
        <v>14289684.84</v>
      </c>
      <c r="AU212" s="12">
        <v>81000</v>
      </c>
      <c r="AV212" s="12">
        <v>21034.629070209732</v>
      </c>
      <c r="AW212" s="12">
        <v>23707.25</v>
      </c>
      <c r="AX212" s="12">
        <f t="shared" si="99"/>
        <v>125741.87907020973</v>
      </c>
      <c r="AY212" s="12">
        <v>90526.274999999994</v>
      </c>
      <c r="AZ212" s="12">
        <v>25201.965191103191</v>
      </c>
      <c r="BA212" s="12">
        <v>31309.25</v>
      </c>
      <c r="BB212" s="12">
        <f t="shared" si="100"/>
        <v>147037.49019110319</v>
      </c>
      <c r="BC212" s="12">
        <v>9526.2749999999942</v>
      </c>
      <c r="BD212" s="12">
        <v>4167.3361208934584</v>
      </c>
      <c r="BE212" s="12">
        <v>7602</v>
      </c>
      <c r="BF212" s="12">
        <v>21295.611120893453</v>
      </c>
    </row>
    <row r="213" spans="1:58" x14ac:dyDescent="0.25">
      <c r="A213" s="7">
        <v>707</v>
      </c>
      <c r="B213" s="7">
        <v>1</v>
      </c>
      <c r="C213" s="7" t="s">
        <v>214</v>
      </c>
      <c r="D213" s="4">
        <v>6</v>
      </c>
      <c r="E213" s="10">
        <v>131</v>
      </c>
      <c r="F213" s="8">
        <f t="shared" si="79"/>
        <v>4890.75</v>
      </c>
      <c r="G213" s="8">
        <f t="shared" si="80"/>
        <v>4200.82</v>
      </c>
      <c r="H213" s="8">
        <f t="shared" si="81"/>
        <v>0</v>
      </c>
      <c r="I213" s="8">
        <f t="shared" si="82"/>
        <v>1.0000000000654836</v>
      </c>
      <c r="J213" s="8">
        <f t="shared" si="83"/>
        <v>9092.5700000000652</v>
      </c>
      <c r="K213" s="8">
        <f t="shared" si="84"/>
        <v>2868.1396350459813</v>
      </c>
      <c r="L213" s="8">
        <f t="shared" si="85"/>
        <v>11960.709635046047</v>
      </c>
      <c r="M213" s="8">
        <f t="shared" si="86"/>
        <v>69.408931297710424</v>
      </c>
      <c r="N213" s="8">
        <f t="shared" si="87"/>
        <v>3413</v>
      </c>
      <c r="O213" s="8">
        <f t="shared" si="88"/>
        <v>0</v>
      </c>
      <c r="P213" s="8">
        <f t="shared" si="89"/>
        <v>222</v>
      </c>
      <c r="Q213" s="8">
        <f t="shared" si="90"/>
        <v>688.75</v>
      </c>
      <c r="R213" s="8">
        <f t="shared" si="91"/>
        <v>567</v>
      </c>
      <c r="S213" s="8">
        <f t="shared" si="92"/>
        <v>0</v>
      </c>
      <c r="T213" s="8">
        <f t="shared" si="93"/>
        <v>4200.82</v>
      </c>
      <c r="U213" s="8">
        <f t="shared" si="94"/>
        <v>0</v>
      </c>
      <c r="V213" s="8">
        <f t="shared" si="95"/>
        <v>1</v>
      </c>
      <c r="W213" s="8">
        <f t="shared" si="96"/>
        <v>0</v>
      </c>
      <c r="X213" s="8">
        <f t="shared" si="97"/>
        <v>9092.5700000000652</v>
      </c>
      <c r="Y213" s="10">
        <v>792519</v>
      </c>
      <c r="Z213" s="10">
        <v>0</v>
      </c>
      <c r="AA213" s="10">
        <v>51580</v>
      </c>
      <c r="AB213" s="10">
        <v>136841</v>
      </c>
      <c r="AC213" s="10">
        <v>119790</v>
      </c>
      <c r="AD213" s="10">
        <v>63698</v>
      </c>
      <c r="AE213" s="10">
        <v>0</v>
      </c>
      <c r="AF213" s="10">
        <v>0</v>
      </c>
      <c r="AG213" s="10">
        <v>17655</v>
      </c>
      <c r="AH213" s="10">
        <f t="shared" si="98"/>
        <v>129831.8600000001</v>
      </c>
      <c r="AI213" s="10">
        <v>1311914.8600000001</v>
      </c>
      <c r="AJ213" s="10">
        <v>795932</v>
      </c>
      <c r="AK213" s="10">
        <v>0</v>
      </c>
      <c r="AL213" s="10">
        <v>51802</v>
      </c>
      <c r="AM213" s="10">
        <v>137529.75</v>
      </c>
      <c r="AN213" s="10">
        <v>120357</v>
      </c>
      <c r="AO213" s="10">
        <v>63698</v>
      </c>
      <c r="AP213" s="10">
        <v>4200.82</v>
      </c>
      <c r="AQ213" s="10">
        <v>0</v>
      </c>
      <c r="AR213" s="10">
        <v>17656</v>
      </c>
      <c r="AS213" s="10">
        <f t="shared" si="78"/>
        <v>129831.8600000001</v>
      </c>
      <c r="AT213" s="10">
        <v>1321007.4300000002</v>
      </c>
      <c r="AU213" s="12">
        <v>18000</v>
      </c>
      <c r="AV213" s="12">
        <v>1938.1876828945819</v>
      </c>
      <c r="AW213" s="12">
        <v>1516.125</v>
      </c>
      <c r="AX213" s="12">
        <f t="shared" si="99"/>
        <v>21454.312682894582</v>
      </c>
      <c r="AY213" s="12">
        <v>20116.95</v>
      </c>
      <c r="AZ213" s="12">
        <v>2322.1773179405618</v>
      </c>
      <c r="BA213" s="12">
        <v>1883.325</v>
      </c>
      <c r="BB213" s="12">
        <f t="shared" si="100"/>
        <v>24322.452317940562</v>
      </c>
      <c r="BC213" s="12">
        <v>2116.9500000000007</v>
      </c>
      <c r="BD213" s="12">
        <v>383.98963504597987</v>
      </c>
      <c r="BE213" s="12">
        <v>367.20000000000073</v>
      </c>
      <c r="BF213" s="12">
        <v>2868.1396350459813</v>
      </c>
    </row>
    <row r="214" spans="1:58" x14ac:dyDescent="0.25">
      <c r="A214" s="7">
        <v>709</v>
      </c>
      <c r="B214" s="7">
        <v>1</v>
      </c>
      <c r="C214" s="7" t="s">
        <v>215</v>
      </c>
      <c r="D214" s="4">
        <v>4</v>
      </c>
      <c r="E214" s="10">
        <v>8331</v>
      </c>
      <c r="F214" s="8">
        <f t="shared" si="79"/>
        <v>271766</v>
      </c>
      <c r="G214" s="8">
        <f t="shared" si="80"/>
        <v>185494.44</v>
      </c>
      <c r="H214" s="8">
        <f t="shared" si="81"/>
        <v>11455</v>
      </c>
      <c r="I214" s="8">
        <f t="shared" si="82"/>
        <v>-65.000000002386514</v>
      </c>
      <c r="J214" s="8">
        <f t="shared" si="83"/>
        <v>468650.43999999762</v>
      </c>
      <c r="K214" s="8">
        <f t="shared" si="84"/>
        <v>127460.37079656828</v>
      </c>
      <c r="L214" s="8">
        <f t="shared" si="85"/>
        <v>596110.81079656584</v>
      </c>
      <c r="M214" s="8">
        <f t="shared" si="86"/>
        <v>56.253803865081935</v>
      </c>
      <c r="N214" s="8">
        <f t="shared" si="87"/>
        <v>227085</v>
      </c>
      <c r="O214" s="8">
        <f t="shared" si="88"/>
        <v>626</v>
      </c>
      <c r="P214" s="8">
        <f t="shared" si="89"/>
        <v>2866</v>
      </c>
      <c r="Q214" s="8">
        <f t="shared" si="90"/>
        <v>41189</v>
      </c>
      <c r="R214" s="8">
        <f t="shared" si="91"/>
        <v>0</v>
      </c>
      <c r="S214" s="8">
        <f t="shared" si="92"/>
        <v>0</v>
      </c>
      <c r="T214" s="8">
        <f t="shared" si="93"/>
        <v>185494.44</v>
      </c>
      <c r="U214" s="8">
        <f t="shared" si="94"/>
        <v>11455</v>
      </c>
      <c r="V214" s="8">
        <f t="shared" si="95"/>
        <v>0</v>
      </c>
      <c r="W214" s="8">
        <f t="shared" si="96"/>
        <v>-65</v>
      </c>
      <c r="X214" s="8">
        <f t="shared" si="97"/>
        <v>468650.43999999762</v>
      </c>
      <c r="Y214" s="10">
        <v>52738220</v>
      </c>
      <c r="Z214" s="10">
        <v>145336</v>
      </c>
      <c r="AA214" s="10">
        <v>665748</v>
      </c>
      <c r="AB214" s="10">
        <v>8183431</v>
      </c>
      <c r="AC214" s="10">
        <v>0</v>
      </c>
      <c r="AD214" s="10">
        <v>0</v>
      </c>
      <c r="AE214" s="10">
        <v>0</v>
      </c>
      <c r="AF214" s="10">
        <v>14184</v>
      </c>
      <c r="AG214" s="10">
        <v>454170</v>
      </c>
      <c r="AH214" s="10">
        <f t="shared" si="98"/>
        <v>10610064.700000003</v>
      </c>
      <c r="AI214" s="10">
        <v>72811153.700000003</v>
      </c>
      <c r="AJ214" s="10">
        <v>52965305</v>
      </c>
      <c r="AK214" s="10">
        <v>145962</v>
      </c>
      <c r="AL214" s="10">
        <v>668614</v>
      </c>
      <c r="AM214" s="10">
        <v>8224620</v>
      </c>
      <c r="AN214" s="10">
        <v>0</v>
      </c>
      <c r="AO214" s="10">
        <v>0</v>
      </c>
      <c r="AP214" s="10">
        <v>185494.44</v>
      </c>
      <c r="AQ214" s="10">
        <v>25639</v>
      </c>
      <c r="AR214" s="10">
        <v>454170</v>
      </c>
      <c r="AS214" s="10">
        <f t="shared" si="78"/>
        <v>10609999.700000003</v>
      </c>
      <c r="AT214" s="10">
        <v>73279804.140000001</v>
      </c>
      <c r="AU214" s="12">
        <v>650280</v>
      </c>
      <c r="AV214" s="12">
        <v>146145.43511317857</v>
      </c>
      <c r="AW214" s="12">
        <v>90267.125</v>
      </c>
      <c r="AX214" s="12">
        <f t="shared" si="99"/>
        <v>886692.56011317857</v>
      </c>
      <c r="AY214" s="12">
        <v>726758.34699999995</v>
      </c>
      <c r="AZ214" s="12">
        <v>175099.4589097469</v>
      </c>
      <c r="BA214" s="12">
        <v>112295.125</v>
      </c>
      <c r="BB214" s="12">
        <f t="shared" si="100"/>
        <v>1014152.9309097468</v>
      </c>
      <c r="BC214" s="12">
        <v>76478.346999999951</v>
      </c>
      <c r="BD214" s="12">
        <v>28954.023796568334</v>
      </c>
      <c r="BE214" s="12">
        <v>22028</v>
      </c>
      <c r="BF214" s="12">
        <v>127460.37079656828</v>
      </c>
    </row>
    <row r="215" spans="1:58" x14ac:dyDescent="0.25">
      <c r="A215" s="7">
        <v>712</v>
      </c>
      <c r="B215" s="7">
        <v>1</v>
      </c>
      <c r="C215" s="7" t="s">
        <v>216</v>
      </c>
      <c r="D215" s="4">
        <v>6</v>
      </c>
      <c r="E215" s="10">
        <v>497</v>
      </c>
      <c r="F215" s="8">
        <f t="shared" si="79"/>
        <v>16041.25</v>
      </c>
      <c r="G215" s="8">
        <f t="shared" si="80"/>
        <v>16329.14</v>
      </c>
      <c r="H215" s="8">
        <f t="shared" si="81"/>
        <v>0</v>
      </c>
      <c r="I215" s="8">
        <f t="shared" si="82"/>
        <v>7.0000000005966285</v>
      </c>
      <c r="J215" s="8">
        <f t="shared" si="83"/>
        <v>32377.390000000596</v>
      </c>
      <c r="K215" s="8">
        <f t="shared" si="84"/>
        <v>8716.5209724386041</v>
      </c>
      <c r="L215" s="8">
        <f t="shared" si="85"/>
        <v>41093.910972439204</v>
      </c>
      <c r="M215" s="8">
        <f t="shared" si="86"/>
        <v>65.14565392354244</v>
      </c>
      <c r="N215" s="8">
        <f t="shared" si="87"/>
        <v>13655</v>
      </c>
      <c r="O215" s="8">
        <f t="shared" si="88"/>
        <v>0</v>
      </c>
      <c r="P215" s="8">
        <f t="shared" si="89"/>
        <v>397</v>
      </c>
      <c r="Q215" s="8">
        <f t="shared" si="90"/>
        <v>1989.25</v>
      </c>
      <c r="R215" s="8">
        <f t="shared" si="91"/>
        <v>0</v>
      </c>
      <c r="S215" s="8">
        <f t="shared" si="92"/>
        <v>0</v>
      </c>
      <c r="T215" s="8">
        <f t="shared" si="93"/>
        <v>16329.14</v>
      </c>
      <c r="U215" s="8">
        <f t="shared" si="94"/>
        <v>0</v>
      </c>
      <c r="V215" s="8">
        <f t="shared" si="95"/>
        <v>7</v>
      </c>
      <c r="W215" s="8">
        <f t="shared" si="96"/>
        <v>0</v>
      </c>
      <c r="X215" s="8">
        <f t="shared" si="97"/>
        <v>32377.390000000596</v>
      </c>
      <c r="Y215" s="10">
        <v>3171237</v>
      </c>
      <c r="Z215" s="10">
        <v>0</v>
      </c>
      <c r="AA215" s="10">
        <v>92167</v>
      </c>
      <c r="AB215" s="10">
        <v>395224</v>
      </c>
      <c r="AC215" s="10">
        <v>0</v>
      </c>
      <c r="AD215" s="10">
        <v>128077</v>
      </c>
      <c r="AE215" s="10">
        <v>0</v>
      </c>
      <c r="AF215" s="10">
        <v>0</v>
      </c>
      <c r="AG215" s="10">
        <v>68507</v>
      </c>
      <c r="AH215" s="10">
        <f t="shared" si="98"/>
        <v>560479.30999999959</v>
      </c>
      <c r="AI215" s="10">
        <v>4415691.3099999996</v>
      </c>
      <c r="AJ215" s="10">
        <v>3184892</v>
      </c>
      <c r="AK215" s="10">
        <v>0</v>
      </c>
      <c r="AL215" s="10">
        <v>92564</v>
      </c>
      <c r="AM215" s="10">
        <v>397213.25</v>
      </c>
      <c r="AN215" s="10">
        <v>0</v>
      </c>
      <c r="AO215" s="10">
        <v>128077</v>
      </c>
      <c r="AP215" s="10">
        <v>16329.14</v>
      </c>
      <c r="AQ215" s="10">
        <v>0</v>
      </c>
      <c r="AR215" s="10">
        <v>68514</v>
      </c>
      <c r="AS215" s="10">
        <f t="shared" si="78"/>
        <v>560479.31000000006</v>
      </c>
      <c r="AT215" s="10">
        <v>4448068.7</v>
      </c>
      <c r="AU215" s="12">
        <v>40560</v>
      </c>
      <c r="AV215" s="12">
        <v>8846.8893933838426</v>
      </c>
      <c r="AW215" s="12">
        <v>5774.375</v>
      </c>
      <c r="AX215" s="12">
        <f t="shared" si="99"/>
        <v>55181.264393383841</v>
      </c>
      <c r="AY215" s="12">
        <v>45330.194000000003</v>
      </c>
      <c r="AZ215" s="12">
        <v>10599.616365822445</v>
      </c>
      <c r="BA215" s="12">
        <v>7967.9750000000004</v>
      </c>
      <c r="BB215" s="12">
        <f t="shared" si="100"/>
        <v>63897.785365822449</v>
      </c>
      <c r="BC215" s="12">
        <v>4770.1940000000031</v>
      </c>
      <c r="BD215" s="12">
        <v>1752.7269724386024</v>
      </c>
      <c r="BE215" s="12">
        <v>2193.5999999999985</v>
      </c>
      <c r="BF215" s="12">
        <v>8716.5209724386041</v>
      </c>
    </row>
    <row r="216" spans="1:58" x14ac:dyDescent="0.25">
      <c r="A216" s="7">
        <v>716</v>
      </c>
      <c r="B216" s="7">
        <v>1</v>
      </c>
      <c r="C216" s="7" t="s">
        <v>217</v>
      </c>
      <c r="D216" s="4">
        <v>3</v>
      </c>
      <c r="E216" s="10">
        <v>1640</v>
      </c>
      <c r="F216" s="8">
        <f t="shared" si="79"/>
        <v>45088.25</v>
      </c>
      <c r="G216" s="8">
        <f t="shared" si="80"/>
        <v>37269.82</v>
      </c>
      <c r="H216" s="8">
        <f t="shared" si="81"/>
        <v>0</v>
      </c>
      <c r="I216" s="8">
        <f t="shared" si="82"/>
        <v>2.9831426218152046E-10</v>
      </c>
      <c r="J216" s="8">
        <f t="shared" si="83"/>
        <v>82358.070000000298</v>
      </c>
      <c r="K216" s="8">
        <f t="shared" si="84"/>
        <v>21699.619540293435</v>
      </c>
      <c r="L216" s="8">
        <f t="shared" si="85"/>
        <v>104057.68954029374</v>
      </c>
      <c r="M216" s="8">
        <f t="shared" si="86"/>
        <v>50.218335365853839</v>
      </c>
      <c r="N216" s="8">
        <f t="shared" si="87"/>
        <v>43302</v>
      </c>
      <c r="O216" s="8">
        <f t="shared" si="88"/>
        <v>0</v>
      </c>
      <c r="P216" s="8">
        <f t="shared" si="89"/>
        <v>778</v>
      </c>
      <c r="Q216" s="8">
        <f t="shared" si="90"/>
        <v>1008.25</v>
      </c>
      <c r="R216" s="8">
        <f t="shared" si="91"/>
        <v>0</v>
      </c>
      <c r="S216" s="8">
        <f t="shared" si="92"/>
        <v>0</v>
      </c>
      <c r="T216" s="8">
        <f t="shared" si="93"/>
        <v>37269.82</v>
      </c>
      <c r="U216" s="8">
        <f t="shared" si="94"/>
        <v>0</v>
      </c>
      <c r="V216" s="8">
        <f t="shared" si="95"/>
        <v>0</v>
      </c>
      <c r="W216" s="8">
        <f t="shared" si="96"/>
        <v>0</v>
      </c>
      <c r="X216" s="8">
        <f t="shared" si="97"/>
        <v>82358.070000000298</v>
      </c>
      <c r="Y216" s="10">
        <v>10056282</v>
      </c>
      <c r="Z216" s="10">
        <v>0</v>
      </c>
      <c r="AA216" s="10">
        <v>180829</v>
      </c>
      <c r="AB216" s="10">
        <v>200319</v>
      </c>
      <c r="AC216" s="10">
        <v>0</v>
      </c>
      <c r="AD216" s="10">
        <v>0</v>
      </c>
      <c r="AE216" s="10">
        <v>0</v>
      </c>
      <c r="AF216" s="10">
        <v>14620</v>
      </c>
      <c r="AG216" s="10">
        <v>290119.25</v>
      </c>
      <c r="AH216" s="10">
        <f t="shared" si="98"/>
        <v>1721306.4299999997</v>
      </c>
      <c r="AI216" s="10">
        <v>12463475.68</v>
      </c>
      <c r="AJ216" s="10">
        <v>10099584</v>
      </c>
      <c r="AK216" s="10">
        <v>0</v>
      </c>
      <c r="AL216" s="10">
        <v>181607</v>
      </c>
      <c r="AM216" s="10">
        <v>201327.25</v>
      </c>
      <c r="AN216" s="10">
        <v>0</v>
      </c>
      <c r="AO216" s="10">
        <v>0</v>
      </c>
      <c r="AP216" s="10">
        <v>37269.82</v>
      </c>
      <c r="AQ216" s="10">
        <v>14620</v>
      </c>
      <c r="AR216" s="10">
        <v>290119.25</v>
      </c>
      <c r="AS216" s="10">
        <f t="shared" si="78"/>
        <v>1721306.4299999997</v>
      </c>
      <c r="AT216" s="10">
        <v>12545833.75</v>
      </c>
      <c r="AU216" s="12">
        <v>109440</v>
      </c>
      <c r="AV216" s="12">
        <v>19369.092469631061</v>
      </c>
      <c r="AW216" s="12">
        <v>22127.875</v>
      </c>
      <c r="AX216" s="12">
        <f t="shared" si="99"/>
        <v>150936.96746963105</v>
      </c>
      <c r="AY216" s="12">
        <v>122311.056</v>
      </c>
      <c r="AZ216" s="12">
        <v>23206.456009924488</v>
      </c>
      <c r="BA216" s="12">
        <v>27119.075000000001</v>
      </c>
      <c r="BB216" s="12">
        <f t="shared" si="100"/>
        <v>172636.58700992449</v>
      </c>
      <c r="BC216" s="12">
        <v>12871.055999999997</v>
      </c>
      <c r="BD216" s="12">
        <v>3837.3635402934269</v>
      </c>
      <c r="BE216" s="12">
        <v>4991.2000000000116</v>
      </c>
      <c r="BF216" s="12">
        <v>21699.619540293435</v>
      </c>
    </row>
    <row r="217" spans="1:58" x14ac:dyDescent="0.25">
      <c r="A217" s="7">
        <v>717</v>
      </c>
      <c r="B217" s="7">
        <v>1</v>
      </c>
      <c r="C217" s="7" t="s">
        <v>218</v>
      </c>
      <c r="D217" s="4">
        <v>3</v>
      </c>
      <c r="E217" s="10">
        <v>1775</v>
      </c>
      <c r="F217" s="8">
        <f t="shared" si="79"/>
        <v>51173.5</v>
      </c>
      <c r="G217" s="8">
        <f t="shared" si="80"/>
        <v>39655.620000000003</v>
      </c>
      <c r="H217" s="8">
        <f t="shared" si="81"/>
        <v>74641</v>
      </c>
      <c r="I217" s="8">
        <f t="shared" si="82"/>
        <v>-32.000000000814907</v>
      </c>
      <c r="J217" s="8">
        <f t="shared" si="83"/>
        <v>165438.11999999918</v>
      </c>
      <c r="K217" s="8">
        <f t="shared" si="84"/>
        <v>23483.758089432045</v>
      </c>
      <c r="L217" s="8">
        <f t="shared" si="85"/>
        <v>188921.87808943124</v>
      </c>
      <c r="M217" s="8">
        <f t="shared" si="86"/>
        <v>93.204574647886858</v>
      </c>
      <c r="N217" s="8">
        <f t="shared" si="87"/>
        <v>48505</v>
      </c>
      <c r="O217" s="8">
        <f t="shared" si="88"/>
        <v>178</v>
      </c>
      <c r="P217" s="8">
        <f t="shared" si="89"/>
        <v>559</v>
      </c>
      <c r="Q217" s="8">
        <f t="shared" si="90"/>
        <v>1931.5</v>
      </c>
      <c r="R217" s="8">
        <f t="shared" si="91"/>
        <v>0</v>
      </c>
      <c r="S217" s="8">
        <f t="shared" si="92"/>
        <v>0</v>
      </c>
      <c r="T217" s="8">
        <f t="shared" si="93"/>
        <v>39655.620000000003</v>
      </c>
      <c r="U217" s="8">
        <f t="shared" si="94"/>
        <v>74641</v>
      </c>
      <c r="V217" s="8">
        <f t="shared" si="95"/>
        <v>0</v>
      </c>
      <c r="W217" s="8">
        <f t="shared" si="96"/>
        <v>-32</v>
      </c>
      <c r="X217" s="8">
        <f t="shared" si="97"/>
        <v>165438.11999999918</v>
      </c>
      <c r="Y217" s="10">
        <v>11264801</v>
      </c>
      <c r="Z217" s="10">
        <v>41292</v>
      </c>
      <c r="AA217" s="10">
        <v>129898</v>
      </c>
      <c r="AB217" s="10">
        <v>383750</v>
      </c>
      <c r="AC217" s="10">
        <v>0</v>
      </c>
      <c r="AD217" s="10">
        <v>0</v>
      </c>
      <c r="AE217" s="10">
        <v>0</v>
      </c>
      <c r="AF217" s="10">
        <v>46717</v>
      </c>
      <c r="AG217" s="10">
        <v>324983.75</v>
      </c>
      <c r="AH217" s="10">
        <f t="shared" si="98"/>
        <v>1958197.7100000009</v>
      </c>
      <c r="AI217" s="10">
        <v>14149639.460000001</v>
      </c>
      <c r="AJ217" s="10">
        <v>11313306</v>
      </c>
      <c r="AK217" s="10">
        <v>41470</v>
      </c>
      <c r="AL217" s="10">
        <v>130457</v>
      </c>
      <c r="AM217" s="10">
        <v>385681.5</v>
      </c>
      <c r="AN217" s="10">
        <v>0</v>
      </c>
      <c r="AO217" s="10">
        <v>0</v>
      </c>
      <c r="AP217" s="10">
        <v>39655.620000000003</v>
      </c>
      <c r="AQ217" s="10">
        <v>121358</v>
      </c>
      <c r="AR217" s="10">
        <v>324983.75</v>
      </c>
      <c r="AS217" s="10">
        <f t="shared" si="78"/>
        <v>1958165.7100000009</v>
      </c>
      <c r="AT217" s="10">
        <v>14315077.58</v>
      </c>
      <c r="AU217" s="12">
        <v>111000</v>
      </c>
      <c r="AV217" s="12">
        <v>20890.760018908295</v>
      </c>
      <c r="AW217" s="12">
        <v>25426.625</v>
      </c>
      <c r="AX217" s="12">
        <f t="shared" si="99"/>
        <v>157317.3850189083</v>
      </c>
      <c r="AY217" s="12">
        <v>124054.52499999999</v>
      </c>
      <c r="AZ217" s="12">
        <v>25029.593108340352</v>
      </c>
      <c r="BA217" s="12">
        <v>31717.025000000001</v>
      </c>
      <c r="BB217" s="12">
        <f t="shared" si="100"/>
        <v>180801.14310834033</v>
      </c>
      <c r="BC217" s="12">
        <v>13054.524999999994</v>
      </c>
      <c r="BD217" s="12">
        <v>4138.833089432057</v>
      </c>
      <c r="BE217" s="12">
        <v>6290.3999999999942</v>
      </c>
      <c r="BF217" s="12">
        <v>23483.758089432045</v>
      </c>
    </row>
    <row r="218" spans="1:58" x14ac:dyDescent="0.25">
      <c r="A218" s="7">
        <v>719</v>
      </c>
      <c r="B218" s="7">
        <v>1</v>
      </c>
      <c r="C218" s="7" t="s">
        <v>219</v>
      </c>
      <c r="D218" s="4">
        <v>3</v>
      </c>
      <c r="E218" s="10">
        <v>7360</v>
      </c>
      <c r="F218" s="8">
        <f t="shared" si="79"/>
        <v>203949.5</v>
      </c>
      <c r="G218" s="8">
        <f t="shared" si="80"/>
        <v>0</v>
      </c>
      <c r="H218" s="8">
        <f t="shared" si="81"/>
        <v>8735</v>
      </c>
      <c r="I218" s="8">
        <f t="shared" si="82"/>
        <v>-65</v>
      </c>
      <c r="J218" s="8">
        <f t="shared" si="83"/>
        <v>212619.5</v>
      </c>
      <c r="K218" s="8">
        <f t="shared" si="84"/>
        <v>73178.84906030375</v>
      </c>
      <c r="L218" s="8">
        <f t="shared" si="85"/>
        <v>285798.34906030376</v>
      </c>
      <c r="M218" s="8">
        <f t="shared" si="86"/>
        <v>28.888519021739132</v>
      </c>
      <c r="N218" s="8">
        <f t="shared" si="87"/>
        <v>200256</v>
      </c>
      <c r="O218" s="8">
        <f t="shared" si="88"/>
        <v>0</v>
      </c>
      <c r="P218" s="8">
        <f t="shared" si="89"/>
        <v>228</v>
      </c>
      <c r="Q218" s="8">
        <f t="shared" si="90"/>
        <v>3465.5</v>
      </c>
      <c r="R218" s="8">
        <f t="shared" si="91"/>
        <v>0</v>
      </c>
      <c r="S218" s="8">
        <f t="shared" si="92"/>
        <v>0</v>
      </c>
      <c r="T218" s="8">
        <f t="shared" si="93"/>
        <v>0</v>
      </c>
      <c r="U218" s="8">
        <f t="shared" si="94"/>
        <v>8735</v>
      </c>
      <c r="V218" s="8">
        <f t="shared" si="95"/>
        <v>0</v>
      </c>
      <c r="W218" s="8">
        <f t="shared" si="96"/>
        <v>-65</v>
      </c>
      <c r="X218" s="8">
        <f t="shared" si="97"/>
        <v>212619.5</v>
      </c>
      <c r="Y218" s="10">
        <v>46507512</v>
      </c>
      <c r="Z218" s="10">
        <v>0</v>
      </c>
      <c r="AA218" s="10">
        <v>52947</v>
      </c>
      <c r="AB218" s="10">
        <v>688526</v>
      </c>
      <c r="AC218" s="10">
        <v>0</v>
      </c>
      <c r="AD218" s="10">
        <v>0</v>
      </c>
      <c r="AE218" s="10">
        <v>1952340</v>
      </c>
      <c r="AF218" s="10">
        <v>108369</v>
      </c>
      <c r="AG218" s="10">
        <v>1129188</v>
      </c>
      <c r="AH218" s="10">
        <f t="shared" si="98"/>
        <v>11238241.32</v>
      </c>
      <c r="AI218" s="10">
        <v>61677123.32</v>
      </c>
      <c r="AJ218" s="10">
        <v>46707768</v>
      </c>
      <c r="AK218" s="10">
        <v>0</v>
      </c>
      <c r="AL218" s="10">
        <v>53175</v>
      </c>
      <c r="AM218" s="10">
        <v>691991.5</v>
      </c>
      <c r="AN218" s="10">
        <v>0</v>
      </c>
      <c r="AO218" s="10">
        <v>0</v>
      </c>
      <c r="AP218" s="10">
        <v>1952340</v>
      </c>
      <c r="AQ218" s="10">
        <v>117104</v>
      </c>
      <c r="AR218" s="10">
        <v>1129188</v>
      </c>
      <c r="AS218" s="10">
        <f t="shared" si="78"/>
        <v>11238176.32</v>
      </c>
      <c r="AT218" s="10">
        <v>61889742.82</v>
      </c>
      <c r="AU218" s="12">
        <v>408000</v>
      </c>
      <c r="AV218" s="12">
        <v>68701.770131883197</v>
      </c>
      <c r="AW218" s="12">
        <v>72333.75</v>
      </c>
      <c r="AX218" s="12">
        <f t="shared" si="99"/>
        <v>549035.52013188321</v>
      </c>
      <c r="AY218" s="12">
        <v>455984.2</v>
      </c>
      <c r="AZ218" s="12">
        <v>82312.819192186958</v>
      </c>
      <c r="BA218" s="12">
        <v>83917.35</v>
      </c>
      <c r="BB218" s="12">
        <f t="shared" si="100"/>
        <v>622214.36919218698</v>
      </c>
      <c r="BC218" s="12">
        <v>47984.200000000012</v>
      </c>
      <c r="BD218" s="12">
        <v>13611.049060303762</v>
      </c>
      <c r="BE218" s="12">
        <v>11583.599999999977</v>
      </c>
      <c r="BF218" s="12">
        <v>73178.84906030375</v>
      </c>
    </row>
    <row r="219" spans="1:58" x14ac:dyDescent="0.25">
      <c r="A219" s="7">
        <v>720</v>
      </c>
      <c r="B219" s="7">
        <v>1</v>
      </c>
      <c r="C219" s="7" t="s">
        <v>220</v>
      </c>
      <c r="D219" s="4">
        <v>3</v>
      </c>
      <c r="E219" s="10">
        <v>8541</v>
      </c>
      <c r="F219" s="8">
        <f t="shared" si="79"/>
        <v>245643.5</v>
      </c>
      <c r="G219" s="8">
        <f t="shared" si="80"/>
        <v>179964.82000000004</v>
      </c>
      <c r="H219" s="8">
        <f t="shared" si="81"/>
        <v>22186</v>
      </c>
      <c r="I219" s="8">
        <f t="shared" si="82"/>
        <v>-185.00000000718865</v>
      </c>
      <c r="J219" s="8">
        <f t="shared" si="83"/>
        <v>447609.31999999285</v>
      </c>
      <c r="K219" s="8">
        <f t="shared" si="84"/>
        <v>95855.60676563879</v>
      </c>
      <c r="L219" s="8">
        <f t="shared" si="85"/>
        <v>543464.92676563165</v>
      </c>
      <c r="M219" s="8">
        <f t="shared" si="86"/>
        <v>52.407132654255108</v>
      </c>
      <c r="N219" s="8">
        <f t="shared" si="87"/>
        <v>230650</v>
      </c>
      <c r="O219" s="8">
        <f t="shared" si="88"/>
        <v>0</v>
      </c>
      <c r="P219" s="8">
        <f t="shared" si="89"/>
        <v>170</v>
      </c>
      <c r="Q219" s="8">
        <f t="shared" si="90"/>
        <v>14823.5</v>
      </c>
      <c r="R219" s="8">
        <f t="shared" si="91"/>
        <v>0</v>
      </c>
      <c r="S219" s="8">
        <f t="shared" si="92"/>
        <v>0</v>
      </c>
      <c r="T219" s="8">
        <f t="shared" si="93"/>
        <v>179964.82000000004</v>
      </c>
      <c r="U219" s="8">
        <f t="shared" si="94"/>
        <v>22186</v>
      </c>
      <c r="V219" s="8">
        <f t="shared" si="95"/>
        <v>0</v>
      </c>
      <c r="W219" s="8">
        <f t="shared" si="96"/>
        <v>-185.00000000745058</v>
      </c>
      <c r="X219" s="8">
        <f t="shared" si="97"/>
        <v>447609.31999999285</v>
      </c>
      <c r="Y219" s="10">
        <v>53566156</v>
      </c>
      <c r="Z219" s="10">
        <v>0</v>
      </c>
      <c r="AA219" s="10">
        <v>39478</v>
      </c>
      <c r="AB219" s="10">
        <v>2945133</v>
      </c>
      <c r="AC219" s="10">
        <v>0</v>
      </c>
      <c r="AD219" s="10">
        <v>0</v>
      </c>
      <c r="AE219" s="10">
        <v>0</v>
      </c>
      <c r="AF219" s="10">
        <v>750668</v>
      </c>
      <c r="AG219" s="10">
        <v>1545355</v>
      </c>
      <c r="AH219" s="10">
        <f t="shared" si="98"/>
        <v>10202500.359999999</v>
      </c>
      <c r="AI219" s="10">
        <v>69049290.359999999</v>
      </c>
      <c r="AJ219" s="10">
        <v>53796806</v>
      </c>
      <c r="AK219" s="10">
        <v>0</v>
      </c>
      <c r="AL219" s="10">
        <v>39648</v>
      </c>
      <c r="AM219" s="10">
        <v>2959956.5</v>
      </c>
      <c r="AN219" s="10">
        <v>0</v>
      </c>
      <c r="AO219" s="10">
        <v>0</v>
      </c>
      <c r="AP219" s="10">
        <v>179964.82000000004</v>
      </c>
      <c r="AQ219" s="10">
        <v>772854</v>
      </c>
      <c r="AR219" s="10">
        <v>1545355</v>
      </c>
      <c r="AS219" s="10">
        <f t="shared" si="78"/>
        <v>10202315.359999992</v>
      </c>
      <c r="AT219" s="10">
        <v>69496899.679999992</v>
      </c>
      <c r="AU219" s="12">
        <v>431400</v>
      </c>
      <c r="AV219" s="12">
        <v>94197.311987062072</v>
      </c>
      <c r="AW219" s="12">
        <v>112249.125</v>
      </c>
      <c r="AX219" s="12">
        <f t="shared" si="99"/>
        <v>637846.4369870621</v>
      </c>
      <c r="AY219" s="12">
        <v>482136.23499999999</v>
      </c>
      <c r="AZ219" s="12">
        <v>112859.48375270092</v>
      </c>
      <c r="BA219" s="12">
        <v>138706.32500000001</v>
      </c>
      <c r="BB219" s="12">
        <f t="shared" si="100"/>
        <v>733702.04375270102</v>
      </c>
      <c r="BC219" s="12">
        <v>50736.234999999986</v>
      </c>
      <c r="BD219" s="12">
        <v>18662.17176563885</v>
      </c>
      <c r="BE219" s="12">
        <v>26457.199999999953</v>
      </c>
      <c r="BF219" s="12">
        <v>95855.60676563879</v>
      </c>
    </row>
    <row r="220" spans="1:58" x14ac:dyDescent="0.25">
      <c r="A220" s="7">
        <v>721</v>
      </c>
      <c r="B220" s="7">
        <v>1</v>
      </c>
      <c r="C220" s="7" t="s">
        <v>221</v>
      </c>
      <c r="D220" s="4">
        <v>3</v>
      </c>
      <c r="E220" s="10">
        <v>3923</v>
      </c>
      <c r="F220" s="8">
        <f t="shared" si="79"/>
        <v>110347.25</v>
      </c>
      <c r="G220" s="8">
        <f t="shared" si="80"/>
        <v>81090.02</v>
      </c>
      <c r="H220" s="8">
        <f t="shared" si="81"/>
        <v>3664</v>
      </c>
      <c r="I220" s="8">
        <f t="shared" si="82"/>
        <v>-98.000000000451109</v>
      </c>
      <c r="J220" s="8">
        <f t="shared" si="83"/>
        <v>195003.26999999955</v>
      </c>
      <c r="K220" s="8">
        <f t="shared" si="84"/>
        <v>32660.576309360295</v>
      </c>
      <c r="L220" s="8">
        <f t="shared" si="85"/>
        <v>227663.84630935985</v>
      </c>
      <c r="M220" s="8">
        <f t="shared" si="86"/>
        <v>49.70769054295171</v>
      </c>
      <c r="N220" s="8">
        <f t="shared" si="87"/>
        <v>107370</v>
      </c>
      <c r="O220" s="8">
        <f t="shared" si="88"/>
        <v>0</v>
      </c>
      <c r="P220" s="8">
        <f t="shared" si="89"/>
        <v>1539</v>
      </c>
      <c r="Q220" s="8">
        <f t="shared" si="90"/>
        <v>1438.25</v>
      </c>
      <c r="R220" s="8">
        <f t="shared" si="91"/>
        <v>0</v>
      </c>
      <c r="S220" s="8">
        <f t="shared" si="92"/>
        <v>0</v>
      </c>
      <c r="T220" s="8">
        <f t="shared" si="93"/>
        <v>81090.02</v>
      </c>
      <c r="U220" s="8">
        <f t="shared" si="94"/>
        <v>3664</v>
      </c>
      <c r="V220" s="8">
        <f t="shared" si="95"/>
        <v>0</v>
      </c>
      <c r="W220" s="8">
        <f t="shared" si="96"/>
        <v>-98</v>
      </c>
      <c r="X220" s="8">
        <f t="shared" si="97"/>
        <v>195003.26999999955</v>
      </c>
      <c r="Y220" s="10">
        <v>24935609</v>
      </c>
      <c r="Z220" s="10">
        <v>0</v>
      </c>
      <c r="AA220" s="10">
        <v>357557</v>
      </c>
      <c r="AB220" s="10">
        <v>285752</v>
      </c>
      <c r="AC220" s="10">
        <v>0</v>
      </c>
      <c r="AD220" s="10">
        <v>0</v>
      </c>
      <c r="AE220" s="10">
        <v>0</v>
      </c>
      <c r="AF220" s="10">
        <v>16490</v>
      </c>
      <c r="AG220" s="10">
        <v>684427.5</v>
      </c>
      <c r="AH220" s="10">
        <f t="shared" si="98"/>
        <v>5006781.0300000012</v>
      </c>
      <c r="AI220" s="10">
        <v>31286616.530000001</v>
      </c>
      <c r="AJ220" s="10">
        <v>25042979</v>
      </c>
      <c r="AK220" s="10">
        <v>0</v>
      </c>
      <c r="AL220" s="10">
        <v>359096</v>
      </c>
      <c r="AM220" s="10">
        <v>287190.25</v>
      </c>
      <c r="AN220" s="10">
        <v>0</v>
      </c>
      <c r="AO220" s="10">
        <v>0</v>
      </c>
      <c r="AP220" s="10">
        <v>81090.02</v>
      </c>
      <c r="AQ220" s="10">
        <v>20154</v>
      </c>
      <c r="AR220" s="10">
        <v>684427.5</v>
      </c>
      <c r="AS220" s="10">
        <f t="shared" si="78"/>
        <v>5006683.0300000012</v>
      </c>
      <c r="AT220" s="10">
        <v>31481619.800000001</v>
      </c>
      <c r="AU220" s="12">
        <v>174600</v>
      </c>
      <c r="AV220" s="12">
        <v>29916.337208995981</v>
      </c>
      <c r="AW220" s="12">
        <v>33207.375</v>
      </c>
      <c r="AX220" s="12">
        <f t="shared" si="99"/>
        <v>237723.71220899597</v>
      </c>
      <c r="AY220" s="12">
        <v>195134.41500000001</v>
      </c>
      <c r="AZ220" s="12">
        <v>35843.298518356256</v>
      </c>
      <c r="BA220" s="12">
        <v>39406.574999999997</v>
      </c>
      <c r="BB220" s="12">
        <f t="shared" si="100"/>
        <v>270384.28851835628</v>
      </c>
      <c r="BC220" s="12">
        <v>20534.415000000008</v>
      </c>
      <c r="BD220" s="12">
        <v>5926.9613093602748</v>
      </c>
      <c r="BE220" s="12">
        <v>6199.2000000000116</v>
      </c>
      <c r="BF220" s="12">
        <v>32660.576309360295</v>
      </c>
    </row>
    <row r="221" spans="1:58" x14ac:dyDescent="0.25">
      <c r="A221" s="7">
        <v>726</v>
      </c>
      <c r="B221" s="7">
        <v>1</v>
      </c>
      <c r="C221" s="7" t="s">
        <v>222</v>
      </c>
      <c r="D221" s="4">
        <v>4</v>
      </c>
      <c r="E221" s="10">
        <v>2791</v>
      </c>
      <c r="F221" s="8">
        <f t="shared" si="79"/>
        <v>78819.75</v>
      </c>
      <c r="G221" s="8">
        <f t="shared" si="80"/>
        <v>54067.06</v>
      </c>
      <c r="H221" s="8">
        <f t="shared" si="81"/>
        <v>23465</v>
      </c>
      <c r="I221" s="8">
        <f t="shared" si="82"/>
        <v>24.999999998661224</v>
      </c>
      <c r="J221" s="8">
        <f t="shared" si="83"/>
        <v>156376.80999999866</v>
      </c>
      <c r="K221" s="8">
        <f t="shared" si="84"/>
        <v>27917.322708045696</v>
      </c>
      <c r="L221" s="8">
        <f t="shared" si="85"/>
        <v>184294.13270804434</v>
      </c>
      <c r="M221" s="8">
        <f t="shared" si="86"/>
        <v>56.028953780006688</v>
      </c>
      <c r="N221" s="8">
        <f t="shared" si="87"/>
        <v>76240</v>
      </c>
      <c r="O221" s="8">
        <f t="shared" si="88"/>
        <v>0</v>
      </c>
      <c r="P221" s="8">
        <f t="shared" si="89"/>
        <v>1099</v>
      </c>
      <c r="Q221" s="8">
        <f t="shared" si="90"/>
        <v>1480.75</v>
      </c>
      <c r="R221" s="8">
        <f t="shared" si="91"/>
        <v>0</v>
      </c>
      <c r="S221" s="8">
        <f t="shared" si="92"/>
        <v>0</v>
      </c>
      <c r="T221" s="8">
        <f t="shared" si="93"/>
        <v>54067.06</v>
      </c>
      <c r="U221" s="8">
        <f t="shared" si="94"/>
        <v>23465</v>
      </c>
      <c r="V221" s="8">
        <f t="shared" si="95"/>
        <v>25</v>
      </c>
      <c r="W221" s="8">
        <f t="shared" si="96"/>
        <v>0</v>
      </c>
      <c r="X221" s="8">
        <f t="shared" si="97"/>
        <v>156376.80999999866</v>
      </c>
      <c r="Y221" s="10">
        <v>17705978</v>
      </c>
      <c r="Z221" s="10">
        <v>0</v>
      </c>
      <c r="AA221" s="10">
        <v>255387</v>
      </c>
      <c r="AB221" s="10">
        <v>294195</v>
      </c>
      <c r="AC221" s="10">
        <v>0</v>
      </c>
      <c r="AD221" s="10">
        <v>0</v>
      </c>
      <c r="AE221" s="10">
        <v>0</v>
      </c>
      <c r="AF221" s="10">
        <v>14395</v>
      </c>
      <c r="AG221" s="10">
        <v>402457</v>
      </c>
      <c r="AH221" s="10">
        <f t="shared" si="98"/>
        <v>3217603.9200000018</v>
      </c>
      <c r="AI221" s="10">
        <v>21890015.920000002</v>
      </c>
      <c r="AJ221" s="10">
        <v>17782218</v>
      </c>
      <c r="AK221" s="10">
        <v>0</v>
      </c>
      <c r="AL221" s="10">
        <v>256486</v>
      </c>
      <c r="AM221" s="10">
        <v>295675.75</v>
      </c>
      <c r="AN221" s="10">
        <v>0</v>
      </c>
      <c r="AO221" s="10">
        <v>0</v>
      </c>
      <c r="AP221" s="10">
        <v>54067.06</v>
      </c>
      <c r="AQ221" s="10">
        <v>37860</v>
      </c>
      <c r="AR221" s="10">
        <v>402482</v>
      </c>
      <c r="AS221" s="10">
        <f t="shared" si="78"/>
        <v>3217603.9200000018</v>
      </c>
      <c r="AT221" s="10">
        <v>22046392.73</v>
      </c>
      <c r="AU221" s="12">
        <v>129600</v>
      </c>
      <c r="AV221" s="12">
        <v>25268.202468860545</v>
      </c>
      <c r="AW221" s="12">
        <v>42234.625</v>
      </c>
      <c r="AX221" s="12">
        <f t="shared" si="99"/>
        <v>197102.82746886055</v>
      </c>
      <c r="AY221" s="12">
        <v>144842.04</v>
      </c>
      <c r="AZ221" s="12">
        <v>30274.285176906222</v>
      </c>
      <c r="BA221" s="12">
        <v>49903.824999999997</v>
      </c>
      <c r="BB221" s="12">
        <f t="shared" si="100"/>
        <v>225020.1501769062</v>
      </c>
      <c r="BC221" s="12">
        <v>15242.040000000008</v>
      </c>
      <c r="BD221" s="12">
        <v>5006.0827080456766</v>
      </c>
      <c r="BE221" s="12">
        <v>7669.2000000000116</v>
      </c>
      <c r="BF221" s="12">
        <v>27917.322708045696</v>
      </c>
    </row>
    <row r="222" spans="1:58" x14ac:dyDescent="0.25">
      <c r="A222" s="7">
        <v>727</v>
      </c>
      <c r="B222" s="7">
        <v>1</v>
      </c>
      <c r="C222" s="7" t="s">
        <v>223</v>
      </c>
      <c r="D222" s="4">
        <v>4</v>
      </c>
      <c r="E222" s="10">
        <v>3235</v>
      </c>
      <c r="F222" s="8">
        <f t="shared" si="79"/>
        <v>92196.75</v>
      </c>
      <c r="G222" s="8">
        <f t="shared" si="80"/>
        <v>0</v>
      </c>
      <c r="H222" s="8">
        <f t="shared" si="81"/>
        <v>5087</v>
      </c>
      <c r="I222" s="8">
        <f t="shared" si="82"/>
        <v>7</v>
      </c>
      <c r="J222" s="8">
        <f t="shared" si="83"/>
        <v>97290.75</v>
      </c>
      <c r="K222" s="8">
        <f t="shared" si="84"/>
        <v>39683.999975786632</v>
      </c>
      <c r="L222" s="8">
        <f t="shared" si="85"/>
        <v>136974.74997578663</v>
      </c>
      <c r="M222" s="8">
        <f t="shared" si="86"/>
        <v>30.074420401854713</v>
      </c>
      <c r="N222" s="8">
        <f t="shared" si="87"/>
        <v>87920</v>
      </c>
      <c r="O222" s="8">
        <f t="shared" si="88"/>
        <v>0</v>
      </c>
      <c r="P222" s="8">
        <f t="shared" si="89"/>
        <v>671</v>
      </c>
      <c r="Q222" s="8">
        <f t="shared" si="90"/>
        <v>3605.75</v>
      </c>
      <c r="R222" s="8">
        <f t="shared" si="91"/>
        <v>0</v>
      </c>
      <c r="S222" s="8">
        <f t="shared" si="92"/>
        <v>0</v>
      </c>
      <c r="T222" s="8">
        <f t="shared" si="93"/>
        <v>0</v>
      </c>
      <c r="U222" s="8">
        <f t="shared" si="94"/>
        <v>5087</v>
      </c>
      <c r="V222" s="8">
        <f t="shared" si="95"/>
        <v>7</v>
      </c>
      <c r="W222" s="8">
        <f t="shared" si="96"/>
        <v>0</v>
      </c>
      <c r="X222" s="8">
        <f t="shared" si="97"/>
        <v>97290.75</v>
      </c>
      <c r="Y222" s="10">
        <v>20418541</v>
      </c>
      <c r="Z222" s="10">
        <v>0</v>
      </c>
      <c r="AA222" s="10">
        <v>155919</v>
      </c>
      <c r="AB222" s="10">
        <v>716390</v>
      </c>
      <c r="AC222" s="10">
        <v>0</v>
      </c>
      <c r="AD222" s="10">
        <v>0</v>
      </c>
      <c r="AE222" s="10">
        <v>848640</v>
      </c>
      <c r="AF222" s="10">
        <v>26234</v>
      </c>
      <c r="AG222" s="10">
        <v>496145</v>
      </c>
      <c r="AH222" s="10">
        <f t="shared" si="98"/>
        <v>3163216.4899999984</v>
      </c>
      <c r="AI222" s="10">
        <v>25825085.489999998</v>
      </c>
      <c r="AJ222" s="10">
        <v>20506461</v>
      </c>
      <c r="AK222" s="10">
        <v>0</v>
      </c>
      <c r="AL222" s="10">
        <v>156590</v>
      </c>
      <c r="AM222" s="10">
        <v>719995.75</v>
      </c>
      <c r="AN222" s="10">
        <v>0</v>
      </c>
      <c r="AO222" s="10">
        <v>0</v>
      </c>
      <c r="AP222" s="10">
        <v>848640</v>
      </c>
      <c r="AQ222" s="10">
        <v>31321</v>
      </c>
      <c r="AR222" s="10">
        <v>496152</v>
      </c>
      <c r="AS222" s="10">
        <f t="shared" si="78"/>
        <v>3163216.4899999984</v>
      </c>
      <c r="AT222" s="10">
        <v>25922376.239999998</v>
      </c>
      <c r="AU222" s="12">
        <v>168720</v>
      </c>
      <c r="AV222" s="12">
        <v>36224.504172782901</v>
      </c>
      <c r="AW222" s="12">
        <v>42581.75</v>
      </c>
      <c r="AX222" s="12">
        <f t="shared" si="99"/>
        <v>247526.25417278291</v>
      </c>
      <c r="AY222" s="12">
        <v>188562.878</v>
      </c>
      <c r="AZ222" s="12">
        <v>43401.226148569513</v>
      </c>
      <c r="BA222" s="12">
        <v>55246.15</v>
      </c>
      <c r="BB222" s="12">
        <f t="shared" si="100"/>
        <v>287210.25414856954</v>
      </c>
      <c r="BC222" s="12">
        <v>19842.877999999997</v>
      </c>
      <c r="BD222" s="12">
        <v>7176.7219757866114</v>
      </c>
      <c r="BE222" s="12">
        <v>12664.400000000023</v>
      </c>
      <c r="BF222" s="12">
        <v>39683.999975786632</v>
      </c>
    </row>
    <row r="223" spans="1:58" x14ac:dyDescent="0.25">
      <c r="A223" s="7">
        <v>728</v>
      </c>
      <c r="B223" s="7">
        <v>1</v>
      </c>
      <c r="C223" s="7" t="s">
        <v>224</v>
      </c>
      <c r="D223" s="4">
        <v>4</v>
      </c>
      <c r="E223" s="10">
        <v>12889</v>
      </c>
      <c r="F223" s="8">
        <f t="shared" si="79"/>
        <v>365012</v>
      </c>
      <c r="G223" s="8">
        <f t="shared" si="80"/>
        <v>248074.88</v>
      </c>
      <c r="H223" s="8">
        <f t="shared" si="81"/>
        <v>13560</v>
      </c>
      <c r="I223" s="8">
        <f t="shared" si="82"/>
        <v>671.99999999522697</v>
      </c>
      <c r="J223" s="8">
        <f t="shared" si="83"/>
        <v>627318.87999999523</v>
      </c>
      <c r="K223" s="8">
        <f t="shared" si="84"/>
        <v>149531.701918081</v>
      </c>
      <c r="L223" s="8">
        <f t="shared" si="85"/>
        <v>776850.58191807626</v>
      </c>
      <c r="M223" s="8">
        <f t="shared" si="86"/>
        <v>48.67087283730276</v>
      </c>
      <c r="N223" s="8">
        <f t="shared" si="87"/>
        <v>351710</v>
      </c>
      <c r="O223" s="8">
        <f t="shared" si="88"/>
        <v>267</v>
      </c>
      <c r="P223" s="8">
        <f t="shared" si="89"/>
        <v>1856</v>
      </c>
      <c r="Q223" s="8">
        <f t="shared" si="90"/>
        <v>11179</v>
      </c>
      <c r="R223" s="8">
        <f t="shared" si="91"/>
        <v>0</v>
      </c>
      <c r="S223" s="8">
        <f t="shared" si="92"/>
        <v>0</v>
      </c>
      <c r="T223" s="8">
        <f t="shared" si="93"/>
        <v>248074.88</v>
      </c>
      <c r="U223" s="8">
        <f t="shared" si="94"/>
        <v>13560</v>
      </c>
      <c r="V223" s="8">
        <f t="shared" si="95"/>
        <v>22</v>
      </c>
      <c r="W223" s="8">
        <f t="shared" si="96"/>
        <v>650</v>
      </c>
      <c r="X223" s="8">
        <f t="shared" si="97"/>
        <v>627318.87999999523</v>
      </c>
      <c r="Y223" s="10">
        <v>81681130</v>
      </c>
      <c r="Z223" s="10">
        <v>62101</v>
      </c>
      <c r="AA223" s="10">
        <v>430922</v>
      </c>
      <c r="AB223" s="10">
        <v>2221044</v>
      </c>
      <c r="AC223" s="10">
        <v>0</v>
      </c>
      <c r="AD223" s="10">
        <v>0</v>
      </c>
      <c r="AE223" s="10">
        <v>0</v>
      </c>
      <c r="AF223" s="10">
        <v>174156</v>
      </c>
      <c r="AG223" s="10">
        <v>1994714</v>
      </c>
      <c r="AH223" s="10">
        <f t="shared" si="98"/>
        <v>15668228.170000002</v>
      </c>
      <c r="AI223" s="10">
        <v>102232295.17</v>
      </c>
      <c r="AJ223" s="10">
        <v>82032840</v>
      </c>
      <c r="AK223" s="10">
        <v>62368</v>
      </c>
      <c r="AL223" s="10">
        <v>432778</v>
      </c>
      <c r="AM223" s="10">
        <v>2232223</v>
      </c>
      <c r="AN223" s="10">
        <v>0</v>
      </c>
      <c r="AO223" s="10">
        <v>0</v>
      </c>
      <c r="AP223" s="10">
        <v>248074.88</v>
      </c>
      <c r="AQ223" s="10">
        <v>187716</v>
      </c>
      <c r="AR223" s="10">
        <v>1994736</v>
      </c>
      <c r="AS223" s="10">
        <f t="shared" si="78"/>
        <v>15668878.170000002</v>
      </c>
      <c r="AT223" s="10">
        <v>102859614.05</v>
      </c>
      <c r="AU223" s="12">
        <v>717000</v>
      </c>
      <c r="AV223" s="12">
        <v>131809.03661901341</v>
      </c>
      <c r="AW223" s="12">
        <v>154470.625</v>
      </c>
      <c r="AX223" s="12">
        <f t="shared" si="99"/>
        <v>1003279.6616190134</v>
      </c>
      <c r="AY223" s="12">
        <v>801325.17500000005</v>
      </c>
      <c r="AZ223" s="12">
        <v>157922.76353709432</v>
      </c>
      <c r="BA223" s="12">
        <v>193563.42499999999</v>
      </c>
      <c r="BB223" s="12">
        <f t="shared" si="100"/>
        <v>1152811.3635370943</v>
      </c>
      <c r="BC223" s="12">
        <v>84325.175000000047</v>
      </c>
      <c r="BD223" s="12">
        <v>26113.726918080909</v>
      </c>
      <c r="BE223" s="12">
        <v>39092.800000000047</v>
      </c>
      <c r="BF223" s="12">
        <v>149531.701918081</v>
      </c>
    </row>
    <row r="224" spans="1:58" x14ac:dyDescent="0.25">
      <c r="A224" s="7">
        <v>738</v>
      </c>
      <c r="B224" s="7">
        <v>1</v>
      </c>
      <c r="C224" s="7" t="s">
        <v>225</v>
      </c>
      <c r="D224" s="4">
        <v>5</v>
      </c>
      <c r="E224" s="10">
        <v>1018</v>
      </c>
      <c r="F224" s="8">
        <f t="shared" si="79"/>
        <v>29332.25</v>
      </c>
      <c r="G224" s="8">
        <f t="shared" si="80"/>
        <v>22628.86</v>
      </c>
      <c r="H224" s="8">
        <f t="shared" si="81"/>
        <v>0</v>
      </c>
      <c r="I224" s="8">
        <f t="shared" si="82"/>
        <v>7.0000000003346941</v>
      </c>
      <c r="J224" s="8">
        <f t="shared" si="83"/>
        <v>51968.110000000335</v>
      </c>
      <c r="K224" s="8">
        <f t="shared" si="84"/>
        <v>12625.688760523943</v>
      </c>
      <c r="L224" s="8">
        <f t="shared" si="85"/>
        <v>64593.798760524282</v>
      </c>
      <c r="M224" s="8">
        <f t="shared" si="86"/>
        <v>51.049223968566146</v>
      </c>
      <c r="N224" s="8">
        <f t="shared" si="87"/>
        <v>27865</v>
      </c>
      <c r="O224" s="8">
        <f t="shared" si="88"/>
        <v>0</v>
      </c>
      <c r="P224" s="8">
        <f t="shared" si="89"/>
        <v>684</v>
      </c>
      <c r="Q224" s="8">
        <f t="shared" si="90"/>
        <v>783.25</v>
      </c>
      <c r="R224" s="8">
        <f t="shared" si="91"/>
        <v>0</v>
      </c>
      <c r="S224" s="8">
        <f t="shared" si="92"/>
        <v>0</v>
      </c>
      <c r="T224" s="8">
        <f t="shared" si="93"/>
        <v>22628.86</v>
      </c>
      <c r="U224" s="8">
        <f t="shared" si="94"/>
        <v>0</v>
      </c>
      <c r="V224" s="8">
        <f t="shared" si="95"/>
        <v>7</v>
      </c>
      <c r="W224" s="8">
        <f t="shared" si="96"/>
        <v>0</v>
      </c>
      <c r="X224" s="8">
        <f t="shared" si="97"/>
        <v>51968.110000000335</v>
      </c>
      <c r="Y224" s="10">
        <v>6471368</v>
      </c>
      <c r="Z224" s="10">
        <v>0</v>
      </c>
      <c r="AA224" s="10">
        <v>158791</v>
      </c>
      <c r="AB224" s="10">
        <v>155616</v>
      </c>
      <c r="AC224" s="10">
        <v>0</v>
      </c>
      <c r="AD224" s="10">
        <v>0</v>
      </c>
      <c r="AE224" s="10">
        <v>0</v>
      </c>
      <c r="AF224" s="10">
        <v>0</v>
      </c>
      <c r="AG224" s="10">
        <v>151396</v>
      </c>
      <c r="AH224" s="10">
        <f t="shared" si="98"/>
        <v>823661</v>
      </c>
      <c r="AI224" s="10">
        <v>7760832</v>
      </c>
      <c r="AJ224" s="10">
        <v>6499233</v>
      </c>
      <c r="AK224" s="10">
        <v>0</v>
      </c>
      <c r="AL224" s="10">
        <v>159475</v>
      </c>
      <c r="AM224" s="10">
        <v>156399.25</v>
      </c>
      <c r="AN224" s="10">
        <v>0</v>
      </c>
      <c r="AO224" s="10">
        <v>0</v>
      </c>
      <c r="AP224" s="10">
        <v>22628.86</v>
      </c>
      <c r="AQ224" s="10">
        <v>0</v>
      </c>
      <c r="AR224" s="10">
        <v>151403</v>
      </c>
      <c r="AS224" s="10">
        <f t="shared" si="78"/>
        <v>823661</v>
      </c>
      <c r="AT224" s="10">
        <v>7812800.1100000003</v>
      </c>
      <c r="AU224" s="12">
        <v>42000</v>
      </c>
      <c r="AV224" s="12">
        <v>9166.9603937445827</v>
      </c>
      <c r="AW224" s="12">
        <v>17673.25</v>
      </c>
      <c r="AX224" s="12">
        <f t="shared" si="99"/>
        <v>68840.210393744579</v>
      </c>
      <c r="AY224" s="12">
        <v>46939.55</v>
      </c>
      <c r="AZ224" s="12">
        <v>10983.099154268522</v>
      </c>
      <c r="BA224" s="12">
        <v>23543.25</v>
      </c>
      <c r="BB224" s="12">
        <f t="shared" si="100"/>
        <v>81465.899154268525</v>
      </c>
      <c r="BC224" s="12">
        <v>4939.5500000000029</v>
      </c>
      <c r="BD224" s="12">
        <v>1816.1387605239397</v>
      </c>
      <c r="BE224" s="12">
        <v>5870</v>
      </c>
      <c r="BF224" s="12">
        <v>12625.688760523943</v>
      </c>
    </row>
    <row r="225" spans="1:58" x14ac:dyDescent="0.25">
      <c r="A225" s="7">
        <v>739</v>
      </c>
      <c r="B225" s="7">
        <v>1</v>
      </c>
      <c r="C225" s="7" t="s">
        <v>226</v>
      </c>
      <c r="D225" s="4">
        <v>6</v>
      </c>
      <c r="E225" s="10">
        <v>660</v>
      </c>
      <c r="F225" s="8">
        <f t="shared" si="79"/>
        <v>19324.25</v>
      </c>
      <c r="G225" s="8">
        <f t="shared" si="80"/>
        <v>15864.06</v>
      </c>
      <c r="H225" s="8">
        <f t="shared" si="81"/>
        <v>0</v>
      </c>
      <c r="I225" s="8">
        <f t="shared" si="82"/>
        <v>16.999999999590727</v>
      </c>
      <c r="J225" s="8">
        <f t="shared" si="83"/>
        <v>35205.30999999959</v>
      </c>
      <c r="K225" s="8">
        <f t="shared" si="84"/>
        <v>8283.8318373962775</v>
      </c>
      <c r="L225" s="8">
        <f t="shared" si="85"/>
        <v>43489.141837395866</v>
      </c>
      <c r="M225" s="8">
        <f t="shared" si="86"/>
        <v>53.34137878787817</v>
      </c>
      <c r="N225" s="8">
        <f t="shared" si="87"/>
        <v>18050</v>
      </c>
      <c r="O225" s="8">
        <f t="shared" si="88"/>
        <v>68</v>
      </c>
      <c r="P225" s="8">
        <f t="shared" si="89"/>
        <v>477</v>
      </c>
      <c r="Q225" s="8">
        <f t="shared" si="90"/>
        <v>729.25</v>
      </c>
      <c r="R225" s="8">
        <f t="shared" si="91"/>
        <v>0</v>
      </c>
      <c r="S225" s="8">
        <f t="shared" si="92"/>
        <v>0</v>
      </c>
      <c r="T225" s="8">
        <f t="shared" si="93"/>
        <v>15864.06</v>
      </c>
      <c r="U225" s="8">
        <f t="shared" si="94"/>
        <v>0</v>
      </c>
      <c r="V225" s="8">
        <f t="shared" si="95"/>
        <v>17</v>
      </c>
      <c r="W225" s="8">
        <f t="shared" si="96"/>
        <v>0</v>
      </c>
      <c r="X225" s="8">
        <f t="shared" si="97"/>
        <v>35205.30999999959</v>
      </c>
      <c r="Y225" s="10">
        <v>4191932</v>
      </c>
      <c r="Z225" s="10">
        <v>15769</v>
      </c>
      <c r="AA225" s="10">
        <v>110652</v>
      </c>
      <c r="AB225" s="10">
        <v>144887</v>
      </c>
      <c r="AC225" s="10">
        <v>0</v>
      </c>
      <c r="AD225" s="10">
        <v>97374</v>
      </c>
      <c r="AE225" s="10">
        <v>0</v>
      </c>
      <c r="AF225" s="10">
        <v>0</v>
      </c>
      <c r="AG225" s="10">
        <v>78771</v>
      </c>
      <c r="AH225" s="10">
        <f t="shared" si="98"/>
        <v>963703.23000000045</v>
      </c>
      <c r="AI225" s="10">
        <v>5603088.2300000004</v>
      </c>
      <c r="AJ225" s="10">
        <v>4209982</v>
      </c>
      <c r="AK225" s="10">
        <v>15837</v>
      </c>
      <c r="AL225" s="10">
        <v>111129</v>
      </c>
      <c r="AM225" s="10">
        <v>145616.25</v>
      </c>
      <c r="AN225" s="10">
        <v>0</v>
      </c>
      <c r="AO225" s="10">
        <v>97374</v>
      </c>
      <c r="AP225" s="10">
        <v>15864.06</v>
      </c>
      <c r="AQ225" s="10">
        <v>0</v>
      </c>
      <c r="AR225" s="10">
        <v>78788</v>
      </c>
      <c r="AS225" s="10">
        <f t="shared" si="78"/>
        <v>963703.23000000045</v>
      </c>
      <c r="AT225" s="10">
        <v>5638293.54</v>
      </c>
      <c r="AU225" s="12">
        <v>28440</v>
      </c>
      <c r="AV225" s="12">
        <v>7295.9131017576838</v>
      </c>
      <c r="AW225" s="12">
        <v>10386.125</v>
      </c>
      <c r="AX225" s="12">
        <f t="shared" si="99"/>
        <v>46122.038101757687</v>
      </c>
      <c r="AY225" s="12">
        <v>31784.780999999999</v>
      </c>
      <c r="AZ225" s="12">
        <v>8741.3639391539564</v>
      </c>
      <c r="BA225" s="12">
        <v>13879.725</v>
      </c>
      <c r="BB225" s="12">
        <f t="shared" si="100"/>
        <v>54405.869939153956</v>
      </c>
      <c r="BC225" s="12">
        <v>3344.780999999999</v>
      </c>
      <c r="BD225" s="12">
        <v>1445.4508373962726</v>
      </c>
      <c r="BE225" s="12">
        <v>3493.6000000000058</v>
      </c>
      <c r="BF225" s="12">
        <v>8283.8318373962775</v>
      </c>
    </row>
    <row r="226" spans="1:58" x14ac:dyDescent="0.25">
      <c r="A226" s="7">
        <v>740</v>
      </c>
      <c r="B226" s="7">
        <v>1</v>
      </c>
      <c r="C226" s="7" t="s">
        <v>227</v>
      </c>
      <c r="D226" s="4">
        <v>5</v>
      </c>
      <c r="E226" s="10">
        <v>1345</v>
      </c>
      <c r="F226" s="8">
        <f t="shared" si="79"/>
        <v>42575.25</v>
      </c>
      <c r="G226" s="8">
        <f t="shared" si="80"/>
        <v>29592.98</v>
      </c>
      <c r="H226" s="8">
        <f t="shared" si="81"/>
        <v>73398</v>
      </c>
      <c r="I226" s="8">
        <f t="shared" si="82"/>
        <v>22.000000000451109</v>
      </c>
      <c r="J226" s="8">
        <f t="shared" si="83"/>
        <v>145588.23000000045</v>
      </c>
      <c r="K226" s="8">
        <f t="shared" si="84"/>
        <v>19764.219173165071</v>
      </c>
      <c r="L226" s="8">
        <f t="shared" si="85"/>
        <v>165352.44917316551</v>
      </c>
      <c r="M226" s="8">
        <f t="shared" si="86"/>
        <v>108.24403717472153</v>
      </c>
      <c r="N226" s="8">
        <f t="shared" si="87"/>
        <v>37510</v>
      </c>
      <c r="O226" s="8">
        <f t="shared" si="88"/>
        <v>13</v>
      </c>
      <c r="P226" s="8">
        <f t="shared" si="89"/>
        <v>968</v>
      </c>
      <c r="Q226" s="8">
        <f t="shared" si="90"/>
        <v>4084.25</v>
      </c>
      <c r="R226" s="8">
        <f t="shared" si="91"/>
        <v>0</v>
      </c>
      <c r="S226" s="8">
        <f t="shared" si="92"/>
        <v>0</v>
      </c>
      <c r="T226" s="8">
        <f t="shared" si="93"/>
        <v>29592.98</v>
      </c>
      <c r="U226" s="8">
        <f t="shared" si="94"/>
        <v>73398</v>
      </c>
      <c r="V226" s="8">
        <f t="shared" si="95"/>
        <v>22</v>
      </c>
      <c r="W226" s="8">
        <f t="shared" si="96"/>
        <v>0</v>
      </c>
      <c r="X226" s="8">
        <f t="shared" si="97"/>
        <v>145588.23000000045</v>
      </c>
      <c r="Y226" s="10">
        <v>8711322</v>
      </c>
      <c r="Z226" s="10">
        <v>2926</v>
      </c>
      <c r="AA226" s="10">
        <v>224884</v>
      </c>
      <c r="AB226" s="10">
        <v>811459</v>
      </c>
      <c r="AC226" s="10">
        <v>0</v>
      </c>
      <c r="AD226" s="10">
        <v>0</v>
      </c>
      <c r="AE226" s="10">
        <v>0</v>
      </c>
      <c r="AF226" s="10">
        <v>86770</v>
      </c>
      <c r="AG226" s="10">
        <v>185374</v>
      </c>
      <c r="AH226" s="10">
        <f t="shared" si="98"/>
        <v>1510319.1400000006</v>
      </c>
      <c r="AI226" s="10">
        <v>11533054.140000001</v>
      </c>
      <c r="AJ226" s="10">
        <v>8748832</v>
      </c>
      <c r="AK226" s="10">
        <v>2939</v>
      </c>
      <c r="AL226" s="10">
        <v>225852</v>
      </c>
      <c r="AM226" s="10">
        <v>815543.25</v>
      </c>
      <c r="AN226" s="10">
        <v>0</v>
      </c>
      <c r="AO226" s="10">
        <v>0</v>
      </c>
      <c r="AP226" s="10">
        <v>29592.98</v>
      </c>
      <c r="AQ226" s="10">
        <v>160168</v>
      </c>
      <c r="AR226" s="10">
        <v>185396</v>
      </c>
      <c r="AS226" s="10">
        <f t="shared" si="78"/>
        <v>1510319.1400000006</v>
      </c>
      <c r="AT226" s="10">
        <v>11678642.370000001</v>
      </c>
      <c r="AU226" s="12">
        <v>69120</v>
      </c>
      <c r="AV226" s="12">
        <v>21483.831596550724</v>
      </c>
      <c r="AW226" s="12">
        <v>20902.75</v>
      </c>
      <c r="AX226" s="12">
        <f t="shared" si="99"/>
        <v>111506.58159655072</v>
      </c>
      <c r="AY226" s="12">
        <v>77249.088000000003</v>
      </c>
      <c r="AZ226" s="12">
        <v>25740.162769715804</v>
      </c>
      <c r="BA226" s="12">
        <v>28281.55</v>
      </c>
      <c r="BB226" s="12">
        <f t="shared" si="100"/>
        <v>131270.8007697158</v>
      </c>
      <c r="BC226" s="12">
        <v>8129.0880000000034</v>
      </c>
      <c r="BD226" s="12">
        <v>4256.3311731650792</v>
      </c>
      <c r="BE226" s="12">
        <v>7378.7999999999884</v>
      </c>
      <c r="BF226" s="12">
        <v>19764.219173165071</v>
      </c>
    </row>
    <row r="227" spans="1:58" x14ac:dyDescent="0.25">
      <c r="A227" s="7">
        <v>741</v>
      </c>
      <c r="B227" s="7">
        <v>1</v>
      </c>
      <c r="C227" s="7" t="s">
        <v>228</v>
      </c>
      <c r="D227" s="4">
        <v>5</v>
      </c>
      <c r="E227" s="10">
        <v>956</v>
      </c>
      <c r="F227" s="8">
        <f t="shared" si="79"/>
        <v>28652.75</v>
      </c>
      <c r="G227" s="8">
        <f t="shared" si="80"/>
        <v>25262.300000000003</v>
      </c>
      <c r="H227" s="8">
        <f t="shared" si="81"/>
        <v>0</v>
      </c>
      <c r="I227" s="8">
        <f t="shared" si="82"/>
        <v>14.999999999810825</v>
      </c>
      <c r="J227" s="8">
        <f t="shared" si="83"/>
        <v>53930.049999999814</v>
      </c>
      <c r="K227" s="8">
        <f t="shared" si="84"/>
        <v>15267.899903617066</v>
      </c>
      <c r="L227" s="8">
        <f t="shared" si="85"/>
        <v>69197.949903616885</v>
      </c>
      <c r="M227" s="8">
        <f t="shared" si="86"/>
        <v>56.412186192468425</v>
      </c>
      <c r="N227" s="8">
        <f t="shared" si="87"/>
        <v>26050</v>
      </c>
      <c r="O227" s="8">
        <f t="shared" si="88"/>
        <v>86</v>
      </c>
      <c r="P227" s="8">
        <f t="shared" si="89"/>
        <v>698</v>
      </c>
      <c r="Q227" s="8">
        <f t="shared" si="90"/>
        <v>1818.75</v>
      </c>
      <c r="R227" s="8">
        <f t="shared" si="91"/>
        <v>0</v>
      </c>
      <c r="S227" s="8">
        <f t="shared" si="92"/>
        <v>0</v>
      </c>
      <c r="T227" s="8">
        <f t="shared" si="93"/>
        <v>25262.300000000003</v>
      </c>
      <c r="U227" s="8">
        <f t="shared" si="94"/>
        <v>0</v>
      </c>
      <c r="V227" s="8">
        <f t="shared" si="95"/>
        <v>15</v>
      </c>
      <c r="W227" s="8">
        <f t="shared" si="96"/>
        <v>0</v>
      </c>
      <c r="X227" s="8">
        <f t="shared" si="97"/>
        <v>53930.049999999814</v>
      </c>
      <c r="Y227" s="10">
        <v>6049852</v>
      </c>
      <c r="Z227" s="10">
        <v>19833</v>
      </c>
      <c r="AA227" s="10">
        <v>162104</v>
      </c>
      <c r="AB227" s="10">
        <v>361349</v>
      </c>
      <c r="AC227" s="10">
        <v>0</v>
      </c>
      <c r="AD227" s="10">
        <v>0</v>
      </c>
      <c r="AE227" s="10">
        <v>0</v>
      </c>
      <c r="AF227" s="10">
        <v>15006</v>
      </c>
      <c r="AG227" s="10">
        <v>127951</v>
      </c>
      <c r="AH227" s="10">
        <f t="shared" si="98"/>
        <v>1088316.5199999996</v>
      </c>
      <c r="AI227" s="10">
        <v>7824411.5199999996</v>
      </c>
      <c r="AJ227" s="10">
        <v>6075902</v>
      </c>
      <c r="AK227" s="10">
        <v>19919</v>
      </c>
      <c r="AL227" s="10">
        <v>162802</v>
      </c>
      <c r="AM227" s="10">
        <v>363167.75</v>
      </c>
      <c r="AN227" s="10">
        <v>0</v>
      </c>
      <c r="AO227" s="10">
        <v>0</v>
      </c>
      <c r="AP227" s="10">
        <v>25262.300000000003</v>
      </c>
      <c r="AQ227" s="10">
        <v>15006</v>
      </c>
      <c r="AR227" s="10">
        <v>127966</v>
      </c>
      <c r="AS227" s="10">
        <f t="shared" si="78"/>
        <v>1088316.5199999996</v>
      </c>
      <c r="AT227" s="10">
        <v>7878341.5699999994</v>
      </c>
      <c r="AU227" s="12">
        <v>45000</v>
      </c>
      <c r="AV227" s="12">
        <v>11190.93795100717</v>
      </c>
      <c r="AW227" s="12">
        <v>17822.25</v>
      </c>
      <c r="AX227" s="12">
        <f t="shared" si="99"/>
        <v>74013.187951007174</v>
      </c>
      <c r="AY227" s="12">
        <v>50292.375</v>
      </c>
      <c r="AZ227" s="12">
        <v>13408.062854624242</v>
      </c>
      <c r="BA227" s="12">
        <v>25580.65</v>
      </c>
      <c r="BB227" s="12">
        <f t="shared" si="100"/>
        <v>89281.087854624246</v>
      </c>
      <c r="BC227" s="12">
        <v>5292.375</v>
      </c>
      <c r="BD227" s="12">
        <v>2217.1249036170721</v>
      </c>
      <c r="BE227" s="12">
        <v>7758.3999999999942</v>
      </c>
      <c r="BF227" s="12">
        <v>15267.899903617066</v>
      </c>
    </row>
    <row r="228" spans="1:58" x14ac:dyDescent="0.25">
      <c r="A228" s="7">
        <v>742</v>
      </c>
      <c r="B228" s="7">
        <v>1</v>
      </c>
      <c r="C228" s="7" t="s">
        <v>229</v>
      </c>
      <c r="D228" s="4">
        <v>4</v>
      </c>
      <c r="E228" s="10">
        <v>9591</v>
      </c>
      <c r="F228" s="8">
        <f t="shared" si="79"/>
        <v>316808</v>
      </c>
      <c r="G228" s="8">
        <f t="shared" si="80"/>
        <v>244774.02</v>
      </c>
      <c r="H228" s="8">
        <f t="shared" si="81"/>
        <v>15571</v>
      </c>
      <c r="I228" s="8">
        <f t="shared" si="82"/>
        <v>630.99999999583815</v>
      </c>
      <c r="J228" s="8">
        <f t="shared" si="83"/>
        <v>577784.01999999583</v>
      </c>
      <c r="K228" s="8">
        <f t="shared" si="84"/>
        <v>182349.25287099148</v>
      </c>
      <c r="L228" s="8">
        <f t="shared" si="85"/>
        <v>760133.2728709873</v>
      </c>
      <c r="M228" s="8">
        <f t="shared" si="86"/>
        <v>60.242312584714405</v>
      </c>
      <c r="N228" s="8">
        <f t="shared" si="87"/>
        <v>260890</v>
      </c>
      <c r="O228" s="8">
        <f t="shared" si="88"/>
        <v>0</v>
      </c>
      <c r="P228" s="8">
        <f t="shared" si="89"/>
        <v>2490</v>
      </c>
      <c r="Q228" s="8">
        <f t="shared" si="90"/>
        <v>53428</v>
      </c>
      <c r="R228" s="8">
        <f t="shared" si="91"/>
        <v>0</v>
      </c>
      <c r="S228" s="8">
        <f t="shared" si="92"/>
        <v>0</v>
      </c>
      <c r="T228" s="8">
        <f t="shared" si="93"/>
        <v>244774.02</v>
      </c>
      <c r="U228" s="8">
        <f t="shared" si="94"/>
        <v>15571</v>
      </c>
      <c r="V228" s="8">
        <f t="shared" si="95"/>
        <v>48</v>
      </c>
      <c r="W228" s="8">
        <f t="shared" si="96"/>
        <v>583</v>
      </c>
      <c r="X228" s="8">
        <f t="shared" si="97"/>
        <v>577784.01999999583</v>
      </c>
      <c r="Y228" s="10">
        <v>60589094</v>
      </c>
      <c r="Z228" s="10">
        <v>0</v>
      </c>
      <c r="AA228" s="10">
        <v>578121</v>
      </c>
      <c r="AB228" s="10">
        <v>10615075</v>
      </c>
      <c r="AC228" s="10">
        <v>0</v>
      </c>
      <c r="AD228" s="10">
        <v>0</v>
      </c>
      <c r="AE228" s="10">
        <v>0</v>
      </c>
      <c r="AF228" s="10">
        <v>765144</v>
      </c>
      <c r="AG228" s="10">
        <v>1434105</v>
      </c>
      <c r="AH228" s="10">
        <f t="shared" si="98"/>
        <v>11303909.870000005</v>
      </c>
      <c r="AI228" s="10">
        <v>85285448.870000005</v>
      </c>
      <c r="AJ228" s="10">
        <v>60849984</v>
      </c>
      <c r="AK228" s="10">
        <v>0</v>
      </c>
      <c r="AL228" s="10">
        <v>580611</v>
      </c>
      <c r="AM228" s="10">
        <v>10668503</v>
      </c>
      <c r="AN228" s="10">
        <v>0</v>
      </c>
      <c r="AO228" s="10">
        <v>0</v>
      </c>
      <c r="AP228" s="10">
        <v>244774.02</v>
      </c>
      <c r="AQ228" s="10">
        <v>780715</v>
      </c>
      <c r="AR228" s="10">
        <v>1434153</v>
      </c>
      <c r="AS228" s="10">
        <f t="shared" si="78"/>
        <v>11304492.870000005</v>
      </c>
      <c r="AT228" s="10">
        <v>85863232.890000001</v>
      </c>
      <c r="AU228" s="12">
        <v>909000</v>
      </c>
      <c r="AV228" s="12">
        <v>197870.46905382909</v>
      </c>
      <c r="AW228" s="12">
        <v>140477.5</v>
      </c>
      <c r="AX228" s="12">
        <f t="shared" si="99"/>
        <v>1247347.9690538291</v>
      </c>
      <c r="AY228" s="12">
        <v>1015905.975</v>
      </c>
      <c r="AZ228" s="12">
        <v>237072.1469248205</v>
      </c>
      <c r="BA228" s="12">
        <v>176719.1</v>
      </c>
      <c r="BB228" s="12">
        <f t="shared" si="100"/>
        <v>1429697.2219248204</v>
      </c>
      <c r="BC228" s="12">
        <v>106905.97499999998</v>
      </c>
      <c r="BD228" s="12">
        <v>39201.677870991407</v>
      </c>
      <c r="BE228" s="12">
        <v>36241.600000000093</v>
      </c>
      <c r="BF228" s="12">
        <v>182349.25287099148</v>
      </c>
    </row>
    <row r="229" spans="1:58" x14ac:dyDescent="0.25">
      <c r="A229" s="7">
        <v>743</v>
      </c>
      <c r="B229" s="7">
        <v>1</v>
      </c>
      <c r="C229" s="7" t="s">
        <v>230</v>
      </c>
      <c r="D229" s="4">
        <v>5</v>
      </c>
      <c r="E229" s="10">
        <v>863</v>
      </c>
      <c r="F229" s="8">
        <f t="shared" si="79"/>
        <v>26491</v>
      </c>
      <c r="G229" s="8">
        <f t="shared" si="80"/>
        <v>22471.82</v>
      </c>
      <c r="H229" s="8">
        <f t="shared" si="81"/>
        <v>0</v>
      </c>
      <c r="I229" s="8">
        <f t="shared" si="82"/>
        <v>31.000000000298314</v>
      </c>
      <c r="J229" s="8">
        <f t="shared" si="83"/>
        <v>48993.820000000298</v>
      </c>
      <c r="K229" s="8">
        <f t="shared" si="84"/>
        <v>14983.108141278028</v>
      </c>
      <c r="L229" s="8">
        <f t="shared" si="85"/>
        <v>63976.928141278324</v>
      </c>
      <c r="M229" s="8">
        <f t="shared" si="86"/>
        <v>56.771517960602893</v>
      </c>
      <c r="N229" s="8">
        <f t="shared" si="87"/>
        <v>23465</v>
      </c>
      <c r="O229" s="8">
        <f t="shared" si="88"/>
        <v>270</v>
      </c>
      <c r="P229" s="8">
        <f t="shared" si="89"/>
        <v>656</v>
      </c>
      <c r="Q229" s="8">
        <f t="shared" si="90"/>
        <v>2100</v>
      </c>
      <c r="R229" s="8">
        <f t="shared" si="91"/>
        <v>0</v>
      </c>
      <c r="S229" s="8">
        <f t="shared" si="92"/>
        <v>0</v>
      </c>
      <c r="T229" s="8">
        <f t="shared" si="93"/>
        <v>22471.82</v>
      </c>
      <c r="U229" s="8">
        <f t="shared" si="94"/>
        <v>0</v>
      </c>
      <c r="V229" s="8">
        <f t="shared" si="95"/>
        <v>31</v>
      </c>
      <c r="W229" s="8">
        <f t="shared" si="96"/>
        <v>0</v>
      </c>
      <c r="X229" s="8">
        <f t="shared" si="97"/>
        <v>48993.820000000298</v>
      </c>
      <c r="Y229" s="10">
        <v>5449512</v>
      </c>
      <c r="Z229" s="10">
        <v>62751</v>
      </c>
      <c r="AA229" s="10">
        <v>152151</v>
      </c>
      <c r="AB229" s="10">
        <v>417228</v>
      </c>
      <c r="AC229" s="10">
        <v>0</v>
      </c>
      <c r="AD229" s="10">
        <v>11382</v>
      </c>
      <c r="AE229" s="10">
        <v>0</v>
      </c>
      <c r="AF229" s="10">
        <v>15116</v>
      </c>
      <c r="AG229" s="10">
        <v>90250</v>
      </c>
      <c r="AH229" s="10">
        <f t="shared" si="98"/>
        <v>1510009.9900000002</v>
      </c>
      <c r="AI229" s="10">
        <v>7708399.9900000002</v>
      </c>
      <c r="AJ229" s="10">
        <v>5472977</v>
      </c>
      <c r="AK229" s="10">
        <v>63021</v>
      </c>
      <c r="AL229" s="10">
        <v>152807</v>
      </c>
      <c r="AM229" s="10">
        <v>419328</v>
      </c>
      <c r="AN229" s="10">
        <v>0</v>
      </c>
      <c r="AO229" s="10">
        <v>11382</v>
      </c>
      <c r="AP229" s="10">
        <v>22471.82</v>
      </c>
      <c r="AQ229" s="10">
        <v>15116</v>
      </c>
      <c r="AR229" s="10">
        <v>90281</v>
      </c>
      <c r="AS229" s="10">
        <f t="shared" si="78"/>
        <v>1510009.9900000002</v>
      </c>
      <c r="AT229" s="10">
        <v>7757393.8100000005</v>
      </c>
      <c r="AU229" s="12">
        <v>63240</v>
      </c>
      <c r="AV229" s="12">
        <v>14657.723670600784</v>
      </c>
      <c r="AW229" s="12">
        <v>16327.625</v>
      </c>
      <c r="AX229" s="12">
        <f t="shared" si="99"/>
        <v>94225.348670600782</v>
      </c>
      <c r="AY229" s="12">
        <v>70677.551000000007</v>
      </c>
      <c r="AZ229" s="12">
        <v>17561.680811878799</v>
      </c>
      <c r="BA229" s="12">
        <v>20969.224999999999</v>
      </c>
      <c r="BB229" s="12">
        <f t="shared" si="100"/>
        <v>109208.4568118788</v>
      </c>
      <c r="BC229" s="12">
        <v>7437.5510000000068</v>
      </c>
      <c r="BD229" s="12">
        <v>2903.9571412780151</v>
      </c>
      <c r="BE229" s="12">
        <v>4641.6000000000058</v>
      </c>
      <c r="BF229" s="12">
        <v>14983.108141278028</v>
      </c>
    </row>
    <row r="230" spans="1:58" x14ac:dyDescent="0.25">
      <c r="A230" s="7">
        <v>745</v>
      </c>
      <c r="B230" s="7">
        <v>1</v>
      </c>
      <c r="C230" s="7" t="s">
        <v>231</v>
      </c>
      <c r="D230" s="4">
        <v>5</v>
      </c>
      <c r="E230" s="10">
        <v>1708</v>
      </c>
      <c r="F230" s="8">
        <f t="shared" si="79"/>
        <v>48900</v>
      </c>
      <c r="G230" s="8">
        <f t="shared" si="80"/>
        <v>39281.140000000007</v>
      </c>
      <c r="H230" s="8">
        <f t="shared" si="81"/>
        <v>0</v>
      </c>
      <c r="I230" s="8">
        <f t="shared" si="82"/>
        <v>5.893525667488575E-10</v>
      </c>
      <c r="J230" s="8">
        <f t="shared" si="83"/>
        <v>88181.140000000596</v>
      </c>
      <c r="K230" s="8">
        <f t="shared" si="84"/>
        <v>21410.275090490028</v>
      </c>
      <c r="L230" s="8">
        <f t="shared" si="85"/>
        <v>109591.41509049063</v>
      </c>
      <c r="M230" s="8">
        <f t="shared" si="86"/>
        <v>51.628302107728686</v>
      </c>
      <c r="N230" s="8">
        <f t="shared" si="87"/>
        <v>46790</v>
      </c>
      <c r="O230" s="8">
        <f t="shared" si="88"/>
        <v>0</v>
      </c>
      <c r="P230" s="8">
        <f t="shared" si="89"/>
        <v>963</v>
      </c>
      <c r="Q230" s="8">
        <f t="shared" si="90"/>
        <v>1147</v>
      </c>
      <c r="R230" s="8">
        <f t="shared" si="91"/>
        <v>0</v>
      </c>
      <c r="S230" s="8">
        <f t="shared" si="92"/>
        <v>0</v>
      </c>
      <c r="T230" s="8">
        <f t="shared" si="93"/>
        <v>39281.140000000007</v>
      </c>
      <c r="U230" s="8">
        <f t="shared" si="94"/>
        <v>0</v>
      </c>
      <c r="V230" s="8">
        <f t="shared" si="95"/>
        <v>0</v>
      </c>
      <c r="W230" s="8">
        <f t="shared" si="96"/>
        <v>0</v>
      </c>
      <c r="X230" s="8">
        <f t="shared" si="97"/>
        <v>88181.140000000596</v>
      </c>
      <c r="Y230" s="10">
        <v>10866510</v>
      </c>
      <c r="Z230" s="10">
        <v>0</v>
      </c>
      <c r="AA230" s="10">
        <v>223611</v>
      </c>
      <c r="AB230" s="10">
        <v>227886</v>
      </c>
      <c r="AC230" s="10">
        <v>0</v>
      </c>
      <c r="AD230" s="10">
        <v>0</v>
      </c>
      <c r="AE230" s="10">
        <v>0</v>
      </c>
      <c r="AF230" s="10">
        <v>14599</v>
      </c>
      <c r="AG230" s="10">
        <v>269510</v>
      </c>
      <c r="AH230" s="10">
        <f t="shared" si="98"/>
        <v>1118165.2799999993</v>
      </c>
      <c r="AI230" s="10">
        <v>12720281.279999999</v>
      </c>
      <c r="AJ230" s="10">
        <v>10913300</v>
      </c>
      <c r="AK230" s="10">
        <v>0</v>
      </c>
      <c r="AL230" s="10">
        <v>224574</v>
      </c>
      <c r="AM230" s="10">
        <v>229033</v>
      </c>
      <c r="AN230" s="10">
        <v>0</v>
      </c>
      <c r="AO230" s="10">
        <v>0</v>
      </c>
      <c r="AP230" s="10">
        <v>39281.140000000007</v>
      </c>
      <c r="AQ230" s="10">
        <v>14599</v>
      </c>
      <c r="AR230" s="10">
        <v>269510</v>
      </c>
      <c r="AS230" s="10">
        <f t="shared" si="78"/>
        <v>1118165.2799999993</v>
      </c>
      <c r="AT230" s="10">
        <v>12808462.42</v>
      </c>
      <c r="AU230" s="12">
        <v>84360</v>
      </c>
      <c r="AV230" s="12">
        <v>17704.793166748357</v>
      </c>
      <c r="AW230" s="12">
        <v>27730.625</v>
      </c>
      <c r="AX230" s="12">
        <f t="shared" si="99"/>
        <v>129795.41816674836</v>
      </c>
      <c r="AY230" s="12">
        <v>94281.438999999998</v>
      </c>
      <c r="AZ230" s="12">
        <v>21212.429257238375</v>
      </c>
      <c r="BA230" s="12">
        <v>35711.824999999997</v>
      </c>
      <c r="BB230" s="12">
        <f t="shared" si="100"/>
        <v>151205.69325723837</v>
      </c>
      <c r="BC230" s="12">
        <v>9921.4389999999985</v>
      </c>
      <c r="BD230" s="12">
        <v>3507.6360904900175</v>
      </c>
      <c r="BE230" s="12">
        <v>7981.2000000000116</v>
      </c>
      <c r="BF230" s="12">
        <v>21410.275090490028</v>
      </c>
    </row>
    <row r="231" spans="1:58" x14ac:dyDescent="0.25">
      <c r="A231" s="7">
        <v>748</v>
      </c>
      <c r="B231" s="7">
        <v>1</v>
      </c>
      <c r="C231" s="7" t="s">
        <v>232</v>
      </c>
      <c r="D231" s="4">
        <v>4</v>
      </c>
      <c r="E231" s="10">
        <v>3746</v>
      </c>
      <c r="F231" s="8">
        <f t="shared" si="79"/>
        <v>104008.25</v>
      </c>
      <c r="G231" s="8">
        <f t="shared" si="80"/>
        <v>79489.42</v>
      </c>
      <c r="H231" s="8">
        <f t="shared" si="81"/>
        <v>1467</v>
      </c>
      <c r="I231" s="8">
        <f t="shared" si="82"/>
        <v>-4.9999999982101144</v>
      </c>
      <c r="J231" s="8">
        <f t="shared" si="83"/>
        <v>184959.67000000179</v>
      </c>
      <c r="K231" s="8">
        <f t="shared" si="84"/>
        <v>32898.817105922833</v>
      </c>
      <c r="L231" s="8">
        <f t="shared" si="85"/>
        <v>217858.48710592464</v>
      </c>
      <c r="M231" s="8">
        <f t="shared" si="86"/>
        <v>49.375245595302133</v>
      </c>
      <c r="N231" s="8">
        <f t="shared" si="87"/>
        <v>102220</v>
      </c>
      <c r="O231" s="8">
        <f t="shared" si="88"/>
        <v>0</v>
      </c>
      <c r="P231" s="8">
        <f t="shared" si="89"/>
        <v>580</v>
      </c>
      <c r="Q231" s="8">
        <f t="shared" si="90"/>
        <v>1208.25</v>
      </c>
      <c r="R231" s="8">
        <f t="shared" si="91"/>
        <v>0</v>
      </c>
      <c r="S231" s="8">
        <f t="shared" si="92"/>
        <v>0</v>
      </c>
      <c r="T231" s="8">
        <f t="shared" si="93"/>
        <v>79489.42</v>
      </c>
      <c r="U231" s="8">
        <f t="shared" si="94"/>
        <v>1467</v>
      </c>
      <c r="V231" s="8">
        <f t="shared" si="95"/>
        <v>27</v>
      </c>
      <c r="W231" s="8">
        <f t="shared" si="96"/>
        <v>-32</v>
      </c>
      <c r="X231" s="8">
        <f t="shared" si="97"/>
        <v>184959.67000000179</v>
      </c>
      <c r="Y231" s="10">
        <v>23739573</v>
      </c>
      <c r="Z231" s="10">
        <v>0</v>
      </c>
      <c r="AA231" s="10">
        <v>134608</v>
      </c>
      <c r="AB231" s="10">
        <v>240055</v>
      </c>
      <c r="AC231" s="10">
        <v>0</v>
      </c>
      <c r="AD231" s="10">
        <v>0</v>
      </c>
      <c r="AE231" s="10">
        <v>0</v>
      </c>
      <c r="AF231" s="10">
        <v>17235</v>
      </c>
      <c r="AG231" s="10">
        <v>549359</v>
      </c>
      <c r="AH231" s="10">
        <f t="shared" si="98"/>
        <v>4047685.379999999</v>
      </c>
      <c r="AI231" s="10">
        <v>28728515.379999999</v>
      </c>
      <c r="AJ231" s="10">
        <v>23841793</v>
      </c>
      <c r="AK231" s="10">
        <v>0</v>
      </c>
      <c r="AL231" s="10">
        <v>135188</v>
      </c>
      <c r="AM231" s="10">
        <v>241263.25</v>
      </c>
      <c r="AN231" s="10">
        <v>0</v>
      </c>
      <c r="AO231" s="10">
        <v>0</v>
      </c>
      <c r="AP231" s="10">
        <v>79489.42</v>
      </c>
      <c r="AQ231" s="10">
        <v>18702</v>
      </c>
      <c r="AR231" s="10">
        <v>549386</v>
      </c>
      <c r="AS231" s="10">
        <f t="shared" si="78"/>
        <v>4047653.379999999</v>
      </c>
      <c r="AT231" s="10">
        <v>28913475.050000001</v>
      </c>
      <c r="AU231" s="12">
        <v>138720</v>
      </c>
      <c r="AV231" s="12">
        <v>24646.887512145422</v>
      </c>
      <c r="AW231" s="12">
        <v>51805.5</v>
      </c>
      <c r="AX231" s="12">
        <f t="shared" si="99"/>
        <v>215172.38751214542</v>
      </c>
      <c r="AY231" s="12">
        <v>155034.628</v>
      </c>
      <c r="AZ231" s="12">
        <v>29529.876618068243</v>
      </c>
      <c r="BA231" s="12">
        <v>63506.7</v>
      </c>
      <c r="BB231" s="12">
        <f t="shared" si="100"/>
        <v>248071.20461806824</v>
      </c>
      <c r="BC231" s="12">
        <v>16314.627999999997</v>
      </c>
      <c r="BD231" s="12">
        <v>4882.9891059228212</v>
      </c>
      <c r="BE231" s="12">
        <v>11701.200000000012</v>
      </c>
      <c r="BF231" s="12">
        <v>32898.817105922833</v>
      </c>
    </row>
    <row r="232" spans="1:58" x14ac:dyDescent="0.25">
      <c r="A232" s="7">
        <v>750</v>
      </c>
      <c r="B232" s="7">
        <v>1</v>
      </c>
      <c r="C232" s="7" t="s">
        <v>233</v>
      </c>
      <c r="D232" s="4">
        <v>4</v>
      </c>
      <c r="E232" s="10">
        <v>1991</v>
      </c>
      <c r="F232" s="8">
        <f t="shared" si="79"/>
        <v>58564.25</v>
      </c>
      <c r="G232" s="8">
        <f t="shared" si="80"/>
        <v>41528.019999999997</v>
      </c>
      <c r="H232" s="8">
        <f t="shared" si="81"/>
        <v>24822</v>
      </c>
      <c r="I232" s="8">
        <f t="shared" si="82"/>
        <v>-4.4383341446518898E-10</v>
      </c>
      <c r="J232" s="8">
        <f t="shared" si="83"/>
        <v>124914.26999999955</v>
      </c>
      <c r="K232" s="8">
        <f t="shared" si="84"/>
        <v>23719.212843161768</v>
      </c>
      <c r="L232" s="8">
        <f t="shared" si="85"/>
        <v>148633.48284316133</v>
      </c>
      <c r="M232" s="8">
        <f t="shared" si="86"/>
        <v>62.739462581617055</v>
      </c>
      <c r="N232" s="8">
        <f t="shared" si="87"/>
        <v>55380</v>
      </c>
      <c r="O232" s="8">
        <f t="shared" si="88"/>
        <v>0</v>
      </c>
      <c r="P232" s="8">
        <f t="shared" si="89"/>
        <v>972</v>
      </c>
      <c r="Q232" s="8">
        <f t="shared" si="90"/>
        <v>2212.25</v>
      </c>
      <c r="R232" s="8">
        <f t="shared" si="91"/>
        <v>0</v>
      </c>
      <c r="S232" s="8">
        <f t="shared" si="92"/>
        <v>0</v>
      </c>
      <c r="T232" s="8">
        <f t="shared" si="93"/>
        <v>41528.019999999997</v>
      </c>
      <c r="U232" s="8">
        <f t="shared" si="94"/>
        <v>24822</v>
      </c>
      <c r="V232" s="8">
        <f t="shared" si="95"/>
        <v>0</v>
      </c>
      <c r="W232" s="8">
        <f t="shared" si="96"/>
        <v>0</v>
      </c>
      <c r="X232" s="8">
        <f t="shared" si="97"/>
        <v>124914.26999999955</v>
      </c>
      <c r="Y232" s="10">
        <v>12861451</v>
      </c>
      <c r="Z232" s="10">
        <v>0</v>
      </c>
      <c r="AA232" s="10">
        <v>225759</v>
      </c>
      <c r="AB232" s="10">
        <v>439530</v>
      </c>
      <c r="AC232" s="10">
        <v>0</v>
      </c>
      <c r="AD232" s="10">
        <v>0</v>
      </c>
      <c r="AE232" s="10">
        <v>0</v>
      </c>
      <c r="AF232" s="10">
        <v>37928</v>
      </c>
      <c r="AG232" s="10">
        <v>318989</v>
      </c>
      <c r="AH232" s="10">
        <f t="shared" si="98"/>
        <v>1725743.6799999997</v>
      </c>
      <c r="AI232" s="10">
        <v>15609400.68</v>
      </c>
      <c r="AJ232" s="10">
        <v>12916831</v>
      </c>
      <c r="AK232" s="10">
        <v>0</v>
      </c>
      <c r="AL232" s="10">
        <v>226731</v>
      </c>
      <c r="AM232" s="10">
        <v>441742.25</v>
      </c>
      <c r="AN232" s="10">
        <v>0</v>
      </c>
      <c r="AO232" s="10">
        <v>0</v>
      </c>
      <c r="AP232" s="10">
        <v>41528.019999999997</v>
      </c>
      <c r="AQ232" s="10">
        <v>62750</v>
      </c>
      <c r="AR232" s="10">
        <v>318989</v>
      </c>
      <c r="AS232" s="10">
        <f t="shared" si="78"/>
        <v>1725743.6799999997</v>
      </c>
      <c r="AT232" s="10">
        <v>15734314.949999999</v>
      </c>
      <c r="AU232" s="12">
        <v>92760</v>
      </c>
      <c r="AV232" s="12">
        <v>21818.645748358947</v>
      </c>
      <c r="AW232" s="12">
        <v>38757.875</v>
      </c>
      <c r="AX232" s="12">
        <f t="shared" si="99"/>
        <v>153336.52074835895</v>
      </c>
      <c r="AY232" s="12">
        <v>103669.349</v>
      </c>
      <c r="AZ232" s="12">
        <v>26141.309591520701</v>
      </c>
      <c r="BA232" s="12">
        <v>47245.074999999997</v>
      </c>
      <c r="BB232" s="12">
        <f t="shared" si="100"/>
        <v>177055.73359152069</v>
      </c>
      <c r="BC232" s="12">
        <v>10909.349000000002</v>
      </c>
      <c r="BD232" s="12">
        <v>4322.6638431617539</v>
      </c>
      <c r="BE232" s="12">
        <v>8487.2000000000116</v>
      </c>
      <c r="BF232" s="12">
        <v>23719.212843161768</v>
      </c>
    </row>
    <row r="233" spans="1:58" x14ac:dyDescent="0.25">
      <c r="A233" s="7">
        <v>756</v>
      </c>
      <c r="B233" s="7">
        <v>1</v>
      </c>
      <c r="C233" s="7" t="s">
        <v>234</v>
      </c>
      <c r="D233" s="4">
        <v>6</v>
      </c>
      <c r="E233" s="10">
        <v>720</v>
      </c>
      <c r="F233" s="8">
        <f t="shared" si="79"/>
        <v>20963.25</v>
      </c>
      <c r="G233" s="8">
        <f t="shared" si="80"/>
        <v>18606.22</v>
      </c>
      <c r="H233" s="8">
        <f t="shared" si="81"/>
        <v>0</v>
      </c>
      <c r="I233" s="8">
        <f t="shared" si="82"/>
        <v>-19.000000000261934</v>
      </c>
      <c r="J233" s="8">
        <f t="shared" si="83"/>
        <v>39550.469999999739</v>
      </c>
      <c r="K233" s="8">
        <f t="shared" si="84"/>
        <v>8098.9728113192377</v>
      </c>
      <c r="L233" s="8">
        <f t="shared" si="85"/>
        <v>47649.442811318979</v>
      </c>
      <c r="M233" s="8">
        <f t="shared" si="86"/>
        <v>54.931208333332968</v>
      </c>
      <c r="N233" s="8">
        <f t="shared" si="87"/>
        <v>19046</v>
      </c>
      <c r="O233" s="8">
        <f t="shared" si="88"/>
        <v>0</v>
      </c>
      <c r="P233" s="8">
        <f t="shared" si="89"/>
        <v>595</v>
      </c>
      <c r="Q233" s="8">
        <f t="shared" si="90"/>
        <v>1322.25</v>
      </c>
      <c r="R233" s="8">
        <f t="shared" si="91"/>
        <v>0</v>
      </c>
      <c r="S233" s="8">
        <f t="shared" si="92"/>
        <v>0</v>
      </c>
      <c r="T233" s="8">
        <f t="shared" si="93"/>
        <v>18606.22</v>
      </c>
      <c r="U233" s="8">
        <f t="shared" si="94"/>
        <v>0</v>
      </c>
      <c r="V233" s="8">
        <f t="shared" si="95"/>
        <v>13</v>
      </c>
      <c r="W233" s="8">
        <f t="shared" si="96"/>
        <v>-32</v>
      </c>
      <c r="X233" s="8">
        <f t="shared" si="97"/>
        <v>39550.469999999739</v>
      </c>
      <c r="Y233" s="10">
        <v>4423301</v>
      </c>
      <c r="Z233" s="10">
        <v>0</v>
      </c>
      <c r="AA233" s="10">
        <v>138092</v>
      </c>
      <c r="AB233" s="10">
        <v>262705</v>
      </c>
      <c r="AC233" s="10">
        <v>0</v>
      </c>
      <c r="AD233" s="10">
        <v>85544</v>
      </c>
      <c r="AE233" s="10">
        <v>0</v>
      </c>
      <c r="AF233" s="10">
        <v>15302</v>
      </c>
      <c r="AG233" s="10">
        <v>91159</v>
      </c>
      <c r="AH233" s="10">
        <f t="shared" si="98"/>
        <v>832136.75999999978</v>
      </c>
      <c r="AI233" s="10">
        <v>5848239.7599999998</v>
      </c>
      <c r="AJ233" s="10">
        <v>4442347</v>
      </c>
      <c r="AK233" s="10">
        <v>0</v>
      </c>
      <c r="AL233" s="10">
        <v>138687</v>
      </c>
      <c r="AM233" s="10">
        <v>264027.25</v>
      </c>
      <c r="AN233" s="10">
        <v>0</v>
      </c>
      <c r="AO233" s="10">
        <v>85544</v>
      </c>
      <c r="AP233" s="10">
        <v>18606.22</v>
      </c>
      <c r="AQ233" s="10">
        <v>15302</v>
      </c>
      <c r="AR233" s="10">
        <v>91172</v>
      </c>
      <c r="AS233" s="10">
        <f t="shared" si="78"/>
        <v>832104.75999999978</v>
      </c>
      <c r="AT233" s="10">
        <v>5887790.2299999995</v>
      </c>
      <c r="AU233" s="12">
        <v>26640</v>
      </c>
      <c r="AV233" s="12">
        <v>6894.3136801338569</v>
      </c>
      <c r="AW233" s="12">
        <v>11565.25</v>
      </c>
      <c r="AX233" s="12">
        <f t="shared" si="99"/>
        <v>45099.563680133855</v>
      </c>
      <c r="AY233" s="12">
        <v>29773.085999999999</v>
      </c>
      <c r="AZ233" s="12">
        <v>8260.2004914530953</v>
      </c>
      <c r="BA233" s="12">
        <v>15165.25</v>
      </c>
      <c r="BB233" s="12">
        <f t="shared" si="100"/>
        <v>53198.536491453095</v>
      </c>
      <c r="BC233" s="12">
        <v>3133.0859999999993</v>
      </c>
      <c r="BD233" s="12">
        <v>1365.8868113192384</v>
      </c>
      <c r="BE233" s="12">
        <v>3600</v>
      </c>
      <c r="BF233" s="12">
        <v>8098.9728113192377</v>
      </c>
    </row>
    <row r="234" spans="1:58" x14ac:dyDescent="0.25">
      <c r="A234" s="7">
        <v>761</v>
      </c>
      <c r="B234" s="7">
        <v>1</v>
      </c>
      <c r="C234" s="7" t="s">
        <v>235</v>
      </c>
      <c r="D234" s="4">
        <v>4</v>
      </c>
      <c r="E234" s="10">
        <v>4732</v>
      </c>
      <c r="F234" s="8">
        <f t="shared" si="79"/>
        <v>145392.5</v>
      </c>
      <c r="G234" s="8">
        <f t="shared" si="80"/>
        <v>101792.12</v>
      </c>
      <c r="H234" s="8">
        <f t="shared" si="81"/>
        <v>2676</v>
      </c>
      <c r="I234" s="8">
        <f t="shared" si="82"/>
        <v>-79.000000002677552</v>
      </c>
      <c r="J234" s="8">
        <f t="shared" si="83"/>
        <v>249781.61999999732</v>
      </c>
      <c r="K234" s="8">
        <f t="shared" si="84"/>
        <v>63216.043262536929</v>
      </c>
      <c r="L234" s="8">
        <f t="shared" si="85"/>
        <v>312997.66326253425</v>
      </c>
      <c r="M234" s="8">
        <f t="shared" si="86"/>
        <v>52.785633981402647</v>
      </c>
      <c r="N234" s="8">
        <f t="shared" si="87"/>
        <v>129235</v>
      </c>
      <c r="O234" s="8">
        <f t="shared" si="88"/>
        <v>0</v>
      </c>
      <c r="P234" s="8">
        <f t="shared" si="89"/>
        <v>1963</v>
      </c>
      <c r="Q234" s="8">
        <f t="shared" si="90"/>
        <v>14194.5</v>
      </c>
      <c r="R234" s="8">
        <f t="shared" si="91"/>
        <v>0</v>
      </c>
      <c r="S234" s="8">
        <f t="shared" si="92"/>
        <v>0</v>
      </c>
      <c r="T234" s="8">
        <f t="shared" si="93"/>
        <v>101792.12</v>
      </c>
      <c r="U234" s="8">
        <f t="shared" si="94"/>
        <v>2676</v>
      </c>
      <c r="V234" s="8">
        <f t="shared" si="95"/>
        <v>94</v>
      </c>
      <c r="W234" s="8">
        <f t="shared" si="96"/>
        <v>-173.00000000745058</v>
      </c>
      <c r="X234" s="8">
        <f t="shared" si="97"/>
        <v>249781.61999999732</v>
      </c>
      <c r="Y234" s="10">
        <v>30013536</v>
      </c>
      <c r="Z234" s="10">
        <v>0</v>
      </c>
      <c r="AA234" s="10">
        <v>455913</v>
      </c>
      <c r="AB234" s="10">
        <v>2820163</v>
      </c>
      <c r="AC234" s="10">
        <v>0</v>
      </c>
      <c r="AD234" s="10">
        <v>0</v>
      </c>
      <c r="AE234" s="10">
        <v>0</v>
      </c>
      <c r="AF234" s="10">
        <v>213891</v>
      </c>
      <c r="AG234" s="10">
        <v>608704</v>
      </c>
      <c r="AH234" s="10">
        <f t="shared" si="98"/>
        <v>7497840.5399999991</v>
      </c>
      <c r="AI234" s="10">
        <v>41610047.539999999</v>
      </c>
      <c r="AJ234" s="10">
        <v>30142771</v>
      </c>
      <c r="AK234" s="10">
        <v>0</v>
      </c>
      <c r="AL234" s="10">
        <v>457876</v>
      </c>
      <c r="AM234" s="10">
        <v>2834357.5</v>
      </c>
      <c r="AN234" s="10">
        <v>0</v>
      </c>
      <c r="AO234" s="10">
        <v>0</v>
      </c>
      <c r="AP234" s="10">
        <v>101792.12</v>
      </c>
      <c r="AQ234" s="10">
        <v>216567</v>
      </c>
      <c r="AR234" s="10">
        <v>608798</v>
      </c>
      <c r="AS234" s="10">
        <f t="shared" si="78"/>
        <v>7497667.5399999917</v>
      </c>
      <c r="AT234" s="10">
        <v>41859829.159999996</v>
      </c>
      <c r="AU234" s="12">
        <v>262080</v>
      </c>
      <c r="AV234" s="12">
        <v>67273.338747654983</v>
      </c>
      <c r="AW234" s="12">
        <v>62415.875</v>
      </c>
      <c r="AX234" s="12">
        <f t="shared" si="99"/>
        <v>391769.21374765498</v>
      </c>
      <c r="AY234" s="12">
        <v>292902.79200000002</v>
      </c>
      <c r="AZ234" s="12">
        <v>80601.390010191884</v>
      </c>
      <c r="BA234" s="12">
        <v>81481.074999999997</v>
      </c>
      <c r="BB234" s="12">
        <f t="shared" si="100"/>
        <v>454985.25701019191</v>
      </c>
      <c r="BC234" s="12">
        <v>30822.792000000016</v>
      </c>
      <c r="BD234" s="12">
        <v>13328.051262536901</v>
      </c>
      <c r="BE234" s="12">
        <v>19065.200000000012</v>
      </c>
      <c r="BF234" s="12">
        <v>63216.043262536929</v>
      </c>
    </row>
    <row r="235" spans="1:58" x14ac:dyDescent="0.25">
      <c r="A235" s="7">
        <v>763</v>
      </c>
      <c r="B235" s="7">
        <v>1</v>
      </c>
      <c r="C235" s="7" t="s">
        <v>236</v>
      </c>
      <c r="D235" s="4">
        <v>6</v>
      </c>
      <c r="E235" s="10">
        <v>850</v>
      </c>
      <c r="F235" s="8">
        <f t="shared" si="79"/>
        <v>25073.25</v>
      </c>
      <c r="G235" s="8">
        <f t="shared" si="80"/>
        <v>19672.28</v>
      </c>
      <c r="H235" s="8">
        <f t="shared" si="81"/>
        <v>1624</v>
      </c>
      <c r="I235" s="8">
        <f t="shared" si="82"/>
        <v>-97.999999999738066</v>
      </c>
      <c r="J235" s="8">
        <f t="shared" si="83"/>
        <v>46271.530000000261</v>
      </c>
      <c r="K235" s="8">
        <f t="shared" si="84"/>
        <v>9128.3241161048845</v>
      </c>
      <c r="L235" s="8">
        <f t="shared" si="85"/>
        <v>55399.854116105147</v>
      </c>
      <c r="M235" s="8">
        <f t="shared" si="86"/>
        <v>54.437094117647362</v>
      </c>
      <c r="N235" s="8">
        <f t="shared" si="87"/>
        <v>23185</v>
      </c>
      <c r="O235" s="8">
        <f t="shared" si="88"/>
        <v>0</v>
      </c>
      <c r="P235" s="8">
        <f t="shared" si="89"/>
        <v>539</v>
      </c>
      <c r="Q235" s="8">
        <f t="shared" si="90"/>
        <v>1349.25</v>
      </c>
      <c r="R235" s="8">
        <f t="shared" si="91"/>
        <v>0</v>
      </c>
      <c r="S235" s="8">
        <f t="shared" si="92"/>
        <v>0</v>
      </c>
      <c r="T235" s="8">
        <f t="shared" si="93"/>
        <v>19672.28</v>
      </c>
      <c r="U235" s="8">
        <f t="shared" si="94"/>
        <v>1624</v>
      </c>
      <c r="V235" s="8">
        <f t="shared" si="95"/>
        <v>0</v>
      </c>
      <c r="W235" s="8">
        <f t="shared" si="96"/>
        <v>-98</v>
      </c>
      <c r="X235" s="8">
        <f t="shared" si="97"/>
        <v>46271.530000000261</v>
      </c>
      <c r="Y235" s="10">
        <v>5384484</v>
      </c>
      <c r="Z235" s="10">
        <v>0</v>
      </c>
      <c r="AA235" s="10">
        <v>125100</v>
      </c>
      <c r="AB235" s="10">
        <v>268069</v>
      </c>
      <c r="AC235" s="10">
        <v>0</v>
      </c>
      <c r="AD235" s="10">
        <v>17132</v>
      </c>
      <c r="AE235" s="10">
        <v>0</v>
      </c>
      <c r="AF235" s="10">
        <v>15106</v>
      </c>
      <c r="AG235" s="10">
        <v>133546</v>
      </c>
      <c r="AH235" s="10">
        <f t="shared" si="98"/>
        <v>506800.29999999981</v>
      </c>
      <c r="AI235" s="10">
        <v>6450237.2999999998</v>
      </c>
      <c r="AJ235" s="10">
        <v>5407669</v>
      </c>
      <c r="AK235" s="10">
        <v>0</v>
      </c>
      <c r="AL235" s="10">
        <v>125639</v>
      </c>
      <c r="AM235" s="10">
        <v>269418.25</v>
      </c>
      <c r="AN235" s="10">
        <v>0</v>
      </c>
      <c r="AO235" s="10">
        <v>17132</v>
      </c>
      <c r="AP235" s="10">
        <v>19672.28</v>
      </c>
      <c r="AQ235" s="10">
        <v>16730</v>
      </c>
      <c r="AR235" s="10">
        <v>133546</v>
      </c>
      <c r="AS235" s="10">
        <f t="shared" si="78"/>
        <v>506702.29999999981</v>
      </c>
      <c r="AT235" s="10">
        <v>6496508.8300000001</v>
      </c>
      <c r="AU235" s="12">
        <v>25200</v>
      </c>
      <c r="AV235" s="12">
        <v>7552.0398010394329</v>
      </c>
      <c r="AW235" s="12">
        <v>14458.25</v>
      </c>
      <c r="AX235" s="12">
        <f t="shared" si="99"/>
        <v>47210.289801039435</v>
      </c>
      <c r="AY235" s="12">
        <v>28163.73</v>
      </c>
      <c r="AZ235" s="12">
        <v>9048.2339171443236</v>
      </c>
      <c r="BA235" s="12">
        <v>19126.650000000001</v>
      </c>
      <c r="BB235" s="12">
        <f t="shared" si="100"/>
        <v>56338.613917144328</v>
      </c>
      <c r="BC235" s="12">
        <v>2963.7299999999996</v>
      </c>
      <c r="BD235" s="12">
        <v>1496.1941161048908</v>
      </c>
      <c r="BE235" s="12">
        <v>4668.3999999999942</v>
      </c>
      <c r="BF235" s="12">
        <v>9128.3241161048845</v>
      </c>
    </row>
    <row r="236" spans="1:58" x14ac:dyDescent="0.25">
      <c r="A236" s="7">
        <v>768</v>
      </c>
      <c r="B236" s="7">
        <v>1</v>
      </c>
      <c r="C236" s="7" t="s">
        <v>237</v>
      </c>
      <c r="D236" s="4">
        <v>6</v>
      </c>
      <c r="E236" s="10">
        <v>340</v>
      </c>
      <c r="F236" s="8">
        <f t="shared" si="79"/>
        <v>9871.75</v>
      </c>
      <c r="G236" s="8">
        <f t="shared" si="80"/>
        <v>7598.3199999999988</v>
      </c>
      <c r="H236" s="8">
        <f t="shared" si="81"/>
        <v>0</v>
      </c>
      <c r="I236" s="8">
        <f t="shared" si="82"/>
        <v>8.9999999998335625</v>
      </c>
      <c r="J236" s="8">
        <f t="shared" si="83"/>
        <v>17479.069999999832</v>
      </c>
      <c r="K236" s="8">
        <f t="shared" si="84"/>
        <v>4677.3141262862191</v>
      </c>
      <c r="L236" s="8">
        <f t="shared" si="85"/>
        <v>22156.384126286051</v>
      </c>
      <c r="M236" s="8">
        <f t="shared" si="86"/>
        <v>51.409029411764216</v>
      </c>
      <c r="N236" s="8">
        <f t="shared" si="87"/>
        <v>9140</v>
      </c>
      <c r="O236" s="8">
        <f t="shared" si="88"/>
        <v>0</v>
      </c>
      <c r="P236" s="8">
        <f t="shared" si="89"/>
        <v>372</v>
      </c>
      <c r="Q236" s="8">
        <f t="shared" si="90"/>
        <v>359.75</v>
      </c>
      <c r="R236" s="8">
        <f t="shared" si="91"/>
        <v>0</v>
      </c>
      <c r="S236" s="8">
        <f t="shared" si="92"/>
        <v>0</v>
      </c>
      <c r="T236" s="8">
        <f t="shared" si="93"/>
        <v>7598.3199999999988</v>
      </c>
      <c r="U236" s="8">
        <f t="shared" si="94"/>
        <v>0</v>
      </c>
      <c r="V236" s="8">
        <f t="shared" si="95"/>
        <v>9</v>
      </c>
      <c r="W236" s="8">
        <f t="shared" si="96"/>
        <v>0</v>
      </c>
      <c r="X236" s="8">
        <f t="shared" si="97"/>
        <v>17479.069999999832</v>
      </c>
      <c r="Y236" s="10">
        <v>2122674</v>
      </c>
      <c r="Z236" s="10">
        <v>0</v>
      </c>
      <c r="AA236" s="10">
        <v>86357</v>
      </c>
      <c r="AB236" s="10">
        <v>71475</v>
      </c>
      <c r="AC236" s="10">
        <v>0</v>
      </c>
      <c r="AD236" s="10">
        <v>123144</v>
      </c>
      <c r="AE236" s="10">
        <v>0</v>
      </c>
      <c r="AF236" s="10">
        <v>16857</v>
      </c>
      <c r="AG236" s="10">
        <v>40262</v>
      </c>
      <c r="AH236" s="10">
        <f t="shared" si="98"/>
        <v>480592.08999999985</v>
      </c>
      <c r="AI236" s="10">
        <v>2941361.09</v>
      </c>
      <c r="AJ236" s="10">
        <v>2131814</v>
      </c>
      <c r="AK236" s="10">
        <v>0</v>
      </c>
      <c r="AL236" s="10">
        <v>86729</v>
      </c>
      <c r="AM236" s="10">
        <v>71834.75</v>
      </c>
      <c r="AN236" s="10">
        <v>0</v>
      </c>
      <c r="AO236" s="10">
        <v>123144</v>
      </c>
      <c r="AP236" s="10">
        <v>7598.3199999999988</v>
      </c>
      <c r="AQ236" s="10">
        <v>16857</v>
      </c>
      <c r="AR236" s="10">
        <v>40271</v>
      </c>
      <c r="AS236" s="10">
        <f t="shared" si="78"/>
        <v>480592.08999999985</v>
      </c>
      <c r="AT236" s="10">
        <v>2958840.1599999997</v>
      </c>
      <c r="AU236" s="12">
        <v>18000</v>
      </c>
      <c r="AV236" s="12">
        <v>3201.9529274296856</v>
      </c>
      <c r="AW236" s="12">
        <v>4948.25</v>
      </c>
      <c r="AX236" s="12">
        <f t="shared" si="99"/>
        <v>26150.202927429687</v>
      </c>
      <c r="AY236" s="12">
        <v>20116.95</v>
      </c>
      <c r="AZ236" s="12">
        <v>3836.317053715904</v>
      </c>
      <c r="BA236" s="12">
        <v>6874.25</v>
      </c>
      <c r="BB236" s="12">
        <f t="shared" si="100"/>
        <v>30827.517053715907</v>
      </c>
      <c r="BC236" s="12">
        <v>2116.9500000000007</v>
      </c>
      <c r="BD236" s="12">
        <v>634.36412628621838</v>
      </c>
      <c r="BE236" s="12">
        <v>1926</v>
      </c>
      <c r="BF236" s="12">
        <v>4677.3141262862191</v>
      </c>
    </row>
    <row r="237" spans="1:58" x14ac:dyDescent="0.25">
      <c r="A237" s="7">
        <v>771</v>
      </c>
      <c r="B237" s="7">
        <v>1</v>
      </c>
      <c r="C237" s="7" t="s">
        <v>238</v>
      </c>
      <c r="D237" s="4">
        <v>6</v>
      </c>
      <c r="E237" s="10">
        <v>161</v>
      </c>
      <c r="F237" s="8">
        <f t="shared" si="79"/>
        <v>5131.75</v>
      </c>
      <c r="G237" s="8">
        <f t="shared" si="80"/>
        <v>5354.46</v>
      </c>
      <c r="H237" s="8">
        <f t="shared" si="81"/>
        <v>0</v>
      </c>
      <c r="I237" s="8">
        <f t="shared" si="82"/>
        <v>-3.7289282772690058E-11</v>
      </c>
      <c r="J237" s="8">
        <f t="shared" si="83"/>
        <v>10486.209999999963</v>
      </c>
      <c r="K237" s="8">
        <f t="shared" si="84"/>
        <v>4434.4983300252243</v>
      </c>
      <c r="L237" s="8">
        <f t="shared" si="85"/>
        <v>14920.708330025187</v>
      </c>
      <c r="M237" s="8">
        <f t="shared" si="86"/>
        <v>65.131739130434553</v>
      </c>
      <c r="N237" s="8">
        <f t="shared" si="87"/>
        <v>4370</v>
      </c>
      <c r="O237" s="8">
        <f t="shared" si="88"/>
        <v>0</v>
      </c>
      <c r="P237" s="8">
        <f t="shared" si="89"/>
        <v>293</v>
      </c>
      <c r="Q237" s="8">
        <f t="shared" si="90"/>
        <v>260.75</v>
      </c>
      <c r="R237" s="8">
        <f t="shared" si="91"/>
        <v>208</v>
      </c>
      <c r="S237" s="8">
        <f t="shared" si="92"/>
        <v>0</v>
      </c>
      <c r="T237" s="8">
        <f t="shared" si="93"/>
        <v>5354.46</v>
      </c>
      <c r="U237" s="8">
        <f t="shared" si="94"/>
        <v>0</v>
      </c>
      <c r="V237" s="8">
        <f t="shared" si="95"/>
        <v>0</v>
      </c>
      <c r="W237" s="8">
        <f t="shared" si="96"/>
        <v>0</v>
      </c>
      <c r="X237" s="8">
        <f t="shared" si="97"/>
        <v>10486.209999999963</v>
      </c>
      <c r="Y237" s="10">
        <v>1014889</v>
      </c>
      <c r="Z237" s="10">
        <v>0</v>
      </c>
      <c r="AA237" s="10">
        <v>67882</v>
      </c>
      <c r="AB237" s="10">
        <v>51806</v>
      </c>
      <c r="AC237" s="10">
        <v>43978</v>
      </c>
      <c r="AD237" s="10">
        <v>77777</v>
      </c>
      <c r="AE237" s="10">
        <v>0</v>
      </c>
      <c r="AF237" s="10">
        <v>0</v>
      </c>
      <c r="AG237" s="10">
        <v>8740</v>
      </c>
      <c r="AH237" s="10">
        <f t="shared" si="98"/>
        <v>661204.64999999991</v>
      </c>
      <c r="AI237" s="10">
        <v>1926276.65</v>
      </c>
      <c r="AJ237" s="10">
        <v>1019259</v>
      </c>
      <c r="AK237" s="10">
        <v>0</v>
      </c>
      <c r="AL237" s="10">
        <v>68175</v>
      </c>
      <c r="AM237" s="10">
        <v>52066.75</v>
      </c>
      <c r="AN237" s="10">
        <v>44186</v>
      </c>
      <c r="AO237" s="10">
        <v>77777</v>
      </c>
      <c r="AP237" s="10">
        <v>5354.46</v>
      </c>
      <c r="AQ237" s="10">
        <v>0</v>
      </c>
      <c r="AR237" s="10">
        <v>8740</v>
      </c>
      <c r="AS237" s="10">
        <f t="shared" si="78"/>
        <v>661204.64999999991</v>
      </c>
      <c r="AT237" s="10">
        <v>1936762.8599999999</v>
      </c>
      <c r="AU237" s="12">
        <v>18000</v>
      </c>
      <c r="AV237" s="12">
        <v>1988.4541958023249</v>
      </c>
      <c r="AW237" s="12">
        <v>2874.25</v>
      </c>
      <c r="AX237" s="12">
        <f t="shared" si="99"/>
        <v>22862.704195802326</v>
      </c>
      <c r="AY237" s="12">
        <v>20116.95</v>
      </c>
      <c r="AZ237" s="12">
        <v>2382.4025258275501</v>
      </c>
      <c r="BA237" s="12">
        <v>4797.8500000000004</v>
      </c>
      <c r="BB237" s="12">
        <f t="shared" si="100"/>
        <v>27297.202525827553</v>
      </c>
      <c r="BC237" s="12">
        <v>2116.9500000000007</v>
      </c>
      <c r="BD237" s="12">
        <v>393.94833002522523</v>
      </c>
      <c r="BE237" s="12">
        <v>1923.5999999999985</v>
      </c>
      <c r="BF237" s="12">
        <v>4434.4983300252243</v>
      </c>
    </row>
    <row r="238" spans="1:58" x14ac:dyDescent="0.25">
      <c r="A238" s="7">
        <v>775</v>
      </c>
      <c r="B238" s="7">
        <v>1</v>
      </c>
      <c r="C238" s="7" t="s">
        <v>239</v>
      </c>
      <c r="D238" s="4">
        <v>6</v>
      </c>
      <c r="E238" s="10">
        <v>594</v>
      </c>
      <c r="F238" s="8">
        <f t="shared" si="79"/>
        <v>18848.25</v>
      </c>
      <c r="G238" s="8">
        <f t="shared" si="80"/>
        <v>15365.76</v>
      </c>
      <c r="H238" s="8">
        <f t="shared" si="81"/>
        <v>0</v>
      </c>
      <c r="I238" s="8">
        <f t="shared" si="82"/>
        <v>0.9999999997762643</v>
      </c>
      <c r="J238" s="8">
        <f t="shared" si="83"/>
        <v>34215.009999999776</v>
      </c>
      <c r="K238" s="8">
        <f t="shared" si="84"/>
        <v>11072.257794394774</v>
      </c>
      <c r="L238" s="8">
        <f t="shared" si="85"/>
        <v>45287.267794394553</v>
      </c>
      <c r="M238" s="8">
        <f t="shared" si="86"/>
        <v>57.601026936026557</v>
      </c>
      <c r="N238" s="8">
        <f t="shared" si="87"/>
        <v>15632</v>
      </c>
      <c r="O238" s="8">
        <f t="shared" si="88"/>
        <v>41</v>
      </c>
      <c r="P238" s="8">
        <f t="shared" si="89"/>
        <v>804</v>
      </c>
      <c r="Q238" s="8">
        <f t="shared" si="90"/>
        <v>1483.25</v>
      </c>
      <c r="R238" s="8">
        <f t="shared" si="91"/>
        <v>888</v>
      </c>
      <c r="S238" s="8">
        <f t="shared" si="92"/>
        <v>0</v>
      </c>
      <c r="T238" s="8">
        <f t="shared" si="93"/>
        <v>15365.76</v>
      </c>
      <c r="U238" s="8">
        <f t="shared" si="94"/>
        <v>0</v>
      </c>
      <c r="V238" s="8">
        <f t="shared" si="95"/>
        <v>1</v>
      </c>
      <c r="W238" s="8">
        <f t="shared" si="96"/>
        <v>0</v>
      </c>
      <c r="X238" s="8">
        <f t="shared" si="97"/>
        <v>34215.009999999776</v>
      </c>
      <c r="Y238" s="10">
        <v>3630492</v>
      </c>
      <c r="Z238" s="10">
        <v>9592</v>
      </c>
      <c r="AA238" s="10">
        <v>186555</v>
      </c>
      <c r="AB238" s="10">
        <v>294692</v>
      </c>
      <c r="AC238" s="10">
        <v>187292</v>
      </c>
      <c r="AD238" s="10">
        <v>118596</v>
      </c>
      <c r="AE238" s="10">
        <v>0</v>
      </c>
      <c r="AF238" s="10">
        <v>15559</v>
      </c>
      <c r="AG238" s="10">
        <v>88496</v>
      </c>
      <c r="AH238" s="10">
        <f t="shared" si="98"/>
        <v>449944.16999999993</v>
      </c>
      <c r="AI238" s="10">
        <v>4981218.17</v>
      </c>
      <c r="AJ238" s="10">
        <v>3646124</v>
      </c>
      <c r="AK238" s="10">
        <v>9633</v>
      </c>
      <c r="AL238" s="10">
        <v>187359</v>
      </c>
      <c r="AM238" s="10">
        <v>296175.25</v>
      </c>
      <c r="AN238" s="10">
        <v>188180</v>
      </c>
      <c r="AO238" s="10">
        <v>118596</v>
      </c>
      <c r="AP238" s="10">
        <v>15365.76</v>
      </c>
      <c r="AQ238" s="10">
        <v>15559</v>
      </c>
      <c r="AR238" s="10">
        <v>88497</v>
      </c>
      <c r="AS238" s="10">
        <f t="shared" si="78"/>
        <v>449944.16999999993</v>
      </c>
      <c r="AT238" s="10">
        <v>5015433.18</v>
      </c>
      <c r="AU238" s="12">
        <v>26400</v>
      </c>
      <c r="AV238" s="12">
        <v>8426.2853672076144</v>
      </c>
      <c r="AW238" s="12">
        <v>11182.375</v>
      </c>
      <c r="AX238" s="12">
        <f t="shared" si="99"/>
        <v>46008.660367207616</v>
      </c>
      <c r="AY238" s="12">
        <v>29504.86</v>
      </c>
      <c r="AZ238" s="12">
        <v>10095.683161602388</v>
      </c>
      <c r="BA238" s="12">
        <v>17480.375</v>
      </c>
      <c r="BB238" s="12">
        <f t="shared" si="100"/>
        <v>57080.918161602385</v>
      </c>
      <c r="BC238" s="12">
        <v>3104.8600000000006</v>
      </c>
      <c r="BD238" s="12">
        <v>1669.3977943947739</v>
      </c>
      <c r="BE238" s="12">
        <v>6298</v>
      </c>
      <c r="BF238" s="12">
        <v>11072.257794394774</v>
      </c>
    </row>
    <row r="239" spans="1:58" x14ac:dyDescent="0.25">
      <c r="A239" s="7">
        <v>777</v>
      </c>
      <c r="B239" s="7">
        <v>1</v>
      </c>
      <c r="C239" s="7" t="s">
        <v>240</v>
      </c>
      <c r="D239" s="4">
        <v>6</v>
      </c>
      <c r="E239" s="10">
        <v>860</v>
      </c>
      <c r="F239" s="8">
        <f t="shared" si="79"/>
        <v>26358</v>
      </c>
      <c r="G239" s="8">
        <f t="shared" si="80"/>
        <v>20952.759999999998</v>
      </c>
      <c r="H239" s="8">
        <f t="shared" si="81"/>
        <v>0</v>
      </c>
      <c r="I239" s="8">
        <f t="shared" si="82"/>
        <v>26.999999999778083</v>
      </c>
      <c r="J239" s="8">
        <f t="shared" si="83"/>
        <v>47337.759999999776</v>
      </c>
      <c r="K239" s="8">
        <f t="shared" si="84"/>
        <v>10198.993226407058</v>
      </c>
      <c r="L239" s="8">
        <f t="shared" si="85"/>
        <v>57536.753226406836</v>
      </c>
      <c r="M239" s="8">
        <f t="shared" si="86"/>
        <v>55.043906976743926</v>
      </c>
      <c r="N239" s="8">
        <f t="shared" si="87"/>
        <v>23540</v>
      </c>
      <c r="O239" s="8">
        <f t="shared" si="88"/>
        <v>24</v>
      </c>
      <c r="P239" s="8">
        <f t="shared" si="89"/>
        <v>1042</v>
      </c>
      <c r="Q239" s="8">
        <f t="shared" si="90"/>
        <v>1592</v>
      </c>
      <c r="R239" s="8">
        <f t="shared" si="91"/>
        <v>160</v>
      </c>
      <c r="S239" s="8">
        <f t="shared" si="92"/>
        <v>0</v>
      </c>
      <c r="T239" s="8">
        <f t="shared" si="93"/>
        <v>20952.759999999998</v>
      </c>
      <c r="U239" s="8">
        <f t="shared" si="94"/>
        <v>0</v>
      </c>
      <c r="V239" s="8">
        <f t="shared" si="95"/>
        <v>27</v>
      </c>
      <c r="W239" s="8">
        <f t="shared" si="96"/>
        <v>0</v>
      </c>
      <c r="X239" s="8">
        <f t="shared" si="97"/>
        <v>47337.759999999776</v>
      </c>
      <c r="Y239" s="10">
        <v>5466930</v>
      </c>
      <c r="Z239" s="10">
        <v>5527</v>
      </c>
      <c r="AA239" s="10">
        <v>242105</v>
      </c>
      <c r="AB239" s="10">
        <v>316299</v>
      </c>
      <c r="AC239" s="10">
        <v>33842</v>
      </c>
      <c r="AD239" s="10">
        <v>9818</v>
      </c>
      <c r="AE239" s="10">
        <v>0</v>
      </c>
      <c r="AF239" s="10">
        <v>15081</v>
      </c>
      <c r="AG239" s="10">
        <v>97015</v>
      </c>
      <c r="AH239" s="10">
        <f t="shared" si="98"/>
        <v>1456574.1399999997</v>
      </c>
      <c r="AI239" s="10">
        <v>7643191.1399999997</v>
      </c>
      <c r="AJ239" s="10">
        <v>5490470</v>
      </c>
      <c r="AK239" s="10">
        <v>5551</v>
      </c>
      <c r="AL239" s="10">
        <v>243147</v>
      </c>
      <c r="AM239" s="10">
        <v>317891</v>
      </c>
      <c r="AN239" s="10">
        <v>34002</v>
      </c>
      <c r="AO239" s="10">
        <v>9818</v>
      </c>
      <c r="AP239" s="10">
        <v>20952.759999999998</v>
      </c>
      <c r="AQ239" s="10">
        <v>15081</v>
      </c>
      <c r="AR239" s="10">
        <v>97042</v>
      </c>
      <c r="AS239" s="10">
        <f t="shared" si="78"/>
        <v>1456574.1399999997</v>
      </c>
      <c r="AT239" s="10">
        <v>7690528.8999999994</v>
      </c>
      <c r="AU239" s="12">
        <v>33120</v>
      </c>
      <c r="AV239" s="12">
        <v>9453.9938802895995</v>
      </c>
      <c r="AW239" s="12">
        <v>12184.125</v>
      </c>
      <c r="AX239" s="12">
        <f t="shared" si="99"/>
        <v>54758.118880289599</v>
      </c>
      <c r="AY239" s="12">
        <v>37015.188000000002</v>
      </c>
      <c r="AZ239" s="12">
        <v>11326.999106696652</v>
      </c>
      <c r="BA239" s="12">
        <v>16614.924999999999</v>
      </c>
      <c r="BB239" s="12">
        <f t="shared" si="100"/>
        <v>64957.112106696659</v>
      </c>
      <c r="BC239" s="12">
        <v>3895.1880000000019</v>
      </c>
      <c r="BD239" s="12">
        <v>1873.0052264070528</v>
      </c>
      <c r="BE239" s="12">
        <v>4430.8000000000029</v>
      </c>
      <c r="BF239" s="12">
        <v>10198.993226407058</v>
      </c>
    </row>
    <row r="240" spans="1:58" x14ac:dyDescent="0.25">
      <c r="A240" s="7">
        <v>786</v>
      </c>
      <c r="B240" s="7">
        <v>1</v>
      </c>
      <c r="C240" s="7" t="s">
        <v>241</v>
      </c>
      <c r="D240" s="4">
        <v>6</v>
      </c>
      <c r="E240" s="10">
        <v>501</v>
      </c>
      <c r="F240" s="8">
        <f t="shared" si="79"/>
        <v>16158.25</v>
      </c>
      <c r="G240" s="8">
        <f t="shared" si="80"/>
        <v>12080</v>
      </c>
      <c r="H240" s="8">
        <f t="shared" si="81"/>
        <v>0</v>
      </c>
      <c r="I240" s="8">
        <f t="shared" si="82"/>
        <v>7</v>
      </c>
      <c r="J240" s="8">
        <f t="shared" si="83"/>
        <v>28245.25</v>
      </c>
      <c r="K240" s="8">
        <f t="shared" si="84"/>
        <v>7161.4666080358347</v>
      </c>
      <c r="L240" s="8">
        <f t="shared" si="85"/>
        <v>35406.716608035837</v>
      </c>
      <c r="M240" s="8">
        <f t="shared" si="86"/>
        <v>56.377744510978047</v>
      </c>
      <c r="N240" s="8">
        <f t="shared" si="87"/>
        <v>13770</v>
      </c>
      <c r="O240" s="8">
        <f t="shared" si="88"/>
        <v>0</v>
      </c>
      <c r="P240" s="8">
        <f t="shared" si="89"/>
        <v>638</v>
      </c>
      <c r="Q240" s="8">
        <f t="shared" si="90"/>
        <v>1750.25</v>
      </c>
      <c r="R240" s="8">
        <f t="shared" si="91"/>
        <v>0</v>
      </c>
      <c r="S240" s="8">
        <f t="shared" si="92"/>
        <v>0</v>
      </c>
      <c r="T240" s="8">
        <f t="shared" si="93"/>
        <v>12080</v>
      </c>
      <c r="U240" s="8">
        <f t="shared" si="94"/>
        <v>0</v>
      </c>
      <c r="V240" s="8">
        <f t="shared" si="95"/>
        <v>7</v>
      </c>
      <c r="W240" s="8">
        <f t="shared" si="96"/>
        <v>0</v>
      </c>
      <c r="X240" s="8">
        <f t="shared" si="97"/>
        <v>28245.25</v>
      </c>
      <c r="Y240" s="10">
        <v>3197945</v>
      </c>
      <c r="Z240" s="10">
        <v>0</v>
      </c>
      <c r="AA240" s="10">
        <v>148256</v>
      </c>
      <c r="AB240" s="10">
        <v>347740</v>
      </c>
      <c r="AC240" s="10">
        <v>0</v>
      </c>
      <c r="AD240" s="10">
        <v>127720</v>
      </c>
      <c r="AE240" s="10">
        <v>0</v>
      </c>
      <c r="AF240" s="10">
        <v>0</v>
      </c>
      <c r="AG240" s="10">
        <v>69631</v>
      </c>
      <c r="AH240" s="10">
        <f t="shared" si="98"/>
        <v>520798.5700000003</v>
      </c>
      <c r="AI240" s="10">
        <v>4412090.57</v>
      </c>
      <c r="AJ240" s="10">
        <v>3211715</v>
      </c>
      <c r="AK240" s="10">
        <v>0</v>
      </c>
      <c r="AL240" s="10">
        <v>148894</v>
      </c>
      <c r="AM240" s="10">
        <v>349490.25</v>
      </c>
      <c r="AN240" s="10">
        <v>0</v>
      </c>
      <c r="AO240" s="10">
        <v>127720</v>
      </c>
      <c r="AP240" s="10">
        <v>12080</v>
      </c>
      <c r="AQ240" s="10">
        <v>0</v>
      </c>
      <c r="AR240" s="10">
        <v>69638</v>
      </c>
      <c r="AS240" s="10">
        <f t="shared" si="78"/>
        <v>520798.5700000003</v>
      </c>
      <c r="AT240" s="10">
        <v>4440335.82</v>
      </c>
      <c r="AU240" s="12">
        <v>18000</v>
      </c>
      <c r="AV240" s="12">
        <v>5142.9815790608809</v>
      </c>
      <c r="AW240" s="12">
        <v>7061.875</v>
      </c>
      <c r="AX240" s="12">
        <f t="shared" si="99"/>
        <v>30204.856579060881</v>
      </c>
      <c r="AY240" s="12">
        <v>20116.95</v>
      </c>
      <c r="AZ240" s="12">
        <v>6161.8981870967164</v>
      </c>
      <c r="BA240" s="12">
        <v>11087.475</v>
      </c>
      <c r="BB240" s="12">
        <f t="shared" si="100"/>
        <v>37366.323187096714</v>
      </c>
      <c r="BC240" s="12">
        <v>2116.9500000000007</v>
      </c>
      <c r="BD240" s="12">
        <v>1018.9166080358355</v>
      </c>
      <c r="BE240" s="12">
        <v>4025.5999999999985</v>
      </c>
      <c r="BF240" s="12">
        <v>7161.4666080358347</v>
      </c>
    </row>
    <row r="241" spans="1:58" x14ac:dyDescent="0.25">
      <c r="A241" s="7">
        <v>787</v>
      </c>
      <c r="B241" s="7">
        <v>1</v>
      </c>
      <c r="C241" s="7" t="s">
        <v>242</v>
      </c>
      <c r="D241" s="4">
        <v>6</v>
      </c>
      <c r="E241" s="10">
        <v>391</v>
      </c>
      <c r="F241" s="8">
        <f t="shared" si="79"/>
        <v>12812.25</v>
      </c>
      <c r="G241" s="8">
        <f t="shared" si="80"/>
        <v>12092.08</v>
      </c>
      <c r="H241" s="8">
        <f t="shared" si="81"/>
        <v>0</v>
      </c>
      <c r="I241" s="8">
        <f t="shared" si="82"/>
        <v>7.4578565545380116E-11</v>
      </c>
      <c r="J241" s="8">
        <f t="shared" si="83"/>
        <v>24904.330000000075</v>
      </c>
      <c r="K241" s="8">
        <f t="shared" si="84"/>
        <v>7460.7600488115322</v>
      </c>
      <c r="L241" s="8">
        <f t="shared" si="85"/>
        <v>32365.090048811606</v>
      </c>
      <c r="M241" s="8">
        <f t="shared" si="86"/>
        <v>63.693938618926019</v>
      </c>
      <c r="N241" s="8">
        <f t="shared" si="87"/>
        <v>10630</v>
      </c>
      <c r="O241" s="8">
        <f t="shared" si="88"/>
        <v>112</v>
      </c>
      <c r="P241" s="8">
        <f t="shared" si="89"/>
        <v>513</v>
      </c>
      <c r="Q241" s="8">
        <f t="shared" si="90"/>
        <v>1557.25</v>
      </c>
      <c r="R241" s="8">
        <f t="shared" si="91"/>
        <v>0</v>
      </c>
      <c r="S241" s="8">
        <f t="shared" si="92"/>
        <v>0</v>
      </c>
      <c r="T241" s="8">
        <f t="shared" si="93"/>
        <v>12092.08</v>
      </c>
      <c r="U241" s="8">
        <f t="shared" si="94"/>
        <v>0</v>
      </c>
      <c r="V241" s="8">
        <f t="shared" si="95"/>
        <v>0</v>
      </c>
      <c r="W241" s="8">
        <f t="shared" si="96"/>
        <v>0</v>
      </c>
      <c r="X241" s="8">
        <f t="shared" si="97"/>
        <v>24904.330000000075</v>
      </c>
      <c r="Y241" s="10">
        <v>2468711</v>
      </c>
      <c r="Z241" s="10">
        <v>26011</v>
      </c>
      <c r="AA241" s="10">
        <v>119023</v>
      </c>
      <c r="AB241" s="10">
        <v>309394</v>
      </c>
      <c r="AC241" s="10">
        <v>0</v>
      </c>
      <c r="AD241" s="10">
        <v>128858</v>
      </c>
      <c r="AE241" s="10">
        <v>0</v>
      </c>
      <c r="AF241" s="10">
        <v>0</v>
      </c>
      <c r="AG241" s="10">
        <v>61229</v>
      </c>
      <c r="AH241" s="10">
        <f t="shared" si="98"/>
        <v>241807.83000000007</v>
      </c>
      <c r="AI241" s="10">
        <v>3355033.83</v>
      </c>
      <c r="AJ241" s="10">
        <v>2479341</v>
      </c>
      <c r="AK241" s="10">
        <v>26123</v>
      </c>
      <c r="AL241" s="10">
        <v>119536</v>
      </c>
      <c r="AM241" s="10">
        <v>310951.25</v>
      </c>
      <c r="AN241" s="10">
        <v>0</v>
      </c>
      <c r="AO241" s="10">
        <v>128858</v>
      </c>
      <c r="AP241" s="10">
        <v>12092.08</v>
      </c>
      <c r="AQ241" s="10">
        <v>0</v>
      </c>
      <c r="AR241" s="10">
        <v>61229</v>
      </c>
      <c r="AS241" s="10">
        <f t="shared" si="78"/>
        <v>241807.83000000007</v>
      </c>
      <c r="AT241" s="10">
        <v>3379938.16</v>
      </c>
      <c r="AU241" s="12">
        <v>20280</v>
      </c>
      <c r="AV241" s="12">
        <v>5294.1362388761854</v>
      </c>
      <c r="AW241" s="12">
        <v>8124.125</v>
      </c>
      <c r="AX241" s="12">
        <f t="shared" si="99"/>
        <v>33698.261238876185</v>
      </c>
      <c r="AY241" s="12">
        <v>22665.097000000002</v>
      </c>
      <c r="AZ241" s="12">
        <v>6342.9992876877131</v>
      </c>
      <c r="BA241" s="12">
        <v>12150.924999999999</v>
      </c>
      <c r="BB241" s="12">
        <f t="shared" si="100"/>
        <v>41159.021287687719</v>
      </c>
      <c r="BC241" s="12">
        <v>2385.0970000000016</v>
      </c>
      <c r="BD241" s="12">
        <v>1048.8630488115277</v>
      </c>
      <c r="BE241" s="12">
        <v>4026.8000000000029</v>
      </c>
      <c r="BF241" s="12">
        <v>7460.7600488115322</v>
      </c>
    </row>
    <row r="242" spans="1:58" x14ac:dyDescent="0.25">
      <c r="A242" s="7">
        <v>801</v>
      </c>
      <c r="B242" s="7">
        <v>1</v>
      </c>
      <c r="C242" s="7" t="s">
        <v>243</v>
      </c>
      <c r="D242" s="4">
        <v>6</v>
      </c>
      <c r="E242" s="10">
        <v>94</v>
      </c>
      <c r="F242" s="8">
        <f t="shared" si="79"/>
        <v>3942.5</v>
      </c>
      <c r="G242" s="8">
        <f t="shared" si="80"/>
        <v>4176.6600000000008</v>
      </c>
      <c r="H242" s="8">
        <f t="shared" si="81"/>
        <v>0</v>
      </c>
      <c r="I242" s="8">
        <f t="shared" si="82"/>
        <v>3.0000000001482476</v>
      </c>
      <c r="J242" s="8">
        <f t="shared" si="83"/>
        <v>8122.160000000149</v>
      </c>
      <c r="K242" s="8">
        <f t="shared" si="84"/>
        <v>3235.2892452050419</v>
      </c>
      <c r="L242" s="8">
        <f t="shared" si="85"/>
        <v>11357.449245205191</v>
      </c>
      <c r="M242" s="8">
        <f t="shared" si="86"/>
        <v>86.405957446810092</v>
      </c>
      <c r="N242" s="8">
        <f t="shared" si="87"/>
        <v>2425</v>
      </c>
      <c r="O242" s="8">
        <f t="shared" si="88"/>
        <v>0</v>
      </c>
      <c r="P242" s="8">
        <f t="shared" si="89"/>
        <v>121</v>
      </c>
      <c r="Q242" s="8">
        <f t="shared" si="90"/>
        <v>699.5</v>
      </c>
      <c r="R242" s="8">
        <f t="shared" si="91"/>
        <v>697</v>
      </c>
      <c r="S242" s="8">
        <f t="shared" si="92"/>
        <v>0</v>
      </c>
      <c r="T242" s="8">
        <f t="shared" si="93"/>
        <v>4176.6600000000008</v>
      </c>
      <c r="U242" s="8">
        <f t="shared" si="94"/>
        <v>0</v>
      </c>
      <c r="V242" s="8">
        <f t="shared" si="95"/>
        <v>3</v>
      </c>
      <c r="W242" s="8">
        <f t="shared" si="96"/>
        <v>0</v>
      </c>
      <c r="X242" s="8">
        <f t="shared" si="97"/>
        <v>8122.160000000149</v>
      </c>
      <c r="Y242" s="10">
        <v>563182</v>
      </c>
      <c r="Z242" s="10">
        <v>0</v>
      </c>
      <c r="AA242" s="10">
        <v>27976</v>
      </c>
      <c r="AB242" s="10">
        <v>138977</v>
      </c>
      <c r="AC242" s="10">
        <v>147150</v>
      </c>
      <c r="AD242" s="10">
        <v>47436</v>
      </c>
      <c r="AE242" s="10">
        <v>0</v>
      </c>
      <c r="AF242" s="10">
        <v>0</v>
      </c>
      <c r="AG242" s="10">
        <v>8605</v>
      </c>
      <c r="AH242" s="10">
        <f t="shared" si="98"/>
        <v>173180.80000000005</v>
      </c>
      <c r="AI242" s="10">
        <v>1106506.8</v>
      </c>
      <c r="AJ242" s="10">
        <v>565607</v>
      </c>
      <c r="AK242" s="10">
        <v>0</v>
      </c>
      <c r="AL242" s="10">
        <v>28097</v>
      </c>
      <c r="AM242" s="10">
        <v>139676.5</v>
      </c>
      <c r="AN242" s="10">
        <v>147847</v>
      </c>
      <c r="AO242" s="10">
        <v>47436</v>
      </c>
      <c r="AP242" s="10">
        <v>4176.6600000000008</v>
      </c>
      <c r="AQ242" s="10">
        <v>0</v>
      </c>
      <c r="AR242" s="10">
        <v>8608</v>
      </c>
      <c r="AS242" s="10">
        <f t="shared" si="78"/>
        <v>173180.80000000016</v>
      </c>
      <c r="AT242" s="10">
        <v>1114628.9600000002</v>
      </c>
      <c r="AU242" s="12">
        <v>18000</v>
      </c>
      <c r="AV242" s="12">
        <v>1483.6583401724365</v>
      </c>
      <c r="AW242" s="12">
        <v>2129.75</v>
      </c>
      <c r="AX242" s="12">
        <f t="shared" si="99"/>
        <v>21613.408340172435</v>
      </c>
      <c r="AY242" s="12">
        <v>20116.95</v>
      </c>
      <c r="AZ242" s="12">
        <v>1777.597585377476</v>
      </c>
      <c r="BA242" s="12">
        <v>2954.15</v>
      </c>
      <c r="BB242" s="12">
        <f t="shared" si="100"/>
        <v>24848.697585377478</v>
      </c>
      <c r="BC242" s="12">
        <v>2116.9500000000007</v>
      </c>
      <c r="BD242" s="12">
        <v>293.93924520503947</v>
      </c>
      <c r="BE242" s="12">
        <v>824.40000000000146</v>
      </c>
      <c r="BF242" s="12">
        <v>3235.2892452050419</v>
      </c>
    </row>
    <row r="243" spans="1:58" x14ac:dyDescent="0.25">
      <c r="A243" s="7">
        <v>803</v>
      </c>
      <c r="B243" s="7">
        <v>1</v>
      </c>
      <c r="C243" s="7" t="s">
        <v>244</v>
      </c>
      <c r="D243" s="4">
        <v>6</v>
      </c>
      <c r="E243" s="10">
        <v>352</v>
      </c>
      <c r="F243" s="8">
        <f t="shared" si="79"/>
        <v>12418.5</v>
      </c>
      <c r="G243" s="8">
        <f t="shared" si="80"/>
        <v>10911.26</v>
      </c>
      <c r="H243" s="8">
        <f t="shared" si="81"/>
        <v>0</v>
      </c>
      <c r="I243" s="8">
        <f t="shared" si="82"/>
        <v>14.999999999776264</v>
      </c>
      <c r="J243" s="8">
        <f t="shared" si="83"/>
        <v>23344.759999999776</v>
      </c>
      <c r="K243" s="8">
        <f t="shared" si="84"/>
        <v>5405.9762360962741</v>
      </c>
      <c r="L243" s="8">
        <f t="shared" si="85"/>
        <v>28750.736236096051</v>
      </c>
      <c r="M243" s="8">
        <f t="shared" si="86"/>
        <v>66.320340909090277</v>
      </c>
      <c r="N243" s="8">
        <f t="shared" si="87"/>
        <v>9357</v>
      </c>
      <c r="O243" s="8">
        <f t="shared" si="88"/>
        <v>410</v>
      </c>
      <c r="P243" s="8">
        <f t="shared" si="89"/>
        <v>581</v>
      </c>
      <c r="Q243" s="8">
        <f t="shared" si="90"/>
        <v>663.5</v>
      </c>
      <c r="R243" s="8">
        <f t="shared" si="91"/>
        <v>1407</v>
      </c>
      <c r="S243" s="8">
        <f t="shared" si="92"/>
        <v>0</v>
      </c>
      <c r="T243" s="8">
        <f t="shared" si="93"/>
        <v>10911.26</v>
      </c>
      <c r="U243" s="8">
        <f t="shared" si="94"/>
        <v>0</v>
      </c>
      <c r="V243" s="8">
        <f t="shared" si="95"/>
        <v>15</v>
      </c>
      <c r="W243" s="8">
        <f t="shared" si="96"/>
        <v>0</v>
      </c>
      <c r="X243" s="8">
        <f t="shared" si="97"/>
        <v>23344.759999999776</v>
      </c>
      <c r="Y243" s="10">
        <v>2173186</v>
      </c>
      <c r="Z243" s="10">
        <v>95265</v>
      </c>
      <c r="AA243" s="10">
        <v>134952</v>
      </c>
      <c r="AB243" s="10">
        <v>131824</v>
      </c>
      <c r="AC243" s="10">
        <v>296831</v>
      </c>
      <c r="AD243" s="10">
        <v>124229</v>
      </c>
      <c r="AE243" s="10">
        <v>0</v>
      </c>
      <c r="AF243" s="10">
        <v>16587</v>
      </c>
      <c r="AG243" s="10">
        <v>31686</v>
      </c>
      <c r="AH243" s="10">
        <f t="shared" si="98"/>
        <v>703146.94</v>
      </c>
      <c r="AI243" s="10">
        <v>3707706.94</v>
      </c>
      <c r="AJ243" s="10">
        <v>2182543</v>
      </c>
      <c r="AK243" s="10">
        <v>95675</v>
      </c>
      <c r="AL243" s="10">
        <v>135533</v>
      </c>
      <c r="AM243" s="10">
        <v>132487.5</v>
      </c>
      <c r="AN243" s="10">
        <v>298238</v>
      </c>
      <c r="AO243" s="10">
        <v>124229</v>
      </c>
      <c r="AP243" s="10">
        <v>10911.26</v>
      </c>
      <c r="AQ243" s="10">
        <v>16587</v>
      </c>
      <c r="AR243" s="10">
        <v>31701</v>
      </c>
      <c r="AS243" s="10">
        <f t="shared" si="78"/>
        <v>703146.94</v>
      </c>
      <c r="AT243" s="10">
        <v>3731051.6999999997</v>
      </c>
      <c r="AU243" s="12">
        <v>18000</v>
      </c>
      <c r="AV243" s="12">
        <v>4196.6239266959437</v>
      </c>
      <c r="AW243" s="12">
        <v>6987.75</v>
      </c>
      <c r="AX243" s="12">
        <f t="shared" si="99"/>
        <v>29184.373926695946</v>
      </c>
      <c r="AY243" s="12">
        <v>20116.95</v>
      </c>
      <c r="AZ243" s="12">
        <v>5028.0501627922185</v>
      </c>
      <c r="BA243" s="12">
        <v>9445.35</v>
      </c>
      <c r="BB243" s="12">
        <f t="shared" si="100"/>
        <v>34590.350162792216</v>
      </c>
      <c r="BC243" s="12">
        <v>2116.9500000000007</v>
      </c>
      <c r="BD243" s="12">
        <v>831.42623609627481</v>
      </c>
      <c r="BE243" s="12">
        <v>2457.5999999999985</v>
      </c>
      <c r="BF243" s="12">
        <v>5405.9762360962741</v>
      </c>
    </row>
    <row r="244" spans="1:58" x14ac:dyDescent="0.25">
      <c r="A244" s="7">
        <v>811</v>
      </c>
      <c r="B244" s="7">
        <v>1</v>
      </c>
      <c r="C244" s="7" t="s">
        <v>245</v>
      </c>
      <c r="D244" s="4">
        <v>6</v>
      </c>
      <c r="E244" s="10">
        <v>562</v>
      </c>
      <c r="F244" s="8">
        <f t="shared" si="79"/>
        <v>17498.75</v>
      </c>
      <c r="G244" s="8">
        <f t="shared" si="80"/>
        <v>16468.060000000001</v>
      </c>
      <c r="H244" s="8">
        <f t="shared" si="81"/>
        <v>0</v>
      </c>
      <c r="I244" s="8">
        <f t="shared" si="82"/>
        <v>15.999999999588908</v>
      </c>
      <c r="J244" s="8">
        <f t="shared" si="83"/>
        <v>33982.80999999959</v>
      </c>
      <c r="K244" s="8">
        <f t="shared" si="84"/>
        <v>7489.4474051561901</v>
      </c>
      <c r="L244" s="8">
        <f t="shared" si="85"/>
        <v>41472.257405155782</v>
      </c>
      <c r="M244" s="8">
        <f t="shared" si="86"/>
        <v>60.467633451956566</v>
      </c>
      <c r="N244" s="8">
        <f t="shared" si="87"/>
        <v>15545</v>
      </c>
      <c r="O244" s="8">
        <f t="shared" si="88"/>
        <v>149</v>
      </c>
      <c r="P244" s="8">
        <f t="shared" si="89"/>
        <v>455</v>
      </c>
      <c r="Q244" s="8">
        <f t="shared" si="90"/>
        <v>1023.75</v>
      </c>
      <c r="R244" s="8">
        <f t="shared" si="91"/>
        <v>326</v>
      </c>
      <c r="S244" s="8">
        <f t="shared" si="92"/>
        <v>0</v>
      </c>
      <c r="T244" s="8">
        <f t="shared" si="93"/>
        <v>16468.060000000001</v>
      </c>
      <c r="U244" s="8">
        <f t="shared" si="94"/>
        <v>0</v>
      </c>
      <c r="V244" s="8">
        <f t="shared" si="95"/>
        <v>16</v>
      </c>
      <c r="W244" s="8">
        <f t="shared" si="96"/>
        <v>-9.3132257461547852E-10</v>
      </c>
      <c r="X244" s="8">
        <f t="shared" si="97"/>
        <v>33982.80999999959</v>
      </c>
      <c r="Y244" s="10">
        <v>3610171</v>
      </c>
      <c r="Z244" s="10">
        <v>34790</v>
      </c>
      <c r="AA244" s="10">
        <v>105474</v>
      </c>
      <c r="AB244" s="10">
        <v>203399</v>
      </c>
      <c r="AC244" s="10">
        <v>68709</v>
      </c>
      <c r="AD244" s="10">
        <v>119166</v>
      </c>
      <c r="AE244" s="10">
        <v>0</v>
      </c>
      <c r="AF244" s="10">
        <v>15656</v>
      </c>
      <c r="AG244" s="10">
        <v>65652</v>
      </c>
      <c r="AH244" s="10">
        <f t="shared" si="98"/>
        <v>871133.4299999997</v>
      </c>
      <c r="AI244" s="10">
        <v>5094150.43</v>
      </c>
      <c r="AJ244" s="10">
        <v>3625716</v>
      </c>
      <c r="AK244" s="10">
        <v>34939</v>
      </c>
      <c r="AL244" s="10">
        <v>105929</v>
      </c>
      <c r="AM244" s="10">
        <v>204422.75</v>
      </c>
      <c r="AN244" s="10">
        <v>69035</v>
      </c>
      <c r="AO244" s="10">
        <v>119166</v>
      </c>
      <c r="AP244" s="10">
        <v>16468.060000000001</v>
      </c>
      <c r="AQ244" s="10">
        <v>15656</v>
      </c>
      <c r="AR244" s="10">
        <v>65668</v>
      </c>
      <c r="AS244" s="10">
        <f t="shared" ref="AS244:AS307" si="101">AT244-SUM(AJ244:AR244)</f>
        <v>871133.42999999877</v>
      </c>
      <c r="AT244" s="10">
        <v>5128133.2399999993</v>
      </c>
      <c r="AU244" s="12">
        <v>29640</v>
      </c>
      <c r="AV244" s="12">
        <v>7750.6200050258685</v>
      </c>
      <c r="AW244" s="12">
        <v>9941.5</v>
      </c>
      <c r="AX244" s="12">
        <f t="shared" si="99"/>
        <v>47332.12000502587</v>
      </c>
      <c r="AY244" s="12">
        <v>33125.911</v>
      </c>
      <c r="AZ244" s="12">
        <v>9286.1564101820586</v>
      </c>
      <c r="BA244" s="12">
        <v>12409.5</v>
      </c>
      <c r="BB244" s="12">
        <f t="shared" si="100"/>
        <v>54821.567410182062</v>
      </c>
      <c r="BC244" s="12">
        <v>3485.9110000000001</v>
      </c>
      <c r="BD244" s="12">
        <v>1535.5364051561901</v>
      </c>
      <c r="BE244" s="12">
        <v>2468</v>
      </c>
      <c r="BF244" s="12">
        <v>7489.4474051561901</v>
      </c>
    </row>
    <row r="245" spans="1:58" x14ac:dyDescent="0.25">
      <c r="A245" s="7">
        <v>813</v>
      </c>
      <c r="B245" s="7">
        <v>1</v>
      </c>
      <c r="C245" s="7" t="s">
        <v>246</v>
      </c>
      <c r="D245" s="4">
        <v>5</v>
      </c>
      <c r="E245" s="10">
        <v>1231</v>
      </c>
      <c r="F245" s="8">
        <f t="shared" si="79"/>
        <v>34893.5</v>
      </c>
      <c r="G245" s="8">
        <f t="shared" si="80"/>
        <v>31163.38</v>
      </c>
      <c r="H245" s="8">
        <f t="shared" si="81"/>
        <v>4722</v>
      </c>
      <c r="I245" s="8">
        <f t="shared" si="82"/>
        <v>28.000000000818545</v>
      </c>
      <c r="J245" s="8">
        <f t="shared" si="83"/>
        <v>70806.88000000082</v>
      </c>
      <c r="K245" s="8">
        <f t="shared" si="84"/>
        <v>14719.470022822092</v>
      </c>
      <c r="L245" s="8">
        <f t="shared" si="85"/>
        <v>85526.35002282291</v>
      </c>
      <c r="M245" s="8">
        <f t="shared" si="86"/>
        <v>57.519805036556313</v>
      </c>
      <c r="N245" s="8">
        <f t="shared" si="87"/>
        <v>32698</v>
      </c>
      <c r="O245" s="8">
        <f t="shared" si="88"/>
        <v>0</v>
      </c>
      <c r="P245" s="8">
        <f t="shared" si="89"/>
        <v>844</v>
      </c>
      <c r="Q245" s="8">
        <f t="shared" si="90"/>
        <v>1351.5</v>
      </c>
      <c r="R245" s="8">
        <f t="shared" si="91"/>
        <v>0</v>
      </c>
      <c r="S245" s="8">
        <f t="shared" si="92"/>
        <v>0</v>
      </c>
      <c r="T245" s="8">
        <f t="shared" si="93"/>
        <v>31163.38</v>
      </c>
      <c r="U245" s="8">
        <f t="shared" si="94"/>
        <v>4722</v>
      </c>
      <c r="V245" s="8">
        <f t="shared" si="95"/>
        <v>28</v>
      </c>
      <c r="W245" s="8">
        <f t="shared" si="96"/>
        <v>0</v>
      </c>
      <c r="X245" s="8">
        <f t="shared" si="97"/>
        <v>70806.88000000082</v>
      </c>
      <c r="Y245" s="10">
        <v>7593667</v>
      </c>
      <c r="Z245" s="10">
        <v>0</v>
      </c>
      <c r="AA245" s="10">
        <v>195962</v>
      </c>
      <c r="AB245" s="10">
        <v>268516</v>
      </c>
      <c r="AC245" s="10">
        <v>0</v>
      </c>
      <c r="AD245" s="10">
        <v>0</v>
      </c>
      <c r="AE245" s="10">
        <v>0</v>
      </c>
      <c r="AF245" s="10">
        <v>14801</v>
      </c>
      <c r="AG245" s="10">
        <v>148150</v>
      </c>
      <c r="AH245" s="10">
        <f t="shared" si="98"/>
        <v>1629756.8100000005</v>
      </c>
      <c r="AI245" s="10">
        <v>9850852.8100000005</v>
      </c>
      <c r="AJ245" s="10">
        <v>7626365</v>
      </c>
      <c r="AK245" s="10">
        <v>0</v>
      </c>
      <c r="AL245" s="10">
        <v>196806</v>
      </c>
      <c r="AM245" s="10">
        <v>269867.5</v>
      </c>
      <c r="AN245" s="10">
        <v>0</v>
      </c>
      <c r="AO245" s="10">
        <v>0</v>
      </c>
      <c r="AP245" s="10">
        <v>31163.38</v>
      </c>
      <c r="AQ245" s="10">
        <v>19523</v>
      </c>
      <c r="AR245" s="10">
        <v>148178</v>
      </c>
      <c r="AS245" s="10">
        <f t="shared" si="101"/>
        <v>1629756.8100000015</v>
      </c>
      <c r="AT245" s="10">
        <v>9921659.6900000013</v>
      </c>
      <c r="AU245" s="12">
        <v>62280</v>
      </c>
      <c r="AV245" s="12">
        <v>14185.610207694544</v>
      </c>
      <c r="AW245" s="12">
        <v>18245.5</v>
      </c>
      <c r="AX245" s="12">
        <f t="shared" si="99"/>
        <v>94711.110207694539</v>
      </c>
      <c r="AY245" s="12">
        <v>69604.646999999997</v>
      </c>
      <c r="AZ245" s="12">
        <v>16996.033230516645</v>
      </c>
      <c r="BA245" s="12">
        <v>22829.9</v>
      </c>
      <c r="BB245" s="12">
        <f t="shared" si="100"/>
        <v>109430.58023051664</v>
      </c>
      <c r="BC245" s="12">
        <v>7324.6469999999972</v>
      </c>
      <c r="BD245" s="12">
        <v>2810.4230228221004</v>
      </c>
      <c r="BE245" s="12">
        <v>4584.3999999999942</v>
      </c>
      <c r="BF245" s="12">
        <v>14719.470022822092</v>
      </c>
    </row>
    <row r="246" spans="1:58" x14ac:dyDescent="0.25">
      <c r="A246" s="7">
        <v>815</v>
      </c>
      <c r="B246" s="7">
        <v>2</v>
      </c>
      <c r="C246" s="7" t="s">
        <v>247</v>
      </c>
      <c r="D246" s="4">
        <v>6</v>
      </c>
      <c r="E246" s="10">
        <v>0</v>
      </c>
      <c r="F246" s="8">
        <f t="shared" si="79"/>
        <v>0</v>
      </c>
      <c r="G246" s="8">
        <f t="shared" si="80"/>
        <v>751.98</v>
      </c>
      <c r="H246" s="8">
        <f t="shared" si="81"/>
        <v>0</v>
      </c>
      <c r="I246" s="8">
        <f t="shared" si="82"/>
        <v>4.5474735088646412E-13</v>
      </c>
      <c r="J246" s="8">
        <f t="shared" si="83"/>
        <v>751.98000000000047</v>
      </c>
      <c r="K246" s="8">
        <f t="shared" si="84"/>
        <v>66.68444918644974</v>
      </c>
      <c r="L246" s="8">
        <f t="shared" si="85"/>
        <v>818.66444918645016</v>
      </c>
      <c r="M246" s="8">
        <f t="shared" si="86"/>
        <v>0</v>
      </c>
      <c r="N246" s="8">
        <f t="shared" si="87"/>
        <v>0</v>
      </c>
      <c r="O246" s="8">
        <f t="shared" si="88"/>
        <v>0</v>
      </c>
      <c r="P246" s="8">
        <f t="shared" si="89"/>
        <v>0</v>
      </c>
      <c r="Q246" s="8">
        <f t="shared" si="90"/>
        <v>0</v>
      </c>
      <c r="R246" s="8">
        <f t="shared" si="91"/>
        <v>0</v>
      </c>
      <c r="S246" s="8">
        <f t="shared" si="92"/>
        <v>0</v>
      </c>
      <c r="T246" s="8">
        <f t="shared" si="93"/>
        <v>751.98</v>
      </c>
      <c r="U246" s="8">
        <f t="shared" si="94"/>
        <v>0</v>
      </c>
      <c r="V246" s="8">
        <f t="shared" si="95"/>
        <v>0</v>
      </c>
      <c r="W246" s="8">
        <f t="shared" si="96"/>
        <v>0</v>
      </c>
      <c r="X246" s="8">
        <f t="shared" si="97"/>
        <v>751.98000000000047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2310.5559221476483</v>
      </c>
      <c r="AH246" s="10">
        <f t="shared" si="98"/>
        <v>0</v>
      </c>
      <c r="AI246" s="10">
        <v>2310.5559221476483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0</v>
      </c>
      <c r="AP246" s="10">
        <v>751.98</v>
      </c>
      <c r="AQ246" s="10">
        <v>0</v>
      </c>
      <c r="AR246" s="10">
        <v>2310.5559221476483</v>
      </c>
      <c r="AS246" s="10">
        <f t="shared" si="101"/>
        <v>0</v>
      </c>
      <c r="AT246" s="10">
        <v>3062.5359221476488</v>
      </c>
      <c r="AU246" s="12">
        <v>0</v>
      </c>
      <c r="AV246" s="12">
        <v>336.58975726860496</v>
      </c>
      <c r="AW246" s="12">
        <v>0</v>
      </c>
      <c r="AX246" s="12">
        <f t="shared" si="99"/>
        <v>336.58975726860496</v>
      </c>
      <c r="AY246" s="12">
        <v>0</v>
      </c>
      <c r="AZ246" s="12">
        <v>403.2742064550547</v>
      </c>
      <c r="BA246" s="12">
        <v>0</v>
      </c>
      <c r="BB246" s="12">
        <f t="shared" si="100"/>
        <v>403.2742064550547</v>
      </c>
      <c r="BC246" s="12">
        <v>0</v>
      </c>
      <c r="BD246" s="12">
        <v>66.68444918644974</v>
      </c>
      <c r="BE246" s="12">
        <v>0</v>
      </c>
      <c r="BF246" s="12">
        <v>66.68444918644974</v>
      </c>
    </row>
    <row r="247" spans="1:58" x14ac:dyDescent="0.25">
      <c r="A247" s="7">
        <v>818</v>
      </c>
      <c r="B247" s="7">
        <v>1</v>
      </c>
      <c r="C247" s="7" t="s">
        <v>248</v>
      </c>
      <c r="D247" s="4">
        <v>6</v>
      </c>
      <c r="E247" s="10">
        <v>496</v>
      </c>
      <c r="F247" s="8">
        <f t="shared" si="79"/>
        <v>16641.25</v>
      </c>
      <c r="G247" s="8">
        <f t="shared" si="80"/>
        <v>13707.78</v>
      </c>
      <c r="H247" s="8">
        <f t="shared" si="81"/>
        <v>0</v>
      </c>
      <c r="I247" s="8">
        <f t="shared" si="82"/>
        <v>-2.0000000006712071</v>
      </c>
      <c r="J247" s="8">
        <f t="shared" si="83"/>
        <v>30347.029999999329</v>
      </c>
      <c r="K247" s="8">
        <f t="shared" si="84"/>
        <v>7586.4283108380796</v>
      </c>
      <c r="L247" s="8">
        <f t="shared" si="85"/>
        <v>37933.458310837406</v>
      </c>
      <c r="M247" s="8">
        <f t="shared" si="86"/>
        <v>61.183528225805098</v>
      </c>
      <c r="N247" s="8">
        <f t="shared" si="87"/>
        <v>13555</v>
      </c>
      <c r="O247" s="8">
        <f t="shared" si="88"/>
        <v>68</v>
      </c>
      <c r="P247" s="8">
        <f t="shared" si="89"/>
        <v>541</v>
      </c>
      <c r="Q247" s="8">
        <f t="shared" si="90"/>
        <v>2477.25</v>
      </c>
      <c r="R247" s="8">
        <f t="shared" si="91"/>
        <v>0</v>
      </c>
      <c r="S247" s="8">
        <f t="shared" si="92"/>
        <v>0</v>
      </c>
      <c r="T247" s="8">
        <f t="shared" si="93"/>
        <v>13707.78</v>
      </c>
      <c r="U247" s="8">
        <f t="shared" si="94"/>
        <v>0</v>
      </c>
      <c r="V247" s="8">
        <f t="shared" si="95"/>
        <v>-2</v>
      </c>
      <c r="W247" s="8">
        <f t="shared" si="96"/>
        <v>-4.6566128730773926E-10</v>
      </c>
      <c r="X247" s="8">
        <f t="shared" si="97"/>
        <v>30347.029999999329</v>
      </c>
      <c r="Y247" s="10">
        <v>3148013</v>
      </c>
      <c r="Z247" s="10">
        <v>15932</v>
      </c>
      <c r="AA247" s="10">
        <v>125724</v>
      </c>
      <c r="AB247" s="10">
        <v>492180</v>
      </c>
      <c r="AC247" s="10">
        <v>0</v>
      </c>
      <c r="AD247" s="10">
        <v>128368</v>
      </c>
      <c r="AE247" s="10">
        <v>0</v>
      </c>
      <c r="AF247" s="10">
        <v>0</v>
      </c>
      <c r="AG247" s="10">
        <v>81163</v>
      </c>
      <c r="AH247" s="10">
        <f t="shared" si="98"/>
        <v>261935.83999999985</v>
      </c>
      <c r="AI247" s="10">
        <v>4253315.84</v>
      </c>
      <c r="AJ247" s="10">
        <v>3161568</v>
      </c>
      <c r="AK247" s="10">
        <v>16000</v>
      </c>
      <c r="AL247" s="10">
        <v>126265</v>
      </c>
      <c r="AM247" s="10">
        <v>494657.25</v>
      </c>
      <c r="AN247" s="10">
        <v>0</v>
      </c>
      <c r="AO247" s="10">
        <v>128368</v>
      </c>
      <c r="AP247" s="10">
        <v>13707.78</v>
      </c>
      <c r="AQ247" s="10">
        <v>0</v>
      </c>
      <c r="AR247" s="10">
        <v>81161</v>
      </c>
      <c r="AS247" s="10">
        <f t="shared" si="101"/>
        <v>261935.83999999939</v>
      </c>
      <c r="AT247" s="10">
        <v>4283662.8699999992</v>
      </c>
      <c r="AU247" s="12">
        <v>18000</v>
      </c>
      <c r="AV247" s="12">
        <v>7148.6647739552218</v>
      </c>
      <c r="AW247" s="12">
        <v>8376.875</v>
      </c>
      <c r="AX247" s="12">
        <f t="shared" si="99"/>
        <v>33525.539773955221</v>
      </c>
      <c r="AY247" s="12">
        <v>20116.95</v>
      </c>
      <c r="AZ247" s="12">
        <v>8564.9430847933036</v>
      </c>
      <c r="BA247" s="12">
        <v>12430.075000000001</v>
      </c>
      <c r="BB247" s="12">
        <f t="shared" si="100"/>
        <v>41111.968084793305</v>
      </c>
      <c r="BC247" s="12">
        <v>2116.9500000000007</v>
      </c>
      <c r="BD247" s="12">
        <v>1416.2783108380818</v>
      </c>
      <c r="BE247" s="12">
        <v>4053.1999999999971</v>
      </c>
      <c r="BF247" s="12">
        <v>7586.4283108380796</v>
      </c>
    </row>
    <row r="248" spans="1:58" x14ac:dyDescent="0.25">
      <c r="A248" s="7">
        <v>820</v>
      </c>
      <c r="B248" s="7">
        <v>1</v>
      </c>
      <c r="C248" s="7" t="s">
        <v>249</v>
      </c>
      <c r="D248" s="4">
        <v>6</v>
      </c>
      <c r="E248" s="10">
        <v>480</v>
      </c>
      <c r="F248" s="8">
        <f t="shared" si="79"/>
        <v>15571.75</v>
      </c>
      <c r="G248" s="8">
        <f t="shared" si="80"/>
        <v>0</v>
      </c>
      <c r="H248" s="8">
        <f t="shared" si="81"/>
        <v>0</v>
      </c>
      <c r="I248" s="8">
        <f t="shared" si="82"/>
        <v>9</v>
      </c>
      <c r="J248" s="8">
        <f t="shared" si="83"/>
        <v>15580.75</v>
      </c>
      <c r="K248" s="8">
        <f t="shared" si="84"/>
        <v>7787.2780482237758</v>
      </c>
      <c r="L248" s="8">
        <f t="shared" si="85"/>
        <v>23368.028048223776</v>
      </c>
      <c r="M248" s="8">
        <f t="shared" si="86"/>
        <v>32.459895833333334</v>
      </c>
      <c r="N248" s="8">
        <f t="shared" si="87"/>
        <v>12665</v>
      </c>
      <c r="O248" s="8">
        <f t="shared" si="88"/>
        <v>128</v>
      </c>
      <c r="P248" s="8">
        <f t="shared" si="89"/>
        <v>622</v>
      </c>
      <c r="Q248" s="8">
        <f t="shared" si="90"/>
        <v>2156.75</v>
      </c>
      <c r="R248" s="8">
        <f t="shared" si="91"/>
        <v>0</v>
      </c>
      <c r="S248" s="8">
        <f t="shared" si="92"/>
        <v>0</v>
      </c>
      <c r="T248" s="8">
        <f t="shared" si="93"/>
        <v>0</v>
      </c>
      <c r="U248" s="8">
        <f t="shared" si="94"/>
        <v>0</v>
      </c>
      <c r="V248" s="8">
        <f t="shared" si="95"/>
        <v>9</v>
      </c>
      <c r="W248" s="8">
        <f t="shared" si="96"/>
        <v>0</v>
      </c>
      <c r="X248" s="8">
        <f t="shared" si="97"/>
        <v>15580.75</v>
      </c>
      <c r="Y248" s="10">
        <v>2941320</v>
      </c>
      <c r="Z248" s="10">
        <v>29587</v>
      </c>
      <c r="AA248" s="10">
        <v>144317</v>
      </c>
      <c r="AB248" s="10">
        <v>428503</v>
      </c>
      <c r="AC248" s="10">
        <v>0</v>
      </c>
      <c r="AD248" s="10">
        <v>130159</v>
      </c>
      <c r="AE248" s="10">
        <v>84331</v>
      </c>
      <c r="AF248" s="10">
        <v>0</v>
      </c>
      <c r="AG248" s="10">
        <v>59376</v>
      </c>
      <c r="AH248" s="10">
        <f t="shared" si="98"/>
        <v>641603.04999999981</v>
      </c>
      <c r="AI248" s="10">
        <v>4459196.05</v>
      </c>
      <c r="AJ248" s="10">
        <v>2953985</v>
      </c>
      <c r="AK248" s="10">
        <v>29715</v>
      </c>
      <c r="AL248" s="10">
        <v>144939</v>
      </c>
      <c r="AM248" s="10">
        <v>430659.75</v>
      </c>
      <c r="AN248" s="10">
        <v>0</v>
      </c>
      <c r="AO248" s="10">
        <v>130159</v>
      </c>
      <c r="AP248" s="10">
        <v>84331</v>
      </c>
      <c r="AQ248" s="10">
        <v>0</v>
      </c>
      <c r="AR248" s="10">
        <v>59385</v>
      </c>
      <c r="AS248" s="10">
        <f t="shared" si="101"/>
        <v>641603.04999999981</v>
      </c>
      <c r="AT248" s="10">
        <v>4474776.8</v>
      </c>
      <c r="AU248" s="12">
        <v>18000</v>
      </c>
      <c r="AV248" s="12">
        <v>7064.1178234094841</v>
      </c>
      <c r="AW248" s="12">
        <v>7856.625</v>
      </c>
      <c r="AX248" s="12">
        <f t="shared" si="99"/>
        <v>32920.742823409484</v>
      </c>
      <c r="AY248" s="12">
        <v>20116.95</v>
      </c>
      <c r="AZ248" s="12">
        <v>8463.6458716332563</v>
      </c>
      <c r="BA248" s="12">
        <v>12127.424999999999</v>
      </c>
      <c r="BB248" s="12">
        <f t="shared" si="100"/>
        <v>40708.020871633256</v>
      </c>
      <c r="BC248" s="12">
        <v>2116.9500000000007</v>
      </c>
      <c r="BD248" s="12">
        <v>1399.5280482237722</v>
      </c>
      <c r="BE248" s="12">
        <v>4270.8000000000029</v>
      </c>
      <c r="BF248" s="12">
        <v>7787.2780482237758</v>
      </c>
    </row>
    <row r="249" spans="1:58" x14ac:dyDescent="0.25">
      <c r="A249" s="7">
        <v>821</v>
      </c>
      <c r="B249" s="7">
        <v>1</v>
      </c>
      <c r="C249" s="7" t="s">
        <v>250</v>
      </c>
      <c r="D249" s="4">
        <v>6</v>
      </c>
      <c r="E249" s="10">
        <v>983</v>
      </c>
      <c r="F249" s="8">
        <f t="shared" si="79"/>
        <v>30683</v>
      </c>
      <c r="G249" s="8">
        <f t="shared" si="80"/>
        <v>20892.36</v>
      </c>
      <c r="H249" s="8">
        <f t="shared" si="81"/>
        <v>0</v>
      </c>
      <c r="I249" s="8">
        <f t="shared" si="82"/>
        <v>3.3469405025243759E-10</v>
      </c>
      <c r="J249" s="8">
        <f t="shared" si="83"/>
        <v>51575.360000000335</v>
      </c>
      <c r="K249" s="8">
        <f t="shared" si="84"/>
        <v>13685.865656391763</v>
      </c>
      <c r="L249" s="8">
        <f t="shared" si="85"/>
        <v>65261.225656392096</v>
      </c>
      <c r="M249" s="8">
        <f t="shared" si="86"/>
        <v>52.467304170905734</v>
      </c>
      <c r="N249" s="8">
        <f t="shared" si="87"/>
        <v>26148</v>
      </c>
      <c r="O249" s="8">
        <f t="shared" si="88"/>
        <v>0</v>
      </c>
      <c r="P249" s="8">
        <f t="shared" si="89"/>
        <v>820</v>
      </c>
      <c r="Q249" s="8">
        <f t="shared" si="90"/>
        <v>3715</v>
      </c>
      <c r="R249" s="8">
        <f t="shared" si="91"/>
        <v>0</v>
      </c>
      <c r="S249" s="8">
        <f t="shared" si="92"/>
        <v>0</v>
      </c>
      <c r="T249" s="8">
        <f t="shared" si="93"/>
        <v>20892.36</v>
      </c>
      <c r="U249" s="8">
        <f t="shared" si="94"/>
        <v>0</v>
      </c>
      <c r="V249" s="8">
        <f t="shared" si="95"/>
        <v>0</v>
      </c>
      <c r="W249" s="8">
        <f t="shared" si="96"/>
        <v>0</v>
      </c>
      <c r="X249" s="8">
        <f t="shared" si="97"/>
        <v>51575.360000000335</v>
      </c>
      <c r="Y249" s="10">
        <v>6072786</v>
      </c>
      <c r="Z249" s="10">
        <v>0</v>
      </c>
      <c r="AA249" s="10">
        <v>190396</v>
      </c>
      <c r="AB249" s="10">
        <v>738096</v>
      </c>
      <c r="AC249" s="10">
        <v>0</v>
      </c>
      <c r="AD249" s="10">
        <v>0</v>
      </c>
      <c r="AE249" s="10">
        <v>0</v>
      </c>
      <c r="AF249" s="10">
        <v>0</v>
      </c>
      <c r="AG249" s="10">
        <v>150617</v>
      </c>
      <c r="AH249" s="10">
        <f t="shared" si="98"/>
        <v>713594.88999999966</v>
      </c>
      <c r="AI249" s="10">
        <v>7865489.8899999997</v>
      </c>
      <c r="AJ249" s="10">
        <v>6098934</v>
      </c>
      <c r="AK249" s="10">
        <v>0</v>
      </c>
      <c r="AL249" s="10">
        <v>191216</v>
      </c>
      <c r="AM249" s="10">
        <v>741811</v>
      </c>
      <c r="AN249" s="10">
        <v>0</v>
      </c>
      <c r="AO249" s="10">
        <v>0</v>
      </c>
      <c r="AP249" s="10">
        <v>20892.36</v>
      </c>
      <c r="AQ249" s="10">
        <v>0</v>
      </c>
      <c r="AR249" s="10">
        <v>150617</v>
      </c>
      <c r="AS249" s="10">
        <f t="shared" si="101"/>
        <v>713594.88999999966</v>
      </c>
      <c r="AT249" s="10">
        <v>7917065.25</v>
      </c>
      <c r="AU249" s="12">
        <v>36000</v>
      </c>
      <c r="AV249" s="12">
        <v>13401.948650637401</v>
      </c>
      <c r="AW249" s="12">
        <v>12998</v>
      </c>
      <c r="AX249" s="12">
        <f t="shared" si="99"/>
        <v>62399.948650637401</v>
      </c>
      <c r="AY249" s="12">
        <v>40233.9</v>
      </c>
      <c r="AZ249" s="12">
        <v>16057.11430702916</v>
      </c>
      <c r="BA249" s="12">
        <v>19794.8</v>
      </c>
      <c r="BB249" s="12">
        <f t="shared" si="100"/>
        <v>76085.814307029155</v>
      </c>
      <c r="BC249" s="12">
        <v>4233.9000000000015</v>
      </c>
      <c r="BD249" s="12">
        <v>2655.1656563917586</v>
      </c>
      <c r="BE249" s="12">
        <v>6796.8000000000029</v>
      </c>
      <c r="BF249" s="12">
        <v>13685.865656391763</v>
      </c>
    </row>
    <row r="250" spans="1:58" x14ac:dyDescent="0.25">
      <c r="A250" s="7">
        <v>829</v>
      </c>
      <c r="B250" s="7">
        <v>1</v>
      </c>
      <c r="C250" s="7" t="s">
        <v>251</v>
      </c>
      <c r="D250" s="4">
        <v>5</v>
      </c>
      <c r="E250" s="10">
        <v>1830</v>
      </c>
      <c r="F250" s="8">
        <f t="shared" si="79"/>
        <v>57127</v>
      </c>
      <c r="G250" s="8">
        <f t="shared" si="80"/>
        <v>43947.040000000001</v>
      </c>
      <c r="H250" s="8">
        <f t="shared" si="81"/>
        <v>8552</v>
      </c>
      <c r="I250" s="8">
        <f t="shared" si="82"/>
        <v>255.99999999910506</v>
      </c>
      <c r="J250" s="8">
        <f t="shared" si="83"/>
        <v>109882.03999999911</v>
      </c>
      <c r="K250" s="8">
        <f t="shared" si="84"/>
        <v>21799.129407806937</v>
      </c>
      <c r="L250" s="8">
        <f t="shared" si="85"/>
        <v>131681.16940780604</v>
      </c>
      <c r="M250" s="8">
        <f t="shared" si="86"/>
        <v>60.044830601092407</v>
      </c>
      <c r="N250" s="8">
        <f t="shared" si="87"/>
        <v>50505</v>
      </c>
      <c r="O250" s="8">
        <f t="shared" si="88"/>
        <v>32</v>
      </c>
      <c r="P250" s="8">
        <f t="shared" si="89"/>
        <v>992</v>
      </c>
      <c r="Q250" s="8">
        <f t="shared" si="90"/>
        <v>5598</v>
      </c>
      <c r="R250" s="8">
        <f t="shared" si="91"/>
        <v>0</v>
      </c>
      <c r="S250" s="8">
        <f t="shared" si="92"/>
        <v>0</v>
      </c>
      <c r="T250" s="8">
        <f t="shared" si="93"/>
        <v>43947.040000000001</v>
      </c>
      <c r="U250" s="8">
        <f t="shared" si="94"/>
        <v>8552</v>
      </c>
      <c r="V250" s="8">
        <f t="shared" si="95"/>
        <v>29</v>
      </c>
      <c r="W250" s="8">
        <f t="shared" si="96"/>
        <v>227</v>
      </c>
      <c r="X250" s="8">
        <f t="shared" si="97"/>
        <v>109882.03999999911</v>
      </c>
      <c r="Y250" s="10">
        <v>11729281</v>
      </c>
      <c r="Z250" s="10">
        <v>7478</v>
      </c>
      <c r="AA250" s="10">
        <v>230374</v>
      </c>
      <c r="AB250" s="10">
        <v>1112211</v>
      </c>
      <c r="AC250" s="10">
        <v>0</v>
      </c>
      <c r="AD250" s="10">
        <v>0</v>
      </c>
      <c r="AE250" s="10">
        <v>0</v>
      </c>
      <c r="AF250" s="10">
        <v>18353</v>
      </c>
      <c r="AG250" s="10">
        <v>249379</v>
      </c>
      <c r="AH250" s="10">
        <f t="shared" si="98"/>
        <v>2284544.5600000005</v>
      </c>
      <c r="AI250" s="10">
        <v>15631620.560000001</v>
      </c>
      <c r="AJ250" s="10">
        <v>11779786</v>
      </c>
      <c r="AK250" s="10">
        <v>7510</v>
      </c>
      <c r="AL250" s="10">
        <v>231366</v>
      </c>
      <c r="AM250" s="10">
        <v>1117809</v>
      </c>
      <c r="AN250" s="10">
        <v>0</v>
      </c>
      <c r="AO250" s="10">
        <v>0</v>
      </c>
      <c r="AP250" s="10">
        <v>43947.040000000001</v>
      </c>
      <c r="AQ250" s="10">
        <v>26905</v>
      </c>
      <c r="AR250" s="10">
        <v>249408</v>
      </c>
      <c r="AS250" s="10">
        <f t="shared" si="101"/>
        <v>2284771.5600000005</v>
      </c>
      <c r="AT250" s="10">
        <v>15741502.6</v>
      </c>
      <c r="AU250" s="12">
        <v>75120</v>
      </c>
      <c r="AV250" s="12">
        <v>25281.874630905495</v>
      </c>
      <c r="AW250" s="12">
        <v>26222</v>
      </c>
      <c r="AX250" s="12">
        <f t="shared" si="99"/>
        <v>126623.8746309055</v>
      </c>
      <c r="AY250" s="12">
        <v>83954.737999999998</v>
      </c>
      <c r="AZ250" s="12">
        <v>30290.666038712428</v>
      </c>
      <c r="BA250" s="12">
        <v>34177.599999999999</v>
      </c>
      <c r="BB250" s="12">
        <f t="shared" si="100"/>
        <v>148423.00403871242</v>
      </c>
      <c r="BC250" s="12">
        <v>8834.7379999999976</v>
      </c>
      <c r="BD250" s="12">
        <v>5008.7914078069334</v>
      </c>
      <c r="BE250" s="12">
        <v>7955.6000000000058</v>
      </c>
      <c r="BF250" s="12">
        <v>21799.129407806937</v>
      </c>
    </row>
    <row r="251" spans="1:58" x14ac:dyDescent="0.25">
      <c r="A251" s="7">
        <v>831</v>
      </c>
      <c r="B251" s="7">
        <v>1</v>
      </c>
      <c r="C251" s="7" t="s">
        <v>252</v>
      </c>
      <c r="D251" s="4">
        <v>3</v>
      </c>
      <c r="E251" s="10">
        <v>6735</v>
      </c>
      <c r="F251" s="8">
        <f t="shared" si="79"/>
        <v>187413</v>
      </c>
      <c r="G251" s="8">
        <f t="shared" si="80"/>
        <v>0</v>
      </c>
      <c r="H251" s="8">
        <f t="shared" si="81"/>
        <v>29892</v>
      </c>
      <c r="I251" s="8">
        <f t="shared" si="82"/>
        <v>1729</v>
      </c>
      <c r="J251" s="8">
        <f t="shared" si="83"/>
        <v>219034</v>
      </c>
      <c r="K251" s="8">
        <f t="shared" si="84"/>
        <v>89080.710402677054</v>
      </c>
      <c r="L251" s="8">
        <f t="shared" si="85"/>
        <v>308114.71040267707</v>
      </c>
      <c r="M251" s="8">
        <f t="shared" si="86"/>
        <v>32.521752041573869</v>
      </c>
      <c r="N251" s="8">
        <f t="shared" si="87"/>
        <v>178163</v>
      </c>
      <c r="O251" s="8">
        <f t="shared" si="88"/>
        <v>588</v>
      </c>
      <c r="P251" s="8">
        <f t="shared" si="89"/>
        <v>2068</v>
      </c>
      <c r="Q251" s="8">
        <f t="shared" si="90"/>
        <v>6594</v>
      </c>
      <c r="R251" s="8">
        <f t="shared" si="91"/>
        <v>0</v>
      </c>
      <c r="S251" s="8">
        <f t="shared" si="92"/>
        <v>0</v>
      </c>
      <c r="T251" s="8">
        <f t="shared" si="93"/>
        <v>0</v>
      </c>
      <c r="U251" s="8">
        <f t="shared" si="94"/>
        <v>29892</v>
      </c>
      <c r="V251" s="8">
        <f t="shared" si="95"/>
        <v>0</v>
      </c>
      <c r="W251" s="8">
        <f t="shared" si="96"/>
        <v>1729</v>
      </c>
      <c r="X251" s="8">
        <f t="shared" si="97"/>
        <v>219034</v>
      </c>
      <c r="Y251" s="10">
        <v>41376459</v>
      </c>
      <c r="Z251" s="10">
        <v>136557</v>
      </c>
      <c r="AA251" s="10">
        <v>480298</v>
      </c>
      <c r="AB251" s="10">
        <v>1310096</v>
      </c>
      <c r="AC251" s="10">
        <v>0</v>
      </c>
      <c r="AD251" s="10">
        <v>0</v>
      </c>
      <c r="AE251" s="10">
        <v>1740960</v>
      </c>
      <c r="AF251" s="10">
        <v>54641</v>
      </c>
      <c r="AG251" s="10">
        <v>1133623.75</v>
      </c>
      <c r="AH251" s="10">
        <f t="shared" si="98"/>
        <v>9248186.4299999997</v>
      </c>
      <c r="AI251" s="10">
        <v>55480821.18</v>
      </c>
      <c r="AJ251" s="10">
        <v>41554622</v>
      </c>
      <c r="AK251" s="10">
        <v>137145</v>
      </c>
      <c r="AL251" s="10">
        <v>482366</v>
      </c>
      <c r="AM251" s="10">
        <v>1316690</v>
      </c>
      <c r="AN251" s="10">
        <v>0</v>
      </c>
      <c r="AO251" s="10">
        <v>0</v>
      </c>
      <c r="AP251" s="10">
        <v>1740960</v>
      </c>
      <c r="AQ251" s="10">
        <v>84533</v>
      </c>
      <c r="AR251" s="10">
        <v>1133623.75</v>
      </c>
      <c r="AS251" s="10">
        <f t="shared" si="101"/>
        <v>9249915.4299999997</v>
      </c>
      <c r="AT251" s="10">
        <v>55699855.18</v>
      </c>
      <c r="AU251" s="12">
        <v>381000</v>
      </c>
      <c r="AV251" s="12">
        <v>70993.770945012089</v>
      </c>
      <c r="AW251" s="12">
        <v>109647.875</v>
      </c>
      <c r="AX251" s="12">
        <f t="shared" si="99"/>
        <v>561641.6459450121</v>
      </c>
      <c r="AY251" s="12">
        <v>425808.77500000002</v>
      </c>
      <c r="AZ251" s="12">
        <v>85058.906347689073</v>
      </c>
      <c r="BA251" s="12">
        <v>139854.67499999999</v>
      </c>
      <c r="BB251" s="12">
        <f t="shared" si="100"/>
        <v>650722.35634768917</v>
      </c>
      <c r="BC251" s="12">
        <v>44808.775000000023</v>
      </c>
      <c r="BD251" s="12">
        <v>14065.135402676984</v>
      </c>
      <c r="BE251" s="12">
        <v>30206.800000000047</v>
      </c>
      <c r="BF251" s="12">
        <v>89080.710402677054</v>
      </c>
    </row>
    <row r="252" spans="1:58" x14ac:dyDescent="0.25">
      <c r="A252" s="7">
        <v>832</v>
      </c>
      <c r="B252" s="7">
        <v>1</v>
      </c>
      <c r="C252" s="7" t="s">
        <v>253</v>
      </c>
      <c r="D252" s="4">
        <v>3</v>
      </c>
      <c r="E252" s="10">
        <v>3260</v>
      </c>
      <c r="F252" s="8">
        <f t="shared" si="79"/>
        <v>91348</v>
      </c>
      <c r="G252" s="8">
        <f t="shared" si="80"/>
        <v>0</v>
      </c>
      <c r="H252" s="8">
        <f t="shared" si="81"/>
        <v>13240</v>
      </c>
      <c r="I252" s="8">
        <f t="shared" si="82"/>
        <v>0</v>
      </c>
      <c r="J252" s="8">
        <f t="shared" si="83"/>
        <v>104588</v>
      </c>
      <c r="K252" s="8">
        <f t="shared" si="84"/>
        <v>17291.216574017482</v>
      </c>
      <c r="L252" s="8">
        <f t="shared" si="85"/>
        <v>121879.21657401748</v>
      </c>
      <c r="M252" s="8">
        <f t="shared" si="86"/>
        <v>32.082208588957059</v>
      </c>
      <c r="N252" s="8">
        <f t="shared" si="87"/>
        <v>90420</v>
      </c>
      <c r="O252" s="8">
        <f t="shared" si="88"/>
        <v>0</v>
      </c>
      <c r="P252" s="8">
        <f t="shared" si="89"/>
        <v>463</v>
      </c>
      <c r="Q252" s="8">
        <f t="shared" si="90"/>
        <v>465</v>
      </c>
      <c r="R252" s="8">
        <f t="shared" si="91"/>
        <v>0</v>
      </c>
      <c r="S252" s="8">
        <f t="shared" si="92"/>
        <v>0</v>
      </c>
      <c r="T252" s="8">
        <f t="shared" si="93"/>
        <v>0</v>
      </c>
      <c r="U252" s="8">
        <f t="shared" si="94"/>
        <v>13240</v>
      </c>
      <c r="V252" s="8">
        <f t="shared" si="95"/>
        <v>0</v>
      </c>
      <c r="W252" s="8">
        <f t="shared" si="96"/>
        <v>0</v>
      </c>
      <c r="X252" s="8">
        <f t="shared" si="97"/>
        <v>104588</v>
      </c>
      <c r="Y252" s="10">
        <v>20999141</v>
      </c>
      <c r="Z252" s="10">
        <v>0</v>
      </c>
      <c r="AA252" s="10">
        <v>107472</v>
      </c>
      <c r="AB252" s="10">
        <v>92386</v>
      </c>
      <c r="AC252" s="10">
        <v>0</v>
      </c>
      <c r="AD252" s="10">
        <v>0</v>
      </c>
      <c r="AE252" s="10">
        <v>863460</v>
      </c>
      <c r="AF252" s="10">
        <v>36888</v>
      </c>
      <c r="AG252" s="10">
        <v>570330</v>
      </c>
      <c r="AH252" s="10">
        <f t="shared" si="98"/>
        <v>4115152.2300000004</v>
      </c>
      <c r="AI252" s="10">
        <v>26784829.23</v>
      </c>
      <c r="AJ252" s="10">
        <v>21089561</v>
      </c>
      <c r="AK252" s="10">
        <v>0</v>
      </c>
      <c r="AL252" s="10">
        <v>107935</v>
      </c>
      <c r="AM252" s="10">
        <v>92851</v>
      </c>
      <c r="AN252" s="10">
        <v>0</v>
      </c>
      <c r="AO252" s="10">
        <v>0</v>
      </c>
      <c r="AP252" s="10">
        <v>863460</v>
      </c>
      <c r="AQ252" s="10">
        <v>50128</v>
      </c>
      <c r="AR252" s="10">
        <v>570330</v>
      </c>
      <c r="AS252" s="10">
        <f t="shared" si="101"/>
        <v>4115152.2300000004</v>
      </c>
      <c r="AT252" s="10">
        <v>26889417.23</v>
      </c>
      <c r="AU252" s="12">
        <v>85560</v>
      </c>
      <c r="AV252" s="12">
        <v>15884.722629853355</v>
      </c>
      <c r="AW252" s="12">
        <v>39596.625</v>
      </c>
      <c r="AX252" s="12">
        <f t="shared" si="99"/>
        <v>141041.34762985335</v>
      </c>
      <c r="AY252" s="12">
        <v>95622.569000000003</v>
      </c>
      <c r="AZ252" s="12">
        <v>19031.770203870859</v>
      </c>
      <c r="BA252" s="12">
        <v>43678.224999999999</v>
      </c>
      <c r="BB252" s="12">
        <f t="shared" si="100"/>
        <v>158332.56420387086</v>
      </c>
      <c r="BC252" s="12">
        <v>10062.569000000003</v>
      </c>
      <c r="BD252" s="12">
        <v>3147.0475740175043</v>
      </c>
      <c r="BE252" s="12">
        <v>4081.5999999999767</v>
      </c>
      <c r="BF252" s="12">
        <v>17291.216574017482</v>
      </c>
    </row>
    <row r="253" spans="1:58" x14ac:dyDescent="0.25">
      <c r="A253" s="7">
        <v>833</v>
      </c>
      <c r="B253" s="7">
        <v>1</v>
      </c>
      <c r="C253" s="7" t="s">
        <v>254</v>
      </c>
      <c r="D253" s="4">
        <v>2</v>
      </c>
      <c r="E253" s="10">
        <v>17914</v>
      </c>
      <c r="F253" s="8">
        <f t="shared" si="79"/>
        <v>499469.75</v>
      </c>
      <c r="G253" s="8">
        <f t="shared" si="80"/>
        <v>0</v>
      </c>
      <c r="H253" s="8">
        <f t="shared" si="81"/>
        <v>19338</v>
      </c>
      <c r="I253" s="8">
        <f t="shared" si="82"/>
        <v>634</v>
      </c>
      <c r="J253" s="8">
        <f t="shared" si="83"/>
        <v>519441.75</v>
      </c>
      <c r="K253" s="8">
        <f t="shared" si="84"/>
        <v>190637.66229098043</v>
      </c>
      <c r="L253" s="8">
        <f t="shared" si="85"/>
        <v>710079.41229098046</v>
      </c>
      <c r="M253" s="8">
        <f t="shared" si="86"/>
        <v>28.996413419671764</v>
      </c>
      <c r="N253" s="8">
        <f t="shared" si="87"/>
        <v>486335</v>
      </c>
      <c r="O253" s="8">
        <f t="shared" si="88"/>
        <v>0</v>
      </c>
      <c r="P253" s="8">
        <f t="shared" si="89"/>
        <v>0</v>
      </c>
      <c r="Q253" s="8">
        <f t="shared" si="90"/>
        <v>13134.75</v>
      </c>
      <c r="R253" s="8">
        <f t="shared" si="91"/>
        <v>0</v>
      </c>
      <c r="S253" s="8">
        <f t="shared" si="92"/>
        <v>0</v>
      </c>
      <c r="T253" s="8">
        <f t="shared" si="93"/>
        <v>0</v>
      </c>
      <c r="U253" s="8">
        <f t="shared" si="94"/>
        <v>19338</v>
      </c>
      <c r="V253" s="8">
        <f t="shared" si="95"/>
        <v>0</v>
      </c>
      <c r="W253" s="8">
        <f t="shared" si="96"/>
        <v>634</v>
      </c>
      <c r="X253" s="8">
        <f t="shared" si="97"/>
        <v>519441.75</v>
      </c>
      <c r="Y253" s="10">
        <v>112946440</v>
      </c>
      <c r="Z253" s="10">
        <v>0</v>
      </c>
      <c r="AA253" s="10">
        <v>0</v>
      </c>
      <c r="AB253" s="10">
        <v>2609612</v>
      </c>
      <c r="AC253" s="10">
        <v>0</v>
      </c>
      <c r="AD253" s="10">
        <v>0</v>
      </c>
      <c r="AE253" s="10">
        <v>2997384</v>
      </c>
      <c r="AF253" s="10">
        <v>371363</v>
      </c>
      <c r="AG253" s="10">
        <v>2464403.75</v>
      </c>
      <c r="AH253" s="10">
        <f t="shared" si="98"/>
        <v>32361182.979999989</v>
      </c>
      <c r="AI253" s="10">
        <v>153750385.72999999</v>
      </c>
      <c r="AJ253" s="10">
        <v>113432775</v>
      </c>
      <c r="AK253" s="10">
        <v>0</v>
      </c>
      <c r="AL253" s="10">
        <v>0</v>
      </c>
      <c r="AM253" s="10">
        <v>2622746.75</v>
      </c>
      <c r="AN253" s="10">
        <v>0</v>
      </c>
      <c r="AO253" s="10">
        <v>0</v>
      </c>
      <c r="AP253" s="10">
        <v>2997384</v>
      </c>
      <c r="AQ253" s="10">
        <v>390701</v>
      </c>
      <c r="AR253" s="10">
        <v>2464403.75</v>
      </c>
      <c r="AS253" s="10">
        <f t="shared" si="101"/>
        <v>32361816.979999989</v>
      </c>
      <c r="AT253" s="10">
        <v>154269827.47999999</v>
      </c>
      <c r="AU253" s="12">
        <v>976920</v>
      </c>
      <c r="AV253" s="12">
        <v>170480.97459622435</v>
      </c>
      <c r="AW253" s="12">
        <v>207145.5</v>
      </c>
      <c r="AX253" s="12">
        <f t="shared" si="99"/>
        <v>1354546.4745962243</v>
      </c>
      <c r="AY253" s="12">
        <v>1091813.933</v>
      </c>
      <c r="AZ253" s="12">
        <v>204256.30388720491</v>
      </c>
      <c r="BA253" s="12">
        <v>249113.9</v>
      </c>
      <c r="BB253" s="12">
        <f t="shared" si="100"/>
        <v>1545184.1368872048</v>
      </c>
      <c r="BC253" s="12">
        <v>114893.93299999996</v>
      </c>
      <c r="BD253" s="12">
        <v>33775.32929098056</v>
      </c>
      <c r="BE253" s="12">
        <v>41968.399999999907</v>
      </c>
      <c r="BF253" s="12">
        <v>190637.66229098043</v>
      </c>
    </row>
    <row r="254" spans="1:58" x14ac:dyDescent="0.25">
      <c r="A254" s="7">
        <v>834</v>
      </c>
      <c r="B254" s="7">
        <v>1</v>
      </c>
      <c r="C254" s="7" t="s">
        <v>255</v>
      </c>
      <c r="D254" s="4">
        <v>3</v>
      </c>
      <c r="E254" s="10">
        <v>8300</v>
      </c>
      <c r="F254" s="8">
        <f t="shared" si="79"/>
        <v>233766</v>
      </c>
      <c r="G254" s="8">
        <f t="shared" si="80"/>
        <v>164861.79999999999</v>
      </c>
      <c r="H254" s="8">
        <f t="shared" si="81"/>
        <v>8177</v>
      </c>
      <c r="I254" s="8">
        <f t="shared" si="82"/>
        <v>1852.9999999970314</v>
      </c>
      <c r="J254" s="8">
        <f t="shared" si="83"/>
        <v>408657.79999999702</v>
      </c>
      <c r="K254" s="8">
        <f t="shared" si="84"/>
        <v>86481.184330895165</v>
      </c>
      <c r="L254" s="8">
        <f t="shared" si="85"/>
        <v>495138.98433089221</v>
      </c>
      <c r="M254" s="8">
        <f t="shared" si="86"/>
        <v>49.235879518071933</v>
      </c>
      <c r="N254" s="8">
        <f t="shared" si="87"/>
        <v>227170</v>
      </c>
      <c r="O254" s="8">
        <f t="shared" si="88"/>
        <v>1278</v>
      </c>
      <c r="P254" s="8">
        <f t="shared" si="89"/>
        <v>1583</v>
      </c>
      <c r="Q254" s="8">
        <f t="shared" si="90"/>
        <v>3735</v>
      </c>
      <c r="R254" s="8">
        <f t="shared" si="91"/>
        <v>0</v>
      </c>
      <c r="S254" s="8">
        <f t="shared" si="92"/>
        <v>0</v>
      </c>
      <c r="T254" s="8">
        <f t="shared" si="93"/>
        <v>164861.79999999999</v>
      </c>
      <c r="U254" s="8">
        <f t="shared" si="94"/>
        <v>8177</v>
      </c>
      <c r="V254" s="8">
        <f t="shared" si="95"/>
        <v>0</v>
      </c>
      <c r="W254" s="8">
        <f t="shared" si="96"/>
        <v>1853</v>
      </c>
      <c r="X254" s="8">
        <f t="shared" si="97"/>
        <v>408657.79999999702</v>
      </c>
      <c r="Y254" s="10">
        <v>52757961</v>
      </c>
      <c r="Z254" s="10">
        <v>296849</v>
      </c>
      <c r="AA254" s="10">
        <v>367798</v>
      </c>
      <c r="AB254" s="10">
        <v>742070</v>
      </c>
      <c r="AC254" s="10">
        <v>0</v>
      </c>
      <c r="AD254" s="10">
        <v>0</v>
      </c>
      <c r="AE254" s="10">
        <v>0</v>
      </c>
      <c r="AF254" s="10">
        <v>49110</v>
      </c>
      <c r="AG254" s="10">
        <v>454340</v>
      </c>
      <c r="AH254" s="10">
        <f t="shared" si="98"/>
        <v>19800467.019999996</v>
      </c>
      <c r="AI254" s="10">
        <v>74468595.019999996</v>
      </c>
      <c r="AJ254" s="10">
        <v>52985131</v>
      </c>
      <c r="AK254" s="10">
        <v>298127</v>
      </c>
      <c r="AL254" s="10">
        <v>369381</v>
      </c>
      <c r="AM254" s="10">
        <v>745805</v>
      </c>
      <c r="AN254" s="10">
        <v>0</v>
      </c>
      <c r="AO254" s="10">
        <v>0</v>
      </c>
      <c r="AP254" s="10">
        <v>164861.79999999999</v>
      </c>
      <c r="AQ254" s="10">
        <v>57287</v>
      </c>
      <c r="AR254" s="10">
        <v>454340</v>
      </c>
      <c r="AS254" s="10">
        <f t="shared" si="101"/>
        <v>19802320.019999996</v>
      </c>
      <c r="AT254" s="10">
        <v>74877252.819999993</v>
      </c>
      <c r="AU254" s="12">
        <v>463200</v>
      </c>
      <c r="AV254" s="12">
        <v>74259.851360193104</v>
      </c>
      <c r="AW254" s="12">
        <v>101387.875</v>
      </c>
      <c r="AX254" s="12">
        <f t="shared" si="99"/>
        <v>638847.7263601931</v>
      </c>
      <c r="AY254" s="12">
        <v>517676.18</v>
      </c>
      <c r="AZ254" s="12">
        <v>88972.05569108823</v>
      </c>
      <c r="BA254" s="12">
        <v>118680.675</v>
      </c>
      <c r="BB254" s="12">
        <f t="shared" si="100"/>
        <v>725328.9106910883</v>
      </c>
      <c r="BC254" s="12">
        <v>54476.179999999993</v>
      </c>
      <c r="BD254" s="12">
        <v>14712.204330895125</v>
      </c>
      <c r="BE254" s="12">
        <v>17292.800000000047</v>
      </c>
      <c r="BF254" s="12">
        <v>86481.184330895165</v>
      </c>
    </row>
    <row r="255" spans="1:58" x14ac:dyDescent="0.25">
      <c r="A255" s="7">
        <v>836</v>
      </c>
      <c r="B255" s="7">
        <v>1</v>
      </c>
      <c r="C255" s="7" t="s">
        <v>256</v>
      </c>
      <c r="D255" s="4">
        <v>6</v>
      </c>
      <c r="E255" s="10">
        <v>200</v>
      </c>
      <c r="F255" s="8">
        <f t="shared" si="79"/>
        <v>7878.25</v>
      </c>
      <c r="G255" s="8">
        <f t="shared" si="80"/>
        <v>7725.16</v>
      </c>
      <c r="H255" s="8">
        <f t="shared" si="81"/>
        <v>4888</v>
      </c>
      <c r="I255" s="8">
        <f t="shared" si="82"/>
        <v>11.000000000149157</v>
      </c>
      <c r="J255" s="8">
        <f t="shared" si="83"/>
        <v>20502.410000000149</v>
      </c>
      <c r="K255" s="8">
        <f t="shared" si="84"/>
        <v>4326.7732102616437</v>
      </c>
      <c r="L255" s="8">
        <f t="shared" si="85"/>
        <v>24829.183210261792</v>
      </c>
      <c r="M255" s="8">
        <f t="shared" si="86"/>
        <v>102.51205000000074</v>
      </c>
      <c r="N255" s="8">
        <f t="shared" si="87"/>
        <v>5482</v>
      </c>
      <c r="O255" s="8">
        <f t="shared" si="88"/>
        <v>347</v>
      </c>
      <c r="P255" s="8">
        <f t="shared" si="89"/>
        <v>247</v>
      </c>
      <c r="Q255" s="8">
        <f t="shared" si="90"/>
        <v>1802.25</v>
      </c>
      <c r="R255" s="8">
        <f t="shared" si="91"/>
        <v>0</v>
      </c>
      <c r="S255" s="8">
        <f t="shared" si="92"/>
        <v>0</v>
      </c>
      <c r="T255" s="8">
        <f t="shared" si="93"/>
        <v>7725.16</v>
      </c>
      <c r="U255" s="8">
        <f t="shared" si="94"/>
        <v>4888</v>
      </c>
      <c r="V255" s="8">
        <f t="shared" si="95"/>
        <v>11</v>
      </c>
      <c r="W255" s="8">
        <f t="shared" si="96"/>
        <v>0</v>
      </c>
      <c r="X255" s="8">
        <f t="shared" si="97"/>
        <v>20502.410000000149</v>
      </c>
      <c r="Y255" s="10">
        <v>1273256</v>
      </c>
      <c r="Z255" s="10">
        <v>80471</v>
      </c>
      <c r="AA255" s="10">
        <v>57580</v>
      </c>
      <c r="AB255" s="10">
        <v>358071</v>
      </c>
      <c r="AC255" s="10">
        <v>0</v>
      </c>
      <c r="AD255" s="10">
        <v>92047</v>
      </c>
      <c r="AE255" s="10">
        <v>0</v>
      </c>
      <c r="AF255" s="10">
        <v>20870</v>
      </c>
      <c r="AG255" s="10">
        <v>16035</v>
      </c>
      <c r="AH255" s="10">
        <f t="shared" si="98"/>
        <v>467886.87000000011</v>
      </c>
      <c r="AI255" s="10">
        <v>2366216.87</v>
      </c>
      <c r="AJ255" s="10">
        <v>1278738</v>
      </c>
      <c r="AK255" s="10">
        <v>80818</v>
      </c>
      <c r="AL255" s="10">
        <v>57827</v>
      </c>
      <c r="AM255" s="10">
        <v>359873.25</v>
      </c>
      <c r="AN255" s="10">
        <v>0</v>
      </c>
      <c r="AO255" s="10">
        <v>92047</v>
      </c>
      <c r="AP255" s="10">
        <v>7725.16</v>
      </c>
      <c r="AQ255" s="10">
        <v>25758</v>
      </c>
      <c r="AR255" s="10">
        <v>16046</v>
      </c>
      <c r="AS255" s="10">
        <f t="shared" si="101"/>
        <v>467886.87000000034</v>
      </c>
      <c r="AT255" s="10">
        <v>2386719.2800000003</v>
      </c>
      <c r="AU255" s="12">
        <v>18000</v>
      </c>
      <c r="AV255" s="12">
        <v>3861.4546537956448</v>
      </c>
      <c r="AW255" s="12">
        <v>3644</v>
      </c>
      <c r="AX255" s="12">
        <f t="shared" si="99"/>
        <v>25505.454653795645</v>
      </c>
      <c r="AY255" s="12">
        <v>20116.95</v>
      </c>
      <c r="AZ255" s="12">
        <v>4626.4778640572886</v>
      </c>
      <c r="BA255" s="12">
        <v>5088.8</v>
      </c>
      <c r="BB255" s="12">
        <f t="shared" si="100"/>
        <v>29832.227864057288</v>
      </c>
      <c r="BC255" s="12">
        <v>2116.9500000000007</v>
      </c>
      <c r="BD255" s="12">
        <v>765.02321026164373</v>
      </c>
      <c r="BE255" s="12">
        <v>1444.7999999999993</v>
      </c>
      <c r="BF255" s="12">
        <v>4326.7732102616437</v>
      </c>
    </row>
    <row r="256" spans="1:58" x14ac:dyDescent="0.25">
      <c r="A256" s="7">
        <v>837</v>
      </c>
      <c r="B256" s="7">
        <v>1</v>
      </c>
      <c r="C256" s="7" t="s">
        <v>257</v>
      </c>
      <c r="D256" s="4">
        <v>6</v>
      </c>
      <c r="E256" s="10">
        <v>496</v>
      </c>
      <c r="F256" s="8">
        <f t="shared" si="79"/>
        <v>16299</v>
      </c>
      <c r="G256" s="8">
        <f t="shared" si="80"/>
        <v>13765.16</v>
      </c>
      <c r="H256" s="8">
        <f t="shared" si="81"/>
        <v>1115</v>
      </c>
      <c r="I256" s="8">
        <f t="shared" si="82"/>
        <v>17.000000000149157</v>
      </c>
      <c r="J256" s="8">
        <f t="shared" si="83"/>
        <v>31196.160000000149</v>
      </c>
      <c r="K256" s="8">
        <f t="shared" si="84"/>
        <v>8357.580539823959</v>
      </c>
      <c r="L256" s="8">
        <f t="shared" si="85"/>
        <v>39553.74053982411</v>
      </c>
      <c r="M256" s="8">
        <f t="shared" si="86"/>
        <v>62.895483870968043</v>
      </c>
      <c r="N256" s="8">
        <f t="shared" si="87"/>
        <v>13357</v>
      </c>
      <c r="O256" s="8">
        <f t="shared" si="88"/>
        <v>298</v>
      </c>
      <c r="P256" s="8">
        <f t="shared" si="89"/>
        <v>468</v>
      </c>
      <c r="Q256" s="8">
        <f t="shared" si="90"/>
        <v>2176</v>
      </c>
      <c r="R256" s="8">
        <f t="shared" si="91"/>
        <v>0</v>
      </c>
      <c r="S256" s="8">
        <f t="shared" si="92"/>
        <v>0</v>
      </c>
      <c r="T256" s="8">
        <f t="shared" si="93"/>
        <v>13765.16</v>
      </c>
      <c r="U256" s="8">
        <f t="shared" si="94"/>
        <v>1115</v>
      </c>
      <c r="V256" s="8">
        <f t="shared" si="95"/>
        <v>17</v>
      </c>
      <c r="W256" s="8">
        <f t="shared" si="96"/>
        <v>0</v>
      </c>
      <c r="X256" s="8">
        <f t="shared" si="97"/>
        <v>31196.160000000149</v>
      </c>
      <c r="Y256" s="10">
        <v>3102146</v>
      </c>
      <c r="Z256" s="10">
        <v>69417</v>
      </c>
      <c r="AA256" s="10">
        <v>108679</v>
      </c>
      <c r="AB256" s="10">
        <v>432328</v>
      </c>
      <c r="AC256" s="10">
        <v>0</v>
      </c>
      <c r="AD256" s="10">
        <v>128889</v>
      </c>
      <c r="AE256" s="10">
        <v>0</v>
      </c>
      <c r="AF256" s="10">
        <v>40812</v>
      </c>
      <c r="AG256" s="10">
        <v>51733</v>
      </c>
      <c r="AH256" s="10">
        <f t="shared" si="98"/>
        <v>878187.74000000022</v>
      </c>
      <c r="AI256" s="10">
        <v>4812191.74</v>
      </c>
      <c r="AJ256" s="10">
        <v>3115503</v>
      </c>
      <c r="AK256" s="10">
        <v>69715</v>
      </c>
      <c r="AL256" s="10">
        <v>109147</v>
      </c>
      <c r="AM256" s="10">
        <v>434504</v>
      </c>
      <c r="AN256" s="10">
        <v>0</v>
      </c>
      <c r="AO256" s="10">
        <v>128889</v>
      </c>
      <c r="AP256" s="10">
        <v>13765.16</v>
      </c>
      <c r="AQ256" s="10">
        <v>41927</v>
      </c>
      <c r="AR256" s="10">
        <v>51750</v>
      </c>
      <c r="AS256" s="10">
        <f t="shared" si="101"/>
        <v>878187.74000000022</v>
      </c>
      <c r="AT256" s="10">
        <v>4843387.9000000004</v>
      </c>
      <c r="AU256" s="12">
        <v>30000</v>
      </c>
      <c r="AV256" s="12">
        <v>8040.3168997614575</v>
      </c>
      <c r="AW256" s="12">
        <v>8457.5</v>
      </c>
      <c r="AX256" s="12">
        <f t="shared" si="99"/>
        <v>46497.816899761456</v>
      </c>
      <c r="AY256" s="12">
        <v>33528.25</v>
      </c>
      <c r="AZ256" s="12">
        <v>9633.2474395854224</v>
      </c>
      <c r="BA256" s="12">
        <v>11693.9</v>
      </c>
      <c r="BB256" s="12">
        <f t="shared" si="100"/>
        <v>54855.397439585424</v>
      </c>
      <c r="BC256" s="12">
        <v>3528.25</v>
      </c>
      <c r="BD256" s="12">
        <v>1592.9305398239649</v>
      </c>
      <c r="BE256" s="12">
        <v>3236.3999999999942</v>
      </c>
      <c r="BF256" s="12">
        <v>8357.580539823959</v>
      </c>
    </row>
    <row r="257" spans="1:58" x14ac:dyDescent="0.25">
      <c r="A257" s="7">
        <v>840</v>
      </c>
      <c r="B257" s="7">
        <v>1</v>
      </c>
      <c r="C257" s="7" t="s">
        <v>258</v>
      </c>
      <c r="D257" s="4">
        <v>5</v>
      </c>
      <c r="E257" s="10">
        <v>1009</v>
      </c>
      <c r="F257" s="8">
        <f t="shared" si="79"/>
        <v>32455.75</v>
      </c>
      <c r="G257" s="8">
        <f t="shared" si="80"/>
        <v>26415.940000000002</v>
      </c>
      <c r="H257" s="8">
        <f t="shared" si="81"/>
        <v>1908</v>
      </c>
      <c r="I257" s="8">
        <f t="shared" si="82"/>
        <v>22.000000001338776</v>
      </c>
      <c r="J257" s="8">
        <f t="shared" si="83"/>
        <v>60801.690000001341</v>
      </c>
      <c r="K257" s="8">
        <f t="shared" si="84"/>
        <v>15559.145605111664</v>
      </c>
      <c r="L257" s="8">
        <f t="shared" si="85"/>
        <v>76360.83560511301</v>
      </c>
      <c r="M257" s="8">
        <f t="shared" si="86"/>
        <v>60.259355797820952</v>
      </c>
      <c r="N257" s="8">
        <f t="shared" si="87"/>
        <v>26890</v>
      </c>
      <c r="O257" s="8">
        <f t="shared" si="88"/>
        <v>49</v>
      </c>
      <c r="P257" s="8">
        <f t="shared" si="89"/>
        <v>790</v>
      </c>
      <c r="Q257" s="8">
        <f t="shared" si="90"/>
        <v>4726.75</v>
      </c>
      <c r="R257" s="8">
        <f t="shared" si="91"/>
        <v>0</v>
      </c>
      <c r="S257" s="8">
        <f t="shared" si="92"/>
        <v>0</v>
      </c>
      <c r="T257" s="8">
        <f t="shared" si="93"/>
        <v>26415.940000000002</v>
      </c>
      <c r="U257" s="8">
        <f t="shared" si="94"/>
        <v>1908</v>
      </c>
      <c r="V257" s="8">
        <f t="shared" si="95"/>
        <v>22</v>
      </c>
      <c r="W257" s="8">
        <f t="shared" si="96"/>
        <v>0</v>
      </c>
      <c r="X257" s="8">
        <f t="shared" si="97"/>
        <v>60801.690000001341</v>
      </c>
      <c r="Y257" s="10">
        <v>6244934</v>
      </c>
      <c r="Z257" s="10">
        <v>11380</v>
      </c>
      <c r="AA257" s="10">
        <v>183514</v>
      </c>
      <c r="AB257" s="10">
        <v>939111</v>
      </c>
      <c r="AC257" s="10">
        <v>0</v>
      </c>
      <c r="AD257" s="10">
        <v>0</v>
      </c>
      <c r="AE257" s="10">
        <v>0</v>
      </c>
      <c r="AF257" s="10">
        <v>114480</v>
      </c>
      <c r="AG257" s="10">
        <v>123066</v>
      </c>
      <c r="AH257" s="10">
        <f t="shared" si="98"/>
        <v>1317996.7400000002</v>
      </c>
      <c r="AI257" s="10">
        <v>8934481.7400000002</v>
      </c>
      <c r="AJ257" s="10">
        <v>6271824</v>
      </c>
      <c r="AK257" s="10">
        <v>11429</v>
      </c>
      <c r="AL257" s="10">
        <v>184304</v>
      </c>
      <c r="AM257" s="10">
        <v>943837.75</v>
      </c>
      <c r="AN257" s="10">
        <v>0</v>
      </c>
      <c r="AO257" s="10">
        <v>0</v>
      </c>
      <c r="AP257" s="10">
        <v>26415.940000000002</v>
      </c>
      <c r="AQ257" s="10">
        <v>116388</v>
      </c>
      <c r="AR257" s="10">
        <v>123088</v>
      </c>
      <c r="AS257" s="10">
        <f t="shared" si="101"/>
        <v>1317996.7400000012</v>
      </c>
      <c r="AT257" s="10">
        <v>8995283.4300000016</v>
      </c>
      <c r="AU257" s="12">
        <v>54000</v>
      </c>
      <c r="AV257" s="12">
        <v>15541.735066801071</v>
      </c>
      <c r="AW257" s="12">
        <v>17268.375</v>
      </c>
      <c r="AX257" s="12">
        <f t="shared" si="99"/>
        <v>86810.110066801077</v>
      </c>
      <c r="AY257" s="12">
        <v>60350.85</v>
      </c>
      <c r="AZ257" s="12">
        <v>18620.830671912725</v>
      </c>
      <c r="BA257" s="12">
        <v>23397.575000000001</v>
      </c>
      <c r="BB257" s="12">
        <f t="shared" si="100"/>
        <v>102369.25567191272</v>
      </c>
      <c r="BC257" s="12">
        <v>6350.8499999999985</v>
      </c>
      <c r="BD257" s="12">
        <v>3079.0956051116536</v>
      </c>
      <c r="BE257" s="12">
        <v>6129.2000000000116</v>
      </c>
      <c r="BF257" s="12">
        <v>15559.145605111664</v>
      </c>
    </row>
    <row r="258" spans="1:58" x14ac:dyDescent="0.25">
      <c r="A258" s="7">
        <v>846</v>
      </c>
      <c r="B258" s="7">
        <v>1</v>
      </c>
      <c r="C258" s="7" t="s">
        <v>259</v>
      </c>
      <c r="D258" s="4">
        <v>6</v>
      </c>
      <c r="E258" s="10">
        <v>682</v>
      </c>
      <c r="F258" s="8">
        <f t="shared" si="79"/>
        <v>21456.75</v>
      </c>
      <c r="G258" s="8">
        <f t="shared" si="80"/>
        <v>17724.38</v>
      </c>
      <c r="H258" s="8">
        <f t="shared" si="81"/>
        <v>0</v>
      </c>
      <c r="I258" s="8">
        <f t="shared" si="82"/>
        <v>22.999999999887223</v>
      </c>
      <c r="J258" s="8">
        <f t="shared" si="83"/>
        <v>39204.129999999888</v>
      </c>
      <c r="K258" s="8">
        <f t="shared" si="84"/>
        <v>10686.775421749902</v>
      </c>
      <c r="L258" s="8">
        <f t="shared" si="85"/>
        <v>49890.905421749791</v>
      </c>
      <c r="M258" s="8">
        <f t="shared" si="86"/>
        <v>57.484061583577549</v>
      </c>
      <c r="N258" s="8">
        <f t="shared" si="87"/>
        <v>18960</v>
      </c>
      <c r="O258" s="8">
        <f t="shared" si="88"/>
        <v>57</v>
      </c>
      <c r="P258" s="8">
        <f t="shared" si="89"/>
        <v>867</v>
      </c>
      <c r="Q258" s="8">
        <f t="shared" si="90"/>
        <v>1446.75</v>
      </c>
      <c r="R258" s="8">
        <f t="shared" si="91"/>
        <v>126</v>
      </c>
      <c r="S258" s="8">
        <f t="shared" si="92"/>
        <v>0</v>
      </c>
      <c r="T258" s="8">
        <f t="shared" si="93"/>
        <v>17724.38</v>
      </c>
      <c r="U258" s="8">
        <f t="shared" si="94"/>
        <v>0</v>
      </c>
      <c r="V258" s="8">
        <f t="shared" si="95"/>
        <v>23</v>
      </c>
      <c r="W258" s="8">
        <f t="shared" si="96"/>
        <v>0</v>
      </c>
      <c r="X258" s="8">
        <f t="shared" si="97"/>
        <v>39204.129999999888</v>
      </c>
      <c r="Y258" s="10">
        <v>4403270</v>
      </c>
      <c r="Z258" s="10">
        <v>13331</v>
      </c>
      <c r="AA258" s="10">
        <v>201473</v>
      </c>
      <c r="AB258" s="10">
        <v>287440</v>
      </c>
      <c r="AC258" s="10">
        <v>26617</v>
      </c>
      <c r="AD258" s="10">
        <v>86640</v>
      </c>
      <c r="AE258" s="10">
        <v>0</v>
      </c>
      <c r="AF258" s="10">
        <v>15353</v>
      </c>
      <c r="AG258" s="10">
        <v>76397</v>
      </c>
      <c r="AH258" s="10">
        <f t="shared" si="98"/>
        <v>1151768.7000000002</v>
      </c>
      <c r="AI258" s="10">
        <v>6262289.7000000002</v>
      </c>
      <c r="AJ258" s="10">
        <v>4422230</v>
      </c>
      <c r="AK258" s="10">
        <v>13388</v>
      </c>
      <c r="AL258" s="10">
        <v>202340</v>
      </c>
      <c r="AM258" s="10">
        <v>288886.75</v>
      </c>
      <c r="AN258" s="10">
        <v>26743</v>
      </c>
      <c r="AO258" s="10">
        <v>86640</v>
      </c>
      <c r="AP258" s="10">
        <v>17724.38</v>
      </c>
      <c r="AQ258" s="10">
        <v>15353</v>
      </c>
      <c r="AR258" s="10">
        <v>76420</v>
      </c>
      <c r="AS258" s="10">
        <f t="shared" si="101"/>
        <v>1151768.7000000002</v>
      </c>
      <c r="AT258" s="10">
        <v>6301493.8300000001</v>
      </c>
      <c r="AU258" s="12">
        <v>46800</v>
      </c>
      <c r="AV258" s="12">
        <v>9603.9056162826346</v>
      </c>
      <c r="AW258" s="12">
        <v>11593.125</v>
      </c>
      <c r="AX258" s="12">
        <f t="shared" si="99"/>
        <v>67997.030616282631</v>
      </c>
      <c r="AY258" s="12">
        <v>52304.07</v>
      </c>
      <c r="AZ258" s="12">
        <v>11506.611038032537</v>
      </c>
      <c r="BA258" s="12">
        <v>14873.125</v>
      </c>
      <c r="BB258" s="12">
        <f t="shared" si="100"/>
        <v>78683.806038032533</v>
      </c>
      <c r="BC258" s="12">
        <v>5504.07</v>
      </c>
      <c r="BD258" s="12">
        <v>1902.7054217499026</v>
      </c>
      <c r="BE258" s="12">
        <v>3280</v>
      </c>
      <c r="BF258" s="12">
        <v>10686.775421749902</v>
      </c>
    </row>
    <row r="259" spans="1:58" x14ac:dyDescent="0.25">
      <c r="A259" s="7">
        <v>850</v>
      </c>
      <c r="B259" s="7">
        <v>1</v>
      </c>
      <c r="C259" s="7" t="s">
        <v>260</v>
      </c>
      <c r="D259" s="4">
        <v>6</v>
      </c>
      <c r="E259" s="10">
        <v>266</v>
      </c>
      <c r="F259" s="8">
        <f t="shared" si="79"/>
        <v>8195.75</v>
      </c>
      <c r="G259" s="8">
        <f t="shared" si="80"/>
        <v>7873.14</v>
      </c>
      <c r="H259" s="8">
        <f t="shared" si="81"/>
        <v>0</v>
      </c>
      <c r="I259" s="8">
        <f t="shared" si="82"/>
        <v>13.000000000130058</v>
      </c>
      <c r="J259" s="8">
        <f t="shared" si="83"/>
        <v>16081.89000000013</v>
      </c>
      <c r="K259" s="8">
        <f t="shared" si="84"/>
        <v>4467.1161770961162</v>
      </c>
      <c r="L259" s="8">
        <f t="shared" si="85"/>
        <v>20549.006177096246</v>
      </c>
      <c r="M259" s="8">
        <f t="shared" si="86"/>
        <v>60.45823308270726</v>
      </c>
      <c r="N259" s="8">
        <f t="shared" si="87"/>
        <v>7115</v>
      </c>
      <c r="O259" s="8">
        <f t="shared" si="88"/>
        <v>0</v>
      </c>
      <c r="P259" s="8">
        <f t="shared" si="89"/>
        <v>446</v>
      </c>
      <c r="Q259" s="8">
        <f t="shared" si="90"/>
        <v>518.75</v>
      </c>
      <c r="R259" s="8">
        <f t="shared" si="91"/>
        <v>116</v>
      </c>
      <c r="S259" s="8">
        <f t="shared" si="92"/>
        <v>0</v>
      </c>
      <c r="T259" s="8">
        <f t="shared" si="93"/>
        <v>7873.14</v>
      </c>
      <c r="U259" s="8">
        <f t="shared" si="94"/>
        <v>0</v>
      </c>
      <c r="V259" s="8">
        <f t="shared" si="95"/>
        <v>13</v>
      </c>
      <c r="W259" s="8">
        <f t="shared" si="96"/>
        <v>0</v>
      </c>
      <c r="X259" s="8">
        <f t="shared" si="97"/>
        <v>16081.89000000013</v>
      </c>
      <c r="Y259" s="10">
        <v>1652388</v>
      </c>
      <c r="Z259" s="10">
        <v>0</v>
      </c>
      <c r="AA259" s="10">
        <v>103530</v>
      </c>
      <c r="AB259" s="10">
        <v>103065</v>
      </c>
      <c r="AC259" s="10">
        <v>24444</v>
      </c>
      <c r="AD259" s="10">
        <v>108924</v>
      </c>
      <c r="AE259" s="10">
        <v>0</v>
      </c>
      <c r="AF259" s="10">
        <v>0</v>
      </c>
      <c r="AG259" s="10">
        <v>21366</v>
      </c>
      <c r="AH259" s="10">
        <f t="shared" si="98"/>
        <v>591731.9700000002</v>
      </c>
      <c r="AI259" s="10">
        <v>2605448.9700000002</v>
      </c>
      <c r="AJ259" s="10">
        <v>1659503</v>
      </c>
      <c r="AK259" s="10">
        <v>0</v>
      </c>
      <c r="AL259" s="10">
        <v>103976</v>
      </c>
      <c r="AM259" s="10">
        <v>103583.75</v>
      </c>
      <c r="AN259" s="10">
        <v>24560</v>
      </c>
      <c r="AO259" s="10">
        <v>108924</v>
      </c>
      <c r="AP259" s="10">
        <v>7873.14</v>
      </c>
      <c r="AQ259" s="10">
        <v>0</v>
      </c>
      <c r="AR259" s="10">
        <v>21379</v>
      </c>
      <c r="AS259" s="10">
        <f t="shared" si="101"/>
        <v>591731.97000000044</v>
      </c>
      <c r="AT259" s="10">
        <v>2621530.8600000003</v>
      </c>
      <c r="AU259" s="12">
        <v>18000</v>
      </c>
      <c r="AV259" s="12">
        <v>2478.1517788926567</v>
      </c>
      <c r="AW259" s="12">
        <v>4366.375</v>
      </c>
      <c r="AX259" s="12">
        <f t="shared" si="99"/>
        <v>24844.526778892658</v>
      </c>
      <c r="AY259" s="12">
        <v>20116.95</v>
      </c>
      <c r="AZ259" s="12">
        <v>2969.1179559887751</v>
      </c>
      <c r="BA259" s="12">
        <v>6225.5749999999998</v>
      </c>
      <c r="BB259" s="12">
        <f t="shared" si="100"/>
        <v>29311.642955988777</v>
      </c>
      <c r="BC259" s="12">
        <v>2116.9500000000007</v>
      </c>
      <c r="BD259" s="12">
        <v>490.96617709611837</v>
      </c>
      <c r="BE259" s="12">
        <v>1859.1999999999971</v>
      </c>
      <c r="BF259" s="12">
        <v>4467.1161770961162</v>
      </c>
    </row>
    <row r="260" spans="1:58" x14ac:dyDescent="0.25">
      <c r="A260" s="7">
        <v>852</v>
      </c>
      <c r="B260" s="7">
        <v>1</v>
      </c>
      <c r="C260" s="7" t="s">
        <v>261</v>
      </c>
      <c r="D260" s="4">
        <v>6</v>
      </c>
      <c r="E260" s="10">
        <v>118</v>
      </c>
      <c r="F260" s="8">
        <f t="shared" si="79"/>
        <v>4747.25</v>
      </c>
      <c r="G260" s="8">
        <f t="shared" si="80"/>
        <v>5653.44</v>
      </c>
      <c r="H260" s="8">
        <f t="shared" si="81"/>
        <v>0</v>
      </c>
      <c r="I260" s="8">
        <f t="shared" si="82"/>
        <v>-5.5479176808148623E-11</v>
      </c>
      <c r="J260" s="8">
        <f t="shared" si="83"/>
        <v>10400.689999999944</v>
      </c>
      <c r="K260" s="8">
        <f t="shared" si="84"/>
        <v>3931.7357450911391</v>
      </c>
      <c r="L260" s="8">
        <f t="shared" si="85"/>
        <v>14332.425745091083</v>
      </c>
      <c r="M260" s="8">
        <f t="shared" si="86"/>
        <v>88.141440677965633</v>
      </c>
      <c r="N260" s="8">
        <f t="shared" si="87"/>
        <v>3232</v>
      </c>
      <c r="O260" s="8">
        <f t="shared" si="88"/>
        <v>0</v>
      </c>
      <c r="P260" s="8">
        <f t="shared" si="89"/>
        <v>305</v>
      </c>
      <c r="Q260" s="8">
        <f t="shared" si="90"/>
        <v>651.25</v>
      </c>
      <c r="R260" s="8">
        <f t="shared" si="91"/>
        <v>559</v>
      </c>
      <c r="S260" s="8">
        <f t="shared" si="92"/>
        <v>0</v>
      </c>
      <c r="T260" s="8">
        <f t="shared" si="93"/>
        <v>5653.44</v>
      </c>
      <c r="U260" s="8">
        <f t="shared" si="94"/>
        <v>0</v>
      </c>
      <c r="V260" s="8">
        <f t="shared" si="95"/>
        <v>0</v>
      </c>
      <c r="W260" s="8">
        <f t="shared" si="96"/>
        <v>0</v>
      </c>
      <c r="X260" s="8">
        <f t="shared" si="97"/>
        <v>10400.689999999944</v>
      </c>
      <c r="Y260" s="10">
        <v>750716</v>
      </c>
      <c r="Z260" s="10">
        <v>0</v>
      </c>
      <c r="AA260" s="10">
        <v>70890</v>
      </c>
      <c r="AB260" s="10">
        <v>129390</v>
      </c>
      <c r="AC260" s="10">
        <v>117970</v>
      </c>
      <c r="AD260" s="10">
        <v>60865</v>
      </c>
      <c r="AE260" s="10">
        <v>0</v>
      </c>
      <c r="AF260" s="10">
        <v>19080</v>
      </c>
      <c r="AG260" s="10">
        <v>6465</v>
      </c>
      <c r="AH260" s="10">
        <f t="shared" si="98"/>
        <v>486937.90999999992</v>
      </c>
      <c r="AI260" s="10">
        <v>1642313.91</v>
      </c>
      <c r="AJ260" s="10">
        <v>753948</v>
      </c>
      <c r="AK260" s="10">
        <v>0</v>
      </c>
      <c r="AL260" s="10">
        <v>71195</v>
      </c>
      <c r="AM260" s="10">
        <v>130041.25</v>
      </c>
      <c r="AN260" s="10">
        <v>118529</v>
      </c>
      <c r="AO260" s="10">
        <v>60865</v>
      </c>
      <c r="AP260" s="10">
        <v>5653.44</v>
      </c>
      <c r="AQ260" s="10">
        <v>19080</v>
      </c>
      <c r="AR260" s="10">
        <v>6465</v>
      </c>
      <c r="AS260" s="10">
        <f t="shared" si="101"/>
        <v>486937.90999999992</v>
      </c>
      <c r="AT260" s="10">
        <v>1652714.5999999999</v>
      </c>
      <c r="AU260" s="12">
        <v>18000</v>
      </c>
      <c r="AV260" s="12">
        <v>2224.8660483475205</v>
      </c>
      <c r="AW260" s="12">
        <v>2677.375</v>
      </c>
      <c r="AX260" s="12">
        <f t="shared" si="99"/>
        <v>22902.241048347521</v>
      </c>
      <c r="AY260" s="12">
        <v>20116.95</v>
      </c>
      <c r="AZ260" s="12">
        <v>2665.6517934386588</v>
      </c>
      <c r="BA260" s="12">
        <v>4051.375</v>
      </c>
      <c r="BB260" s="12">
        <f t="shared" si="100"/>
        <v>26833.976793438658</v>
      </c>
      <c r="BC260" s="12">
        <v>2116.9500000000007</v>
      </c>
      <c r="BD260" s="12">
        <v>440.78574509113832</v>
      </c>
      <c r="BE260" s="12">
        <v>1374</v>
      </c>
      <c r="BF260" s="12">
        <v>3931.7357450911391</v>
      </c>
    </row>
    <row r="261" spans="1:58" x14ac:dyDescent="0.25">
      <c r="A261" s="7">
        <v>857</v>
      </c>
      <c r="B261" s="7">
        <v>1</v>
      </c>
      <c r="C261" s="7" t="s">
        <v>262</v>
      </c>
      <c r="D261" s="4">
        <v>6</v>
      </c>
      <c r="E261" s="10">
        <v>766</v>
      </c>
      <c r="F261" s="8">
        <f t="shared" si="79"/>
        <v>22855</v>
      </c>
      <c r="G261" s="8">
        <f t="shared" si="80"/>
        <v>19838.38</v>
      </c>
      <c r="H261" s="8">
        <f t="shared" si="81"/>
        <v>1482</v>
      </c>
      <c r="I261" s="8">
        <f t="shared" si="82"/>
        <v>12.999999999887223</v>
      </c>
      <c r="J261" s="8">
        <f t="shared" si="83"/>
        <v>44188.379999999888</v>
      </c>
      <c r="K261" s="8">
        <f t="shared" si="84"/>
        <v>10475.430590883572</v>
      </c>
      <c r="L261" s="8">
        <f t="shared" si="85"/>
        <v>54663.810590883462</v>
      </c>
      <c r="M261" s="8">
        <f t="shared" si="86"/>
        <v>57.687180156657817</v>
      </c>
      <c r="N261" s="8">
        <f t="shared" si="87"/>
        <v>20955</v>
      </c>
      <c r="O261" s="8">
        <f t="shared" si="88"/>
        <v>0</v>
      </c>
      <c r="P261" s="8">
        <f t="shared" si="89"/>
        <v>636</v>
      </c>
      <c r="Q261" s="8">
        <f t="shared" si="90"/>
        <v>1264</v>
      </c>
      <c r="R261" s="8">
        <f t="shared" si="91"/>
        <v>0</v>
      </c>
      <c r="S261" s="8">
        <f t="shared" si="92"/>
        <v>0</v>
      </c>
      <c r="T261" s="8">
        <f t="shared" si="93"/>
        <v>19838.38</v>
      </c>
      <c r="U261" s="8">
        <f t="shared" si="94"/>
        <v>1482</v>
      </c>
      <c r="V261" s="8">
        <f t="shared" si="95"/>
        <v>13</v>
      </c>
      <c r="W261" s="8">
        <f t="shared" si="96"/>
        <v>0</v>
      </c>
      <c r="X261" s="8">
        <f t="shared" si="97"/>
        <v>44188.379999999888</v>
      </c>
      <c r="Y261" s="10">
        <v>4866589</v>
      </c>
      <c r="Z261" s="10">
        <v>0</v>
      </c>
      <c r="AA261" s="10">
        <v>147772</v>
      </c>
      <c r="AB261" s="10">
        <v>251132</v>
      </c>
      <c r="AC261" s="10">
        <v>0</v>
      </c>
      <c r="AD261" s="10">
        <v>57853</v>
      </c>
      <c r="AE261" s="10">
        <v>0</v>
      </c>
      <c r="AF261" s="10">
        <v>15262</v>
      </c>
      <c r="AG261" s="10">
        <v>101859</v>
      </c>
      <c r="AH261" s="10">
        <f t="shared" si="98"/>
        <v>897007.80999999959</v>
      </c>
      <c r="AI261" s="10">
        <v>6337474.8099999996</v>
      </c>
      <c r="AJ261" s="10">
        <v>4887544</v>
      </c>
      <c r="AK261" s="10">
        <v>0</v>
      </c>
      <c r="AL261" s="10">
        <v>148408</v>
      </c>
      <c r="AM261" s="10">
        <v>252396</v>
      </c>
      <c r="AN261" s="10">
        <v>0</v>
      </c>
      <c r="AO261" s="10">
        <v>57853</v>
      </c>
      <c r="AP261" s="10">
        <v>19838.38</v>
      </c>
      <c r="AQ261" s="10">
        <v>16744</v>
      </c>
      <c r="AR261" s="10">
        <v>101872</v>
      </c>
      <c r="AS261" s="10">
        <f t="shared" si="101"/>
        <v>897007.80999999959</v>
      </c>
      <c r="AT261" s="10">
        <v>6381663.1899999995</v>
      </c>
      <c r="AU261" s="12">
        <v>32400</v>
      </c>
      <c r="AV261" s="12">
        <v>8157.3686824848064</v>
      </c>
      <c r="AW261" s="12">
        <v>12050.375</v>
      </c>
      <c r="AX261" s="12">
        <f t="shared" si="99"/>
        <v>52607.743682484805</v>
      </c>
      <c r="AY261" s="12">
        <v>36210.51</v>
      </c>
      <c r="AZ261" s="12">
        <v>9773.4892733683737</v>
      </c>
      <c r="BA261" s="12">
        <v>17099.174999999999</v>
      </c>
      <c r="BB261" s="12">
        <f t="shared" si="100"/>
        <v>63083.174273368379</v>
      </c>
      <c r="BC261" s="12">
        <v>3810.510000000002</v>
      </c>
      <c r="BD261" s="12">
        <v>1616.1205908835673</v>
      </c>
      <c r="BE261" s="12">
        <v>5048.8000000000029</v>
      </c>
      <c r="BF261" s="12">
        <v>10475.430590883572</v>
      </c>
    </row>
    <row r="262" spans="1:58" x14ac:dyDescent="0.25">
      <c r="A262" s="7">
        <v>858</v>
      </c>
      <c r="B262" s="7">
        <v>1</v>
      </c>
      <c r="C262" s="7" t="s">
        <v>263</v>
      </c>
      <c r="D262" s="4">
        <v>6</v>
      </c>
      <c r="E262" s="10">
        <v>968</v>
      </c>
      <c r="F262" s="8">
        <f t="shared" si="79"/>
        <v>28268.5</v>
      </c>
      <c r="G262" s="8">
        <f t="shared" si="80"/>
        <v>22076.199999999997</v>
      </c>
      <c r="H262" s="8">
        <f t="shared" si="81"/>
        <v>2164</v>
      </c>
      <c r="I262" s="8">
        <f t="shared" si="82"/>
        <v>2.0000000001891749</v>
      </c>
      <c r="J262" s="8">
        <f t="shared" si="83"/>
        <v>52510.700000000186</v>
      </c>
      <c r="K262" s="8">
        <f t="shared" si="84"/>
        <v>11239.391751885389</v>
      </c>
      <c r="L262" s="8">
        <f t="shared" si="85"/>
        <v>63750.091751885571</v>
      </c>
      <c r="M262" s="8">
        <f t="shared" si="86"/>
        <v>54.246590909091104</v>
      </c>
      <c r="N262" s="8">
        <f t="shared" si="87"/>
        <v>26375</v>
      </c>
      <c r="O262" s="8">
        <f t="shared" si="88"/>
        <v>0</v>
      </c>
      <c r="P262" s="8">
        <f t="shared" si="89"/>
        <v>618</v>
      </c>
      <c r="Q262" s="8">
        <f t="shared" si="90"/>
        <v>1275.5</v>
      </c>
      <c r="R262" s="8">
        <f t="shared" si="91"/>
        <v>0</v>
      </c>
      <c r="S262" s="8">
        <f t="shared" si="92"/>
        <v>0</v>
      </c>
      <c r="T262" s="8">
        <f t="shared" si="93"/>
        <v>22076.199999999997</v>
      </c>
      <c r="U262" s="8">
        <f t="shared" si="94"/>
        <v>2164</v>
      </c>
      <c r="V262" s="8">
        <f t="shared" si="95"/>
        <v>2</v>
      </c>
      <c r="W262" s="8">
        <f t="shared" si="96"/>
        <v>0</v>
      </c>
      <c r="X262" s="8">
        <f t="shared" si="97"/>
        <v>52510.700000000186</v>
      </c>
      <c r="Y262" s="10">
        <v>6125330</v>
      </c>
      <c r="Z262" s="10">
        <v>0</v>
      </c>
      <c r="AA262" s="10">
        <v>143535</v>
      </c>
      <c r="AB262" s="10">
        <v>253416</v>
      </c>
      <c r="AC262" s="10">
        <v>0</v>
      </c>
      <c r="AD262" s="10">
        <v>0</v>
      </c>
      <c r="AE262" s="10">
        <v>0</v>
      </c>
      <c r="AF262" s="10">
        <v>27427</v>
      </c>
      <c r="AG262" s="10">
        <v>150316</v>
      </c>
      <c r="AH262" s="10">
        <f t="shared" si="98"/>
        <v>648854.20000000019</v>
      </c>
      <c r="AI262" s="10">
        <v>7348878.2000000002</v>
      </c>
      <c r="AJ262" s="10">
        <v>6151705</v>
      </c>
      <c r="AK262" s="10">
        <v>0</v>
      </c>
      <c r="AL262" s="10">
        <v>144153</v>
      </c>
      <c r="AM262" s="10">
        <v>254691.5</v>
      </c>
      <c r="AN262" s="10">
        <v>0</v>
      </c>
      <c r="AO262" s="10">
        <v>0</v>
      </c>
      <c r="AP262" s="10">
        <v>22076.199999999997</v>
      </c>
      <c r="AQ262" s="10">
        <v>29591</v>
      </c>
      <c r="AR262" s="10">
        <v>150318</v>
      </c>
      <c r="AS262" s="10">
        <f t="shared" si="101"/>
        <v>648854.20000000019</v>
      </c>
      <c r="AT262" s="10">
        <v>7401388.9000000004</v>
      </c>
      <c r="AU262" s="12">
        <v>41520</v>
      </c>
      <c r="AV262" s="12">
        <v>10463.940712641452</v>
      </c>
      <c r="AW262" s="12">
        <v>16996.25</v>
      </c>
      <c r="AX262" s="12">
        <f t="shared" si="99"/>
        <v>68980.190712641459</v>
      </c>
      <c r="AY262" s="12">
        <v>46403.097999999998</v>
      </c>
      <c r="AZ262" s="12">
        <v>12537.034464526831</v>
      </c>
      <c r="BA262" s="12">
        <v>21279.45</v>
      </c>
      <c r="BB262" s="12">
        <f t="shared" si="100"/>
        <v>80219.582464526829</v>
      </c>
      <c r="BC262" s="12">
        <v>4883.0979999999981</v>
      </c>
      <c r="BD262" s="12">
        <v>2073.0937518853789</v>
      </c>
      <c r="BE262" s="12">
        <v>4283.2000000000116</v>
      </c>
      <c r="BF262" s="12">
        <v>11239.391751885389</v>
      </c>
    </row>
    <row r="263" spans="1:58" x14ac:dyDescent="0.25">
      <c r="A263" s="7">
        <v>861</v>
      </c>
      <c r="B263" s="7">
        <v>1</v>
      </c>
      <c r="C263" s="7" t="s">
        <v>264</v>
      </c>
      <c r="D263" s="4">
        <v>4</v>
      </c>
      <c r="E263" s="10">
        <v>3087</v>
      </c>
      <c r="F263" s="8">
        <f t="shared" si="79"/>
        <v>92355</v>
      </c>
      <c r="G263" s="8">
        <f t="shared" si="80"/>
        <v>85740.819999999992</v>
      </c>
      <c r="H263" s="8">
        <f t="shared" si="81"/>
        <v>7507</v>
      </c>
      <c r="I263" s="8">
        <f t="shared" si="82"/>
        <v>749.00000000030559</v>
      </c>
      <c r="J263" s="8">
        <f t="shared" si="83"/>
        <v>186351.8200000003</v>
      </c>
      <c r="K263" s="8">
        <f t="shared" si="84"/>
        <v>49171.091888908923</v>
      </c>
      <c r="L263" s="8">
        <f t="shared" si="85"/>
        <v>235522.91188890924</v>
      </c>
      <c r="M263" s="8">
        <f t="shared" si="86"/>
        <v>60.36664075153881</v>
      </c>
      <c r="N263" s="8">
        <f t="shared" si="87"/>
        <v>82754</v>
      </c>
      <c r="O263" s="8">
        <f t="shared" si="88"/>
        <v>395</v>
      </c>
      <c r="P263" s="8">
        <f t="shared" si="89"/>
        <v>1555</v>
      </c>
      <c r="Q263" s="8">
        <f t="shared" si="90"/>
        <v>7651</v>
      </c>
      <c r="R263" s="8">
        <f t="shared" si="91"/>
        <v>0</v>
      </c>
      <c r="S263" s="8">
        <f t="shared" si="92"/>
        <v>0</v>
      </c>
      <c r="T263" s="8">
        <f t="shared" si="93"/>
        <v>85740.819999999992</v>
      </c>
      <c r="U263" s="8">
        <f t="shared" si="94"/>
        <v>7507</v>
      </c>
      <c r="V263" s="8">
        <f t="shared" si="95"/>
        <v>160</v>
      </c>
      <c r="W263" s="8">
        <f t="shared" si="96"/>
        <v>589</v>
      </c>
      <c r="X263" s="8">
        <f t="shared" si="97"/>
        <v>186351.8200000003</v>
      </c>
      <c r="Y263" s="10">
        <v>19218731</v>
      </c>
      <c r="Z263" s="10">
        <v>91851</v>
      </c>
      <c r="AA263" s="10">
        <v>360956</v>
      </c>
      <c r="AB263" s="10">
        <v>1520101</v>
      </c>
      <c r="AC263" s="10">
        <v>0</v>
      </c>
      <c r="AD263" s="10">
        <v>0</v>
      </c>
      <c r="AE263" s="10">
        <v>0</v>
      </c>
      <c r="AF263" s="10">
        <v>65860</v>
      </c>
      <c r="AG263" s="10">
        <v>245110</v>
      </c>
      <c r="AH263" s="10">
        <f t="shared" si="98"/>
        <v>7865646.1600000001</v>
      </c>
      <c r="AI263" s="10">
        <v>29368255.16</v>
      </c>
      <c r="AJ263" s="10">
        <v>19301485</v>
      </c>
      <c r="AK263" s="10">
        <v>92246</v>
      </c>
      <c r="AL263" s="10">
        <v>362511</v>
      </c>
      <c r="AM263" s="10">
        <v>1527752</v>
      </c>
      <c r="AN263" s="10">
        <v>0</v>
      </c>
      <c r="AO263" s="10">
        <v>0</v>
      </c>
      <c r="AP263" s="10">
        <v>85740.819999999992</v>
      </c>
      <c r="AQ263" s="10">
        <v>73367</v>
      </c>
      <c r="AR263" s="10">
        <v>245270</v>
      </c>
      <c r="AS263" s="10">
        <f t="shared" si="101"/>
        <v>7866235.1600000001</v>
      </c>
      <c r="AT263" s="10">
        <v>29554606.98</v>
      </c>
      <c r="AU263" s="12">
        <v>229560</v>
      </c>
      <c r="AV263" s="12">
        <v>48287.024281767677</v>
      </c>
      <c r="AW263" s="12">
        <v>40590.25</v>
      </c>
      <c r="AX263" s="12">
        <f t="shared" si="99"/>
        <v>318437.27428176766</v>
      </c>
      <c r="AY263" s="12">
        <v>256558.16899999999</v>
      </c>
      <c r="AZ263" s="12">
        <v>57853.547170676582</v>
      </c>
      <c r="BA263" s="12">
        <v>53196.65</v>
      </c>
      <c r="BB263" s="12">
        <f t="shared" si="100"/>
        <v>367608.3661706766</v>
      </c>
      <c r="BC263" s="12">
        <v>26998.168999999994</v>
      </c>
      <c r="BD263" s="12">
        <v>9566.5228889089049</v>
      </c>
      <c r="BE263" s="12">
        <v>12606.400000000023</v>
      </c>
      <c r="BF263" s="12">
        <v>49171.091888908923</v>
      </c>
    </row>
    <row r="264" spans="1:58" x14ac:dyDescent="0.25">
      <c r="A264" s="7">
        <v>876</v>
      </c>
      <c r="B264" s="7">
        <v>1</v>
      </c>
      <c r="C264" s="7" t="s">
        <v>265</v>
      </c>
      <c r="D264" s="4">
        <v>5</v>
      </c>
      <c r="E264" s="10">
        <v>1603</v>
      </c>
      <c r="F264" s="8">
        <f t="shared" si="79"/>
        <v>46381</v>
      </c>
      <c r="G264" s="8">
        <f t="shared" si="80"/>
        <v>0</v>
      </c>
      <c r="H264" s="8">
        <f t="shared" si="81"/>
        <v>2289</v>
      </c>
      <c r="I264" s="8">
        <f t="shared" si="82"/>
        <v>23</v>
      </c>
      <c r="J264" s="8">
        <f t="shared" si="83"/>
        <v>48693</v>
      </c>
      <c r="K264" s="8">
        <f t="shared" si="84"/>
        <v>21243.776267564223</v>
      </c>
      <c r="L264" s="8">
        <f t="shared" si="85"/>
        <v>69936.776267564215</v>
      </c>
      <c r="M264" s="8">
        <f t="shared" si="86"/>
        <v>30.376169681846537</v>
      </c>
      <c r="N264" s="8">
        <f t="shared" si="87"/>
        <v>43785</v>
      </c>
      <c r="O264" s="8">
        <f t="shared" si="88"/>
        <v>0</v>
      </c>
      <c r="P264" s="8">
        <f t="shared" si="89"/>
        <v>906</v>
      </c>
      <c r="Q264" s="8">
        <f t="shared" si="90"/>
        <v>1690</v>
      </c>
      <c r="R264" s="8">
        <f t="shared" si="91"/>
        <v>0</v>
      </c>
      <c r="S264" s="8">
        <f t="shared" si="92"/>
        <v>0</v>
      </c>
      <c r="T264" s="8">
        <f t="shared" si="93"/>
        <v>0</v>
      </c>
      <c r="U264" s="8">
        <f t="shared" si="94"/>
        <v>2289</v>
      </c>
      <c r="V264" s="8">
        <f t="shared" si="95"/>
        <v>23</v>
      </c>
      <c r="W264" s="8">
        <f t="shared" si="96"/>
        <v>0</v>
      </c>
      <c r="X264" s="8">
        <f t="shared" si="97"/>
        <v>48693</v>
      </c>
      <c r="Y264" s="10">
        <v>10168628</v>
      </c>
      <c r="Z264" s="10">
        <v>0</v>
      </c>
      <c r="AA264" s="10">
        <v>210443</v>
      </c>
      <c r="AB264" s="10">
        <v>335769</v>
      </c>
      <c r="AC264" s="10">
        <v>0</v>
      </c>
      <c r="AD264" s="10">
        <v>0</v>
      </c>
      <c r="AE264" s="10">
        <v>444600</v>
      </c>
      <c r="AF264" s="10">
        <v>14632</v>
      </c>
      <c r="AG264" s="10">
        <v>219980</v>
      </c>
      <c r="AH264" s="10">
        <f t="shared" si="98"/>
        <v>1732556.9600000009</v>
      </c>
      <c r="AI264" s="10">
        <v>13126608.960000001</v>
      </c>
      <c r="AJ264" s="10">
        <v>10212413</v>
      </c>
      <c r="AK264" s="10">
        <v>0</v>
      </c>
      <c r="AL264" s="10">
        <v>211349</v>
      </c>
      <c r="AM264" s="10">
        <v>337459</v>
      </c>
      <c r="AN264" s="10">
        <v>0</v>
      </c>
      <c r="AO264" s="10">
        <v>0</v>
      </c>
      <c r="AP264" s="10">
        <v>444600</v>
      </c>
      <c r="AQ264" s="10">
        <v>16921</v>
      </c>
      <c r="AR264" s="10">
        <v>220003</v>
      </c>
      <c r="AS264" s="10">
        <f t="shared" si="101"/>
        <v>1732556.9600000009</v>
      </c>
      <c r="AT264" s="10">
        <v>13175301.960000001</v>
      </c>
      <c r="AU264" s="12">
        <v>88200</v>
      </c>
      <c r="AV264" s="12">
        <v>17859.67659803047</v>
      </c>
      <c r="AW264" s="12">
        <v>23862.125</v>
      </c>
      <c r="AX264" s="12">
        <f t="shared" si="99"/>
        <v>129921.80159803046</v>
      </c>
      <c r="AY264" s="12">
        <v>98573.054999999993</v>
      </c>
      <c r="AZ264" s="12">
        <v>21397.997865594705</v>
      </c>
      <c r="BA264" s="12">
        <v>31194.525000000001</v>
      </c>
      <c r="BB264" s="12">
        <f t="shared" si="100"/>
        <v>151165.57786559471</v>
      </c>
      <c r="BC264" s="12">
        <v>10373.054999999993</v>
      </c>
      <c r="BD264" s="12">
        <v>3538.3212675642353</v>
      </c>
      <c r="BE264" s="12">
        <v>7332.3999999999942</v>
      </c>
      <c r="BF264" s="12">
        <v>21243.776267564223</v>
      </c>
    </row>
    <row r="265" spans="1:58" x14ac:dyDescent="0.25">
      <c r="A265" s="7">
        <v>877</v>
      </c>
      <c r="B265" s="7">
        <v>1</v>
      </c>
      <c r="C265" s="7" t="s">
        <v>266</v>
      </c>
      <c r="D265" s="4">
        <v>4</v>
      </c>
      <c r="E265" s="10">
        <v>5778</v>
      </c>
      <c r="F265" s="8">
        <f t="shared" si="79"/>
        <v>164974.25</v>
      </c>
      <c r="G265" s="8">
        <f t="shared" si="80"/>
        <v>116813.6</v>
      </c>
      <c r="H265" s="8">
        <f t="shared" si="81"/>
        <v>3402</v>
      </c>
      <c r="I265" s="8">
        <f t="shared" si="82"/>
        <v>1.4842953532934189E-9</v>
      </c>
      <c r="J265" s="8">
        <f t="shared" si="83"/>
        <v>285189.85000000149</v>
      </c>
      <c r="K265" s="8">
        <f t="shared" si="84"/>
        <v>77916.4754034707</v>
      </c>
      <c r="L265" s="8">
        <f t="shared" si="85"/>
        <v>363106.32540347218</v>
      </c>
      <c r="M265" s="8">
        <f t="shared" si="86"/>
        <v>49.35788335064062</v>
      </c>
      <c r="N265" s="8">
        <f t="shared" si="87"/>
        <v>157384</v>
      </c>
      <c r="O265" s="8">
        <f t="shared" si="88"/>
        <v>0</v>
      </c>
      <c r="P265" s="8">
        <f t="shared" si="89"/>
        <v>1571</v>
      </c>
      <c r="Q265" s="8">
        <f t="shared" si="90"/>
        <v>6019.25</v>
      </c>
      <c r="R265" s="8">
        <f t="shared" si="91"/>
        <v>0</v>
      </c>
      <c r="S265" s="8">
        <f t="shared" si="92"/>
        <v>0</v>
      </c>
      <c r="T265" s="8">
        <f t="shared" si="93"/>
        <v>116813.6</v>
      </c>
      <c r="U265" s="8">
        <f t="shared" si="94"/>
        <v>3402</v>
      </c>
      <c r="V265" s="8">
        <f t="shared" si="95"/>
        <v>0</v>
      </c>
      <c r="W265" s="8">
        <f t="shared" si="96"/>
        <v>0</v>
      </c>
      <c r="X265" s="8">
        <f t="shared" si="97"/>
        <v>285189.85000000149</v>
      </c>
      <c r="Y265" s="10">
        <v>36550802</v>
      </c>
      <c r="Z265" s="10">
        <v>0</v>
      </c>
      <c r="AA265" s="10">
        <v>364714</v>
      </c>
      <c r="AB265" s="10">
        <v>1195905</v>
      </c>
      <c r="AC265" s="10">
        <v>0</v>
      </c>
      <c r="AD265" s="10">
        <v>0</v>
      </c>
      <c r="AE265" s="10">
        <v>0</v>
      </c>
      <c r="AF265" s="10">
        <v>28775</v>
      </c>
      <c r="AG265" s="10">
        <v>906531</v>
      </c>
      <c r="AH265" s="10">
        <f t="shared" si="98"/>
        <v>6553572.5900000036</v>
      </c>
      <c r="AI265" s="10">
        <v>45600299.590000004</v>
      </c>
      <c r="AJ265" s="10">
        <v>36708186</v>
      </c>
      <c r="AK265" s="10">
        <v>0</v>
      </c>
      <c r="AL265" s="10">
        <v>366285</v>
      </c>
      <c r="AM265" s="10">
        <v>1201924.25</v>
      </c>
      <c r="AN265" s="10">
        <v>0</v>
      </c>
      <c r="AO265" s="10">
        <v>0</v>
      </c>
      <c r="AP265" s="10">
        <v>116813.6</v>
      </c>
      <c r="AQ265" s="10">
        <v>32177</v>
      </c>
      <c r="AR265" s="10">
        <v>906531</v>
      </c>
      <c r="AS265" s="10">
        <f t="shared" si="101"/>
        <v>6553572.5900000036</v>
      </c>
      <c r="AT265" s="10">
        <v>45885489.440000005</v>
      </c>
      <c r="AU265" s="12">
        <v>321960</v>
      </c>
      <c r="AV265" s="12">
        <v>65418.105596518086</v>
      </c>
      <c r="AW265" s="12">
        <v>77888.5</v>
      </c>
      <c r="AX265" s="12">
        <f t="shared" si="99"/>
        <v>465266.60559651809</v>
      </c>
      <c r="AY265" s="12">
        <v>359825.179</v>
      </c>
      <c r="AZ265" s="12">
        <v>78378.601999988736</v>
      </c>
      <c r="BA265" s="12">
        <v>104979.3</v>
      </c>
      <c r="BB265" s="12">
        <f t="shared" si="100"/>
        <v>543183.08099998871</v>
      </c>
      <c r="BC265" s="12">
        <v>37865.179000000004</v>
      </c>
      <c r="BD265" s="12">
        <v>12960.49640347065</v>
      </c>
      <c r="BE265" s="12">
        <v>27090.800000000047</v>
      </c>
      <c r="BF265" s="12">
        <v>77916.4754034707</v>
      </c>
    </row>
    <row r="266" spans="1:58" x14ac:dyDescent="0.25">
      <c r="A266" s="7">
        <v>879</v>
      </c>
      <c r="B266" s="7">
        <v>1</v>
      </c>
      <c r="C266" s="7" t="s">
        <v>267</v>
      </c>
      <c r="D266" s="4">
        <v>4</v>
      </c>
      <c r="E266" s="10">
        <v>2332</v>
      </c>
      <c r="F266" s="8">
        <f t="shared" si="79"/>
        <v>65299.25</v>
      </c>
      <c r="G266" s="8">
        <f t="shared" si="80"/>
        <v>0</v>
      </c>
      <c r="H266" s="8">
        <f t="shared" si="81"/>
        <v>0</v>
      </c>
      <c r="I266" s="8">
        <f t="shared" si="82"/>
        <v>28</v>
      </c>
      <c r="J266" s="8">
        <f t="shared" si="83"/>
        <v>65327.25</v>
      </c>
      <c r="K266" s="8">
        <f t="shared" si="84"/>
        <v>23347.48787942011</v>
      </c>
      <c r="L266" s="8">
        <f t="shared" si="85"/>
        <v>88674.737879420107</v>
      </c>
      <c r="M266" s="8">
        <f t="shared" si="86"/>
        <v>28.013400514579761</v>
      </c>
      <c r="N266" s="8">
        <f t="shared" si="87"/>
        <v>64005</v>
      </c>
      <c r="O266" s="8">
        <f t="shared" si="88"/>
        <v>0</v>
      </c>
      <c r="P266" s="8">
        <f t="shared" si="89"/>
        <v>742</v>
      </c>
      <c r="Q266" s="8">
        <f t="shared" si="90"/>
        <v>552.25</v>
      </c>
      <c r="R266" s="8">
        <f t="shared" si="91"/>
        <v>0</v>
      </c>
      <c r="S266" s="8">
        <f t="shared" si="92"/>
        <v>0</v>
      </c>
      <c r="T266" s="8">
        <f t="shared" si="93"/>
        <v>0</v>
      </c>
      <c r="U266" s="8">
        <f t="shared" si="94"/>
        <v>0</v>
      </c>
      <c r="V266" s="8">
        <f t="shared" si="95"/>
        <v>28</v>
      </c>
      <c r="W266" s="8">
        <f t="shared" si="96"/>
        <v>0</v>
      </c>
      <c r="X266" s="8">
        <f t="shared" si="97"/>
        <v>65327.25</v>
      </c>
      <c r="Y266" s="10">
        <v>14864521</v>
      </c>
      <c r="Z266" s="10">
        <v>0</v>
      </c>
      <c r="AA266" s="10">
        <v>172456</v>
      </c>
      <c r="AB266" s="10">
        <v>109721</v>
      </c>
      <c r="AC266" s="10">
        <v>0</v>
      </c>
      <c r="AD266" s="10">
        <v>0</v>
      </c>
      <c r="AE266" s="10">
        <v>618020</v>
      </c>
      <c r="AF266" s="10">
        <v>14457</v>
      </c>
      <c r="AG266" s="10">
        <v>328662</v>
      </c>
      <c r="AH266" s="10">
        <f t="shared" si="98"/>
        <v>3456664.5</v>
      </c>
      <c r="AI266" s="10">
        <v>19564501.5</v>
      </c>
      <c r="AJ266" s="10">
        <v>14928526</v>
      </c>
      <c r="AK266" s="10">
        <v>0</v>
      </c>
      <c r="AL266" s="10">
        <v>173198</v>
      </c>
      <c r="AM266" s="10">
        <v>110273.25</v>
      </c>
      <c r="AN266" s="10">
        <v>0</v>
      </c>
      <c r="AO266" s="10">
        <v>0</v>
      </c>
      <c r="AP266" s="10">
        <v>618020</v>
      </c>
      <c r="AQ266" s="10">
        <v>14457</v>
      </c>
      <c r="AR266" s="10">
        <v>328690</v>
      </c>
      <c r="AS266" s="10">
        <f t="shared" si="101"/>
        <v>3456664.5</v>
      </c>
      <c r="AT266" s="10">
        <v>19629828.75</v>
      </c>
      <c r="AU266" s="12">
        <v>111600</v>
      </c>
      <c r="AV266" s="12">
        <v>17870.158296373029</v>
      </c>
      <c r="AW266" s="12">
        <v>32007.625</v>
      </c>
      <c r="AX266" s="12">
        <f t="shared" si="99"/>
        <v>161477.78329637303</v>
      </c>
      <c r="AY266" s="12">
        <v>124725.09</v>
      </c>
      <c r="AZ266" s="12">
        <v>21410.556175793143</v>
      </c>
      <c r="BA266" s="12">
        <v>38689.625</v>
      </c>
      <c r="BB266" s="12">
        <f t="shared" si="100"/>
        <v>184825.27117579314</v>
      </c>
      <c r="BC266" s="12">
        <v>13125.089999999997</v>
      </c>
      <c r="BD266" s="12">
        <v>3540.3978794201139</v>
      </c>
      <c r="BE266" s="12">
        <v>6682</v>
      </c>
      <c r="BF266" s="12">
        <v>23347.48787942011</v>
      </c>
    </row>
    <row r="267" spans="1:58" x14ac:dyDescent="0.25">
      <c r="A267" s="7">
        <v>881</v>
      </c>
      <c r="B267" s="7">
        <v>1</v>
      </c>
      <c r="C267" s="7" t="s">
        <v>268</v>
      </c>
      <c r="D267" s="4">
        <v>5</v>
      </c>
      <c r="E267" s="10">
        <v>909</v>
      </c>
      <c r="F267" s="8">
        <f t="shared" si="79"/>
        <v>26281.75</v>
      </c>
      <c r="G267" s="8">
        <f t="shared" si="80"/>
        <v>0</v>
      </c>
      <c r="H267" s="8">
        <f t="shared" si="81"/>
        <v>0</v>
      </c>
      <c r="I267" s="8">
        <f t="shared" si="82"/>
        <v>13</v>
      </c>
      <c r="J267" s="8">
        <f t="shared" si="83"/>
        <v>26294.75</v>
      </c>
      <c r="K267" s="8">
        <f t="shared" si="84"/>
        <v>11661.876193380987</v>
      </c>
      <c r="L267" s="8">
        <f t="shared" si="85"/>
        <v>37956.626193380987</v>
      </c>
      <c r="M267" s="8">
        <f t="shared" si="86"/>
        <v>28.927117711771178</v>
      </c>
      <c r="N267" s="8">
        <f t="shared" si="87"/>
        <v>25085</v>
      </c>
      <c r="O267" s="8">
        <f t="shared" si="88"/>
        <v>0</v>
      </c>
      <c r="P267" s="8">
        <f t="shared" si="89"/>
        <v>451</v>
      </c>
      <c r="Q267" s="8">
        <f t="shared" si="90"/>
        <v>745.75</v>
      </c>
      <c r="R267" s="8">
        <f t="shared" si="91"/>
        <v>0</v>
      </c>
      <c r="S267" s="8">
        <f t="shared" si="92"/>
        <v>0</v>
      </c>
      <c r="T267" s="8">
        <f t="shared" si="93"/>
        <v>0</v>
      </c>
      <c r="U267" s="8">
        <f t="shared" si="94"/>
        <v>0</v>
      </c>
      <c r="V267" s="8">
        <f t="shared" si="95"/>
        <v>13</v>
      </c>
      <c r="W267" s="8">
        <f t="shared" si="96"/>
        <v>0</v>
      </c>
      <c r="X267" s="8">
        <f t="shared" si="97"/>
        <v>26294.75</v>
      </c>
      <c r="Y267" s="10">
        <v>5825740</v>
      </c>
      <c r="Z267" s="10">
        <v>0</v>
      </c>
      <c r="AA267" s="10">
        <v>104844</v>
      </c>
      <c r="AB267" s="10">
        <v>148166</v>
      </c>
      <c r="AC267" s="10">
        <v>0</v>
      </c>
      <c r="AD267" s="10">
        <v>0</v>
      </c>
      <c r="AE267" s="10">
        <v>239460</v>
      </c>
      <c r="AF267" s="10">
        <v>0</v>
      </c>
      <c r="AG267" s="10">
        <v>126249</v>
      </c>
      <c r="AH267" s="10">
        <f t="shared" si="98"/>
        <v>1001987.7800000003</v>
      </c>
      <c r="AI267" s="10">
        <v>7446446.7800000003</v>
      </c>
      <c r="AJ267" s="10">
        <v>5850825</v>
      </c>
      <c r="AK267" s="10">
        <v>0</v>
      </c>
      <c r="AL267" s="10">
        <v>105295</v>
      </c>
      <c r="AM267" s="10">
        <v>148911.75</v>
      </c>
      <c r="AN267" s="10">
        <v>0</v>
      </c>
      <c r="AO267" s="10">
        <v>0</v>
      </c>
      <c r="AP267" s="10">
        <v>239460</v>
      </c>
      <c r="AQ267" s="10">
        <v>0</v>
      </c>
      <c r="AR267" s="10">
        <v>126262</v>
      </c>
      <c r="AS267" s="10">
        <f t="shared" si="101"/>
        <v>1001987.7800000003</v>
      </c>
      <c r="AT267" s="10">
        <v>7472741.5300000003</v>
      </c>
      <c r="AU267" s="12">
        <v>55200</v>
      </c>
      <c r="AV267" s="12">
        <v>10039.963036090496</v>
      </c>
      <c r="AW267" s="12">
        <v>14687.25</v>
      </c>
      <c r="AX267" s="12">
        <f t="shared" si="99"/>
        <v>79927.213036090499</v>
      </c>
      <c r="AY267" s="12">
        <v>61691.98</v>
      </c>
      <c r="AZ267" s="12">
        <v>12029.059229471477</v>
      </c>
      <c r="BA267" s="12">
        <v>17868.05</v>
      </c>
      <c r="BB267" s="12">
        <f t="shared" si="100"/>
        <v>91589.089229471487</v>
      </c>
      <c r="BC267" s="12">
        <v>6491.9800000000032</v>
      </c>
      <c r="BD267" s="12">
        <v>1989.0961933809813</v>
      </c>
      <c r="BE267" s="12">
        <v>3180.8000000000029</v>
      </c>
      <c r="BF267" s="12">
        <v>11661.876193380987</v>
      </c>
    </row>
    <row r="268" spans="1:58" x14ac:dyDescent="0.25">
      <c r="A268" s="7">
        <v>882</v>
      </c>
      <c r="B268" s="7">
        <v>1</v>
      </c>
      <c r="C268" s="7" t="s">
        <v>269</v>
      </c>
      <c r="D268" s="4">
        <v>4</v>
      </c>
      <c r="E268" s="10">
        <v>4007</v>
      </c>
      <c r="F268" s="8">
        <f t="shared" si="79"/>
        <v>114276.5</v>
      </c>
      <c r="G268" s="8">
        <f t="shared" si="80"/>
        <v>91874.439999999988</v>
      </c>
      <c r="H268" s="8">
        <f t="shared" si="81"/>
        <v>7123</v>
      </c>
      <c r="I268" s="8">
        <f t="shared" si="82"/>
        <v>295.00000000135333</v>
      </c>
      <c r="J268" s="8">
        <f t="shared" si="83"/>
        <v>213568.94000000134</v>
      </c>
      <c r="K268" s="8">
        <f t="shared" si="84"/>
        <v>43705.428160096082</v>
      </c>
      <c r="L268" s="8">
        <f t="shared" si="85"/>
        <v>257274.36816009742</v>
      </c>
      <c r="M268" s="8">
        <f t="shared" si="86"/>
        <v>53.298961816820899</v>
      </c>
      <c r="N268" s="8">
        <f t="shared" si="87"/>
        <v>108820</v>
      </c>
      <c r="O268" s="8">
        <f t="shared" si="88"/>
        <v>0</v>
      </c>
      <c r="P268" s="8">
        <f t="shared" si="89"/>
        <v>1001</v>
      </c>
      <c r="Q268" s="8">
        <f t="shared" si="90"/>
        <v>4455.5</v>
      </c>
      <c r="R268" s="8">
        <f t="shared" si="91"/>
        <v>0</v>
      </c>
      <c r="S268" s="8">
        <f t="shared" si="92"/>
        <v>0</v>
      </c>
      <c r="T268" s="8">
        <f t="shared" si="93"/>
        <v>91874.439999999988</v>
      </c>
      <c r="U268" s="8">
        <f t="shared" si="94"/>
        <v>7123</v>
      </c>
      <c r="V268" s="8">
        <f t="shared" si="95"/>
        <v>65</v>
      </c>
      <c r="W268" s="8">
        <f t="shared" si="96"/>
        <v>230</v>
      </c>
      <c r="X268" s="8">
        <f t="shared" si="97"/>
        <v>213568.94000000134</v>
      </c>
      <c r="Y268" s="10">
        <v>25272357</v>
      </c>
      <c r="Z268" s="10">
        <v>0</v>
      </c>
      <c r="AA268" s="10">
        <v>232508</v>
      </c>
      <c r="AB268" s="10">
        <v>885219</v>
      </c>
      <c r="AC268" s="10">
        <v>0</v>
      </c>
      <c r="AD268" s="10">
        <v>0</v>
      </c>
      <c r="AE268" s="10">
        <v>0</v>
      </c>
      <c r="AF268" s="10">
        <v>55895</v>
      </c>
      <c r="AG268" s="10">
        <v>533878</v>
      </c>
      <c r="AH268" s="10">
        <f t="shared" si="98"/>
        <v>5621328.4600000009</v>
      </c>
      <c r="AI268" s="10">
        <v>32601185.460000001</v>
      </c>
      <c r="AJ268" s="10">
        <v>25381177</v>
      </c>
      <c r="AK268" s="10">
        <v>0</v>
      </c>
      <c r="AL268" s="10">
        <v>233509</v>
      </c>
      <c r="AM268" s="10">
        <v>889674.5</v>
      </c>
      <c r="AN268" s="10">
        <v>0</v>
      </c>
      <c r="AO268" s="10">
        <v>0</v>
      </c>
      <c r="AP268" s="10">
        <v>91874.439999999988</v>
      </c>
      <c r="AQ268" s="10">
        <v>63018</v>
      </c>
      <c r="AR268" s="10">
        <v>533943</v>
      </c>
      <c r="AS268" s="10">
        <f t="shared" si="101"/>
        <v>5621558.4600000009</v>
      </c>
      <c r="AT268" s="10">
        <v>32814754.400000002</v>
      </c>
      <c r="AU268" s="12">
        <v>153720</v>
      </c>
      <c r="AV268" s="12">
        <v>40104.785870584907</v>
      </c>
      <c r="AW268" s="12">
        <v>57033.875</v>
      </c>
      <c r="AX268" s="12">
        <f t="shared" si="99"/>
        <v>250858.66087058489</v>
      </c>
      <c r="AY268" s="12">
        <v>171798.753</v>
      </c>
      <c r="AZ268" s="12">
        <v>48050.26103068098</v>
      </c>
      <c r="BA268" s="12">
        <v>74715.074999999997</v>
      </c>
      <c r="BB268" s="12">
        <f t="shared" si="100"/>
        <v>294564.089030681</v>
      </c>
      <c r="BC268" s="12">
        <v>18078.752999999997</v>
      </c>
      <c r="BD268" s="12">
        <v>7945.4751600960735</v>
      </c>
      <c r="BE268" s="12">
        <v>17681.200000000012</v>
      </c>
      <c r="BF268" s="12">
        <v>43705.428160096082</v>
      </c>
    </row>
    <row r="269" spans="1:58" x14ac:dyDescent="0.25">
      <c r="A269" s="7">
        <v>883</v>
      </c>
      <c r="B269" s="7">
        <v>1</v>
      </c>
      <c r="C269" s="7" t="s">
        <v>270</v>
      </c>
      <c r="D269" s="4">
        <v>5</v>
      </c>
      <c r="E269" s="10">
        <v>1636</v>
      </c>
      <c r="F269" s="8">
        <f t="shared" si="79"/>
        <v>46878.75</v>
      </c>
      <c r="G269" s="8">
        <f t="shared" si="80"/>
        <v>0</v>
      </c>
      <c r="H269" s="8">
        <f t="shared" si="81"/>
        <v>4011</v>
      </c>
      <c r="I269" s="8">
        <f t="shared" si="82"/>
        <v>0</v>
      </c>
      <c r="J269" s="8">
        <f t="shared" si="83"/>
        <v>50889.75</v>
      </c>
      <c r="K269" s="8">
        <f t="shared" si="84"/>
        <v>15598.969665794049</v>
      </c>
      <c r="L269" s="8">
        <f t="shared" si="85"/>
        <v>66488.719665794051</v>
      </c>
      <c r="M269" s="8">
        <f t="shared" si="86"/>
        <v>31.106204156479219</v>
      </c>
      <c r="N269" s="8">
        <f t="shared" si="87"/>
        <v>44455</v>
      </c>
      <c r="O269" s="8">
        <f t="shared" si="88"/>
        <v>0</v>
      </c>
      <c r="P269" s="8">
        <f t="shared" si="89"/>
        <v>460</v>
      </c>
      <c r="Q269" s="8">
        <f t="shared" si="90"/>
        <v>1963.75</v>
      </c>
      <c r="R269" s="8">
        <f t="shared" si="91"/>
        <v>0</v>
      </c>
      <c r="S269" s="8">
        <f t="shared" si="92"/>
        <v>0</v>
      </c>
      <c r="T269" s="8">
        <f t="shared" si="93"/>
        <v>0</v>
      </c>
      <c r="U269" s="8">
        <f t="shared" si="94"/>
        <v>4011</v>
      </c>
      <c r="V269" s="8">
        <f t="shared" si="95"/>
        <v>0</v>
      </c>
      <c r="W269" s="8">
        <f t="shared" si="96"/>
        <v>0</v>
      </c>
      <c r="X269" s="8">
        <f t="shared" si="97"/>
        <v>50889.75</v>
      </c>
      <c r="Y269" s="10">
        <v>10324229</v>
      </c>
      <c r="Z269" s="10">
        <v>0</v>
      </c>
      <c r="AA269" s="10">
        <v>106828</v>
      </c>
      <c r="AB269" s="10">
        <v>390158</v>
      </c>
      <c r="AC269" s="10">
        <v>0</v>
      </c>
      <c r="AD269" s="10">
        <v>0</v>
      </c>
      <c r="AE269" s="10">
        <v>432120</v>
      </c>
      <c r="AF269" s="10">
        <v>25492</v>
      </c>
      <c r="AG269" s="10">
        <v>256061</v>
      </c>
      <c r="AH269" s="10">
        <f t="shared" si="98"/>
        <v>1789010.5899999999</v>
      </c>
      <c r="AI269" s="10">
        <v>13323898.59</v>
      </c>
      <c r="AJ269" s="10">
        <v>10368684</v>
      </c>
      <c r="AK269" s="10">
        <v>0</v>
      </c>
      <c r="AL269" s="10">
        <v>107288</v>
      </c>
      <c r="AM269" s="10">
        <v>392121.75</v>
      </c>
      <c r="AN269" s="10">
        <v>0</v>
      </c>
      <c r="AO269" s="10">
        <v>0</v>
      </c>
      <c r="AP269" s="10">
        <v>432120</v>
      </c>
      <c r="AQ269" s="10">
        <v>29503</v>
      </c>
      <c r="AR269" s="10">
        <v>256061</v>
      </c>
      <c r="AS269" s="10">
        <f t="shared" si="101"/>
        <v>1789010.5899999999</v>
      </c>
      <c r="AT269" s="10">
        <v>13374788.34</v>
      </c>
      <c r="AU269" s="12">
        <v>66840</v>
      </c>
      <c r="AV269" s="12">
        <v>16176.372690595368</v>
      </c>
      <c r="AW269" s="12">
        <v>21271.5</v>
      </c>
      <c r="AX269" s="12">
        <f t="shared" si="99"/>
        <v>104287.87269059537</v>
      </c>
      <c r="AY269" s="12">
        <v>74700.941000000006</v>
      </c>
      <c r="AZ269" s="12">
        <v>19381.2013563894</v>
      </c>
      <c r="BA269" s="12">
        <v>25804.7</v>
      </c>
      <c r="BB269" s="12">
        <f t="shared" si="100"/>
        <v>119886.8423563894</v>
      </c>
      <c r="BC269" s="12">
        <v>7860.9410000000062</v>
      </c>
      <c r="BD269" s="12">
        <v>3204.8286657940316</v>
      </c>
      <c r="BE269" s="12">
        <v>4533.2000000000116</v>
      </c>
      <c r="BF269" s="12">
        <v>15598.969665794049</v>
      </c>
    </row>
    <row r="270" spans="1:58" x14ac:dyDescent="0.25">
      <c r="A270" s="7">
        <v>885</v>
      </c>
      <c r="B270" s="7">
        <v>1</v>
      </c>
      <c r="C270" s="7" t="s">
        <v>271</v>
      </c>
      <c r="D270" s="4">
        <v>4</v>
      </c>
      <c r="E270" s="10">
        <v>5784</v>
      </c>
      <c r="F270" s="8">
        <f t="shared" si="79"/>
        <v>159732.5</v>
      </c>
      <c r="G270" s="8">
        <f t="shared" si="80"/>
        <v>0</v>
      </c>
      <c r="H270" s="8">
        <f t="shared" si="81"/>
        <v>3774</v>
      </c>
      <c r="I270" s="8">
        <f t="shared" si="82"/>
        <v>38</v>
      </c>
      <c r="J270" s="8">
        <f t="shared" si="83"/>
        <v>163544.5</v>
      </c>
      <c r="K270" s="8">
        <f t="shared" si="84"/>
        <v>49971.689935708593</v>
      </c>
      <c r="L270" s="8">
        <f t="shared" si="85"/>
        <v>213516.18993570859</v>
      </c>
      <c r="M270" s="8">
        <f t="shared" si="86"/>
        <v>28.275328492392809</v>
      </c>
      <c r="N270" s="8">
        <f t="shared" si="87"/>
        <v>157960</v>
      </c>
      <c r="O270" s="8">
        <f t="shared" si="88"/>
        <v>0</v>
      </c>
      <c r="P270" s="8">
        <f t="shared" si="89"/>
        <v>325</v>
      </c>
      <c r="Q270" s="8">
        <f t="shared" si="90"/>
        <v>1447.5</v>
      </c>
      <c r="R270" s="8">
        <f t="shared" si="91"/>
        <v>0</v>
      </c>
      <c r="S270" s="8">
        <f t="shared" si="92"/>
        <v>0</v>
      </c>
      <c r="T270" s="8">
        <f t="shared" si="93"/>
        <v>0</v>
      </c>
      <c r="U270" s="8">
        <f t="shared" si="94"/>
        <v>3774</v>
      </c>
      <c r="V270" s="8">
        <f t="shared" si="95"/>
        <v>38</v>
      </c>
      <c r="W270" s="8">
        <f t="shared" si="96"/>
        <v>0</v>
      </c>
      <c r="X270" s="8">
        <f t="shared" si="97"/>
        <v>163544.5</v>
      </c>
      <c r="Y270" s="10">
        <v>36684630</v>
      </c>
      <c r="Z270" s="10">
        <v>0</v>
      </c>
      <c r="AA270" s="10">
        <v>75583</v>
      </c>
      <c r="AB270" s="10">
        <v>287589</v>
      </c>
      <c r="AC270" s="10">
        <v>0</v>
      </c>
      <c r="AD270" s="10">
        <v>0</v>
      </c>
      <c r="AE270" s="10">
        <v>1494220</v>
      </c>
      <c r="AF270" s="10">
        <v>46618</v>
      </c>
      <c r="AG270" s="10">
        <v>854742</v>
      </c>
      <c r="AH270" s="10">
        <f t="shared" si="98"/>
        <v>6205008.4299999997</v>
      </c>
      <c r="AI270" s="10">
        <v>45648390.43</v>
      </c>
      <c r="AJ270" s="10">
        <v>36842590</v>
      </c>
      <c r="AK270" s="10">
        <v>0</v>
      </c>
      <c r="AL270" s="10">
        <v>75908</v>
      </c>
      <c r="AM270" s="10">
        <v>289036.5</v>
      </c>
      <c r="AN270" s="10">
        <v>0</v>
      </c>
      <c r="AO270" s="10">
        <v>0</v>
      </c>
      <c r="AP270" s="10">
        <v>1494220</v>
      </c>
      <c r="AQ270" s="10">
        <v>50392</v>
      </c>
      <c r="AR270" s="10">
        <v>854780</v>
      </c>
      <c r="AS270" s="10">
        <f t="shared" si="101"/>
        <v>6205008.4299999997</v>
      </c>
      <c r="AT270" s="10">
        <v>45811934.93</v>
      </c>
      <c r="AU270" s="12">
        <v>239400</v>
      </c>
      <c r="AV270" s="12">
        <v>39700.883787988882</v>
      </c>
      <c r="AW270" s="12">
        <v>80283.875</v>
      </c>
      <c r="AX270" s="12">
        <f t="shared" si="99"/>
        <v>359384.75878798886</v>
      </c>
      <c r="AY270" s="12">
        <v>267555.435</v>
      </c>
      <c r="AZ270" s="12">
        <v>47566.33872369743</v>
      </c>
      <c r="BA270" s="12">
        <v>94234.675000000003</v>
      </c>
      <c r="BB270" s="12">
        <f t="shared" si="100"/>
        <v>409356.44872369739</v>
      </c>
      <c r="BC270" s="12">
        <v>28155.434999999998</v>
      </c>
      <c r="BD270" s="12">
        <v>7865.4549357085489</v>
      </c>
      <c r="BE270" s="12">
        <v>13950.800000000047</v>
      </c>
      <c r="BF270" s="12">
        <v>49971.689935708593</v>
      </c>
    </row>
    <row r="271" spans="1:58" x14ac:dyDescent="0.25">
      <c r="A271" s="7">
        <v>891</v>
      </c>
      <c r="B271" s="7">
        <v>1</v>
      </c>
      <c r="C271" s="7" t="s">
        <v>272</v>
      </c>
      <c r="D271" s="4">
        <v>6</v>
      </c>
      <c r="E271" s="10">
        <v>505</v>
      </c>
      <c r="F271" s="8">
        <f t="shared" si="79"/>
        <v>16222</v>
      </c>
      <c r="G271" s="8">
        <f t="shared" si="80"/>
        <v>12687.020000000002</v>
      </c>
      <c r="H271" s="8">
        <f t="shared" si="81"/>
        <v>0</v>
      </c>
      <c r="I271" s="8">
        <f t="shared" si="82"/>
        <v>7.9999999995507096</v>
      </c>
      <c r="J271" s="8">
        <f t="shared" si="83"/>
        <v>28917.019999999553</v>
      </c>
      <c r="K271" s="8">
        <f t="shared" si="84"/>
        <v>8452.2903204389586</v>
      </c>
      <c r="L271" s="8">
        <f t="shared" si="85"/>
        <v>37369.310320438512</v>
      </c>
      <c r="M271" s="8">
        <f t="shared" si="86"/>
        <v>57.261425742573373</v>
      </c>
      <c r="N271" s="8">
        <f t="shared" si="87"/>
        <v>13395</v>
      </c>
      <c r="O271" s="8">
        <f t="shared" si="88"/>
        <v>3</v>
      </c>
      <c r="P271" s="8">
        <f t="shared" si="89"/>
        <v>753</v>
      </c>
      <c r="Q271" s="8">
        <f t="shared" si="90"/>
        <v>725</v>
      </c>
      <c r="R271" s="8">
        <f t="shared" si="91"/>
        <v>1346</v>
      </c>
      <c r="S271" s="8">
        <f t="shared" si="92"/>
        <v>0</v>
      </c>
      <c r="T271" s="8">
        <f t="shared" si="93"/>
        <v>12687.020000000002</v>
      </c>
      <c r="U271" s="8">
        <f t="shared" si="94"/>
        <v>0</v>
      </c>
      <c r="V271" s="8">
        <f t="shared" si="95"/>
        <v>8</v>
      </c>
      <c r="W271" s="8">
        <f t="shared" si="96"/>
        <v>0</v>
      </c>
      <c r="X271" s="8">
        <f t="shared" si="97"/>
        <v>28917.019999999553</v>
      </c>
      <c r="Y271" s="10">
        <v>3110855</v>
      </c>
      <c r="Z271" s="10">
        <v>650</v>
      </c>
      <c r="AA271" s="10">
        <v>175026</v>
      </c>
      <c r="AB271" s="10">
        <v>144043</v>
      </c>
      <c r="AC271" s="10">
        <v>284014</v>
      </c>
      <c r="AD271" s="10">
        <v>128796</v>
      </c>
      <c r="AE271" s="10">
        <v>0</v>
      </c>
      <c r="AF271" s="10">
        <v>15854</v>
      </c>
      <c r="AG271" s="10">
        <v>66131</v>
      </c>
      <c r="AH271" s="10">
        <f t="shared" si="98"/>
        <v>548641.83999999985</v>
      </c>
      <c r="AI271" s="10">
        <v>4474010.84</v>
      </c>
      <c r="AJ271" s="10">
        <v>3124250</v>
      </c>
      <c r="AK271" s="10">
        <v>653</v>
      </c>
      <c r="AL271" s="10">
        <v>175779</v>
      </c>
      <c r="AM271" s="10">
        <v>144768</v>
      </c>
      <c r="AN271" s="10">
        <v>285360</v>
      </c>
      <c r="AO271" s="10">
        <v>128796</v>
      </c>
      <c r="AP271" s="10">
        <v>12687.020000000002</v>
      </c>
      <c r="AQ271" s="10">
        <v>15854</v>
      </c>
      <c r="AR271" s="10">
        <v>66139</v>
      </c>
      <c r="AS271" s="10">
        <f t="shared" si="101"/>
        <v>548641.83999999939</v>
      </c>
      <c r="AT271" s="10">
        <v>4502927.8599999994</v>
      </c>
      <c r="AU271" s="12">
        <v>18000</v>
      </c>
      <c r="AV271" s="12">
        <v>5342.9822674156221</v>
      </c>
      <c r="AW271" s="12">
        <v>8271.75</v>
      </c>
      <c r="AX271" s="12">
        <f t="shared" si="99"/>
        <v>31614.732267415624</v>
      </c>
      <c r="AY271" s="12">
        <v>20116.95</v>
      </c>
      <c r="AZ271" s="12">
        <v>6401.5225878545771</v>
      </c>
      <c r="BA271" s="12">
        <v>13548.55</v>
      </c>
      <c r="BB271" s="12">
        <f t="shared" si="100"/>
        <v>40067.022587854575</v>
      </c>
      <c r="BC271" s="12">
        <v>2116.9500000000007</v>
      </c>
      <c r="BD271" s="12">
        <v>1058.540320438955</v>
      </c>
      <c r="BE271" s="12">
        <v>5276.8000000000029</v>
      </c>
      <c r="BF271" s="12">
        <v>8452.2903204389586</v>
      </c>
    </row>
    <row r="272" spans="1:58" x14ac:dyDescent="0.25">
      <c r="A272" s="7">
        <v>911</v>
      </c>
      <c r="B272" s="7">
        <v>1</v>
      </c>
      <c r="C272" s="7" t="s">
        <v>273</v>
      </c>
      <c r="D272" s="4">
        <v>4</v>
      </c>
      <c r="E272" s="10">
        <v>5212</v>
      </c>
      <c r="F272" s="8">
        <f t="shared" si="79"/>
        <v>153696</v>
      </c>
      <c r="G272" s="8">
        <f t="shared" si="80"/>
        <v>98548.64</v>
      </c>
      <c r="H272" s="8">
        <f t="shared" si="81"/>
        <v>10343</v>
      </c>
      <c r="I272" s="8">
        <f t="shared" si="82"/>
        <v>5.9662852436304092E-10</v>
      </c>
      <c r="J272" s="8">
        <f t="shared" si="83"/>
        <v>262587.6400000006</v>
      </c>
      <c r="K272" s="8">
        <f t="shared" si="84"/>
        <v>71643.231542759037</v>
      </c>
      <c r="L272" s="8">
        <f t="shared" si="85"/>
        <v>334230.87154275965</v>
      </c>
      <c r="M272" s="8">
        <f t="shared" si="86"/>
        <v>50.381358403683919</v>
      </c>
      <c r="N272" s="8">
        <f t="shared" si="87"/>
        <v>141081</v>
      </c>
      <c r="O272" s="8">
        <f t="shared" si="88"/>
        <v>0</v>
      </c>
      <c r="P272" s="8">
        <f t="shared" si="89"/>
        <v>2169</v>
      </c>
      <c r="Q272" s="8">
        <f t="shared" si="90"/>
        <v>10446</v>
      </c>
      <c r="R272" s="8">
        <f t="shared" si="91"/>
        <v>0</v>
      </c>
      <c r="S272" s="8">
        <f t="shared" si="92"/>
        <v>0</v>
      </c>
      <c r="T272" s="8">
        <f t="shared" si="93"/>
        <v>98548.64</v>
      </c>
      <c r="U272" s="8">
        <f t="shared" si="94"/>
        <v>10343</v>
      </c>
      <c r="V272" s="8">
        <f t="shared" si="95"/>
        <v>0</v>
      </c>
      <c r="W272" s="8">
        <f t="shared" si="96"/>
        <v>0</v>
      </c>
      <c r="X272" s="8">
        <f t="shared" si="97"/>
        <v>262587.6400000006</v>
      </c>
      <c r="Y272" s="10">
        <v>32764710</v>
      </c>
      <c r="Z272" s="10">
        <v>0</v>
      </c>
      <c r="AA272" s="10">
        <v>503722</v>
      </c>
      <c r="AB272" s="10">
        <v>2075411</v>
      </c>
      <c r="AC272" s="10">
        <v>0</v>
      </c>
      <c r="AD272" s="10">
        <v>0</v>
      </c>
      <c r="AE272" s="10">
        <v>0</v>
      </c>
      <c r="AF272" s="10">
        <v>28100</v>
      </c>
      <c r="AG272" s="10">
        <v>812629</v>
      </c>
      <c r="AH272" s="10">
        <f t="shared" si="98"/>
        <v>5300747.950000003</v>
      </c>
      <c r="AI272" s="10">
        <v>41485319.950000003</v>
      </c>
      <c r="AJ272" s="10">
        <v>32905791</v>
      </c>
      <c r="AK272" s="10">
        <v>0</v>
      </c>
      <c r="AL272" s="10">
        <v>505891</v>
      </c>
      <c r="AM272" s="10">
        <v>2085857</v>
      </c>
      <c r="AN272" s="10">
        <v>0</v>
      </c>
      <c r="AO272" s="10">
        <v>0</v>
      </c>
      <c r="AP272" s="10">
        <v>98548.64</v>
      </c>
      <c r="AQ272" s="10">
        <v>38443</v>
      </c>
      <c r="AR272" s="10">
        <v>812629</v>
      </c>
      <c r="AS272" s="10">
        <f t="shared" si="101"/>
        <v>5300747.950000003</v>
      </c>
      <c r="AT272" s="10">
        <v>41747907.590000004</v>
      </c>
      <c r="AU272" s="12">
        <v>256800</v>
      </c>
      <c r="AV272" s="12">
        <v>61378.667762076453</v>
      </c>
      <c r="AW272" s="12">
        <v>69520.5</v>
      </c>
      <c r="AX272" s="12">
        <f t="shared" si="99"/>
        <v>387699.16776207648</v>
      </c>
      <c r="AY272" s="12">
        <v>287001.82</v>
      </c>
      <c r="AZ272" s="12">
        <v>73538.879304835529</v>
      </c>
      <c r="BA272" s="12">
        <v>98801.7</v>
      </c>
      <c r="BB272" s="12">
        <f t="shared" si="100"/>
        <v>459342.39930483553</v>
      </c>
      <c r="BC272" s="12">
        <v>30201.820000000007</v>
      </c>
      <c r="BD272" s="12">
        <v>12160.211542759076</v>
      </c>
      <c r="BE272" s="12">
        <v>29281.199999999953</v>
      </c>
      <c r="BF272" s="12">
        <v>71643.231542759037</v>
      </c>
    </row>
    <row r="273" spans="1:58" x14ac:dyDescent="0.25">
      <c r="A273" s="7">
        <v>912</v>
      </c>
      <c r="B273" s="7">
        <v>1</v>
      </c>
      <c r="C273" s="7" t="s">
        <v>274</v>
      </c>
      <c r="D273" s="4">
        <v>5</v>
      </c>
      <c r="E273" s="10">
        <v>1855</v>
      </c>
      <c r="F273" s="8">
        <f t="shared" ref="F273:F336" si="102">SUM(N273:S273)</f>
        <v>56218</v>
      </c>
      <c r="G273" s="8">
        <f t="shared" ref="G273:G336" si="103">T273</f>
        <v>42636.36</v>
      </c>
      <c r="H273" s="8">
        <f t="shared" ref="H273:H336" si="104">U273</f>
        <v>0</v>
      </c>
      <c r="I273" s="8">
        <f t="shared" ref="I273:I336" si="105">J273-F273-G273-H273</f>
        <v>-5.9662852436304092E-10</v>
      </c>
      <c r="J273" s="8">
        <f t="shared" ref="J273:J336" si="106">X273</f>
        <v>98854.359999999404</v>
      </c>
      <c r="K273" s="8">
        <f t="shared" ref="K273:K336" si="107">BF273</f>
        <v>26214.909670053996</v>
      </c>
      <c r="L273" s="8">
        <f t="shared" ref="L273:L336" si="108">J273+K273</f>
        <v>125069.2696700534</v>
      </c>
      <c r="M273" s="8">
        <f t="shared" ref="M273:M336" si="109">IF(E273=0,0,J273/E273)</f>
        <v>53.290760107816389</v>
      </c>
      <c r="N273" s="8">
        <f t="shared" ref="N273:N336" si="110">AJ273-Y273</f>
        <v>48998</v>
      </c>
      <c r="O273" s="8">
        <f t="shared" ref="O273:O336" si="111">AK273-Z273</f>
        <v>0</v>
      </c>
      <c r="P273" s="8">
        <f t="shared" ref="P273:P336" si="112">AL273-AA273</f>
        <v>1215</v>
      </c>
      <c r="Q273" s="8">
        <f t="shared" ref="Q273:Q336" si="113">AM273-AB273</f>
        <v>6005</v>
      </c>
      <c r="R273" s="8">
        <f t="shared" ref="R273:R336" si="114">AN273-AC273</f>
        <v>0</v>
      </c>
      <c r="S273" s="8">
        <f t="shared" ref="S273:S336" si="115">AO273-AD273</f>
        <v>0</v>
      </c>
      <c r="T273" s="8">
        <f t="shared" ref="T273:T336" si="116">AP273-AE273</f>
        <v>42636.36</v>
      </c>
      <c r="U273" s="8">
        <f t="shared" ref="U273:U336" si="117">AQ273-AF273</f>
        <v>0</v>
      </c>
      <c r="V273" s="8">
        <f t="shared" ref="V273:V336" si="118">AR273-AG273</f>
        <v>0</v>
      </c>
      <c r="W273" s="8">
        <f t="shared" ref="W273:W336" si="119">AS273-AH273</f>
        <v>0</v>
      </c>
      <c r="X273" s="8">
        <f t="shared" ref="X273:X336" si="120">AT273-AI273</f>
        <v>98854.359999999404</v>
      </c>
      <c r="Y273" s="10">
        <v>11379179</v>
      </c>
      <c r="Z273" s="10">
        <v>0</v>
      </c>
      <c r="AA273" s="10">
        <v>282033</v>
      </c>
      <c r="AB273" s="10">
        <v>1193073</v>
      </c>
      <c r="AC273" s="10">
        <v>0</v>
      </c>
      <c r="AD273" s="10">
        <v>0</v>
      </c>
      <c r="AE273" s="10">
        <v>0</v>
      </c>
      <c r="AF273" s="10">
        <v>14558</v>
      </c>
      <c r="AG273" s="10">
        <v>282226</v>
      </c>
      <c r="AH273" s="10">
        <f t="shared" ref="AH273:AH336" si="121">AI273-SUM(Y273:AG273)</f>
        <v>1168943.3399999999</v>
      </c>
      <c r="AI273" s="10">
        <v>14320012.34</v>
      </c>
      <c r="AJ273" s="10">
        <v>11428177</v>
      </c>
      <c r="AK273" s="10">
        <v>0</v>
      </c>
      <c r="AL273" s="10">
        <v>283248</v>
      </c>
      <c r="AM273" s="10">
        <v>1199078</v>
      </c>
      <c r="AN273" s="10">
        <v>0</v>
      </c>
      <c r="AO273" s="10">
        <v>0</v>
      </c>
      <c r="AP273" s="10">
        <v>42636.36</v>
      </c>
      <c r="AQ273" s="10">
        <v>14558</v>
      </c>
      <c r="AR273" s="10">
        <v>282226</v>
      </c>
      <c r="AS273" s="10">
        <f t="shared" si="101"/>
        <v>1168943.3399999999</v>
      </c>
      <c r="AT273" s="10">
        <v>14418866.699999999</v>
      </c>
      <c r="AU273" s="12">
        <v>80520</v>
      </c>
      <c r="AV273" s="12">
        <v>24879.564967097511</v>
      </c>
      <c r="AW273" s="12">
        <v>29832</v>
      </c>
      <c r="AX273" s="12">
        <f t="shared" ref="AX273:AX336" si="122">AU273+AV273+AW273</f>
        <v>135231.56496709751</v>
      </c>
      <c r="AY273" s="12">
        <v>89989.823000000004</v>
      </c>
      <c r="AZ273" s="12">
        <v>29808.651637151503</v>
      </c>
      <c r="BA273" s="12">
        <v>41648</v>
      </c>
      <c r="BB273" s="12">
        <f t="shared" ref="BB273:BB336" si="123">AY273+AZ273+BA273</f>
        <v>161446.47463715152</v>
      </c>
      <c r="BC273" s="12">
        <v>9469.823000000004</v>
      </c>
      <c r="BD273" s="12">
        <v>4929.0866700539918</v>
      </c>
      <c r="BE273" s="12">
        <v>11816</v>
      </c>
      <c r="BF273" s="12">
        <v>26214.909670053996</v>
      </c>
    </row>
    <row r="274" spans="1:58" x14ac:dyDescent="0.25">
      <c r="A274" s="7">
        <v>914</v>
      </c>
      <c r="B274" s="7">
        <v>1</v>
      </c>
      <c r="C274" s="7" t="s">
        <v>275</v>
      </c>
      <c r="D274" s="4">
        <v>6</v>
      </c>
      <c r="E274" s="10">
        <v>312</v>
      </c>
      <c r="F274" s="8">
        <f t="shared" si="102"/>
        <v>9578.75</v>
      </c>
      <c r="G274" s="8">
        <f t="shared" si="103"/>
        <v>9600.58</v>
      </c>
      <c r="H274" s="8">
        <f t="shared" si="104"/>
        <v>0</v>
      </c>
      <c r="I274" s="8">
        <f t="shared" si="105"/>
        <v>7.4578565545380116E-11</v>
      </c>
      <c r="J274" s="8">
        <f t="shared" si="106"/>
        <v>19179.330000000075</v>
      </c>
      <c r="K274" s="8">
        <f t="shared" si="107"/>
        <v>3750.527965181454</v>
      </c>
      <c r="L274" s="8">
        <f t="shared" si="108"/>
        <v>22929.857965181527</v>
      </c>
      <c r="M274" s="8">
        <f t="shared" si="109"/>
        <v>61.472211538461778</v>
      </c>
      <c r="N274" s="8">
        <f t="shared" si="110"/>
        <v>8485</v>
      </c>
      <c r="O274" s="8">
        <f t="shared" si="111"/>
        <v>0</v>
      </c>
      <c r="P274" s="8">
        <f t="shared" si="112"/>
        <v>455</v>
      </c>
      <c r="Q274" s="8">
        <f t="shared" si="113"/>
        <v>503.75</v>
      </c>
      <c r="R274" s="8">
        <f t="shared" si="114"/>
        <v>135</v>
      </c>
      <c r="S274" s="8">
        <f t="shared" si="115"/>
        <v>0</v>
      </c>
      <c r="T274" s="8">
        <f t="shared" si="116"/>
        <v>9600.58</v>
      </c>
      <c r="U274" s="8">
        <f t="shared" si="117"/>
        <v>0</v>
      </c>
      <c r="V274" s="8">
        <f t="shared" si="118"/>
        <v>0</v>
      </c>
      <c r="W274" s="8">
        <f t="shared" si="119"/>
        <v>0</v>
      </c>
      <c r="X274" s="8">
        <f t="shared" si="120"/>
        <v>19179.330000000075</v>
      </c>
      <c r="Y274" s="10">
        <v>1970556</v>
      </c>
      <c r="Z274" s="10">
        <v>0</v>
      </c>
      <c r="AA274" s="10">
        <v>105654</v>
      </c>
      <c r="AB274" s="10">
        <v>100085</v>
      </c>
      <c r="AC274" s="10">
        <v>28304</v>
      </c>
      <c r="AD274" s="10">
        <v>119358</v>
      </c>
      <c r="AE274" s="10">
        <v>0</v>
      </c>
      <c r="AF274" s="10">
        <v>0</v>
      </c>
      <c r="AG274" s="10">
        <v>16970</v>
      </c>
      <c r="AH274" s="10">
        <f t="shared" si="121"/>
        <v>831930.66000000015</v>
      </c>
      <c r="AI274" s="10">
        <v>3172857.66</v>
      </c>
      <c r="AJ274" s="10">
        <v>1979041</v>
      </c>
      <c r="AK274" s="10">
        <v>0</v>
      </c>
      <c r="AL274" s="10">
        <v>106109</v>
      </c>
      <c r="AM274" s="10">
        <v>100588.75</v>
      </c>
      <c r="AN274" s="10">
        <v>28439</v>
      </c>
      <c r="AO274" s="10">
        <v>119358</v>
      </c>
      <c r="AP274" s="10">
        <v>9600.58</v>
      </c>
      <c r="AQ274" s="10">
        <v>0</v>
      </c>
      <c r="AR274" s="10">
        <v>16970</v>
      </c>
      <c r="AS274" s="10">
        <f t="shared" si="101"/>
        <v>831930.66000000015</v>
      </c>
      <c r="AT274" s="10">
        <v>3192036.99</v>
      </c>
      <c r="AU274" s="12">
        <v>18000</v>
      </c>
      <c r="AV274" s="12">
        <v>2798.2227792533981</v>
      </c>
      <c r="AW274" s="12">
        <v>5529.5</v>
      </c>
      <c r="AX274" s="12">
        <f t="shared" si="122"/>
        <v>26327.722779253399</v>
      </c>
      <c r="AY274" s="12">
        <v>20116.95</v>
      </c>
      <c r="AZ274" s="12">
        <v>3352.6007444348543</v>
      </c>
      <c r="BA274" s="12">
        <v>6608.7</v>
      </c>
      <c r="BB274" s="12">
        <f t="shared" si="123"/>
        <v>30078.250744434856</v>
      </c>
      <c r="BC274" s="12">
        <v>2116.9500000000007</v>
      </c>
      <c r="BD274" s="12">
        <v>554.37796518145615</v>
      </c>
      <c r="BE274" s="12">
        <v>1079.1999999999971</v>
      </c>
      <c r="BF274" s="12">
        <v>3750.527965181454</v>
      </c>
    </row>
    <row r="275" spans="1:58" x14ac:dyDescent="0.25">
      <c r="A275" s="7">
        <v>2071</v>
      </c>
      <c r="B275" s="7">
        <v>1</v>
      </c>
      <c r="C275" s="7" t="s">
        <v>276</v>
      </c>
      <c r="D275" s="4">
        <v>6</v>
      </c>
      <c r="E275" s="10">
        <v>874</v>
      </c>
      <c r="F275" s="8">
        <f t="shared" si="102"/>
        <v>25693.25</v>
      </c>
      <c r="G275" s="8">
        <f t="shared" si="103"/>
        <v>21828.560000000001</v>
      </c>
      <c r="H275" s="8">
        <f t="shared" si="104"/>
        <v>0</v>
      </c>
      <c r="I275" s="8">
        <f t="shared" si="105"/>
        <v>13.999999999588908</v>
      </c>
      <c r="J275" s="8">
        <f t="shared" si="106"/>
        <v>47535.80999999959</v>
      </c>
      <c r="K275" s="8">
        <f t="shared" si="107"/>
        <v>13139.1108705837</v>
      </c>
      <c r="L275" s="8">
        <f t="shared" si="108"/>
        <v>60674.920870583286</v>
      </c>
      <c r="M275" s="8">
        <f t="shared" si="109"/>
        <v>54.388798627001819</v>
      </c>
      <c r="N275" s="8">
        <f t="shared" si="110"/>
        <v>23705</v>
      </c>
      <c r="O275" s="8">
        <f t="shared" si="111"/>
        <v>0</v>
      </c>
      <c r="P275" s="8">
        <f t="shared" si="112"/>
        <v>694</v>
      </c>
      <c r="Q275" s="8">
        <f t="shared" si="113"/>
        <v>1294.25</v>
      </c>
      <c r="R275" s="8">
        <f t="shared" si="114"/>
        <v>0</v>
      </c>
      <c r="S275" s="8">
        <f t="shared" si="115"/>
        <v>0</v>
      </c>
      <c r="T275" s="8">
        <f t="shared" si="116"/>
        <v>21828.560000000001</v>
      </c>
      <c r="U275" s="8">
        <f t="shared" si="117"/>
        <v>0</v>
      </c>
      <c r="V275" s="8">
        <f t="shared" si="118"/>
        <v>14</v>
      </c>
      <c r="W275" s="8">
        <f t="shared" si="119"/>
        <v>0</v>
      </c>
      <c r="X275" s="8">
        <f t="shared" si="120"/>
        <v>47535.80999999959</v>
      </c>
      <c r="Y275" s="10">
        <v>5505249</v>
      </c>
      <c r="Z275" s="10">
        <v>0</v>
      </c>
      <c r="AA275" s="10">
        <v>161212</v>
      </c>
      <c r="AB275" s="10">
        <v>257142</v>
      </c>
      <c r="AC275" s="10">
        <v>0</v>
      </c>
      <c r="AD275" s="10">
        <v>6340</v>
      </c>
      <c r="AE275" s="10">
        <v>0</v>
      </c>
      <c r="AF275" s="10">
        <v>0</v>
      </c>
      <c r="AG275" s="10">
        <v>116039</v>
      </c>
      <c r="AH275" s="10">
        <f t="shared" si="121"/>
        <v>965048.34999999963</v>
      </c>
      <c r="AI275" s="10">
        <v>7011030.3499999996</v>
      </c>
      <c r="AJ275" s="10">
        <v>5528954</v>
      </c>
      <c r="AK275" s="10">
        <v>0</v>
      </c>
      <c r="AL275" s="10">
        <v>161906</v>
      </c>
      <c r="AM275" s="10">
        <v>258436.25</v>
      </c>
      <c r="AN275" s="10">
        <v>0</v>
      </c>
      <c r="AO275" s="10">
        <v>6340</v>
      </c>
      <c r="AP275" s="10">
        <v>21828.560000000001</v>
      </c>
      <c r="AQ275" s="10">
        <v>0</v>
      </c>
      <c r="AR275" s="10">
        <v>116053</v>
      </c>
      <c r="AS275" s="10">
        <f t="shared" si="101"/>
        <v>965048.34999999963</v>
      </c>
      <c r="AT275" s="10">
        <v>7058566.1599999992</v>
      </c>
      <c r="AU275" s="12">
        <v>47280</v>
      </c>
      <c r="AV275" s="12">
        <v>11002.48432427122</v>
      </c>
      <c r="AW275" s="12">
        <v>13257.875</v>
      </c>
      <c r="AX275" s="12">
        <f t="shared" si="122"/>
        <v>71540.359324271223</v>
      </c>
      <c r="AY275" s="12">
        <v>52840.521999999997</v>
      </c>
      <c r="AZ275" s="12">
        <v>13182.273194854919</v>
      </c>
      <c r="BA275" s="12">
        <v>18656.674999999999</v>
      </c>
      <c r="BB275" s="12">
        <f t="shared" si="123"/>
        <v>84679.470194854919</v>
      </c>
      <c r="BC275" s="12">
        <v>5560.5219999999972</v>
      </c>
      <c r="BD275" s="12">
        <v>2179.7888705836995</v>
      </c>
      <c r="BE275" s="12">
        <v>5398.8000000000029</v>
      </c>
      <c r="BF275" s="12">
        <v>13139.1108705837</v>
      </c>
    </row>
    <row r="276" spans="1:58" x14ac:dyDescent="0.25">
      <c r="A276" s="7">
        <v>2125</v>
      </c>
      <c r="B276" s="7">
        <v>1</v>
      </c>
      <c r="C276" s="7" t="s">
        <v>277</v>
      </c>
      <c r="D276" s="4">
        <v>5</v>
      </c>
      <c r="E276" s="10">
        <v>1225</v>
      </c>
      <c r="F276" s="8">
        <f t="shared" si="102"/>
        <v>37320.75</v>
      </c>
      <c r="G276" s="8">
        <f t="shared" si="103"/>
        <v>29414.800000000003</v>
      </c>
      <c r="H276" s="8">
        <f t="shared" si="104"/>
        <v>835</v>
      </c>
      <c r="I276" s="8">
        <f t="shared" si="105"/>
        <v>-61.999999999257852</v>
      </c>
      <c r="J276" s="8">
        <f t="shared" si="106"/>
        <v>67508.550000000745</v>
      </c>
      <c r="K276" s="8">
        <f t="shared" si="107"/>
        <v>14943.391987269048</v>
      </c>
      <c r="L276" s="8">
        <f t="shared" si="108"/>
        <v>82451.941987269791</v>
      </c>
      <c r="M276" s="8">
        <f t="shared" si="109"/>
        <v>55.109020408163872</v>
      </c>
      <c r="N276" s="8">
        <f t="shared" si="110"/>
        <v>33230</v>
      </c>
      <c r="O276" s="8">
        <f t="shared" si="111"/>
        <v>0</v>
      </c>
      <c r="P276" s="8">
        <f t="shared" si="112"/>
        <v>873</v>
      </c>
      <c r="Q276" s="8">
        <f t="shared" si="113"/>
        <v>3217.75</v>
      </c>
      <c r="R276" s="8">
        <f t="shared" si="114"/>
        <v>0</v>
      </c>
      <c r="S276" s="8">
        <f t="shared" si="115"/>
        <v>0</v>
      </c>
      <c r="T276" s="8">
        <f t="shared" si="116"/>
        <v>29414.800000000003</v>
      </c>
      <c r="U276" s="8">
        <f t="shared" si="117"/>
        <v>835</v>
      </c>
      <c r="V276" s="8">
        <f t="shared" si="118"/>
        <v>3</v>
      </c>
      <c r="W276" s="8">
        <f t="shared" si="119"/>
        <v>-65</v>
      </c>
      <c r="X276" s="8">
        <f t="shared" si="120"/>
        <v>67508.550000000745</v>
      </c>
      <c r="Y276" s="10">
        <v>7717335</v>
      </c>
      <c r="Z276" s="10">
        <v>0</v>
      </c>
      <c r="AA276" s="10">
        <v>202769</v>
      </c>
      <c r="AB276" s="10">
        <v>639303</v>
      </c>
      <c r="AC276" s="10">
        <v>0</v>
      </c>
      <c r="AD276" s="10">
        <v>0</v>
      </c>
      <c r="AE276" s="10">
        <v>0</v>
      </c>
      <c r="AF276" s="10">
        <v>26894</v>
      </c>
      <c r="AG276" s="10">
        <v>186670</v>
      </c>
      <c r="AH276" s="10">
        <f t="shared" si="121"/>
        <v>834632.69999999925</v>
      </c>
      <c r="AI276" s="10">
        <v>9607603.6999999993</v>
      </c>
      <c r="AJ276" s="10">
        <v>7750565</v>
      </c>
      <c r="AK276" s="10">
        <v>0</v>
      </c>
      <c r="AL276" s="10">
        <v>203642</v>
      </c>
      <c r="AM276" s="10">
        <v>642520.75</v>
      </c>
      <c r="AN276" s="10">
        <v>0</v>
      </c>
      <c r="AO276" s="10">
        <v>0</v>
      </c>
      <c r="AP276" s="10">
        <v>29414.800000000003</v>
      </c>
      <c r="AQ276" s="10">
        <v>27729</v>
      </c>
      <c r="AR276" s="10">
        <v>186673</v>
      </c>
      <c r="AS276" s="10">
        <f t="shared" si="101"/>
        <v>834567.69999999925</v>
      </c>
      <c r="AT276" s="10">
        <v>9675112.25</v>
      </c>
      <c r="AU276" s="12">
        <v>57240</v>
      </c>
      <c r="AV276" s="12">
        <v>16010.119758240506</v>
      </c>
      <c r="AW276" s="12">
        <v>18580.125</v>
      </c>
      <c r="AX276" s="12">
        <f t="shared" si="122"/>
        <v>91830.2447582405</v>
      </c>
      <c r="AY276" s="12">
        <v>63971.900999999998</v>
      </c>
      <c r="AZ276" s="12">
        <v>19182.010745509549</v>
      </c>
      <c r="BA276" s="12">
        <v>23619.724999999999</v>
      </c>
      <c r="BB276" s="12">
        <f t="shared" si="123"/>
        <v>106773.63674550955</v>
      </c>
      <c r="BC276" s="12">
        <v>6731.900999999998</v>
      </c>
      <c r="BD276" s="12">
        <v>3171.8909872690438</v>
      </c>
      <c r="BE276" s="12">
        <v>5039.6000000000058</v>
      </c>
      <c r="BF276" s="12">
        <v>14943.391987269048</v>
      </c>
    </row>
    <row r="277" spans="1:58" x14ac:dyDescent="0.25">
      <c r="A277" s="7">
        <v>2134</v>
      </c>
      <c r="B277" s="7">
        <v>1</v>
      </c>
      <c r="C277" s="7" t="s">
        <v>278</v>
      </c>
      <c r="D277" s="4">
        <v>6</v>
      </c>
      <c r="E277" s="10">
        <v>632</v>
      </c>
      <c r="F277" s="8">
        <f t="shared" si="102"/>
        <v>20016.5</v>
      </c>
      <c r="G277" s="8">
        <f t="shared" si="103"/>
        <v>19083.38</v>
      </c>
      <c r="H277" s="8">
        <f t="shared" si="104"/>
        <v>0</v>
      </c>
      <c r="I277" s="8">
        <f t="shared" si="105"/>
        <v>31.999999999887223</v>
      </c>
      <c r="J277" s="8">
        <f t="shared" si="106"/>
        <v>39131.879999999888</v>
      </c>
      <c r="K277" s="8">
        <f t="shared" si="107"/>
        <v>10519.660752002936</v>
      </c>
      <c r="L277" s="8">
        <f t="shared" si="108"/>
        <v>49651.540752002824</v>
      </c>
      <c r="M277" s="8">
        <f t="shared" si="109"/>
        <v>61.91753164556944</v>
      </c>
      <c r="N277" s="8">
        <f t="shared" si="110"/>
        <v>17370</v>
      </c>
      <c r="O277" s="8">
        <f t="shared" si="111"/>
        <v>0</v>
      </c>
      <c r="P277" s="8">
        <f t="shared" si="112"/>
        <v>721</v>
      </c>
      <c r="Q277" s="8">
        <f t="shared" si="113"/>
        <v>1753.5</v>
      </c>
      <c r="R277" s="8">
        <f t="shared" si="114"/>
        <v>172</v>
      </c>
      <c r="S277" s="8">
        <f t="shared" si="115"/>
        <v>0</v>
      </c>
      <c r="T277" s="8">
        <f t="shared" si="116"/>
        <v>19083.38</v>
      </c>
      <c r="U277" s="8">
        <f t="shared" si="117"/>
        <v>0</v>
      </c>
      <c r="V277" s="8">
        <f t="shared" si="118"/>
        <v>32</v>
      </c>
      <c r="W277" s="8">
        <f t="shared" si="119"/>
        <v>0</v>
      </c>
      <c r="X277" s="8">
        <f t="shared" si="120"/>
        <v>39131.879999999888</v>
      </c>
      <c r="Y277" s="10">
        <v>4034009</v>
      </c>
      <c r="Z277" s="10">
        <v>0</v>
      </c>
      <c r="AA277" s="10">
        <v>167513</v>
      </c>
      <c r="AB277" s="10">
        <v>348385</v>
      </c>
      <c r="AC277" s="10">
        <v>36343</v>
      </c>
      <c r="AD277" s="10">
        <v>104415</v>
      </c>
      <c r="AE277" s="10">
        <v>0</v>
      </c>
      <c r="AF277" s="10">
        <v>15514</v>
      </c>
      <c r="AG277" s="10">
        <v>53375</v>
      </c>
      <c r="AH277" s="10">
        <f t="shared" si="121"/>
        <v>1421657.7999999998</v>
      </c>
      <c r="AI277" s="10">
        <v>6181211.7999999998</v>
      </c>
      <c r="AJ277" s="10">
        <v>4051379</v>
      </c>
      <c r="AK277" s="10">
        <v>0</v>
      </c>
      <c r="AL277" s="10">
        <v>168234</v>
      </c>
      <c r="AM277" s="10">
        <v>350138.5</v>
      </c>
      <c r="AN277" s="10">
        <v>36515</v>
      </c>
      <c r="AO277" s="10">
        <v>104415</v>
      </c>
      <c r="AP277" s="10">
        <v>19083.38</v>
      </c>
      <c r="AQ277" s="10">
        <v>15514</v>
      </c>
      <c r="AR277" s="10">
        <v>53407</v>
      </c>
      <c r="AS277" s="10">
        <f t="shared" si="101"/>
        <v>1421657.7999999998</v>
      </c>
      <c r="AT277" s="10">
        <v>6220343.6799999997</v>
      </c>
      <c r="AU277" s="12">
        <v>36000</v>
      </c>
      <c r="AV277" s="12">
        <v>10109.944395734792</v>
      </c>
      <c r="AW277" s="12">
        <v>11899.875</v>
      </c>
      <c r="AX277" s="12">
        <f t="shared" si="122"/>
        <v>58009.81939573479</v>
      </c>
      <c r="AY277" s="12">
        <v>40233.9</v>
      </c>
      <c r="AZ277" s="12">
        <v>12112.905147737723</v>
      </c>
      <c r="BA277" s="12">
        <v>16182.674999999999</v>
      </c>
      <c r="BB277" s="12">
        <f t="shared" si="123"/>
        <v>68529.480147737719</v>
      </c>
      <c r="BC277" s="12">
        <v>4233.9000000000015</v>
      </c>
      <c r="BD277" s="12">
        <v>2002.9607520029313</v>
      </c>
      <c r="BE277" s="12">
        <v>4282.8000000000029</v>
      </c>
      <c r="BF277" s="12">
        <v>10519.660752002936</v>
      </c>
    </row>
    <row r="278" spans="1:58" x14ac:dyDescent="0.25">
      <c r="A278" s="7">
        <v>2135</v>
      </c>
      <c r="B278" s="7">
        <v>1</v>
      </c>
      <c r="C278" s="7" t="s">
        <v>279</v>
      </c>
      <c r="D278" s="4">
        <v>5</v>
      </c>
      <c r="E278" s="10">
        <v>1023</v>
      </c>
      <c r="F278" s="8">
        <f t="shared" si="102"/>
        <v>31389.5</v>
      </c>
      <c r="G278" s="8">
        <f t="shared" si="103"/>
        <v>26277.019999999997</v>
      </c>
      <c r="H278" s="8">
        <f t="shared" si="104"/>
        <v>0</v>
      </c>
      <c r="I278" s="8">
        <f t="shared" si="105"/>
        <v>-73.000000000443833</v>
      </c>
      <c r="J278" s="8">
        <f t="shared" si="106"/>
        <v>57593.519999999553</v>
      </c>
      <c r="K278" s="8">
        <f t="shared" si="107"/>
        <v>13367.801081418485</v>
      </c>
      <c r="L278" s="8">
        <f t="shared" si="108"/>
        <v>70961.321081418035</v>
      </c>
      <c r="M278" s="8">
        <f t="shared" si="109"/>
        <v>56.298651026392527</v>
      </c>
      <c r="N278" s="8">
        <f t="shared" si="110"/>
        <v>28200</v>
      </c>
      <c r="O278" s="8">
        <f t="shared" si="111"/>
        <v>92</v>
      </c>
      <c r="P278" s="8">
        <f t="shared" si="112"/>
        <v>1027</v>
      </c>
      <c r="Q278" s="8">
        <f t="shared" si="113"/>
        <v>2070.5</v>
      </c>
      <c r="R278" s="8">
        <f t="shared" si="114"/>
        <v>0</v>
      </c>
      <c r="S278" s="8">
        <f t="shared" si="115"/>
        <v>0</v>
      </c>
      <c r="T278" s="8">
        <f t="shared" si="116"/>
        <v>26277.019999999997</v>
      </c>
      <c r="U278" s="8">
        <f t="shared" si="117"/>
        <v>0</v>
      </c>
      <c r="V278" s="8">
        <f t="shared" si="118"/>
        <v>25</v>
      </c>
      <c r="W278" s="8">
        <f t="shared" si="119"/>
        <v>-98</v>
      </c>
      <c r="X278" s="8">
        <f t="shared" si="120"/>
        <v>57593.519999999553</v>
      </c>
      <c r="Y278" s="10">
        <v>6549168</v>
      </c>
      <c r="Z278" s="10">
        <v>21459</v>
      </c>
      <c r="AA278" s="10">
        <v>238444</v>
      </c>
      <c r="AB278" s="10">
        <v>411367</v>
      </c>
      <c r="AC278" s="10">
        <v>0</v>
      </c>
      <c r="AD278" s="10">
        <v>0</v>
      </c>
      <c r="AE278" s="10">
        <v>0</v>
      </c>
      <c r="AF278" s="10">
        <v>0</v>
      </c>
      <c r="AG278" s="10">
        <v>126630</v>
      </c>
      <c r="AH278" s="10">
        <f t="shared" si="121"/>
        <v>1405816.0500000007</v>
      </c>
      <c r="AI278" s="10">
        <v>8752884.0500000007</v>
      </c>
      <c r="AJ278" s="10">
        <v>6577368</v>
      </c>
      <c r="AK278" s="10">
        <v>21551</v>
      </c>
      <c r="AL278" s="10">
        <v>239471</v>
      </c>
      <c r="AM278" s="10">
        <v>413437.5</v>
      </c>
      <c r="AN278" s="10">
        <v>0</v>
      </c>
      <c r="AO278" s="10">
        <v>0</v>
      </c>
      <c r="AP278" s="10">
        <v>26277.019999999997</v>
      </c>
      <c r="AQ278" s="10">
        <v>0</v>
      </c>
      <c r="AR278" s="10">
        <v>126655</v>
      </c>
      <c r="AS278" s="10">
        <f t="shared" si="101"/>
        <v>1405718.0500000007</v>
      </c>
      <c r="AT278" s="10">
        <v>8810477.5700000003</v>
      </c>
      <c r="AU278" s="12">
        <v>37920</v>
      </c>
      <c r="AV278" s="12">
        <v>11545.111828459871</v>
      </c>
      <c r="AW278" s="12">
        <v>18028.125</v>
      </c>
      <c r="AX278" s="12">
        <f t="shared" si="122"/>
        <v>67493.236828459863</v>
      </c>
      <c r="AY278" s="12">
        <v>42379.707999999999</v>
      </c>
      <c r="AZ278" s="12">
        <v>13832.404909878369</v>
      </c>
      <c r="BA278" s="12">
        <v>24648.924999999999</v>
      </c>
      <c r="BB278" s="12">
        <f t="shared" si="123"/>
        <v>80861.037909878374</v>
      </c>
      <c r="BC278" s="12">
        <v>4459.7079999999987</v>
      </c>
      <c r="BD278" s="12">
        <v>2287.2930814184983</v>
      </c>
      <c r="BE278" s="12">
        <v>6620.7999999999884</v>
      </c>
      <c r="BF278" s="12">
        <v>13367.801081418485</v>
      </c>
    </row>
    <row r="279" spans="1:58" x14ac:dyDescent="0.25">
      <c r="A279" s="7">
        <v>2137</v>
      </c>
      <c r="B279" s="7">
        <v>1</v>
      </c>
      <c r="C279" s="7" t="s">
        <v>280</v>
      </c>
      <c r="D279" s="4">
        <v>6</v>
      </c>
      <c r="E279" s="10">
        <v>607</v>
      </c>
      <c r="F279" s="8">
        <f t="shared" si="102"/>
        <v>17511</v>
      </c>
      <c r="G279" s="8">
        <f t="shared" si="103"/>
        <v>15254.020000000002</v>
      </c>
      <c r="H279" s="8">
        <f t="shared" si="104"/>
        <v>0</v>
      </c>
      <c r="I279" s="8">
        <f t="shared" si="105"/>
        <v>-15.00000000044929</v>
      </c>
      <c r="J279" s="8">
        <f t="shared" si="106"/>
        <v>32750.019999999553</v>
      </c>
      <c r="K279" s="8">
        <f t="shared" si="107"/>
        <v>7563.653125360408</v>
      </c>
      <c r="L279" s="8">
        <f t="shared" si="108"/>
        <v>40313.673125359957</v>
      </c>
      <c r="M279" s="8">
        <f t="shared" si="109"/>
        <v>53.953904448104701</v>
      </c>
      <c r="N279" s="8">
        <f t="shared" si="110"/>
        <v>15927</v>
      </c>
      <c r="O279" s="8">
        <f t="shared" si="111"/>
        <v>47</v>
      </c>
      <c r="P279" s="8">
        <f t="shared" si="112"/>
        <v>512</v>
      </c>
      <c r="Q279" s="8">
        <f t="shared" si="113"/>
        <v>1025</v>
      </c>
      <c r="R279" s="8">
        <f t="shared" si="114"/>
        <v>0</v>
      </c>
      <c r="S279" s="8">
        <f t="shared" si="115"/>
        <v>0</v>
      </c>
      <c r="T279" s="8">
        <f t="shared" si="116"/>
        <v>15254.020000000002</v>
      </c>
      <c r="U279" s="8">
        <f t="shared" si="117"/>
        <v>0</v>
      </c>
      <c r="V279" s="8">
        <f t="shared" si="118"/>
        <v>12</v>
      </c>
      <c r="W279" s="8">
        <f t="shared" si="119"/>
        <v>-27</v>
      </c>
      <c r="X279" s="8">
        <f t="shared" si="120"/>
        <v>32750.019999999553</v>
      </c>
      <c r="Y279" s="10">
        <v>3699003</v>
      </c>
      <c r="Z279" s="10">
        <v>11055</v>
      </c>
      <c r="AA279" s="10">
        <v>118901</v>
      </c>
      <c r="AB279" s="10">
        <v>203647</v>
      </c>
      <c r="AC279" s="10">
        <v>0</v>
      </c>
      <c r="AD279" s="10">
        <v>116574</v>
      </c>
      <c r="AE279" s="10">
        <v>0</v>
      </c>
      <c r="AF279" s="10">
        <v>0</v>
      </c>
      <c r="AG279" s="10">
        <v>74850</v>
      </c>
      <c r="AH279" s="10">
        <f t="shared" si="121"/>
        <v>734007.79999999981</v>
      </c>
      <c r="AI279" s="10">
        <v>4958037.8</v>
      </c>
      <c r="AJ279" s="10">
        <v>3714930</v>
      </c>
      <c r="AK279" s="10">
        <v>11102</v>
      </c>
      <c r="AL279" s="10">
        <v>119413</v>
      </c>
      <c r="AM279" s="10">
        <v>204672</v>
      </c>
      <c r="AN279" s="10">
        <v>0</v>
      </c>
      <c r="AO279" s="10">
        <v>116574</v>
      </c>
      <c r="AP279" s="10">
        <v>15254.020000000002</v>
      </c>
      <c r="AQ279" s="10">
        <v>0</v>
      </c>
      <c r="AR279" s="10">
        <v>74862</v>
      </c>
      <c r="AS279" s="10">
        <f t="shared" si="101"/>
        <v>733980.79999999981</v>
      </c>
      <c r="AT279" s="10">
        <v>4990787.8199999994</v>
      </c>
      <c r="AU279" s="12">
        <v>32040</v>
      </c>
      <c r="AV279" s="12">
        <v>7582.7690277566617</v>
      </c>
      <c r="AW279" s="12">
        <v>10280.625</v>
      </c>
      <c r="AX279" s="12">
        <f t="shared" si="122"/>
        <v>49903.394027756658</v>
      </c>
      <c r="AY279" s="12">
        <v>35808.171000000002</v>
      </c>
      <c r="AZ279" s="12">
        <v>9085.0511531170705</v>
      </c>
      <c r="BA279" s="12">
        <v>12573.825000000001</v>
      </c>
      <c r="BB279" s="12">
        <f t="shared" si="123"/>
        <v>57467.047153117077</v>
      </c>
      <c r="BC279" s="12">
        <v>3768.1710000000021</v>
      </c>
      <c r="BD279" s="12">
        <v>1502.2821253604088</v>
      </c>
      <c r="BE279" s="12">
        <v>2293.1999999999971</v>
      </c>
      <c r="BF279" s="12">
        <v>7563.653125360408</v>
      </c>
    </row>
    <row r="280" spans="1:58" x14ac:dyDescent="0.25">
      <c r="A280" s="7">
        <v>2142</v>
      </c>
      <c r="B280" s="7">
        <v>1</v>
      </c>
      <c r="C280" s="7" t="s">
        <v>281</v>
      </c>
      <c r="D280" s="4">
        <v>5</v>
      </c>
      <c r="E280" s="10">
        <v>1794</v>
      </c>
      <c r="F280" s="8">
        <f t="shared" si="102"/>
        <v>287040.46000000002</v>
      </c>
      <c r="G280" s="8">
        <f t="shared" si="103"/>
        <v>0</v>
      </c>
      <c r="H280" s="8">
        <f t="shared" si="104"/>
        <v>0</v>
      </c>
      <c r="I280" s="8">
        <f t="shared" si="105"/>
        <v>-31.999999999126885</v>
      </c>
      <c r="J280" s="8">
        <f t="shared" si="106"/>
        <v>287008.46000000089</v>
      </c>
      <c r="K280" s="8">
        <f t="shared" si="107"/>
        <v>26640.121635463256</v>
      </c>
      <c r="L280" s="8">
        <f t="shared" si="108"/>
        <v>313648.58163546416</v>
      </c>
      <c r="M280" s="8">
        <f t="shared" si="109"/>
        <v>159.98241917502838</v>
      </c>
      <c r="N280" s="8">
        <f t="shared" si="110"/>
        <v>48825</v>
      </c>
      <c r="O280" s="8">
        <f t="shared" si="111"/>
        <v>183</v>
      </c>
      <c r="P280" s="8">
        <f t="shared" si="112"/>
        <v>4131</v>
      </c>
      <c r="Q280" s="8">
        <f t="shared" si="113"/>
        <v>7219</v>
      </c>
      <c r="R280" s="8">
        <f t="shared" si="114"/>
        <v>0</v>
      </c>
      <c r="S280" s="8">
        <f t="shared" si="115"/>
        <v>226682.46000000002</v>
      </c>
      <c r="T280" s="8">
        <f t="shared" si="116"/>
        <v>0</v>
      </c>
      <c r="U280" s="8">
        <f t="shared" si="117"/>
        <v>0</v>
      </c>
      <c r="V280" s="8">
        <f t="shared" si="118"/>
        <v>0</v>
      </c>
      <c r="W280" s="8">
        <f t="shared" si="119"/>
        <v>-31.99999999627471</v>
      </c>
      <c r="X280" s="8">
        <f t="shared" si="120"/>
        <v>287008.46000000089</v>
      </c>
      <c r="Y280" s="10">
        <v>11339118</v>
      </c>
      <c r="Z280" s="10">
        <v>42593</v>
      </c>
      <c r="AA280" s="10">
        <v>959480</v>
      </c>
      <c r="AB280" s="10">
        <v>1434271</v>
      </c>
      <c r="AC280" s="10">
        <v>3226678.76</v>
      </c>
      <c r="AD280" s="10">
        <v>187476.94</v>
      </c>
      <c r="AE280" s="10">
        <v>510640</v>
      </c>
      <c r="AF280" s="10">
        <v>0</v>
      </c>
      <c r="AG280" s="10">
        <v>281232</v>
      </c>
      <c r="AH280" s="10">
        <f t="shared" si="121"/>
        <v>1080500.5500000007</v>
      </c>
      <c r="AI280" s="10">
        <v>19061990.25</v>
      </c>
      <c r="AJ280" s="10">
        <v>11387943</v>
      </c>
      <c r="AK280" s="10">
        <v>42776</v>
      </c>
      <c r="AL280" s="10">
        <v>963611</v>
      </c>
      <c r="AM280" s="10">
        <v>1441490</v>
      </c>
      <c r="AN280" s="10">
        <v>3226678.76</v>
      </c>
      <c r="AO280" s="10">
        <v>414159.4</v>
      </c>
      <c r="AP280" s="10">
        <v>510640</v>
      </c>
      <c r="AQ280" s="10">
        <v>0</v>
      </c>
      <c r="AR280" s="10">
        <v>281232</v>
      </c>
      <c r="AS280" s="10">
        <f t="shared" si="101"/>
        <v>1080468.5500000045</v>
      </c>
      <c r="AT280" s="10">
        <v>19348998.710000001</v>
      </c>
      <c r="AU280" s="12">
        <v>90000</v>
      </c>
      <c r="AV280" s="12">
        <v>26195.37233000074</v>
      </c>
      <c r="AW280" s="12">
        <v>28131.125</v>
      </c>
      <c r="AX280" s="12">
        <f t="shared" si="122"/>
        <v>144326.49733000074</v>
      </c>
      <c r="AY280" s="12">
        <v>100584.75</v>
      </c>
      <c r="AZ280" s="12">
        <v>31385.143965463991</v>
      </c>
      <c r="BA280" s="12">
        <v>38996.724999999999</v>
      </c>
      <c r="BB280" s="12">
        <f t="shared" si="123"/>
        <v>170966.618965464</v>
      </c>
      <c r="BC280" s="12">
        <v>10584.75</v>
      </c>
      <c r="BD280" s="12">
        <v>5189.7716354632503</v>
      </c>
      <c r="BE280" s="12">
        <v>10865.600000000006</v>
      </c>
      <c r="BF280" s="12">
        <v>26640.121635463256</v>
      </c>
    </row>
    <row r="281" spans="1:58" x14ac:dyDescent="0.25">
      <c r="A281" s="7">
        <v>2143</v>
      </c>
      <c r="B281" s="7">
        <v>1</v>
      </c>
      <c r="C281" s="7" t="s">
        <v>282</v>
      </c>
      <c r="D281" s="4">
        <v>6</v>
      </c>
      <c r="E281" s="10">
        <v>849</v>
      </c>
      <c r="F281" s="8">
        <f t="shared" si="102"/>
        <v>25471.25</v>
      </c>
      <c r="G281" s="8">
        <f t="shared" si="103"/>
        <v>22840.26</v>
      </c>
      <c r="H281" s="8">
        <f t="shared" si="104"/>
        <v>0</v>
      </c>
      <c r="I281" s="8">
        <f t="shared" si="105"/>
        <v>-143.00000000022192</v>
      </c>
      <c r="J281" s="8">
        <f t="shared" si="106"/>
        <v>48168.509999999776</v>
      </c>
      <c r="K281" s="8">
        <f t="shared" si="107"/>
        <v>11692.854683629699</v>
      </c>
      <c r="L281" s="8">
        <f t="shared" si="108"/>
        <v>59861.364683629479</v>
      </c>
      <c r="M281" s="8">
        <f t="shared" si="109"/>
        <v>56.735583038868995</v>
      </c>
      <c r="N281" s="8">
        <f t="shared" si="110"/>
        <v>23215</v>
      </c>
      <c r="O281" s="8">
        <f t="shared" si="111"/>
        <v>178</v>
      </c>
      <c r="P281" s="8">
        <f t="shared" si="112"/>
        <v>584</v>
      </c>
      <c r="Q281" s="8">
        <f t="shared" si="113"/>
        <v>1494.25</v>
      </c>
      <c r="R281" s="8">
        <f t="shared" si="114"/>
        <v>0</v>
      </c>
      <c r="S281" s="8">
        <f t="shared" si="115"/>
        <v>0</v>
      </c>
      <c r="T281" s="8">
        <f t="shared" si="116"/>
        <v>22840.26</v>
      </c>
      <c r="U281" s="8">
        <f t="shared" si="117"/>
        <v>0</v>
      </c>
      <c r="V281" s="8">
        <f t="shared" si="118"/>
        <v>35</v>
      </c>
      <c r="W281" s="8">
        <f t="shared" si="119"/>
        <v>-178</v>
      </c>
      <c r="X281" s="8">
        <f t="shared" si="120"/>
        <v>48168.509999999776</v>
      </c>
      <c r="Y281" s="10">
        <v>5391452</v>
      </c>
      <c r="Z281" s="10">
        <v>41292</v>
      </c>
      <c r="AA281" s="10">
        <v>135733</v>
      </c>
      <c r="AB281" s="10">
        <v>296878</v>
      </c>
      <c r="AC281" s="10">
        <v>0</v>
      </c>
      <c r="AD281" s="10">
        <v>16523</v>
      </c>
      <c r="AE281" s="10">
        <v>0</v>
      </c>
      <c r="AF281" s="10">
        <v>15150</v>
      </c>
      <c r="AG281" s="10">
        <v>83801</v>
      </c>
      <c r="AH281" s="10">
        <f t="shared" si="121"/>
        <v>1589834.9299999997</v>
      </c>
      <c r="AI281" s="10">
        <v>7570663.9299999997</v>
      </c>
      <c r="AJ281" s="10">
        <v>5414667</v>
      </c>
      <c r="AK281" s="10">
        <v>41470</v>
      </c>
      <c r="AL281" s="10">
        <v>136317</v>
      </c>
      <c r="AM281" s="10">
        <v>298372.25</v>
      </c>
      <c r="AN281" s="10">
        <v>0</v>
      </c>
      <c r="AO281" s="10">
        <v>16523</v>
      </c>
      <c r="AP281" s="10">
        <v>22840.26</v>
      </c>
      <c r="AQ281" s="10">
        <v>15150</v>
      </c>
      <c r="AR281" s="10">
        <v>83836</v>
      </c>
      <c r="AS281" s="10">
        <f t="shared" si="101"/>
        <v>1589656.9299999997</v>
      </c>
      <c r="AT281" s="10">
        <v>7618832.4399999995</v>
      </c>
      <c r="AU281" s="12">
        <v>35160</v>
      </c>
      <c r="AV281" s="12">
        <v>8714.7393381209367</v>
      </c>
      <c r="AW281" s="12">
        <v>13767.25</v>
      </c>
      <c r="AX281" s="12">
        <f t="shared" si="122"/>
        <v>57641.98933812094</v>
      </c>
      <c r="AY281" s="12">
        <v>39295.108999999997</v>
      </c>
      <c r="AZ281" s="12">
        <v>10441.285021750642</v>
      </c>
      <c r="BA281" s="12">
        <v>19598.45</v>
      </c>
      <c r="BB281" s="12">
        <f t="shared" si="123"/>
        <v>69334.844021750643</v>
      </c>
      <c r="BC281" s="12">
        <v>4135.1089999999967</v>
      </c>
      <c r="BD281" s="12">
        <v>1726.5456836297053</v>
      </c>
      <c r="BE281" s="12">
        <v>5831.1999999999971</v>
      </c>
      <c r="BF281" s="12">
        <v>11692.854683629699</v>
      </c>
    </row>
    <row r="282" spans="1:58" x14ac:dyDescent="0.25">
      <c r="A282" s="7">
        <v>2144</v>
      </c>
      <c r="B282" s="7">
        <v>1</v>
      </c>
      <c r="C282" s="7" t="s">
        <v>283</v>
      </c>
      <c r="D282" s="4">
        <v>4</v>
      </c>
      <c r="E282" s="10">
        <v>3289</v>
      </c>
      <c r="F282" s="8">
        <f t="shared" si="102"/>
        <v>94678</v>
      </c>
      <c r="G282" s="8">
        <f t="shared" si="103"/>
        <v>0</v>
      </c>
      <c r="H282" s="8">
        <f t="shared" si="104"/>
        <v>1061</v>
      </c>
      <c r="I282" s="8">
        <f t="shared" si="105"/>
        <v>327</v>
      </c>
      <c r="J282" s="8">
        <f t="shared" si="106"/>
        <v>96066</v>
      </c>
      <c r="K282" s="8">
        <f t="shared" si="107"/>
        <v>37545.305646209716</v>
      </c>
      <c r="L282" s="8">
        <f t="shared" si="108"/>
        <v>133611.30564620972</v>
      </c>
      <c r="M282" s="8">
        <f t="shared" si="109"/>
        <v>29.208269990878687</v>
      </c>
      <c r="N282" s="8">
        <f t="shared" si="110"/>
        <v>90535</v>
      </c>
      <c r="O282" s="8">
        <f t="shared" si="111"/>
        <v>0</v>
      </c>
      <c r="P282" s="8">
        <f t="shared" si="112"/>
        <v>1365</v>
      </c>
      <c r="Q282" s="8">
        <f t="shared" si="113"/>
        <v>2778</v>
      </c>
      <c r="R282" s="8">
        <f t="shared" si="114"/>
        <v>0</v>
      </c>
      <c r="S282" s="8">
        <f t="shared" si="115"/>
        <v>0</v>
      </c>
      <c r="T282" s="8">
        <f t="shared" si="116"/>
        <v>0</v>
      </c>
      <c r="U282" s="8">
        <f t="shared" si="117"/>
        <v>1061</v>
      </c>
      <c r="V282" s="8">
        <f t="shared" si="118"/>
        <v>26</v>
      </c>
      <c r="W282" s="8">
        <f t="shared" si="119"/>
        <v>301</v>
      </c>
      <c r="X282" s="8">
        <f t="shared" si="120"/>
        <v>96066</v>
      </c>
      <c r="Y282" s="10">
        <v>21025848</v>
      </c>
      <c r="Z282" s="10">
        <v>0</v>
      </c>
      <c r="AA282" s="10">
        <v>317002</v>
      </c>
      <c r="AB282" s="10">
        <v>551933</v>
      </c>
      <c r="AC282" s="10">
        <v>0</v>
      </c>
      <c r="AD282" s="10">
        <v>0</v>
      </c>
      <c r="AE282" s="10">
        <v>871260</v>
      </c>
      <c r="AF282" s="10">
        <v>14347</v>
      </c>
      <c r="AG282" s="10">
        <v>484100</v>
      </c>
      <c r="AH282" s="10">
        <f t="shared" si="121"/>
        <v>4500007.07</v>
      </c>
      <c r="AI282" s="10">
        <v>27764497.07</v>
      </c>
      <c r="AJ282" s="10">
        <v>21116383</v>
      </c>
      <c r="AK282" s="10">
        <v>0</v>
      </c>
      <c r="AL282" s="10">
        <v>318367</v>
      </c>
      <c r="AM282" s="10">
        <v>554711</v>
      </c>
      <c r="AN282" s="10">
        <v>0</v>
      </c>
      <c r="AO282" s="10">
        <v>0</v>
      </c>
      <c r="AP282" s="10">
        <v>871260</v>
      </c>
      <c r="AQ282" s="10">
        <v>15408</v>
      </c>
      <c r="AR282" s="10">
        <v>484126</v>
      </c>
      <c r="AS282" s="10">
        <f t="shared" si="101"/>
        <v>4500308.07</v>
      </c>
      <c r="AT282" s="10">
        <v>27860563.07</v>
      </c>
      <c r="AU282" s="12">
        <v>151800</v>
      </c>
      <c r="AV282" s="12">
        <v>30496.796361743392</v>
      </c>
      <c r="AW282" s="12">
        <v>45912.875</v>
      </c>
      <c r="AX282" s="12">
        <f t="shared" si="122"/>
        <v>228209.67136174339</v>
      </c>
      <c r="AY282" s="12">
        <v>169652.94500000001</v>
      </c>
      <c r="AZ282" s="12">
        <v>36538.757007953078</v>
      </c>
      <c r="BA282" s="12">
        <v>59563.275000000001</v>
      </c>
      <c r="BB282" s="12">
        <f t="shared" si="123"/>
        <v>265754.9770079531</v>
      </c>
      <c r="BC282" s="12">
        <v>17852.945000000007</v>
      </c>
      <c r="BD282" s="12">
        <v>6041.9606462096854</v>
      </c>
      <c r="BE282" s="12">
        <v>13650.400000000023</v>
      </c>
      <c r="BF282" s="12">
        <v>37545.305646209716</v>
      </c>
    </row>
    <row r="283" spans="1:58" x14ac:dyDescent="0.25">
      <c r="A283" s="7">
        <v>2149</v>
      </c>
      <c r="B283" s="7">
        <v>1</v>
      </c>
      <c r="C283" s="7" t="s">
        <v>284</v>
      </c>
      <c r="D283" s="4">
        <v>5</v>
      </c>
      <c r="E283" s="10">
        <v>1052</v>
      </c>
      <c r="F283" s="8">
        <f t="shared" si="102"/>
        <v>31528.75</v>
      </c>
      <c r="G283" s="8">
        <f t="shared" si="103"/>
        <v>28037.68</v>
      </c>
      <c r="H283" s="8">
        <f t="shared" si="104"/>
        <v>0</v>
      </c>
      <c r="I283" s="8">
        <f t="shared" si="105"/>
        <v>304.99999999970169</v>
      </c>
      <c r="J283" s="8">
        <f t="shared" si="106"/>
        <v>59871.429999999702</v>
      </c>
      <c r="K283" s="8">
        <f t="shared" si="107"/>
        <v>16009.472199661213</v>
      </c>
      <c r="L283" s="8">
        <f t="shared" si="108"/>
        <v>75880.902199660923</v>
      </c>
      <c r="M283" s="8">
        <f t="shared" si="109"/>
        <v>56.912005703421769</v>
      </c>
      <c r="N283" s="8">
        <f t="shared" si="110"/>
        <v>27915</v>
      </c>
      <c r="O283" s="8">
        <f t="shared" si="111"/>
        <v>0</v>
      </c>
      <c r="P283" s="8">
        <f t="shared" si="112"/>
        <v>1246</v>
      </c>
      <c r="Q283" s="8">
        <f t="shared" si="113"/>
        <v>2367.75</v>
      </c>
      <c r="R283" s="8">
        <f t="shared" si="114"/>
        <v>0</v>
      </c>
      <c r="S283" s="8">
        <f t="shared" si="115"/>
        <v>0</v>
      </c>
      <c r="T283" s="8">
        <f t="shared" si="116"/>
        <v>28037.68</v>
      </c>
      <c r="U283" s="8">
        <f t="shared" si="117"/>
        <v>0</v>
      </c>
      <c r="V283" s="8">
        <f t="shared" si="118"/>
        <v>16</v>
      </c>
      <c r="W283" s="8">
        <f t="shared" si="119"/>
        <v>289</v>
      </c>
      <c r="X283" s="8">
        <f t="shared" si="120"/>
        <v>59871.429999999702</v>
      </c>
      <c r="Y283" s="10">
        <v>6482980</v>
      </c>
      <c r="Z283" s="10">
        <v>0</v>
      </c>
      <c r="AA283" s="10">
        <v>289353</v>
      </c>
      <c r="AB283" s="10">
        <v>470425</v>
      </c>
      <c r="AC283" s="10">
        <v>0</v>
      </c>
      <c r="AD283" s="10">
        <v>0</v>
      </c>
      <c r="AE283" s="10">
        <v>0</v>
      </c>
      <c r="AF283" s="10">
        <v>14900</v>
      </c>
      <c r="AG283" s="10">
        <v>137259</v>
      </c>
      <c r="AH283" s="10">
        <f t="shared" si="121"/>
        <v>1233500.58</v>
      </c>
      <c r="AI283" s="10">
        <v>8628417.5800000001</v>
      </c>
      <c r="AJ283" s="10">
        <v>6510895</v>
      </c>
      <c r="AK283" s="10">
        <v>0</v>
      </c>
      <c r="AL283" s="10">
        <v>290599</v>
      </c>
      <c r="AM283" s="10">
        <v>472792.75</v>
      </c>
      <c r="AN283" s="10">
        <v>0</v>
      </c>
      <c r="AO283" s="10">
        <v>0</v>
      </c>
      <c r="AP283" s="10">
        <v>28037.68</v>
      </c>
      <c r="AQ283" s="10">
        <v>14900</v>
      </c>
      <c r="AR283" s="10">
        <v>137275</v>
      </c>
      <c r="AS283" s="10">
        <f t="shared" si="101"/>
        <v>1233789.58</v>
      </c>
      <c r="AT283" s="10">
        <v>8688289.0099999998</v>
      </c>
      <c r="AU283" s="12">
        <v>65520</v>
      </c>
      <c r="AV283" s="12">
        <v>15048.486272789974</v>
      </c>
      <c r="AW283" s="12">
        <v>16009.75</v>
      </c>
      <c r="AX283" s="12">
        <f t="shared" si="122"/>
        <v>96578.236272789974</v>
      </c>
      <c r="AY283" s="12">
        <v>73225.698000000004</v>
      </c>
      <c r="AZ283" s="12">
        <v>18029.86047245119</v>
      </c>
      <c r="BA283" s="12">
        <v>21332.15</v>
      </c>
      <c r="BB283" s="12">
        <f t="shared" si="123"/>
        <v>112587.7084724512</v>
      </c>
      <c r="BC283" s="12">
        <v>7705.698000000004</v>
      </c>
      <c r="BD283" s="12">
        <v>2981.3741996612152</v>
      </c>
      <c r="BE283" s="12">
        <v>5322.3999999999942</v>
      </c>
      <c r="BF283" s="12">
        <v>16009.472199661213</v>
      </c>
    </row>
    <row r="284" spans="1:58" x14ac:dyDescent="0.25">
      <c r="A284" s="7">
        <v>2154</v>
      </c>
      <c r="B284" s="7">
        <v>1</v>
      </c>
      <c r="C284" s="7" t="s">
        <v>285</v>
      </c>
      <c r="D284" s="4">
        <v>5</v>
      </c>
      <c r="E284" s="10">
        <v>1084</v>
      </c>
      <c r="F284" s="8">
        <f t="shared" si="102"/>
        <v>33428.75</v>
      </c>
      <c r="G284" s="8">
        <f t="shared" si="103"/>
        <v>24616.02</v>
      </c>
      <c r="H284" s="8">
        <f t="shared" si="104"/>
        <v>0</v>
      </c>
      <c r="I284" s="8">
        <f t="shared" si="105"/>
        <v>17.999999999552529</v>
      </c>
      <c r="J284" s="8">
        <f t="shared" si="106"/>
        <v>58062.769999999553</v>
      </c>
      <c r="K284" s="8">
        <f t="shared" si="107"/>
        <v>13581.287470179581</v>
      </c>
      <c r="L284" s="8">
        <f t="shared" si="108"/>
        <v>71644.057470179134</v>
      </c>
      <c r="M284" s="8">
        <f t="shared" si="109"/>
        <v>53.563440959409185</v>
      </c>
      <c r="N284" s="8">
        <f t="shared" si="110"/>
        <v>29560</v>
      </c>
      <c r="O284" s="8">
        <f t="shared" si="111"/>
        <v>62</v>
      </c>
      <c r="P284" s="8">
        <f t="shared" si="112"/>
        <v>676</v>
      </c>
      <c r="Q284" s="8">
        <f t="shared" si="113"/>
        <v>3130.75</v>
      </c>
      <c r="R284" s="8">
        <f t="shared" si="114"/>
        <v>0</v>
      </c>
      <c r="S284" s="8">
        <f t="shared" si="115"/>
        <v>0</v>
      </c>
      <c r="T284" s="8">
        <f t="shared" si="116"/>
        <v>24616.02</v>
      </c>
      <c r="U284" s="8">
        <f t="shared" si="117"/>
        <v>0</v>
      </c>
      <c r="V284" s="8">
        <f t="shared" si="118"/>
        <v>18</v>
      </c>
      <c r="W284" s="8">
        <f t="shared" si="119"/>
        <v>0</v>
      </c>
      <c r="X284" s="8">
        <f t="shared" si="120"/>
        <v>58062.769999999553</v>
      </c>
      <c r="Y284" s="10">
        <v>6865014</v>
      </c>
      <c r="Z284" s="10">
        <v>14306</v>
      </c>
      <c r="AA284" s="10">
        <v>157019</v>
      </c>
      <c r="AB284" s="10">
        <v>622017</v>
      </c>
      <c r="AC284" s="10">
        <v>0</v>
      </c>
      <c r="AD284" s="10">
        <v>0</v>
      </c>
      <c r="AE284" s="10">
        <v>0</v>
      </c>
      <c r="AF284" s="10">
        <v>0</v>
      </c>
      <c r="AG284" s="10">
        <v>144257</v>
      </c>
      <c r="AH284" s="10">
        <f t="shared" si="121"/>
        <v>1270884.4800000004</v>
      </c>
      <c r="AI284" s="10">
        <v>9073497.4800000004</v>
      </c>
      <c r="AJ284" s="10">
        <v>6894574</v>
      </c>
      <c r="AK284" s="10">
        <v>14368</v>
      </c>
      <c r="AL284" s="10">
        <v>157695</v>
      </c>
      <c r="AM284" s="10">
        <v>625147.75</v>
      </c>
      <c r="AN284" s="10">
        <v>0</v>
      </c>
      <c r="AO284" s="10">
        <v>0</v>
      </c>
      <c r="AP284" s="10">
        <v>24616.02</v>
      </c>
      <c r="AQ284" s="10">
        <v>0</v>
      </c>
      <c r="AR284" s="10">
        <v>144275</v>
      </c>
      <c r="AS284" s="10">
        <f t="shared" si="101"/>
        <v>1270884.4800000004</v>
      </c>
      <c r="AT284" s="10">
        <v>9131560.25</v>
      </c>
      <c r="AU284" s="12">
        <v>42720</v>
      </c>
      <c r="AV284" s="12">
        <v>12862.339675731406</v>
      </c>
      <c r="AW284" s="12">
        <v>12577.5</v>
      </c>
      <c r="AX284" s="12">
        <f t="shared" si="122"/>
        <v>68159.839675731404</v>
      </c>
      <c r="AY284" s="12">
        <v>47744.228000000003</v>
      </c>
      <c r="AZ284" s="12">
        <v>15410.599145910981</v>
      </c>
      <c r="BA284" s="12">
        <v>18586.3</v>
      </c>
      <c r="BB284" s="12">
        <f t="shared" si="123"/>
        <v>81741.127145910985</v>
      </c>
      <c r="BC284" s="12">
        <v>5024.2280000000028</v>
      </c>
      <c r="BD284" s="12">
        <v>2548.2594701795751</v>
      </c>
      <c r="BE284" s="12">
        <v>6008.8000000000029</v>
      </c>
      <c r="BF284" s="12">
        <v>13581.287470179581</v>
      </c>
    </row>
    <row r="285" spans="1:58" x14ac:dyDescent="0.25">
      <c r="A285" s="7">
        <v>2155</v>
      </c>
      <c r="B285" s="7">
        <v>1</v>
      </c>
      <c r="C285" s="7" t="s">
        <v>286</v>
      </c>
      <c r="D285" s="4">
        <v>5</v>
      </c>
      <c r="E285" s="10">
        <v>996</v>
      </c>
      <c r="F285" s="8">
        <f t="shared" si="102"/>
        <v>32253.25</v>
      </c>
      <c r="G285" s="8">
        <f t="shared" si="103"/>
        <v>25567.32</v>
      </c>
      <c r="H285" s="8">
        <f t="shared" si="104"/>
        <v>0</v>
      </c>
      <c r="I285" s="8">
        <f t="shared" si="105"/>
        <v>20.000000000298314</v>
      </c>
      <c r="J285" s="8">
        <f t="shared" si="106"/>
        <v>57840.570000000298</v>
      </c>
      <c r="K285" s="8">
        <f t="shared" si="107"/>
        <v>17739.45962230771</v>
      </c>
      <c r="L285" s="8">
        <f t="shared" si="108"/>
        <v>75580.029622308008</v>
      </c>
      <c r="M285" s="8">
        <f t="shared" si="109"/>
        <v>58.072861445783431</v>
      </c>
      <c r="N285" s="8">
        <f t="shared" si="110"/>
        <v>27050</v>
      </c>
      <c r="O285" s="8">
        <f t="shared" si="111"/>
        <v>22</v>
      </c>
      <c r="P285" s="8">
        <f t="shared" si="112"/>
        <v>735</v>
      </c>
      <c r="Q285" s="8">
        <f t="shared" si="113"/>
        <v>4446.25</v>
      </c>
      <c r="R285" s="8">
        <f t="shared" si="114"/>
        <v>0</v>
      </c>
      <c r="S285" s="8">
        <f t="shared" si="115"/>
        <v>0</v>
      </c>
      <c r="T285" s="8">
        <f t="shared" si="116"/>
        <v>25567.32</v>
      </c>
      <c r="U285" s="8">
        <f t="shared" si="117"/>
        <v>0</v>
      </c>
      <c r="V285" s="8">
        <f t="shared" si="118"/>
        <v>20</v>
      </c>
      <c r="W285" s="8">
        <f t="shared" si="119"/>
        <v>0</v>
      </c>
      <c r="X285" s="8">
        <f t="shared" si="120"/>
        <v>57840.570000000298</v>
      </c>
      <c r="Y285" s="10">
        <v>6282092</v>
      </c>
      <c r="Z285" s="10">
        <v>5121</v>
      </c>
      <c r="AA285" s="10">
        <v>170726</v>
      </c>
      <c r="AB285" s="10">
        <v>883381</v>
      </c>
      <c r="AC285" s="10">
        <v>0</v>
      </c>
      <c r="AD285" s="10">
        <v>0</v>
      </c>
      <c r="AE285" s="10">
        <v>0</v>
      </c>
      <c r="AF285" s="10">
        <v>0</v>
      </c>
      <c r="AG285" s="10">
        <v>127078</v>
      </c>
      <c r="AH285" s="10">
        <f t="shared" si="121"/>
        <v>1327776.0500000007</v>
      </c>
      <c r="AI285" s="10">
        <v>8796174.0500000007</v>
      </c>
      <c r="AJ285" s="10">
        <v>6309142</v>
      </c>
      <c r="AK285" s="10">
        <v>5143</v>
      </c>
      <c r="AL285" s="10">
        <v>171461</v>
      </c>
      <c r="AM285" s="10">
        <v>887827.25</v>
      </c>
      <c r="AN285" s="10">
        <v>0</v>
      </c>
      <c r="AO285" s="10">
        <v>0</v>
      </c>
      <c r="AP285" s="10">
        <v>25567.32</v>
      </c>
      <c r="AQ285" s="10">
        <v>0</v>
      </c>
      <c r="AR285" s="10">
        <v>127098</v>
      </c>
      <c r="AS285" s="10">
        <f t="shared" si="101"/>
        <v>1327776.0500000007</v>
      </c>
      <c r="AT285" s="10">
        <v>8854014.620000001</v>
      </c>
      <c r="AU285" s="12">
        <v>55440</v>
      </c>
      <c r="AV285" s="12">
        <v>17173.884658598239</v>
      </c>
      <c r="AW285" s="12">
        <v>17580.125</v>
      </c>
      <c r="AX285" s="12">
        <f t="shared" si="122"/>
        <v>90194.009658598239</v>
      </c>
      <c r="AY285" s="12">
        <v>61960.205999999998</v>
      </c>
      <c r="AZ285" s="12">
        <v>20576.338280905962</v>
      </c>
      <c r="BA285" s="12">
        <v>25396.924999999999</v>
      </c>
      <c r="BB285" s="12">
        <f t="shared" si="123"/>
        <v>107933.46928090596</v>
      </c>
      <c r="BC285" s="12">
        <v>6520.2059999999983</v>
      </c>
      <c r="BD285" s="12">
        <v>3402.453622307723</v>
      </c>
      <c r="BE285" s="12">
        <v>7816.7999999999884</v>
      </c>
      <c r="BF285" s="12">
        <v>17739.45962230771</v>
      </c>
    </row>
    <row r="286" spans="1:58" x14ac:dyDescent="0.25">
      <c r="A286" s="7">
        <v>2159</v>
      </c>
      <c r="B286" s="7">
        <v>1</v>
      </c>
      <c r="C286" s="7" t="s">
        <v>287</v>
      </c>
      <c r="D286" s="4">
        <v>6</v>
      </c>
      <c r="E286" s="10">
        <v>550</v>
      </c>
      <c r="F286" s="8">
        <f t="shared" si="102"/>
        <v>17619.5</v>
      </c>
      <c r="G286" s="8">
        <f t="shared" si="103"/>
        <v>15885.2</v>
      </c>
      <c r="H286" s="8">
        <f t="shared" si="104"/>
        <v>4994</v>
      </c>
      <c r="I286" s="8">
        <f t="shared" si="105"/>
        <v>17.000000000185537</v>
      </c>
      <c r="J286" s="8">
        <f t="shared" si="106"/>
        <v>38515.700000000186</v>
      </c>
      <c r="K286" s="8">
        <f t="shared" si="107"/>
        <v>7411.0568370363162</v>
      </c>
      <c r="L286" s="8">
        <f t="shared" si="108"/>
        <v>45926.756837036504</v>
      </c>
      <c r="M286" s="8">
        <f t="shared" si="109"/>
        <v>70.028545454545792</v>
      </c>
      <c r="N286" s="8">
        <f t="shared" si="110"/>
        <v>14955</v>
      </c>
      <c r="O286" s="8">
        <f t="shared" si="111"/>
        <v>32</v>
      </c>
      <c r="P286" s="8">
        <f t="shared" si="112"/>
        <v>669</v>
      </c>
      <c r="Q286" s="8">
        <f t="shared" si="113"/>
        <v>1355.5</v>
      </c>
      <c r="R286" s="8">
        <f t="shared" si="114"/>
        <v>608</v>
      </c>
      <c r="S286" s="8">
        <f t="shared" si="115"/>
        <v>0</v>
      </c>
      <c r="T286" s="8">
        <f t="shared" si="116"/>
        <v>15885.2</v>
      </c>
      <c r="U286" s="8">
        <f t="shared" si="117"/>
        <v>4994</v>
      </c>
      <c r="V286" s="8">
        <f t="shared" si="118"/>
        <v>17</v>
      </c>
      <c r="W286" s="8">
        <f t="shared" si="119"/>
        <v>0</v>
      </c>
      <c r="X286" s="8">
        <f t="shared" si="120"/>
        <v>38515.700000000186</v>
      </c>
      <c r="Y286" s="10">
        <v>3473149</v>
      </c>
      <c r="Z286" s="10">
        <v>7478</v>
      </c>
      <c r="AA286" s="10">
        <v>155394</v>
      </c>
      <c r="AB286" s="10">
        <v>269311</v>
      </c>
      <c r="AC286" s="10">
        <v>128416</v>
      </c>
      <c r="AD286" s="10">
        <v>122643</v>
      </c>
      <c r="AE286" s="10">
        <v>0</v>
      </c>
      <c r="AF286" s="10">
        <v>28607</v>
      </c>
      <c r="AG286" s="10">
        <v>60587</v>
      </c>
      <c r="AH286" s="10">
        <f t="shared" si="121"/>
        <v>935306.37000000011</v>
      </c>
      <c r="AI286" s="10">
        <v>5180891.37</v>
      </c>
      <c r="AJ286" s="10">
        <v>3488104</v>
      </c>
      <c r="AK286" s="10">
        <v>7510</v>
      </c>
      <c r="AL286" s="10">
        <v>156063</v>
      </c>
      <c r="AM286" s="10">
        <v>270666.5</v>
      </c>
      <c r="AN286" s="10">
        <v>129024</v>
      </c>
      <c r="AO286" s="10">
        <v>122643</v>
      </c>
      <c r="AP286" s="10">
        <v>15885.2</v>
      </c>
      <c r="AQ286" s="10">
        <v>33601</v>
      </c>
      <c r="AR286" s="10">
        <v>60604</v>
      </c>
      <c r="AS286" s="10">
        <f t="shared" si="101"/>
        <v>935306.37000000011</v>
      </c>
      <c r="AT286" s="10">
        <v>5219407.07</v>
      </c>
      <c r="AU286" s="12">
        <v>26160</v>
      </c>
      <c r="AV286" s="12">
        <v>7583.4792699408135</v>
      </c>
      <c r="AW286" s="12">
        <v>8544.375</v>
      </c>
      <c r="AX286" s="12">
        <f t="shared" si="122"/>
        <v>42287.854269940814</v>
      </c>
      <c r="AY286" s="12">
        <v>29236.633999999998</v>
      </c>
      <c r="AZ286" s="12">
        <v>9085.9021069771316</v>
      </c>
      <c r="BA286" s="12">
        <v>11376.375</v>
      </c>
      <c r="BB286" s="12">
        <f t="shared" si="123"/>
        <v>49698.911106977132</v>
      </c>
      <c r="BC286" s="12">
        <v>3076.6339999999982</v>
      </c>
      <c r="BD286" s="12">
        <v>1502.422837036318</v>
      </c>
      <c r="BE286" s="12">
        <v>2832</v>
      </c>
      <c r="BF286" s="12">
        <v>7411.0568370363162</v>
      </c>
    </row>
    <row r="287" spans="1:58" x14ac:dyDescent="0.25">
      <c r="A287" s="7">
        <v>2164</v>
      </c>
      <c r="B287" s="7">
        <v>1</v>
      </c>
      <c r="C287" s="7" t="s">
        <v>288</v>
      </c>
      <c r="D287" s="4">
        <v>5</v>
      </c>
      <c r="E287" s="10">
        <v>1584</v>
      </c>
      <c r="F287" s="8">
        <f t="shared" si="102"/>
        <v>45579.75</v>
      </c>
      <c r="G287" s="8">
        <f t="shared" si="103"/>
        <v>36756.42</v>
      </c>
      <c r="H287" s="8">
        <f t="shared" si="104"/>
        <v>1525</v>
      </c>
      <c r="I287" s="8">
        <f t="shared" si="105"/>
        <v>16.99999999992724</v>
      </c>
      <c r="J287" s="8">
        <f t="shared" si="106"/>
        <v>83878.169999999925</v>
      </c>
      <c r="K287" s="8">
        <f t="shared" si="107"/>
        <v>17579.642683342736</v>
      </c>
      <c r="L287" s="8">
        <f t="shared" si="108"/>
        <v>101457.81268334266</v>
      </c>
      <c r="M287" s="8">
        <f t="shared" si="109"/>
        <v>52.953390151515102</v>
      </c>
      <c r="N287" s="8">
        <f t="shared" si="110"/>
        <v>42620</v>
      </c>
      <c r="O287" s="8">
        <f t="shared" si="111"/>
        <v>0</v>
      </c>
      <c r="P287" s="8">
        <f t="shared" si="112"/>
        <v>1263</v>
      </c>
      <c r="Q287" s="8">
        <f t="shared" si="113"/>
        <v>1696.75</v>
      </c>
      <c r="R287" s="8">
        <f t="shared" si="114"/>
        <v>0</v>
      </c>
      <c r="S287" s="8">
        <f t="shared" si="115"/>
        <v>0</v>
      </c>
      <c r="T287" s="8">
        <f t="shared" si="116"/>
        <v>36756.42</v>
      </c>
      <c r="U287" s="8">
        <f t="shared" si="117"/>
        <v>1525</v>
      </c>
      <c r="V287" s="8">
        <f t="shared" si="118"/>
        <v>17</v>
      </c>
      <c r="W287" s="8">
        <f t="shared" si="119"/>
        <v>0</v>
      </c>
      <c r="X287" s="8">
        <f t="shared" si="120"/>
        <v>83878.169999999925</v>
      </c>
      <c r="Y287" s="10">
        <v>9898069</v>
      </c>
      <c r="Z287" s="10">
        <v>0</v>
      </c>
      <c r="AA287" s="10">
        <v>293460</v>
      </c>
      <c r="AB287" s="10">
        <v>337110</v>
      </c>
      <c r="AC287" s="10">
        <v>0</v>
      </c>
      <c r="AD287" s="10">
        <v>0</v>
      </c>
      <c r="AE287" s="10">
        <v>0</v>
      </c>
      <c r="AF287" s="10">
        <v>14637</v>
      </c>
      <c r="AG287" s="10">
        <v>222027</v>
      </c>
      <c r="AH287" s="10">
        <f t="shared" si="121"/>
        <v>1514299.5299999993</v>
      </c>
      <c r="AI287" s="10">
        <v>12279602.529999999</v>
      </c>
      <c r="AJ287" s="10">
        <v>9940689</v>
      </c>
      <c r="AK287" s="10">
        <v>0</v>
      </c>
      <c r="AL287" s="10">
        <v>294723</v>
      </c>
      <c r="AM287" s="10">
        <v>338806.75</v>
      </c>
      <c r="AN287" s="10">
        <v>0</v>
      </c>
      <c r="AO287" s="10">
        <v>0</v>
      </c>
      <c r="AP287" s="10">
        <v>36756.42</v>
      </c>
      <c r="AQ287" s="10">
        <v>16162</v>
      </c>
      <c r="AR287" s="10">
        <v>222044</v>
      </c>
      <c r="AS287" s="10">
        <f t="shared" si="101"/>
        <v>1514299.5299999993</v>
      </c>
      <c r="AT287" s="10">
        <v>12363480.699999999</v>
      </c>
      <c r="AU287" s="12">
        <v>88200</v>
      </c>
      <c r="AV287" s="12">
        <v>16746.533331672556</v>
      </c>
      <c r="AW287" s="12">
        <v>23002.125</v>
      </c>
      <c r="AX287" s="12">
        <f t="shared" si="122"/>
        <v>127948.65833167256</v>
      </c>
      <c r="AY287" s="12">
        <v>98573.054999999993</v>
      </c>
      <c r="AZ287" s="12">
        <v>20064.32101501531</v>
      </c>
      <c r="BA287" s="12">
        <v>26890.924999999999</v>
      </c>
      <c r="BB287" s="12">
        <f t="shared" si="123"/>
        <v>145528.30101501528</v>
      </c>
      <c r="BC287" s="12">
        <v>10373.054999999993</v>
      </c>
      <c r="BD287" s="12">
        <v>3317.7876833427545</v>
      </c>
      <c r="BE287" s="12">
        <v>3888.7999999999884</v>
      </c>
      <c r="BF287" s="12">
        <v>17579.642683342736</v>
      </c>
    </row>
    <row r="288" spans="1:58" x14ac:dyDescent="0.25">
      <c r="A288" s="7">
        <v>2165</v>
      </c>
      <c r="B288" s="7">
        <v>1</v>
      </c>
      <c r="C288" s="7" t="s">
        <v>289</v>
      </c>
      <c r="D288" s="4">
        <v>5</v>
      </c>
      <c r="E288" s="10">
        <v>962</v>
      </c>
      <c r="F288" s="8">
        <f t="shared" si="102"/>
        <v>32273</v>
      </c>
      <c r="G288" s="8">
        <f t="shared" si="103"/>
        <v>25177.739999999998</v>
      </c>
      <c r="H288" s="8">
        <f t="shared" si="104"/>
        <v>15001</v>
      </c>
      <c r="I288" s="8">
        <f t="shared" si="105"/>
        <v>1.0000000002255547</v>
      </c>
      <c r="J288" s="8">
        <f t="shared" si="106"/>
        <v>72452.740000000224</v>
      </c>
      <c r="K288" s="8">
        <f t="shared" si="107"/>
        <v>14274.08464751079</v>
      </c>
      <c r="L288" s="8">
        <f t="shared" si="108"/>
        <v>86726.824647511006</v>
      </c>
      <c r="M288" s="8">
        <f t="shared" si="109"/>
        <v>75.314698544698771</v>
      </c>
      <c r="N288" s="8">
        <f t="shared" si="110"/>
        <v>26075</v>
      </c>
      <c r="O288" s="8">
        <f t="shared" si="111"/>
        <v>0</v>
      </c>
      <c r="P288" s="8">
        <f t="shared" si="112"/>
        <v>1136</v>
      </c>
      <c r="Q288" s="8">
        <f t="shared" si="113"/>
        <v>4958</v>
      </c>
      <c r="R288" s="8">
        <f t="shared" si="114"/>
        <v>104</v>
      </c>
      <c r="S288" s="8">
        <f t="shared" si="115"/>
        <v>0</v>
      </c>
      <c r="T288" s="8">
        <f t="shared" si="116"/>
        <v>25177.739999999998</v>
      </c>
      <c r="U288" s="8">
        <f t="shared" si="117"/>
        <v>15001</v>
      </c>
      <c r="V288" s="8">
        <f t="shared" si="118"/>
        <v>1</v>
      </c>
      <c r="W288" s="8">
        <f t="shared" si="119"/>
        <v>0</v>
      </c>
      <c r="X288" s="8">
        <f t="shared" si="120"/>
        <v>72452.740000000224</v>
      </c>
      <c r="Y288" s="10">
        <v>6055658</v>
      </c>
      <c r="Z288" s="10">
        <v>0</v>
      </c>
      <c r="AA288" s="10">
        <v>263838</v>
      </c>
      <c r="AB288" s="10">
        <v>985055</v>
      </c>
      <c r="AC288" s="10">
        <v>21965</v>
      </c>
      <c r="AD288" s="10">
        <v>0</v>
      </c>
      <c r="AE288" s="10">
        <v>0</v>
      </c>
      <c r="AF288" s="10">
        <v>0</v>
      </c>
      <c r="AG288" s="10">
        <v>149402</v>
      </c>
      <c r="AH288" s="10">
        <f t="shared" si="121"/>
        <v>606443.6799999997</v>
      </c>
      <c r="AI288" s="10">
        <v>8082361.6799999997</v>
      </c>
      <c r="AJ288" s="10">
        <v>6081733</v>
      </c>
      <c r="AK288" s="10">
        <v>0</v>
      </c>
      <c r="AL288" s="10">
        <v>264974</v>
      </c>
      <c r="AM288" s="10">
        <v>990013</v>
      </c>
      <c r="AN288" s="10">
        <v>22069</v>
      </c>
      <c r="AO288" s="10">
        <v>0</v>
      </c>
      <c r="AP288" s="10">
        <v>25177.739999999998</v>
      </c>
      <c r="AQ288" s="10">
        <v>15001</v>
      </c>
      <c r="AR288" s="10">
        <v>149403</v>
      </c>
      <c r="AS288" s="10">
        <f t="shared" si="101"/>
        <v>606443.6799999997</v>
      </c>
      <c r="AT288" s="10">
        <v>8154814.4199999999</v>
      </c>
      <c r="AU288" s="12">
        <v>39000</v>
      </c>
      <c r="AV288" s="12">
        <v>14632.498820810742</v>
      </c>
      <c r="AW288" s="12">
        <v>15423.875</v>
      </c>
      <c r="AX288" s="12">
        <f t="shared" si="122"/>
        <v>69056.373820810739</v>
      </c>
      <c r="AY288" s="12">
        <v>43586.724999999999</v>
      </c>
      <c r="AZ288" s="12">
        <v>17531.45846832154</v>
      </c>
      <c r="BA288" s="12">
        <v>22212.275000000001</v>
      </c>
      <c r="BB288" s="12">
        <f t="shared" si="123"/>
        <v>83330.458468321536</v>
      </c>
      <c r="BC288" s="12">
        <v>4586.7249999999985</v>
      </c>
      <c r="BD288" s="12">
        <v>2898.9596475107974</v>
      </c>
      <c r="BE288" s="12">
        <v>6788.3999999999942</v>
      </c>
      <c r="BF288" s="12">
        <v>14274.08464751079</v>
      </c>
    </row>
    <row r="289" spans="1:58" x14ac:dyDescent="0.25">
      <c r="A289" s="7">
        <v>2167</v>
      </c>
      <c r="B289" s="7">
        <v>1</v>
      </c>
      <c r="C289" s="7" t="s">
        <v>290</v>
      </c>
      <c r="D289" s="4">
        <v>6</v>
      </c>
      <c r="E289" s="10">
        <v>640</v>
      </c>
      <c r="F289" s="8">
        <f t="shared" si="102"/>
        <v>19388.25</v>
      </c>
      <c r="G289" s="8">
        <f t="shared" si="103"/>
        <v>0</v>
      </c>
      <c r="H289" s="8">
        <f t="shared" si="104"/>
        <v>0</v>
      </c>
      <c r="I289" s="8">
        <f t="shared" si="105"/>
        <v>11</v>
      </c>
      <c r="J289" s="8">
        <f t="shared" si="106"/>
        <v>19399.25</v>
      </c>
      <c r="K289" s="8">
        <f t="shared" si="107"/>
        <v>10035.8163200936</v>
      </c>
      <c r="L289" s="8">
        <f t="shared" si="108"/>
        <v>29435.0663200936</v>
      </c>
      <c r="M289" s="8">
        <f t="shared" si="109"/>
        <v>30.311328124999999</v>
      </c>
      <c r="N289" s="8">
        <f t="shared" si="110"/>
        <v>17700</v>
      </c>
      <c r="O289" s="8">
        <f t="shared" si="111"/>
        <v>0</v>
      </c>
      <c r="P289" s="8">
        <f t="shared" si="112"/>
        <v>657</v>
      </c>
      <c r="Q289" s="8">
        <f t="shared" si="113"/>
        <v>939.25</v>
      </c>
      <c r="R289" s="8">
        <f t="shared" si="114"/>
        <v>92</v>
      </c>
      <c r="S289" s="8">
        <f t="shared" si="115"/>
        <v>0</v>
      </c>
      <c r="T289" s="8">
        <f t="shared" si="116"/>
        <v>0</v>
      </c>
      <c r="U289" s="8">
        <f t="shared" si="117"/>
        <v>0</v>
      </c>
      <c r="V289" s="8">
        <f t="shared" si="118"/>
        <v>11</v>
      </c>
      <c r="W289" s="8">
        <f t="shared" si="119"/>
        <v>0</v>
      </c>
      <c r="X289" s="8">
        <f t="shared" si="120"/>
        <v>19399.25</v>
      </c>
      <c r="Y289" s="10">
        <v>4110648</v>
      </c>
      <c r="Z289" s="10">
        <v>0</v>
      </c>
      <c r="AA289" s="10">
        <v>152480</v>
      </c>
      <c r="AB289" s="10">
        <v>186610</v>
      </c>
      <c r="AC289" s="10">
        <v>19496</v>
      </c>
      <c r="AD289" s="10">
        <v>101102</v>
      </c>
      <c r="AE289" s="10">
        <v>168220</v>
      </c>
      <c r="AF289" s="10">
        <v>15469</v>
      </c>
      <c r="AG289" s="10">
        <v>86243</v>
      </c>
      <c r="AH289" s="10">
        <f t="shared" si="121"/>
        <v>725198.28000000026</v>
      </c>
      <c r="AI289" s="10">
        <v>5565466.2800000003</v>
      </c>
      <c r="AJ289" s="10">
        <v>4128348</v>
      </c>
      <c r="AK289" s="10">
        <v>0</v>
      </c>
      <c r="AL289" s="10">
        <v>153137</v>
      </c>
      <c r="AM289" s="10">
        <v>187549.25</v>
      </c>
      <c r="AN289" s="10">
        <v>19588</v>
      </c>
      <c r="AO289" s="10">
        <v>101102</v>
      </c>
      <c r="AP289" s="10">
        <v>168220</v>
      </c>
      <c r="AQ289" s="10">
        <v>15469</v>
      </c>
      <c r="AR289" s="10">
        <v>86254</v>
      </c>
      <c r="AS289" s="10">
        <f t="shared" si="101"/>
        <v>725198.28000000026</v>
      </c>
      <c r="AT289" s="10">
        <v>5584865.5300000003</v>
      </c>
      <c r="AU289" s="12">
        <v>30000</v>
      </c>
      <c r="AV289" s="12">
        <v>7179.3940006724506</v>
      </c>
      <c r="AW289" s="12">
        <v>11522.125</v>
      </c>
      <c r="AX289" s="12">
        <f t="shared" si="122"/>
        <v>48701.519000672452</v>
      </c>
      <c r="AY289" s="12">
        <v>33528.25</v>
      </c>
      <c r="AZ289" s="12">
        <v>8601.7603207660522</v>
      </c>
      <c r="BA289" s="12">
        <v>16607.325000000001</v>
      </c>
      <c r="BB289" s="12">
        <f t="shared" si="123"/>
        <v>58737.335320766055</v>
      </c>
      <c r="BC289" s="12">
        <v>3528.25</v>
      </c>
      <c r="BD289" s="12">
        <v>1422.3663200936016</v>
      </c>
      <c r="BE289" s="12">
        <v>5085.1999999999971</v>
      </c>
      <c r="BF289" s="12">
        <v>10035.8163200936</v>
      </c>
    </row>
    <row r="290" spans="1:58" x14ac:dyDescent="0.25">
      <c r="A290" s="7">
        <v>2168</v>
      </c>
      <c r="B290" s="7">
        <v>1</v>
      </c>
      <c r="C290" s="7" t="s">
        <v>291</v>
      </c>
      <c r="D290" s="4">
        <v>6</v>
      </c>
      <c r="E290" s="10">
        <v>948</v>
      </c>
      <c r="F290" s="8">
        <f t="shared" si="102"/>
        <v>28637</v>
      </c>
      <c r="G290" s="8">
        <f t="shared" si="103"/>
        <v>22973.14</v>
      </c>
      <c r="H290" s="8">
        <f t="shared" si="104"/>
        <v>0</v>
      </c>
      <c r="I290" s="8">
        <f t="shared" si="105"/>
        <v>4.9999999996653059</v>
      </c>
      <c r="J290" s="8">
        <f t="shared" si="106"/>
        <v>51615.139999999665</v>
      </c>
      <c r="K290" s="8">
        <f t="shared" si="107"/>
        <v>12189.762657567269</v>
      </c>
      <c r="L290" s="8">
        <f t="shared" si="108"/>
        <v>63804.902657566934</v>
      </c>
      <c r="M290" s="8">
        <f t="shared" si="109"/>
        <v>54.44635021097011</v>
      </c>
      <c r="N290" s="8">
        <f t="shared" si="110"/>
        <v>25895</v>
      </c>
      <c r="O290" s="8">
        <f t="shared" si="111"/>
        <v>0</v>
      </c>
      <c r="P290" s="8">
        <f t="shared" si="112"/>
        <v>854</v>
      </c>
      <c r="Q290" s="8">
        <f t="shared" si="113"/>
        <v>1888</v>
      </c>
      <c r="R290" s="8">
        <f t="shared" si="114"/>
        <v>0</v>
      </c>
      <c r="S290" s="8">
        <f t="shared" si="115"/>
        <v>0</v>
      </c>
      <c r="T290" s="8">
        <f t="shared" si="116"/>
        <v>22973.14</v>
      </c>
      <c r="U290" s="8">
        <f t="shared" si="117"/>
        <v>0</v>
      </c>
      <c r="V290" s="8">
        <f t="shared" si="118"/>
        <v>5</v>
      </c>
      <c r="W290" s="8">
        <f t="shared" si="119"/>
        <v>0</v>
      </c>
      <c r="X290" s="8">
        <f t="shared" si="120"/>
        <v>51615.139999999665</v>
      </c>
      <c r="Y290" s="10">
        <v>6013855</v>
      </c>
      <c r="Z290" s="10">
        <v>0</v>
      </c>
      <c r="AA290" s="10">
        <v>198434</v>
      </c>
      <c r="AB290" s="10">
        <v>375108</v>
      </c>
      <c r="AC290" s="10">
        <v>0</v>
      </c>
      <c r="AD290" s="10">
        <v>0</v>
      </c>
      <c r="AE290" s="10">
        <v>0</v>
      </c>
      <c r="AF290" s="10">
        <v>15021</v>
      </c>
      <c r="AG290" s="10">
        <v>141850</v>
      </c>
      <c r="AH290" s="10">
        <f t="shared" si="121"/>
        <v>758855.88999999966</v>
      </c>
      <c r="AI290" s="10">
        <v>7503123.8899999997</v>
      </c>
      <c r="AJ290" s="10">
        <v>6039750</v>
      </c>
      <c r="AK290" s="10">
        <v>0</v>
      </c>
      <c r="AL290" s="10">
        <v>199288</v>
      </c>
      <c r="AM290" s="10">
        <v>376996</v>
      </c>
      <c r="AN290" s="10">
        <v>0</v>
      </c>
      <c r="AO290" s="10">
        <v>0</v>
      </c>
      <c r="AP290" s="10">
        <v>22973.14</v>
      </c>
      <c r="AQ290" s="10">
        <v>15021</v>
      </c>
      <c r="AR290" s="10">
        <v>141855</v>
      </c>
      <c r="AS290" s="10">
        <f t="shared" si="101"/>
        <v>758855.88999999966</v>
      </c>
      <c r="AT290" s="10">
        <v>7554739.0299999993</v>
      </c>
      <c r="AU290" s="12">
        <v>33480</v>
      </c>
      <c r="AV290" s="12">
        <v>9861.9854815708059</v>
      </c>
      <c r="AW290" s="12">
        <v>15697.25</v>
      </c>
      <c r="AX290" s="12">
        <f t="shared" si="122"/>
        <v>59039.235481570809</v>
      </c>
      <c r="AY290" s="12">
        <v>37417.527000000002</v>
      </c>
      <c r="AZ290" s="12">
        <v>11815.821139138079</v>
      </c>
      <c r="BA290" s="12">
        <v>21995.65</v>
      </c>
      <c r="BB290" s="12">
        <f t="shared" si="123"/>
        <v>71228.998139138072</v>
      </c>
      <c r="BC290" s="12">
        <v>3937.5270000000019</v>
      </c>
      <c r="BD290" s="12">
        <v>1953.8356575672733</v>
      </c>
      <c r="BE290" s="12">
        <v>6298.3999999999942</v>
      </c>
      <c r="BF290" s="12">
        <v>12189.762657567269</v>
      </c>
    </row>
    <row r="291" spans="1:58" x14ac:dyDescent="0.25">
      <c r="A291" s="7">
        <v>2169</v>
      </c>
      <c r="B291" s="7">
        <v>1</v>
      </c>
      <c r="C291" s="7" t="s">
        <v>292</v>
      </c>
      <c r="D291" s="4">
        <v>6</v>
      </c>
      <c r="E291" s="10">
        <v>735</v>
      </c>
      <c r="F291" s="8">
        <f t="shared" si="102"/>
        <v>22509.75</v>
      </c>
      <c r="G291" s="8">
        <f t="shared" si="103"/>
        <v>0</v>
      </c>
      <c r="H291" s="8">
        <f t="shared" si="104"/>
        <v>0</v>
      </c>
      <c r="I291" s="8">
        <f t="shared" si="105"/>
        <v>26</v>
      </c>
      <c r="J291" s="8">
        <f t="shared" si="106"/>
        <v>22535.75</v>
      </c>
      <c r="K291" s="8">
        <f t="shared" si="107"/>
        <v>10632.766472442247</v>
      </c>
      <c r="L291" s="8">
        <f t="shared" si="108"/>
        <v>33168.51647244225</v>
      </c>
      <c r="M291" s="8">
        <f t="shared" si="109"/>
        <v>30.660884353741498</v>
      </c>
      <c r="N291" s="8">
        <f t="shared" si="110"/>
        <v>20030</v>
      </c>
      <c r="O291" s="8">
        <f t="shared" si="111"/>
        <v>0</v>
      </c>
      <c r="P291" s="8">
        <f t="shared" si="112"/>
        <v>875</v>
      </c>
      <c r="Q291" s="8">
        <f t="shared" si="113"/>
        <v>1277.75</v>
      </c>
      <c r="R291" s="8">
        <f t="shared" si="114"/>
        <v>327</v>
      </c>
      <c r="S291" s="8">
        <f t="shared" si="115"/>
        <v>0</v>
      </c>
      <c r="T291" s="8">
        <f t="shared" si="116"/>
        <v>0</v>
      </c>
      <c r="U291" s="8">
        <f t="shared" si="117"/>
        <v>0</v>
      </c>
      <c r="V291" s="8">
        <f t="shared" si="118"/>
        <v>26</v>
      </c>
      <c r="W291" s="8">
        <f t="shared" si="119"/>
        <v>0</v>
      </c>
      <c r="X291" s="8">
        <f t="shared" si="120"/>
        <v>22535.75</v>
      </c>
      <c r="Y291" s="10">
        <v>4651767</v>
      </c>
      <c r="Z291" s="10">
        <v>0</v>
      </c>
      <c r="AA291" s="10">
        <v>203318</v>
      </c>
      <c r="AB291" s="10">
        <v>253863</v>
      </c>
      <c r="AC291" s="10">
        <v>69055</v>
      </c>
      <c r="AD291" s="10">
        <v>72097</v>
      </c>
      <c r="AE291" s="10">
        <v>125905</v>
      </c>
      <c r="AF291" s="10">
        <v>15280</v>
      </c>
      <c r="AG291" s="10">
        <v>77821</v>
      </c>
      <c r="AH291" s="10">
        <f t="shared" si="121"/>
        <v>1287618.8099999996</v>
      </c>
      <c r="AI291" s="10">
        <v>6756724.8099999996</v>
      </c>
      <c r="AJ291" s="10">
        <v>4671797</v>
      </c>
      <c r="AK291" s="10">
        <v>0</v>
      </c>
      <c r="AL291" s="10">
        <v>204193</v>
      </c>
      <c r="AM291" s="10">
        <v>255140.75</v>
      </c>
      <c r="AN291" s="10">
        <v>69382</v>
      </c>
      <c r="AO291" s="10">
        <v>72097</v>
      </c>
      <c r="AP291" s="10">
        <v>125905</v>
      </c>
      <c r="AQ291" s="10">
        <v>15280</v>
      </c>
      <c r="AR291" s="10">
        <v>77847</v>
      </c>
      <c r="AS291" s="10">
        <f t="shared" si="101"/>
        <v>1287618.8099999996</v>
      </c>
      <c r="AT291" s="10">
        <v>6779260.5599999996</v>
      </c>
      <c r="AU291" s="12">
        <v>36240</v>
      </c>
      <c r="AV291" s="12">
        <v>9234.1007846522662</v>
      </c>
      <c r="AW291" s="12">
        <v>13309.625</v>
      </c>
      <c r="AX291" s="12">
        <f t="shared" si="122"/>
        <v>58783.72578465227</v>
      </c>
      <c r="AY291" s="12">
        <v>40502.125999999997</v>
      </c>
      <c r="AZ291" s="12">
        <v>11063.541257094519</v>
      </c>
      <c r="BA291" s="12">
        <v>17850.825000000001</v>
      </c>
      <c r="BB291" s="12">
        <f t="shared" si="123"/>
        <v>69416.49225709452</v>
      </c>
      <c r="BC291" s="12">
        <v>4262.1259999999966</v>
      </c>
      <c r="BD291" s="12">
        <v>1829.4404724422529</v>
      </c>
      <c r="BE291" s="12">
        <v>4541.1999999999971</v>
      </c>
      <c r="BF291" s="12">
        <v>10632.766472442247</v>
      </c>
    </row>
    <row r="292" spans="1:58" x14ac:dyDescent="0.25">
      <c r="A292" s="7">
        <v>2170</v>
      </c>
      <c r="B292" s="7">
        <v>1</v>
      </c>
      <c r="C292" s="7" t="s">
        <v>293</v>
      </c>
      <c r="D292" s="4">
        <v>5</v>
      </c>
      <c r="E292" s="10">
        <v>1208</v>
      </c>
      <c r="F292" s="8">
        <f t="shared" si="102"/>
        <v>40185</v>
      </c>
      <c r="G292" s="8">
        <f t="shared" si="103"/>
        <v>28318.539999999997</v>
      </c>
      <c r="H292" s="8">
        <f t="shared" si="104"/>
        <v>0</v>
      </c>
      <c r="I292" s="8">
        <f t="shared" si="105"/>
        <v>19.999999999108695</v>
      </c>
      <c r="J292" s="8">
        <f t="shared" si="106"/>
        <v>68523.539999999106</v>
      </c>
      <c r="K292" s="8">
        <f t="shared" si="107"/>
        <v>21263.014239584481</v>
      </c>
      <c r="L292" s="8">
        <f t="shared" si="108"/>
        <v>89786.55423958358</v>
      </c>
      <c r="M292" s="8">
        <f t="shared" si="109"/>
        <v>56.72478476821118</v>
      </c>
      <c r="N292" s="8">
        <f t="shared" si="110"/>
        <v>33060</v>
      </c>
      <c r="O292" s="8">
        <f t="shared" si="111"/>
        <v>0</v>
      </c>
      <c r="P292" s="8">
        <f t="shared" si="112"/>
        <v>1215</v>
      </c>
      <c r="Q292" s="8">
        <f t="shared" si="113"/>
        <v>5910</v>
      </c>
      <c r="R292" s="8">
        <f t="shared" si="114"/>
        <v>0</v>
      </c>
      <c r="S292" s="8">
        <f t="shared" si="115"/>
        <v>0</v>
      </c>
      <c r="T292" s="8">
        <f t="shared" si="116"/>
        <v>28318.539999999997</v>
      </c>
      <c r="U292" s="8">
        <f t="shared" si="117"/>
        <v>0</v>
      </c>
      <c r="V292" s="8">
        <f t="shared" si="118"/>
        <v>20</v>
      </c>
      <c r="W292" s="8">
        <f t="shared" si="119"/>
        <v>0</v>
      </c>
      <c r="X292" s="8">
        <f t="shared" si="120"/>
        <v>68523.539999999106</v>
      </c>
      <c r="Y292" s="10">
        <v>7677854</v>
      </c>
      <c r="Z292" s="10">
        <v>0</v>
      </c>
      <c r="AA292" s="10">
        <v>282307</v>
      </c>
      <c r="AB292" s="10">
        <v>1174199</v>
      </c>
      <c r="AC292" s="10">
        <v>0</v>
      </c>
      <c r="AD292" s="10">
        <v>0</v>
      </c>
      <c r="AE292" s="10">
        <v>0</v>
      </c>
      <c r="AF292" s="10">
        <v>14802</v>
      </c>
      <c r="AG292" s="10">
        <v>161896</v>
      </c>
      <c r="AH292" s="10">
        <f t="shared" si="121"/>
        <v>1616922.8599999994</v>
      </c>
      <c r="AI292" s="10">
        <v>10927980.859999999</v>
      </c>
      <c r="AJ292" s="10">
        <v>7710914</v>
      </c>
      <c r="AK292" s="10">
        <v>0</v>
      </c>
      <c r="AL292" s="10">
        <v>283522</v>
      </c>
      <c r="AM292" s="10">
        <v>1180109</v>
      </c>
      <c r="AN292" s="10">
        <v>0</v>
      </c>
      <c r="AO292" s="10">
        <v>0</v>
      </c>
      <c r="AP292" s="10">
        <v>28318.539999999997</v>
      </c>
      <c r="AQ292" s="10">
        <v>14802</v>
      </c>
      <c r="AR292" s="10">
        <v>161916</v>
      </c>
      <c r="AS292" s="10">
        <f t="shared" si="101"/>
        <v>1616922.8599999994</v>
      </c>
      <c r="AT292" s="10">
        <v>10996504.399999999</v>
      </c>
      <c r="AU292" s="12">
        <v>68400</v>
      </c>
      <c r="AV292" s="12">
        <v>20798.749899302649</v>
      </c>
      <c r="AW292" s="12">
        <v>19420.25</v>
      </c>
      <c r="AX292" s="12">
        <f t="shared" si="122"/>
        <v>108618.99989930265</v>
      </c>
      <c r="AY292" s="12">
        <v>76444.41</v>
      </c>
      <c r="AZ292" s="12">
        <v>24919.354138887127</v>
      </c>
      <c r="BA292" s="12">
        <v>28518.25</v>
      </c>
      <c r="BB292" s="12">
        <f t="shared" si="123"/>
        <v>129882.01413888713</v>
      </c>
      <c r="BC292" s="12">
        <v>8044.4100000000035</v>
      </c>
      <c r="BD292" s="12">
        <v>4120.6042395844779</v>
      </c>
      <c r="BE292" s="12">
        <v>9098</v>
      </c>
      <c r="BF292" s="12">
        <v>21263.014239584481</v>
      </c>
    </row>
    <row r="293" spans="1:58" x14ac:dyDescent="0.25">
      <c r="A293" s="7">
        <v>2171</v>
      </c>
      <c r="B293" s="7">
        <v>1</v>
      </c>
      <c r="C293" s="7" t="s">
        <v>294</v>
      </c>
      <c r="D293" s="4">
        <v>6</v>
      </c>
      <c r="E293" s="10">
        <v>261</v>
      </c>
      <c r="F293" s="8">
        <f t="shared" si="102"/>
        <v>9241</v>
      </c>
      <c r="G293" s="8">
        <f t="shared" si="103"/>
        <v>9654.94</v>
      </c>
      <c r="H293" s="8">
        <f t="shared" si="104"/>
        <v>0</v>
      </c>
      <c r="I293" s="8">
        <f t="shared" si="105"/>
        <v>-5.6388671509921551E-11</v>
      </c>
      <c r="J293" s="8">
        <f t="shared" si="106"/>
        <v>18895.939999999944</v>
      </c>
      <c r="K293" s="8">
        <f t="shared" si="107"/>
        <v>4677.508465302657</v>
      </c>
      <c r="L293" s="8">
        <f t="shared" si="108"/>
        <v>23573.448465302601</v>
      </c>
      <c r="M293" s="8">
        <f t="shared" si="109"/>
        <v>72.398237547892506</v>
      </c>
      <c r="N293" s="8">
        <f t="shared" si="110"/>
        <v>7039</v>
      </c>
      <c r="O293" s="8">
        <f t="shared" si="111"/>
        <v>46</v>
      </c>
      <c r="P293" s="8">
        <f t="shared" si="112"/>
        <v>576</v>
      </c>
      <c r="Q293" s="8">
        <f t="shared" si="113"/>
        <v>386</v>
      </c>
      <c r="R293" s="8">
        <f t="shared" si="114"/>
        <v>1194</v>
      </c>
      <c r="S293" s="8">
        <f t="shared" si="115"/>
        <v>0</v>
      </c>
      <c r="T293" s="8">
        <f t="shared" si="116"/>
        <v>9654.94</v>
      </c>
      <c r="U293" s="8">
        <f t="shared" si="117"/>
        <v>0</v>
      </c>
      <c r="V293" s="8">
        <f t="shared" si="118"/>
        <v>0</v>
      </c>
      <c r="W293" s="8">
        <f t="shared" si="119"/>
        <v>0</v>
      </c>
      <c r="X293" s="8">
        <f t="shared" si="120"/>
        <v>18895.939999999944</v>
      </c>
      <c r="Y293" s="10">
        <v>1634679</v>
      </c>
      <c r="Z293" s="10">
        <v>10648</v>
      </c>
      <c r="AA293" s="10">
        <v>133743</v>
      </c>
      <c r="AB293" s="10">
        <v>76690</v>
      </c>
      <c r="AC293" s="10">
        <v>252086</v>
      </c>
      <c r="AD293" s="10">
        <v>108243</v>
      </c>
      <c r="AE293" s="10">
        <v>0</v>
      </c>
      <c r="AF293" s="10">
        <v>0</v>
      </c>
      <c r="AG293" s="10">
        <v>14078</v>
      </c>
      <c r="AH293" s="10">
        <f t="shared" si="121"/>
        <v>841805.19</v>
      </c>
      <c r="AI293" s="10">
        <v>3071972.19</v>
      </c>
      <c r="AJ293" s="10">
        <v>1641718</v>
      </c>
      <c r="AK293" s="10">
        <v>10694</v>
      </c>
      <c r="AL293" s="10">
        <v>134319</v>
      </c>
      <c r="AM293" s="10">
        <v>77076</v>
      </c>
      <c r="AN293" s="10">
        <v>253280</v>
      </c>
      <c r="AO293" s="10">
        <v>108243</v>
      </c>
      <c r="AP293" s="10">
        <v>9654.94</v>
      </c>
      <c r="AQ293" s="10">
        <v>0</v>
      </c>
      <c r="AR293" s="10">
        <v>14078</v>
      </c>
      <c r="AS293" s="10">
        <f t="shared" si="101"/>
        <v>841805.19</v>
      </c>
      <c r="AT293" s="10">
        <v>3090868.13</v>
      </c>
      <c r="AU293" s="12">
        <v>18000</v>
      </c>
      <c r="AV293" s="12">
        <v>2831.4378536151626</v>
      </c>
      <c r="AW293" s="12">
        <v>4858.5</v>
      </c>
      <c r="AX293" s="12">
        <f t="shared" si="122"/>
        <v>25689.937853615163</v>
      </c>
      <c r="AY293" s="12">
        <v>20116.95</v>
      </c>
      <c r="AZ293" s="12">
        <v>3392.3963189178203</v>
      </c>
      <c r="BA293" s="12">
        <v>6858.1</v>
      </c>
      <c r="BB293" s="12">
        <f t="shared" si="123"/>
        <v>30367.44631891782</v>
      </c>
      <c r="BC293" s="12">
        <v>2116.9500000000007</v>
      </c>
      <c r="BD293" s="12">
        <v>560.95846530265771</v>
      </c>
      <c r="BE293" s="12">
        <v>1999.5999999999985</v>
      </c>
      <c r="BF293" s="12">
        <v>4677.508465302657</v>
      </c>
    </row>
    <row r="294" spans="1:58" x14ac:dyDescent="0.25">
      <c r="A294" s="7">
        <v>2172</v>
      </c>
      <c r="B294" s="7">
        <v>1</v>
      </c>
      <c r="C294" s="7" t="s">
        <v>295</v>
      </c>
      <c r="D294" s="4">
        <v>6</v>
      </c>
      <c r="E294" s="10">
        <v>803</v>
      </c>
      <c r="F294" s="8">
        <f t="shared" si="102"/>
        <v>23734</v>
      </c>
      <c r="G294" s="8">
        <f t="shared" si="103"/>
        <v>20098.099999999999</v>
      </c>
      <c r="H294" s="8">
        <f t="shared" si="104"/>
        <v>0</v>
      </c>
      <c r="I294" s="8">
        <f t="shared" si="105"/>
        <v>-12.000000000371074</v>
      </c>
      <c r="J294" s="8">
        <f t="shared" si="106"/>
        <v>43820.099999999627</v>
      </c>
      <c r="K294" s="8">
        <f t="shared" si="107"/>
        <v>10672.846226649457</v>
      </c>
      <c r="L294" s="8">
        <f t="shared" si="108"/>
        <v>54492.946226649088</v>
      </c>
      <c r="M294" s="8">
        <f t="shared" si="109"/>
        <v>54.570485678704394</v>
      </c>
      <c r="N294" s="8">
        <f t="shared" si="110"/>
        <v>21455</v>
      </c>
      <c r="O294" s="8">
        <f t="shared" si="111"/>
        <v>245</v>
      </c>
      <c r="P294" s="8">
        <f t="shared" si="112"/>
        <v>661</v>
      </c>
      <c r="Q294" s="8">
        <f t="shared" si="113"/>
        <v>1355</v>
      </c>
      <c r="R294" s="8">
        <f t="shared" si="114"/>
        <v>18</v>
      </c>
      <c r="S294" s="8">
        <f t="shared" si="115"/>
        <v>0</v>
      </c>
      <c r="T294" s="8">
        <f t="shared" si="116"/>
        <v>20098.099999999999</v>
      </c>
      <c r="U294" s="8">
        <f t="shared" si="117"/>
        <v>0</v>
      </c>
      <c r="V294" s="8">
        <f t="shared" si="118"/>
        <v>20</v>
      </c>
      <c r="W294" s="8">
        <f t="shared" si="119"/>
        <v>-32</v>
      </c>
      <c r="X294" s="8">
        <f t="shared" si="120"/>
        <v>43820.099999999627</v>
      </c>
      <c r="Y294" s="10">
        <v>4982709</v>
      </c>
      <c r="Z294" s="10">
        <v>56899</v>
      </c>
      <c r="AA294" s="10">
        <v>153515</v>
      </c>
      <c r="AB294" s="10">
        <v>269211</v>
      </c>
      <c r="AC294" s="10">
        <v>3848</v>
      </c>
      <c r="AD294" s="10">
        <v>49507</v>
      </c>
      <c r="AE294" s="10">
        <v>0</v>
      </c>
      <c r="AF294" s="10">
        <v>15185</v>
      </c>
      <c r="AG294" s="10">
        <v>94244</v>
      </c>
      <c r="AH294" s="10">
        <f t="shared" si="121"/>
        <v>1166082.7699999996</v>
      </c>
      <c r="AI294" s="10">
        <v>6791200.7699999996</v>
      </c>
      <c r="AJ294" s="10">
        <v>5004164</v>
      </c>
      <c r="AK294" s="10">
        <v>57144</v>
      </c>
      <c r="AL294" s="10">
        <v>154176</v>
      </c>
      <c r="AM294" s="10">
        <v>270566</v>
      </c>
      <c r="AN294" s="10">
        <v>3866</v>
      </c>
      <c r="AO294" s="10">
        <v>49507</v>
      </c>
      <c r="AP294" s="10">
        <v>20098.099999999999</v>
      </c>
      <c r="AQ294" s="10">
        <v>15185</v>
      </c>
      <c r="AR294" s="10">
        <v>94264</v>
      </c>
      <c r="AS294" s="10">
        <f t="shared" si="101"/>
        <v>1166050.7699999996</v>
      </c>
      <c r="AT294" s="10">
        <v>6835020.8699999992</v>
      </c>
      <c r="AU294" s="12">
        <v>43200</v>
      </c>
      <c r="AV294" s="12">
        <v>9520.4240290131274</v>
      </c>
      <c r="AW294" s="12">
        <v>13332.625</v>
      </c>
      <c r="AX294" s="12">
        <f t="shared" si="122"/>
        <v>66053.049029013127</v>
      </c>
      <c r="AY294" s="12">
        <v>48280.68</v>
      </c>
      <c r="AZ294" s="12">
        <v>11406.590255662584</v>
      </c>
      <c r="BA294" s="12">
        <v>17038.625</v>
      </c>
      <c r="BB294" s="12">
        <f t="shared" si="123"/>
        <v>76725.895255662588</v>
      </c>
      <c r="BC294" s="12">
        <v>5080.68</v>
      </c>
      <c r="BD294" s="12">
        <v>1886.1662266494568</v>
      </c>
      <c r="BE294" s="12">
        <v>3706</v>
      </c>
      <c r="BF294" s="12">
        <v>10672.846226649457</v>
      </c>
    </row>
    <row r="295" spans="1:58" x14ac:dyDescent="0.25">
      <c r="A295" s="7">
        <v>2174</v>
      </c>
      <c r="B295" s="7">
        <v>1</v>
      </c>
      <c r="C295" s="7" t="s">
        <v>296</v>
      </c>
      <c r="D295" s="4">
        <v>6</v>
      </c>
      <c r="E295" s="10">
        <v>873</v>
      </c>
      <c r="F295" s="8">
        <f t="shared" si="102"/>
        <v>31107.5</v>
      </c>
      <c r="G295" s="8">
        <f t="shared" si="103"/>
        <v>23495.599999999995</v>
      </c>
      <c r="H295" s="8">
        <f t="shared" si="104"/>
        <v>0</v>
      </c>
      <c r="I295" s="8">
        <f t="shared" si="105"/>
        <v>-3.6743585951626301E-10</v>
      </c>
      <c r="J295" s="8">
        <f t="shared" si="106"/>
        <v>54603.099999999627</v>
      </c>
      <c r="K295" s="8">
        <f t="shared" si="107"/>
        <v>14620.810571123271</v>
      </c>
      <c r="L295" s="8">
        <f t="shared" si="108"/>
        <v>69223.910571122891</v>
      </c>
      <c r="M295" s="8">
        <f t="shared" si="109"/>
        <v>62.546506300114117</v>
      </c>
      <c r="N295" s="8">
        <f t="shared" si="110"/>
        <v>23915</v>
      </c>
      <c r="O295" s="8">
        <f t="shared" si="111"/>
        <v>0</v>
      </c>
      <c r="P295" s="8">
        <f t="shared" si="112"/>
        <v>1191</v>
      </c>
      <c r="Q295" s="8">
        <f t="shared" si="113"/>
        <v>5780.5</v>
      </c>
      <c r="R295" s="8">
        <f t="shared" si="114"/>
        <v>221</v>
      </c>
      <c r="S295" s="8">
        <f t="shared" si="115"/>
        <v>0</v>
      </c>
      <c r="T295" s="8">
        <f t="shared" si="116"/>
        <v>23495.599999999995</v>
      </c>
      <c r="U295" s="8">
        <f t="shared" si="117"/>
        <v>0</v>
      </c>
      <c r="V295" s="8">
        <f t="shared" si="118"/>
        <v>0</v>
      </c>
      <c r="W295" s="8">
        <f t="shared" si="119"/>
        <v>0</v>
      </c>
      <c r="X295" s="8">
        <f t="shared" si="120"/>
        <v>54603.099999999627</v>
      </c>
      <c r="Y295" s="10">
        <v>5554020</v>
      </c>
      <c r="Z295" s="10">
        <v>0</v>
      </c>
      <c r="AA295" s="10">
        <v>276578</v>
      </c>
      <c r="AB295" s="10">
        <v>1148470</v>
      </c>
      <c r="AC295" s="10">
        <v>46784</v>
      </c>
      <c r="AD295" s="10">
        <v>1843</v>
      </c>
      <c r="AE295" s="10">
        <v>0</v>
      </c>
      <c r="AF295" s="10">
        <v>15101</v>
      </c>
      <c r="AG295" s="10">
        <v>137750</v>
      </c>
      <c r="AH295" s="10">
        <f t="shared" si="121"/>
        <v>655820.04</v>
      </c>
      <c r="AI295" s="10">
        <v>7836366.04</v>
      </c>
      <c r="AJ295" s="10">
        <v>5577935</v>
      </c>
      <c r="AK295" s="10">
        <v>0</v>
      </c>
      <c r="AL295" s="10">
        <v>277769</v>
      </c>
      <c r="AM295" s="10">
        <v>1154250.5</v>
      </c>
      <c r="AN295" s="10">
        <v>47005</v>
      </c>
      <c r="AO295" s="10">
        <v>1843</v>
      </c>
      <c r="AP295" s="10">
        <v>23495.599999999995</v>
      </c>
      <c r="AQ295" s="10">
        <v>15101</v>
      </c>
      <c r="AR295" s="10">
        <v>137750</v>
      </c>
      <c r="AS295" s="10">
        <f t="shared" si="101"/>
        <v>655820.04</v>
      </c>
      <c r="AT295" s="10">
        <v>7890969.1399999997</v>
      </c>
      <c r="AU295" s="12">
        <v>54840</v>
      </c>
      <c r="AV295" s="12">
        <v>16636.406410244701</v>
      </c>
      <c r="AW295" s="12">
        <v>14732.75</v>
      </c>
      <c r="AX295" s="12">
        <f t="shared" si="122"/>
        <v>86209.156410244701</v>
      </c>
      <c r="AY295" s="12">
        <v>61289.641000000003</v>
      </c>
      <c r="AZ295" s="12">
        <v>19932.375981367972</v>
      </c>
      <c r="BA295" s="12">
        <v>19607.95</v>
      </c>
      <c r="BB295" s="12">
        <f t="shared" si="123"/>
        <v>100829.96698136798</v>
      </c>
      <c r="BC295" s="12">
        <v>6449.6410000000033</v>
      </c>
      <c r="BD295" s="12">
        <v>3295.9695711232707</v>
      </c>
      <c r="BE295" s="12">
        <v>4875.1999999999971</v>
      </c>
      <c r="BF295" s="12">
        <v>14620.810571123271</v>
      </c>
    </row>
    <row r="296" spans="1:58" x14ac:dyDescent="0.25">
      <c r="A296" s="7">
        <v>2176</v>
      </c>
      <c r="B296" s="7">
        <v>1</v>
      </c>
      <c r="C296" s="7" t="s">
        <v>297</v>
      </c>
      <c r="D296" s="4">
        <v>6</v>
      </c>
      <c r="E296" s="10">
        <v>435</v>
      </c>
      <c r="F296" s="8">
        <f t="shared" si="102"/>
        <v>15668.75</v>
      </c>
      <c r="G296" s="8">
        <f t="shared" si="103"/>
        <v>12406.16</v>
      </c>
      <c r="H296" s="8">
        <f t="shared" si="104"/>
        <v>0</v>
      </c>
      <c r="I296" s="8">
        <f t="shared" si="105"/>
        <v>23.000000000149157</v>
      </c>
      <c r="J296" s="8">
        <f t="shared" si="106"/>
        <v>28097.910000000149</v>
      </c>
      <c r="K296" s="8">
        <f t="shared" si="107"/>
        <v>6552.7752949788801</v>
      </c>
      <c r="L296" s="8">
        <f t="shared" si="108"/>
        <v>34650.685294979026</v>
      </c>
      <c r="M296" s="8">
        <f t="shared" si="109"/>
        <v>64.592896551724479</v>
      </c>
      <c r="N296" s="8">
        <f t="shared" si="110"/>
        <v>11416</v>
      </c>
      <c r="O296" s="8">
        <f t="shared" si="111"/>
        <v>0</v>
      </c>
      <c r="P296" s="8">
        <f t="shared" si="112"/>
        <v>743</v>
      </c>
      <c r="Q296" s="8">
        <f t="shared" si="113"/>
        <v>1232.75</v>
      </c>
      <c r="R296" s="8">
        <f t="shared" si="114"/>
        <v>2277</v>
      </c>
      <c r="S296" s="8">
        <f t="shared" si="115"/>
        <v>0</v>
      </c>
      <c r="T296" s="8">
        <f t="shared" si="116"/>
        <v>12406.16</v>
      </c>
      <c r="U296" s="8">
        <f t="shared" si="117"/>
        <v>0</v>
      </c>
      <c r="V296" s="8">
        <f t="shared" si="118"/>
        <v>23</v>
      </c>
      <c r="W296" s="8">
        <f t="shared" si="119"/>
        <v>0</v>
      </c>
      <c r="X296" s="8">
        <f t="shared" si="120"/>
        <v>28097.910000000149</v>
      </c>
      <c r="Y296" s="10">
        <v>2651310</v>
      </c>
      <c r="Z296" s="10">
        <v>0</v>
      </c>
      <c r="AA296" s="10">
        <v>172511</v>
      </c>
      <c r="AB296" s="10">
        <v>244923</v>
      </c>
      <c r="AC296" s="10">
        <v>480643</v>
      </c>
      <c r="AD296" s="10">
        <v>130251</v>
      </c>
      <c r="AE296" s="10">
        <v>0</v>
      </c>
      <c r="AF296" s="10">
        <v>16119</v>
      </c>
      <c r="AG296" s="10">
        <v>33355</v>
      </c>
      <c r="AH296" s="10">
        <f t="shared" si="121"/>
        <v>970854.09999999963</v>
      </c>
      <c r="AI296" s="10">
        <v>4699966.0999999996</v>
      </c>
      <c r="AJ296" s="10">
        <v>2662726</v>
      </c>
      <c r="AK296" s="10">
        <v>0</v>
      </c>
      <c r="AL296" s="10">
        <v>173254</v>
      </c>
      <c r="AM296" s="10">
        <v>246155.75</v>
      </c>
      <c r="AN296" s="10">
        <v>482920</v>
      </c>
      <c r="AO296" s="10">
        <v>130251</v>
      </c>
      <c r="AP296" s="10">
        <v>12406.16</v>
      </c>
      <c r="AQ296" s="10">
        <v>16119</v>
      </c>
      <c r="AR296" s="10">
        <v>33378</v>
      </c>
      <c r="AS296" s="10">
        <f t="shared" si="101"/>
        <v>970854.09999999963</v>
      </c>
      <c r="AT296" s="10">
        <v>4728064.01</v>
      </c>
      <c r="AU296" s="12">
        <v>25440</v>
      </c>
      <c r="AV296" s="12">
        <v>6269.0923914058912</v>
      </c>
      <c r="AW296" s="12">
        <v>6683</v>
      </c>
      <c r="AX296" s="12">
        <f t="shared" si="122"/>
        <v>38392.092391405895</v>
      </c>
      <c r="AY296" s="12">
        <v>28431.955999999998</v>
      </c>
      <c r="AZ296" s="12">
        <v>7511.1116863847701</v>
      </c>
      <c r="BA296" s="12">
        <v>9001.7999999999993</v>
      </c>
      <c r="BB296" s="12">
        <f t="shared" si="123"/>
        <v>44944.867686384765</v>
      </c>
      <c r="BC296" s="12">
        <v>2991.9559999999983</v>
      </c>
      <c r="BD296" s="12">
        <v>1242.0192949788789</v>
      </c>
      <c r="BE296" s="12">
        <v>2318.8000000000029</v>
      </c>
      <c r="BF296" s="12">
        <v>6552.7752949788801</v>
      </c>
    </row>
    <row r="297" spans="1:58" x14ac:dyDescent="0.25">
      <c r="A297" s="7">
        <v>2180</v>
      </c>
      <c r="B297" s="7">
        <v>1</v>
      </c>
      <c r="C297" s="7" t="s">
        <v>298</v>
      </c>
      <c r="D297" s="4">
        <v>6</v>
      </c>
      <c r="E297" s="10">
        <v>654</v>
      </c>
      <c r="F297" s="8">
        <f t="shared" si="102"/>
        <v>21179.25</v>
      </c>
      <c r="G297" s="8">
        <f t="shared" si="103"/>
        <v>17618.68</v>
      </c>
      <c r="H297" s="8">
        <f t="shared" si="104"/>
        <v>15439</v>
      </c>
      <c r="I297" s="8">
        <f t="shared" si="105"/>
        <v>35.999999999701686</v>
      </c>
      <c r="J297" s="8">
        <f t="shared" si="106"/>
        <v>54272.929999999702</v>
      </c>
      <c r="K297" s="8">
        <f t="shared" si="107"/>
        <v>9776.2773447381169</v>
      </c>
      <c r="L297" s="8">
        <f t="shared" si="108"/>
        <v>64049.207344737821</v>
      </c>
      <c r="M297" s="8">
        <f t="shared" si="109"/>
        <v>82.986131498470499</v>
      </c>
      <c r="N297" s="8">
        <f t="shared" si="110"/>
        <v>17198</v>
      </c>
      <c r="O297" s="8">
        <f t="shared" si="111"/>
        <v>39</v>
      </c>
      <c r="P297" s="8">
        <f t="shared" si="112"/>
        <v>791</v>
      </c>
      <c r="Q297" s="8">
        <f t="shared" si="113"/>
        <v>2084.25</v>
      </c>
      <c r="R297" s="8">
        <f t="shared" si="114"/>
        <v>1067</v>
      </c>
      <c r="S297" s="8">
        <f t="shared" si="115"/>
        <v>0</v>
      </c>
      <c r="T297" s="8">
        <f t="shared" si="116"/>
        <v>17618.68</v>
      </c>
      <c r="U297" s="8">
        <f t="shared" si="117"/>
        <v>15439</v>
      </c>
      <c r="V297" s="8">
        <f t="shared" si="118"/>
        <v>36</v>
      </c>
      <c r="W297" s="8">
        <f t="shared" si="119"/>
        <v>0</v>
      </c>
      <c r="X297" s="8">
        <f t="shared" si="120"/>
        <v>54272.929999999702</v>
      </c>
      <c r="Y297" s="10">
        <v>3993947</v>
      </c>
      <c r="Z297" s="10">
        <v>9104</v>
      </c>
      <c r="AA297" s="10">
        <v>183703</v>
      </c>
      <c r="AB297" s="10">
        <v>414099</v>
      </c>
      <c r="AC297" s="10">
        <v>225037</v>
      </c>
      <c r="AD297" s="10">
        <v>106067</v>
      </c>
      <c r="AE297" s="10">
        <v>0</v>
      </c>
      <c r="AF297" s="10">
        <v>0</v>
      </c>
      <c r="AG297" s="10">
        <v>48047</v>
      </c>
      <c r="AH297" s="10">
        <f t="shared" si="121"/>
        <v>1509221.4400000004</v>
      </c>
      <c r="AI297" s="10">
        <v>6489225.4400000004</v>
      </c>
      <c r="AJ297" s="10">
        <v>4011145</v>
      </c>
      <c r="AK297" s="10">
        <v>9143</v>
      </c>
      <c r="AL297" s="10">
        <v>184494</v>
      </c>
      <c r="AM297" s="10">
        <v>416183.25</v>
      </c>
      <c r="AN297" s="10">
        <v>226104</v>
      </c>
      <c r="AO297" s="10">
        <v>106067</v>
      </c>
      <c r="AP297" s="10">
        <v>17618.68</v>
      </c>
      <c r="AQ297" s="10">
        <v>15439</v>
      </c>
      <c r="AR297" s="10">
        <v>48083</v>
      </c>
      <c r="AS297" s="10">
        <f t="shared" si="101"/>
        <v>1509221.4400000004</v>
      </c>
      <c r="AT297" s="10">
        <v>6543498.3700000001</v>
      </c>
      <c r="AU297" s="12">
        <v>31680</v>
      </c>
      <c r="AV297" s="12">
        <v>9505.6808775656482</v>
      </c>
      <c r="AW297" s="12">
        <v>9978.25</v>
      </c>
      <c r="AX297" s="12">
        <f t="shared" si="122"/>
        <v>51163.930877565646</v>
      </c>
      <c r="AY297" s="12">
        <v>35405.832000000002</v>
      </c>
      <c r="AZ297" s="12">
        <v>11388.926222303766</v>
      </c>
      <c r="BA297" s="12">
        <v>14145.45</v>
      </c>
      <c r="BB297" s="12">
        <f t="shared" si="123"/>
        <v>60940.208222303772</v>
      </c>
      <c r="BC297" s="12">
        <v>3725.8320000000022</v>
      </c>
      <c r="BD297" s="12">
        <v>1883.2453447381176</v>
      </c>
      <c r="BE297" s="12">
        <v>4167.1999999999971</v>
      </c>
      <c r="BF297" s="12">
        <v>9776.2773447381169</v>
      </c>
    </row>
    <row r="298" spans="1:58" x14ac:dyDescent="0.25">
      <c r="A298" s="7">
        <v>2184</v>
      </c>
      <c r="B298" s="7">
        <v>1</v>
      </c>
      <c r="C298" s="7" t="s">
        <v>299</v>
      </c>
      <c r="D298" s="4">
        <v>5</v>
      </c>
      <c r="E298" s="10">
        <v>1192</v>
      </c>
      <c r="F298" s="8">
        <f t="shared" si="102"/>
        <v>34840.25</v>
      </c>
      <c r="G298" s="8">
        <f t="shared" si="103"/>
        <v>29931.22</v>
      </c>
      <c r="H298" s="8">
        <f t="shared" si="104"/>
        <v>452</v>
      </c>
      <c r="I298" s="8">
        <f t="shared" si="105"/>
        <v>5.0000000006693881</v>
      </c>
      <c r="J298" s="8">
        <f t="shared" si="106"/>
        <v>65228.470000000671</v>
      </c>
      <c r="K298" s="8">
        <f t="shared" si="107"/>
        <v>16385.239258984824</v>
      </c>
      <c r="L298" s="8">
        <f t="shared" si="108"/>
        <v>81613.709258985502</v>
      </c>
      <c r="M298" s="8">
        <f t="shared" si="109"/>
        <v>54.72187080536969</v>
      </c>
      <c r="N298" s="8">
        <f t="shared" si="110"/>
        <v>31823</v>
      </c>
      <c r="O298" s="8">
        <f t="shared" si="111"/>
        <v>72</v>
      </c>
      <c r="P298" s="8">
        <f t="shared" si="112"/>
        <v>919</v>
      </c>
      <c r="Q298" s="8">
        <f t="shared" si="113"/>
        <v>2026.25</v>
      </c>
      <c r="R298" s="8">
        <f t="shared" si="114"/>
        <v>0</v>
      </c>
      <c r="S298" s="8">
        <f t="shared" si="115"/>
        <v>0</v>
      </c>
      <c r="T298" s="8">
        <f t="shared" si="116"/>
        <v>29931.22</v>
      </c>
      <c r="U298" s="8">
        <f t="shared" si="117"/>
        <v>452</v>
      </c>
      <c r="V298" s="8">
        <f t="shared" si="118"/>
        <v>37</v>
      </c>
      <c r="W298" s="8">
        <f t="shared" si="119"/>
        <v>-31.999999999068677</v>
      </c>
      <c r="X298" s="8">
        <f t="shared" si="120"/>
        <v>65228.470000000671</v>
      </c>
      <c r="Y298" s="10">
        <v>7390457</v>
      </c>
      <c r="Z298" s="10">
        <v>16826</v>
      </c>
      <c r="AA298" s="10">
        <v>213286</v>
      </c>
      <c r="AB298" s="10">
        <v>402575</v>
      </c>
      <c r="AC298" s="10">
        <v>0</v>
      </c>
      <c r="AD298" s="10">
        <v>0</v>
      </c>
      <c r="AE298" s="10">
        <v>0</v>
      </c>
      <c r="AF298" s="10">
        <v>14824</v>
      </c>
      <c r="AG298" s="10">
        <v>129524</v>
      </c>
      <c r="AH298" s="10">
        <f t="shared" si="121"/>
        <v>1902674.0700000003</v>
      </c>
      <c r="AI298" s="10">
        <v>10070166.07</v>
      </c>
      <c r="AJ298" s="10">
        <v>7422280</v>
      </c>
      <c r="AK298" s="10">
        <v>16898</v>
      </c>
      <c r="AL298" s="10">
        <v>214205</v>
      </c>
      <c r="AM298" s="10">
        <v>404601.25</v>
      </c>
      <c r="AN298" s="10">
        <v>0</v>
      </c>
      <c r="AO298" s="10">
        <v>0</v>
      </c>
      <c r="AP298" s="10">
        <v>29931.22</v>
      </c>
      <c r="AQ298" s="10">
        <v>15276</v>
      </c>
      <c r="AR298" s="10">
        <v>129561</v>
      </c>
      <c r="AS298" s="10">
        <f t="shared" si="101"/>
        <v>1902642.0700000012</v>
      </c>
      <c r="AT298" s="10">
        <v>10135394.540000001</v>
      </c>
      <c r="AU298" s="12">
        <v>50880</v>
      </c>
      <c r="AV298" s="12">
        <v>12607.278339725886</v>
      </c>
      <c r="AW298" s="12">
        <v>17745</v>
      </c>
      <c r="AX298" s="12">
        <f t="shared" si="122"/>
        <v>81232.27833972589</v>
      </c>
      <c r="AY298" s="12">
        <v>56863.911999999997</v>
      </c>
      <c r="AZ298" s="12">
        <v>15105.005598710708</v>
      </c>
      <c r="BA298" s="12">
        <v>25648.6</v>
      </c>
      <c r="BB298" s="12">
        <f t="shared" si="123"/>
        <v>97617.517598710692</v>
      </c>
      <c r="BC298" s="12">
        <v>5983.9119999999966</v>
      </c>
      <c r="BD298" s="12">
        <v>2497.7272589848217</v>
      </c>
      <c r="BE298" s="12">
        <v>7903.6000000000058</v>
      </c>
      <c r="BF298" s="12">
        <v>16385.239258984824</v>
      </c>
    </row>
    <row r="299" spans="1:58" x14ac:dyDescent="0.25">
      <c r="A299" s="7">
        <v>2190</v>
      </c>
      <c r="B299" s="7">
        <v>1</v>
      </c>
      <c r="C299" s="7" t="s">
        <v>300</v>
      </c>
      <c r="D299" s="4">
        <v>6</v>
      </c>
      <c r="E299" s="10">
        <v>786</v>
      </c>
      <c r="F299" s="8">
        <f t="shared" si="102"/>
        <v>24921.75</v>
      </c>
      <c r="G299" s="8">
        <f t="shared" si="103"/>
        <v>21324.22</v>
      </c>
      <c r="H299" s="8">
        <f t="shared" si="104"/>
        <v>0</v>
      </c>
      <c r="I299" s="8">
        <f t="shared" si="105"/>
        <v>178.99999999973807</v>
      </c>
      <c r="J299" s="8">
        <f t="shared" si="106"/>
        <v>46424.969999999739</v>
      </c>
      <c r="K299" s="8">
        <f t="shared" si="107"/>
        <v>11561.841564835733</v>
      </c>
      <c r="L299" s="8">
        <f t="shared" si="108"/>
        <v>57986.811564835472</v>
      </c>
      <c r="M299" s="8">
        <f t="shared" si="109"/>
        <v>59.064847328243943</v>
      </c>
      <c r="N299" s="8">
        <f t="shared" si="110"/>
        <v>21510</v>
      </c>
      <c r="O299" s="8">
        <f t="shared" si="111"/>
        <v>149</v>
      </c>
      <c r="P299" s="8">
        <f t="shared" si="112"/>
        <v>912</v>
      </c>
      <c r="Q299" s="8">
        <f t="shared" si="113"/>
        <v>2115.75</v>
      </c>
      <c r="R299" s="8">
        <f t="shared" si="114"/>
        <v>235</v>
      </c>
      <c r="S299" s="8">
        <f t="shared" si="115"/>
        <v>0</v>
      </c>
      <c r="T299" s="8">
        <f t="shared" si="116"/>
        <v>21324.22</v>
      </c>
      <c r="U299" s="8">
        <f t="shared" si="117"/>
        <v>0</v>
      </c>
      <c r="V299" s="8">
        <f t="shared" si="118"/>
        <v>29</v>
      </c>
      <c r="W299" s="8">
        <f t="shared" si="119"/>
        <v>150</v>
      </c>
      <c r="X299" s="8">
        <f t="shared" si="120"/>
        <v>46424.969999999739</v>
      </c>
      <c r="Y299" s="10">
        <v>4995482</v>
      </c>
      <c r="Z299" s="10">
        <v>34790</v>
      </c>
      <c r="AA299" s="10">
        <v>211783</v>
      </c>
      <c r="AB299" s="10">
        <v>420357</v>
      </c>
      <c r="AC299" s="10">
        <v>49552</v>
      </c>
      <c r="AD299" s="10">
        <v>48561</v>
      </c>
      <c r="AE299" s="10">
        <v>0</v>
      </c>
      <c r="AF299" s="10">
        <v>23664</v>
      </c>
      <c r="AG299" s="10">
        <v>82249</v>
      </c>
      <c r="AH299" s="10">
        <f t="shared" si="121"/>
        <v>1442034.13</v>
      </c>
      <c r="AI299" s="10">
        <v>7308472.1299999999</v>
      </c>
      <c r="AJ299" s="10">
        <v>5016992</v>
      </c>
      <c r="AK299" s="10">
        <v>34939</v>
      </c>
      <c r="AL299" s="10">
        <v>212695</v>
      </c>
      <c r="AM299" s="10">
        <v>422472.75</v>
      </c>
      <c r="AN299" s="10">
        <v>49787</v>
      </c>
      <c r="AO299" s="10">
        <v>48561</v>
      </c>
      <c r="AP299" s="10">
        <v>21324.22</v>
      </c>
      <c r="AQ299" s="10">
        <v>23664</v>
      </c>
      <c r="AR299" s="10">
        <v>82278</v>
      </c>
      <c r="AS299" s="10">
        <f t="shared" si="101"/>
        <v>1442184.13</v>
      </c>
      <c r="AT299" s="10">
        <v>7354897.0999999996</v>
      </c>
      <c r="AU299" s="12">
        <v>39480</v>
      </c>
      <c r="AV299" s="12">
        <v>10853.460391008375</v>
      </c>
      <c r="AW299" s="12">
        <v>12008.25</v>
      </c>
      <c r="AX299" s="12">
        <f t="shared" si="122"/>
        <v>62341.710391008375</v>
      </c>
      <c r="AY299" s="12">
        <v>44123.177000000003</v>
      </c>
      <c r="AZ299" s="12">
        <v>13003.724955844111</v>
      </c>
      <c r="BA299" s="12">
        <v>16776.650000000001</v>
      </c>
      <c r="BB299" s="12">
        <f t="shared" si="123"/>
        <v>73903.551955844116</v>
      </c>
      <c r="BC299" s="12">
        <v>4643.1770000000033</v>
      </c>
      <c r="BD299" s="12">
        <v>2150.2645648357357</v>
      </c>
      <c r="BE299" s="12">
        <v>4768.3999999999942</v>
      </c>
      <c r="BF299" s="12">
        <v>11561.841564835733</v>
      </c>
    </row>
    <row r="300" spans="1:58" x14ac:dyDescent="0.25">
      <c r="A300" s="7">
        <v>2198</v>
      </c>
      <c r="B300" s="7">
        <v>1</v>
      </c>
      <c r="C300" s="7" t="s">
        <v>301</v>
      </c>
      <c r="D300" s="4">
        <v>6</v>
      </c>
      <c r="E300" s="10">
        <v>537</v>
      </c>
      <c r="F300" s="8">
        <f t="shared" si="102"/>
        <v>16481.25</v>
      </c>
      <c r="G300" s="8">
        <f t="shared" si="103"/>
        <v>14885.58</v>
      </c>
      <c r="H300" s="8">
        <f t="shared" si="104"/>
        <v>0</v>
      </c>
      <c r="I300" s="8">
        <f t="shared" si="105"/>
        <v>17.000000000074579</v>
      </c>
      <c r="J300" s="8">
        <f t="shared" si="106"/>
        <v>31383.830000000075</v>
      </c>
      <c r="K300" s="8">
        <f t="shared" si="107"/>
        <v>8520.0538879710639</v>
      </c>
      <c r="L300" s="8">
        <f t="shared" si="108"/>
        <v>39903.88388797114</v>
      </c>
      <c r="M300" s="8">
        <f t="shared" si="109"/>
        <v>58.442886405959172</v>
      </c>
      <c r="N300" s="8">
        <f t="shared" si="110"/>
        <v>14215</v>
      </c>
      <c r="O300" s="8">
        <f t="shared" si="111"/>
        <v>36</v>
      </c>
      <c r="P300" s="8">
        <f t="shared" si="112"/>
        <v>543</v>
      </c>
      <c r="Q300" s="8">
        <f t="shared" si="113"/>
        <v>1278.25</v>
      </c>
      <c r="R300" s="8">
        <f t="shared" si="114"/>
        <v>409</v>
      </c>
      <c r="S300" s="8">
        <f t="shared" si="115"/>
        <v>0</v>
      </c>
      <c r="T300" s="8">
        <f t="shared" si="116"/>
        <v>14885.58</v>
      </c>
      <c r="U300" s="8">
        <f t="shared" si="117"/>
        <v>0</v>
      </c>
      <c r="V300" s="8">
        <f t="shared" si="118"/>
        <v>17</v>
      </c>
      <c r="W300" s="8">
        <f t="shared" si="119"/>
        <v>0</v>
      </c>
      <c r="X300" s="8">
        <f t="shared" si="120"/>
        <v>31383.830000000075</v>
      </c>
      <c r="Y300" s="10">
        <v>3301292</v>
      </c>
      <c r="Z300" s="10">
        <v>8454</v>
      </c>
      <c r="AA300" s="10">
        <v>126102</v>
      </c>
      <c r="AB300" s="10">
        <v>253963</v>
      </c>
      <c r="AC300" s="10">
        <v>86482</v>
      </c>
      <c r="AD300" s="10">
        <v>126112</v>
      </c>
      <c r="AE300" s="10">
        <v>0</v>
      </c>
      <c r="AF300" s="10">
        <v>0</v>
      </c>
      <c r="AG300" s="10">
        <v>57997</v>
      </c>
      <c r="AH300" s="10">
        <f t="shared" si="121"/>
        <v>847342.83999999985</v>
      </c>
      <c r="AI300" s="10">
        <v>4807744.84</v>
      </c>
      <c r="AJ300" s="10">
        <v>3315507</v>
      </c>
      <c r="AK300" s="10">
        <v>8490</v>
      </c>
      <c r="AL300" s="10">
        <v>126645</v>
      </c>
      <c r="AM300" s="10">
        <v>255241.25</v>
      </c>
      <c r="AN300" s="10">
        <v>86891</v>
      </c>
      <c r="AO300" s="10">
        <v>126112</v>
      </c>
      <c r="AP300" s="10">
        <v>14885.58</v>
      </c>
      <c r="AQ300" s="10">
        <v>0</v>
      </c>
      <c r="AR300" s="10">
        <v>58014</v>
      </c>
      <c r="AS300" s="10">
        <f t="shared" si="101"/>
        <v>847342.83999999985</v>
      </c>
      <c r="AT300" s="10">
        <v>4839128.67</v>
      </c>
      <c r="AU300" s="12">
        <v>35400</v>
      </c>
      <c r="AV300" s="12">
        <v>7280.1045870339749</v>
      </c>
      <c r="AW300" s="12">
        <v>10026.5</v>
      </c>
      <c r="AX300" s="12">
        <f t="shared" si="122"/>
        <v>52706.604587033973</v>
      </c>
      <c r="AY300" s="12">
        <v>39563.334999999999</v>
      </c>
      <c r="AZ300" s="12">
        <v>8722.4234750050455</v>
      </c>
      <c r="BA300" s="12">
        <v>12940.9</v>
      </c>
      <c r="BB300" s="12">
        <f t="shared" si="123"/>
        <v>61226.658475005046</v>
      </c>
      <c r="BC300" s="12">
        <v>4163.3349999999991</v>
      </c>
      <c r="BD300" s="12">
        <v>1442.3188879710706</v>
      </c>
      <c r="BE300" s="12">
        <v>2914.3999999999942</v>
      </c>
      <c r="BF300" s="12">
        <v>8520.0538879710639</v>
      </c>
    </row>
    <row r="301" spans="1:58" x14ac:dyDescent="0.25">
      <c r="A301" s="7">
        <v>2215</v>
      </c>
      <c r="B301" s="7">
        <v>1</v>
      </c>
      <c r="C301" s="7" t="s">
        <v>302</v>
      </c>
      <c r="D301" s="4">
        <v>6</v>
      </c>
      <c r="E301" s="10">
        <v>313</v>
      </c>
      <c r="F301" s="8">
        <f t="shared" si="102"/>
        <v>11162</v>
      </c>
      <c r="G301" s="8">
        <f t="shared" si="103"/>
        <v>9645.8799999999992</v>
      </c>
      <c r="H301" s="8">
        <f t="shared" si="104"/>
        <v>0</v>
      </c>
      <c r="I301" s="8">
        <f t="shared" si="105"/>
        <v>15.999999999889042</v>
      </c>
      <c r="J301" s="8">
        <f t="shared" si="106"/>
        <v>20823.879999999888</v>
      </c>
      <c r="K301" s="8">
        <f t="shared" si="107"/>
        <v>5021.596854548543</v>
      </c>
      <c r="L301" s="8">
        <f t="shared" si="108"/>
        <v>25845.476854548433</v>
      </c>
      <c r="M301" s="8">
        <f t="shared" si="109"/>
        <v>66.529968051117848</v>
      </c>
      <c r="N301" s="8">
        <f t="shared" si="110"/>
        <v>8365</v>
      </c>
      <c r="O301" s="8">
        <f t="shared" si="111"/>
        <v>39</v>
      </c>
      <c r="P301" s="8">
        <f t="shared" si="112"/>
        <v>484</v>
      </c>
      <c r="Q301" s="8">
        <f t="shared" si="113"/>
        <v>1335</v>
      </c>
      <c r="R301" s="8">
        <f t="shared" si="114"/>
        <v>939</v>
      </c>
      <c r="S301" s="8">
        <f t="shared" si="115"/>
        <v>0</v>
      </c>
      <c r="T301" s="8">
        <f t="shared" si="116"/>
        <v>9645.8799999999992</v>
      </c>
      <c r="U301" s="8">
        <f t="shared" si="117"/>
        <v>0</v>
      </c>
      <c r="V301" s="8">
        <f t="shared" si="118"/>
        <v>16</v>
      </c>
      <c r="W301" s="8">
        <f t="shared" si="119"/>
        <v>0</v>
      </c>
      <c r="X301" s="8">
        <f t="shared" si="120"/>
        <v>20823.879999999888</v>
      </c>
      <c r="Y301" s="10">
        <v>1942688</v>
      </c>
      <c r="Z301" s="10">
        <v>8941</v>
      </c>
      <c r="AA301" s="10">
        <v>112451</v>
      </c>
      <c r="AB301" s="10">
        <v>265238</v>
      </c>
      <c r="AC301" s="10">
        <v>198115</v>
      </c>
      <c r="AD301" s="10">
        <v>118580</v>
      </c>
      <c r="AE301" s="10">
        <v>0</v>
      </c>
      <c r="AF301" s="10">
        <v>0</v>
      </c>
      <c r="AG301" s="10">
        <v>24210</v>
      </c>
      <c r="AH301" s="10">
        <f t="shared" si="121"/>
        <v>713224.29999999981</v>
      </c>
      <c r="AI301" s="10">
        <v>3383447.3</v>
      </c>
      <c r="AJ301" s="10">
        <v>1951053</v>
      </c>
      <c r="AK301" s="10">
        <v>8980</v>
      </c>
      <c r="AL301" s="10">
        <v>112935</v>
      </c>
      <c r="AM301" s="10">
        <v>266573</v>
      </c>
      <c r="AN301" s="10">
        <v>199054</v>
      </c>
      <c r="AO301" s="10">
        <v>118580</v>
      </c>
      <c r="AP301" s="10">
        <v>9645.8799999999992</v>
      </c>
      <c r="AQ301" s="10">
        <v>0</v>
      </c>
      <c r="AR301" s="10">
        <v>24226</v>
      </c>
      <c r="AS301" s="10">
        <f t="shared" si="101"/>
        <v>713224.29999999981</v>
      </c>
      <c r="AT301" s="10">
        <v>3404271.1799999997</v>
      </c>
      <c r="AU301" s="12">
        <v>18000</v>
      </c>
      <c r="AV301" s="12">
        <v>4281.5259983337583</v>
      </c>
      <c r="AW301" s="12">
        <v>5603.375</v>
      </c>
      <c r="AX301" s="12">
        <f t="shared" si="122"/>
        <v>27884.90099833376</v>
      </c>
      <c r="AY301" s="12">
        <v>20116.95</v>
      </c>
      <c r="AZ301" s="12">
        <v>5129.772852882299</v>
      </c>
      <c r="BA301" s="12">
        <v>7659.7749999999996</v>
      </c>
      <c r="BB301" s="12">
        <f t="shared" si="123"/>
        <v>32906.497852882298</v>
      </c>
      <c r="BC301" s="12">
        <v>2116.9500000000007</v>
      </c>
      <c r="BD301" s="12">
        <v>848.2468545485408</v>
      </c>
      <c r="BE301" s="12">
        <v>2056.4000000000015</v>
      </c>
      <c r="BF301" s="12">
        <v>5021.596854548543</v>
      </c>
    </row>
    <row r="302" spans="1:58" x14ac:dyDescent="0.25">
      <c r="A302" s="7">
        <v>2310</v>
      </c>
      <c r="B302" s="7">
        <v>1</v>
      </c>
      <c r="C302" s="7" t="s">
        <v>303</v>
      </c>
      <c r="D302" s="4">
        <v>5</v>
      </c>
      <c r="E302" s="10">
        <v>1233</v>
      </c>
      <c r="F302" s="8">
        <f t="shared" si="102"/>
        <v>38296</v>
      </c>
      <c r="G302" s="8">
        <f t="shared" si="103"/>
        <v>31857.98</v>
      </c>
      <c r="H302" s="8">
        <f t="shared" si="104"/>
        <v>3993</v>
      </c>
      <c r="I302" s="8">
        <f t="shared" si="105"/>
        <v>129.00000000044747</v>
      </c>
      <c r="J302" s="8">
        <f t="shared" si="106"/>
        <v>74275.980000000447</v>
      </c>
      <c r="K302" s="8">
        <f t="shared" si="107"/>
        <v>18384.763495198651</v>
      </c>
      <c r="L302" s="8">
        <f t="shared" si="108"/>
        <v>92660.743495199102</v>
      </c>
      <c r="M302" s="8">
        <f t="shared" si="109"/>
        <v>60.240048661800849</v>
      </c>
      <c r="N302" s="8">
        <f t="shared" si="110"/>
        <v>33730</v>
      </c>
      <c r="O302" s="8">
        <f t="shared" si="111"/>
        <v>2</v>
      </c>
      <c r="P302" s="8">
        <f t="shared" si="112"/>
        <v>926</v>
      </c>
      <c r="Q302" s="8">
        <f t="shared" si="113"/>
        <v>3625</v>
      </c>
      <c r="R302" s="8">
        <f t="shared" si="114"/>
        <v>13</v>
      </c>
      <c r="S302" s="8">
        <f t="shared" si="115"/>
        <v>0</v>
      </c>
      <c r="T302" s="8">
        <f t="shared" si="116"/>
        <v>31857.98</v>
      </c>
      <c r="U302" s="8">
        <f t="shared" si="117"/>
        <v>3993</v>
      </c>
      <c r="V302" s="8">
        <f t="shared" si="118"/>
        <v>15</v>
      </c>
      <c r="W302" s="8">
        <f t="shared" si="119"/>
        <v>114</v>
      </c>
      <c r="X302" s="8">
        <f t="shared" si="120"/>
        <v>74275.980000000447</v>
      </c>
      <c r="Y302" s="10">
        <v>7833455</v>
      </c>
      <c r="Z302" s="10">
        <v>325</v>
      </c>
      <c r="AA302" s="10">
        <v>215072</v>
      </c>
      <c r="AB302" s="10">
        <v>720215</v>
      </c>
      <c r="AC302" s="10">
        <v>2640</v>
      </c>
      <c r="AD302" s="10">
        <v>0</v>
      </c>
      <c r="AE302" s="10">
        <v>0</v>
      </c>
      <c r="AF302" s="10">
        <v>60894</v>
      </c>
      <c r="AG302" s="10">
        <v>172652</v>
      </c>
      <c r="AH302" s="10">
        <f t="shared" si="121"/>
        <v>1373027.7100000009</v>
      </c>
      <c r="AI302" s="10">
        <v>10378280.710000001</v>
      </c>
      <c r="AJ302" s="10">
        <v>7867185</v>
      </c>
      <c r="AK302" s="10">
        <v>327</v>
      </c>
      <c r="AL302" s="10">
        <v>215998</v>
      </c>
      <c r="AM302" s="10">
        <v>723840</v>
      </c>
      <c r="AN302" s="10">
        <v>2653</v>
      </c>
      <c r="AO302" s="10">
        <v>0</v>
      </c>
      <c r="AP302" s="10">
        <v>31857.98</v>
      </c>
      <c r="AQ302" s="10">
        <v>64887</v>
      </c>
      <c r="AR302" s="10">
        <v>172667</v>
      </c>
      <c r="AS302" s="10">
        <f t="shared" si="101"/>
        <v>1373141.7100000009</v>
      </c>
      <c r="AT302" s="10">
        <v>10452556.690000001</v>
      </c>
      <c r="AU302" s="12">
        <v>61320</v>
      </c>
      <c r="AV302" s="12">
        <v>16449.905949515171</v>
      </c>
      <c r="AW302" s="12">
        <v>20040</v>
      </c>
      <c r="AX302" s="12">
        <f t="shared" si="122"/>
        <v>97809.905949515174</v>
      </c>
      <c r="AY302" s="12">
        <v>68531.743000000002</v>
      </c>
      <c r="AZ302" s="12">
        <v>19708.926444713819</v>
      </c>
      <c r="BA302" s="12">
        <v>27954</v>
      </c>
      <c r="BB302" s="12">
        <f t="shared" si="123"/>
        <v>116194.66944471383</v>
      </c>
      <c r="BC302" s="12">
        <v>7211.7430000000022</v>
      </c>
      <c r="BD302" s="12">
        <v>3259.0204951986489</v>
      </c>
      <c r="BE302" s="12">
        <v>7914</v>
      </c>
      <c r="BF302" s="12">
        <v>18384.763495198651</v>
      </c>
    </row>
    <row r="303" spans="1:58" x14ac:dyDescent="0.25">
      <c r="A303" s="7">
        <v>2311</v>
      </c>
      <c r="B303" s="7">
        <v>1</v>
      </c>
      <c r="C303" s="7" t="s">
        <v>304</v>
      </c>
      <c r="D303" s="4">
        <v>6</v>
      </c>
      <c r="E303" s="10">
        <v>450</v>
      </c>
      <c r="F303" s="8">
        <f t="shared" si="102"/>
        <v>15643.25</v>
      </c>
      <c r="G303" s="8">
        <f t="shared" si="103"/>
        <v>0</v>
      </c>
      <c r="H303" s="8">
        <f t="shared" si="104"/>
        <v>0</v>
      </c>
      <c r="I303" s="8">
        <f t="shared" si="105"/>
        <v>3.0000000004656613</v>
      </c>
      <c r="J303" s="8">
        <f t="shared" si="106"/>
        <v>15646.250000000466</v>
      </c>
      <c r="K303" s="8">
        <f t="shared" si="107"/>
        <v>6446.8725317658618</v>
      </c>
      <c r="L303" s="8">
        <f t="shared" si="108"/>
        <v>22093.122531766327</v>
      </c>
      <c r="M303" s="8">
        <f t="shared" si="109"/>
        <v>34.769444444445476</v>
      </c>
      <c r="N303" s="8">
        <f t="shared" si="110"/>
        <v>12250</v>
      </c>
      <c r="O303" s="8">
        <f t="shared" si="111"/>
        <v>0</v>
      </c>
      <c r="P303" s="8">
        <f t="shared" si="112"/>
        <v>800</v>
      </c>
      <c r="Q303" s="8">
        <f t="shared" si="113"/>
        <v>2009.25</v>
      </c>
      <c r="R303" s="8">
        <f t="shared" si="114"/>
        <v>584</v>
      </c>
      <c r="S303" s="8">
        <f t="shared" si="115"/>
        <v>0</v>
      </c>
      <c r="T303" s="8">
        <f t="shared" si="116"/>
        <v>0</v>
      </c>
      <c r="U303" s="8">
        <f t="shared" si="117"/>
        <v>0</v>
      </c>
      <c r="V303" s="8">
        <f t="shared" si="118"/>
        <v>3</v>
      </c>
      <c r="W303" s="8">
        <f t="shared" si="119"/>
        <v>4.6566128730773926E-10</v>
      </c>
      <c r="X303" s="8">
        <f t="shared" si="120"/>
        <v>15646.250000000466</v>
      </c>
      <c r="Y303" s="10">
        <v>2844940</v>
      </c>
      <c r="Z303" s="10">
        <v>0</v>
      </c>
      <c r="AA303" s="10">
        <v>185811</v>
      </c>
      <c r="AB303" s="10">
        <v>399198</v>
      </c>
      <c r="AC303" s="10">
        <v>123315</v>
      </c>
      <c r="AD303" s="10">
        <v>130503</v>
      </c>
      <c r="AE303" s="10">
        <v>75712</v>
      </c>
      <c r="AF303" s="10">
        <v>0</v>
      </c>
      <c r="AG303" s="10">
        <v>66114</v>
      </c>
      <c r="AH303" s="10">
        <f t="shared" si="121"/>
        <v>361577.56999999983</v>
      </c>
      <c r="AI303" s="10">
        <v>4187170.57</v>
      </c>
      <c r="AJ303" s="10">
        <v>2857190</v>
      </c>
      <c r="AK303" s="10">
        <v>0</v>
      </c>
      <c r="AL303" s="10">
        <v>186611</v>
      </c>
      <c r="AM303" s="10">
        <v>401207.25</v>
      </c>
      <c r="AN303" s="10">
        <v>123899</v>
      </c>
      <c r="AO303" s="10">
        <v>130503</v>
      </c>
      <c r="AP303" s="10">
        <v>75712</v>
      </c>
      <c r="AQ303" s="10">
        <v>0</v>
      </c>
      <c r="AR303" s="10">
        <v>66117</v>
      </c>
      <c r="AS303" s="10">
        <f t="shared" si="101"/>
        <v>361577.5700000003</v>
      </c>
      <c r="AT303" s="10">
        <v>4202816.82</v>
      </c>
      <c r="AU303" s="12">
        <v>21960</v>
      </c>
      <c r="AV303" s="12">
        <v>6792.8928515881789</v>
      </c>
      <c r="AW303" s="12">
        <v>6468.375</v>
      </c>
      <c r="AX303" s="12">
        <f t="shared" si="122"/>
        <v>35221.267851588178</v>
      </c>
      <c r="AY303" s="12">
        <v>24542.679</v>
      </c>
      <c r="AZ303" s="12">
        <v>8138.6863833540392</v>
      </c>
      <c r="BA303" s="12">
        <v>8986.7749999999996</v>
      </c>
      <c r="BB303" s="12">
        <f t="shared" si="123"/>
        <v>41668.140383354039</v>
      </c>
      <c r="BC303" s="12">
        <v>2582.6790000000001</v>
      </c>
      <c r="BD303" s="12">
        <v>1345.7935317658603</v>
      </c>
      <c r="BE303" s="12">
        <v>2518.4000000000015</v>
      </c>
      <c r="BF303" s="12">
        <v>6446.8725317658618</v>
      </c>
    </row>
    <row r="304" spans="1:58" x14ac:dyDescent="0.25">
      <c r="A304" s="7">
        <v>2342</v>
      </c>
      <c r="B304" s="7">
        <v>1</v>
      </c>
      <c r="C304" s="7" t="s">
        <v>305</v>
      </c>
      <c r="D304" s="4">
        <v>6</v>
      </c>
      <c r="E304" s="10">
        <v>740</v>
      </c>
      <c r="F304" s="8">
        <f t="shared" si="102"/>
        <v>23253.75</v>
      </c>
      <c r="G304" s="8">
        <f t="shared" si="103"/>
        <v>19128.68</v>
      </c>
      <c r="H304" s="8">
        <f t="shared" si="104"/>
        <v>0</v>
      </c>
      <c r="I304" s="8">
        <f t="shared" si="105"/>
        <v>28.999999999701686</v>
      </c>
      <c r="J304" s="8">
        <f t="shared" si="106"/>
        <v>42411.429999999702</v>
      </c>
      <c r="K304" s="8">
        <f t="shared" si="107"/>
        <v>11624.57890420482</v>
      </c>
      <c r="L304" s="8">
        <f t="shared" si="108"/>
        <v>54036.008904204522</v>
      </c>
      <c r="M304" s="8">
        <f t="shared" si="109"/>
        <v>57.312743243242842</v>
      </c>
      <c r="N304" s="8">
        <f t="shared" si="110"/>
        <v>19480</v>
      </c>
      <c r="O304" s="8">
        <f t="shared" si="111"/>
        <v>185</v>
      </c>
      <c r="P304" s="8">
        <f t="shared" si="112"/>
        <v>1038</v>
      </c>
      <c r="Q304" s="8">
        <f t="shared" si="113"/>
        <v>1629.75</v>
      </c>
      <c r="R304" s="8">
        <f t="shared" si="114"/>
        <v>921</v>
      </c>
      <c r="S304" s="8">
        <f t="shared" si="115"/>
        <v>0</v>
      </c>
      <c r="T304" s="8">
        <f t="shared" si="116"/>
        <v>19128.68</v>
      </c>
      <c r="U304" s="8">
        <f t="shared" si="117"/>
        <v>0</v>
      </c>
      <c r="V304" s="8">
        <f t="shared" si="118"/>
        <v>29</v>
      </c>
      <c r="W304" s="8">
        <f t="shared" si="119"/>
        <v>0</v>
      </c>
      <c r="X304" s="8">
        <f t="shared" si="120"/>
        <v>42411.429999999702</v>
      </c>
      <c r="Y304" s="10">
        <v>4524035</v>
      </c>
      <c r="Z304" s="10">
        <v>42918</v>
      </c>
      <c r="AA304" s="10">
        <v>240992</v>
      </c>
      <c r="AB304" s="10">
        <v>323799</v>
      </c>
      <c r="AC304" s="10">
        <v>194350</v>
      </c>
      <c r="AD304" s="10">
        <v>79832</v>
      </c>
      <c r="AE304" s="10">
        <v>0</v>
      </c>
      <c r="AF304" s="10">
        <v>0</v>
      </c>
      <c r="AG304" s="10">
        <v>69609</v>
      </c>
      <c r="AH304" s="10">
        <f t="shared" si="121"/>
        <v>1381170.2300000004</v>
      </c>
      <c r="AI304" s="10">
        <v>6856705.2300000004</v>
      </c>
      <c r="AJ304" s="10">
        <v>4543515</v>
      </c>
      <c r="AK304" s="10">
        <v>43103</v>
      </c>
      <c r="AL304" s="10">
        <v>242030</v>
      </c>
      <c r="AM304" s="10">
        <v>325428.75</v>
      </c>
      <c r="AN304" s="10">
        <v>195271</v>
      </c>
      <c r="AO304" s="10">
        <v>79832</v>
      </c>
      <c r="AP304" s="10">
        <v>19128.68</v>
      </c>
      <c r="AQ304" s="10">
        <v>0</v>
      </c>
      <c r="AR304" s="10">
        <v>69638</v>
      </c>
      <c r="AS304" s="10">
        <f t="shared" si="101"/>
        <v>1381170.2300000004</v>
      </c>
      <c r="AT304" s="10">
        <v>6899116.6600000001</v>
      </c>
      <c r="AU304" s="12">
        <v>31560</v>
      </c>
      <c r="AV304" s="12">
        <v>9420.9563664738725</v>
      </c>
      <c r="AW304" s="12">
        <v>12680.75</v>
      </c>
      <c r="AX304" s="12">
        <f t="shared" si="122"/>
        <v>53661.706366473874</v>
      </c>
      <c r="AY304" s="12">
        <v>35271.718999999997</v>
      </c>
      <c r="AZ304" s="12">
        <v>11287.416270678701</v>
      </c>
      <c r="BA304" s="12">
        <v>18727.150000000001</v>
      </c>
      <c r="BB304" s="12">
        <f t="shared" si="123"/>
        <v>65286.285270678702</v>
      </c>
      <c r="BC304" s="12">
        <v>3711.7189999999973</v>
      </c>
      <c r="BD304" s="12">
        <v>1866.4599042048285</v>
      </c>
      <c r="BE304" s="12">
        <v>6046.3999999999942</v>
      </c>
      <c r="BF304" s="12">
        <v>11624.57890420482</v>
      </c>
    </row>
    <row r="305" spans="1:58" x14ac:dyDescent="0.25">
      <c r="A305" s="7">
        <v>2358</v>
      </c>
      <c r="B305" s="7">
        <v>1</v>
      </c>
      <c r="C305" s="7" t="s">
        <v>306</v>
      </c>
      <c r="D305" s="4">
        <v>6</v>
      </c>
      <c r="E305" s="10">
        <v>210</v>
      </c>
      <c r="F305" s="8">
        <f t="shared" si="102"/>
        <v>9131.75</v>
      </c>
      <c r="G305" s="8">
        <f t="shared" si="103"/>
        <v>7842.94</v>
      </c>
      <c r="H305" s="8">
        <f t="shared" si="104"/>
        <v>0</v>
      </c>
      <c r="I305" s="8">
        <f t="shared" si="105"/>
        <v>9.9999999999445208</v>
      </c>
      <c r="J305" s="8">
        <f t="shared" si="106"/>
        <v>16984.689999999944</v>
      </c>
      <c r="K305" s="8">
        <f t="shared" si="107"/>
        <v>4224.7804058322963</v>
      </c>
      <c r="L305" s="8">
        <f t="shared" si="108"/>
        <v>21209.470405832239</v>
      </c>
      <c r="M305" s="8">
        <f t="shared" si="109"/>
        <v>80.879476190475927</v>
      </c>
      <c r="N305" s="8">
        <f t="shared" si="110"/>
        <v>5648</v>
      </c>
      <c r="O305" s="8">
        <f t="shared" si="111"/>
        <v>18</v>
      </c>
      <c r="P305" s="8">
        <f t="shared" si="112"/>
        <v>452</v>
      </c>
      <c r="Q305" s="8">
        <f t="shared" si="113"/>
        <v>691.75</v>
      </c>
      <c r="R305" s="8">
        <f t="shared" si="114"/>
        <v>2322</v>
      </c>
      <c r="S305" s="8">
        <f t="shared" si="115"/>
        <v>0</v>
      </c>
      <c r="T305" s="8">
        <f t="shared" si="116"/>
        <v>7842.94</v>
      </c>
      <c r="U305" s="8">
        <f t="shared" si="117"/>
        <v>0</v>
      </c>
      <c r="V305" s="8">
        <f t="shared" si="118"/>
        <v>10</v>
      </c>
      <c r="W305" s="8">
        <f t="shared" si="119"/>
        <v>0</v>
      </c>
      <c r="X305" s="8">
        <f t="shared" si="120"/>
        <v>16984.689999999944</v>
      </c>
      <c r="Y305" s="10">
        <v>1311866</v>
      </c>
      <c r="Z305" s="10">
        <v>4227</v>
      </c>
      <c r="AA305" s="10">
        <v>104924</v>
      </c>
      <c r="AB305" s="10">
        <v>137437</v>
      </c>
      <c r="AC305" s="10">
        <v>489836</v>
      </c>
      <c r="AD305" s="10">
        <v>93987</v>
      </c>
      <c r="AE305" s="10">
        <v>0</v>
      </c>
      <c r="AF305" s="10">
        <v>0</v>
      </c>
      <c r="AG305" s="10">
        <v>18332</v>
      </c>
      <c r="AH305" s="10">
        <f t="shared" si="121"/>
        <v>439595.5</v>
      </c>
      <c r="AI305" s="10">
        <v>2600204.5</v>
      </c>
      <c r="AJ305" s="10">
        <v>1317514</v>
      </c>
      <c r="AK305" s="10">
        <v>4245</v>
      </c>
      <c r="AL305" s="10">
        <v>105376</v>
      </c>
      <c r="AM305" s="10">
        <v>138128.75</v>
      </c>
      <c r="AN305" s="10">
        <v>492158</v>
      </c>
      <c r="AO305" s="10">
        <v>93987</v>
      </c>
      <c r="AP305" s="10">
        <v>7842.94</v>
      </c>
      <c r="AQ305" s="10">
        <v>0</v>
      </c>
      <c r="AR305" s="10">
        <v>18342</v>
      </c>
      <c r="AS305" s="10">
        <f t="shared" si="101"/>
        <v>439595.5</v>
      </c>
      <c r="AT305" s="10">
        <v>2617189.19</v>
      </c>
      <c r="AU305" s="12">
        <v>18000</v>
      </c>
      <c r="AV305" s="12">
        <v>2528.9509734385142</v>
      </c>
      <c r="AW305" s="12">
        <v>3449.875</v>
      </c>
      <c r="AX305" s="12">
        <f t="shared" si="122"/>
        <v>23978.825973438514</v>
      </c>
      <c r="AY305" s="12">
        <v>20116.95</v>
      </c>
      <c r="AZ305" s="12">
        <v>3029.9813792708101</v>
      </c>
      <c r="BA305" s="12">
        <v>5056.6750000000002</v>
      </c>
      <c r="BB305" s="12">
        <f t="shared" si="123"/>
        <v>28203.606379270812</v>
      </c>
      <c r="BC305" s="12">
        <v>2116.9500000000007</v>
      </c>
      <c r="BD305" s="12">
        <v>501.03040583229586</v>
      </c>
      <c r="BE305" s="12">
        <v>1606.7999999999993</v>
      </c>
      <c r="BF305" s="12">
        <v>4224.7804058322963</v>
      </c>
    </row>
    <row r="306" spans="1:58" x14ac:dyDescent="0.25">
      <c r="A306" s="7">
        <v>2364</v>
      </c>
      <c r="B306" s="7">
        <v>1</v>
      </c>
      <c r="C306" s="7" t="s">
        <v>307</v>
      </c>
      <c r="D306" s="4">
        <v>6</v>
      </c>
      <c r="E306" s="10">
        <v>645</v>
      </c>
      <c r="F306" s="8">
        <f t="shared" si="102"/>
        <v>19813</v>
      </c>
      <c r="G306" s="8">
        <f t="shared" si="103"/>
        <v>14867.46</v>
      </c>
      <c r="H306" s="8">
        <f t="shared" si="104"/>
        <v>0</v>
      </c>
      <c r="I306" s="8">
        <f t="shared" si="105"/>
        <v>-18.00000000003638</v>
      </c>
      <c r="J306" s="8">
        <f t="shared" si="106"/>
        <v>34662.459999999963</v>
      </c>
      <c r="K306" s="8">
        <f t="shared" si="107"/>
        <v>9548.1897183380024</v>
      </c>
      <c r="L306" s="8">
        <f t="shared" si="108"/>
        <v>44210.649718337969</v>
      </c>
      <c r="M306" s="8">
        <f t="shared" si="109"/>
        <v>53.740248062015446</v>
      </c>
      <c r="N306" s="8">
        <f t="shared" si="110"/>
        <v>17302</v>
      </c>
      <c r="O306" s="8">
        <f t="shared" si="111"/>
        <v>0</v>
      </c>
      <c r="P306" s="8">
        <f t="shared" si="112"/>
        <v>824</v>
      </c>
      <c r="Q306" s="8">
        <f t="shared" si="113"/>
        <v>1031</v>
      </c>
      <c r="R306" s="8">
        <f t="shared" si="114"/>
        <v>656</v>
      </c>
      <c r="S306" s="8">
        <f t="shared" si="115"/>
        <v>0</v>
      </c>
      <c r="T306" s="8">
        <f t="shared" si="116"/>
        <v>14867.46</v>
      </c>
      <c r="U306" s="8">
        <f t="shared" si="117"/>
        <v>0</v>
      </c>
      <c r="V306" s="8">
        <f t="shared" si="118"/>
        <v>14</v>
      </c>
      <c r="W306" s="8">
        <f t="shared" si="119"/>
        <v>-32</v>
      </c>
      <c r="X306" s="8">
        <f t="shared" si="120"/>
        <v>34662.459999999963</v>
      </c>
      <c r="Y306" s="10">
        <v>4018333</v>
      </c>
      <c r="Z306" s="10">
        <v>0</v>
      </c>
      <c r="AA306" s="10">
        <v>191316</v>
      </c>
      <c r="AB306" s="10">
        <v>204839</v>
      </c>
      <c r="AC306" s="10">
        <v>138366</v>
      </c>
      <c r="AD306" s="10">
        <v>105068</v>
      </c>
      <c r="AE306" s="10">
        <v>0</v>
      </c>
      <c r="AF306" s="10">
        <v>15460</v>
      </c>
      <c r="AG306" s="10">
        <v>79364</v>
      </c>
      <c r="AH306" s="10">
        <f t="shared" si="121"/>
        <v>902823.65000000037</v>
      </c>
      <c r="AI306" s="10">
        <v>5655569.6500000004</v>
      </c>
      <c r="AJ306" s="10">
        <v>4035635</v>
      </c>
      <c r="AK306" s="10">
        <v>0</v>
      </c>
      <c r="AL306" s="10">
        <v>192140</v>
      </c>
      <c r="AM306" s="10">
        <v>205870</v>
      </c>
      <c r="AN306" s="10">
        <v>139022</v>
      </c>
      <c r="AO306" s="10">
        <v>105068</v>
      </c>
      <c r="AP306" s="10">
        <v>14867.46</v>
      </c>
      <c r="AQ306" s="10">
        <v>15460</v>
      </c>
      <c r="AR306" s="10">
        <v>79378</v>
      </c>
      <c r="AS306" s="10">
        <f t="shared" si="101"/>
        <v>902791.65000000037</v>
      </c>
      <c r="AT306" s="10">
        <v>5690232.1100000003</v>
      </c>
      <c r="AU306" s="12">
        <v>20880</v>
      </c>
      <c r="AV306" s="12">
        <v>7044.9356583110457</v>
      </c>
      <c r="AW306" s="12">
        <v>11355.5</v>
      </c>
      <c r="AX306" s="12">
        <f t="shared" si="122"/>
        <v>39280.435658311049</v>
      </c>
      <c r="AY306" s="12">
        <v>23335.662</v>
      </c>
      <c r="AZ306" s="12">
        <v>8440.6633766490449</v>
      </c>
      <c r="BA306" s="12">
        <v>17052.3</v>
      </c>
      <c r="BB306" s="12">
        <f t="shared" si="123"/>
        <v>48828.625376649041</v>
      </c>
      <c r="BC306" s="12">
        <v>2455.6620000000003</v>
      </c>
      <c r="BD306" s="12">
        <v>1395.7277183379992</v>
      </c>
      <c r="BE306" s="12">
        <v>5696.8000000000029</v>
      </c>
      <c r="BF306" s="12">
        <v>9548.1897183380024</v>
      </c>
    </row>
    <row r="307" spans="1:58" x14ac:dyDescent="0.25">
      <c r="A307" s="7">
        <v>2365</v>
      </c>
      <c r="B307" s="7">
        <v>1</v>
      </c>
      <c r="C307" s="7" t="s">
        <v>308</v>
      </c>
      <c r="D307" s="4">
        <v>6</v>
      </c>
      <c r="E307" s="10">
        <v>839</v>
      </c>
      <c r="F307" s="8">
        <f t="shared" si="102"/>
        <v>26227.5</v>
      </c>
      <c r="G307" s="8">
        <f t="shared" si="103"/>
        <v>0</v>
      </c>
      <c r="H307" s="8">
        <f t="shared" si="104"/>
        <v>894</v>
      </c>
      <c r="I307" s="8">
        <f t="shared" si="105"/>
        <v>18</v>
      </c>
      <c r="J307" s="8">
        <f t="shared" si="106"/>
        <v>27139.5</v>
      </c>
      <c r="K307" s="8">
        <f t="shared" si="107"/>
        <v>11386.651132962907</v>
      </c>
      <c r="L307" s="8">
        <f t="shared" si="108"/>
        <v>38526.151132962907</v>
      </c>
      <c r="M307" s="8">
        <f t="shared" si="109"/>
        <v>32.347437425506556</v>
      </c>
      <c r="N307" s="8">
        <f t="shared" si="110"/>
        <v>23060</v>
      </c>
      <c r="O307" s="8">
        <f t="shared" si="111"/>
        <v>0</v>
      </c>
      <c r="P307" s="8">
        <f t="shared" si="112"/>
        <v>1038</v>
      </c>
      <c r="Q307" s="8">
        <f t="shared" si="113"/>
        <v>2129.5</v>
      </c>
      <c r="R307" s="8">
        <f t="shared" si="114"/>
        <v>0</v>
      </c>
      <c r="S307" s="8">
        <f t="shared" si="115"/>
        <v>0</v>
      </c>
      <c r="T307" s="8">
        <f t="shared" si="116"/>
        <v>0</v>
      </c>
      <c r="U307" s="8">
        <f t="shared" si="117"/>
        <v>894</v>
      </c>
      <c r="V307" s="8">
        <f t="shared" si="118"/>
        <v>18</v>
      </c>
      <c r="W307" s="8">
        <f t="shared" si="119"/>
        <v>0</v>
      </c>
      <c r="X307" s="8">
        <f t="shared" si="120"/>
        <v>27139.5</v>
      </c>
      <c r="Y307" s="10">
        <v>5355454</v>
      </c>
      <c r="Z307" s="10">
        <v>0</v>
      </c>
      <c r="AA307" s="10">
        <v>240992</v>
      </c>
      <c r="AB307" s="10">
        <v>423089</v>
      </c>
      <c r="AC307" s="10">
        <v>0</v>
      </c>
      <c r="AD307" s="10">
        <v>19653</v>
      </c>
      <c r="AE307" s="10">
        <v>200980</v>
      </c>
      <c r="AF307" s="10">
        <v>27912</v>
      </c>
      <c r="AG307" s="10">
        <v>105976</v>
      </c>
      <c r="AH307" s="10">
        <f t="shared" si="121"/>
        <v>1196127.3399999999</v>
      </c>
      <c r="AI307" s="10">
        <v>7570183.3399999999</v>
      </c>
      <c r="AJ307" s="10">
        <v>5378514</v>
      </c>
      <c r="AK307" s="10">
        <v>0</v>
      </c>
      <c r="AL307" s="10">
        <v>242030</v>
      </c>
      <c r="AM307" s="10">
        <v>425218.5</v>
      </c>
      <c r="AN307" s="10">
        <v>0</v>
      </c>
      <c r="AO307" s="10">
        <v>19653</v>
      </c>
      <c r="AP307" s="10">
        <v>200980</v>
      </c>
      <c r="AQ307" s="10">
        <v>28806</v>
      </c>
      <c r="AR307" s="10">
        <v>105994</v>
      </c>
      <c r="AS307" s="10">
        <f t="shared" si="101"/>
        <v>1196127.3399999999</v>
      </c>
      <c r="AT307" s="10">
        <v>7597322.8399999999</v>
      </c>
      <c r="AU307" s="12">
        <v>41040</v>
      </c>
      <c r="AV307" s="12">
        <v>11795.023908630275</v>
      </c>
      <c r="AW307" s="12">
        <v>12810.25</v>
      </c>
      <c r="AX307" s="12">
        <f t="shared" si="122"/>
        <v>65645.273908630275</v>
      </c>
      <c r="AY307" s="12">
        <v>45866.646000000001</v>
      </c>
      <c r="AZ307" s="12">
        <v>14131.829041593184</v>
      </c>
      <c r="BA307" s="12">
        <v>17033.45</v>
      </c>
      <c r="BB307" s="12">
        <f t="shared" si="123"/>
        <v>77031.925041593189</v>
      </c>
      <c r="BC307" s="12">
        <v>4826.6460000000006</v>
      </c>
      <c r="BD307" s="12">
        <v>2336.8051329629088</v>
      </c>
      <c r="BE307" s="12">
        <v>4223.1999999999971</v>
      </c>
      <c r="BF307" s="12">
        <v>11386.651132962907</v>
      </c>
    </row>
    <row r="308" spans="1:58" x14ac:dyDescent="0.25">
      <c r="A308" s="7">
        <v>2396</v>
      </c>
      <c r="B308" s="7">
        <v>1</v>
      </c>
      <c r="C308" s="7" t="s">
        <v>309</v>
      </c>
      <c r="D308" s="4">
        <v>6</v>
      </c>
      <c r="E308" s="10">
        <v>768</v>
      </c>
      <c r="F308" s="8">
        <f t="shared" si="102"/>
        <v>24509.25</v>
      </c>
      <c r="G308" s="8">
        <f t="shared" si="103"/>
        <v>20922.560000000001</v>
      </c>
      <c r="H308" s="8">
        <f t="shared" si="104"/>
        <v>0</v>
      </c>
      <c r="I308" s="8">
        <f t="shared" si="105"/>
        <v>24.999999999588908</v>
      </c>
      <c r="J308" s="8">
        <f t="shared" si="106"/>
        <v>45456.80999999959</v>
      </c>
      <c r="K308" s="8">
        <f t="shared" si="107"/>
        <v>12610.085784933357</v>
      </c>
      <c r="L308" s="8">
        <f t="shared" si="108"/>
        <v>58066.895784932945</v>
      </c>
      <c r="M308" s="8">
        <f t="shared" si="109"/>
        <v>59.188554687499469</v>
      </c>
      <c r="N308" s="8">
        <f t="shared" si="110"/>
        <v>21075</v>
      </c>
      <c r="O308" s="8">
        <f t="shared" si="111"/>
        <v>0</v>
      </c>
      <c r="P308" s="8">
        <f t="shared" si="112"/>
        <v>890</v>
      </c>
      <c r="Q308" s="8">
        <f t="shared" si="113"/>
        <v>2544.25</v>
      </c>
      <c r="R308" s="8">
        <f t="shared" si="114"/>
        <v>0</v>
      </c>
      <c r="S308" s="8">
        <f t="shared" si="115"/>
        <v>0</v>
      </c>
      <c r="T308" s="8">
        <f t="shared" si="116"/>
        <v>20922.560000000001</v>
      </c>
      <c r="U308" s="8">
        <f t="shared" si="117"/>
        <v>0</v>
      </c>
      <c r="V308" s="8">
        <f t="shared" si="118"/>
        <v>25</v>
      </c>
      <c r="W308" s="8">
        <f t="shared" si="119"/>
        <v>0</v>
      </c>
      <c r="X308" s="8">
        <f t="shared" si="120"/>
        <v>45456.80999999959</v>
      </c>
      <c r="Y308" s="10">
        <v>4894458</v>
      </c>
      <c r="Z308" s="10">
        <v>0</v>
      </c>
      <c r="AA308" s="10">
        <v>206780</v>
      </c>
      <c r="AB308" s="10">
        <v>505492</v>
      </c>
      <c r="AC308" s="10">
        <v>112927.12</v>
      </c>
      <c r="AD308" s="10">
        <v>55891</v>
      </c>
      <c r="AE308" s="10">
        <v>0</v>
      </c>
      <c r="AF308" s="10">
        <v>15228</v>
      </c>
      <c r="AG308" s="10">
        <v>85476</v>
      </c>
      <c r="AH308" s="10">
        <f t="shared" si="121"/>
        <v>1253462.2400000002</v>
      </c>
      <c r="AI308" s="10">
        <v>7129714.3600000003</v>
      </c>
      <c r="AJ308" s="10">
        <v>4915533</v>
      </c>
      <c r="AK308" s="10">
        <v>0</v>
      </c>
      <c r="AL308" s="10">
        <v>207670</v>
      </c>
      <c r="AM308" s="10">
        <v>508036.25</v>
      </c>
      <c r="AN308" s="10">
        <v>112927.12</v>
      </c>
      <c r="AO308" s="10">
        <v>55891</v>
      </c>
      <c r="AP308" s="10">
        <v>20922.560000000001</v>
      </c>
      <c r="AQ308" s="10">
        <v>15228</v>
      </c>
      <c r="AR308" s="10">
        <v>85501</v>
      </c>
      <c r="AS308" s="10">
        <f t="shared" ref="AS308:AS371" si="124">AT308-SUM(AJ308:AR308)</f>
        <v>1253462.2400000002</v>
      </c>
      <c r="AT308" s="10">
        <v>7175171.1699999999</v>
      </c>
      <c r="AU308" s="12">
        <v>42480</v>
      </c>
      <c r="AV308" s="12">
        <v>12201.2399044511</v>
      </c>
      <c r="AW308" s="12">
        <v>11967.5</v>
      </c>
      <c r="AX308" s="12">
        <f t="shared" si="122"/>
        <v>66648.739904451097</v>
      </c>
      <c r="AY308" s="12">
        <v>47476.002</v>
      </c>
      <c r="AZ308" s="12">
        <v>14618.523689384454</v>
      </c>
      <c r="BA308" s="12">
        <v>17164.3</v>
      </c>
      <c r="BB308" s="12">
        <f t="shared" si="123"/>
        <v>79258.825689384452</v>
      </c>
      <c r="BC308" s="12">
        <v>4996.0020000000004</v>
      </c>
      <c r="BD308" s="12">
        <v>2417.2837849333537</v>
      </c>
      <c r="BE308" s="12">
        <v>5196.8000000000029</v>
      </c>
      <c r="BF308" s="12">
        <v>12610.085784933357</v>
      </c>
    </row>
    <row r="309" spans="1:58" x14ac:dyDescent="0.25">
      <c r="A309" s="7">
        <v>2397</v>
      </c>
      <c r="B309" s="7">
        <v>1</v>
      </c>
      <c r="C309" s="7" t="s">
        <v>310</v>
      </c>
      <c r="D309" s="4">
        <v>5</v>
      </c>
      <c r="E309" s="10">
        <v>1020</v>
      </c>
      <c r="F309" s="8">
        <f t="shared" si="102"/>
        <v>31221.75</v>
      </c>
      <c r="G309" s="8">
        <f t="shared" si="103"/>
        <v>28720.199999999997</v>
      </c>
      <c r="H309" s="8">
        <f t="shared" si="104"/>
        <v>5628</v>
      </c>
      <c r="I309" s="8">
        <f t="shared" si="105"/>
        <v>6.9999999992578523</v>
      </c>
      <c r="J309" s="8">
        <f t="shared" si="106"/>
        <v>65576.949999999255</v>
      </c>
      <c r="K309" s="8">
        <f t="shared" si="107"/>
        <v>15221.786649214919</v>
      </c>
      <c r="L309" s="8">
        <f t="shared" si="108"/>
        <v>80798.736649214174</v>
      </c>
      <c r="M309" s="8">
        <f t="shared" si="109"/>
        <v>64.291127450979658</v>
      </c>
      <c r="N309" s="8">
        <f t="shared" si="110"/>
        <v>27920</v>
      </c>
      <c r="O309" s="8">
        <f t="shared" si="111"/>
        <v>23</v>
      </c>
      <c r="P309" s="8">
        <f t="shared" si="112"/>
        <v>694</v>
      </c>
      <c r="Q309" s="8">
        <f t="shared" si="113"/>
        <v>2584.75</v>
      </c>
      <c r="R309" s="8">
        <f t="shared" si="114"/>
        <v>0</v>
      </c>
      <c r="S309" s="8">
        <f t="shared" si="115"/>
        <v>0</v>
      </c>
      <c r="T309" s="8">
        <f t="shared" si="116"/>
        <v>28720.199999999997</v>
      </c>
      <c r="U309" s="8">
        <f t="shared" si="117"/>
        <v>5628</v>
      </c>
      <c r="V309" s="8">
        <f t="shared" si="118"/>
        <v>7</v>
      </c>
      <c r="W309" s="8">
        <f t="shared" si="119"/>
        <v>0</v>
      </c>
      <c r="X309" s="8">
        <f t="shared" si="120"/>
        <v>65576.949999999255</v>
      </c>
      <c r="Y309" s="10">
        <v>6484141</v>
      </c>
      <c r="Z309" s="10">
        <v>5202</v>
      </c>
      <c r="AA309" s="10">
        <v>161286</v>
      </c>
      <c r="AB309" s="10">
        <v>513538</v>
      </c>
      <c r="AC309" s="10">
        <v>0</v>
      </c>
      <c r="AD309" s="10">
        <v>0</v>
      </c>
      <c r="AE309" s="10">
        <v>0</v>
      </c>
      <c r="AF309" s="10">
        <v>45325</v>
      </c>
      <c r="AG309" s="10">
        <v>150205</v>
      </c>
      <c r="AH309" s="10">
        <f t="shared" si="121"/>
        <v>1465414.0999999996</v>
      </c>
      <c r="AI309" s="10">
        <v>8825111.0999999996</v>
      </c>
      <c r="AJ309" s="10">
        <v>6512061</v>
      </c>
      <c r="AK309" s="10">
        <v>5225</v>
      </c>
      <c r="AL309" s="10">
        <v>161980</v>
      </c>
      <c r="AM309" s="10">
        <v>516122.75</v>
      </c>
      <c r="AN309" s="10">
        <v>0</v>
      </c>
      <c r="AO309" s="10">
        <v>0</v>
      </c>
      <c r="AP309" s="10">
        <v>28720.199999999997</v>
      </c>
      <c r="AQ309" s="10">
        <v>50953</v>
      </c>
      <c r="AR309" s="10">
        <v>150212</v>
      </c>
      <c r="AS309" s="10">
        <f t="shared" si="124"/>
        <v>1465414.0999999987</v>
      </c>
      <c r="AT309" s="10">
        <v>8890688.0499999989</v>
      </c>
      <c r="AU309" s="12">
        <v>62520</v>
      </c>
      <c r="AV309" s="12">
        <v>15871.932644412296</v>
      </c>
      <c r="AW309" s="12">
        <v>13996.5</v>
      </c>
      <c r="AX309" s="12">
        <f t="shared" si="122"/>
        <v>92388.4326444123</v>
      </c>
      <c r="AY309" s="12">
        <v>69872.873000000007</v>
      </c>
      <c r="AZ309" s="12">
        <v>19016.446293627214</v>
      </c>
      <c r="BA309" s="12">
        <v>18720.900000000001</v>
      </c>
      <c r="BB309" s="12">
        <f t="shared" si="123"/>
        <v>107610.21929362722</v>
      </c>
      <c r="BC309" s="12">
        <v>7352.8730000000069</v>
      </c>
      <c r="BD309" s="12">
        <v>3144.5136492149177</v>
      </c>
      <c r="BE309" s="12">
        <v>4724.3999999999942</v>
      </c>
      <c r="BF309" s="12">
        <v>15221.786649214919</v>
      </c>
    </row>
    <row r="310" spans="1:58" x14ac:dyDescent="0.25">
      <c r="A310" s="7">
        <v>2448</v>
      </c>
      <c r="B310" s="7">
        <v>1</v>
      </c>
      <c r="C310" s="7" t="s">
        <v>311</v>
      </c>
      <c r="D310" s="4">
        <v>6</v>
      </c>
      <c r="E310" s="10">
        <v>760</v>
      </c>
      <c r="F310" s="8">
        <f t="shared" si="102"/>
        <v>23453.5</v>
      </c>
      <c r="G310" s="8">
        <f t="shared" si="103"/>
        <v>15716.08</v>
      </c>
      <c r="H310" s="8">
        <f t="shared" si="104"/>
        <v>0</v>
      </c>
      <c r="I310" s="8">
        <f t="shared" si="105"/>
        <v>31.000000000074579</v>
      </c>
      <c r="J310" s="8">
        <f t="shared" si="106"/>
        <v>39200.580000000075</v>
      </c>
      <c r="K310" s="8">
        <f t="shared" si="107"/>
        <v>10232.264082241352</v>
      </c>
      <c r="L310" s="8">
        <f t="shared" si="108"/>
        <v>49432.844082241427</v>
      </c>
      <c r="M310" s="8">
        <f t="shared" si="109"/>
        <v>51.579710526315885</v>
      </c>
      <c r="N310" s="8">
        <f t="shared" si="110"/>
        <v>20950</v>
      </c>
      <c r="O310" s="8">
        <f t="shared" si="111"/>
        <v>0</v>
      </c>
      <c r="P310" s="8">
        <f t="shared" si="112"/>
        <v>880</v>
      </c>
      <c r="Q310" s="8">
        <f t="shared" si="113"/>
        <v>1523.5</v>
      </c>
      <c r="R310" s="8">
        <f t="shared" si="114"/>
        <v>100</v>
      </c>
      <c r="S310" s="8">
        <f t="shared" si="115"/>
        <v>0</v>
      </c>
      <c r="T310" s="8">
        <f t="shared" si="116"/>
        <v>15716.08</v>
      </c>
      <c r="U310" s="8">
        <f t="shared" si="117"/>
        <v>0</v>
      </c>
      <c r="V310" s="8">
        <f t="shared" si="118"/>
        <v>31</v>
      </c>
      <c r="W310" s="8">
        <f t="shared" si="119"/>
        <v>0</v>
      </c>
      <c r="X310" s="8">
        <f t="shared" si="120"/>
        <v>39200.580000000075</v>
      </c>
      <c r="Y310" s="10">
        <v>4865428</v>
      </c>
      <c r="Z310" s="10">
        <v>0</v>
      </c>
      <c r="AA310" s="10">
        <v>204352</v>
      </c>
      <c r="AB310" s="10">
        <v>302689</v>
      </c>
      <c r="AC310" s="10">
        <v>21096</v>
      </c>
      <c r="AD310" s="10">
        <v>57934</v>
      </c>
      <c r="AE310" s="10">
        <v>0</v>
      </c>
      <c r="AF310" s="10">
        <v>15234</v>
      </c>
      <c r="AG310" s="10">
        <v>76386</v>
      </c>
      <c r="AH310" s="10">
        <f t="shared" si="121"/>
        <v>1450371.5499999998</v>
      </c>
      <c r="AI310" s="10">
        <v>6993490.5499999998</v>
      </c>
      <c r="AJ310" s="10">
        <v>4886378</v>
      </c>
      <c r="AK310" s="10">
        <v>0</v>
      </c>
      <c r="AL310" s="10">
        <v>205232</v>
      </c>
      <c r="AM310" s="10">
        <v>304212.5</v>
      </c>
      <c r="AN310" s="10">
        <v>21196</v>
      </c>
      <c r="AO310" s="10">
        <v>57934</v>
      </c>
      <c r="AP310" s="10">
        <v>15716.08</v>
      </c>
      <c r="AQ310" s="10">
        <v>15234</v>
      </c>
      <c r="AR310" s="10">
        <v>76417</v>
      </c>
      <c r="AS310" s="10">
        <f t="shared" si="124"/>
        <v>1450371.5499999998</v>
      </c>
      <c r="AT310" s="10">
        <v>7032691.1299999999</v>
      </c>
      <c r="AU310" s="12">
        <v>30480</v>
      </c>
      <c r="AV310" s="12">
        <v>9067.1376101132519</v>
      </c>
      <c r="AW310" s="12">
        <v>12481.5</v>
      </c>
      <c r="AX310" s="12">
        <f t="shared" si="122"/>
        <v>52028.637610113248</v>
      </c>
      <c r="AY310" s="12">
        <v>34064.701999999997</v>
      </c>
      <c r="AZ310" s="12">
        <v>10863.49969235461</v>
      </c>
      <c r="BA310" s="12">
        <v>17332.7</v>
      </c>
      <c r="BB310" s="12">
        <f t="shared" si="123"/>
        <v>62260.901692354601</v>
      </c>
      <c r="BC310" s="12">
        <v>3584.7019999999975</v>
      </c>
      <c r="BD310" s="12">
        <v>1796.3620822413577</v>
      </c>
      <c r="BE310" s="12">
        <v>4851.1999999999971</v>
      </c>
      <c r="BF310" s="12">
        <v>10232.264082241352</v>
      </c>
    </row>
    <row r="311" spans="1:58" x14ac:dyDescent="0.25">
      <c r="A311" s="7">
        <v>2527</v>
      </c>
      <c r="B311" s="7">
        <v>1</v>
      </c>
      <c r="C311" s="7" t="s">
        <v>312</v>
      </c>
      <c r="D311" s="4">
        <v>6</v>
      </c>
      <c r="E311" s="10">
        <v>283</v>
      </c>
      <c r="F311" s="8">
        <f t="shared" si="102"/>
        <v>10280.5</v>
      </c>
      <c r="G311" s="8">
        <f t="shared" si="103"/>
        <v>8129.8399999999992</v>
      </c>
      <c r="H311" s="8">
        <f t="shared" si="104"/>
        <v>0</v>
      </c>
      <c r="I311" s="8">
        <f t="shared" si="105"/>
        <v>12.999999999851752</v>
      </c>
      <c r="J311" s="8">
        <f t="shared" si="106"/>
        <v>18423.339999999851</v>
      </c>
      <c r="K311" s="8">
        <f t="shared" si="107"/>
        <v>5641.0608969476834</v>
      </c>
      <c r="L311" s="8">
        <f t="shared" si="108"/>
        <v>24064.400896947533</v>
      </c>
      <c r="M311" s="8">
        <f t="shared" si="109"/>
        <v>65.100141342755663</v>
      </c>
      <c r="N311" s="8">
        <f t="shared" si="110"/>
        <v>7785</v>
      </c>
      <c r="O311" s="8">
        <f t="shared" si="111"/>
        <v>0</v>
      </c>
      <c r="P311" s="8">
        <f t="shared" si="112"/>
        <v>444</v>
      </c>
      <c r="Q311" s="8">
        <f t="shared" si="113"/>
        <v>1124.5</v>
      </c>
      <c r="R311" s="8">
        <f t="shared" si="114"/>
        <v>927</v>
      </c>
      <c r="S311" s="8">
        <f t="shared" si="115"/>
        <v>0</v>
      </c>
      <c r="T311" s="8">
        <f t="shared" si="116"/>
        <v>8129.8399999999992</v>
      </c>
      <c r="U311" s="8">
        <f t="shared" si="117"/>
        <v>0</v>
      </c>
      <c r="V311" s="8">
        <f t="shared" si="118"/>
        <v>13</v>
      </c>
      <c r="W311" s="8">
        <f t="shared" si="119"/>
        <v>0</v>
      </c>
      <c r="X311" s="8">
        <f t="shared" si="120"/>
        <v>18423.339999999851</v>
      </c>
      <c r="Y311" s="10">
        <v>1807988</v>
      </c>
      <c r="Z311" s="10">
        <v>0</v>
      </c>
      <c r="AA311" s="10">
        <v>103100</v>
      </c>
      <c r="AB311" s="10">
        <v>223416</v>
      </c>
      <c r="AC311" s="10">
        <v>195603</v>
      </c>
      <c r="AD311" s="10">
        <v>114452</v>
      </c>
      <c r="AE311" s="10">
        <v>0</v>
      </c>
      <c r="AF311" s="10">
        <v>0</v>
      </c>
      <c r="AG311" s="10">
        <v>25819</v>
      </c>
      <c r="AH311" s="10">
        <f t="shared" si="121"/>
        <v>604999.0299999998</v>
      </c>
      <c r="AI311" s="10">
        <v>3075377.03</v>
      </c>
      <c r="AJ311" s="10">
        <v>1815773</v>
      </c>
      <c r="AK311" s="10">
        <v>0</v>
      </c>
      <c r="AL311" s="10">
        <v>103544</v>
      </c>
      <c r="AM311" s="10">
        <v>224540.5</v>
      </c>
      <c r="AN311" s="10">
        <v>196530</v>
      </c>
      <c r="AO311" s="10">
        <v>114452</v>
      </c>
      <c r="AP311" s="10">
        <v>8129.8399999999992</v>
      </c>
      <c r="AQ311" s="10">
        <v>0</v>
      </c>
      <c r="AR311" s="10">
        <v>25832</v>
      </c>
      <c r="AS311" s="10">
        <f t="shared" si="124"/>
        <v>604999.0299999998</v>
      </c>
      <c r="AT311" s="10">
        <v>3093800.3699999996</v>
      </c>
      <c r="AU311" s="12">
        <v>18000</v>
      </c>
      <c r="AV311" s="12">
        <v>3372.2897523434285</v>
      </c>
      <c r="AW311" s="12">
        <v>4916.5</v>
      </c>
      <c r="AX311" s="12">
        <f t="shared" si="122"/>
        <v>26288.789752343429</v>
      </c>
      <c r="AY311" s="12">
        <v>20116.95</v>
      </c>
      <c r="AZ311" s="12">
        <v>4040.4006492911112</v>
      </c>
      <c r="BA311" s="12">
        <v>7772.5</v>
      </c>
      <c r="BB311" s="12">
        <f t="shared" si="123"/>
        <v>31929.850649291111</v>
      </c>
      <c r="BC311" s="12">
        <v>2116.9500000000007</v>
      </c>
      <c r="BD311" s="12">
        <v>668.1108969476827</v>
      </c>
      <c r="BE311" s="12">
        <v>2856</v>
      </c>
      <c r="BF311" s="12">
        <v>5641.0608969476834</v>
      </c>
    </row>
    <row r="312" spans="1:58" x14ac:dyDescent="0.25">
      <c r="A312" s="7">
        <v>2534</v>
      </c>
      <c r="B312" s="7">
        <v>1</v>
      </c>
      <c r="C312" s="7" t="s">
        <v>313</v>
      </c>
      <c r="D312" s="4">
        <v>6</v>
      </c>
      <c r="E312" s="10">
        <v>698</v>
      </c>
      <c r="F312" s="8">
        <f t="shared" si="102"/>
        <v>23240.75</v>
      </c>
      <c r="G312" s="8">
        <f t="shared" si="103"/>
        <v>18545.82</v>
      </c>
      <c r="H312" s="8">
        <f t="shared" si="104"/>
        <v>3375</v>
      </c>
      <c r="I312" s="8">
        <f t="shared" si="105"/>
        <v>11.000000000298314</v>
      </c>
      <c r="J312" s="8">
        <f t="shared" si="106"/>
        <v>45172.570000000298</v>
      </c>
      <c r="K312" s="8">
        <f t="shared" si="107"/>
        <v>10788.906301501513</v>
      </c>
      <c r="L312" s="8">
        <f t="shared" si="108"/>
        <v>55961.476301501811</v>
      </c>
      <c r="M312" s="8">
        <f t="shared" si="109"/>
        <v>64.717148997135098</v>
      </c>
      <c r="N312" s="8">
        <f t="shared" si="110"/>
        <v>18832</v>
      </c>
      <c r="O312" s="8">
        <f t="shared" si="111"/>
        <v>114</v>
      </c>
      <c r="P312" s="8">
        <f t="shared" si="112"/>
        <v>737</v>
      </c>
      <c r="Q312" s="8">
        <f t="shared" si="113"/>
        <v>3527.75</v>
      </c>
      <c r="R312" s="8">
        <f t="shared" si="114"/>
        <v>30</v>
      </c>
      <c r="S312" s="8">
        <f t="shared" si="115"/>
        <v>0</v>
      </c>
      <c r="T312" s="8">
        <f t="shared" si="116"/>
        <v>18545.82</v>
      </c>
      <c r="U312" s="8">
        <f t="shared" si="117"/>
        <v>3375</v>
      </c>
      <c r="V312" s="8">
        <f t="shared" si="118"/>
        <v>11</v>
      </c>
      <c r="W312" s="8">
        <f t="shared" si="119"/>
        <v>0</v>
      </c>
      <c r="X312" s="8">
        <f t="shared" si="120"/>
        <v>45172.570000000298</v>
      </c>
      <c r="Y312" s="10">
        <v>4373660</v>
      </c>
      <c r="Z312" s="10">
        <v>26499</v>
      </c>
      <c r="AA312" s="10">
        <v>171179</v>
      </c>
      <c r="AB312" s="10">
        <v>700893</v>
      </c>
      <c r="AC312" s="10">
        <v>6339</v>
      </c>
      <c r="AD312" s="10">
        <v>88234</v>
      </c>
      <c r="AE312" s="10">
        <v>0</v>
      </c>
      <c r="AF312" s="10">
        <v>15351</v>
      </c>
      <c r="AG312" s="10">
        <v>93003</v>
      </c>
      <c r="AH312" s="10">
        <f t="shared" si="121"/>
        <v>772828.91999999993</v>
      </c>
      <c r="AI312" s="10">
        <v>6247986.9199999999</v>
      </c>
      <c r="AJ312" s="10">
        <v>4392492</v>
      </c>
      <c r="AK312" s="10">
        <v>26613</v>
      </c>
      <c r="AL312" s="10">
        <v>171916</v>
      </c>
      <c r="AM312" s="10">
        <v>704420.75</v>
      </c>
      <c r="AN312" s="10">
        <v>6369</v>
      </c>
      <c r="AO312" s="10">
        <v>88234</v>
      </c>
      <c r="AP312" s="10">
        <v>18545.82</v>
      </c>
      <c r="AQ312" s="10">
        <v>18726</v>
      </c>
      <c r="AR312" s="10">
        <v>93014</v>
      </c>
      <c r="AS312" s="10">
        <f t="shared" si="124"/>
        <v>772828.91999999993</v>
      </c>
      <c r="AT312" s="10">
        <v>6293159.4900000002</v>
      </c>
      <c r="AU312" s="12">
        <v>35520</v>
      </c>
      <c r="AV312" s="12">
        <v>11344.045776828898</v>
      </c>
      <c r="AW312" s="12">
        <v>11846</v>
      </c>
      <c r="AX312" s="12">
        <f t="shared" si="122"/>
        <v>58710.045776828898</v>
      </c>
      <c r="AY312" s="12">
        <v>39697.447999999997</v>
      </c>
      <c r="AZ312" s="12">
        <v>13591.504078330414</v>
      </c>
      <c r="BA312" s="12">
        <v>16210</v>
      </c>
      <c r="BB312" s="12">
        <f t="shared" si="123"/>
        <v>69498.952078330418</v>
      </c>
      <c r="BC312" s="12">
        <v>4177.4479999999967</v>
      </c>
      <c r="BD312" s="12">
        <v>2247.458301501516</v>
      </c>
      <c r="BE312" s="12">
        <v>4364</v>
      </c>
      <c r="BF312" s="12">
        <v>10788.906301501513</v>
      </c>
    </row>
    <row r="313" spans="1:58" x14ac:dyDescent="0.25">
      <c r="A313" s="7">
        <v>2536</v>
      </c>
      <c r="B313" s="7">
        <v>1</v>
      </c>
      <c r="C313" s="7" t="s">
        <v>314</v>
      </c>
      <c r="D313" s="4">
        <v>6</v>
      </c>
      <c r="E313" s="10">
        <v>203</v>
      </c>
      <c r="F313" s="8">
        <f t="shared" si="102"/>
        <v>6765.25</v>
      </c>
      <c r="G313" s="8">
        <f t="shared" si="103"/>
        <v>6541.32</v>
      </c>
      <c r="H313" s="8">
        <f t="shared" si="104"/>
        <v>0</v>
      </c>
      <c r="I313" s="8">
        <f t="shared" si="105"/>
        <v>2.9831426218152046E-10</v>
      </c>
      <c r="J313" s="8">
        <f t="shared" si="106"/>
        <v>13306.570000000298</v>
      </c>
      <c r="K313" s="8">
        <f t="shared" si="107"/>
        <v>5037.8358042015461</v>
      </c>
      <c r="L313" s="8">
        <f t="shared" si="108"/>
        <v>18344.405804201844</v>
      </c>
      <c r="M313" s="8">
        <f t="shared" si="109"/>
        <v>65.549605911331511</v>
      </c>
      <c r="N313" s="8">
        <f t="shared" si="110"/>
        <v>5340</v>
      </c>
      <c r="O313" s="8">
        <f t="shared" si="111"/>
        <v>5</v>
      </c>
      <c r="P313" s="8">
        <f t="shared" si="112"/>
        <v>320</v>
      </c>
      <c r="Q313" s="8">
        <f t="shared" si="113"/>
        <v>671.25</v>
      </c>
      <c r="R313" s="8">
        <f t="shared" si="114"/>
        <v>429</v>
      </c>
      <c r="S313" s="8">
        <f t="shared" si="115"/>
        <v>0</v>
      </c>
      <c r="T313" s="8">
        <f t="shared" si="116"/>
        <v>6541.32</v>
      </c>
      <c r="U313" s="8">
        <f t="shared" si="117"/>
        <v>0</v>
      </c>
      <c r="V313" s="8">
        <f t="shared" si="118"/>
        <v>0</v>
      </c>
      <c r="W313" s="8">
        <f t="shared" si="119"/>
        <v>0</v>
      </c>
      <c r="X313" s="8">
        <f t="shared" si="120"/>
        <v>13306.570000000298</v>
      </c>
      <c r="Y313" s="10">
        <v>1240162</v>
      </c>
      <c r="Z313" s="10">
        <v>1138</v>
      </c>
      <c r="AA313" s="10">
        <v>74308</v>
      </c>
      <c r="AB313" s="10">
        <v>133364</v>
      </c>
      <c r="AC313" s="10">
        <v>90460</v>
      </c>
      <c r="AD313" s="10">
        <v>90344</v>
      </c>
      <c r="AE313" s="10">
        <v>0</v>
      </c>
      <c r="AF313" s="10">
        <v>0</v>
      </c>
      <c r="AG313" s="10">
        <v>10680</v>
      </c>
      <c r="AH313" s="10">
        <f t="shared" si="121"/>
        <v>800565.2799999998</v>
      </c>
      <c r="AI313" s="10">
        <v>2441021.2799999998</v>
      </c>
      <c r="AJ313" s="10">
        <v>1245502</v>
      </c>
      <c r="AK313" s="10">
        <v>1143</v>
      </c>
      <c r="AL313" s="10">
        <v>74628</v>
      </c>
      <c r="AM313" s="10">
        <v>134035.25</v>
      </c>
      <c r="AN313" s="10">
        <v>90889</v>
      </c>
      <c r="AO313" s="10">
        <v>90344</v>
      </c>
      <c r="AP313" s="10">
        <v>6541.32</v>
      </c>
      <c r="AQ313" s="10">
        <v>0</v>
      </c>
      <c r="AR313" s="10">
        <v>10680</v>
      </c>
      <c r="AS313" s="10">
        <f t="shared" si="124"/>
        <v>800565.28</v>
      </c>
      <c r="AT313" s="10">
        <v>2454327.85</v>
      </c>
      <c r="AU313" s="12">
        <v>18000</v>
      </c>
      <c r="AV313" s="12">
        <v>2814.9190967072996</v>
      </c>
      <c r="AW313" s="12">
        <v>3790.875</v>
      </c>
      <c r="AX313" s="12">
        <f t="shared" si="122"/>
        <v>24605.794096707301</v>
      </c>
      <c r="AY313" s="12">
        <v>20116.95</v>
      </c>
      <c r="AZ313" s="12">
        <v>3372.6049009088447</v>
      </c>
      <c r="BA313" s="12">
        <v>6154.0750000000007</v>
      </c>
      <c r="BB313" s="12">
        <f t="shared" si="123"/>
        <v>29643.629900908847</v>
      </c>
      <c r="BC313" s="12">
        <v>2116.9500000000007</v>
      </c>
      <c r="BD313" s="12">
        <v>557.68580420154512</v>
      </c>
      <c r="BE313" s="12">
        <v>2363.2000000000007</v>
      </c>
      <c r="BF313" s="12">
        <v>5037.8358042015461</v>
      </c>
    </row>
    <row r="314" spans="1:58" x14ac:dyDescent="0.25">
      <c r="A314" s="7">
        <v>2580</v>
      </c>
      <c r="B314" s="7">
        <v>1</v>
      </c>
      <c r="C314" s="7" t="s">
        <v>315</v>
      </c>
      <c r="D314" s="4">
        <v>6</v>
      </c>
      <c r="E314" s="10">
        <v>751</v>
      </c>
      <c r="F314" s="8">
        <f t="shared" si="102"/>
        <v>25928.5</v>
      </c>
      <c r="G314" s="8">
        <f t="shared" si="103"/>
        <v>19264.580000000002</v>
      </c>
      <c r="H314" s="8">
        <f t="shared" si="104"/>
        <v>0</v>
      </c>
      <c r="I314" s="8">
        <f t="shared" si="105"/>
        <v>7.2759576141834259E-11</v>
      </c>
      <c r="J314" s="8">
        <f t="shared" si="106"/>
        <v>45193.080000000075</v>
      </c>
      <c r="K314" s="8">
        <f t="shared" si="107"/>
        <v>10023.515860725818</v>
      </c>
      <c r="L314" s="8">
        <f t="shared" si="108"/>
        <v>55216.595860725894</v>
      </c>
      <c r="M314" s="8">
        <f t="shared" si="109"/>
        <v>60.177203728362286</v>
      </c>
      <c r="N314" s="8">
        <f t="shared" si="110"/>
        <v>20525</v>
      </c>
      <c r="O314" s="8">
        <f t="shared" si="111"/>
        <v>29</v>
      </c>
      <c r="P314" s="8">
        <f t="shared" si="112"/>
        <v>1157</v>
      </c>
      <c r="Q314" s="8">
        <f t="shared" si="113"/>
        <v>3625.5</v>
      </c>
      <c r="R314" s="8">
        <f t="shared" si="114"/>
        <v>592</v>
      </c>
      <c r="S314" s="8">
        <f t="shared" si="115"/>
        <v>0</v>
      </c>
      <c r="T314" s="8">
        <f t="shared" si="116"/>
        <v>19264.580000000002</v>
      </c>
      <c r="U314" s="8">
        <f t="shared" si="117"/>
        <v>0</v>
      </c>
      <c r="V314" s="8">
        <f t="shared" si="118"/>
        <v>0</v>
      </c>
      <c r="W314" s="8">
        <f t="shared" si="119"/>
        <v>0</v>
      </c>
      <c r="X314" s="8">
        <f t="shared" si="120"/>
        <v>45193.080000000075</v>
      </c>
      <c r="Y314" s="10">
        <v>4766726</v>
      </c>
      <c r="Z314" s="10">
        <v>6828</v>
      </c>
      <c r="AA314" s="10">
        <v>268541</v>
      </c>
      <c r="AB314" s="10">
        <v>720314</v>
      </c>
      <c r="AC314" s="10">
        <v>124914</v>
      </c>
      <c r="AD314" s="10">
        <v>64667</v>
      </c>
      <c r="AE314" s="10">
        <v>0</v>
      </c>
      <c r="AF314" s="10">
        <v>0</v>
      </c>
      <c r="AG314" s="10">
        <v>118224</v>
      </c>
      <c r="AH314" s="10">
        <f t="shared" si="121"/>
        <v>490201.1799999997</v>
      </c>
      <c r="AI314" s="10">
        <v>6560415.1799999997</v>
      </c>
      <c r="AJ314" s="10">
        <v>4787251</v>
      </c>
      <c r="AK314" s="10">
        <v>6857</v>
      </c>
      <c r="AL314" s="10">
        <v>269698</v>
      </c>
      <c r="AM314" s="10">
        <v>723939.5</v>
      </c>
      <c r="AN314" s="10">
        <v>125506</v>
      </c>
      <c r="AO314" s="10">
        <v>64667</v>
      </c>
      <c r="AP314" s="10">
        <v>19264.580000000002</v>
      </c>
      <c r="AQ314" s="10">
        <v>0</v>
      </c>
      <c r="AR314" s="10">
        <v>118224</v>
      </c>
      <c r="AS314" s="10">
        <f t="shared" si="124"/>
        <v>490201.1799999997</v>
      </c>
      <c r="AT314" s="10">
        <v>6605608.2599999998</v>
      </c>
      <c r="AU314" s="12">
        <v>36960</v>
      </c>
      <c r="AV314" s="12">
        <v>11192.891117013593</v>
      </c>
      <c r="AW314" s="12">
        <v>10602.25</v>
      </c>
      <c r="AX314" s="12">
        <f t="shared" si="122"/>
        <v>58755.141117013591</v>
      </c>
      <c r="AY314" s="12">
        <v>41306.803999999996</v>
      </c>
      <c r="AZ314" s="12">
        <v>13410.402977739417</v>
      </c>
      <c r="BA314" s="12">
        <v>14061.45</v>
      </c>
      <c r="BB314" s="12">
        <f t="shared" si="123"/>
        <v>68778.656977739418</v>
      </c>
      <c r="BC314" s="12">
        <v>4346.8039999999964</v>
      </c>
      <c r="BD314" s="12">
        <v>2217.5118607258246</v>
      </c>
      <c r="BE314" s="12">
        <v>3459.1999999999971</v>
      </c>
      <c r="BF314" s="12">
        <v>10023.515860725818</v>
      </c>
    </row>
    <row r="315" spans="1:58" x14ac:dyDescent="0.25">
      <c r="A315" s="7">
        <v>2609</v>
      </c>
      <c r="B315" s="7">
        <v>1</v>
      </c>
      <c r="C315" s="7" t="s">
        <v>316</v>
      </c>
      <c r="D315" s="4">
        <v>6</v>
      </c>
      <c r="E315" s="10">
        <v>408</v>
      </c>
      <c r="F315" s="8">
        <f t="shared" si="102"/>
        <v>13333.5</v>
      </c>
      <c r="G315" s="8">
        <f t="shared" si="103"/>
        <v>10322.36</v>
      </c>
      <c r="H315" s="8">
        <f t="shared" si="104"/>
        <v>0</v>
      </c>
      <c r="I315" s="8">
        <f t="shared" si="105"/>
        <v>10.999999999869033</v>
      </c>
      <c r="J315" s="8">
        <f t="shared" si="106"/>
        <v>23666.85999999987</v>
      </c>
      <c r="K315" s="8">
        <f t="shared" si="107"/>
        <v>5508.4884812940127</v>
      </c>
      <c r="L315" s="8">
        <f t="shared" si="108"/>
        <v>29175.348481293884</v>
      </c>
      <c r="M315" s="8">
        <f t="shared" si="109"/>
        <v>58.00700980392125</v>
      </c>
      <c r="N315" s="8">
        <f t="shared" si="110"/>
        <v>10823</v>
      </c>
      <c r="O315" s="8">
        <f t="shared" si="111"/>
        <v>137</v>
      </c>
      <c r="P315" s="8">
        <f t="shared" si="112"/>
        <v>575</v>
      </c>
      <c r="Q315" s="8">
        <f t="shared" si="113"/>
        <v>1292.5</v>
      </c>
      <c r="R315" s="8">
        <f t="shared" si="114"/>
        <v>506</v>
      </c>
      <c r="S315" s="8">
        <f t="shared" si="115"/>
        <v>0</v>
      </c>
      <c r="T315" s="8">
        <f t="shared" si="116"/>
        <v>10322.36</v>
      </c>
      <c r="U315" s="8">
        <f t="shared" si="117"/>
        <v>0</v>
      </c>
      <c r="V315" s="8">
        <f t="shared" si="118"/>
        <v>11</v>
      </c>
      <c r="W315" s="8">
        <f t="shared" si="119"/>
        <v>0</v>
      </c>
      <c r="X315" s="8">
        <f t="shared" si="120"/>
        <v>23666.85999999987</v>
      </c>
      <c r="Y315" s="10">
        <v>2513417</v>
      </c>
      <c r="Z315" s="10">
        <v>31619</v>
      </c>
      <c r="AA315" s="10">
        <v>133494</v>
      </c>
      <c r="AB315" s="10">
        <v>256794</v>
      </c>
      <c r="AC315" s="10">
        <v>106824</v>
      </c>
      <c r="AD315" s="10">
        <v>129303</v>
      </c>
      <c r="AE315" s="10">
        <v>0</v>
      </c>
      <c r="AF315" s="10">
        <v>0</v>
      </c>
      <c r="AG315" s="10">
        <v>46400</v>
      </c>
      <c r="AH315" s="10">
        <f t="shared" si="121"/>
        <v>590896.52</v>
      </c>
      <c r="AI315" s="10">
        <v>3808747.52</v>
      </c>
      <c r="AJ315" s="10">
        <v>2524240</v>
      </c>
      <c r="AK315" s="10">
        <v>31756</v>
      </c>
      <c r="AL315" s="10">
        <v>134069</v>
      </c>
      <c r="AM315" s="10">
        <v>258086.5</v>
      </c>
      <c r="AN315" s="10">
        <v>107330</v>
      </c>
      <c r="AO315" s="10">
        <v>129303</v>
      </c>
      <c r="AP315" s="10">
        <v>10322.36</v>
      </c>
      <c r="AQ315" s="10">
        <v>0</v>
      </c>
      <c r="AR315" s="10">
        <v>46411</v>
      </c>
      <c r="AS315" s="10">
        <f t="shared" si="124"/>
        <v>590896.52</v>
      </c>
      <c r="AT315" s="10">
        <v>3832414.38</v>
      </c>
      <c r="AU315" s="12">
        <v>18000</v>
      </c>
      <c r="AV315" s="12">
        <v>4905.8594843315313</v>
      </c>
      <c r="AW315" s="12">
        <v>6322.375</v>
      </c>
      <c r="AX315" s="12">
        <f t="shared" si="122"/>
        <v>29228.23448433153</v>
      </c>
      <c r="AY315" s="12">
        <v>20116.95</v>
      </c>
      <c r="AZ315" s="12">
        <v>5877.7979656255447</v>
      </c>
      <c r="BA315" s="12">
        <v>8741.9750000000004</v>
      </c>
      <c r="BB315" s="12">
        <f t="shared" si="123"/>
        <v>34736.722965625544</v>
      </c>
      <c r="BC315" s="12">
        <v>2116.9500000000007</v>
      </c>
      <c r="BD315" s="12">
        <v>971.9384812940134</v>
      </c>
      <c r="BE315" s="12">
        <v>2419.5999999999985</v>
      </c>
      <c r="BF315" s="12">
        <v>5508.4884812940127</v>
      </c>
    </row>
    <row r="316" spans="1:58" x14ac:dyDescent="0.25">
      <c r="A316" s="7">
        <v>2683</v>
      </c>
      <c r="B316" s="7">
        <v>1</v>
      </c>
      <c r="C316" s="7" t="s">
        <v>317</v>
      </c>
      <c r="D316" s="4">
        <v>6</v>
      </c>
      <c r="E316" s="10">
        <v>407</v>
      </c>
      <c r="F316" s="8">
        <f t="shared" si="102"/>
        <v>15901</v>
      </c>
      <c r="G316" s="8">
        <f t="shared" si="103"/>
        <v>12677.96</v>
      </c>
      <c r="H316" s="8">
        <f t="shared" si="104"/>
        <v>0</v>
      </c>
      <c r="I316" s="8">
        <f t="shared" si="105"/>
        <v>12.99999999996362</v>
      </c>
      <c r="J316" s="8">
        <f t="shared" si="106"/>
        <v>28591.959999999963</v>
      </c>
      <c r="K316" s="8">
        <f t="shared" si="107"/>
        <v>6518.148956307793</v>
      </c>
      <c r="L316" s="8">
        <f t="shared" si="108"/>
        <v>35110.108956307755</v>
      </c>
      <c r="M316" s="8">
        <f t="shared" si="109"/>
        <v>70.250515970515877</v>
      </c>
      <c r="N316" s="8">
        <f t="shared" si="110"/>
        <v>10915</v>
      </c>
      <c r="O316" s="8">
        <f t="shared" si="111"/>
        <v>20</v>
      </c>
      <c r="P316" s="8">
        <f t="shared" si="112"/>
        <v>918</v>
      </c>
      <c r="Q316" s="8">
        <f t="shared" si="113"/>
        <v>750</v>
      </c>
      <c r="R316" s="8">
        <f t="shared" si="114"/>
        <v>3298</v>
      </c>
      <c r="S316" s="8">
        <f t="shared" si="115"/>
        <v>0</v>
      </c>
      <c r="T316" s="8">
        <f t="shared" si="116"/>
        <v>12677.96</v>
      </c>
      <c r="U316" s="8">
        <f t="shared" si="117"/>
        <v>0</v>
      </c>
      <c r="V316" s="8">
        <f t="shared" si="118"/>
        <v>13</v>
      </c>
      <c r="W316" s="8">
        <f t="shared" si="119"/>
        <v>0</v>
      </c>
      <c r="X316" s="8">
        <f t="shared" si="120"/>
        <v>28591.959999999963</v>
      </c>
      <c r="Y316" s="10">
        <v>2534900</v>
      </c>
      <c r="Z316" s="10">
        <v>4552</v>
      </c>
      <c r="AA316" s="10">
        <v>213177</v>
      </c>
      <c r="AB316" s="10">
        <v>149010</v>
      </c>
      <c r="AC316" s="10">
        <v>695905</v>
      </c>
      <c r="AD316" s="10">
        <v>129493</v>
      </c>
      <c r="AE316" s="10">
        <v>0</v>
      </c>
      <c r="AF316" s="10">
        <v>0</v>
      </c>
      <c r="AG316" s="10">
        <v>44157</v>
      </c>
      <c r="AH316" s="10">
        <f t="shared" si="121"/>
        <v>661361.41000000015</v>
      </c>
      <c r="AI316" s="10">
        <v>4432555.41</v>
      </c>
      <c r="AJ316" s="10">
        <v>2545815</v>
      </c>
      <c r="AK316" s="10">
        <v>4572</v>
      </c>
      <c r="AL316" s="10">
        <v>214095</v>
      </c>
      <c r="AM316" s="10">
        <v>149760</v>
      </c>
      <c r="AN316" s="10">
        <v>699203</v>
      </c>
      <c r="AO316" s="10">
        <v>129493</v>
      </c>
      <c r="AP316" s="10">
        <v>12677.96</v>
      </c>
      <c r="AQ316" s="10">
        <v>0</v>
      </c>
      <c r="AR316" s="10">
        <v>44170</v>
      </c>
      <c r="AS316" s="10">
        <f t="shared" si="124"/>
        <v>661361.41000000015</v>
      </c>
      <c r="AT316" s="10">
        <v>4461147.37</v>
      </c>
      <c r="AU316" s="12">
        <v>18000</v>
      </c>
      <c r="AV316" s="12">
        <v>4803.1957319635858</v>
      </c>
      <c r="AW316" s="12">
        <v>7687.5</v>
      </c>
      <c r="AX316" s="12">
        <f t="shared" si="122"/>
        <v>30490.695731963584</v>
      </c>
      <c r="AY316" s="12">
        <v>20116.95</v>
      </c>
      <c r="AZ316" s="12">
        <v>5754.7946882713795</v>
      </c>
      <c r="BA316" s="12">
        <v>11137.1</v>
      </c>
      <c r="BB316" s="12">
        <f t="shared" si="123"/>
        <v>37008.844688271383</v>
      </c>
      <c r="BC316" s="12">
        <v>2116.9500000000007</v>
      </c>
      <c r="BD316" s="12">
        <v>951.59895630779374</v>
      </c>
      <c r="BE316" s="12">
        <v>3449.5999999999985</v>
      </c>
      <c r="BF316" s="12">
        <v>6518.148956307793</v>
      </c>
    </row>
    <row r="317" spans="1:58" x14ac:dyDescent="0.25">
      <c r="A317" s="7">
        <v>2687</v>
      </c>
      <c r="B317" s="7">
        <v>1</v>
      </c>
      <c r="C317" s="7" t="s">
        <v>318</v>
      </c>
      <c r="D317" s="4">
        <v>5</v>
      </c>
      <c r="E317" s="10">
        <v>1160</v>
      </c>
      <c r="F317" s="8">
        <f t="shared" si="102"/>
        <v>33116</v>
      </c>
      <c r="G317" s="8">
        <f t="shared" si="103"/>
        <v>29490.300000000003</v>
      </c>
      <c r="H317" s="8">
        <f t="shared" si="104"/>
        <v>4068</v>
      </c>
      <c r="I317" s="8">
        <f t="shared" si="105"/>
        <v>2.0000000007421477</v>
      </c>
      <c r="J317" s="8">
        <f t="shared" si="106"/>
        <v>66676.300000000745</v>
      </c>
      <c r="K317" s="8">
        <f t="shared" si="107"/>
        <v>17979.180945942484</v>
      </c>
      <c r="L317" s="8">
        <f t="shared" si="108"/>
        <v>84655.480945943229</v>
      </c>
      <c r="M317" s="8">
        <f t="shared" si="109"/>
        <v>57.479568965517885</v>
      </c>
      <c r="N317" s="8">
        <f t="shared" si="110"/>
        <v>30340</v>
      </c>
      <c r="O317" s="8">
        <f t="shared" si="111"/>
        <v>0</v>
      </c>
      <c r="P317" s="8">
        <f t="shared" si="112"/>
        <v>607</v>
      </c>
      <c r="Q317" s="8">
        <f t="shared" si="113"/>
        <v>2169</v>
      </c>
      <c r="R317" s="8">
        <f t="shared" si="114"/>
        <v>0</v>
      </c>
      <c r="S317" s="8">
        <f t="shared" si="115"/>
        <v>0</v>
      </c>
      <c r="T317" s="8">
        <f t="shared" si="116"/>
        <v>29490.300000000003</v>
      </c>
      <c r="U317" s="8">
        <f t="shared" si="117"/>
        <v>4068</v>
      </c>
      <c r="V317" s="8">
        <f t="shared" si="118"/>
        <v>2</v>
      </c>
      <c r="W317" s="8">
        <f t="shared" si="119"/>
        <v>0</v>
      </c>
      <c r="X317" s="8">
        <f t="shared" si="120"/>
        <v>66676.300000000745</v>
      </c>
      <c r="Y317" s="10">
        <v>7046162</v>
      </c>
      <c r="Z317" s="10">
        <v>0</v>
      </c>
      <c r="AA317" s="10">
        <v>141039</v>
      </c>
      <c r="AB317" s="10">
        <v>430937</v>
      </c>
      <c r="AC317" s="10">
        <v>0</v>
      </c>
      <c r="AD317" s="10">
        <v>0</v>
      </c>
      <c r="AE317" s="10">
        <v>0</v>
      </c>
      <c r="AF317" s="10">
        <v>19605</v>
      </c>
      <c r="AG317" s="10">
        <v>172692</v>
      </c>
      <c r="AH317" s="10">
        <f t="shared" si="121"/>
        <v>1249240.6899999995</v>
      </c>
      <c r="AI317" s="10">
        <v>9059675.6899999995</v>
      </c>
      <c r="AJ317" s="10">
        <v>7076502</v>
      </c>
      <c r="AK317" s="10">
        <v>0</v>
      </c>
      <c r="AL317" s="10">
        <v>141646</v>
      </c>
      <c r="AM317" s="10">
        <v>433106</v>
      </c>
      <c r="AN317" s="10">
        <v>0</v>
      </c>
      <c r="AO317" s="10">
        <v>0</v>
      </c>
      <c r="AP317" s="10">
        <v>29490.300000000003</v>
      </c>
      <c r="AQ317" s="10">
        <v>23673</v>
      </c>
      <c r="AR317" s="10">
        <v>172694</v>
      </c>
      <c r="AS317" s="10">
        <f t="shared" si="124"/>
        <v>1249240.6900000004</v>
      </c>
      <c r="AT317" s="10">
        <v>9126351.9900000002</v>
      </c>
      <c r="AU317" s="12">
        <v>68280</v>
      </c>
      <c r="AV317" s="12">
        <v>15282.234717144596</v>
      </c>
      <c r="AW317" s="12">
        <v>16922.125</v>
      </c>
      <c r="AX317" s="12">
        <f t="shared" si="122"/>
        <v>100484.3597171446</v>
      </c>
      <c r="AY317" s="12">
        <v>76310.297000000006</v>
      </c>
      <c r="AZ317" s="12">
        <v>18309.918663087061</v>
      </c>
      <c r="BA317" s="12">
        <v>23843.325000000001</v>
      </c>
      <c r="BB317" s="12">
        <f t="shared" si="123"/>
        <v>118463.54066308706</v>
      </c>
      <c r="BC317" s="12">
        <v>8030.2970000000059</v>
      </c>
      <c r="BD317" s="12">
        <v>3027.6839459424646</v>
      </c>
      <c r="BE317" s="12">
        <v>6921.2000000000116</v>
      </c>
      <c r="BF317" s="12">
        <v>17979.180945942484</v>
      </c>
    </row>
    <row r="318" spans="1:58" x14ac:dyDescent="0.25">
      <c r="A318" s="7">
        <v>2689</v>
      </c>
      <c r="B318" s="7">
        <v>1</v>
      </c>
      <c r="C318" s="7" t="s">
        <v>319</v>
      </c>
      <c r="D318" s="4">
        <v>5</v>
      </c>
      <c r="E318" s="10">
        <v>1105</v>
      </c>
      <c r="F318" s="8">
        <f t="shared" si="102"/>
        <v>35234.25</v>
      </c>
      <c r="G318" s="8">
        <f t="shared" si="103"/>
        <v>27019.94</v>
      </c>
      <c r="H318" s="8">
        <f t="shared" si="104"/>
        <v>7326</v>
      </c>
      <c r="I318" s="8">
        <f t="shared" si="105"/>
        <v>5.999999999479769</v>
      </c>
      <c r="J318" s="8">
        <f t="shared" si="106"/>
        <v>69586.189999999478</v>
      </c>
      <c r="K318" s="8">
        <f t="shared" si="107"/>
        <v>16749.879656046396</v>
      </c>
      <c r="L318" s="8">
        <f t="shared" si="108"/>
        <v>86336.069656045875</v>
      </c>
      <c r="M318" s="8">
        <f t="shared" si="109"/>
        <v>62.973927601809486</v>
      </c>
      <c r="N318" s="8">
        <f t="shared" si="110"/>
        <v>30005</v>
      </c>
      <c r="O318" s="8">
        <f t="shared" si="111"/>
        <v>188</v>
      </c>
      <c r="P318" s="8">
        <f t="shared" si="112"/>
        <v>1154</v>
      </c>
      <c r="Q318" s="8">
        <f t="shared" si="113"/>
        <v>3887.25</v>
      </c>
      <c r="R318" s="8">
        <f t="shared" si="114"/>
        <v>0</v>
      </c>
      <c r="S318" s="8">
        <f t="shared" si="115"/>
        <v>0</v>
      </c>
      <c r="T318" s="8">
        <f t="shared" si="116"/>
        <v>27019.94</v>
      </c>
      <c r="U318" s="8">
        <f t="shared" si="117"/>
        <v>7326</v>
      </c>
      <c r="V318" s="8">
        <f t="shared" si="118"/>
        <v>34</v>
      </c>
      <c r="W318" s="8">
        <f t="shared" si="119"/>
        <v>-28.000000000931323</v>
      </c>
      <c r="X318" s="8">
        <f t="shared" si="120"/>
        <v>69586.189999999478</v>
      </c>
      <c r="Y318" s="10">
        <v>6968361</v>
      </c>
      <c r="Z318" s="10">
        <v>43568</v>
      </c>
      <c r="AA318" s="10">
        <v>267900</v>
      </c>
      <c r="AB318" s="10">
        <v>772319</v>
      </c>
      <c r="AC318" s="10">
        <v>0</v>
      </c>
      <c r="AD318" s="10">
        <v>0</v>
      </c>
      <c r="AE318" s="10">
        <v>0</v>
      </c>
      <c r="AF318" s="10">
        <v>19690</v>
      </c>
      <c r="AG318" s="10">
        <v>123410</v>
      </c>
      <c r="AH318" s="10">
        <f t="shared" si="121"/>
        <v>1760936.1899999995</v>
      </c>
      <c r="AI318" s="10">
        <v>9956184.1899999995</v>
      </c>
      <c r="AJ318" s="10">
        <v>6998366</v>
      </c>
      <c r="AK318" s="10">
        <v>43756</v>
      </c>
      <c r="AL318" s="10">
        <v>269054</v>
      </c>
      <c r="AM318" s="10">
        <v>776206.25</v>
      </c>
      <c r="AN318" s="10">
        <v>0</v>
      </c>
      <c r="AO318" s="10">
        <v>0</v>
      </c>
      <c r="AP318" s="10">
        <v>27019.94</v>
      </c>
      <c r="AQ318" s="10">
        <v>27016</v>
      </c>
      <c r="AR318" s="10">
        <v>123444</v>
      </c>
      <c r="AS318" s="10">
        <f t="shared" si="124"/>
        <v>1760908.1899999985</v>
      </c>
      <c r="AT318" s="10">
        <v>10025770.379999999</v>
      </c>
      <c r="AU318" s="12">
        <v>45120</v>
      </c>
      <c r="AV318" s="12">
        <v>15238.360383894229</v>
      </c>
      <c r="AW318" s="12">
        <v>20094</v>
      </c>
      <c r="AX318" s="12">
        <f t="shared" si="122"/>
        <v>80452.360383894236</v>
      </c>
      <c r="AY318" s="12">
        <v>50426.487999999998</v>
      </c>
      <c r="AZ318" s="12">
        <v>18257.352039940633</v>
      </c>
      <c r="BA318" s="12">
        <v>28518.400000000001</v>
      </c>
      <c r="BB318" s="12">
        <f t="shared" si="123"/>
        <v>97202.240039940632</v>
      </c>
      <c r="BC318" s="12">
        <v>5306.4879999999976</v>
      </c>
      <c r="BD318" s="12">
        <v>3018.9916560464044</v>
      </c>
      <c r="BE318" s="12">
        <v>8424.3999999999942</v>
      </c>
      <c r="BF318" s="12">
        <v>16749.879656046396</v>
      </c>
    </row>
    <row r="319" spans="1:58" x14ac:dyDescent="0.25">
      <c r="A319" s="7">
        <v>2711</v>
      </c>
      <c r="B319" s="7">
        <v>1</v>
      </c>
      <c r="C319" s="7" t="s">
        <v>320</v>
      </c>
      <c r="D319" s="4">
        <v>6</v>
      </c>
      <c r="E319" s="10">
        <v>937</v>
      </c>
      <c r="F319" s="8">
        <f t="shared" si="102"/>
        <v>30007.25</v>
      </c>
      <c r="G319" s="8">
        <f t="shared" si="103"/>
        <v>19947.099999999999</v>
      </c>
      <c r="H319" s="8">
        <f t="shared" si="104"/>
        <v>0</v>
      </c>
      <c r="I319" s="8">
        <f t="shared" si="105"/>
        <v>-3.7107383832335472E-10</v>
      </c>
      <c r="J319" s="8">
        <f t="shared" si="106"/>
        <v>49954.349999999627</v>
      </c>
      <c r="K319" s="8">
        <f t="shared" si="107"/>
        <v>10913.942377315892</v>
      </c>
      <c r="L319" s="8">
        <f t="shared" si="108"/>
        <v>60868.29237731552</v>
      </c>
      <c r="M319" s="8">
        <f t="shared" si="109"/>
        <v>53.313073639273881</v>
      </c>
      <c r="N319" s="8">
        <f t="shared" si="110"/>
        <v>25650</v>
      </c>
      <c r="O319" s="8">
        <f t="shared" si="111"/>
        <v>0</v>
      </c>
      <c r="P319" s="8">
        <f t="shared" si="112"/>
        <v>1049</v>
      </c>
      <c r="Q319" s="8">
        <f t="shared" si="113"/>
        <v>3308.25</v>
      </c>
      <c r="R319" s="8">
        <f t="shared" si="114"/>
        <v>0</v>
      </c>
      <c r="S319" s="8">
        <f t="shared" si="115"/>
        <v>0</v>
      </c>
      <c r="T319" s="8">
        <f t="shared" si="116"/>
        <v>19947.099999999999</v>
      </c>
      <c r="U319" s="8">
        <f t="shared" si="117"/>
        <v>0</v>
      </c>
      <c r="V319" s="8">
        <f t="shared" si="118"/>
        <v>0</v>
      </c>
      <c r="W319" s="8">
        <f t="shared" si="119"/>
        <v>0</v>
      </c>
      <c r="X319" s="8">
        <f t="shared" si="120"/>
        <v>49954.349999999627</v>
      </c>
      <c r="Y319" s="10">
        <v>5956956</v>
      </c>
      <c r="Z319" s="10">
        <v>0</v>
      </c>
      <c r="AA319" s="10">
        <v>243529</v>
      </c>
      <c r="AB319" s="10">
        <v>657283</v>
      </c>
      <c r="AC319" s="10">
        <v>0</v>
      </c>
      <c r="AD319" s="10">
        <v>0</v>
      </c>
      <c r="AE319" s="10">
        <v>0</v>
      </c>
      <c r="AF319" s="10">
        <v>15025</v>
      </c>
      <c r="AG319" s="10">
        <v>147744</v>
      </c>
      <c r="AH319" s="10">
        <f t="shared" si="121"/>
        <v>611689.5700000003</v>
      </c>
      <c r="AI319" s="10">
        <v>7632226.5700000003</v>
      </c>
      <c r="AJ319" s="10">
        <v>5982606</v>
      </c>
      <c r="AK319" s="10">
        <v>0</v>
      </c>
      <c r="AL319" s="10">
        <v>244578</v>
      </c>
      <c r="AM319" s="10">
        <v>660591.25</v>
      </c>
      <c r="AN319" s="10">
        <v>0</v>
      </c>
      <c r="AO319" s="10">
        <v>0</v>
      </c>
      <c r="AP319" s="10">
        <v>19947.099999999999</v>
      </c>
      <c r="AQ319" s="10">
        <v>15025</v>
      </c>
      <c r="AR319" s="10">
        <v>147744</v>
      </c>
      <c r="AS319" s="10">
        <f t="shared" si="124"/>
        <v>611689.5700000003</v>
      </c>
      <c r="AT319" s="10">
        <v>7682180.9199999999</v>
      </c>
      <c r="AU319" s="12">
        <v>45000</v>
      </c>
      <c r="AV319" s="12">
        <v>12658.965337001937</v>
      </c>
      <c r="AW319" s="12">
        <v>12649.625</v>
      </c>
      <c r="AX319" s="12">
        <f t="shared" si="122"/>
        <v>70308.590337001937</v>
      </c>
      <c r="AY319" s="12">
        <v>50292.375</v>
      </c>
      <c r="AZ319" s="12">
        <v>15166.932714317823</v>
      </c>
      <c r="BA319" s="12">
        <v>15763.225</v>
      </c>
      <c r="BB319" s="12">
        <f t="shared" si="123"/>
        <v>81222.532714317829</v>
      </c>
      <c r="BC319" s="12">
        <v>5292.375</v>
      </c>
      <c r="BD319" s="12">
        <v>2507.9673773158866</v>
      </c>
      <c r="BE319" s="12">
        <v>3113.6000000000058</v>
      </c>
      <c r="BF319" s="12">
        <v>10913.942377315892</v>
      </c>
    </row>
    <row r="320" spans="1:58" x14ac:dyDescent="0.25">
      <c r="A320" s="7">
        <v>2752</v>
      </c>
      <c r="B320" s="7">
        <v>1</v>
      </c>
      <c r="C320" s="7" t="s">
        <v>321</v>
      </c>
      <c r="D320" s="4">
        <v>5</v>
      </c>
      <c r="E320" s="10">
        <v>1855</v>
      </c>
      <c r="F320" s="8">
        <f t="shared" si="102"/>
        <v>55433.5</v>
      </c>
      <c r="G320" s="8">
        <f t="shared" si="103"/>
        <v>0</v>
      </c>
      <c r="H320" s="8">
        <f t="shared" si="104"/>
        <v>1695</v>
      </c>
      <c r="I320" s="8">
        <f t="shared" si="105"/>
        <v>41</v>
      </c>
      <c r="J320" s="8">
        <f t="shared" si="106"/>
        <v>57169.5</v>
      </c>
      <c r="K320" s="8">
        <f t="shared" si="107"/>
        <v>24385.953595701347</v>
      </c>
      <c r="L320" s="8">
        <f t="shared" si="108"/>
        <v>81555.453595701343</v>
      </c>
      <c r="M320" s="8">
        <f t="shared" si="109"/>
        <v>30.819137466307279</v>
      </c>
      <c r="N320" s="8">
        <f t="shared" si="110"/>
        <v>49427</v>
      </c>
      <c r="O320" s="8">
        <f t="shared" si="111"/>
        <v>0</v>
      </c>
      <c r="P320" s="8">
        <f t="shared" si="112"/>
        <v>1080</v>
      </c>
      <c r="Q320" s="8">
        <f t="shared" si="113"/>
        <v>4926.5</v>
      </c>
      <c r="R320" s="8">
        <f t="shared" si="114"/>
        <v>0</v>
      </c>
      <c r="S320" s="8">
        <f t="shared" si="115"/>
        <v>0</v>
      </c>
      <c r="T320" s="8">
        <f t="shared" si="116"/>
        <v>0</v>
      </c>
      <c r="U320" s="8">
        <f t="shared" si="117"/>
        <v>1695</v>
      </c>
      <c r="V320" s="8">
        <f t="shared" si="118"/>
        <v>41</v>
      </c>
      <c r="W320" s="8">
        <f t="shared" si="119"/>
        <v>0</v>
      </c>
      <c r="X320" s="8">
        <f t="shared" si="120"/>
        <v>57169.5</v>
      </c>
      <c r="Y320" s="10">
        <v>11478752</v>
      </c>
      <c r="Z320" s="10">
        <v>0</v>
      </c>
      <c r="AA320" s="10">
        <v>250803</v>
      </c>
      <c r="AB320" s="10">
        <v>978797</v>
      </c>
      <c r="AC320" s="10">
        <v>0</v>
      </c>
      <c r="AD320" s="10">
        <v>0</v>
      </c>
      <c r="AE320" s="10">
        <v>441220</v>
      </c>
      <c r="AF320" s="10">
        <v>30101</v>
      </c>
      <c r="AG320" s="10">
        <v>224385</v>
      </c>
      <c r="AH320" s="10">
        <f t="shared" si="121"/>
        <v>2586974.92</v>
      </c>
      <c r="AI320" s="10">
        <v>15991032.92</v>
      </c>
      <c r="AJ320" s="10">
        <v>11528179</v>
      </c>
      <c r="AK320" s="10">
        <v>0</v>
      </c>
      <c r="AL320" s="10">
        <v>251883</v>
      </c>
      <c r="AM320" s="10">
        <v>983723.5</v>
      </c>
      <c r="AN320" s="10">
        <v>0</v>
      </c>
      <c r="AO320" s="10">
        <v>0</v>
      </c>
      <c r="AP320" s="10">
        <v>441220</v>
      </c>
      <c r="AQ320" s="10">
        <v>31796</v>
      </c>
      <c r="AR320" s="10">
        <v>224426</v>
      </c>
      <c r="AS320" s="10">
        <f t="shared" si="124"/>
        <v>2586974.92</v>
      </c>
      <c r="AT320" s="10">
        <v>16048202.42</v>
      </c>
      <c r="AU320" s="12">
        <v>94920</v>
      </c>
      <c r="AV320" s="12">
        <v>24737.649081802501</v>
      </c>
      <c r="AW320" s="12">
        <v>25692.125</v>
      </c>
      <c r="AX320" s="12">
        <f t="shared" si="122"/>
        <v>145349.77408180252</v>
      </c>
      <c r="AY320" s="12">
        <v>106083.383</v>
      </c>
      <c r="AZ320" s="12">
        <v>29638.619677503841</v>
      </c>
      <c r="BA320" s="12">
        <v>34013.724999999999</v>
      </c>
      <c r="BB320" s="12">
        <f t="shared" si="123"/>
        <v>169735.72767750386</v>
      </c>
      <c r="BC320" s="12">
        <v>11163.383000000002</v>
      </c>
      <c r="BD320" s="12">
        <v>4900.9705957013393</v>
      </c>
      <c r="BE320" s="12">
        <v>8321.6000000000058</v>
      </c>
      <c r="BF320" s="12">
        <v>24385.953595701347</v>
      </c>
    </row>
    <row r="321" spans="1:58" x14ac:dyDescent="0.25">
      <c r="A321" s="7">
        <v>2753</v>
      </c>
      <c r="B321" s="7">
        <v>1</v>
      </c>
      <c r="C321" s="7" t="s">
        <v>322</v>
      </c>
      <c r="D321" s="4">
        <v>5</v>
      </c>
      <c r="E321" s="10">
        <v>886</v>
      </c>
      <c r="F321" s="8">
        <f t="shared" si="102"/>
        <v>29463.75</v>
      </c>
      <c r="G321" s="8">
        <f t="shared" si="103"/>
        <v>24558.639999999999</v>
      </c>
      <c r="H321" s="8">
        <f t="shared" si="104"/>
        <v>2862</v>
      </c>
      <c r="I321" s="8">
        <f t="shared" si="105"/>
        <v>-45.000000000334694</v>
      </c>
      <c r="J321" s="8">
        <f t="shared" si="106"/>
        <v>56839.389999999665</v>
      </c>
      <c r="K321" s="8">
        <f t="shared" si="107"/>
        <v>21100.438106114136</v>
      </c>
      <c r="L321" s="8">
        <f t="shared" si="108"/>
        <v>77939.828106113797</v>
      </c>
      <c r="M321" s="8">
        <f t="shared" si="109"/>
        <v>64.152810383746797</v>
      </c>
      <c r="N321" s="8">
        <f t="shared" si="110"/>
        <v>24285</v>
      </c>
      <c r="O321" s="8">
        <f t="shared" si="111"/>
        <v>77</v>
      </c>
      <c r="P321" s="8">
        <f t="shared" si="112"/>
        <v>698</v>
      </c>
      <c r="Q321" s="8">
        <f t="shared" si="113"/>
        <v>4403.75</v>
      </c>
      <c r="R321" s="8">
        <f t="shared" si="114"/>
        <v>0</v>
      </c>
      <c r="S321" s="8">
        <f t="shared" si="115"/>
        <v>0</v>
      </c>
      <c r="T321" s="8">
        <f t="shared" si="116"/>
        <v>24558.639999999999</v>
      </c>
      <c r="U321" s="8">
        <f t="shared" si="117"/>
        <v>2862</v>
      </c>
      <c r="V321" s="8">
        <f t="shared" si="118"/>
        <v>20</v>
      </c>
      <c r="W321" s="8">
        <f t="shared" si="119"/>
        <v>-65</v>
      </c>
      <c r="X321" s="8">
        <f t="shared" si="120"/>
        <v>56839.389999999665</v>
      </c>
      <c r="Y321" s="10">
        <v>5639948</v>
      </c>
      <c r="Z321" s="10">
        <v>17882</v>
      </c>
      <c r="AA321" s="10">
        <v>162206</v>
      </c>
      <c r="AB321" s="10">
        <v>874937</v>
      </c>
      <c r="AC321" s="10">
        <v>0</v>
      </c>
      <c r="AD321" s="10">
        <v>0</v>
      </c>
      <c r="AE321" s="10">
        <v>0</v>
      </c>
      <c r="AF321" s="10">
        <v>147870</v>
      </c>
      <c r="AG321" s="10">
        <v>110433</v>
      </c>
      <c r="AH321" s="10">
        <f t="shared" si="121"/>
        <v>1169109.25</v>
      </c>
      <c r="AI321" s="10">
        <v>8122385.25</v>
      </c>
      <c r="AJ321" s="10">
        <v>5664233</v>
      </c>
      <c r="AK321" s="10">
        <v>17959</v>
      </c>
      <c r="AL321" s="10">
        <v>162904</v>
      </c>
      <c r="AM321" s="10">
        <v>879340.75</v>
      </c>
      <c r="AN321" s="10">
        <v>0</v>
      </c>
      <c r="AO321" s="10">
        <v>0</v>
      </c>
      <c r="AP321" s="10">
        <v>24558.639999999999</v>
      </c>
      <c r="AQ321" s="10">
        <v>150732</v>
      </c>
      <c r="AR321" s="10">
        <v>110453</v>
      </c>
      <c r="AS321" s="10">
        <f t="shared" si="124"/>
        <v>1169044.25</v>
      </c>
      <c r="AT321" s="10">
        <v>8179224.6399999997</v>
      </c>
      <c r="AU321" s="12">
        <v>75480</v>
      </c>
      <c r="AV321" s="12">
        <v>19292.35818311101</v>
      </c>
      <c r="AW321" s="12">
        <v>18704.25</v>
      </c>
      <c r="AX321" s="12">
        <f t="shared" si="122"/>
        <v>113476.60818311101</v>
      </c>
      <c r="AY321" s="12">
        <v>84357.077000000005</v>
      </c>
      <c r="AZ321" s="12">
        <v>23114.519289225129</v>
      </c>
      <c r="BA321" s="12">
        <v>27105.45</v>
      </c>
      <c r="BB321" s="12">
        <f t="shared" si="123"/>
        <v>134577.04628922514</v>
      </c>
      <c r="BC321" s="12">
        <v>8877.0770000000048</v>
      </c>
      <c r="BD321" s="12">
        <v>3822.1611061141193</v>
      </c>
      <c r="BE321" s="12">
        <v>8401.2000000000116</v>
      </c>
      <c r="BF321" s="12">
        <v>21100.438106114136</v>
      </c>
    </row>
    <row r="322" spans="1:58" x14ac:dyDescent="0.25">
      <c r="A322" s="7">
        <v>2754</v>
      </c>
      <c r="B322" s="7">
        <v>1</v>
      </c>
      <c r="C322" s="7" t="s">
        <v>323</v>
      </c>
      <c r="D322" s="4">
        <v>6</v>
      </c>
      <c r="E322" s="10">
        <v>510</v>
      </c>
      <c r="F322" s="8">
        <f t="shared" si="102"/>
        <v>16474</v>
      </c>
      <c r="G322" s="8">
        <f t="shared" si="103"/>
        <v>13879.92</v>
      </c>
      <c r="H322" s="8">
        <f t="shared" si="104"/>
        <v>0</v>
      </c>
      <c r="I322" s="8">
        <f t="shared" si="105"/>
        <v>4.9999999999254214</v>
      </c>
      <c r="J322" s="8">
        <f t="shared" si="106"/>
        <v>30358.919999999925</v>
      </c>
      <c r="K322" s="8">
        <f t="shared" si="107"/>
        <v>8874.433183978701</v>
      </c>
      <c r="L322" s="8">
        <f t="shared" si="108"/>
        <v>39233.35318397863</v>
      </c>
      <c r="M322" s="8">
        <f t="shared" si="109"/>
        <v>59.52729411764691</v>
      </c>
      <c r="N322" s="8">
        <f t="shared" si="110"/>
        <v>13865</v>
      </c>
      <c r="O322" s="8">
        <f t="shared" si="111"/>
        <v>3</v>
      </c>
      <c r="P322" s="8">
        <f t="shared" si="112"/>
        <v>665</v>
      </c>
      <c r="Q322" s="8">
        <f t="shared" si="113"/>
        <v>1926</v>
      </c>
      <c r="R322" s="8">
        <f t="shared" si="114"/>
        <v>15</v>
      </c>
      <c r="S322" s="8">
        <f t="shared" si="115"/>
        <v>0</v>
      </c>
      <c r="T322" s="8">
        <f t="shared" si="116"/>
        <v>13879.92</v>
      </c>
      <c r="U322" s="8">
        <f t="shared" si="117"/>
        <v>0</v>
      </c>
      <c r="V322" s="8">
        <f t="shared" si="118"/>
        <v>5</v>
      </c>
      <c r="W322" s="8">
        <f t="shared" si="119"/>
        <v>0</v>
      </c>
      <c r="X322" s="8">
        <f t="shared" si="120"/>
        <v>30358.919999999925</v>
      </c>
      <c r="Y322" s="10">
        <v>3220008</v>
      </c>
      <c r="Z322" s="10">
        <v>650</v>
      </c>
      <c r="AA322" s="10">
        <v>154370</v>
      </c>
      <c r="AB322" s="10">
        <v>382658</v>
      </c>
      <c r="AC322" s="10">
        <v>3349</v>
      </c>
      <c r="AD322" s="10">
        <v>127406</v>
      </c>
      <c r="AE322" s="10">
        <v>0</v>
      </c>
      <c r="AF322" s="10">
        <v>15870</v>
      </c>
      <c r="AG322" s="10">
        <v>72547</v>
      </c>
      <c r="AH322" s="10">
        <f t="shared" si="121"/>
        <v>559293.3200000003</v>
      </c>
      <c r="AI322" s="10">
        <v>4536151.32</v>
      </c>
      <c r="AJ322" s="10">
        <v>3233873</v>
      </c>
      <c r="AK322" s="10">
        <v>653</v>
      </c>
      <c r="AL322" s="10">
        <v>155035</v>
      </c>
      <c r="AM322" s="10">
        <v>384584</v>
      </c>
      <c r="AN322" s="10">
        <v>3364</v>
      </c>
      <c r="AO322" s="10">
        <v>127406</v>
      </c>
      <c r="AP322" s="10">
        <v>13879.92</v>
      </c>
      <c r="AQ322" s="10">
        <v>15870</v>
      </c>
      <c r="AR322" s="10">
        <v>72552</v>
      </c>
      <c r="AS322" s="10">
        <f t="shared" si="124"/>
        <v>559293.3200000003</v>
      </c>
      <c r="AT322" s="10">
        <v>4566510.24</v>
      </c>
      <c r="AU322" s="12">
        <v>24000</v>
      </c>
      <c r="AV322" s="12">
        <v>7265.5389961325327</v>
      </c>
      <c r="AW322" s="12">
        <v>9643.625</v>
      </c>
      <c r="AX322" s="12">
        <f t="shared" si="122"/>
        <v>40909.163996132535</v>
      </c>
      <c r="AY322" s="12">
        <v>26822.6</v>
      </c>
      <c r="AZ322" s="12">
        <v>8704.972180111241</v>
      </c>
      <c r="BA322" s="12">
        <v>14256.025000000001</v>
      </c>
      <c r="BB322" s="12">
        <f t="shared" si="123"/>
        <v>49783.597180111239</v>
      </c>
      <c r="BC322" s="12">
        <v>2822.5999999999985</v>
      </c>
      <c r="BD322" s="12">
        <v>1439.4331839787083</v>
      </c>
      <c r="BE322" s="12">
        <v>4612.3999999999942</v>
      </c>
      <c r="BF322" s="12">
        <v>8874.433183978701</v>
      </c>
    </row>
    <row r="323" spans="1:58" x14ac:dyDescent="0.25">
      <c r="A323" s="7">
        <v>2759</v>
      </c>
      <c r="B323" s="7">
        <v>1</v>
      </c>
      <c r="C323" s="7" t="s">
        <v>324</v>
      </c>
      <c r="D323" s="4">
        <v>6</v>
      </c>
      <c r="E323" s="10">
        <v>303</v>
      </c>
      <c r="F323" s="8">
        <f t="shared" si="102"/>
        <v>9464.5</v>
      </c>
      <c r="G323" s="8">
        <f t="shared" si="103"/>
        <v>7975.82</v>
      </c>
      <c r="H323" s="8">
        <f t="shared" si="104"/>
        <v>0</v>
      </c>
      <c r="I323" s="8">
        <f t="shared" si="105"/>
        <v>6.999999999832653</v>
      </c>
      <c r="J323" s="8">
        <f t="shared" si="106"/>
        <v>17447.319999999832</v>
      </c>
      <c r="K323" s="8">
        <f t="shared" si="107"/>
        <v>5857.2233884376228</v>
      </c>
      <c r="L323" s="8">
        <f t="shared" si="108"/>
        <v>23304.543388437454</v>
      </c>
      <c r="M323" s="8">
        <f t="shared" si="109"/>
        <v>57.581914191418591</v>
      </c>
      <c r="N323" s="8">
        <f t="shared" si="110"/>
        <v>7839</v>
      </c>
      <c r="O323" s="8">
        <f t="shared" si="111"/>
        <v>0</v>
      </c>
      <c r="P323" s="8">
        <f t="shared" si="112"/>
        <v>312</v>
      </c>
      <c r="Q323" s="8">
        <f t="shared" si="113"/>
        <v>1313.5</v>
      </c>
      <c r="R323" s="8">
        <f t="shared" si="114"/>
        <v>0</v>
      </c>
      <c r="S323" s="8">
        <f t="shared" si="115"/>
        <v>0</v>
      </c>
      <c r="T323" s="8">
        <f t="shared" si="116"/>
        <v>7975.82</v>
      </c>
      <c r="U323" s="8">
        <f t="shared" si="117"/>
        <v>0</v>
      </c>
      <c r="V323" s="8">
        <f t="shared" si="118"/>
        <v>7</v>
      </c>
      <c r="W323" s="8">
        <f t="shared" si="119"/>
        <v>0</v>
      </c>
      <c r="X323" s="8">
        <f t="shared" si="120"/>
        <v>17447.319999999832</v>
      </c>
      <c r="Y323" s="10">
        <v>1820471</v>
      </c>
      <c r="Z323" s="10">
        <v>0</v>
      </c>
      <c r="AA323" s="10">
        <v>72355</v>
      </c>
      <c r="AB323" s="10">
        <v>260966</v>
      </c>
      <c r="AC323" s="10">
        <v>0</v>
      </c>
      <c r="AD323" s="10">
        <v>114860</v>
      </c>
      <c r="AE323" s="10">
        <v>0</v>
      </c>
      <c r="AF323" s="10">
        <v>0</v>
      </c>
      <c r="AG323" s="10">
        <v>34783</v>
      </c>
      <c r="AH323" s="10">
        <f t="shared" si="121"/>
        <v>440254.18999999994</v>
      </c>
      <c r="AI323" s="10">
        <v>2743689.19</v>
      </c>
      <c r="AJ323" s="10">
        <v>1828310</v>
      </c>
      <c r="AK323" s="10">
        <v>0</v>
      </c>
      <c r="AL323" s="10">
        <v>72667</v>
      </c>
      <c r="AM323" s="10">
        <v>262279.5</v>
      </c>
      <c r="AN323" s="10">
        <v>0</v>
      </c>
      <c r="AO323" s="10">
        <v>114860</v>
      </c>
      <c r="AP323" s="10">
        <v>7975.82</v>
      </c>
      <c r="AQ323" s="10">
        <v>0</v>
      </c>
      <c r="AR323" s="10">
        <v>34790</v>
      </c>
      <c r="AS323" s="10">
        <f t="shared" si="124"/>
        <v>440254.18999999994</v>
      </c>
      <c r="AT323" s="10">
        <v>2761136.51</v>
      </c>
      <c r="AU323" s="12">
        <v>18000</v>
      </c>
      <c r="AV323" s="12">
        <v>5476.9079281389113</v>
      </c>
      <c r="AW323" s="12">
        <v>4768.875</v>
      </c>
      <c r="AX323" s="12">
        <f t="shared" si="122"/>
        <v>28245.782928138913</v>
      </c>
      <c r="AY323" s="12">
        <v>20116.95</v>
      </c>
      <c r="AZ323" s="12">
        <v>6561.9813165765363</v>
      </c>
      <c r="BA323" s="12">
        <v>7424.0750000000007</v>
      </c>
      <c r="BB323" s="12">
        <f t="shared" si="123"/>
        <v>34103.006316576539</v>
      </c>
      <c r="BC323" s="12">
        <v>2116.9500000000007</v>
      </c>
      <c r="BD323" s="12">
        <v>1085.073388437625</v>
      </c>
      <c r="BE323" s="12">
        <v>2655.1999999999971</v>
      </c>
      <c r="BF323" s="12">
        <v>5857.2233884376228</v>
      </c>
    </row>
    <row r="324" spans="1:58" x14ac:dyDescent="0.25">
      <c r="A324" s="7">
        <v>2769</v>
      </c>
      <c r="B324" s="7">
        <v>1</v>
      </c>
      <c r="C324" s="7" t="s">
        <v>325</v>
      </c>
      <c r="D324" s="4">
        <v>5</v>
      </c>
      <c r="E324" s="10">
        <v>983</v>
      </c>
      <c r="F324" s="8">
        <f t="shared" si="102"/>
        <v>29454.75</v>
      </c>
      <c r="G324" s="8">
        <f t="shared" si="103"/>
        <v>23607.34</v>
      </c>
      <c r="H324" s="8">
        <f t="shared" si="104"/>
        <v>1730</v>
      </c>
      <c r="I324" s="8">
        <f t="shared" si="105"/>
        <v>19.999999999850843</v>
      </c>
      <c r="J324" s="8">
        <f t="shared" si="106"/>
        <v>54812.089999999851</v>
      </c>
      <c r="K324" s="8">
        <f t="shared" si="107"/>
        <v>14147.380489168128</v>
      </c>
      <c r="L324" s="8">
        <f t="shared" si="108"/>
        <v>68959.470489167987</v>
      </c>
      <c r="M324" s="8">
        <f t="shared" si="109"/>
        <v>55.760010172939829</v>
      </c>
      <c r="N324" s="8">
        <f t="shared" si="110"/>
        <v>26780</v>
      </c>
      <c r="O324" s="8">
        <f t="shared" si="111"/>
        <v>311</v>
      </c>
      <c r="P324" s="8">
        <f t="shared" si="112"/>
        <v>1033</v>
      </c>
      <c r="Q324" s="8">
        <f t="shared" si="113"/>
        <v>1330.75</v>
      </c>
      <c r="R324" s="8">
        <f t="shared" si="114"/>
        <v>0</v>
      </c>
      <c r="S324" s="8">
        <f t="shared" si="115"/>
        <v>0</v>
      </c>
      <c r="T324" s="8">
        <f t="shared" si="116"/>
        <v>23607.34</v>
      </c>
      <c r="U324" s="8">
        <f t="shared" si="117"/>
        <v>1730</v>
      </c>
      <c r="V324" s="8">
        <f t="shared" si="118"/>
        <v>20</v>
      </c>
      <c r="W324" s="8">
        <f t="shared" si="119"/>
        <v>0</v>
      </c>
      <c r="X324" s="8">
        <f t="shared" si="120"/>
        <v>54812.089999999851</v>
      </c>
      <c r="Y324" s="10">
        <v>6219387</v>
      </c>
      <c r="Z324" s="10">
        <v>72180</v>
      </c>
      <c r="AA324" s="10">
        <v>239821</v>
      </c>
      <c r="AB324" s="10">
        <v>264393</v>
      </c>
      <c r="AC324" s="10">
        <v>0</v>
      </c>
      <c r="AD324" s="10">
        <v>0</v>
      </c>
      <c r="AE324" s="10">
        <v>0</v>
      </c>
      <c r="AF324" s="10">
        <v>27376</v>
      </c>
      <c r="AG324" s="10">
        <v>125526</v>
      </c>
      <c r="AH324" s="10">
        <f t="shared" si="121"/>
        <v>1224282.9500000002</v>
      </c>
      <c r="AI324" s="10">
        <v>8172965.9500000002</v>
      </c>
      <c r="AJ324" s="10">
        <v>6246167</v>
      </c>
      <c r="AK324" s="10">
        <v>72491</v>
      </c>
      <c r="AL324" s="10">
        <v>240854</v>
      </c>
      <c r="AM324" s="10">
        <v>265723.75</v>
      </c>
      <c r="AN324" s="10">
        <v>0</v>
      </c>
      <c r="AO324" s="10">
        <v>0</v>
      </c>
      <c r="AP324" s="10">
        <v>23607.34</v>
      </c>
      <c r="AQ324" s="10">
        <v>29106</v>
      </c>
      <c r="AR324" s="10">
        <v>125546</v>
      </c>
      <c r="AS324" s="10">
        <f t="shared" si="124"/>
        <v>1224282.9500000002</v>
      </c>
      <c r="AT324" s="10">
        <v>8227778.04</v>
      </c>
      <c r="AU324" s="12">
        <v>54000</v>
      </c>
      <c r="AV324" s="12">
        <v>12282.235644076072</v>
      </c>
      <c r="AW324" s="12">
        <v>16605.875</v>
      </c>
      <c r="AX324" s="12">
        <f t="shared" si="122"/>
        <v>82888.110644076078</v>
      </c>
      <c r="AY324" s="12">
        <v>60350.85</v>
      </c>
      <c r="AZ324" s="12">
        <v>14715.56613324419</v>
      </c>
      <c r="BA324" s="12">
        <v>21969.075000000001</v>
      </c>
      <c r="BB324" s="12">
        <f t="shared" si="123"/>
        <v>97035.491133244184</v>
      </c>
      <c r="BC324" s="12">
        <v>6350.8499999999985</v>
      </c>
      <c r="BD324" s="12">
        <v>2433.3304891681182</v>
      </c>
      <c r="BE324" s="12">
        <v>5363.2000000000116</v>
      </c>
      <c r="BF324" s="12">
        <v>14147.380489168128</v>
      </c>
    </row>
    <row r="325" spans="1:58" x14ac:dyDescent="0.25">
      <c r="A325" s="7">
        <v>2805</v>
      </c>
      <c r="B325" s="7">
        <v>1</v>
      </c>
      <c r="C325" s="7" t="s">
        <v>326</v>
      </c>
      <c r="D325" s="4">
        <v>5</v>
      </c>
      <c r="E325" s="10">
        <v>1130</v>
      </c>
      <c r="F325" s="8">
        <f t="shared" si="102"/>
        <v>32393.25</v>
      </c>
      <c r="G325" s="8">
        <f t="shared" si="103"/>
        <v>23392.920000000002</v>
      </c>
      <c r="H325" s="8">
        <f t="shared" si="104"/>
        <v>0</v>
      </c>
      <c r="I325" s="8">
        <f t="shared" si="105"/>
        <v>41.999999999923602</v>
      </c>
      <c r="J325" s="8">
        <f t="shared" si="106"/>
        <v>55828.169999999925</v>
      </c>
      <c r="K325" s="8">
        <f t="shared" si="107"/>
        <v>10928.539218495707</v>
      </c>
      <c r="L325" s="8">
        <f t="shared" si="108"/>
        <v>66756.709218495627</v>
      </c>
      <c r="M325" s="8">
        <f t="shared" si="109"/>
        <v>49.405460176991085</v>
      </c>
      <c r="N325" s="8">
        <f t="shared" si="110"/>
        <v>30715</v>
      </c>
      <c r="O325" s="8">
        <f t="shared" si="111"/>
        <v>186</v>
      </c>
      <c r="P325" s="8">
        <f t="shared" si="112"/>
        <v>709</v>
      </c>
      <c r="Q325" s="8">
        <f t="shared" si="113"/>
        <v>783.25</v>
      </c>
      <c r="R325" s="8">
        <f t="shared" si="114"/>
        <v>0</v>
      </c>
      <c r="S325" s="8">
        <f t="shared" si="115"/>
        <v>0</v>
      </c>
      <c r="T325" s="8">
        <f t="shared" si="116"/>
        <v>23392.920000000002</v>
      </c>
      <c r="U325" s="8">
        <f t="shared" si="117"/>
        <v>0</v>
      </c>
      <c r="V325" s="8">
        <f t="shared" si="118"/>
        <v>42</v>
      </c>
      <c r="W325" s="8">
        <f t="shared" si="119"/>
        <v>0</v>
      </c>
      <c r="X325" s="8">
        <f t="shared" si="120"/>
        <v>55828.169999999925</v>
      </c>
      <c r="Y325" s="10">
        <v>7133252</v>
      </c>
      <c r="Z325" s="10">
        <v>43243</v>
      </c>
      <c r="AA325" s="10">
        <v>164637</v>
      </c>
      <c r="AB325" s="10">
        <v>155616</v>
      </c>
      <c r="AC325" s="10">
        <v>0</v>
      </c>
      <c r="AD325" s="10">
        <v>0</v>
      </c>
      <c r="AE325" s="10">
        <v>0</v>
      </c>
      <c r="AF325" s="10">
        <v>14859</v>
      </c>
      <c r="AG325" s="10">
        <v>116623</v>
      </c>
      <c r="AH325" s="10">
        <f t="shared" si="121"/>
        <v>2049117.33</v>
      </c>
      <c r="AI325" s="10">
        <v>9677347.3300000001</v>
      </c>
      <c r="AJ325" s="10">
        <v>7163967</v>
      </c>
      <c r="AK325" s="10">
        <v>43429</v>
      </c>
      <c r="AL325" s="10">
        <v>165346</v>
      </c>
      <c r="AM325" s="10">
        <v>156399.25</v>
      </c>
      <c r="AN325" s="10">
        <v>0</v>
      </c>
      <c r="AO325" s="10">
        <v>0</v>
      </c>
      <c r="AP325" s="10">
        <v>23392.920000000002</v>
      </c>
      <c r="AQ325" s="10">
        <v>14859</v>
      </c>
      <c r="AR325" s="10">
        <v>116665</v>
      </c>
      <c r="AS325" s="10">
        <f t="shared" si="124"/>
        <v>2049117.33</v>
      </c>
      <c r="AT325" s="10">
        <v>9733175.5</v>
      </c>
      <c r="AU325" s="12">
        <v>47040</v>
      </c>
      <c r="AV325" s="12">
        <v>10950.264645357056</v>
      </c>
      <c r="AW325" s="12">
        <v>14021.375</v>
      </c>
      <c r="AX325" s="12">
        <f t="shared" si="122"/>
        <v>72011.639645357063</v>
      </c>
      <c r="AY325" s="12">
        <v>52572.296000000002</v>
      </c>
      <c r="AZ325" s="12">
        <v>13119.707863852758</v>
      </c>
      <c r="BA325" s="12">
        <v>17248.174999999999</v>
      </c>
      <c r="BB325" s="12">
        <f t="shared" si="123"/>
        <v>82940.178863852765</v>
      </c>
      <c r="BC325" s="12">
        <v>5532.2960000000021</v>
      </c>
      <c r="BD325" s="12">
        <v>2169.4432184957022</v>
      </c>
      <c r="BE325" s="12">
        <v>3226.8000000000029</v>
      </c>
      <c r="BF325" s="12">
        <v>10928.539218495707</v>
      </c>
    </row>
    <row r="326" spans="1:58" x14ac:dyDescent="0.25">
      <c r="A326" s="7">
        <v>2835</v>
      </c>
      <c r="B326" s="7">
        <v>1</v>
      </c>
      <c r="C326" s="7" t="s">
        <v>327</v>
      </c>
      <c r="D326" s="4">
        <v>6</v>
      </c>
      <c r="E326" s="10">
        <v>611</v>
      </c>
      <c r="F326" s="8">
        <f t="shared" si="102"/>
        <v>17563.25</v>
      </c>
      <c r="G326" s="8">
        <f t="shared" si="103"/>
        <v>16181.160000000002</v>
      </c>
      <c r="H326" s="8">
        <f t="shared" si="104"/>
        <v>0</v>
      </c>
      <c r="I326" s="8">
        <f t="shared" si="105"/>
        <v>36.000000000147338</v>
      </c>
      <c r="J326" s="8">
        <f t="shared" si="106"/>
        <v>33780.410000000149</v>
      </c>
      <c r="K326" s="8">
        <f t="shared" si="107"/>
        <v>7968.1038969841848</v>
      </c>
      <c r="L326" s="8">
        <f t="shared" si="108"/>
        <v>41748.513896984332</v>
      </c>
      <c r="M326" s="8">
        <f t="shared" si="109"/>
        <v>55.287086743044433</v>
      </c>
      <c r="N326" s="8">
        <f t="shared" si="110"/>
        <v>16327</v>
      </c>
      <c r="O326" s="8">
        <f t="shared" si="111"/>
        <v>0</v>
      </c>
      <c r="P326" s="8">
        <f t="shared" si="112"/>
        <v>536</v>
      </c>
      <c r="Q326" s="8">
        <f t="shared" si="113"/>
        <v>700.25</v>
      </c>
      <c r="R326" s="8">
        <f t="shared" si="114"/>
        <v>0</v>
      </c>
      <c r="S326" s="8">
        <f t="shared" si="115"/>
        <v>0</v>
      </c>
      <c r="T326" s="8">
        <f t="shared" si="116"/>
        <v>16181.160000000002</v>
      </c>
      <c r="U326" s="8">
        <f t="shared" si="117"/>
        <v>0</v>
      </c>
      <c r="V326" s="8">
        <f t="shared" si="118"/>
        <v>36</v>
      </c>
      <c r="W326" s="8">
        <f t="shared" si="119"/>
        <v>0</v>
      </c>
      <c r="X326" s="8">
        <f t="shared" si="120"/>
        <v>33780.410000000149</v>
      </c>
      <c r="Y326" s="10">
        <v>3791608</v>
      </c>
      <c r="Z326" s="10">
        <v>0</v>
      </c>
      <c r="AA326" s="10">
        <v>124532</v>
      </c>
      <c r="AB326" s="10">
        <v>139126</v>
      </c>
      <c r="AC326" s="10">
        <v>0</v>
      </c>
      <c r="AD326" s="10">
        <v>113590</v>
      </c>
      <c r="AE326" s="10">
        <v>0</v>
      </c>
      <c r="AF326" s="10">
        <v>0</v>
      </c>
      <c r="AG326" s="10">
        <v>42119</v>
      </c>
      <c r="AH326" s="10">
        <f t="shared" si="121"/>
        <v>1500836.4299999997</v>
      </c>
      <c r="AI326" s="10">
        <v>5711811.4299999997</v>
      </c>
      <c r="AJ326" s="10">
        <v>3807935</v>
      </c>
      <c r="AK326" s="10">
        <v>0</v>
      </c>
      <c r="AL326" s="10">
        <v>125068</v>
      </c>
      <c r="AM326" s="10">
        <v>139826.25</v>
      </c>
      <c r="AN326" s="10">
        <v>0</v>
      </c>
      <c r="AO326" s="10">
        <v>113590</v>
      </c>
      <c r="AP326" s="10">
        <v>16181.160000000002</v>
      </c>
      <c r="AQ326" s="10">
        <v>0</v>
      </c>
      <c r="AR326" s="10">
        <v>42155</v>
      </c>
      <c r="AS326" s="10">
        <f t="shared" si="124"/>
        <v>1500836.4299999997</v>
      </c>
      <c r="AT326" s="10">
        <v>5745591.8399999999</v>
      </c>
      <c r="AU326" s="12">
        <v>31920</v>
      </c>
      <c r="AV326" s="12">
        <v>7244.4036650276739</v>
      </c>
      <c r="AW326" s="12">
        <v>9299.375</v>
      </c>
      <c r="AX326" s="12">
        <f t="shared" si="122"/>
        <v>48463.778665027676</v>
      </c>
      <c r="AY326" s="12">
        <v>35674.057999999997</v>
      </c>
      <c r="AZ326" s="12">
        <v>8679.6495620118585</v>
      </c>
      <c r="BA326" s="12">
        <v>12078.174999999999</v>
      </c>
      <c r="BB326" s="12">
        <f t="shared" si="123"/>
        <v>56431.882562011859</v>
      </c>
      <c r="BC326" s="12">
        <v>3754.0579999999973</v>
      </c>
      <c r="BD326" s="12">
        <v>1435.2458969841846</v>
      </c>
      <c r="BE326" s="12">
        <v>2778.8000000000029</v>
      </c>
      <c r="BF326" s="12">
        <v>7968.1038969841848</v>
      </c>
    </row>
    <row r="327" spans="1:58" x14ac:dyDescent="0.25">
      <c r="A327" s="7">
        <v>2853</v>
      </c>
      <c r="B327" s="7">
        <v>1</v>
      </c>
      <c r="C327" s="7" t="s">
        <v>328</v>
      </c>
      <c r="D327" s="4">
        <v>6</v>
      </c>
      <c r="E327" s="10">
        <v>808</v>
      </c>
      <c r="F327" s="8">
        <f t="shared" si="102"/>
        <v>26226</v>
      </c>
      <c r="G327" s="8">
        <f t="shared" si="103"/>
        <v>0</v>
      </c>
      <c r="H327" s="8">
        <f t="shared" si="104"/>
        <v>0</v>
      </c>
      <c r="I327" s="8">
        <f t="shared" si="105"/>
        <v>27</v>
      </c>
      <c r="J327" s="8">
        <f t="shared" si="106"/>
        <v>26253</v>
      </c>
      <c r="K327" s="8">
        <f t="shared" si="107"/>
        <v>12307.056158055726</v>
      </c>
      <c r="L327" s="8">
        <f t="shared" si="108"/>
        <v>38560.056158055726</v>
      </c>
      <c r="M327" s="8">
        <f t="shared" si="109"/>
        <v>32.491336633663366</v>
      </c>
      <c r="N327" s="8">
        <f t="shared" si="110"/>
        <v>21965</v>
      </c>
      <c r="O327" s="8">
        <f t="shared" si="111"/>
        <v>0</v>
      </c>
      <c r="P327" s="8">
        <f t="shared" si="112"/>
        <v>1331</v>
      </c>
      <c r="Q327" s="8">
        <f t="shared" si="113"/>
        <v>2417</v>
      </c>
      <c r="R327" s="8">
        <f t="shared" si="114"/>
        <v>513</v>
      </c>
      <c r="S327" s="8">
        <f t="shared" si="115"/>
        <v>0</v>
      </c>
      <c r="T327" s="8">
        <f t="shared" si="116"/>
        <v>0</v>
      </c>
      <c r="U327" s="8">
        <f t="shared" si="117"/>
        <v>0</v>
      </c>
      <c r="V327" s="8">
        <f t="shared" si="118"/>
        <v>27</v>
      </c>
      <c r="W327" s="8">
        <f t="shared" si="119"/>
        <v>0</v>
      </c>
      <c r="X327" s="8">
        <f t="shared" si="120"/>
        <v>26253</v>
      </c>
      <c r="Y327" s="10">
        <v>5101152</v>
      </c>
      <c r="Z327" s="10">
        <v>0</v>
      </c>
      <c r="AA327" s="10">
        <v>308922</v>
      </c>
      <c r="AB327" s="10">
        <v>480210</v>
      </c>
      <c r="AC327" s="10">
        <v>108225</v>
      </c>
      <c r="AD327" s="10">
        <v>40527</v>
      </c>
      <c r="AE327" s="10">
        <v>201240</v>
      </c>
      <c r="AF327" s="10">
        <v>15180</v>
      </c>
      <c r="AG327" s="10">
        <v>88329</v>
      </c>
      <c r="AH327" s="10">
        <f t="shared" si="121"/>
        <v>1337979.7300000004</v>
      </c>
      <c r="AI327" s="10">
        <v>7681764.7300000004</v>
      </c>
      <c r="AJ327" s="10">
        <v>5123117</v>
      </c>
      <c r="AK327" s="10">
        <v>0</v>
      </c>
      <c r="AL327" s="10">
        <v>310253</v>
      </c>
      <c r="AM327" s="10">
        <v>482627</v>
      </c>
      <c r="AN327" s="10">
        <v>108738</v>
      </c>
      <c r="AO327" s="10">
        <v>40527</v>
      </c>
      <c r="AP327" s="10">
        <v>201240</v>
      </c>
      <c r="AQ327" s="10">
        <v>15180</v>
      </c>
      <c r="AR327" s="10">
        <v>88356</v>
      </c>
      <c r="AS327" s="10">
        <f t="shared" si="124"/>
        <v>1337979.7300000004</v>
      </c>
      <c r="AT327" s="10">
        <v>7708017.7300000004</v>
      </c>
      <c r="AU327" s="12">
        <v>41400</v>
      </c>
      <c r="AV327" s="12">
        <v>10382.057170286289</v>
      </c>
      <c r="AW327" s="12">
        <v>13258</v>
      </c>
      <c r="AX327" s="12">
        <f t="shared" si="122"/>
        <v>65040.057170286287</v>
      </c>
      <c r="AY327" s="12">
        <v>46268.985000000001</v>
      </c>
      <c r="AZ327" s="12">
        <v>12438.928328342017</v>
      </c>
      <c r="BA327" s="12">
        <v>18639.2</v>
      </c>
      <c r="BB327" s="12">
        <f t="shared" si="123"/>
        <v>77347.11332834202</v>
      </c>
      <c r="BC327" s="12">
        <v>4868.9850000000006</v>
      </c>
      <c r="BD327" s="12">
        <v>2056.8711580557283</v>
      </c>
      <c r="BE327" s="12">
        <v>5381.1999999999971</v>
      </c>
      <c r="BF327" s="12">
        <v>12307.056158055726</v>
      </c>
    </row>
    <row r="328" spans="1:58" x14ac:dyDescent="0.25">
      <c r="A328" s="7">
        <v>2854</v>
      </c>
      <c r="B328" s="7">
        <v>1</v>
      </c>
      <c r="C328" s="7" t="s">
        <v>329</v>
      </c>
      <c r="D328" s="4">
        <v>6</v>
      </c>
      <c r="E328" s="10">
        <v>480</v>
      </c>
      <c r="F328" s="8">
        <f t="shared" si="102"/>
        <v>16316.5</v>
      </c>
      <c r="G328" s="8">
        <f t="shared" si="103"/>
        <v>14991.28</v>
      </c>
      <c r="H328" s="8">
        <f t="shared" si="104"/>
        <v>2715</v>
      </c>
      <c r="I328" s="8">
        <f t="shared" si="105"/>
        <v>8.9999999993287929</v>
      </c>
      <c r="J328" s="8">
        <f t="shared" si="106"/>
        <v>34031.779999999329</v>
      </c>
      <c r="K328" s="8">
        <f t="shared" si="107"/>
        <v>6832.2612015055302</v>
      </c>
      <c r="L328" s="8">
        <f t="shared" si="108"/>
        <v>40864.041201504857</v>
      </c>
      <c r="M328" s="8">
        <f t="shared" si="109"/>
        <v>70.899541666665272</v>
      </c>
      <c r="N328" s="8">
        <f t="shared" si="110"/>
        <v>13190</v>
      </c>
      <c r="O328" s="8">
        <f t="shared" si="111"/>
        <v>87</v>
      </c>
      <c r="P328" s="8">
        <f t="shared" si="112"/>
        <v>770</v>
      </c>
      <c r="Q328" s="8">
        <f t="shared" si="113"/>
        <v>1310.5</v>
      </c>
      <c r="R328" s="8">
        <f t="shared" si="114"/>
        <v>959</v>
      </c>
      <c r="S328" s="8">
        <f t="shared" si="115"/>
        <v>0</v>
      </c>
      <c r="T328" s="8">
        <f t="shared" si="116"/>
        <v>14991.28</v>
      </c>
      <c r="U328" s="8">
        <f t="shared" si="117"/>
        <v>2715</v>
      </c>
      <c r="V328" s="8">
        <f t="shared" si="118"/>
        <v>9</v>
      </c>
      <c r="W328" s="8">
        <f t="shared" si="119"/>
        <v>0</v>
      </c>
      <c r="X328" s="8">
        <f t="shared" si="120"/>
        <v>34031.779999999329</v>
      </c>
      <c r="Y328" s="10">
        <v>3063246</v>
      </c>
      <c r="Z328" s="10">
        <v>20158</v>
      </c>
      <c r="AA328" s="10">
        <v>178777</v>
      </c>
      <c r="AB328" s="10">
        <v>260370</v>
      </c>
      <c r="AC328" s="10">
        <v>202199</v>
      </c>
      <c r="AD328" s="10">
        <v>129276</v>
      </c>
      <c r="AE328" s="10">
        <v>0</v>
      </c>
      <c r="AF328" s="10">
        <v>15948</v>
      </c>
      <c r="AG328" s="10">
        <v>63450</v>
      </c>
      <c r="AH328" s="10">
        <f t="shared" si="121"/>
        <v>571559.46999999974</v>
      </c>
      <c r="AI328" s="10">
        <v>4504983.47</v>
      </c>
      <c r="AJ328" s="10">
        <v>3076436</v>
      </c>
      <c r="AK328" s="10">
        <v>20245</v>
      </c>
      <c r="AL328" s="10">
        <v>179547</v>
      </c>
      <c r="AM328" s="10">
        <v>261680.5</v>
      </c>
      <c r="AN328" s="10">
        <v>203158</v>
      </c>
      <c r="AO328" s="10">
        <v>129276</v>
      </c>
      <c r="AP328" s="10">
        <v>14991.28</v>
      </c>
      <c r="AQ328" s="10">
        <v>18663</v>
      </c>
      <c r="AR328" s="10">
        <v>63459</v>
      </c>
      <c r="AS328" s="10">
        <f t="shared" si="124"/>
        <v>571559.46999999927</v>
      </c>
      <c r="AT328" s="10">
        <v>4539015.2499999991</v>
      </c>
      <c r="AU328" s="12">
        <v>18000</v>
      </c>
      <c r="AV328" s="12">
        <v>5512.4312895991734</v>
      </c>
      <c r="AW328" s="12">
        <v>9386</v>
      </c>
      <c r="AX328" s="12">
        <f t="shared" si="122"/>
        <v>32898.431289599175</v>
      </c>
      <c r="AY328" s="12">
        <v>20116.95</v>
      </c>
      <c r="AZ328" s="12">
        <v>6604.5424911047057</v>
      </c>
      <c r="BA328" s="12">
        <v>13009.2</v>
      </c>
      <c r="BB328" s="12">
        <f t="shared" si="123"/>
        <v>39730.69249110471</v>
      </c>
      <c r="BC328" s="12">
        <v>2116.9500000000007</v>
      </c>
      <c r="BD328" s="12">
        <v>1092.1112015055323</v>
      </c>
      <c r="BE328" s="12">
        <v>3623.1999999999971</v>
      </c>
      <c r="BF328" s="12">
        <v>6832.2612015055302</v>
      </c>
    </row>
    <row r="329" spans="1:58" x14ac:dyDescent="0.25">
      <c r="A329" s="7">
        <v>2856</v>
      </c>
      <c r="B329" s="7">
        <v>1</v>
      </c>
      <c r="C329" s="7" t="s">
        <v>330</v>
      </c>
      <c r="D329" s="4">
        <v>6</v>
      </c>
      <c r="E329" s="10">
        <v>306</v>
      </c>
      <c r="F329" s="8">
        <f t="shared" si="102"/>
        <v>11363.5</v>
      </c>
      <c r="G329" s="8">
        <f t="shared" si="103"/>
        <v>8582.84</v>
      </c>
      <c r="H329" s="8">
        <f t="shared" si="104"/>
        <v>0</v>
      </c>
      <c r="I329" s="8">
        <f t="shared" si="105"/>
        <v>15.999999999850843</v>
      </c>
      <c r="J329" s="8">
        <f t="shared" si="106"/>
        <v>19962.339999999851</v>
      </c>
      <c r="K329" s="8">
        <f t="shared" si="107"/>
        <v>4837.5465328238224</v>
      </c>
      <c r="L329" s="8">
        <f t="shared" si="108"/>
        <v>24799.886532823672</v>
      </c>
      <c r="M329" s="8">
        <f t="shared" si="109"/>
        <v>65.23640522875769</v>
      </c>
      <c r="N329" s="8">
        <f t="shared" si="110"/>
        <v>8154</v>
      </c>
      <c r="O329" s="8">
        <f t="shared" si="111"/>
        <v>58</v>
      </c>
      <c r="P329" s="8">
        <f t="shared" si="112"/>
        <v>607</v>
      </c>
      <c r="Q329" s="8">
        <f t="shared" si="113"/>
        <v>572.5</v>
      </c>
      <c r="R329" s="8">
        <f t="shared" si="114"/>
        <v>1972</v>
      </c>
      <c r="S329" s="8">
        <f t="shared" si="115"/>
        <v>0</v>
      </c>
      <c r="T329" s="8">
        <f t="shared" si="116"/>
        <v>8582.84</v>
      </c>
      <c r="U329" s="8">
        <f t="shared" si="117"/>
        <v>0</v>
      </c>
      <c r="V329" s="8">
        <f t="shared" si="118"/>
        <v>16</v>
      </c>
      <c r="W329" s="8">
        <f t="shared" si="119"/>
        <v>0</v>
      </c>
      <c r="X329" s="8">
        <f t="shared" si="120"/>
        <v>19962.339999999851</v>
      </c>
      <c r="Y329" s="10">
        <v>1893627</v>
      </c>
      <c r="Z329" s="10">
        <v>13412</v>
      </c>
      <c r="AA329" s="10">
        <v>140793</v>
      </c>
      <c r="AB329" s="10">
        <v>113744</v>
      </c>
      <c r="AC329" s="10">
        <v>416183</v>
      </c>
      <c r="AD329" s="10">
        <v>117147</v>
      </c>
      <c r="AE329" s="10">
        <v>0</v>
      </c>
      <c r="AF329" s="10">
        <v>0</v>
      </c>
      <c r="AG329" s="10">
        <v>24728</v>
      </c>
      <c r="AH329" s="10">
        <f t="shared" si="121"/>
        <v>674257.81999999983</v>
      </c>
      <c r="AI329" s="10">
        <v>3393891.82</v>
      </c>
      <c r="AJ329" s="10">
        <v>1901781</v>
      </c>
      <c r="AK329" s="10">
        <v>13470</v>
      </c>
      <c r="AL329" s="10">
        <v>141400</v>
      </c>
      <c r="AM329" s="10">
        <v>114316.5</v>
      </c>
      <c r="AN329" s="10">
        <v>418155</v>
      </c>
      <c r="AO329" s="10">
        <v>117147</v>
      </c>
      <c r="AP329" s="10">
        <v>8582.84</v>
      </c>
      <c r="AQ329" s="10">
        <v>0</v>
      </c>
      <c r="AR329" s="10">
        <v>24744</v>
      </c>
      <c r="AS329" s="10">
        <f t="shared" si="124"/>
        <v>674257.81999999983</v>
      </c>
      <c r="AT329" s="10">
        <v>3413854.1599999997</v>
      </c>
      <c r="AU329" s="12">
        <v>18000</v>
      </c>
      <c r="AV329" s="12">
        <v>3606.9259994282415</v>
      </c>
      <c r="AW329" s="12">
        <v>5034</v>
      </c>
      <c r="AX329" s="12">
        <f t="shared" si="122"/>
        <v>26640.92599942824</v>
      </c>
      <c r="AY329" s="12">
        <v>20116.95</v>
      </c>
      <c r="AZ329" s="12">
        <v>4321.5225322520637</v>
      </c>
      <c r="BA329" s="12">
        <v>7040</v>
      </c>
      <c r="BB329" s="12">
        <f t="shared" si="123"/>
        <v>31478.472532252064</v>
      </c>
      <c r="BC329" s="12">
        <v>2116.9500000000007</v>
      </c>
      <c r="BD329" s="12">
        <v>714.59653282382214</v>
      </c>
      <c r="BE329" s="12">
        <v>2006</v>
      </c>
      <c r="BF329" s="12">
        <v>4837.5465328238224</v>
      </c>
    </row>
    <row r="330" spans="1:58" x14ac:dyDescent="0.25">
      <c r="A330" s="7">
        <v>2859</v>
      </c>
      <c r="B330" s="7">
        <v>1</v>
      </c>
      <c r="C330" s="7" t="s">
        <v>331</v>
      </c>
      <c r="D330" s="4">
        <v>5</v>
      </c>
      <c r="E330" s="10">
        <v>1613</v>
      </c>
      <c r="F330" s="8">
        <f t="shared" si="102"/>
        <v>49002.75</v>
      </c>
      <c r="G330" s="8">
        <f t="shared" si="103"/>
        <v>35756.800000000003</v>
      </c>
      <c r="H330" s="8">
        <f t="shared" si="104"/>
        <v>2632</v>
      </c>
      <c r="I330" s="8">
        <f t="shared" si="105"/>
        <v>8.0000000007421477</v>
      </c>
      <c r="J330" s="8">
        <f t="shared" si="106"/>
        <v>87399.550000000745</v>
      </c>
      <c r="K330" s="8">
        <f t="shared" si="107"/>
        <v>23718.074248722456</v>
      </c>
      <c r="L330" s="8">
        <f t="shared" si="108"/>
        <v>111117.62424872321</v>
      </c>
      <c r="M330" s="8">
        <f t="shared" si="109"/>
        <v>54.184469931804557</v>
      </c>
      <c r="N330" s="8">
        <f t="shared" si="110"/>
        <v>44245</v>
      </c>
      <c r="O330" s="8">
        <f t="shared" si="111"/>
        <v>0</v>
      </c>
      <c r="P330" s="8">
        <f t="shared" si="112"/>
        <v>1095</v>
      </c>
      <c r="Q330" s="8">
        <f t="shared" si="113"/>
        <v>3662.75</v>
      </c>
      <c r="R330" s="8">
        <f t="shared" si="114"/>
        <v>0</v>
      </c>
      <c r="S330" s="8">
        <f t="shared" si="115"/>
        <v>0</v>
      </c>
      <c r="T330" s="8">
        <f t="shared" si="116"/>
        <v>35756.800000000003</v>
      </c>
      <c r="U330" s="8">
        <f t="shared" si="117"/>
        <v>2632</v>
      </c>
      <c r="V330" s="8">
        <f t="shared" si="118"/>
        <v>8</v>
      </c>
      <c r="W330" s="8">
        <f t="shared" si="119"/>
        <v>0</v>
      </c>
      <c r="X330" s="8">
        <f t="shared" si="120"/>
        <v>87399.550000000745</v>
      </c>
      <c r="Y330" s="10">
        <v>10275459</v>
      </c>
      <c r="Z330" s="10">
        <v>0</v>
      </c>
      <c r="AA330" s="10">
        <v>254318</v>
      </c>
      <c r="AB330" s="10">
        <v>727715</v>
      </c>
      <c r="AC330" s="10">
        <v>0</v>
      </c>
      <c r="AD330" s="10">
        <v>0</v>
      </c>
      <c r="AE330" s="10">
        <v>0</v>
      </c>
      <c r="AF330" s="10">
        <v>60521</v>
      </c>
      <c r="AG330" s="10">
        <v>243898</v>
      </c>
      <c r="AH330" s="10">
        <f t="shared" si="121"/>
        <v>2062978.4800000004</v>
      </c>
      <c r="AI330" s="10">
        <v>13624889.48</v>
      </c>
      <c r="AJ330" s="10">
        <v>10319704</v>
      </c>
      <c r="AK330" s="10">
        <v>0</v>
      </c>
      <c r="AL330" s="10">
        <v>255413</v>
      </c>
      <c r="AM330" s="10">
        <v>731377.75</v>
      </c>
      <c r="AN330" s="10">
        <v>0</v>
      </c>
      <c r="AO330" s="10">
        <v>0</v>
      </c>
      <c r="AP330" s="10">
        <v>35756.800000000003</v>
      </c>
      <c r="AQ330" s="10">
        <v>63153</v>
      </c>
      <c r="AR330" s="10">
        <v>243906</v>
      </c>
      <c r="AS330" s="10">
        <f t="shared" si="124"/>
        <v>2062978.4800000004</v>
      </c>
      <c r="AT330" s="10">
        <v>13712289.030000001</v>
      </c>
      <c r="AU330" s="12">
        <v>80760</v>
      </c>
      <c r="AV330" s="12">
        <v>21183.475442926538</v>
      </c>
      <c r="AW330" s="12">
        <v>25795.5</v>
      </c>
      <c r="AX330" s="12">
        <f t="shared" si="122"/>
        <v>127738.97544292654</v>
      </c>
      <c r="AY330" s="12">
        <v>90258.048999999999</v>
      </c>
      <c r="AZ330" s="12">
        <v>25380.300691648983</v>
      </c>
      <c r="BA330" s="12">
        <v>35818.699999999997</v>
      </c>
      <c r="BB330" s="12">
        <f t="shared" si="123"/>
        <v>151457.04969164898</v>
      </c>
      <c r="BC330" s="12">
        <v>9498.0489999999991</v>
      </c>
      <c r="BD330" s="12">
        <v>4196.8252487224454</v>
      </c>
      <c r="BE330" s="12">
        <v>10023.200000000012</v>
      </c>
      <c r="BF330" s="12">
        <v>23718.074248722456</v>
      </c>
    </row>
    <row r="331" spans="1:58" x14ac:dyDescent="0.25">
      <c r="A331" s="7">
        <v>2860</v>
      </c>
      <c r="B331" s="7">
        <v>1</v>
      </c>
      <c r="C331" s="7" t="s">
        <v>332</v>
      </c>
      <c r="D331" s="4">
        <v>5</v>
      </c>
      <c r="E331" s="10">
        <v>1248</v>
      </c>
      <c r="F331" s="8">
        <f t="shared" si="102"/>
        <v>38278.5</v>
      </c>
      <c r="G331" s="8">
        <f t="shared" si="103"/>
        <v>0</v>
      </c>
      <c r="H331" s="8">
        <f t="shared" si="104"/>
        <v>3412</v>
      </c>
      <c r="I331" s="8">
        <f t="shared" si="105"/>
        <v>17</v>
      </c>
      <c r="J331" s="8">
        <f t="shared" si="106"/>
        <v>41707.5</v>
      </c>
      <c r="K331" s="8">
        <f t="shared" si="107"/>
        <v>18750.207376639792</v>
      </c>
      <c r="L331" s="8">
        <f t="shared" si="108"/>
        <v>60457.707376639795</v>
      </c>
      <c r="M331" s="8">
        <f t="shared" si="109"/>
        <v>33.419471153846153</v>
      </c>
      <c r="N331" s="8">
        <f t="shared" si="110"/>
        <v>32998</v>
      </c>
      <c r="O331" s="8">
        <f t="shared" si="111"/>
        <v>265</v>
      </c>
      <c r="P331" s="8">
        <f t="shared" si="112"/>
        <v>1210</v>
      </c>
      <c r="Q331" s="8">
        <f t="shared" si="113"/>
        <v>3805.5</v>
      </c>
      <c r="R331" s="8">
        <f t="shared" si="114"/>
        <v>0</v>
      </c>
      <c r="S331" s="8">
        <f t="shared" si="115"/>
        <v>0</v>
      </c>
      <c r="T331" s="8">
        <f t="shared" si="116"/>
        <v>0</v>
      </c>
      <c r="U331" s="8">
        <f t="shared" si="117"/>
        <v>3412</v>
      </c>
      <c r="V331" s="8">
        <f t="shared" si="118"/>
        <v>17</v>
      </c>
      <c r="W331" s="8">
        <f t="shared" si="119"/>
        <v>0</v>
      </c>
      <c r="X331" s="8">
        <f t="shared" si="120"/>
        <v>41707.5</v>
      </c>
      <c r="Y331" s="10">
        <v>7663630</v>
      </c>
      <c r="Z331" s="10">
        <v>61532</v>
      </c>
      <c r="AA331" s="10">
        <v>280869</v>
      </c>
      <c r="AB331" s="10">
        <v>756077</v>
      </c>
      <c r="AC331" s="10">
        <v>0</v>
      </c>
      <c r="AD331" s="10">
        <v>0</v>
      </c>
      <c r="AE331" s="10">
        <v>317980</v>
      </c>
      <c r="AF331" s="10">
        <v>31002</v>
      </c>
      <c r="AG331" s="10">
        <v>165308</v>
      </c>
      <c r="AH331" s="10">
        <f t="shared" si="121"/>
        <v>1295090.0700000003</v>
      </c>
      <c r="AI331" s="10">
        <v>10571488.07</v>
      </c>
      <c r="AJ331" s="10">
        <v>7696628</v>
      </c>
      <c r="AK331" s="10">
        <v>61797</v>
      </c>
      <c r="AL331" s="10">
        <v>282079</v>
      </c>
      <c r="AM331" s="10">
        <v>759882.5</v>
      </c>
      <c r="AN331" s="10">
        <v>0</v>
      </c>
      <c r="AO331" s="10">
        <v>0</v>
      </c>
      <c r="AP331" s="10">
        <v>317980</v>
      </c>
      <c r="AQ331" s="10">
        <v>34414</v>
      </c>
      <c r="AR331" s="10">
        <v>165325</v>
      </c>
      <c r="AS331" s="10">
        <f t="shared" si="124"/>
        <v>1295090.0700000003</v>
      </c>
      <c r="AT331" s="10">
        <v>10613195.57</v>
      </c>
      <c r="AU331" s="12">
        <v>62160</v>
      </c>
      <c r="AV331" s="12">
        <v>17880.63436858929</v>
      </c>
      <c r="AW331" s="12">
        <v>22111.875</v>
      </c>
      <c r="AX331" s="12">
        <f t="shared" si="122"/>
        <v>102152.50936858929</v>
      </c>
      <c r="AY331" s="12">
        <v>69470.534</v>
      </c>
      <c r="AZ331" s="12">
        <v>21423.10774522907</v>
      </c>
      <c r="BA331" s="12">
        <v>30009.075000000001</v>
      </c>
      <c r="BB331" s="12">
        <f t="shared" si="123"/>
        <v>120902.71674522907</v>
      </c>
      <c r="BC331" s="12">
        <v>7310.5339999999997</v>
      </c>
      <c r="BD331" s="12">
        <v>3542.4733766397803</v>
      </c>
      <c r="BE331" s="12">
        <v>7897.2000000000116</v>
      </c>
      <c r="BF331" s="12">
        <v>18750.207376639792</v>
      </c>
    </row>
    <row r="332" spans="1:58" x14ac:dyDescent="0.25">
      <c r="A332" s="7">
        <v>2884</v>
      </c>
      <c r="B332" s="7">
        <v>1</v>
      </c>
      <c r="C332" s="7" t="s">
        <v>333</v>
      </c>
      <c r="D332" s="4">
        <v>6</v>
      </c>
      <c r="E332" s="10">
        <v>366</v>
      </c>
      <c r="F332" s="8">
        <f t="shared" si="102"/>
        <v>12199.5</v>
      </c>
      <c r="G332" s="8">
        <f t="shared" si="103"/>
        <v>0</v>
      </c>
      <c r="H332" s="8">
        <f t="shared" si="104"/>
        <v>0</v>
      </c>
      <c r="I332" s="8">
        <f t="shared" si="105"/>
        <v>-7</v>
      </c>
      <c r="J332" s="8">
        <f t="shared" si="106"/>
        <v>12192.5</v>
      </c>
      <c r="K332" s="8">
        <f t="shared" si="107"/>
        <v>6967.1019903034794</v>
      </c>
      <c r="L332" s="8">
        <f t="shared" si="108"/>
        <v>19159.601990303479</v>
      </c>
      <c r="M332" s="8">
        <f t="shared" si="109"/>
        <v>33.312841530054648</v>
      </c>
      <c r="N332" s="8">
        <f t="shared" si="110"/>
        <v>10105</v>
      </c>
      <c r="O332" s="8">
        <f t="shared" si="111"/>
        <v>95</v>
      </c>
      <c r="P332" s="8">
        <f t="shared" si="112"/>
        <v>561</v>
      </c>
      <c r="Q332" s="8">
        <f t="shared" si="113"/>
        <v>674.5</v>
      </c>
      <c r="R332" s="8">
        <f t="shared" si="114"/>
        <v>764</v>
      </c>
      <c r="S332" s="8">
        <f t="shared" si="115"/>
        <v>0</v>
      </c>
      <c r="T332" s="8">
        <f t="shared" si="116"/>
        <v>0</v>
      </c>
      <c r="U332" s="8">
        <f t="shared" si="117"/>
        <v>0</v>
      </c>
      <c r="V332" s="8">
        <f t="shared" si="118"/>
        <v>21</v>
      </c>
      <c r="W332" s="8">
        <f t="shared" si="119"/>
        <v>-28</v>
      </c>
      <c r="X332" s="8">
        <f t="shared" si="120"/>
        <v>12192.5</v>
      </c>
      <c r="Y332" s="10">
        <v>2346785</v>
      </c>
      <c r="Z332" s="10">
        <v>22109</v>
      </c>
      <c r="AA332" s="10">
        <v>130285</v>
      </c>
      <c r="AB332" s="10">
        <v>134010</v>
      </c>
      <c r="AC332" s="10">
        <v>161341</v>
      </c>
      <c r="AD332" s="10">
        <v>127304</v>
      </c>
      <c r="AE332" s="10">
        <v>97240</v>
      </c>
      <c r="AF332" s="10">
        <v>0</v>
      </c>
      <c r="AG332" s="10">
        <v>28127</v>
      </c>
      <c r="AH332" s="10">
        <f t="shared" si="121"/>
        <v>883125.04</v>
      </c>
      <c r="AI332" s="10">
        <v>3930326.04</v>
      </c>
      <c r="AJ332" s="10">
        <v>2356890</v>
      </c>
      <c r="AK332" s="10">
        <v>22204</v>
      </c>
      <c r="AL332" s="10">
        <v>130846</v>
      </c>
      <c r="AM332" s="10">
        <v>134684.5</v>
      </c>
      <c r="AN332" s="10">
        <v>162105</v>
      </c>
      <c r="AO332" s="10">
        <v>127304</v>
      </c>
      <c r="AP332" s="10">
        <v>97240</v>
      </c>
      <c r="AQ332" s="10">
        <v>0</v>
      </c>
      <c r="AR332" s="10">
        <v>28148</v>
      </c>
      <c r="AS332" s="10">
        <f t="shared" si="124"/>
        <v>883097.04</v>
      </c>
      <c r="AT332" s="10">
        <v>3942518.54</v>
      </c>
      <c r="AU332" s="12">
        <v>18000</v>
      </c>
      <c r="AV332" s="12">
        <v>4482.9471710568059</v>
      </c>
      <c r="AW332" s="12">
        <v>7856.5</v>
      </c>
      <c r="AX332" s="12">
        <f t="shared" si="122"/>
        <v>30339.447171056807</v>
      </c>
      <c r="AY332" s="12">
        <v>20116.95</v>
      </c>
      <c r="AZ332" s="12">
        <v>5371.0991613602846</v>
      </c>
      <c r="BA332" s="12">
        <v>11818.5</v>
      </c>
      <c r="BB332" s="12">
        <f t="shared" si="123"/>
        <v>37306.549161360286</v>
      </c>
      <c r="BC332" s="12">
        <v>2116.9500000000007</v>
      </c>
      <c r="BD332" s="12">
        <v>888.15199030347867</v>
      </c>
      <c r="BE332" s="12">
        <v>3962</v>
      </c>
      <c r="BF332" s="12">
        <v>6967.1019903034794</v>
      </c>
    </row>
    <row r="333" spans="1:58" x14ac:dyDescent="0.25">
      <c r="A333" s="7">
        <v>2886</v>
      </c>
      <c r="B333" s="7">
        <v>1</v>
      </c>
      <c r="C333" s="7" t="s">
        <v>334</v>
      </c>
      <c r="D333" s="4">
        <v>6</v>
      </c>
      <c r="E333" s="10">
        <v>361</v>
      </c>
      <c r="F333" s="8">
        <f t="shared" si="102"/>
        <v>10677.25</v>
      </c>
      <c r="G333" s="8">
        <f t="shared" si="103"/>
        <v>7812.7400000000007</v>
      </c>
      <c r="H333" s="8">
        <f t="shared" si="104"/>
        <v>0</v>
      </c>
      <c r="I333" s="8">
        <f t="shared" si="105"/>
        <v>8.0000000002228262</v>
      </c>
      <c r="J333" s="8">
        <f t="shared" si="106"/>
        <v>18497.990000000224</v>
      </c>
      <c r="K333" s="8">
        <f t="shared" si="107"/>
        <v>4733.5397532667976</v>
      </c>
      <c r="L333" s="8">
        <f t="shared" si="108"/>
        <v>23231.529753267023</v>
      </c>
      <c r="M333" s="8">
        <f t="shared" si="109"/>
        <v>51.240969529086492</v>
      </c>
      <c r="N333" s="8">
        <f t="shared" si="110"/>
        <v>9554</v>
      </c>
      <c r="O333" s="8">
        <f t="shared" si="111"/>
        <v>86</v>
      </c>
      <c r="P333" s="8">
        <f t="shared" si="112"/>
        <v>406</v>
      </c>
      <c r="Q333" s="8">
        <f t="shared" si="113"/>
        <v>631.25</v>
      </c>
      <c r="R333" s="8">
        <f t="shared" si="114"/>
        <v>0</v>
      </c>
      <c r="S333" s="8">
        <f t="shared" si="115"/>
        <v>0</v>
      </c>
      <c r="T333" s="8">
        <f t="shared" si="116"/>
        <v>7812.7400000000007</v>
      </c>
      <c r="U333" s="8">
        <f t="shared" si="117"/>
        <v>0</v>
      </c>
      <c r="V333" s="8">
        <f t="shared" si="118"/>
        <v>8</v>
      </c>
      <c r="W333" s="8">
        <f t="shared" si="119"/>
        <v>0</v>
      </c>
      <c r="X333" s="8">
        <f t="shared" si="120"/>
        <v>18497.990000000224</v>
      </c>
      <c r="Y333" s="10">
        <v>2218763</v>
      </c>
      <c r="Z333" s="10">
        <v>19833</v>
      </c>
      <c r="AA333" s="10">
        <v>94414</v>
      </c>
      <c r="AB333" s="10">
        <v>125417</v>
      </c>
      <c r="AC333" s="10">
        <v>0</v>
      </c>
      <c r="AD333" s="10">
        <v>125134</v>
      </c>
      <c r="AE333" s="10">
        <v>0</v>
      </c>
      <c r="AF333" s="10">
        <v>17568</v>
      </c>
      <c r="AG333" s="10">
        <v>43027</v>
      </c>
      <c r="AH333" s="10">
        <f t="shared" si="121"/>
        <v>483689.25</v>
      </c>
      <c r="AI333" s="10">
        <v>3127845.25</v>
      </c>
      <c r="AJ333" s="10">
        <v>2228317</v>
      </c>
      <c r="AK333" s="10">
        <v>19919</v>
      </c>
      <c r="AL333" s="10">
        <v>94820</v>
      </c>
      <c r="AM333" s="10">
        <v>126048.25</v>
      </c>
      <c r="AN333" s="10">
        <v>0</v>
      </c>
      <c r="AO333" s="10">
        <v>125134</v>
      </c>
      <c r="AP333" s="10">
        <v>7812.7400000000007</v>
      </c>
      <c r="AQ333" s="10">
        <v>17568</v>
      </c>
      <c r="AR333" s="10">
        <v>43035</v>
      </c>
      <c r="AS333" s="10">
        <f t="shared" si="124"/>
        <v>483689.25</v>
      </c>
      <c r="AT333" s="10">
        <v>3146343.24</v>
      </c>
      <c r="AU333" s="12">
        <v>18000</v>
      </c>
      <c r="AV333" s="12">
        <v>3118.2937796141396</v>
      </c>
      <c r="AW333" s="12">
        <v>4656</v>
      </c>
      <c r="AX333" s="12">
        <f t="shared" si="122"/>
        <v>25774.293779614141</v>
      </c>
      <c r="AY333" s="12">
        <v>20116.95</v>
      </c>
      <c r="AZ333" s="12">
        <v>3736.083532880933</v>
      </c>
      <c r="BA333" s="12">
        <v>6654.8</v>
      </c>
      <c r="BB333" s="12">
        <f t="shared" si="123"/>
        <v>30507.833532880933</v>
      </c>
      <c r="BC333" s="12">
        <v>2116.9500000000007</v>
      </c>
      <c r="BD333" s="12">
        <v>617.78975326679347</v>
      </c>
      <c r="BE333" s="12">
        <v>1998.8000000000029</v>
      </c>
      <c r="BF333" s="12">
        <v>4733.5397532667976</v>
      </c>
    </row>
    <row r="334" spans="1:58" x14ac:dyDescent="0.25">
      <c r="A334" s="7">
        <v>2888</v>
      </c>
      <c r="B334" s="7">
        <v>1</v>
      </c>
      <c r="C334" s="7" t="s">
        <v>335</v>
      </c>
      <c r="D334" s="4">
        <v>6</v>
      </c>
      <c r="E334" s="10">
        <v>319</v>
      </c>
      <c r="F334" s="8">
        <f t="shared" si="102"/>
        <v>11641</v>
      </c>
      <c r="G334" s="8">
        <f t="shared" si="103"/>
        <v>10554.900000000001</v>
      </c>
      <c r="H334" s="8">
        <f t="shared" si="104"/>
        <v>0</v>
      </c>
      <c r="I334" s="8">
        <f t="shared" si="105"/>
        <v>7.9999999999054126</v>
      </c>
      <c r="J334" s="8">
        <f t="shared" si="106"/>
        <v>22203.899999999907</v>
      </c>
      <c r="K334" s="8">
        <f t="shared" si="107"/>
        <v>5762.234803848889</v>
      </c>
      <c r="L334" s="8">
        <f t="shared" si="108"/>
        <v>27966.134803848796</v>
      </c>
      <c r="M334" s="8">
        <f t="shared" si="109"/>
        <v>69.604702194357074</v>
      </c>
      <c r="N334" s="8">
        <f t="shared" si="110"/>
        <v>8480</v>
      </c>
      <c r="O334" s="8">
        <f t="shared" si="111"/>
        <v>114</v>
      </c>
      <c r="P334" s="8">
        <f t="shared" si="112"/>
        <v>634</v>
      </c>
      <c r="Q334" s="8">
        <f t="shared" si="113"/>
        <v>926</v>
      </c>
      <c r="R334" s="8">
        <f t="shared" si="114"/>
        <v>1487</v>
      </c>
      <c r="S334" s="8">
        <f t="shared" si="115"/>
        <v>0</v>
      </c>
      <c r="T334" s="8">
        <f t="shared" si="116"/>
        <v>10554.900000000001</v>
      </c>
      <c r="U334" s="8">
        <f t="shared" si="117"/>
        <v>0</v>
      </c>
      <c r="V334" s="8">
        <f t="shared" si="118"/>
        <v>8</v>
      </c>
      <c r="W334" s="8">
        <f t="shared" si="119"/>
        <v>0</v>
      </c>
      <c r="X334" s="8">
        <f t="shared" si="120"/>
        <v>22203.899999999907</v>
      </c>
      <c r="Y334" s="10">
        <v>1969395</v>
      </c>
      <c r="Z334" s="10">
        <v>26580</v>
      </c>
      <c r="AA334" s="10">
        <v>147025</v>
      </c>
      <c r="AB334" s="10">
        <v>183978</v>
      </c>
      <c r="AC334" s="10">
        <v>313748</v>
      </c>
      <c r="AD334" s="10">
        <v>119326</v>
      </c>
      <c r="AE334" s="10">
        <v>0</v>
      </c>
      <c r="AF334" s="10">
        <v>0</v>
      </c>
      <c r="AG334" s="10">
        <v>36441</v>
      </c>
      <c r="AH334" s="10">
        <f t="shared" si="121"/>
        <v>465768.39999999991</v>
      </c>
      <c r="AI334" s="10">
        <v>3262261.4</v>
      </c>
      <c r="AJ334" s="10">
        <v>1977875</v>
      </c>
      <c r="AK334" s="10">
        <v>26694</v>
      </c>
      <c r="AL334" s="10">
        <v>147659</v>
      </c>
      <c r="AM334" s="10">
        <v>184904</v>
      </c>
      <c r="AN334" s="10">
        <v>315235</v>
      </c>
      <c r="AO334" s="10">
        <v>119326</v>
      </c>
      <c r="AP334" s="10">
        <v>10554.900000000001</v>
      </c>
      <c r="AQ334" s="10">
        <v>0</v>
      </c>
      <c r="AR334" s="10">
        <v>36449</v>
      </c>
      <c r="AS334" s="10">
        <f t="shared" si="124"/>
        <v>465768.39999999991</v>
      </c>
      <c r="AT334" s="10">
        <v>3284465.3</v>
      </c>
      <c r="AU334" s="12">
        <v>18000</v>
      </c>
      <c r="AV334" s="12">
        <v>3876.9080474272787</v>
      </c>
      <c r="AW334" s="12">
        <v>6675</v>
      </c>
      <c r="AX334" s="12">
        <f t="shared" si="122"/>
        <v>28551.908047427278</v>
      </c>
      <c r="AY334" s="12">
        <v>20116.95</v>
      </c>
      <c r="AZ334" s="12">
        <v>4644.9928512761699</v>
      </c>
      <c r="BA334" s="12">
        <v>9552.2000000000007</v>
      </c>
      <c r="BB334" s="12">
        <f t="shared" si="123"/>
        <v>34314.14285127617</v>
      </c>
      <c r="BC334" s="12">
        <v>2116.9500000000007</v>
      </c>
      <c r="BD334" s="12">
        <v>768.08480384889117</v>
      </c>
      <c r="BE334" s="12">
        <v>2877.1999999999971</v>
      </c>
      <c r="BF334" s="12">
        <v>5762.234803848889</v>
      </c>
    </row>
    <row r="335" spans="1:58" x14ac:dyDescent="0.25">
      <c r="A335" s="7">
        <v>2889</v>
      </c>
      <c r="B335" s="7">
        <v>1</v>
      </c>
      <c r="C335" s="7" t="s">
        <v>336</v>
      </c>
      <c r="D335" s="4">
        <v>6</v>
      </c>
      <c r="E335" s="10">
        <v>629</v>
      </c>
      <c r="F335" s="8">
        <f t="shared" si="102"/>
        <v>18820</v>
      </c>
      <c r="G335" s="8">
        <f t="shared" si="103"/>
        <v>18648.5</v>
      </c>
      <c r="H335" s="8">
        <f t="shared" si="104"/>
        <v>0</v>
      </c>
      <c r="I335" s="8">
        <f t="shared" si="105"/>
        <v>11</v>
      </c>
      <c r="J335" s="8">
        <f t="shared" si="106"/>
        <v>37479.5</v>
      </c>
      <c r="K335" s="8">
        <f t="shared" si="107"/>
        <v>10430.861819634343</v>
      </c>
      <c r="L335" s="8">
        <f t="shared" si="108"/>
        <v>47910.361819634345</v>
      </c>
      <c r="M335" s="8">
        <f t="shared" si="109"/>
        <v>59.585850556438793</v>
      </c>
      <c r="N335" s="8">
        <f t="shared" si="110"/>
        <v>16527</v>
      </c>
      <c r="O335" s="8">
        <f t="shared" si="111"/>
        <v>0</v>
      </c>
      <c r="P335" s="8">
        <f t="shared" si="112"/>
        <v>646</v>
      </c>
      <c r="Q335" s="8">
        <f t="shared" si="113"/>
        <v>1647</v>
      </c>
      <c r="R335" s="8">
        <f t="shared" si="114"/>
        <v>0</v>
      </c>
      <c r="S335" s="8">
        <f t="shared" si="115"/>
        <v>0</v>
      </c>
      <c r="T335" s="8">
        <f t="shared" si="116"/>
        <v>18648.5</v>
      </c>
      <c r="U335" s="8">
        <f t="shared" si="117"/>
        <v>0</v>
      </c>
      <c r="V335" s="8">
        <f t="shared" si="118"/>
        <v>11</v>
      </c>
      <c r="W335" s="8">
        <f t="shared" si="119"/>
        <v>0</v>
      </c>
      <c r="X335" s="8">
        <f t="shared" si="120"/>
        <v>37479.5</v>
      </c>
      <c r="Y335" s="10">
        <v>3838056</v>
      </c>
      <c r="Z335" s="10">
        <v>0</v>
      </c>
      <c r="AA335" s="10">
        <v>150034</v>
      </c>
      <c r="AB335" s="10">
        <v>327226</v>
      </c>
      <c r="AC335" s="10">
        <v>0</v>
      </c>
      <c r="AD335" s="10">
        <v>111985</v>
      </c>
      <c r="AE335" s="10">
        <v>0</v>
      </c>
      <c r="AF335" s="10">
        <v>15486</v>
      </c>
      <c r="AG335" s="10">
        <v>79565</v>
      </c>
      <c r="AH335" s="10">
        <f t="shared" si="121"/>
        <v>702865.75</v>
      </c>
      <c r="AI335" s="10">
        <v>5225217.75</v>
      </c>
      <c r="AJ335" s="10">
        <v>3854583</v>
      </c>
      <c r="AK335" s="10">
        <v>0</v>
      </c>
      <c r="AL335" s="10">
        <v>150680</v>
      </c>
      <c r="AM335" s="10">
        <v>328873</v>
      </c>
      <c r="AN335" s="10">
        <v>0</v>
      </c>
      <c r="AO335" s="10">
        <v>111985</v>
      </c>
      <c r="AP335" s="10">
        <v>18648.5</v>
      </c>
      <c r="AQ335" s="10">
        <v>15486</v>
      </c>
      <c r="AR335" s="10">
        <v>79576</v>
      </c>
      <c r="AS335" s="10">
        <f t="shared" si="124"/>
        <v>702865.75</v>
      </c>
      <c r="AT335" s="10">
        <v>5262697.25</v>
      </c>
      <c r="AU335" s="12">
        <v>32520</v>
      </c>
      <c r="AV335" s="12">
        <v>9757.0134421043622</v>
      </c>
      <c r="AW335" s="12">
        <v>12372.5</v>
      </c>
      <c r="AX335" s="12">
        <f t="shared" si="122"/>
        <v>54649.513442104362</v>
      </c>
      <c r="AY335" s="12">
        <v>36344.623</v>
      </c>
      <c r="AZ335" s="12">
        <v>11690.052261738709</v>
      </c>
      <c r="BA335" s="12">
        <v>17045.7</v>
      </c>
      <c r="BB335" s="12">
        <f t="shared" si="123"/>
        <v>65080.375261738707</v>
      </c>
      <c r="BC335" s="12">
        <v>3824.6229999999996</v>
      </c>
      <c r="BD335" s="12">
        <v>1933.0388196343465</v>
      </c>
      <c r="BE335" s="12">
        <v>4673.1999999999971</v>
      </c>
      <c r="BF335" s="12">
        <v>10430.861819634343</v>
      </c>
    </row>
    <row r="336" spans="1:58" x14ac:dyDescent="0.25">
      <c r="A336" s="7">
        <v>2890</v>
      </c>
      <c r="B336" s="7">
        <v>1</v>
      </c>
      <c r="C336" s="7" t="s">
        <v>337</v>
      </c>
      <c r="D336" s="4">
        <v>6</v>
      </c>
      <c r="E336" s="10">
        <v>516</v>
      </c>
      <c r="F336" s="8">
        <f t="shared" si="102"/>
        <v>18008.25</v>
      </c>
      <c r="G336" s="8">
        <f t="shared" si="103"/>
        <v>14776.86</v>
      </c>
      <c r="H336" s="8">
        <f t="shared" si="104"/>
        <v>1972</v>
      </c>
      <c r="I336" s="8">
        <f t="shared" si="105"/>
        <v>3.3469405025243759E-10</v>
      </c>
      <c r="J336" s="8">
        <f t="shared" si="106"/>
        <v>34757.110000000335</v>
      </c>
      <c r="K336" s="8">
        <f t="shared" si="107"/>
        <v>8299.4874039514762</v>
      </c>
      <c r="L336" s="8">
        <f t="shared" si="108"/>
        <v>43056.597403951811</v>
      </c>
      <c r="M336" s="8">
        <f t="shared" si="109"/>
        <v>67.358740310078176</v>
      </c>
      <c r="N336" s="8">
        <f t="shared" si="110"/>
        <v>14025</v>
      </c>
      <c r="O336" s="8">
        <f t="shared" si="111"/>
        <v>26</v>
      </c>
      <c r="P336" s="8">
        <f t="shared" si="112"/>
        <v>657</v>
      </c>
      <c r="Q336" s="8">
        <f t="shared" si="113"/>
        <v>2808.25</v>
      </c>
      <c r="R336" s="8">
        <f t="shared" si="114"/>
        <v>492</v>
      </c>
      <c r="S336" s="8">
        <f t="shared" si="115"/>
        <v>0</v>
      </c>
      <c r="T336" s="8">
        <f t="shared" si="116"/>
        <v>14776.86</v>
      </c>
      <c r="U336" s="8">
        <f t="shared" si="117"/>
        <v>1972</v>
      </c>
      <c r="V336" s="8">
        <f t="shared" si="118"/>
        <v>0</v>
      </c>
      <c r="W336" s="8">
        <f t="shared" si="119"/>
        <v>0</v>
      </c>
      <c r="X336" s="8">
        <f t="shared" si="120"/>
        <v>34757.110000000335</v>
      </c>
      <c r="Y336" s="10">
        <v>3257166</v>
      </c>
      <c r="Z336" s="10">
        <v>5852</v>
      </c>
      <c r="AA336" s="10">
        <v>152533</v>
      </c>
      <c r="AB336" s="10">
        <v>557943</v>
      </c>
      <c r="AC336" s="10">
        <v>103945</v>
      </c>
      <c r="AD336" s="10">
        <v>126842</v>
      </c>
      <c r="AE336" s="10">
        <v>0</v>
      </c>
      <c r="AF336" s="10">
        <v>26905</v>
      </c>
      <c r="AG336" s="10">
        <v>28050</v>
      </c>
      <c r="AH336" s="10">
        <f t="shared" si="121"/>
        <v>1463947.1100000003</v>
      </c>
      <c r="AI336" s="10">
        <v>5723183.1100000003</v>
      </c>
      <c r="AJ336" s="10">
        <v>3271191</v>
      </c>
      <c r="AK336" s="10">
        <v>5878</v>
      </c>
      <c r="AL336" s="10">
        <v>153190</v>
      </c>
      <c r="AM336" s="10">
        <v>560751.25</v>
      </c>
      <c r="AN336" s="10">
        <v>104437</v>
      </c>
      <c r="AO336" s="10">
        <v>126842</v>
      </c>
      <c r="AP336" s="10">
        <v>14776.86</v>
      </c>
      <c r="AQ336" s="10">
        <v>28877</v>
      </c>
      <c r="AR336" s="10">
        <v>28050</v>
      </c>
      <c r="AS336" s="10">
        <f t="shared" si="124"/>
        <v>1463947.1100000003</v>
      </c>
      <c r="AT336" s="10">
        <v>5757940.2200000007</v>
      </c>
      <c r="AU336" s="12">
        <v>27960</v>
      </c>
      <c r="AV336" s="12">
        <v>8192.8920439450685</v>
      </c>
      <c r="AW336" s="12">
        <v>8894.125</v>
      </c>
      <c r="AX336" s="12">
        <f t="shared" si="122"/>
        <v>45047.017043945067</v>
      </c>
      <c r="AY336" s="12">
        <v>31248.329000000002</v>
      </c>
      <c r="AZ336" s="12">
        <v>9816.0504478965431</v>
      </c>
      <c r="BA336" s="12">
        <v>12282.125</v>
      </c>
      <c r="BB336" s="12">
        <f t="shared" si="123"/>
        <v>53346.504447896543</v>
      </c>
      <c r="BC336" s="12">
        <v>3288.3290000000015</v>
      </c>
      <c r="BD336" s="12">
        <v>1623.1584039514746</v>
      </c>
      <c r="BE336" s="12">
        <v>3388</v>
      </c>
      <c r="BF336" s="12">
        <v>8299.4874039514762</v>
      </c>
    </row>
    <row r="337" spans="1:58" x14ac:dyDescent="0.25">
      <c r="A337" s="7">
        <v>2895</v>
      </c>
      <c r="B337" s="7">
        <v>1</v>
      </c>
      <c r="C337" s="7" t="s">
        <v>338</v>
      </c>
      <c r="D337" s="4">
        <v>5</v>
      </c>
      <c r="E337" s="10">
        <v>1232</v>
      </c>
      <c r="F337" s="8">
        <f t="shared" ref="F337:F400" si="125">SUM(N337:S337)</f>
        <v>37329</v>
      </c>
      <c r="G337" s="8">
        <f t="shared" ref="G337:G400" si="126">T337</f>
        <v>28569.199999999997</v>
      </c>
      <c r="H337" s="8">
        <f t="shared" ref="H337:H400" si="127">U337</f>
        <v>0</v>
      </c>
      <c r="I337" s="8">
        <f t="shared" ref="I337:I400" si="128">J337-F337-G337-H337</f>
        <v>30.999999999257852</v>
      </c>
      <c r="J337" s="8">
        <f t="shared" ref="J337:J400" si="129">X337</f>
        <v>65929.199999999255</v>
      </c>
      <c r="K337" s="8">
        <f t="shared" ref="K337:K400" si="130">BF337</f>
        <v>17810.41025888918</v>
      </c>
      <c r="L337" s="8">
        <f t="shared" ref="L337:L400" si="131">J337+K337</f>
        <v>83739.610258888439</v>
      </c>
      <c r="M337" s="8">
        <f t="shared" ref="M337:M400" si="132">IF(E337=0,0,J337/E337)</f>
        <v>53.513961038960431</v>
      </c>
      <c r="N337" s="8">
        <f t="shared" ref="N337:N400" si="133">AJ337-Y337</f>
        <v>33675</v>
      </c>
      <c r="O337" s="8">
        <f t="shared" ref="O337:O400" si="134">AK337-Z337</f>
        <v>0</v>
      </c>
      <c r="P337" s="8">
        <f t="shared" ref="P337:P400" si="135">AL337-AA337</f>
        <v>1294</v>
      </c>
      <c r="Q337" s="8">
        <f t="shared" ref="Q337:Q400" si="136">AM337-AB337</f>
        <v>2360</v>
      </c>
      <c r="R337" s="8">
        <f t="shared" ref="R337:R400" si="137">AN337-AC337</f>
        <v>0</v>
      </c>
      <c r="S337" s="8">
        <f t="shared" ref="S337:S400" si="138">AO337-AD337</f>
        <v>0</v>
      </c>
      <c r="T337" s="8">
        <f t="shared" ref="T337:T400" si="139">AP337-AE337</f>
        <v>28569.199999999997</v>
      </c>
      <c r="U337" s="8">
        <f t="shared" ref="U337:U400" si="140">AQ337-AF337</f>
        <v>0</v>
      </c>
      <c r="V337" s="8">
        <f t="shared" ref="V337:V400" si="141">AR337-AG337</f>
        <v>31</v>
      </c>
      <c r="W337" s="8">
        <f t="shared" ref="W337:W400" si="142">AS337-AH337</f>
        <v>0</v>
      </c>
      <c r="X337" s="8">
        <f t="shared" ref="X337:X400" si="143">AT337-AI337</f>
        <v>65929.199999999255</v>
      </c>
      <c r="Y337" s="10">
        <v>7820682</v>
      </c>
      <c r="Z337" s="10">
        <v>0</v>
      </c>
      <c r="AA337" s="10">
        <v>300452</v>
      </c>
      <c r="AB337" s="10">
        <v>468885</v>
      </c>
      <c r="AC337" s="10">
        <v>0</v>
      </c>
      <c r="AD337" s="10">
        <v>0</v>
      </c>
      <c r="AE337" s="10">
        <v>0</v>
      </c>
      <c r="AF337" s="10">
        <v>14816</v>
      </c>
      <c r="AG337" s="10">
        <v>149232</v>
      </c>
      <c r="AH337" s="10">
        <f t="shared" ref="AH337:AH400" si="144">AI337-SUM(Y337:AG337)</f>
        <v>1756519.9700000007</v>
      </c>
      <c r="AI337" s="10">
        <v>10510586.970000001</v>
      </c>
      <c r="AJ337" s="10">
        <v>7854357</v>
      </c>
      <c r="AK337" s="10">
        <v>0</v>
      </c>
      <c r="AL337" s="10">
        <v>301746</v>
      </c>
      <c r="AM337" s="10">
        <v>471245</v>
      </c>
      <c r="AN337" s="10">
        <v>0</v>
      </c>
      <c r="AO337" s="10">
        <v>0</v>
      </c>
      <c r="AP337" s="10">
        <v>28569.199999999997</v>
      </c>
      <c r="AQ337" s="10">
        <v>14816</v>
      </c>
      <c r="AR337" s="10">
        <v>149263</v>
      </c>
      <c r="AS337" s="10">
        <f t="shared" si="124"/>
        <v>1756519.9700000007</v>
      </c>
      <c r="AT337" s="10">
        <v>10576516.17</v>
      </c>
      <c r="AU337" s="12">
        <v>49560</v>
      </c>
      <c r="AV337" s="12">
        <v>15284.543004243093</v>
      </c>
      <c r="AW337" s="12">
        <v>20252.75</v>
      </c>
      <c r="AX337" s="12">
        <f t="shared" ref="AX337:AX400" si="145">AU337+AV337+AW337</f>
        <v>85097.293004243096</v>
      </c>
      <c r="AY337" s="12">
        <v>55388.669000000002</v>
      </c>
      <c r="AZ337" s="12">
        <v>18312.684263132265</v>
      </c>
      <c r="BA337" s="12">
        <v>29206.35</v>
      </c>
      <c r="BB337" s="12">
        <f t="shared" ref="BB337:BB400" si="146">AY337+AZ337+BA337</f>
        <v>102907.70326313228</v>
      </c>
      <c r="BC337" s="12">
        <v>5828.6690000000017</v>
      </c>
      <c r="BD337" s="12">
        <v>3028.1412588891726</v>
      </c>
      <c r="BE337" s="12">
        <v>8953.6000000000058</v>
      </c>
      <c r="BF337" s="12">
        <v>17810.41025888918</v>
      </c>
    </row>
    <row r="338" spans="1:58" x14ac:dyDescent="0.25">
      <c r="A338" s="7">
        <v>2897</v>
      </c>
      <c r="B338" s="7">
        <v>1</v>
      </c>
      <c r="C338" s="7" t="s">
        <v>339</v>
      </c>
      <c r="D338" s="4">
        <v>5</v>
      </c>
      <c r="E338" s="10">
        <v>1108</v>
      </c>
      <c r="F338" s="8">
        <f t="shared" si="125"/>
        <v>33815.25</v>
      </c>
      <c r="G338" s="8">
        <f t="shared" si="126"/>
        <v>31253.98</v>
      </c>
      <c r="H338" s="8">
        <f t="shared" si="127"/>
        <v>14879</v>
      </c>
      <c r="I338" s="8">
        <f t="shared" si="128"/>
        <v>96.000000000447471</v>
      </c>
      <c r="J338" s="8">
        <f t="shared" si="129"/>
        <v>80044.230000000447</v>
      </c>
      <c r="K338" s="8">
        <f t="shared" si="130"/>
        <v>16573.536758885519</v>
      </c>
      <c r="L338" s="8">
        <f t="shared" si="131"/>
        <v>96617.766758885962</v>
      </c>
      <c r="M338" s="8">
        <f t="shared" si="132"/>
        <v>72.242084837545534</v>
      </c>
      <c r="N338" s="8">
        <f t="shared" si="133"/>
        <v>30195</v>
      </c>
      <c r="O338" s="8">
        <f t="shared" si="134"/>
        <v>0</v>
      </c>
      <c r="P338" s="8">
        <f t="shared" si="135"/>
        <v>844</v>
      </c>
      <c r="Q338" s="8">
        <f t="shared" si="136"/>
        <v>2776.25</v>
      </c>
      <c r="R338" s="8">
        <f t="shared" si="137"/>
        <v>0</v>
      </c>
      <c r="S338" s="8">
        <f t="shared" si="138"/>
        <v>0</v>
      </c>
      <c r="T338" s="8">
        <f t="shared" si="139"/>
        <v>31253.98</v>
      </c>
      <c r="U338" s="8">
        <f t="shared" si="140"/>
        <v>14879</v>
      </c>
      <c r="V338" s="8">
        <f t="shared" si="141"/>
        <v>29</v>
      </c>
      <c r="W338" s="8">
        <f t="shared" si="142"/>
        <v>67</v>
      </c>
      <c r="X338" s="8">
        <f t="shared" si="143"/>
        <v>80044.230000000447</v>
      </c>
      <c r="Y338" s="10">
        <v>7012487</v>
      </c>
      <c r="Z338" s="10">
        <v>0</v>
      </c>
      <c r="AA338" s="10">
        <v>195973</v>
      </c>
      <c r="AB338" s="10">
        <v>551585</v>
      </c>
      <c r="AC338" s="10">
        <v>0</v>
      </c>
      <c r="AD338" s="10">
        <v>0</v>
      </c>
      <c r="AE338" s="10">
        <v>0</v>
      </c>
      <c r="AF338" s="10">
        <v>0</v>
      </c>
      <c r="AG338" s="10">
        <v>132098</v>
      </c>
      <c r="AH338" s="10">
        <f t="shared" si="144"/>
        <v>1661933.2200000007</v>
      </c>
      <c r="AI338" s="10">
        <v>9554076.2200000007</v>
      </c>
      <c r="AJ338" s="10">
        <v>7042682</v>
      </c>
      <c r="AK338" s="10">
        <v>0</v>
      </c>
      <c r="AL338" s="10">
        <v>196817</v>
      </c>
      <c r="AM338" s="10">
        <v>554361.25</v>
      </c>
      <c r="AN338" s="10">
        <v>0</v>
      </c>
      <c r="AO338" s="10">
        <v>0</v>
      </c>
      <c r="AP338" s="10">
        <v>31253.98</v>
      </c>
      <c r="AQ338" s="10">
        <v>14879</v>
      </c>
      <c r="AR338" s="10">
        <v>132127</v>
      </c>
      <c r="AS338" s="10">
        <f t="shared" si="124"/>
        <v>1662000.2200000007</v>
      </c>
      <c r="AT338" s="10">
        <v>9634120.4500000011</v>
      </c>
      <c r="AU338" s="12">
        <v>59160</v>
      </c>
      <c r="AV338" s="12">
        <v>14897.331612974667</v>
      </c>
      <c r="AW338" s="12">
        <v>17324</v>
      </c>
      <c r="AX338" s="12">
        <f t="shared" si="145"/>
        <v>91381.331612974667</v>
      </c>
      <c r="AY338" s="12">
        <v>66117.709000000003</v>
      </c>
      <c r="AZ338" s="12">
        <v>17848.759371860189</v>
      </c>
      <c r="BA338" s="12">
        <v>23988.400000000001</v>
      </c>
      <c r="BB338" s="12">
        <f t="shared" si="146"/>
        <v>107954.86837186018</v>
      </c>
      <c r="BC338" s="12">
        <v>6957.7090000000026</v>
      </c>
      <c r="BD338" s="12">
        <v>2951.4277588855221</v>
      </c>
      <c r="BE338" s="12">
        <v>6664.3999999999942</v>
      </c>
      <c r="BF338" s="12">
        <v>16573.536758885519</v>
      </c>
    </row>
    <row r="339" spans="1:58" x14ac:dyDescent="0.25">
      <c r="A339" s="7">
        <v>2898</v>
      </c>
      <c r="B339" s="7">
        <v>1</v>
      </c>
      <c r="C339" s="7" t="s">
        <v>340</v>
      </c>
      <c r="D339" s="4">
        <v>6</v>
      </c>
      <c r="E339" s="10">
        <v>397</v>
      </c>
      <c r="F339" s="8">
        <f t="shared" si="125"/>
        <v>14906.75</v>
      </c>
      <c r="G339" s="8">
        <f t="shared" si="126"/>
        <v>12037.720000000001</v>
      </c>
      <c r="H339" s="8">
        <f t="shared" si="127"/>
        <v>14310</v>
      </c>
      <c r="I339" s="8">
        <f t="shared" si="128"/>
        <v>6.0000000002037268</v>
      </c>
      <c r="J339" s="8">
        <f t="shared" si="129"/>
        <v>41260.470000000205</v>
      </c>
      <c r="K339" s="8">
        <f t="shared" si="130"/>
        <v>4742.1090997462816</v>
      </c>
      <c r="L339" s="8">
        <f t="shared" si="131"/>
        <v>46002.579099746486</v>
      </c>
      <c r="M339" s="8">
        <f t="shared" si="132"/>
        <v>103.93065491183931</v>
      </c>
      <c r="N339" s="8">
        <f t="shared" si="133"/>
        <v>10910</v>
      </c>
      <c r="O339" s="8">
        <f t="shared" si="134"/>
        <v>63</v>
      </c>
      <c r="P339" s="8">
        <f t="shared" si="135"/>
        <v>583</v>
      </c>
      <c r="Q339" s="8">
        <f t="shared" si="136"/>
        <v>1639.75</v>
      </c>
      <c r="R339" s="8">
        <f t="shared" si="137"/>
        <v>1711</v>
      </c>
      <c r="S339" s="8">
        <f t="shared" si="138"/>
        <v>0</v>
      </c>
      <c r="T339" s="8">
        <f t="shared" si="139"/>
        <v>12037.720000000001</v>
      </c>
      <c r="U339" s="8">
        <f t="shared" si="140"/>
        <v>14310</v>
      </c>
      <c r="V339" s="8">
        <f t="shared" si="141"/>
        <v>6</v>
      </c>
      <c r="W339" s="8">
        <f t="shared" si="142"/>
        <v>0</v>
      </c>
      <c r="X339" s="8">
        <f t="shared" si="143"/>
        <v>41260.470000000205</v>
      </c>
      <c r="Y339" s="10">
        <v>2533738</v>
      </c>
      <c r="Z339" s="10">
        <v>14631</v>
      </c>
      <c r="AA339" s="10">
        <v>135419</v>
      </c>
      <c r="AB339" s="10">
        <v>325786</v>
      </c>
      <c r="AC339" s="10">
        <v>361170</v>
      </c>
      <c r="AD339" s="10">
        <v>129483</v>
      </c>
      <c r="AE339" s="10">
        <v>0</v>
      </c>
      <c r="AF339" s="10">
        <v>42930</v>
      </c>
      <c r="AG339" s="10">
        <v>53835</v>
      </c>
      <c r="AH339" s="10">
        <f t="shared" si="144"/>
        <v>498204.35999999987</v>
      </c>
      <c r="AI339" s="10">
        <v>4095196.36</v>
      </c>
      <c r="AJ339" s="10">
        <v>2544648</v>
      </c>
      <c r="AK339" s="10">
        <v>14694</v>
      </c>
      <c r="AL339" s="10">
        <v>136002</v>
      </c>
      <c r="AM339" s="10">
        <v>327425.75</v>
      </c>
      <c r="AN339" s="10">
        <v>362881</v>
      </c>
      <c r="AO339" s="10">
        <v>129483</v>
      </c>
      <c r="AP339" s="10">
        <v>12037.720000000001</v>
      </c>
      <c r="AQ339" s="10">
        <v>57240</v>
      </c>
      <c r="AR339" s="10">
        <v>53841</v>
      </c>
      <c r="AS339" s="10">
        <f t="shared" si="124"/>
        <v>498204.35999999987</v>
      </c>
      <c r="AT339" s="10">
        <v>4136456.83</v>
      </c>
      <c r="AU339" s="12">
        <v>18000</v>
      </c>
      <c r="AV339" s="12">
        <v>4990.761555969345</v>
      </c>
      <c r="AW339" s="12">
        <v>7654.875</v>
      </c>
      <c r="AX339" s="12">
        <f t="shared" si="145"/>
        <v>30645.636555969344</v>
      </c>
      <c r="AY339" s="12">
        <v>20116.95</v>
      </c>
      <c r="AZ339" s="12">
        <v>5979.5206557156243</v>
      </c>
      <c r="BA339" s="12">
        <v>9291.2749999999996</v>
      </c>
      <c r="BB339" s="12">
        <f t="shared" si="146"/>
        <v>35387.745655715626</v>
      </c>
      <c r="BC339" s="12">
        <v>2116.9500000000007</v>
      </c>
      <c r="BD339" s="12">
        <v>988.75909974627939</v>
      </c>
      <c r="BE339" s="12">
        <v>1636.4000000000015</v>
      </c>
      <c r="BF339" s="12">
        <v>4742.1090997462816</v>
      </c>
    </row>
    <row r="340" spans="1:58" x14ac:dyDescent="0.25">
      <c r="A340" s="7">
        <v>2899</v>
      </c>
      <c r="B340" s="7">
        <v>1</v>
      </c>
      <c r="C340" s="7" t="s">
        <v>341</v>
      </c>
      <c r="D340" s="4">
        <v>5</v>
      </c>
      <c r="E340" s="10">
        <v>1425</v>
      </c>
      <c r="F340" s="8">
        <f t="shared" si="125"/>
        <v>42284.75</v>
      </c>
      <c r="G340" s="8">
        <f t="shared" si="126"/>
        <v>33633.74</v>
      </c>
      <c r="H340" s="8">
        <f t="shared" si="127"/>
        <v>0</v>
      </c>
      <c r="I340" s="8">
        <f t="shared" si="128"/>
        <v>2.255546860396862E-10</v>
      </c>
      <c r="J340" s="8">
        <f t="shared" si="129"/>
        <v>75918.490000000224</v>
      </c>
      <c r="K340" s="8">
        <f t="shared" si="130"/>
        <v>15819.395360765964</v>
      </c>
      <c r="L340" s="8">
        <f t="shared" si="131"/>
        <v>91737.885360766188</v>
      </c>
      <c r="M340" s="8">
        <f t="shared" si="132"/>
        <v>53.27613333333349</v>
      </c>
      <c r="N340" s="8">
        <f t="shared" si="133"/>
        <v>38855</v>
      </c>
      <c r="O340" s="8">
        <f t="shared" si="134"/>
        <v>262</v>
      </c>
      <c r="P340" s="8">
        <f t="shared" si="135"/>
        <v>1033</v>
      </c>
      <c r="Q340" s="8">
        <f t="shared" si="136"/>
        <v>2134.75</v>
      </c>
      <c r="R340" s="8">
        <f t="shared" si="137"/>
        <v>0</v>
      </c>
      <c r="S340" s="8">
        <f t="shared" si="138"/>
        <v>0</v>
      </c>
      <c r="T340" s="8">
        <f t="shared" si="139"/>
        <v>33633.74</v>
      </c>
      <c r="U340" s="8">
        <f t="shared" si="140"/>
        <v>0</v>
      </c>
      <c r="V340" s="8">
        <f t="shared" si="141"/>
        <v>0</v>
      </c>
      <c r="W340" s="8">
        <f t="shared" si="142"/>
        <v>0</v>
      </c>
      <c r="X340" s="8">
        <f t="shared" si="143"/>
        <v>75918.490000000224</v>
      </c>
      <c r="Y340" s="10">
        <v>9023685</v>
      </c>
      <c r="Z340" s="10">
        <v>60800</v>
      </c>
      <c r="AA340" s="10">
        <v>239915</v>
      </c>
      <c r="AB340" s="10">
        <v>424132</v>
      </c>
      <c r="AC340" s="10">
        <v>0</v>
      </c>
      <c r="AD340" s="10">
        <v>0</v>
      </c>
      <c r="AE340" s="10">
        <v>0</v>
      </c>
      <c r="AF340" s="10">
        <v>26538</v>
      </c>
      <c r="AG340" s="10">
        <v>223271</v>
      </c>
      <c r="AH340" s="10">
        <f t="shared" si="144"/>
        <v>914829.25</v>
      </c>
      <c r="AI340" s="10">
        <v>10913170.25</v>
      </c>
      <c r="AJ340" s="10">
        <v>9062540</v>
      </c>
      <c r="AK340" s="10">
        <v>61062</v>
      </c>
      <c r="AL340" s="10">
        <v>240948</v>
      </c>
      <c r="AM340" s="10">
        <v>426266.75</v>
      </c>
      <c r="AN340" s="10">
        <v>0</v>
      </c>
      <c r="AO340" s="10">
        <v>0</v>
      </c>
      <c r="AP340" s="10">
        <v>33633.74</v>
      </c>
      <c r="AQ340" s="10">
        <v>26538</v>
      </c>
      <c r="AR340" s="10">
        <v>223271</v>
      </c>
      <c r="AS340" s="10">
        <f t="shared" si="124"/>
        <v>914829.25</v>
      </c>
      <c r="AT340" s="10">
        <v>10989088.74</v>
      </c>
      <c r="AU340" s="12">
        <v>71400</v>
      </c>
      <c r="AV340" s="12">
        <v>15452.216420966262</v>
      </c>
      <c r="AW340" s="12">
        <v>17612.125</v>
      </c>
      <c r="AX340" s="12">
        <f t="shared" si="145"/>
        <v>104464.34142096626</v>
      </c>
      <c r="AY340" s="12">
        <v>79797.235000000001</v>
      </c>
      <c r="AZ340" s="12">
        <v>18513.576781732238</v>
      </c>
      <c r="BA340" s="12">
        <v>21972.924999999999</v>
      </c>
      <c r="BB340" s="12">
        <f t="shared" si="146"/>
        <v>120283.73678173224</v>
      </c>
      <c r="BC340" s="12">
        <v>8397.2350000000006</v>
      </c>
      <c r="BD340" s="12">
        <v>3061.3603607659752</v>
      </c>
      <c r="BE340" s="12">
        <v>4360.7999999999884</v>
      </c>
      <c r="BF340" s="12">
        <v>15819.395360765964</v>
      </c>
    </row>
    <row r="341" spans="1:58" x14ac:dyDescent="0.25">
      <c r="A341" s="7">
        <v>2902</v>
      </c>
      <c r="B341" s="7">
        <v>1</v>
      </c>
      <c r="C341" s="7" t="s">
        <v>342</v>
      </c>
      <c r="D341" s="4">
        <v>6</v>
      </c>
      <c r="E341" s="10">
        <v>551</v>
      </c>
      <c r="F341" s="8">
        <f t="shared" si="125"/>
        <v>18485</v>
      </c>
      <c r="G341" s="8">
        <f t="shared" si="126"/>
        <v>14070.179999999998</v>
      </c>
      <c r="H341" s="8">
        <f t="shared" si="127"/>
        <v>0</v>
      </c>
      <c r="I341" s="8">
        <f t="shared" si="128"/>
        <v>7.9999999997035047</v>
      </c>
      <c r="J341" s="8">
        <f t="shared" si="129"/>
        <v>32563.179999999702</v>
      </c>
      <c r="K341" s="8">
        <f t="shared" si="130"/>
        <v>8985.711887971067</v>
      </c>
      <c r="L341" s="8">
        <f t="shared" si="131"/>
        <v>41548.891887970771</v>
      </c>
      <c r="M341" s="8">
        <f t="shared" si="132"/>
        <v>59.098330308529405</v>
      </c>
      <c r="N341" s="8">
        <f t="shared" si="133"/>
        <v>14427</v>
      </c>
      <c r="O341" s="8">
        <f t="shared" si="134"/>
        <v>0</v>
      </c>
      <c r="P341" s="8">
        <f t="shared" si="135"/>
        <v>732</v>
      </c>
      <c r="Q341" s="8">
        <f t="shared" si="136"/>
        <v>1032</v>
      </c>
      <c r="R341" s="8">
        <f t="shared" si="137"/>
        <v>2294</v>
      </c>
      <c r="S341" s="8">
        <f t="shared" si="138"/>
        <v>0</v>
      </c>
      <c r="T341" s="8">
        <f t="shared" si="139"/>
        <v>14070.179999999998</v>
      </c>
      <c r="U341" s="8">
        <f t="shared" si="140"/>
        <v>0</v>
      </c>
      <c r="V341" s="8">
        <f t="shared" si="141"/>
        <v>8</v>
      </c>
      <c r="W341" s="8">
        <f t="shared" si="142"/>
        <v>0</v>
      </c>
      <c r="X341" s="8">
        <f t="shared" si="143"/>
        <v>32563.179999999702</v>
      </c>
      <c r="Y341" s="10">
        <v>3350643</v>
      </c>
      <c r="Z341" s="10">
        <v>0</v>
      </c>
      <c r="AA341" s="10">
        <v>169994</v>
      </c>
      <c r="AB341" s="10">
        <v>205038</v>
      </c>
      <c r="AC341" s="10">
        <v>484164</v>
      </c>
      <c r="AD341" s="10">
        <v>125217</v>
      </c>
      <c r="AE341" s="10">
        <v>0</v>
      </c>
      <c r="AF341" s="10">
        <v>15670</v>
      </c>
      <c r="AG341" s="10">
        <v>70869</v>
      </c>
      <c r="AH341" s="10">
        <f t="shared" si="144"/>
        <v>671631.3200000003</v>
      </c>
      <c r="AI341" s="10">
        <v>5093226.32</v>
      </c>
      <c r="AJ341" s="10">
        <v>3365070</v>
      </c>
      <c r="AK341" s="10">
        <v>0</v>
      </c>
      <c r="AL341" s="10">
        <v>170726</v>
      </c>
      <c r="AM341" s="10">
        <v>206070</v>
      </c>
      <c r="AN341" s="10">
        <v>486458</v>
      </c>
      <c r="AO341" s="10">
        <v>125217</v>
      </c>
      <c r="AP341" s="10">
        <v>14070.179999999998</v>
      </c>
      <c r="AQ341" s="10">
        <v>15670</v>
      </c>
      <c r="AR341" s="10">
        <v>70877</v>
      </c>
      <c r="AS341" s="10">
        <f t="shared" si="124"/>
        <v>671631.3200000003</v>
      </c>
      <c r="AT341" s="10">
        <v>5125789.5</v>
      </c>
      <c r="AU341" s="12">
        <v>19320</v>
      </c>
      <c r="AV341" s="12">
        <v>7280.1045870339749</v>
      </c>
      <c r="AW341" s="12">
        <v>10936.625</v>
      </c>
      <c r="AX341" s="12">
        <f t="shared" si="145"/>
        <v>37536.729587033973</v>
      </c>
      <c r="AY341" s="12">
        <v>21592.192999999999</v>
      </c>
      <c r="AZ341" s="12">
        <v>8722.4234750050455</v>
      </c>
      <c r="BA341" s="12">
        <v>16207.825000000001</v>
      </c>
      <c r="BB341" s="12">
        <f t="shared" si="146"/>
        <v>46522.441475005049</v>
      </c>
      <c r="BC341" s="12">
        <v>2272.1929999999993</v>
      </c>
      <c r="BD341" s="12">
        <v>1442.3188879710706</v>
      </c>
      <c r="BE341" s="12">
        <v>5271.1999999999971</v>
      </c>
      <c r="BF341" s="12">
        <v>8985.711887971067</v>
      </c>
    </row>
    <row r="342" spans="1:58" x14ac:dyDescent="0.25">
      <c r="A342" s="7">
        <v>2903</v>
      </c>
      <c r="B342" s="7">
        <v>1</v>
      </c>
      <c r="C342" s="7" t="s">
        <v>343</v>
      </c>
      <c r="D342" s="4">
        <v>6</v>
      </c>
      <c r="E342" s="10">
        <v>480</v>
      </c>
      <c r="F342" s="8">
        <f t="shared" si="125"/>
        <v>16606</v>
      </c>
      <c r="G342" s="8">
        <f t="shared" si="126"/>
        <v>13904.08</v>
      </c>
      <c r="H342" s="8">
        <f t="shared" si="127"/>
        <v>0</v>
      </c>
      <c r="I342" s="8">
        <f t="shared" si="128"/>
        <v>14.000000000074579</v>
      </c>
      <c r="J342" s="8">
        <f t="shared" si="129"/>
        <v>30524.080000000075</v>
      </c>
      <c r="K342" s="8">
        <f t="shared" si="130"/>
        <v>7789.9536761593572</v>
      </c>
      <c r="L342" s="8">
        <f t="shared" si="131"/>
        <v>38314.03367615943</v>
      </c>
      <c r="M342" s="8">
        <f t="shared" si="132"/>
        <v>63.59183333333349</v>
      </c>
      <c r="N342" s="8">
        <f t="shared" si="133"/>
        <v>13125</v>
      </c>
      <c r="O342" s="8">
        <f t="shared" si="134"/>
        <v>81</v>
      </c>
      <c r="P342" s="8">
        <f t="shared" si="135"/>
        <v>667</v>
      </c>
      <c r="Q342" s="8">
        <f t="shared" si="136"/>
        <v>1157</v>
      </c>
      <c r="R342" s="8">
        <f t="shared" si="137"/>
        <v>1576</v>
      </c>
      <c r="S342" s="8">
        <f t="shared" si="138"/>
        <v>0</v>
      </c>
      <c r="T342" s="8">
        <f t="shared" si="139"/>
        <v>13904.08</v>
      </c>
      <c r="U342" s="8">
        <f t="shared" si="140"/>
        <v>0</v>
      </c>
      <c r="V342" s="8">
        <f t="shared" si="141"/>
        <v>14</v>
      </c>
      <c r="W342" s="8">
        <f t="shared" si="142"/>
        <v>0</v>
      </c>
      <c r="X342" s="8">
        <f t="shared" si="143"/>
        <v>30524.080000000075</v>
      </c>
      <c r="Y342" s="10">
        <v>3048150</v>
      </c>
      <c r="Z342" s="10">
        <v>18858</v>
      </c>
      <c r="AA342" s="10">
        <v>155018</v>
      </c>
      <c r="AB342" s="10">
        <v>229873</v>
      </c>
      <c r="AC342" s="10">
        <v>332490</v>
      </c>
      <c r="AD342" s="10">
        <v>129413</v>
      </c>
      <c r="AE342" s="10">
        <v>0</v>
      </c>
      <c r="AF342" s="10">
        <v>0</v>
      </c>
      <c r="AG342" s="10">
        <v>55284</v>
      </c>
      <c r="AH342" s="10">
        <f t="shared" si="144"/>
        <v>741003.73000000045</v>
      </c>
      <c r="AI342" s="10">
        <v>4710089.7300000004</v>
      </c>
      <c r="AJ342" s="10">
        <v>3061275</v>
      </c>
      <c r="AK342" s="10">
        <v>18939</v>
      </c>
      <c r="AL342" s="10">
        <v>155685</v>
      </c>
      <c r="AM342" s="10">
        <v>231030</v>
      </c>
      <c r="AN342" s="10">
        <v>334066</v>
      </c>
      <c r="AO342" s="10">
        <v>129413</v>
      </c>
      <c r="AP342" s="10">
        <v>13904.08</v>
      </c>
      <c r="AQ342" s="10">
        <v>0</v>
      </c>
      <c r="AR342" s="10">
        <v>55298</v>
      </c>
      <c r="AS342" s="10">
        <f t="shared" si="124"/>
        <v>741003.73000000045</v>
      </c>
      <c r="AT342" s="10">
        <v>4740613.8100000005</v>
      </c>
      <c r="AU342" s="12">
        <v>20400</v>
      </c>
      <c r="AV342" s="12">
        <v>5697.3337054143585</v>
      </c>
      <c r="AW342" s="12">
        <v>7496.875</v>
      </c>
      <c r="AX342" s="12">
        <f t="shared" si="145"/>
        <v>33594.208705414363</v>
      </c>
      <c r="AY342" s="12">
        <v>22799.21</v>
      </c>
      <c r="AZ342" s="12">
        <v>6826.0773815737166</v>
      </c>
      <c r="BA342" s="12">
        <v>11758.875</v>
      </c>
      <c r="BB342" s="12">
        <f t="shared" si="146"/>
        <v>41384.162381573711</v>
      </c>
      <c r="BC342" s="12">
        <v>2399.2099999999991</v>
      </c>
      <c r="BD342" s="12">
        <v>1128.7436761593581</v>
      </c>
      <c r="BE342" s="12">
        <v>4262</v>
      </c>
      <c r="BF342" s="12">
        <v>7789.9536761593572</v>
      </c>
    </row>
    <row r="343" spans="1:58" x14ac:dyDescent="0.25">
      <c r="A343" s="7">
        <v>2904</v>
      </c>
      <c r="B343" s="7">
        <v>1</v>
      </c>
      <c r="C343" s="7" t="s">
        <v>344</v>
      </c>
      <c r="D343" s="4">
        <v>6</v>
      </c>
      <c r="E343" s="10">
        <v>735</v>
      </c>
      <c r="F343" s="8">
        <f t="shared" si="125"/>
        <v>24868.5</v>
      </c>
      <c r="G343" s="8">
        <f t="shared" si="126"/>
        <v>19620.939999999999</v>
      </c>
      <c r="H343" s="8">
        <f t="shared" si="127"/>
        <v>8813</v>
      </c>
      <c r="I343" s="8">
        <f t="shared" si="128"/>
        <v>-14.999999999588908</v>
      </c>
      <c r="J343" s="8">
        <f t="shared" si="129"/>
        <v>53287.44000000041</v>
      </c>
      <c r="K343" s="8">
        <f t="shared" si="130"/>
        <v>7504.004487823946</v>
      </c>
      <c r="L343" s="8">
        <f t="shared" si="131"/>
        <v>60791.444487824352</v>
      </c>
      <c r="M343" s="8">
        <f t="shared" si="132"/>
        <v>72.49991836734749</v>
      </c>
      <c r="N343" s="8">
        <f t="shared" si="133"/>
        <v>20250</v>
      </c>
      <c r="O343" s="8">
        <f t="shared" si="134"/>
        <v>57</v>
      </c>
      <c r="P343" s="8">
        <f t="shared" si="135"/>
        <v>900</v>
      </c>
      <c r="Q343" s="8">
        <f t="shared" si="136"/>
        <v>3345.5</v>
      </c>
      <c r="R343" s="8">
        <f t="shared" si="137"/>
        <v>316</v>
      </c>
      <c r="S343" s="8">
        <f t="shared" si="138"/>
        <v>0</v>
      </c>
      <c r="T343" s="8">
        <f t="shared" si="139"/>
        <v>19620.939999999999</v>
      </c>
      <c r="U343" s="8">
        <f t="shared" si="140"/>
        <v>8813</v>
      </c>
      <c r="V343" s="8">
        <f t="shared" si="141"/>
        <v>17</v>
      </c>
      <c r="W343" s="8">
        <f t="shared" si="142"/>
        <v>-32</v>
      </c>
      <c r="X343" s="8">
        <f t="shared" si="143"/>
        <v>53287.44000000041</v>
      </c>
      <c r="Y343" s="10">
        <v>4702860</v>
      </c>
      <c r="Z343" s="10">
        <v>13331</v>
      </c>
      <c r="AA343" s="10">
        <v>209077</v>
      </c>
      <c r="AB343" s="10">
        <v>664684</v>
      </c>
      <c r="AC343" s="10">
        <v>66702</v>
      </c>
      <c r="AD343" s="10">
        <v>68850</v>
      </c>
      <c r="AE343" s="10">
        <v>0</v>
      </c>
      <c r="AF343" s="10">
        <v>34788</v>
      </c>
      <c r="AG343" s="10">
        <v>91837</v>
      </c>
      <c r="AH343" s="10">
        <f t="shared" si="144"/>
        <v>1048292.3899999997</v>
      </c>
      <c r="AI343" s="10">
        <v>6900421.3899999997</v>
      </c>
      <c r="AJ343" s="10">
        <v>4723110</v>
      </c>
      <c r="AK343" s="10">
        <v>13388</v>
      </c>
      <c r="AL343" s="10">
        <v>209977</v>
      </c>
      <c r="AM343" s="10">
        <v>668029.5</v>
      </c>
      <c r="AN343" s="10">
        <v>67018</v>
      </c>
      <c r="AO343" s="10">
        <v>68850</v>
      </c>
      <c r="AP343" s="10">
        <v>19620.939999999999</v>
      </c>
      <c r="AQ343" s="10">
        <v>43601</v>
      </c>
      <c r="AR343" s="10">
        <v>91854</v>
      </c>
      <c r="AS343" s="10">
        <f t="shared" si="124"/>
        <v>1048260.3899999997</v>
      </c>
      <c r="AT343" s="10">
        <v>6953708.8300000001</v>
      </c>
      <c r="AU343" s="12">
        <v>0</v>
      </c>
      <c r="AV343" s="12">
        <v>10755.235652291387</v>
      </c>
      <c r="AW343" s="12">
        <v>13306.375</v>
      </c>
      <c r="AX343" s="12">
        <f t="shared" si="145"/>
        <v>24061.610652291387</v>
      </c>
      <c r="AY343" s="12">
        <v>0</v>
      </c>
      <c r="AZ343" s="12">
        <v>12886.040140115336</v>
      </c>
      <c r="BA343" s="12">
        <v>18679.575000000001</v>
      </c>
      <c r="BB343" s="12">
        <f t="shared" si="146"/>
        <v>31565.615140115337</v>
      </c>
      <c r="BC343" s="12">
        <v>0</v>
      </c>
      <c r="BD343" s="12">
        <v>2130.8044878239489</v>
      </c>
      <c r="BE343" s="12">
        <v>5373.1999999999971</v>
      </c>
      <c r="BF343" s="12">
        <v>7504.004487823946</v>
      </c>
    </row>
    <row r="344" spans="1:58" x14ac:dyDescent="0.25">
      <c r="A344" s="7">
        <v>2905</v>
      </c>
      <c r="B344" s="7">
        <v>1</v>
      </c>
      <c r="C344" s="7" t="s">
        <v>345</v>
      </c>
      <c r="D344" s="4">
        <v>5</v>
      </c>
      <c r="E344" s="10">
        <v>1886</v>
      </c>
      <c r="F344" s="8">
        <f t="shared" si="125"/>
        <v>55613.25</v>
      </c>
      <c r="G344" s="8">
        <f t="shared" si="126"/>
        <v>0</v>
      </c>
      <c r="H344" s="8">
        <f t="shared" si="127"/>
        <v>6571</v>
      </c>
      <c r="I344" s="8">
        <f t="shared" si="128"/>
        <v>-17</v>
      </c>
      <c r="J344" s="8">
        <f t="shared" si="129"/>
        <v>62167.25</v>
      </c>
      <c r="K344" s="8">
        <f t="shared" si="130"/>
        <v>26300.400511843472</v>
      </c>
      <c r="L344" s="8">
        <f t="shared" si="131"/>
        <v>88467.650511843472</v>
      </c>
      <c r="M344" s="8">
        <f t="shared" si="132"/>
        <v>32.96248674443266</v>
      </c>
      <c r="N344" s="8">
        <f t="shared" si="133"/>
        <v>51145</v>
      </c>
      <c r="O344" s="8">
        <f t="shared" si="134"/>
        <v>0</v>
      </c>
      <c r="P344" s="8">
        <f t="shared" si="135"/>
        <v>1099</v>
      </c>
      <c r="Q344" s="8">
        <f t="shared" si="136"/>
        <v>3369.25</v>
      </c>
      <c r="R344" s="8">
        <f t="shared" si="137"/>
        <v>0</v>
      </c>
      <c r="S344" s="8">
        <f t="shared" si="138"/>
        <v>0</v>
      </c>
      <c r="T344" s="8">
        <f t="shared" si="139"/>
        <v>0</v>
      </c>
      <c r="U344" s="8">
        <f t="shared" si="140"/>
        <v>6571</v>
      </c>
      <c r="V344" s="8">
        <f t="shared" si="141"/>
        <v>15</v>
      </c>
      <c r="W344" s="8">
        <f t="shared" si="142"/>
        <v>-32</v>
      </c>
      <c r="X344" s="8">
        <f t="shared" si="143"/>
        <v>62167.25</v>
      </c>
      <c r="Y344" s="10">
        <v>11877915</v>
      </c>
      <c r="Z344" s="10">
        <v>0</v>
      </c>
      <c r="AA344" s="10">
        <v>255208</v>
      </c>
      <c r="AB344" s="10">
        <v>669403</v>
      </c>
      <c r="AC344" s="10">
        <v>0</v>
      </c>
      <c r="AD344" s="10">
        <v>0</v>
      </c>
      <c r="AE344" s="10">
        <v>486460</v>
      </c>
      <c r="AF344" s="10">
        <v>78451</v>
      </c>
      <c r="AG344" s="10">
        <v>273133</v>
      </c>
      <c r="AH344" s="10">
        <f t="shared" si="144"/>
        <v>1611341.5600000005</v>
      </c>
      <c r="AI344" s="10">
        <v>15251911.560000001</v>
      </c>
      <c r="AJ344" s="10">
        <v>11929060</v>
      </c>
      <c r="AK344" s="10">
        <v>0</v>
      </c>
      <c r="AL344" s="10">
        <v>256307</v>
      </c>
      <c r="AM344" s="10">
        <v>672772.25</v>
      </c>
      <c r="AN344" s="10">
        <v>0</v>
      </c>
      <c r="AO344" s="10">
        <v>0</v>
      </c>
      <c r="AP344" s="10">
        <v>486460</v>
      </c>
      <c r="AQ344" s="10">
        <v>85022</v>
      </c>
      <c r="AR344" s="10">
        <v>273148</v>
      </c>
      <c r="AS344" s="10">
        <f t="shared" si="124"/>
        <v>1611309.5600000005</v>
      </c>
      <c r="AT344" s="10">
        <v>15314078.810000001</v>
      </c>
      <c r="AU344" s="12">
        <v>107280</v>
      </c>
      <c r="AV344" s="12">
        <v>23724.151038529882</v>
      </c>
      <c r="AW344" s="12">
        <v>27459.375</v>
      </c>
      <c r="AX344" s="12">
        <f t="shared" si="145"/>
        <v>158463.52603852988</v>
      </c>
      <c r="AY344" s="12">
        <v>119897.022</v>
      </c>
      <c r="AZ344" s="12">
        <v>28424.329550373346</v>
      </c>
      <c r="BA344" s="12">
        <v>36442.574999999997</v>
      </c>
      <c r="BB344" s="12">
        <f t="shared" si="146"/>
        <v>184763.92655037332</v>
      </c>
      <c r="BC344" s="12">
        <v>12617.021999999997</v>
      </c>
      <c r="BD344" s="12">
        <v>4700.1785118434636</v>
      </c>
      <c r="BE344" s="12">
        <v>8983.2000000000116</v>
      </c>
      <c r="BF344" s="12">
        <v>26300.400511843472</v>
      </c>
    </row>
    <row r="345" spans="1:58" x14ac:dyDescent="0.25">
      <c r="A345" s="7">
        <v>2906</v>
      </c>
      <c r="B345" s="7">
        <v>1</v>
      </c>
      <c r="C345" s="7" t="s">
        <v>346</v>
      </c>
      <c r="D345" s="4">
        <v>6</v>
      </c>
      <c r="E345" s="10">
        <v>374</v>
      </c>
      <c r="F345" s="8">
        <f t="shared" si="125"/>
        <v>11988.25</v>
      </c>
      <c r="G345" s="8">
        <f t="shared" si="126"/>
        <v>12593.400000000001</v>
      </c>
      <c r="H345" s="8">
        <f t="shared" si="127"/>
        <v>0</v>
      </c>
      <c r="I345" s="8">
        <f t="shared" si="128"/>
        <v>9.9999999999054126</v>
      </c>
      <c r="J345" s="8">
        <f t="shared" si="129"/>
        <v>24591.649999999907</v>
      </c>
      <c r="K345" s="8">
        <f t="shared" si="130"/>
        <v>7031.0040321075667</v>
      </c>
      <c r="L345" s="8">
        <f t="shared" si="131"/>
        <v>31622.654032107472</v>
      </c>
      <c r="M345" s="8">
        <f t="shared" si="132"/>
        <v>65.753074866309916</v>
      </c>
      <c r="N345" s="8">
        <f t="shared" si="133"/>
        <v>10150</v>
      </c>
      <c r="O345" s="8">
        <f t="shared" si="134"/>
        <v>0</v>
      </c>
      <c r="P345" s="8">
        <f t="shared" si="135"/>
        <v>658</v>
      </c>
      <c r="Q345" s="8">
        <f t="shared" si="136"/>
        <v>1180.25</v>
      </c>
      <c r="R345" s="8">
        <f t="shared" si="137"/>
        <v>0</v>
      </c>
      <c r="S345" s="8">
        <f t="shared" si="138"/>
        <v>0</v>
      </c>
      <c r="T345" s="8">
        <f t="shared" si="139"/>
        <v>12593.400000000001</v>
      </c>
      <c r="U345" s="8">
        <f t="shared" si="140"/>
        <v>0</v>
      </c>
      <c r="V345" s="8">
        <f t="shared" si="141"/>
        <v>10</v>
      </c>
      <c r="W345" s="8">
        <f t="shared" si="142"/>
        <v>0</v>
      </c>
      <c r="X345" s="8">
        <f t="shared" si="143"/>
        <v>24591.649999999907</v>
      </c>
      <c r="Y345" s="10">
        <v>2357236</v>
      </c>
      <c r="Z345" s="10">
        <v>0</v>
      </c>
      <c r="AA345" s="10">
        <v>152645</v>
      </c>
      <c r="AB345" s="10">
        <v>234492</v>
      </c>
      <c r="AC345" s="10">
        <v>0</v>
      </c>
      <c r="AD345" s="10">
        <v>127457</v>
      </c>
      <c r="AE345" s="10">
        <v>0</v>
      </c>
      <c r="AF345" s="10">
        <v>16453</v>
      </c>
      <c r="AG345" s="10">
        <v>43851</v>
      </c>
      <c r="AH345" s="10">
        <f t="shared" si="144"/>
        <v>553559.14000000013</v>
      </c>
      <c r="AI345" s="10">
        <v>3485693.14</v>
      </c>
      <c r="AJ345" s="10">
        <v>2367386</v>
      </c>
      <c r="AK345" s="10">
        <v>0</v>
      </c>
      <c r="AL345" s="10">
        <v>153303</v>
      </c>
      <c r="AM345" s="10">
        <v>235672.25</v>
      </c>
      <c r="AN345" s="10">
        <v>0</v>
      </c>
      <c r="AO345" s="10">
        <v>127457</v>
      </c>
      <c r="AP345" s="10">
        <v>12593.400000000001</v>
      </c>
      <c r="AQ345" s="10">
        <v>16453</v>
      </c>
      <c r="AR345" s="10">
        <v>43861</v>
      </c>
      <c r="AS345" s="10">
        <f t="shared" si="124"/>
        <v>553559.14000000013</v>
      </c>
      <c r="AT345" s="10">
        <v>3510284.79</v>
      </c>
      <c r="AU345" s="12">
        <v>18000</v>
      </c>
      <c r="AV345" s="12">
        <v>4569.2697270629269</v>
      </c>
      <c r="AW345" s="12">
        <v>6920.25</v>
      </c>
      <c r="AX345" s="12">
        <f t="shared" si="145"/>
        <v>29489.519727062929</v>
      </c>
      <c r="AY345" s="12">
        <v>20116.95</v>
      </c>
      <c r="AZ345" s="12">
        <v>5474.5237591704899</v>
      </c>
      <c r="BA345" s="12">
        <v>10929.05</v>
      </c>
      <c r="BB345" s="12">
        <f t="shared" si="146"/>
        <v>36520.523759170494</v>
      </c>
      <c r="BC345" s="12">
        <v>2116.9500000000007</v>
      </c>
      <c r="BD345" s="12">
        <v>905.25403210756303</v>
      </c>
      <c r="BE345" s="12">
        <v>4008.8000000000029</v>
      </c>
      <c r="BF345" s="12">
        <v>7031.0040321075667</v>
      </c>
    </row>
    <row r="346" spans="1:58" x14ac:dyDescent="0.25">
      <c r="A346" s="7">
        <v>2907</v>
      </c>
      <c r="B346" s="7">
        <v>1</v>
      </c>
      <c r="C346" s="7" t="s">
        <v>347</v>
      </c>
      <c r="D346" s="4">
        <v>6</v>
      </c>
      <c r="E346" s="10">
        <v>262</v>
      </c>
      <c r="F346" s="8">
        <f t="shared" si="125"/>
        <v>8796.25</v>
      </c>
      <c r="G346" s="8">
        <f t="shared" si="126"/>
        <v>5970.54</v>
      </c>
      <c r="H346" s="8">
        <f t="shared" si="127"/>
        <v>7661</v>
      </c>
      <c r="I346" s="8">
        <f t="shared" si="128"/>
        <v>12.000000000037289</v>
      </c>
      <c r="J346" s="8">
        <f t="shared" si="129"/>
        <v>22439.790000000037</v>
      </c>
      <c r="K346" s="8">
        <f t="shared" si="130"/>
        <v>4861.4182870164259</v>
      </c>
      <c r="L346" s="8">
        <f t="shared" si="131"/>
        <v>27301.208287016463</v>
      </c>
      <c r="M346" s="8">
        <f t="shared" si="132"/>
        <v>85.648053435114647</v>
      </c>
      <c r="N346" s="8">
        <f t="shared" si="133"/>
        <v>7130</v>
      </c>
      <c r="O346" s="8">
        <f t="shared" si="134"/>
        <v>0</v>
      </c>
      <c r="P346" s="8">
        <f t="shared" si="135"/>
        <v>349</v>
      </c>
      <c r="Q346" s="8">
        <f t="shared" si="136"/>
        <v>1317.25</v>
      </c>
      <c r="R346" s="8">
        <f t="shared" si="137"/>
        <v>0</v>
      </c>
      <c r="S346" s="8">
        <f t="shared" si="138"/>
        <v>0</v>
      </c>
      <c r="T346" s="8">
        <f t="shared" si="139"/>
        <v>5970.54</v>
      </c>
      <c r="U346" s="8">
        <f t="shared" si="140"/>
        <v>7661</v>
      </c>
      <c r="V346" s="8">
        <f t="shared" si="141"/>
        <v>12</v>
      </c>
      <c r="W346" s="8">
        <f t="shared" si="142"/>
        <v>0</v>
      </c>
      <c r="X346" s="8">
        <f t="shared" si="143"/>
        <v>22439.790000000037</v>
      </c>
      <c r="Y346" s="10">
        <v>1655871</v>
      </c>
      <c r="Z346" s="10">
        <v>0</v>
      </c>
      <c r="AA346" s="10">
        <v>81031</v>
      </c>
      <c r="AB346" s="10">
        <v>261711</v>
      </c>
      <c r="AC346" s="10">
        <v>0</v>
      </c>
      <c r="AD346" s="10">
        <v>109057</v>
      </c>
      <c r="AE346" s="10">
        <v>0</v>
      </c>
      <c r="AF346" s="10">
        <v>42930</v>
      </c>
      <c r="AG346" s="10">
        <v>24395</v>
      </c>
      <c r="AH346" s="10">
        <f t="shared" si="144"/>
        <v>528543.87000000011</v>
      </c>
      <c r="AI346" s="10">
        <v>2703538.87</v>
      </c>
      <c r="AJ346" s="10">
        <v>1663001</v>
      </c>
      <c r="AK346" s="10">
        <v>0</v>
      </c>
      <c r="AL346" s="10">
        <v>81380</v>
      </c>
      <c r="AM346" s="10">
        <v>263028.25</v>
      </c>
      <c r="AN346" s="10">
        <v>0</v>
      </c>
      <c r="AO346" s="10">
        <v>109057</v>
      </c>
      <c r="AP346" s="10">
        <v>5970.54</v>
      </c>
      <c r="AQ346" s="10">
        <v>50591</v>
      </c>
      <c r="AR346" s="10">
        <v>24407</v>
      </c>
      <c r="AS346" s="10">
        <f t="shared" si="124"/>
        <v>528543.87000000011</v>
      </c>
      <c r="AT346" s="10">
        <v>2725978.66</v>
      </c>
      <c r="AU346" s="12">
        <v>18000</v>
      </c>
      <c r="AV346" s="12">
        <v>2344.4036787154059</v>
      </c>
      <c r="AW346" s="12">
        <v>4797</v>
      </c>
      <c r="AX346" s="12">
        <f t="shared" si="145"/>
        <v>25141.403678715407</v>
      </c>
      <c r="AY346" s="12">
        <v>20116.95</v>
      </c>
      <c r="AZ346" s="12">
        <v>2808.8719657318311</v>
      </c>
      <c r="BA346" s="12">
        <v>7077</v>
      </c>
      <c r="BB346" s="12">
        <f t="shared" si="146"/>
        <v>30002.821965731833</v>
      </c>
      <c r="BC346" s="12">
        <v>2116.9500000000007</v>
      </c>
      <c r="BD346" s="12">
        <v>464.46828701642517</v>
      </c>
      <c r="BE346" s="12">
        <v>2280</v>
      </c>
      <c r="BF346" s="12">
        <v>4861.4182870164259</v>
      </c>
    </row>
    <row r="347" spans="1:58" x14ac:dyDescent="0.25">
      <c r="A347" s="7">
        <v>2908</v>
      </c>
      <c r="B347" s="7">
        <v>1</v>
      </c>
      <c r="C347" s="7" t="s">
        <v>348</v>
      </c>
      <c r="D347" s="4">
        <v>6</v>
      </c>
      <c r="E347" s="10">
        <v>458</v>
      </c>
      <c r="F347" s="8">
        <f t="shared" si="125"/>
        <v>13895.5</v>
      </c>
      <c r="G347" s="8">
        <f t="shared" si="126"/>
        <v>0</v>
      </c>
      <c r="H347" s="8">
        <f t="shared" si="127"/>
        <v>16048</v>
      </c>
      <c r="I347" s="8">
        <f t="shared" si="128"/>
        <v>13.000000000465661</v>
      </c>
      <c r="J347" s="8">
        <f t="shared" si="129"/>
        <v>29956.500000000466</v>
      </c>
      <c r="K347" s="8">
        <f t="shared" si="130"/>
        <v>7950.4838036356932</v>
      </c>
      <c r="L347" s="8">
        <f t="shared" si="131"/>
        <v>37906.983803636162</v>
      </c>
      <c r="M347" s="8">
        <f t="shared" si="132"/>
        <v>65.407205240175685</v>
      </c>
      <c r="N347" s="8">
        <f t="shared" si="133"/>
        <v>12380</v>
      </c>
      <c r="O347" s="8">
        <f t="shared" si="134"/>
        <v>0</v>
      </c>
      <c r="P347" s="8">
        <f t="shared" si="135"/>
        <v>537</v>
      </c>
      <c r="Q347" s="8">
        <f t="shared" si="136"/>
        <v>978.5</v>
      </c>
      <c r="R347" s="8">
        <f t="shared" si="137"/>
        <v>0</v>
      </c>
      <c r="S347" s="8">
        <f t="shared" si="138"/>
        <v>0</v>
      </c>
      <c r="T347" s="8">
        <f t="shared" si="139"/>
        <v>0</v>
      </c>
      <c r="U347" s="8">
        <f t="shared" si="140"/>
        <v>16048</v>
      </c>
      <c r="V347" s="8">
        <f t="shared" si="141"/>
        <v>13</v>
      </c>
      <c r="W347" s="8">
        <f t="shared" si="142"/>
        <v>0</v>
      </c>
      <c r="X347" s="8">
        <f t="shared" si="143"/>
        <v>29956.500000000466</v>
      </c>
      <c r="Y347" s="10">
        <v>2875131</v>
      </c>
      <c r="Z347" s="10">
        <v>0</v>
      </c>
      <c r="AA347" s="10">
        <v>124516</v>
      </c>
      <c r="AB347" s="10">
        <v>194408</v>
      </c>
      <c r="AC347" s="10">
        <v>0</v>
      </c>
      <c r="AD347" s="10">
        <v>130429</v>
      </c>
      <c r="AE347" s="10">
        <v>116220</v>
      </c>
      <c r="AF347" s="10">
        <v>0</v>
      </c>
      <c r="AG347" s="10">
        <v>52553</v>
      </c>
      <c r="AH347" s="10">
        <f t="shared" si="144"/>
        <v>693638.7799999998</v>
      </c>
      <c r="AI347" s="10">
        <v>4186895.78</v>
      </c>
      <c r="AJ347" s="10">
        <v>2887511</v>
      </c>
      <c r="AK347" s="10">
        <v>0</v>
      </c>
      <c r="AL347" s="10">
        <v>125053</v>
      </c>
      <c r="AM347" s="10">
        <v>195386.5</v>
      </c>
      <c r="AN347" s="10">
        <v>0</v>
      </c>
      <c r="AO347" s="10">
        <v>130429</v>
      </c>
      <c r="AP347" s="10">
        <v>116220</v>
      </c>
      <c r="AQ347" s="10">
        <v>16048</v>
      </c>
      <c r="AR347" s="10">
        <v>52566</v>
      </c>
      <c r="AS347" s="10">
        <f t="shared" si="124"/>
        <v>693638.78000000026</v>
      </c>
      <c r="AT347" s="10">
        <v>4216852.28</v>
      </c>
      <c r="AU347" s="12">
        <v>24480</v>
      </c>
      <c r="AV347" s="12">
        <v>6908.1690288511445</v>
      </c>
      <c r="AW347" s="12">
        <v>7953.625</v>
      </c>
      <c r="AX347" s="12">
        <f t="shared" si="145"/>
        <v>39341.794028851145</v>
      </c>
      <c r="AY347" s="12">
        <v>27359.052</v>
      </c>
      <c r="AZ347" s="12">
        <v>8276.8008324868351</v>
      </c>
      <c r="BA347" s="12">
        <v>11656.424999999999</v>
      </c>
      <c r="BB347" s="12">
        <f t="shared" si="146"/>
        <v>47292.277832486841</v>
      </c>
      <c r="BC347" s="12">
        <v>2879.0519999999997</v>
      </c>
      <c r="BD347" s="12">
        <v>1368.6318036356906</v>
      </c>
      <c r="BE347" s="12">
        <v>3702.8000000000029</v>
      </c>
      <c r="BF347" s="12">
        <v>7950.4838036356932</v>
      </c>
    </row>
    <row r="348" spans="1:58" x14ac:dyDescent="0.25">
      <c r="A348" s="7">
        <v>3000</v>
      </c>
      <c r="B348" s="7">
        <v>1</v>
      </c>
      <c r="C348" s="7" t="s">
        <v>349</v>
      </c>
      <c r="D348" s="4">
        <v>0</v>
      </c>
      <c r="E348" s="10">
        <v>0</v>
      </c>
      <c r="F348" s="8">
        <f t="shared" si="125"/>
        <v>-234526</v>
      </c>
      <c r="G348" s="8">
        <f t="shared" si="126"/>
        <v>0</v>
      </c>
      <c r="H348" s="8">
        <f t="shared" si="127"/>
        <v>-1079</v>
      </c>
      <c r="I348" s="8">
        <f t="shared" si="128"/>
        <v>-4079</v>
      </c>
      <c r="J348" s="8">
        <f t="shared" si="129"/>
        <v>-239684</v>
      </c>
      <c r="K348" s="8">
        <f t="shared" si="130"/>
        <v>0</v>
      </c>
      <c r="L348" s="8">
        <f t="shared" si="131"/>
        <v>-239684</v>
      </c>
      <c r="M348" s="8">
        <f t="shared" si="132"/>
        <v>0</v>
      </c>
      <c r="N348" s="8">
        <f t="shared" si="133"/>
        <v>13</v>
      </c>
      <c r="O348" s="8">
        <f t="shared" si="134"/>
        <v>-3173</v>
      </c>
      <c r="P348" s="8">
        <f t="shared" si="135"/>
        <v>-2216</v>
      </c>
      <c r="Q348" s="8">
        <f t="shared" si="136"/>
        <v>0</v>
      </c>
      <c r="R348" s="8">
        <f t="shared" si="137"/>
        <v>14</v>
      </c>
      <c r="S348" s="8">
        <f t="shared" si="138"/>
        <v>-229164</v>
      </c>
      <c r="T348" s="8">
        <f t="shared" si="139"/>
        <v>0</v>
      </c>
      <c r="U348" s="8">
        <f t="shared" si="140"/>
        <v>-1079</v>
      </c>
      <c r="V348" s="8">
        <f t="shared" si="141"/>
        <v>-4079</v>
      </c>
      <c r="W348" s="8">
        <f t="shared" si="142"/>
        <v>0</v>
      </c>
      <c r="X348" s="8">
        <f t="shared" si="143"/>
        <v>-239684</v>
      </c>
      <c r="Y348" s="10">
        <v>1466</v>
      </c>
      <c r="Z348" s="10">
        <v>-735026</v>
      </c>
      <c r="AA348" s="10">
        <v>-510295</v>
      </c>
      <c r="AB348" s="10">
        <v>0</v>
      </c>
      <c r="AC348" s="10">
        <v>2869</v>
      </c>
      <c r="AD348" s="10">
        <v>-203228</v>
      </c>
      <c r="AE348" s="10">
        <v>9695873</v>
      </c>
      <c r="AF348" s="10">
        <v>-4999</v>
      </c>
      <c r="AG348" s="10">
        <v>-646838</v>
      </c>
      <c r="AH348" s="10">
        <f t="shared" si="144"/>
        <v>13820610</v>
      </c>
      <c r="AI348" s="10">
        <v>21420432</v>
      </c>
      <c r="AJ348" s="10">
        <v>1479</v>
      </c>
      <c r="AK348" s="10">
        <v>-738199</v>
      </c>
      <c r="AL348" s="10">
        <v>-512511</v>
      </c>
      <c r="AM348" s="10">
        <v>0</v>
      </c>
      <c r="AN348" s="10">
        <v>2883</v>
      </c>
      <c r="AO348" s="10">
        <v>-432392</v>
      </c>
      <c r="AP348" s="10">
        <v>9695873</v>
      </c>
      <c r="AQ348" s="10">
        <v>-6078</v>
      </c>
      <c r="AR348" s="10">
        <v>-650917</v>
      </c>
      <c r="AS348" s="10">
        <f t="shared" si="124"/>
        <v>13820610</v>
      </c>
      <c r="AT348" s="10">
        <v>21180748</v>
      </c>
      <c r="AU348" s="12">
        <v>0</v>
      </c>
      <c r="AV348" s="12">
        <v>0</v>
      </c>
      <c r="AW348" s="12">
        <v>0</v>
      </c>
      <c r="AX348" s="12">
        <f t="shared" si="145"/>
        <v>0</v>
      </c>
      <c r="AY348" s="12">
        <v>0</v>
      </c>
      <c r="AZ348" s="12">
        <v>0</v>
      </c>
      <c r="BA348" s="12">
        <v>0</v>
      </c>
      <c r="BB348" s="12">
        <f t="shared" si="146"/>
        <v>0</v>
      </c>
      <c r="BC348" s="12">
        <v>0</v>
      </c>
      <c r="BD348" s="12">
        <v>0</v>
      </c>
      <c r="BE348" s="12">
        <v>0</v>
      </c>
      <c r="BF348" s="12">
        <v>0</v>
      </c>
    </row>
    <row r="349" spans="1:58" x14ac:dyDescent="0.25">
      <c r="A349" s="7">
        <v>3999</v>
      </c>
      <c r="B349" s="7">
        <v>1</v>
      </c>
      <c r="C349" s="7" t="s">
        <v>350</v>
      </c>
      <c r="D349" s="4">
        <v>0</v>
      </c>
      <c r="E349" s="10">
        <v>2630.53</v>
      </c>
      <c r="F349" s="8">
        <f t="shared" si="125"/>
        <v>137201</v>
      </c>
      <c r="G349" s="8">
        <f t="shared" si="126"/>
        <v>-624360.00000000745</v>
      </c>
      <c r="H349" s="8">
        <f t="shared" si="127"/>
        <v>0</v>
      </c>
      <c r="I349" s="8">
        <f t="shared" si="128"/>
        <v>26</v>
      </c>
      <c r="J349" s="8">
        <f t="shared" si="129"/>
        <v>-487133.00000000745</v>
      </c>
      <c r="K349" s="8">
        <f t="shared" si="130"/>
        <v>131614.40000000037</v>
      </c>
      <c r="L349" s="8">
        <f t="shared" si="131"/>
        <v>-355518.60000000708</v>
      </c>
      <c r="M349" s="8">
        <f t="shared" si="132"/>
        <v>-185.18435448370002</v>
      </c>
      <c r="N349" s="8">
        <f t="shared" si="133"/>
        <v>134719</v>
      </c>
      <c r="O349" s="8">
        <f t="shared" si="134"/>
        <v>0</v>
      </c>
      <c r="P349" s="8">
        <f t="shared" si="135"/>
        <v>0</v>
      </c>
      <c r="Q349" s="8">
        <f t="shared" si="136"/>
        <v>0</v>
      </c>
      <c r="R349" s="8">
        <f t="shared" si="137"/>
        <v>0</v>
      </c>
      <c r="S349" s="8">
        <f t="shared" si="138"/>
        <v>2482</v>
      </c>
      <c r="T349" s="8">
        <f t="shared" si="139"/>
        <v>-624360.00000000745</v>
      </c>
      <c r="U349" s="8">
        <f t="shared" si="140"/>
        <v>0</v>
      </c>
      <c r="V349" s="8">
        <f t="shared" si="141"/>
        <v>26</v>
      </c>
      <c r="W349" s="8">
        <f t="shared" si="142"/>
        <v>0</v>
      </c>
      <c r="X349" s="8">
        <f t="shared" si="143"/>
        <v>-487133.00000000745</v>
      </c>
      <c r="Y349" s="10">
        <v>31287024</v>
      </c>
      <c r="Z349" s="10">
        <v>0</v>
      </c>
      <c r="AA349" s="10">
        <v>0</v>
      </c>
      <c r="AB349" s="10">
        <v>0</v>
      </c>
      <c r="AC349" s="10">
        <v>0</v>
      </c>
      <c r="AD349" s="10">
        <v>100364</v>
      </c>
      <c r="AE349" s="10">
        <v>0</v>
      </c>
      <c r="AF349" s="10">
        <v>0</v>
      </c>
      <c r="AG349" s="10">
        <v>630230</v>
      </c>
      <c r="AH349" s="10">
        <f t="shared" si="144"/>
        <v>22486106.18</v>
      </c>
      <c r="AI349" s="10">
        <v>54503724.18</v>
      </c>
      <c r="AJ349" s="10">
        <v>31421743</v>
      </c>
      <c r="AK349" s="10">
        <v>0</v>
      </c>
      <c r="AL349" s="10">
        <v>0</v>
      </c>
      <c r="AM349" s="10">
        <v>0</v>
      </c>
      <c r="AN349" s="10">
        <v>0</v>
      </c>
      <c r="AO349" s="10">
        <v>102846</v>
      </c>
      <c r="AP349" s="10">
        <v>-624360.00000000745</v>
      </c>
      <c r="AQ349" s="10">
        <v>0</v>
      </c>
      <c r="AR349" s="10">
        <v>630256</v>
      </c>
      <c r="AS349" s="10">
        <f t="shared" si="124"/>
        <v>22486106.18</v>
      </c>
      <c r="AT349" s="10">
        <v>54016591.179999992</v>
      </c>
      <c r="AU349" s="12">
        <v>0</v>
      </c>
      <c r="AV349" s="12">
        <v>0</v>
      </c>
      <c r="AW349" s="12">
        <v>622317.75</v>
      </c>
      <c r="AX349" s="12">
        <f t="shared" si="145"/>
        <v>622317.75</v>
      </c>
      <c r="AY349" s="12">
        <v>0</v>
      </c>
      <c r="AZ349" s="12">
        <v>0</v>
      </c>
      <c r="BA349" s="12">
        <v>753932.15</v>
      </c>
      <c r="BB349" s="12">
        <f t="shared" si="146"/>
        <v>753932.15</v>
      </c>
      <c r="BC349" s="12">
        <v>0</v>
      </c>
      <c r="BD349" s="12">
        <v>0</v>
      </c>
      <c r="BE349" s="12">
        <v>131614.40000000037</v>
      </c>
      <c r="BF349" s="12">
        <v>131614.40000000037</v>
      </c>
    </row>
    <row r="350" spans="1:58" x14ac:dyDescent="0.25">
      <c r="A350" s="7">
        <v>4000</v>
      </c>
      <c r="B350" s="7">
        <v>7</v>
      </c>
      <c r="C350" s="7" t="s">
        <v>351</v>
      </c>
      <c r="D350" s="4">
        <v>7</v>
      </c>
      <c r="E350" s="10">
        <v>110</v>
      </c>
      <c r="F350" s="8">
        <f t="shared" si="125"/>
        <v>4903</v>
      </c>
      <c r="G350" s="8">
        <f t="shared" si="126"/>
        <v>2739.1399999999994</v>
      </c>
      <c r="H350" s="8">
        <f t="shared" si="127"/>
        <v>0</v>
      </c>
      <c r="I350" s="8">
        <f t="shared" si="128"/>
        <v>-1.0186340659856796E-10</v>
      </c>
      <c r="J350" s="8">
        <f t="shared" si="129"/>
        <v>7642.1399999998976</v>
      </c>
      <c r="K350" s="8">
        <f t="shared" si="130"/>
        <v>0</v>
      </c>
      <c r="L350" s="8">
        <f t="shared" si="131"/>
        <v>7642.1399999998976</v>
      </c>
      <c r="M350" s="8">
        <f t="shared" si="132"/>
        <v>69.473999999999066</v>
      </c>
      <c r="N350" s="8">
        <f t="shared" si="133"/>
        <v>3300</v>
      </c>
      <c r="O350" s="8">
        <f t="shared" si="134"/>
        <v>0</v>
      </c>
      <c r="P350" s="8">
        <f t="shared" si="135"/>
        <v>0</v>
      </c>
      <c r="Q350" s="8">
        <f t="shared" si="136"/>
        <v>1590</v>
      </c>
      <c r="R350" s="8">
        <f t="shared" si="137"/>
        <v>13</v>
      </c>
      <c r="S350" s="8">
        <f t="shared" si="138"/>
        <v>0</v>
      </c>
      <c r="T350" s="8">
        <f t="shared" si="139"/>
        <v>2739.1399999999994</v>
      </c>
      <c r="U350" s="8">
        <f t="shared" si="140"/>
        <v>0</v>
      </c>
      <c r="V350" s="8">
        <f t="shared" si="141"/>
        <v>0</v>
      </c>
      <c r="W350" s="8">
        <f t="shared" si="142"/>
        <v>0</v>
      </c>
      <c r="X350" s="8">
        <f t="shared" si="143"/>
        <v>7642.1399999998976</v>
      </c>
      <c r="Y350" s="10">
        <v>766392</v>
      </c>
      <c r="Z350" s="10">
        <v>0</v>
      </c>
      <c r="AA350" s="10">
        <v>34</v>
      </c>
      <c r="AB350" s="10">
        <v>315901</v>
      </c>
      <c r="AC350" s="10">
        <v>3590</v>
      </c>
      <c r="AD350" s="10">
        <v>0</v>
      </c>
      <c r="AE350" s="10">
        <v>0</v>
      </c>
      <c r="AF350" s="10">
        <v>104940</v>
      </c>
      <c r="AG350" s="10">
        <v>15438</v>
      </c>
      <c r="AH350" s="10">
        <f t="shared" si="144"/>
        <v>65596.699999999953</v>
      </c>
      <c r="AI350" s="10">
        <v>1271891.7</v>
      </c>
      <c r="AJ350" s="10">
        <v>769692</v>
      </c>
      <c r="AK350" s="10">
        <v>0</v>
      </c>
      <c r="AL350" s="10">
        <v>34</v>
      </c>
      <c r="AM350" s="10">
        <v>317491</v>
      </c>
      <c r="AN350" s="10">
        <v>3603</v>
      </c>
      <c r="AO350" s="10">
        <v>0</v>
      </c>
      <c r="AP350" s="10">
        <v>2739.1399999999994</v>
      </c>
      <c r="AQ350" s="10">
        <v>104940</v>
      </c>
      <c r="AR350" s="10">
        <v>15438</v>
      </c>
      <c r="AS350" s="10">
        <f t="shared" si="124"/>
        <v>65596.699999999953</v>
      </c>
      <c r="AT350" s="10">
        <v>1279533.8399999999</v>
      </c>
      <c r="AU350" s="12">
        <v>0</v>
      </c>
      <c r="AV350" s="12">
        <v>0</v>
      </c>
      <c r="AW350" s="12">
        <v>0</v>
      </c>
      <c r="AX350" s="12">
        <f t="shared" si="145"/>
        <v>0</v>
      </c>
      <c r="AY350" s="12">
        <v>0</v>
      </c>
      <c r="AZ350" s="12">
        <v>0</v>
      </c>
      <c r="BA350" s="12">
        <v>0</v>
      </c>
      <c r="BB350" s="12">
        <f t="shared" si="146"/>
        <v>0</v>
      </c>
      <c r="BC350" s="12">
        <v>0</v>
      </c>
      <c r="BD350" s="12">
        <v>0</v>
      </c>
      <c r="BE350" s="12">
        <v>0</v>
      </c>
      <c r="BF350" s="12">
        <v>0</v>
      </c>
    </row>
    <row r="351" spans="1:58" x14ac:dyDescent="0.25">
      <c r="A351" s="7">
        <v>4001</v>
      </c>
      <c r="B351" s="7">
        <v>7</v>
      </c>
      <c r="C351" s="7" t="s">
        <v>352</v>
      </c>
      <c r="D351" s="4">
        <v>7</v>
      </c>
      <c r="E351" s="10">
        <v>219</v>
      </c>
      <c r="F351" s="8">
        <f t="shared" si="125"/>
        <v>6160.25</v>
      </c>
      <c r="G351" s="8">
        <f t="shared" si="126"/>
        <v>6583.6</v>
      </c>
      <c r="H351" s="8">
        <f t="shared" si="127"/>
        <v>0</v>
      </c>
      <c r="I351" s="8">
        <f t="shared" si="128"/>
        <v>-369.99999999990723</v>
      </c>
      <c r="J351" s="8">
        <f t="shared" si="129"/>
        <v>12373.850000000093</v>
      </c>
      <c r="K351" s="8">
        <f t="shared" si="130"/>
        <v>813.59999999999854</v>
      </c>
      <c r="L351" s="8">
        <f t="shared" si="131"/>
        <v>13187.450000000092</v>
      </c>
      <c r="M351" s="8">
        <f t="shared" si="132"/>
        <v>56.501598173516406</v>
      </c>
      <c r="N351" s="8">
        <f t="shared" si="133"/>
        <v>5715</v>
      </c>
      <c r="O351" s="8">
        <f t="shared" si="134"/>
        <v>0</v>
      </c>
      <c r="P351" s="8">
        <f t="shared" si="135"/>
        <v>105</v>
      </c>
      <c r="Q351" s="8">
        <f t="shared" si="136"/>
        <v>315.25</v>
      </c>
      <c r="R351" s="8">
        <f t="shared" si="137"/>
        <v>25</v>
      </c>
      <c r="S351" s="8">
        <f t="shared" si="138"/>
        <v>0</v>
      </c>
      <c r="T351" s="8">
        <f t="shared" si="139"/>
        <v>6583.6</v>
      </c>
      <c r="U351" s="8">
        <f t="shared" si="140"/>
        <v>0</v>
      </c>
      <c r="V351" s="8">
        <f t="shared" si="141"/>
        <v>1</v>
      </c>
      <c r="W351" s="8">
        <f t="shared" si="142"/>
        <v>-371</v>
      </c>
      <c r="X351" s="8">
        <f t="shared" si="143"/>
        <v>12373.850000000093</v>
      </c>
      <c r="Y351" s="10">
        <v>1327252</v>
      </c>
      <c r="Z351" s="10">
        <v>0</v>
      </c>
      <c r="AA351" s="10">
        <v>24368</v>
      </c>
      <c r="AB351" s="10">
        <v>62634</v>
      </c>
      <c r="AC351" s="10">
        <v>6216</v>
      </c>
      <c r="AD351" s="10">
        <v>0</v>
      </c>
      <c r="AE351" s="10">
        <v>0</v>
      </c>
      <c r="AF351" s="10">
        <v>0</v>
      </c>
      <c r="AG351" s="10">
        <v>26736</v>
      </c>
      <c r="AH351" s="10">
        <f t="shared" si="144"/>
        <v>-15625.274000000209</v>
      </c>
      <c r="AI351" s="10">
        <v>1431580.7259999998</v>
      </c>
      <c r="AJ351" s="10">
        <v>1332967</v>
      </c>
      <c r="AK351" s="10">
        <v>0</v>
      </c>
      <c r="AL351" s="10">
        <v>24473</v>
      </c>
      <c r="AM351" s="10">
        <v>62949.25</v>
      </c>
      <c r="AN351" s="10">
        <v>6241</v>
      </c>
      <c r="AO351" s="10">
        <v>0</v>
      </c>
      <c r="AP351" s="10">
        <v>6583.6</v>
      </c>
      <c r="AQ351" s="10">
        <v>0</v>
      </c>
      <c r="AR351" s="10">
        <v>26737</v>
      </c>
      <c r="AS351" s="10">
        <f t="shared" si="124"/>
        <v>-15996.274000000209</v>
      </c>
      <c r="AT351" s="10">
        <v>1443954.5759999999</v>
      </c>
      <c r="AU351" s="12">
        <v>0</v>
      </c>
      <c r="AV351" s="12">
        <v>0</v>
      </c>
      <c r="AW351" s="12">
        <v>2318.375</v>
      </c>
      <c r="AX351" s="12">
        <f t="shared" si="145"/>
        <v>2318.375</v>
      </c>
      <c r="AY351" s="12">
        <v>0</v>
      </c>
      <c r="AZ351" s="12">
        <v>0</v>
      </c>
      <c r="BA351" s="12">
        <v>3131.9749999999999</v>
      </c>
      <c r="BB351" s="12">
        <f t="shared" si="146"/>
        <v>3131.9749999999999</v>
      </c>
      <c r="BC351" s="12">
        <v>0</v>
      </c>
      <c r="BD351" s="12">
        <v>0</v>
      </c>
      <c r="BE351" s="12">
        <v>813.59999999999854</v>
      </c>
      <c r="BF351" s="12">
        <v>813.59999999999854</v>
      </c>
    </row>
    <row r="352" spans="1:58" x14ac:dyDescent="0.25">
      <c r="A352" s="7">
        <v>4003</v>
      </c>
      <c r="B352" s="7">
        <v>7</v>
      </c>
      <c r="C352" s="7" t="s">
        <v>353</v>
      </c>
      <c r="D352" s="4">
        <v>7</v>
      </c>
      <c r="E352" s="10">
        <v>140</v>
      </c>
      <c r="F352" s="8">
        <f t="shared" si="125"/>
        <v>4489.75</v>
      </c>
      <c r="G352" s="8">
        <f t="shared" si="126"/>
        <v>4548.12</v>
      </c>
      <c r="H352" s="8">
        <f t="shared" si="127"/>
        <v>0</v>
      </c>
      <c r="I352" s="8">
        <f t="shared" si="128"/>
        <v>-203.99999999988813</v>
      </c>
      <c r="J352" s="8">
        <f t="shared" si="129"/>
        <v>8833.8700000001118</v>
      </c>
      <c r="K352" s="8">
        <f t="shared" si="130"/>
        <v>456</v>
      </c>
      <c r="L352" s="8">
        <f t="shared" si="131"/>
        <v>9289.8700000001118</v>
      </c>
      <c r="M352" s="8">
        <f t="shared" si="132"/>
        <v>63.099071428572223</v>
      </c>
      <c r="N352" s="8">
        <f t="shared" si="133"/>
        <v>3835</v>
      </c>
      <c r="O352" s="8">
        <f t="shared" si="134"/>
        <v>0</v>
      </c>
      <c r="P352" s="8">
        <f t="shared" si="135"/>
        <v>25</v>
      </c>
      <c r="Q352" s="8">
        <f t="shared" si="136"/>
        <v>613.75</v>
      </c>
      <c r="R352" s="8">
        <f t="shared" si="137"/>
        <v>16</v>
      </c>
      <c r="S352" s="8">
        <f t="shared" si="138"/>
        <v>0</v>
      </c>
      <c r="T352" s="8">
        <f t="shared" si="139"/>
        <v>4548.12</v>
      </c>
      <c r="U352" s="8">
        <f t="shared" si="140"/>
        <v>0</v>
      </c>
      <c r="V352" s="8">
        <f t="shared" si="141"/>
        <v>0</v>
      </c>
      <c r="W352" s="8">
        <f t="shared" si="142"/>
        <v>-204</v>
      </c>
      <c r="X352" s="8">
        <f t="shared" si="143"/>
        <v>8833.8700000001118</v>
      </c>
      <c r="Y352" s="10">
        <v>890640</v>
      </c>
      <c r="Z352" s="10">
        <v>0</v>
      </c>
      <c r="AA352" s="10">
        <v>5904</v>
      </c>
      <c r="AB352" s="10">
        <v>121940</v>
      </c>
      <c r="AC352" s="10">
        <v>4172</v>
      </c>
      <c r="AD352" s="10">
        <v>0</v>
      </c>
      <c r="AE352" s="10">
        <v>0</v>
      </c>
      <c r="AF352" s="10">
        <v>0</v>
      </c>
      <c r="AG352" s="10">
        <v>17941</v>
      </c>
      <c r="AH352" s="10">
        <f t="shared" si="144"/>
        <v>1117.9849999998696</v>
      </c>
      <c r="AI352" s="10">
        <v>1041714.9849999999</v>
      </c>
      <c r="AJ352" s="10">
        <v>894475</v>
      </c>
      <c r="AK352" s="10">
        <v>0</v>
      </c>
      <c r="AL352" s="10">
        <v>5929</v>
      </c>
      <c r="AM352" s="10">
        <v>122553.75</v>
      </c>
      <c r="AN352" s="10">
        <v>4188</v>
      </c>
      <c r="AO352" s="10">
        <v>0</v>
      </c>
      <c r="AP352" s="10">
        <v>4548.12</v>
      </c>
      <c r="AQ352" s="10">
        <v>0</v>
      </c>
      <c r="AR352" s="10">
        <v>17941</v>
      </c>
      <c r="AS352" s="10">
        <f t="shared" si="124"/>
        <v>913.98499999986961</v>
      </c>
      <c r="AT352" s="10">
        <v>1050548.855</v>
      </c>
      <c r="AU352" s="12">
        <v>0</v>
      </c>
      <c r="AV352" s="12">
        <v>0</v>
      </c>
      <c r="AW352" s="12">
        <v>1209.75</v>
      </c>
      <c r="AX352" s="12">
        <f t="shared" si="145"/>
        <v>1209.75</v>
      </c>
      <c r="AY352" s="12">
        <v>0</v>
      </c>
      <c r="AZ352" s="12">
        <v>0</v>
      </c>
      <c r="BA352" s="12">
        <v>1665.75</v>
      </c>
      <c r="BB352" s="12">
        <f t="shared" si="146"/>
        <v>1665.75</v>
      </c>
      <c r="BC352" s="12">
        <v>0</v>
      </c>
      <c r="BD352" s="12">
        <v>0</v>
      </c>
      <c r="BE352" s="12">
        <v>456</v>
      </c>
      <c r="BF352" s="12">
        <v>456</v>
      </c>
    </row>
    <row r="353" spans="1:58" x14ac:dyDescent="0.25">
      <c r="A353" s="7">
        <v>4004</v>
      </c>
      <c r="B353" s="7">
        <v>7</v>
      </c>
      <c r="C353" s="7" t="s">
        <v>354</v>
      </c>
      <c r="D353" s="4">
        <v>7</v>
      </c>
      <c r="E353" s="10">
        <v>160</v>
      </c>
      <c r="F353" s="8">
        <f t="shared" si="125"/>
        <v>6228.5</v>
      </c>
      <c r="G353" s="8">
        <f t="shared" si="126"/>
        <v>6332.94</v>
      </c>
      <c r="H353" s="8">
        <f t="shared" si="127"/>
        <v>11038</v>
      </c>
      <c r="I353" s="8">
        <f t="shared" si="128"/>
        <v>0.99999999994543032</v>
      </c>
      <c r="J353" s="8">
        <f t="shared" si="129"/>
        <v>23600.439999999944</v>
      </c>
      <c r="K353" s="8">
        <f t="shared" si="130"/>
        <v>43.599999999998545</v>
      </c>
      <c r="L353" s="8">
        <f t="shared" si="131"/>
        <v>23644.039999999943</v>
      </c>
      <c r="M353" s="8">
        <f t="shared" si="132"/>
        <v>147.50274999999965</v>
      </c>
      <c r="N353" s="8">
        <f t="shared" si="133"/>
        <v>3895</v>
      </c>
      <c r="O353" s="8">
        <f t="shared" si="134"/>
        <v>0</v>
      </c>
      <c r="P353" s="8">
        <f t="shared" si="135"/>
        <v>0</v>
      </c>
      <c r="Q353" s="8">
        <f t="shared" si="136"/>
        <v>2317.5</v>
      </c>
      <c r="R353" s="8">
        <f t="shared" si="137"/>
        <v>16</v>
      </c>
      <c r="S353" s="8">
        <f t="shared" si="138"/>
        <v>0</v>
      </c>
      <c r="T353" s="8">
        <f t="shared" si="139"/>
        <v>6332.94</v>
      </c>
      <c r="U353" s="8">
        <f t="shared" si="140"/>
        <v>11038</v>
      </c>
      <c r="V353" s="8">
        <f t="shared" si="141"/>
        <v>1</v>
      </c>
      <c r="W353" s="8">
        <f t="shared" si="142"/>
        <v>0</v>
      </c>
      <c r="X353" s="8">
        <f t="shared" si="143"/>
        <v>23600.439999999944</v>
      </c>
      <c r="Y353" s="10">
        <v>904575</v>
      </c>
      <c r="Z353" s="10">
        <v>0</v>
      </c>
      <c r="AA353" s="10">
        <v>40</v>
      </c>
      <c r="AB353" s="10">
        <v>460441</v>
      </c>
      <c r="AC353" s="10">
        <v>4237</v>
      </c>
      <c r="AD353" s="10">
        <v>0</v>
      </c>
      <c r="AE353" s="10">
        <v>0</v>
      </c>
      <c r="AF353" s="10">
        <v>56286</v>
      </c>
      <c r="AG353" s="10">
        <v>18221</v>
      </c>
      <c r="AH353" s="10">
        <f t="shared" si="144"/>
        <v>99095.070000000065</v>
      </c>
      <c r="AI353" s="10">
        <v>1542895.07</v>
      </c>
      <c r="AJ353" s="10">
        <v>908470</v>
      </c>
      <c r="AK353" s="10">
        <v>0</v>
      </c>
      <c r="AL353" s="10">
        <v>40</v>
      </c>
      <c r="AM353" s="10">
        <v>462758.5</v>
      </c>
      <c r="AN353" s="10">
        <v>4253</v>
      </c>
      <c r="AO353" s="10">
        <v>0</v>
      </c>
      <c r="AP353" s="10">
        <v>6332.94</v>
      </c>
      <c r="AQ353" s="10">
        <v>67324</v>
      </c>
      <c r="AR353" s="10">
        <v>18222</v>
      </c>
      <c r="AS353" s="10">
        <f t="shared" si="124"/>
        <v>99095.070000000065</v>
      </c>
      <c r="AT353" s="10">
        <v>1566495.51</v>
      </c>
      <c r="AU353" s="12">
        <v>0</v>
      </c>
      <c r="AV353" s="12">
        <v>0</v>
      </c>
      <c r="AW353" s="12">
        <v>2927.375</v>
      </c>
      <c r="AX353" s="12">
        <f t="shared" si="145"/>
        <v>2927.375</v>
      </c>
      <c r="AY353" s="12">
        <v>0</v>
      </c>
      <c r="AZ353" s="12">
        <v>0</v>
      </c>
      <c r="BA353" s="12">
        <v>2970.9749999999999</v>
      </c>
      <c r="BB353" s="12">
        <f t="shared" si="146"/>
        <v>2970.9749999999999</v>
      </c>
      <c r="BC353" s="12">
        <v>0</v>
      </c>
      <c r="BD353" s="12">
        <v>0</v>
      </c>
      <c r="BE353" s="12">
        <v>43.599999999998545</v>
      </c>
      <c r="BF353" s="12">
        <v>43.599999999998545</v>
      </c>
    </row>
    <row r="354" spans="1:58" x14ac:dyDescent="0.25">
      <c r="A354" s="7">
        <v>4005</v>
      </c>
      <c r="B354" s="7">
        <v>7</v>
      </c>
      <c r="C354" s="7" t="s">
        <v>355</v>
      </c>
      <c r="D354" s="4">
        <v>7</v>
      </c>
      <c r="E354" s="10">
        <v>26</v>
      </c>
      <c r="F354" s="8">
        <f t="shared" si="125"/>
        <v>1212.75</v>
      </c>
      <c r="G354" s="8">
        <f t="shared" si="126"/>
        <v>8030.18</v>
      </c>
      <c r="H354" s="8">
        <f t="shared" si="127"/>
        <v>0</v>
      </c>
      <c r="I354" s="8">
        <f t="shared" si="128"/>
        <v>-7.2759576141834259E-12</v>
      </c>
      <c r="J354" s="8">
        <f t="shared" si="129"/>
        <v>9242.929999999993</v>
      </c>
      <c r="K354" s="8">
        <f t="shared" si="130"/>
        <v>283.19999999999982</v>
      </c>
      <c r="L354" s="8">
        <f t="shared" si="131"/>
        <v>9526.1299999999937</v>
      </c>
      <c r="M354" s="8">
        <f t="shared" si="132"/>
        <v>355.4973076923074</v>
      </c>
      <c r="N354" s="8">
        <f t="shared" si="133"/>
        <v>705</v>
      </c>
      <c r="O354" s="8">
        <f t="shared" si="134"/>
        <v>5</v>
      </c>
      <c r="P354" s="8">
        <f t="shared" si="135"/>
        <v>0</v>
      </c>
      <c r="Q354" s="8">
        <f t="shared" si="136"/>
        <v>499.75</v>
      </c>
      <c r="R354" s="8">
        <f t="shared" si="137"/>
        <v>3</v>
      </c>
      <c r="S354" s="8">
        <f t="shared" si="138"/>
        <v>0</v>
      </c>
      <c r="T354" s="8">
        <f t="shared" si="139"/>
        <v>8030.18</v>
      </c>
      <c r="U354" s="8">
        <f t="shared" si="140"/>
        <v>0</v>
      </c>
      <c r="V354" s="8">
        <f t="shared" si="141"/>
        <v>0</v>
      </c>
      <c r="W354" s="8">
        <f t="shared" si="142"/>
        <v>0</v>
      </c>
      <c r="X354" s="8">
        <f t="shared" si="143"/>
        <v>9242.929999999993</v>
      </c>
      <c r="Y354" s="10">
        <v>163729</v>
      </c>
      <c r="Z354" s="10">
        <v>1301</v>
      </c>
      <c r="AA354" s="10">
        <v>7</v>
      </c>
      <c r="AB354" s="10">
        <v>99290</v>
      </c>
      <c r="AC354" s="10">
        <v>767</v>
      </c>
      <c r="AD354" s="10">
        <v>0</v>
      </c>
      <c r="AE354" s="10">
        <v>0</v>
      </c>
      <c r="AF354" s="10">
        <v>0</v>
      </c>
      <c r="AG354" s="10">
        <v>3298</v>
      </c>
      <c r="AH354" s="10">
        <f t="shared" si="144"/>
        <v>13163.922900000005</v>
      </c>
      <c r="AI354" s="10">
        <v>281555.92290000001</v>
      </c>
      <c r="AJ354" s="10">
        <v>164434</v>
      </c>
      <c r="AK354" s="10">
        <v>1306</v>
      </c>
      <c r="AL354" s="10">
        <v>7</v>
      </c>
      <c r="AM354" s="10">
        <v>99789.75</v>
      </c>
      <c r="AN354" s="10">
        <v>770</v>
      </c>
      <c r="AO354" s="10">
        <v>0</v>
      </c>
      <c r="AP354" s="10">
        <v>8030.18</v>
      </c>
      <c r="AQ354" s="10">
        <v>0</v>
      </c>
      <c r="AR354" s="10">
        <v>3298</v>
      </c>
      <c r="AS354" s="10">
        <f t="shared" si="124"/>
        <v>13163.922900000005</v>
      </c>
      <c r="AT354" s="10">
        <v>290798.8529</v>
      </c>
      <c r="AU354" s="12">
        <v>0</v>
      </c>
      <c r="AV354" s="12">
        <v>0</v>
      </c>
      <c r="AW354" s="12">
        <v>700.875</v>
      </c>
      <c r="AX354" s="12">
        <f t="shared" si="145"/>
        <v>700.875</v>
      </c>
      <c r="AY354" s="12">
        <v>0</v>
      </c>
      <c r="AZ354" s="12">
        <v>0</v>
      </c>
      <c r="BA354" s="12">
        <v>984.07500000000005</v>
      </c>
      <c r="BB354" s="12">
        <f t="shared" si="146"/>
        <v>984.07500000000005</v>
      </c>
      <c r="BC354" s="12">
        <v>0</v>
      </c>
      <c r="BD354" s="12">
        <v>0</v>
      </c>
      <c r="BE354" s="12">
        <v>283.19999999999982</v>
      </c>
      <c r="BF354" s="12">
        <v>283.19999999999982</v>
      </c>
    </row>
    <row r="355" spans="1:58" x14ac:dyDescent="0.25">
      <c r="A355" s="7">
        <v>4006</v>
      </c>
      <c r="B355" s="7">
        <v>7</v>
      </c>
      <c r="C355" s="7" t="s">
        <v>356</v>
      </c>
      <c r="D355" s="4">
        <v>7</v>
      </c>
      <c r="E355" s="10">
        <v>0</v>
      </c>
      <c r="F355" s="8">
        <f t="shared" si="125"/>
        <v>0</v>
      </c>
      <c r="G355" s="8">
        <f t="shared" si="126"/>
        <v>0</v>
      </c>
      <c r="H355" s="8">
        <f t="shared" si="127"/>
        <v>0</v>
      </c>
      <c r="I355" s="8">
        <f t="shared" si="128"/>
        <v>0</v>
      </c>
      <c r="J355" s="8">
        <f t="shared" si="129"/>
        <v>0</v>
      </c>
      <c r="K355" s="8">
        <f t="shared" si="130"/>
        <v>0</v>
      </c>
      <c r="L355" s="8">
        <f t="shared" si="131"/>
        <v>0</v>
      </c>
      <c r="M355" s="8">
        <f t="shared" si="132"/>
        <v>0</v>
      </c>
      <c r="N355" s="8">
        <f t="shared" si="133"/>
        <v>0</v>
      </c>
      <c r="O355" s="8">
        <f t="shared" si="134"/>
        <v>0</v>
      </c>
      <c r="P355" s="8">
        <f t="shared" si="135"/>
        <v>0</v>
      </c>
      <c r="Q355" s="8">
        <f t="shared" si="136"/>
        <v>0</v>
      </c>
      <c r="R355" s="8">
        <f t="shared" si="137"/>
        <v>0</v>
      </c>
      <c r="S355" s="8">
        <f t="shared" si="138"/>
        <v>0</v>
      </c>
      <c r="T355" s="8">
        <f t="shared" si="139"/>
        <v>0</v>
      </c>
      <c r="U355" s="8">
        <f t="shared" si="140"/>
        <v>0</v>
      </c>
      <c r="V355" s="8">
        <f t="shared" si="141"/>
        <v>0</v>
      </c>
      <c r="W355" s="8">
        <f t="shared" si="142"/>
        <v>0</v>
      </c>
      <c r="X355" s="8">
        <f t="shared" si="143"/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f t="shared" si="144"/>
        <v>0</v>
      </c>
      <c r="AI355" s="10">
        <v>0</v>
      </c>
      <c r="AJ355" s="10">
        <v>0</v>
      </c>
      <c r="AK355" s="10">
        <v>0</v>
      </c>
      <c r="AL355" s="10">
        <v>0</v>
      </c>
      <c r="AM355" s="10">
        <v>0</v>
      </c>
      <c r="AN355" s="10">
        <v>0</v>
      </c>
      <c r="AO355" s="10">
        <v>0</v>
      </c>
      <c r="AP355" s="10">
        <v>0</v>
      </c>
      <c r="AQ355" s="10">
        <v>0</v>
      </c>
      <c r="AR355" s="10">
        <v>0</v>
      </c>
      <c r="AS355" s="10">
        <f t="shared" si="124"/>
        <v>0</v>
      </c>
      <c r="AT355" s="10">
        <v>0</v>
      </c>
      <c r="AU355" s="12">
        <v>0</v>
      </c>
      <c r="AV355" s="12">
        <v>0</v>
      </c>
      <c r="AW355" s="12">
        <v>0</v>
      </c>
      <c r="AX355" s="12">
        <f t="shared" si="145"/>
        <v>0</v>
      </c>
      <c r="AY355" s="12">
        <v>0</v>
      </c>
      <c r="AZ355" s="12">
        <v>0</v>
      </c>
      <c r="BA355" s="12">
        <v>0</v>
      </c>
      <c r="BB355" s="12">
        <f t="shared" si="146"/>
        <v>0</v>
      </c>
      <c r="BC355" s="12">
        <v>0</v>
      </c>
      <c r="BD355" s="12">
        <v>0</v>
      </c>
      <c r="BE355" s="12">
        <v>0</v>
      </c>
      <c r="BF355" s="12">
        <v>0</v>
      </c>
    </row>
    <row r="356" spans="1:58" x14ac:dyDescent="0.25">
      <c r="A356" s="7">
        <v>4007</v>
      </c>
      <c r="B356" s="7">
        <v>7</v>
      </c>
      <c r="C356" s="7" t="s">
        <v>357</v>
      </c>
      <c r="D356" s="4">
        <v>7</v>
      </c>
      <c r="E356" s="10">
        <v>175</v>
      </c>
      <c r="F356" s="8">
        <f t="shared" si="125"/>
        <v>5107.75</v>
      </c>
      <c r="G356" s="8">
        <f t="shared" si="126"/>
        <v>0</v>
      </c>
      <c r="H356" s="8">
        <f t="shared" si="127"/>
        <v>0</v>
      </c>
      <c r="I356" s="8">
        <f t="shared" si="128"/>
        <v>1</v>
      </c>
      <c r="J356" s="8">
        <f t="shared" si="129"/>
        <v>5108.75</v>
      </c>
      <c r="K356" s="8">
        <f t="shared" si="130"/>
        <v>0</v>
      </c>
      <c r="L356" s="8">
        <f t="shared" si="131"/>
        <v>5108.75</v>
      </c>
      <c r="M356" s="8">
        <f t="shared" si="132"/>
        <v>29.192857142857143</v>
      </c>
      <c r="N356" s="8">
        <f t="shared" si="133"/>
        <v>4752</v>
      </c>
      <c r="O356" s="8">
        <f t="shared" si="134"/>
        <v>0</v>
      </c>
      <c r="P356" s="8">
        <f t="shared" si="135"/>
        <v>119</v>
      </c>
      <c r="Q356" s="8">
        <f t="shared" si="136"/>
        <v>216.75</v>
      </c>
      <c r="R356" s="8">
        <f t="shared" si="137"/>
        <v>20</v>
      </c>
      <c r="S356" s="8">
        <f t="shared" si="138"/>
        <v>0</v>
      </c>
      <c r="T356" s="8">
        <f t="shared" si="139"/>
        <v>0</v>
      </c>
      <c r="U356" s="8">
        <f t="shared" si="140"/>
        <v>0</v>
      </c>
      <c r="V356" s="8">
        <f t="shared" si="141"/>
        <v>1</v>
      </c>
      <c r="W356" s="8">
        <f t="shared" si="142"/>
        <v>0</v>
      </c>
      <c r="X356" s="8">
        <f t="shared" si="143"/>
        <v>5108.75</v>
      </c>
      <c r="Y356" s="10">
        <v>1103430</v>
      </c>
      <c r="Z356" s="10">
        <v>0</v>
      </c>
      <c r="AA356" s="10">
        <v>27643</v>
      </c>
      <c r="AB356" s="10">
        <v>43064</v>
      </c>
      <c r="AC356" s="10">
        <v>5168</v>
      </c>
      <c r="AD356" s="10">
        <v>0</v>
      </c>
      <c r="AE356" s="10">
        <v>31250</v>
      </c>
      <c r="AF356" s="10">
        <v>19049</v>
      </c>
      <c r="AG356" s="10">
        <v>22227</v>
      </c>
      <c r="AH356" s="10">
        <f t="shared" si="144"/>
        <v>90728.680000000168</v>
      </c>
      <c r="AI356" s="10">
        <v>1342559.6800000002</v>
      </c>
      <c r="AJ356" s="10">
        <v>1108182</v>
      </c>
      <c r="AK356" s="10">
        <v>0</v>
      </c>
      <c r="AL356" s="10">
        <v>27762</v>
      </c>
      <c r="AM356" s="10">
        <v>43280.75</v>
      </c>
      <c r="AN356" s="10">
        <v>5188</v>
      </c>
      <c r="AO356" s="10">
        <v>0</v>
      </c>
      <c r="AP356" s="10">
        <v>31250</v>
      </c>
      <c r="AQ356" s="10">
        <v>19049</v>
      </c>
      <c r="AR356" s="10">
        <v>22228</v>
      </c>
      <c r="AS356" s="10">
        <f t="shared" si="124"/>
        <v>90728.680000000168</v>
      </c>
      <c r="AT356" s="10">
        <v>1347668.4300000002</v>
      </c>
      <c r="AU356" s="12">
        <v>0</v>
      </c>
      <c r="AV356" s="12">
        <v>0</v>
      </c>
      <c r="AW356" s="12">
        <v>0</v>
      </c>
      <c r="AX356" s="12">
        <f t="shared" si="145"/>
        <v>0</v>
      </c>
      <c r="AY356" s="12">
        <v>0</v>
      </c>
      <c r="AZ356" s="12">
        <v>0</v>
      </c>
      <c r="BA356" s="12">
        <v>0</v>
      </c>
      <c r="BB356" s="12">
        <f t="shared" si="146"/>
        <v>0</v>
      </c>
      <c r="BC356" s="12">
        <v>0</v>
      </c>
      <c r="BD356" s="12">
        <v>0</v>
      </c>
      <c r="BE356" s="12">
        <v>0</v>
      </c>
      <c r="BF356" s="12">
        <v>0</v>
      </c>
    </row>
    <row r="357" spans="1:58" x14ac:dyDescent="0.25">
      <c r="A357" s="7">
        <v>4008</v>
      </c>
      <c r="B357" s="7">
        <v>7</v>
      </c>
      <c r="C357" s="7" t="s">
        <v>358</v>
      </c>
      <c r="D357" s="4">
        <v>7</v>
      </c>
      <c r="E357" s="10">
        <v>640</v>
      </c>
      <c r="F357" s="8">
        <f t="shared" si="125"/>
        <v>17238.75</v>
      </c>
      <c r="G357" s="8">
        <f t="shared" si="126"/>
        <v>13245.72</v>
      </c>
      <c r="H357" s="8">
        <f t="shared" si="127"/>
        <v>0</v>
      </c>
      <c r="I357" s="8">
        <f t="shared" si="128"/>
        <v>2.9999999997398845</v>
      </c>
      <c r="J357" s="8">
        <f t="shared" si="129"/>
        <v>30487.469999999739</v>
      </c>
      <c r="K357" s="8">
        <f t="shared" si="130"/>
        <v>1910.7999999999993</v>
      </c>
      <c r="L357" s="8">
        <f t="shared" si="131"/>
        <v>32398.269999999739</v>
      </c>
      <c r="M357" s="8">
        <f t="shared" si="132"/>
        <v>47.636671874999593</v>
      </c>
      <c r="N357" s="8">
        <f t="shared" si="133"/>
        <v>17050</v>
      </c>
      <c r="O357" s="8">
        <f t="shared" si="134"/>
        <v>0</v>
      </c>
      <c r="P357" s="8">
        <f t="shared" si="135"/>
        <v>1</v>
      </c>
      <c r="Q357" s="8">
        <f t="shared" si="136"/>
        <v>115.75</v>
      </c>
      <c r="R357" s="8">
        <f t="shared" si="137"/>
        <v>72</v>
      </c>
      <c r="S357" s="8">
        <f t="shared" si="138"/>
        <v>0</v>
      </c>
      <c r="T357" s="8">
        <f t="shared" si="139"/>
        <v>13245.72</v>
      </c>
      <c r="U357" s="8">
        <f t="shared" si="140"/>
        <v>0</v>
      </c>
      <c r="V357" s="8">
        <f t="shared" si="141"/>
        <v>3</v>
      </c>
      <c r="W357" s="8">
        <f t="shared" si="142"/>
        <v>-4.6566128730773926E-10</v>
      </c>
      <c r="X357" s="8">
        <f t="shared" si="143"/>
        <v>30487.469999999739</v>
      </c>
      <c r="Y357" s="10">
        <v>3959692</v>
      </c>
      <c r="Z357" s="10">
        <v>0</v>
      </c>
      <c r="AA357" s="10">
        <v>176</v>
      </c>
      <c r="AB357" s="10">
        <v>22997</v>
      </c>
      <c r="AC357" s="10">
        <v>18546</v>
      </c>
      <c r="AD357" s="10">
        <v>0</v>
      </c>
      <c r="AE357" s="10">
        <v>0</v>
      </c>
      <c r="AF357" s="10">
        <v>0</v>
      </c>
      <c r="AG357" s="10">
        <v>79762</v>
      </c>
      <c r="AH357" s="10">
        <f t="shared" si="144"/>
        <v>326539.84999999963</v>
      </c>
      <c r="AI357" s="10">
        <v>4407712.8499999996</v>
      </c>
      <c r="AJ357" s="10">
        <v>3976742</v>
      </c>
      <c r="AK357" s="10">
        <v>0</v>
      </c>
      <c r="AL357" s="10">
        <v>177</v>
      </c>
      <c r="AM357" s="10">
        <v>23112.75</v>
      </c>
      <c r="AN357" s="10">
        <v>18618</v>
      </c>
      <c r="AO357" s="10">
        <v>0</v>
      </c>
      <c r="AP357" s="10">
        <v>13245.72</v>
      </c>
      <c r="AQ357" s="10">
        <v>0</v>
      </c>
      <c r="AR357" s="10">
        <v>79765</v>
      </c>
      <c r="AS357" s="10">
        <f t="shared" si="124"/>
        <v>326539.84999999916</v>
      </c>
      <c r="AT357" s="10">
        <v>4438200.3199999994</v>
      </c>
      <c r="AU357" s="12">
        <v>0</v>
      </c>
      <c r="AV357" s="12">
        <v>0</v>
      </c>
      <c r="AW357" s="12">
        <v>3768</v>
      </c>
      <c r="AX357" s="12">
        <f t="shared" si="145"/>
        <v>3768</v>
      </c>
      <c r="AY357" s="12">
        <v>0</v>
      </c>
      <c r="AZ357" s="12">
        <v>0</v>
      </c>
      <c r="BA357" s="12">
        <v>5678.8</v>
      </c>
      <c r="BB357" s="12">
        <f t="shared" si="146"/>
        <v>5678.8</v>
      </c>
      <c r="BC357" s="12">
        <v>0</v>
      </c>
      <c r="BD357" s="12">
        <v>0</v>
      </c>
      <c r="BE357" s="12">
        <v>1910.7999999999993</v>
      </c>
      <c r="BF357" s="12">
        <v>1910.7999999999993</v>
      </c>
    </row>
    <row r="358" spans="1:58" x14ac:dyDescent="0.25">
      <c r="A358" s="7">
        <v>4011</v>
      </c>
      <c r="B358" s="7">
        <v>7</v>
      </c>
      <c r="C358" s="7" t="s">
        <v>359</v>
      </c>
      <c r="D358" s="4">
        <v>7</v>
      </c>
      <c r="E358" s="10">
        <v>208</v>
      </c>
      <c r="F358" s="8">
        <f t="shared" si="125"/>
        <v>6848.5</v>
      </c>
      <c r="G358" s="8">
        <f t="shared" si="126"/>
        <v>0</v>
      </c>
      <c r="H358" s="8">
        <f t="shared" si="127"/>
        <v>25758</v>
      </c>
      <c r="I358" s="8">
        <f t="shared" si="128"/>
        <v>-236</v>
      </c>
      <c r="J358" s="8">
        <f t="shared" si="129"/>
        <v>32370.5</v>
      </c>
      <c r="K358" s="8">
        <f t="shared" si="130"/>
        <v>190.40000000000146</v>
      </c>
      <c r="L358" s="8">
        <f t="shared" si="131"/>
        <v>32560.9</v>
      </c>
      <c r="M358" s="8">
        <f t="shared" si="132"/>
        <v>155.62740384615384</v>
      </c>
      <c r="N358" s="8">
        <f t="shared" si="133"/>
        <v>5079</v>
      </c>
      <c r="O358" s="8">
        <f t="shared" si="134"/>
        <v>0</v>
      </c>
      <c r="P358" s="8">
        <f t="shared" si="135"/>
        <v>0</v>
      </c>
      <c r="Q358" s="8">
        <f t="shared" si="136"/>
        <v>1747.5</v>
      </c>
      <c r="R358" s="8">
        <f t="shared" si="137"/>
        <v>22</v>
      </c>
      <c r="S358" s="8">
        <f t="shared" si="138"/>
        <v>0</v>
      </c>
      <c r="T358" s="8">
        <f t="shared" si="139"/>
        <v>0</v>
      </c>
      <c r="U358" s="8">
        <f t="shared" si="140"/>
        <v>25758</v>
      </c>
      <c r="V358" s="8">
        <f t="shared" si="141"/>
        <v>1</v>
      </c>
      <c r="W358" s="8">
        <f t="shared" si="142"/>
        <v>-237</v>
      </c>
      <c r="X358" s="8">
        <f t="shared" si="143"/>
        <v>32370.5</v>
      </c>
      <c r="Y358" s="10">
        <v>1179489</v>
      </c>
      <c r="Z358" s="10">
        <v>0</v>
      </c>
      <c r="AA358" s="10">
        <v>53</v>
      </c>
      <c r="AB358" s="10">
        <v>347193</v>
      </c>
      <c r="AC358" s="10">
        <v>5524</v>
      </c>
      <c r="AD358" s="10">
        <v>0</v>
      </c>
      <c r="AE358" s="10">
        <v>34000</v>
      </c>
      <c r="AF358" s="10">
        <v>73458</v>
      </c>
      <c r="AG358" s="10">
        <v>23759</v>
      </c>
      <c r="AH358" s="10">
        <f t="shared" si="144"/>
        <v>63095.629999999888</v>
      </c>
      <c r="AI358" s="10">
        <v>1726571.63</v>
      </c>
      <c r="AJ358" s="10">
        <v>1184568</v>
      </c>
      <c r="AK358" s="10">
        <v>0</v>
      </c>
      <c r="AL358" s="10">
        <v>53</v>
      </c>
      <c r="AM358" s="10">
        <v>348940.5</v>
      </c>
      <c r="AN358" s="10">
        <v>5546</v>
      </c>
      <c r="AO358" s="10">
        <v>0</v>
      </c>
      <c r="AP358" s="10">
        <v>34000</v>
      </c>
      <c r="AQ358" s="10">
        <v>99216</v>
      </c>
      <c r="AR358" s="10">
        <v>23760</v>
      </c>
      <c r="AS358" s="10">
        <f t="shared" si="124"/>
        <v>62858.629999999888</v>
      </c>
      <c r="AT358" s="10">
        <v>1758942.13</v>
      </c>
      <c r="AU358" s="12">
        <v>0</v>
      </c>
      <c r="AV358" s="12">
        <v>0</v>
      </c>
      <c r="AW358" s="12">
        <v>4167.875</v>
      </c>
      <c r="AX358" s="12">
        <f t="shared" si="145"/>
        <v>4167.875</v>
      </c>
      <c r="AY358" s="12">
        <v>0</v>
      </c>
      <c r="AZ358" s="12">
        <v>0</v>
      </c>
      <c r="BA358" s="12">
        <v>4358.2749999999996</v>
      </c>
      <c r="BB358" s="12">
        <f t="shared" si="146"/>
        <v>4358.2749999999996</v>
      </c>
      <c r="BC358" s="12">
        <v>0</v>
      </c>
      <c r="BD358" s="12">
        <v>0</v>
      </c>
      <c r="BE358" s="12">
        <v>190.40000000000146</v>
      </c>
      <c r="BF358" s="12">
        <v>190.40000000000146</v>
      </c>
    </row>
    <row r="359" spans="1:58" x14ac:dyDescent="0.25">
      <c r="A359" s="7">
        <v>4012</v>
      </c>
      <c r="B359" s="7">
        <v>7</v>
      </c>
      <c r="C359" s="7" t="s">
        <v>360</v>
      </c>
      <c r="D359" s="4">
        <v>7</v>
      </c>
      <c r="E359" s="10">
        <v>0</v>
      </c>
      <c r="F359" s="8">
        <f t="shared" si="125"/>
        <v>0</v>
      </c>
      <c r="G359" s="8">
        <f t="shared" si="126"/>
        <v>0</v>
      </c>
      <c r="H359" s="8">
        <f t="shared" si="127"/>
        <v>0</v>
      </c>
      <c r="I359" s="8">
        <f t="shared" si="128"/>
        <v>0</v>
      </c>
      <c r="J359" s="8">
        <f t="shared" si="129"/>
        <v>0</v>
      </c>
      <c r="K359" s="8">
        <f t="shared" si="130"/>
        <v>0</v>
      </c>
      <c r="L359" s="8">
        <f t="shared" si="131"/>
        <v>0</v>
      </c>
      <c r="M359" s="8">
        <f t="shared" si="132"/>
        <v>0</v>
      </c>
      <c r="N359" s="8">
        <f t="shared" si="133"/>
        <v>0</v>
      </c>
      <c r="O359" s="8">
        <f t="shared" si="134"/>
        <v>0</v>
      </c>
      <c r="P359" s="8">
        <f t="shared" si="135"/>
        <v>0</v>
      </c>
      <c r="Q359" s="8">
        <f t="shared" si="136"/>
        <v>0</v>
      </c>
      <c r="R359" s="8">
        <f t="shared" si="137"/>
        <v>0</v>
      </c>
      <c r="S359" s="8">
        <f t="shared" si="138"/>
        <v>0</v>
      </c>
      <c r="T359" s="8">
        <f t="shared" si="139"/>
        <v>0</v>
      </c>
      <c r="U359" s="8">
        <f t="shared" si="140"/>
        <v>0</v>
      </c>
      <c r="V359" s="8">
        <f t="shared" si="141"/>
        <v>0</v>
      </c>
      <c r="W359" s="8">
        <f t="shared" si="142"/>
        <v>0</v>
      </c>
      <c r="X359" s="8">
        <f t="shared" si="143"/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f t="shared" si="144"/>
        <v>0</v>
      </c>
      <c r="AI359" s="10">
        <v>0</v>
      </c>
      <c r="AJ359" s="10">
        <v>0</v>
      </c>
      <c r="AK359" s="10">
        <v>0</v>
      </c>
      <c r="AL359" s="10">
        <v>0</v>
      </c>
      <c r="AM359" s="10">
        <v>0</v>
      </c>
      <c r="AN359" s="10">
        <v>0</v>
      </c>
      <c r="AO359" s="10">
        <v>0</v>
      </c>
      <c r="AP359" s="10">
        <v>0</v>
      </c>
      <c r="AQ359" s="10">
        <v>0</v>
      </c>
      <c r="AR359" s="10">
        <v>0</v>
      </c>
      <c r="AS359" s="10">
        <f t="shared" si="124"/>
        <v>0</v>
      </c>
      <c r="AT359" s="10">
        <v>0</v>
      </c>
      <c r="AU359" s="12">
        <v>0</v>
      </c>
      <c r="AV359" s="12">
        <v>0</v>
      </c>
      <c r="AW359" s="12">
        <v>0</v>
      </c>
      <c r="AX359" s="12">
        <f t="shared" si="145"/>
        <v>0</v>
      </c>
      <c r="AY359" s="12">
        <v>0</v>
      </c>
      <c r="AZ359" s="12">
        <v>0</v>
      </c>
      <c r="BA359" s="12">
        <v>0</v>
      </c>
      <c r="BB359" s="12">
        <f t="shared" si="146"/>
        <v>0</v>
      </c>
      <c r="BC359" s="12">
        <v>0</v>
      </c>
      <c r="BD359" s="12">
        <v>0</v>
      </c>
      <c r="BE359" s="12">
        <v>0</v>
      </c>
      <c r="BF359" s="12">
        <v>0</v>
      </c>
    </row>
    <row r="360" spans="1:58" x14ac:dyDescent="0.25">
      <c r="A360" s="7">
        <v>4015</v>
      </c>
      <c r="B360" s="7">
        <v>7</v>
      </c>
      <c r="C360" s="7" t="s">
        <v>361</v>
      </c>
      <c r="D360" s="4">
        <v>7</v>
      </c>
      <c r="E360" s="10">
        <v>771</v>
      </c>
      <c r="F360" s="8">
        <f t="shared" si="125"/>
        <v>30475.75</v>
      </c>
      <c r="G360" s="8">
        <f t="shared" si="126"/>
        <v>19086.400000000001</v>
      </c>
      <c r="H360" s="8">
        <f t="shared" si="127"/>
        <v>1908</v>
      </c>
      <c r="I360" s="8">
        <f t="shared" si="128"/>
        <v>4.0000000003710738</v>
      </c>
      <c r="J360" s="8">
        <f t="shared" si="129"/>
        <v>51474.150000000373</v>
      </c>
      <c r="K360" s="8">
        <f t="shared" si="130"/>
        <v>0</v>
      </c>
      <c r="L360" s="8">
        <f t="shared" si="131"/>
        <v>51474.150000000373</v>
      </c>
      <c r="M360" s="8">
        <f t="shared" si="132"/>
        <v>66.762840466926548</v>
      </c>
      <c r="N360" s="8">
        <f t="shared" si="133"/>
        <v>21320</v>
      </c>
      <c r="O360" s="8">
        <f t="shared" si="134"/>
        <v>0</v>
      </c>
      <c r="P360" s="8">
        <f t="shared" si="135"/>
        <v>0</v>
      </c>
      <c r="Q360" s="8">
        <f t="shared" si="136"/>
        <v>9065.75</v>
      </c>
      <c r="R360" s="8">
        <f t="shared" si="137"/>
        <v>90</v>
      </c>
      <c r="S360" s="8">
        <f t="shared" si="138"/>
        <v>0</v>
      </c>
      <c r="T360" s="8">
        <f t="shared" si="139"/>
        <v>19086.400000000001</v>
      </c>
      <c r="U360" s="8">
        <f t="shared" si="140"/>
        <v>1908</v>
      </c>
      <c r="V360" s="8">
        <f t="shared" si="141"/>
        <v>4</v>
      </c>
      <c r="W360" s="8">
        <f t="shared" si="142"/>
        <v>0</v>
      </c>
      <c r="X360" s="8">
        <f t="shared" si="143"/>
        <v>51474.150000000373</v>
      </c>
      <c r="Y360" s="10">
        <v>4951357</v>
      </c>
      <c r="Z360" s="10">
        <v>0</v>
      </c>
      <c r="AA360" s="10">
        <v>221</v>
      </c>
      <c r="AB360" s="10">
        <v>1801183</v>
      </c>
      <c r="AC360" s="10">
        <v>23191</v>
      </c>
      <c r="AD360" s="10">
        <v>0</v>
      </c>
      <c r="AE360" s="10">
        <v>0</v>
      </c>
      <c r="AF360" s="10">
        <v>152640</v>
      </c>
      <c r="AG360" s="10">
        <v>99738</v>
      </c>
      <c r="AH360" s="10">
        <f t="shared" si="144"/>
        <v>445744.48400000017</v>
      </c>
      <c r="AI360" s="10">
        <v>7474074.4840000002</v>
      </c>
      <c r="AJ360" s="10">
        <v>4972677</v>
      </c>
      <c r="AK360" s="10">
        <v>0</v>
      </c>
      <c r="AL360" s="10">
        <v>221</v>
      </c>
      <c r="AM360" s="10">
        <v>1810248.75</v>
      </c>
      <c r="AN360" s="10">
        <v>23281</v>
      </c>
      <c r="AO360" s="10">
        <v>0</v>
      </c>
      <c r="AP360" s="10">
        <v>19086.400000000001</v>
      </c>
      <c r="AQ360" s="10">
        <v>154548</v>
      </c>
      <c r="AR360" s="10">
        <v>99742</v>
      </c>
      <c r="AS360" s="10">
        <f t="shared" si="124"/>
        <v>445744.48400000017</v>
      </c>
      <c r="AT360" s="10">
        <v>7525548.6340000005</v>
      </c>
      <c r="AU360" s="12">
        <v>0</v>
      </c>
      <c r="AV360" s="12">
        <v>0</v>
      </c>
      <c r="AW360" s="12">
        <v>0</v>
      </c>
      <c r="AX360" s="12">
        <f t="shared" si="145"/>
        <v>0</v>
      </c>
      <c r="AY360" s="12">
        <v>0</v>
      </c>
      <c r="AZ360" s="12">
        <v>0</v>
      </c>
      <c r="BA360" s="12">
        <v>0</v>
      </c>
      <c r="BB360" s="12">
        <f t="shared" si="146"/>
        <v>0</v>
      </c>
      <c r="BC360" s="12">
        <v>0</v>
      </c>
      <c r="BD360" s="12">
        <v>0</v>
      </c>
      <c r="BE360" s="12">
        <v>0</v>
      </c>
      <c r="BF360" s="12">
        <v>0</v>
      </c>
    </row>
    <row r="361" spans="1:58" x14ac:dyDescent="0.25">
      <c r="A361" s="7">
        <v>4016</v>
      </c>
      <c r="B361" s="7">
        <v>7</v>
      </c>
      <c r="C361" s="7" t="s">
        <v>362</v>
      </c>
      <c r="D361" s="4">
        <v>7</v>
      </c>
      <c r="E361" s="10">
        <v>214</v>
      </c>
      <c r="F361" s="8">
        <f t="shared" si="125"/>
        <v>5675</v>
      </c>
      <c r="G361" s="8">
        <f t="shared" si="126"/>
        <v>4125.32</v>
      </c>
      <c r="H361" s="8">
        <f t="shared" si="127"/>
        <v>0</v>
      </c>
      <c r="I361" s="8">
        <f t="shared" si="128"/>
        <v>-273.99999999993452</v>
      </c>
      <c r="J361" s="8">
        <f t="shared" si="129"/>
        <v>9526.3200000000652</v>
      </c>
      <c r="K361" s="8">
        <f t="shared" si="130"/>
        <v>0</v>
      </c>
      <c r="L361" s="8">
        <f t="shared" si="131"/>
        <v>9526.3200000000652</v>
      </c>
      <c r="M361" s="8">
        <f t="shared" si="132"/>
        <v>44.515514018691896</v>
      </c>
      <c r="N361" s="8">
        <f t="shared" si="133"/>
        <v>5605</v>
      </c>
      <c r="O361" s="8">
        <f t="shared" si="134"/>
        <v>0</v>
      </c>
      <c r="P361" s="8">
        <f t="shared" si="135"/>
        <v>13</v>
      </c>
      <c r="Q361" s="8">
        <f t="shared" si="136"/>
        <v>34</v>
      </c>
      <c r="R361" s="8">
        <f t="shared" si="137"/>
        <v>23</v>
      </c>
      <c r="S361" s="8">
        <f t="shared" si="138"/>
        <v>0</v>
      </c>
      <c r="T361" s="8">
        <f t="shared" si="139"/>
        <v>4125.32</v>
      </c>
      <c r="U361" s="8">
        <f t="shared" si="140"/>
        <v>0</v>
      </c>
      <c r="V361" s="8">
        <f t="shared" si="141"/>
        <v>1</v>
      </c>
      <c r="W361" s="8">
        <f t="shared" si="142"/>
        <v>-275</v>
      </c>
      <c r="X361" s="8">
        <f t="shared" si="143"/>
        <v>9526.3200000000652</v>
      </c>
      <c r="Y361" s="10">
        <v>1301705</v>
      </c>
      <c r="Z361" s="10">
        <v>0</v>
      </c>
      <c r="AA361" s="10">
        <v>3078</v>
      </c>
      <c r="AB361" s="10">
        <v>6755</v>
      </c>
      <c r="AC361" s="10">
        <v>6097</v>
      </c>
      <c r="AD361" s="10">
        <v>0</v>
      </c>
      <c r="AE361" s="10">
        <v>0</v>
      </c>
      <c r="AF361" s="10">
        <v>0</v>
      </c>
      <c r="AG361" s="10">
        <v>26221</v>
      </c>
      <c r="AH361" s="10">
        <f t="shared" si="144"/>
        <v>6321.5449999999255</v>
      </c>
      <c r="AI361" s="10">
        <v>1350177.5449999999</v>
      </c>
      <c r="AJ361" s="10">
        <v>1307310</v>
      </c>
      <c r="AK361" s="10">
        <v>0</v>
      </c>
      <c r="AL361" s="10">
        <v>3091</v>
      </c>
      <c r="AM361" s="10">
        <v>6789</v>
      </c>
      <c r="AN361" s="10">
        <v>6120</v>
      </c>
      <c r="AO361" s="10">
        <v>0</v>
      </c>
      <c r="AP361" s="10">
        <v>4125.32</v>
      </c>
      <c r="AQ361" s="10">
        <v>0</v>
      </c>
      <c r="AR361" s="10">
        <v>26222</v>
      </c>
      <c r="AS361" s="10">
        <f t="shared" si="124"/>
        <v>6046.5449999999255</v>
      </c>
      <c r="AT361" s="10">
        <v>1359703.865</v>
      </c>
      <c r="AU361" s="12">
        <v>0</v>
      </c>
      <c r="AV361" s="12">
        <v>0</v>
      </c>
      <c r="AW361" s="12">
        <v>0</v>
      </c>
      <c r="AX361" s="12">
        <f t="shared" si="145"/>
        <v>0</v>
      </c>
      <c r="AY361" s="12">
        <v>0</v>
      </c>
      <c r="AZ361" s="12">
        <v>0</v>
      </c>
      <c r="BA361" s="12">
        <v>0</v>
      </c>
      <c r="BB361" s="12">
        <f t="shared" si="146"/>
        <v>0</v>
      </c>
      <c r="BC361" s="12">
        <v>0</v>
      </c>
      <c r="BD361" s="12">
        <v>0</v>
      </c>
      <c r="BE361" s="12">
        <v>0</v>
      </c>
      <c r="BF361" s="12">
        <v>0</v>
      </c>
    </row>
    <row r="362" spans="1:58" x14ac:dyDescent="0.25">
      <c r="A362" s="7">
        <v>4017</v>
      </c>
      <c r="B362" s="7">
        <v>7</v>
      </c>
      <c r="C362" s="7" t="s">
        <v>363</v>
      </c>
      <c r="D362" s="4">
        <v>7</v>
      </c>
      <c r="E362" s="10">
        <v>3010</v>
      </c>
      <c r="F362" s="8">
        <f t="shared" si="125"/>
        <v>102590.25</v>
      </c>
      <c r="G362" s="8">
        <f t="shared" si="126"/>
        <v>0</v>
      </c>
      <c r="H362" s="8">
        <f t="shared" si="127"/>
        <v>13921</v>
      </c>
      <c r="I362" s="8">
        <f t="shared" si="128"/>
        <v>16</v>
      </c>
      <c r="J362" s="8">
        <f t="shared" si="129"/>
        <v>116527.25</v>
      </c>
      <c r="K362" s="8">
        <f t="shared" si="130"/>
        <v>691.19999999999709</v>
      </c>
      <c r="L362" s="8">
        <f t="shared" si="131"/>
        <v>117218.45</v>
      </c>
      <c r="M362" s="8">
        <f t="shared" si="132"/>
        <v>38.713372093023253</v>
      </c>
      <c r="N362" s="8">
        <f t="shared" si="133"/>
        <v>85550</v>
      </c>
      <c r="O362" s="8">
        <f t="shared" si="134"/>
        <v>0</v>
      </c>
      <c r="P362" s="8">
        <f t="shared" si="135"/>
        <v>4</v>
      </c>
      <c r="Q362" s="8">
        <f t="shared" si="136"/>
        <v>16676.25</v>
      </c>
      <c r="R362" s="8">
        <f t="shared" si="137"/>
        <v>360</v>
      </c>
      <c r="S362" s="8">
        <f t="shared" si="138"/>
        <v>0</v>
      </c>
      <c r="T362" s="8">
        <f t="shared" si="139"/>
        <v>0</v>
      </c>
      <c r="U362" s="8">
        <f t="shared" si="140"/>
        <v>13921</v>
      </c>
      <c r="V362" s="8">
        <f t="shared" si="141"/>
        <v>16</v>
      </c>
      <c r="W362" s="8">
        <f t="shared" si="142"/>
        <v>0</v>
      </c>
      <c r="X362" s="8">
        <f t="shared" si="143"/>
        <v>116527.25</v>
      </c>
      <c r="Y362" s="10">
        <v>19868132</v>
      </c>
      <c r="Z362" s="10">
        <v>0</v>
      </c>
      <c r="AA362" s="10">
        <v>885</v>
      </c>
      <c r="AB362" s="10">
        <v>3313237</v>
      </c>
      <c r="AC362" s="10">
        <v>93057</v>
      </c>
      <c r="AD362" s="10">
        <v>0</v>
      </c>
      <c r="AE362" s="10">
        <v>621000</v>
      </c>
      <c r="AF362" s="10">
        <v>165729</v>
      </c>
      <c r="AG362" s="10">
        <v>400214</v>
      </c>
      <c r="AH362" s="10">
        <f t="shared" si="144"/>
        <v>1623592.9030000009</v>
      </c>
      <c r="AI362" s="10">
        <v>26085846.903000001</v>
      </c>
      <c r="AJ362" s="10">
        <v>19953682</v>
      </c>
      <c r="AK362" s="10">
        <v>0</v>
      </c>
      <c r="AL362" s="10">
        <v>889</v>
      </c>
      <c r="AM362" s="10">
        <v>3329913.25</v>
      </c>
      <c r="AN362" s="10">
        <v>93417</v>
      </c>
      <c r="AO362" s="10">
        <v>0</v>
      </c>
      <c r="AP362" s="10">
        <v>621000</v>
      </c>
      <c r="AQ362" s="10">
        <v>179650</v>
      </c>
      <c r="AR362" s="10">
        <v>400230</v>
      </c>
      <c r="AS362" s="10">
        <f t="shared" si="124"/>
        <v>1623592.9030000009</v>
      </c>
      <c r="AT362" s="10">
        <v>26202374.153000001</v>
      </c>
      <c r="AU362" s="12">
        <v>0</v>
      </c>
      <c r="AV362" s="12">
        <v>0</v>
      </c>
      <c r="AW362" s="12">
        <v>12638.75</v>
      </c>
      <c r="AX362" s="12">
        <f t="shared" si="145"/>
        <v>12638.75</v>
      </c>
      <c r="AY362" s="12">
        <v>0</v>
      </c>
      <c r="AZ362" s="12">
        <v>0</v>
      </c>
      <c r="BA362" s="12">
        <v>13329.95</v>
      </c>
      <c r="BB362" s="12">
        <f t="shared" si="146"/>
        <v>13329.95</v>
      </c>
      <c r="BC362" s="12">
        <v>0</v>
      </c>
      <c r="BD362" s="12">
        <v>0</v>
      </c>
      <c r="BE362" s="12">
        <v>691.19999999999709</v>
      </c>
      <c r="BF362" s="12">
        <v>691.19999999999709</v>
      </c>
    </row>
    <row r="363" spans="1:58" x14ac:dyDescent="0.25">
      <c r="A363" s="7">
        <v>4018</v>
      </c>
      <c r="B363" s="7">
        <v>7</v>
      </c>
      <c r="C363" s="7" t="s">
        <v>364</v>
      </c>
      <c r="D363" s="4">
        <v>7</v>
      </c>
      <c r="E363" s="10">
        <v>420</v>
      </c>
      <c r="F363" s="8">
        <f t="shared" si="125"/>
        <v>16396</v>
      </c>
      <c r="G363" s="8">
        <f t="shared" si="126"/>
        <v>10479.400000000001</v>
      </c>
      <c r="H363" s="8">
        <f t="shared" si="127"/>
        <v>25863</v>
      </c>
      <c r="I363" s="8">
        <f t="shared" si="128"/>
        <v>1.9999999999054126</v>
      </c>
      <c r="J363" s="8">
        <f t="shared" si="129"/>
        <v>52740.399999999907</v>
      </c>
      <c r="K363" s="8">
        <f t="shared" si="130"/>
        <v>0</v>
      </c>
      <c r="L363" s="8">
        <f t="shared" si="131"/>
        <v>52740.399999999907</v>
      </c>
      <c r="M363" s="8">
        <f t="shared" si="132"/>
        <v>125.57238095238073</v>
      </c>
      <c r="N363" s="8">
        <f t="shared" si="133"/>
        <v>10920</v>
      </c>
      <c r="O363" s="8">
        <f t="shared" si="134"/>
        <v>0</v>
      </c>
      <c r="P363" s="8">
        <f t="shared" si="135"/>
        <v>0</v>
      </c>
      <c r="Q363" s="8">
        <f t="shared" si="136"/>
        <v>5430</v>
      </c>
      <c r="R363" s="8">
        <f t="shared" si="137"/>
        <v>46</v>
      </c>
      <c r="S363" s="8">
        <f t="shared" si="138"/>
        <v>0</v>
      </c>
      <c r="T363" s="8">
        <f t="shared" si="139"/>
        <v>10479.400000000001</v>
      </c>
      <c r="U363" s="8">
        <f t="shared" si="140"/>
        <v>25863</v>
      </c>
      <c r="V363" s="8">
        <f t="shared" si="141"/>
        <v>2</v>
      </c>
      <c r="W363" s="8">
        <f t="shared" si="142"/>
        <v>0</v>
      </c>
      <c r="X363" s="8">
        <f t="shared" si="143"/>
        <v>52740.399999999907</v>
      </c>
      <c r="Y363" s="10">
        <v>2536061</v>
      </c>
      <c r="Z363" s="10">
        <v>0</v>
      </c>
      <c r="AA363" s="10">
        <v>113</v>
      </c>
      <c r="AB363" s="10">
        <v>1078832</v>
      </c>
      <c r="AC363" s="10">
        <v>11878</v>
      </c>
      <c r="AD363" s="10">
        <v>0</v>
      </c>
      <c r="AE363" s="10">
        <v>0</v>
      </c>
      <c r="AF363" s="10">
        <v>133560</v>
      </c>
      <c r="AG363" s="10">
        <v>51085</v>
      </c>
      <c r="AH363" s="10">
        <f t="shared" si="144"/>
        <v>325398.64000000013</v>
      </c>
      <c r="AI363" s="10">
        <v>4136927.64</v>
      </c>
      <c r="AJ363" s="10">
        <v>2546981</v>
      </c>
      <c r="AK363" s="10">
        <v>0</v>
      </c>
      <c r="AL363" s="10">
        <v>113</v>
      </c>
      <c r="AM363" s="10">
        <v>1084262</v>
      </c>
      <c r="AN363" s="10">
        <v>11924</v>
      </c>
      <c r="AO363" s="10">
        <v>0</v>
      </c>
      <c r="AP363" s="10">
        <v>10479.400000000001</v>
      </c>
      <c r="AQ363" s="10">
        <v>159423</v>
      </c>
      <c r="AR363" s="10">
        <v>51087</v>
      </c>
      <c r="AS363" s="10">
        <f t="shared" si="124"/>
        <v>325398.64000000013</v>
      </c>
      <c r="AT363" s="10">
        <v>4189668.04</v>
      </c>
      <c r="AU363" s="12">
        <v>0</v>
      </c>
      <c r="AV363" s="12">
        <v>0</v>
      </c>
      <c r="AW363" s="12">
        <v>0</v>
      </c>
      <c r="AX363" s="12">
        <f t="shared" si="145"/>
        <v>0</v>
      </c>
      <c r="AY363" s="12">
        <v>0</v>
      </c>
      <c r="AZ363" s="12">
        <v>0</v>
      </c>
      <c r="BA363" s="12">
        <v>0</v>
      </c>
      <c r="BB363" s="12">
        <f t="shared" si="146"/>
        <v>0</v>
      </c>
      <c r="BC363" s="12">
        <v>0</v>
      </c>
      <c r="BD363" s="12">
        <v>0</v>
      </c>
      <c r="BE363" s="12">
        <v>0</v>
      </c>
      <c r="BF363" s="12">
        <v>0</v>
      </c>
    </row>
    <row r="364" spans="1:58" x14ac:dyDescent="0.25">
      <c r="A364" s="7">
        <v>4019</v>
      </c>
      <c r="B364" s="7">
        <v>7</v>
      </c>
      <c r="C364" s="7" t="s">
        <v>365</v>
      </c>
      <c r="D364" s="4">
        <v>7</v>
      </c>
      <c r="E364" s="10">
        <v>0</v>
      </c>
      <c r="F364" s="8">
        <f t="shared" si="125"/>
        <v>0</v>
      </c>
      <c r="G364" s="8">
        <f t="shared" si="126"/>
        <v>0</v>
      </c>
      <c r="H364" s="8">
        <f t="shared" si="127"/>
        <v>0</v>
      </c>
      <c r="I364" s="8">
        <f t="shared" si="128"/>
        <v>0</v>
      </c>
      <c r="J364" s="8">
        <f t="shared" si="129"/>
        <v>0</v>
      </c>
      <c r="K364" s="8">
        <f t="shared" si="130"/>
        <v>0</v>
      </c>
      <c r="L364" s="8">
        <f t="shared" si="131"/>
        <v>0</v>
      </c>
      <c r="M364" s="8">
        <f t="shared" si="132"/>
        <v>0</v>
      </c>
      <c r="N364" s="8">
        <f t="shared" si="133"/>
        <v>0</v>
      </c>
      <c r="O364" s="8">
        <f t="shared" si="134"/>
        <v>0</v>
      </c>
      <c r="P364" s="8">
        <f t="shared" si="135"/>
        <v>0</v>
      </c>
      <c r="Q364" s="8">
        <f t="shared" si="136"/>
        <v>0</v>
      </c>
      <c r="R364" s="8">
        <f t="shared" si="137"/>
        <v>0</v>
      </c>
      <c r="S364" s="8">
        <f t="shared" si="138"/>
        <v>0</v>
      </c>
      <c r="T364" s="8">
        <f t="shared" si="139"/>
        <v>0</v>
      </c>
      <c r="U364" s="8">
        <f t="shared" si="140"/>
        <v>0</v>
      </c>
      <c r="V364" s="8">
        <f t="shared" si="141"/>
        <v>0</v>
      </c>
      <c r="W364" s="8">
        <f t="shared" si="142"/>
        <v>0</v>
      </c>
      <c r="X364" s="8">
        <f t="shared" si="143"/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f t="shared" si="144"/>
        <v>0</v>
      </c>
      <c r="AI364" s="10">
        <v>0</v>
      </c>
      <c r="AJ364" s="10">
        <v>0</v>
      </c>
      <c r="AK364" s="10">
        <v>0</v>
      </c>
      <c r="AL364" s="10">
        <v>0</v>
      </c>
      <c r="AM364" s="10">
        <v>0</v>
      </c>
      <c r="AN364" s="10">
        <v>0</v>
      </c>
      <c r="AO364" s="10">
        <v>0</v>
      </c>
      <c r="AP364" s="10">
        <v>0</v>
      </c>
      <c r="AQ364" s="10">
        <v>0</v>
      </c>
      <c r="AR364" s="10">
        <v>0</v>
      </c>
      <c r="AS364" s="10">
        <f t="shared" si="124"/>
        <v>0</v>
      </c>
      <c r="AT364" s="10">
        <v>0</v>
      </c>
      <c r="AU364" s="12">
        <v>0</v>
      </c>
      <c r="AV364" s="12">
        <v>0</v>
      </c>
      <c r="AW364" s="12">
        <v>0</v>
      </c>
      <c r="AX364" s="12">
        <f t="shared" si="145"/>
        <v>0</v>
      </c>
      <c r="AY364" s="12">
        <v>0</v>
      </c>
      <c r="AZ364" s="12">
        <v>0</v>
      </c>
      <c r="BA364" s="12">
        <v>0</v>
      </c>
      <c r="BB364" s="12">
        <f t="shared" si="146"/>
        <v>0</v>
      </c>
      <c r="BC364" s="12">
        <v>0</v>
      </c>
      <c r="BD364" s="12">
        <v>0</v>
      </c>
      <c r="BE364" s="12">
        <v>0</v>
      </c>
      <c r="BF364" s="12">
        <v>0</v>
      </c>
    </row>
    <row r="365" spans="1:58" x14ac:dyDescent="0.25">
      <c r="A365" s="7">
        <v>4020</v>
      </c>
      <c r="B365" s="7">
        <v>7</v>
      </c>
      <c r="C365" s="7" t="s">
        <v>366</v>
      </c>
      <c r="D365" s="4">
        <v>7</v>
      </c>
      <c r="E365" s="10">
        <v>1299</v>
      </c>
      <c r="F365" s="8">
        <f t="shared" si="125"/>
        <v>36795</v>
      </c>
      <c r="G365" s="8">
        <f t="shared" si="126"/>
        <v>0</v>
      </c>
      <c r="H365" s="8">
        <f t="shared" si="127"/>
        <v>0</v>
      </c>
      <c r="I365" s="8">
        <f t="shared" si="128"/>
        <v>6</v>
      </c>
      <c r="J365" s="8">
        <f t="shared" si="129"/>
        <v>36801</v>
      </c>
      <c r="K365" s="8">
        <f t="shared" si="130"/>
        <v>4846</v>
      </c>
      <c r="L365" s="8">
        <f t="shared" si="131"/>
        <v>41647</v>
      </c>
      <c r="M365" s="8">
        <f t="shared" si="132"/>
        <v>28.330254041570438</v>
      </c>
      <c r="N365" s="8">
        <f t="shared" si="133"/>
        <v>32313</v>
      </c>
      <c r="O365" s="8">
        <f t="shared" si="134"/>
        <v>0</v>
      </c>
      <c r="P365" s="8">
        <f t="shared" si="135"/>
        <v>407</v>
      </c>
      <c r="Q365" s="8">
        <f t="shared" si="136"/>
        <v>3939</v>
      </c>
      <c r="R365" s="8">
        <f t="shared" si="137"/>
        <v>136</v>
      </c>
      <c r="S365" s="8">
        <f t="shared" si="138"/>
        <v>0</v>
      </c>
      <c r="T365" s="8">
        <f t="shared" si="139"/>
        <v>0</v>
      </c>
      <c r="U365" s="8">
        <f t="shared" si="140"/>
        <v>0</v>
      </c>
      <c r="V365" s="8">
        <f t="shared" si="141"/>
        <v>6</v>
      </c>
      <c r="W365" s="8">
        <f t="shared" si="142"/>
        <v>0</v>
      </c>
      <c r="X365" s="8">
        <f t="shared" si="143"/>
        <v>36801</v>
      </c>
      <c r="Y365" s="10">
        <v>7504255</v>
      </c>
      <c r="Z365" s="10">
        <v>0</v>
      </c>
      <c r="AA365" s="10">
        <v>94351</v>
      </c>
      <c r="AB365" s="10">
        <v>782601</v>
      </c>
      <c r="AC365" s="10">
        <v>35148</v>
      </c>
      <c r="AD365" s="10">
        <v>0</v>
      </c>
      <c r="AE365" s="10">
        <v>327250</v>
      </c>
      <c r="AF365" s="10">
        <v>14749</v>
      </c>
      <c r="AG365" s="10">
        <v>151162</v>
      </c>
      <c r="AH365" s="10">
        <f t="shared" si="144"/>
        <v>414601.18999999948</v>
      </c>
      <c r="AI365" s="10">
        <v>9324117.1899999995</v>
      </c>
      <c r="AJ365" s="10">
        <v>7536568</v>
      </c>
      <c r="AK365" s="10">
        <v>0</v>
      </c>
      <c r="AL365" s="10">
        <v>94758</v>
      </c>
      <c r="AM365" s="10">
        <v>786540</v>
      </c>
      <c r="AN365" s="10">
        <v>35284</v>
      </c>
      <c r="AO365" s="10">
        <v>0</v>
      </c>
      <c r="AP365" s="10">
        <v>327250</v>
      </c>
      <c r="AQ365" s="10">
        <v>14749</v>
      </c>
      <c r="AR365" s="10">
        <v>151168</v>
      </c>
      <c r="AS365" s="10">
        <f t="shared" si="124"/>
        <v>414601.18999999948</v>
      </c>
      <c r="AT365" s="10">
        <v>9360918.1899999995</v>
      </c>
      <c r="AU365" s="12">
        <v>0</v>
      </c>
      <c r="AV365" s="12">
        <v>0</v>
      </c>
      <c r="AW365" s="12">
        <v>14882.5</v>
      </c>
      <c r="AX365" s="12">
        <f t="shared" si="145"/>
        <v>14882.5</v>
      </c>
      <c r="AY365" s="12">
        <v>0</v>
      </c>
      <c r="AZ365" s="12">
        <v>0</v>
      </c>
      <c r="BA365" s="12">
        <v>19728.5</v>
      </c>
      <c r="BB365" s="12">
        <f t="shared" si="146"/>
        <v>19728.5</v>
      </c>
      <c r="BC365" s="12">
        <v>0</v>
      </c>
      <c r="BD365" s="12">
        <v>0</v>
      </c>
      <c r="BE365" s="12">
        <v>4846</v>
      </c>
      <c r="BF365" s="12">
        <v>4846</v>
      </c>
    </row>
    <row r="366" spans="1:58" x14ac:dyDescent="0.25">
      <c r="A366" s="7">
        <v>4021</v>
      </c>
      <c r="B366" s="7">
        <v>7</v>
      </c>
      <c r="C366" s="7" t="s">
        <v>367</v>
      </c>
      <c r="D366" s="4">
        <v>7</v>
      </c>
      <c r="E366" s="10">
        <v>0</v>
      </c>
      <c r="F366" s="8">
        <f t="shared" si="125"/>
        <v>0</v>
      </c>
      <c r="G366" s="8">
        <f t="shared" si="126"/>
        <v>0</v>
      </c>
      <c r="H366" s="8">
        <f t="shared" si="127"/>
        <v>0</v>
      </c>
      <c r="I366" s="8">
        <f t="shared" si="128"/>
        <v>0</v>
      </c>
      <c r="J366" s="8">
        <f t="shared" si="129"/>
        <v>0</v>
      </c>
      <c r="K366" s="8">
        <f t="shared" si="130"/>
        <v>0</v>
      </c>
      <c r="L366" s="8">
        <f t="shared" si="131"/>
        <v>0</v>
      </c>
      <c r="M366" s="8">
        <f t="shared" si="132"/>
        <v>0</v>
      </c>
      <c r="N366" s="8">
        <f t="shared" si="133"/>
        <v>0</v>
      </c>
      <c r="O366" s="8">
        <f t="shared" si="134"/>
        <v>0</v>
      </c>
      <c r="P366" s="8">
        <f t="shared" si="135"/>
        <v>0</v>
      </c>
      <c r="Q366" s="8">
        <f t="shared" si="136"/>
        <v>0</v>
      </c>
      <c r="R366" s="8">
        <f t="shared" si="137"/>
        <v>0</v>
      </c>
      <c r="S366" s="8">
        <f t="shared" si="138"/>
        <v>0</v>
      </c>
      <c r="T366" s="8">
        <f t="shared" si="139"/>
        <v>0</v>
      </c>
      <c r="U366" s="8">
        <f t="shared" si="140"/>
        <v>0</v>
      </c>
      <c r="V366" s="8">
        <f t="shared" si="141"/>
        <v>0</v>
      </c>
      <c r="W366" s="8">
        <f t="shared" si="142"/>
        <v>0</v>
      </c>
      <c r="X366" s="8">
        <f t="shared" si="143"/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f t="shared" si="144"/>
        <v>0</v>
      </c>
      <c r="AI366" s="10">
        <v>0</v>
      </c>
      <c r="AJ366" s="10">
        <v>0</v>
      </c>
      <c r="AK366" s="10">
        <v>0</v>
      </c>
      <c r="AL366" s="10">
        <v>0</v>
      </c>
      <c r="AM366" s="10">
        <v>0</v>
      </c>
      <c r="AN366" s="10">
        <v>0</v>
      </c>
      <c r="AO366" s="10">
        <v>0</v>
      </c>
      <c r="AP366" s="10">
        <v>0</v>
      </c>
      <c r="AQ366" s="10">
        <v>0</v>
      </c>
      <c r="AR366" s="10">
        <v>0</v>
      </c>
      <c r="AS366" s="10">
        <f t="shared" si="124"/>
        <v>0</v>
      </c>
      <c r="AT366" s="10">
        <v>0</v>
      </c>
      <c r="AU366" s="12">
        <v>0</v>
      </c>
      <c r="AV366" s="12">
        <v>0</v>
      </c>
      <c r="AW366" s="12">
        <v>0</v>
      </c>
      <c r="AX366" s="12">
        <f t="shared" si="145"/>
        <v>0</v>
      </c>
      <c r="AY366" s="12">
        <v>0</v>
      </c>
      <c r="AZ366" s="12">
        <v>0</v>
      </c>
      <c r="BA366" s="12">
        <v>0</v>
      </c>
      <c r="BB366" s="12">
        <f t="shared" si="146"/>
        <v>0</v>
      </c>
      <c r="BC366" s="12">
        <v>0</v>
      </c>
      <c r="BD366" s="12">
        <v>0</v>
      </c>
      <c r="BE366" s="12">
        <v>0</v>
      </c>
      <c r="BF366" s="12">
        <v>0</v>
      </c>
    </row>
    <row r="367" spans="1:58" x14ac:dyDescent="0.25">
      <c r="A367" s="7">
        <v>4025</v>
      </c>
      <c r="B367" s="7">
        <v>7</v>
      </c>
      <c r="C367" s="7" t="s">
        <v>368</v>
      </c>
      <c r="D367" s="4">
        <v>7</v>
      </c>
      <c r="E367" s="10">
        <v>150</v>
      </c>
      <c r="F367" s="8">
        <f t="shared" si="125"/>
        <v>4424.5</v>
      </c>
      <c r="G367" s="8">
        <f t="shared" si="126"/>
        <v>0</v>
      </c>
      <c r="H367" s="8">
        <f t="shared" si="127"/>
        <v>0</v>
      </c>
      <c r="I367" s="8">
        <f t="shared" si="128"/>
        <v>1</v>
      </c>
      <c r="J367" s="8">
        <f t="shared" si="129"/>
        <v>4425.5</v>
      </c>
      <c r="K367" s="8">
        <f t="shared" si="130"/>
        <v>0</v>
      </c>
      <c r="L367" s="8">
        <f t="shared" si="131"/>
        <v>4425.5</v>
      </c>
      <c r="M367" s="8">
        <f t="shared" si="132"/>
        <v>29.503333333333334</v>
      </c>
      <c r="N367" s="8">
        <f t="shared" si="133"/>
        <v>4275</v>
      </c>
      <c r="O367" s="8">
        <f t="shared" si="134"/>
        <v>0</v>
      </c>
      <c r="P367" s="8">
        <f t="shared" si="135"/>
        <v>0</v>
      </c>
      <c r="Q367" s="8">
        <f t="shared" si="136"/>
        <v>131.5</v>
      </c>
      <c r="R367" s="8">
        <f t="shared" si="137"/>
        <v>18</v>
      </c>
      <c r="S367" s="8">
        <f t="shared" si="138"/>
        <v>0</v>
      </c>
      <c r="T367" s="8">
        <f t="shared" si="139"/>
        <v>0</v>
      </c>
      <c r="U367" s="8">
        <f t="shared" si="140"/>
        <v>0</v>
      </c>
      <c r="V367" s="8">
        <f t="shared" si="141"/>
        <v>1</v>
      </c>
      <c r="W367" s="8">
        <f t="shared" si="142"/>
        <v>0</v>
      </c>
      <c r="X367" s="8">
        <f t="shared" si="143"/>
        <v>4425.5</v>
      </c>
      <c r="Y367" s="10">
        <v>992826</v>
      </c>
      <c r="Z367" s="10">
        <v>0</v>
      </c>
      <c r="AA367" s="10">
        <v>44</v>
      </c>
      <c r="AB367" s="10">
        <v>26126</v>
      </c>
      <c r="AC367" s="10">
        <v>4650</v>
      </c>
      <c r="AD367" s="10">
        <v>0</v>
      </c>
      <c r="AE367" s="10">
        <v>36500</v>
      </c>
      <c r="AF367" s="10">
        <v>0</v>
      </c>
      <c r="AG367" s="10">
        <v>19999</v>
      </c>
      <c r="AH367" s="10">
        <f t="shared" si="144"/>
        <v>69328.620000000112</v>
      </c>
      <c r="AI367" s="10">
        <v>1149473.6200000001</v>
      </c>
      <c r="AJ367" s="10">
        <v>997101</v>
      </c>
      <c r="AK367" s="10">
        <v>0</v>
      </c>
      <c r="AL367" s="10">
        <v>44</v>
      </c>
      <c r="AM367" s="10">
        <v>26257.5</v>
      </c>
      <c r="AN367" s="10">
        <v>4668</v>
      </c>
      <c r="AO367" s="10">
        <v>0</v>
      </c>
      <c r="AP367" s="10">
        <v>36500</v>
      </c>
      <c r="AQ367" s="10">
        <v>0</v>
      </c>
      <c r="AR367" s="10">
        <v>20000</v>
      </c>
      <c r="AS367" s="10">
        <f t="shared" si="124"/>
        <v>69328.620000000112</v>
      </c>
      <c r="AT367" s="10">
        <v>1153899.1200000001</v>
      </c>
      <c r="AU367" s="12">
        <v>0</v>
      </c>
      <c r="AV367" s="12">
        <v>0</v>
      </c>
      <c r="AW367" s="12">
        <v>0</v>
      </c>
      <c r="AX367" s="12">
        <f t="shared" si="145"/>
        <v>0</v>
      </c>
      <c r="AY367" s="12">
        <v>0</v>
      </c>
      <c r="AZ367" s="12">
        <v>0</v>
      </c>
      <c r="BA367" s="12">
        <v>0</v>
      </c>
      <c r="BB367" s="12">
        <f t="shared" si="146"/>
        <v>0</v>
      </c>
      <c r="BC367" s="12">
        <v>0</v>
      </c>
      <c r="BD367" s="12">
        <v>0</v>
      </c>
      <c r="BE367" s="12">
        <v>0</v>
      </c>
      <c r="BF367" s="12">
        <v>0</v>
      </c>
    </row>
    <row r="368" spans="1:58" x14ac:dyDescent="0.25">
      <c r="A368" s="7">
        <v>4026</v>
      </c>
      <c r="B368" s="7">
        <v>7</v>
      </c>
      <c r="C368" s="7" t="s">
        <v>369</v>
      </c>
      <c r="D368" s="4">
        <v>7</v>
      </c>
      <c r="E368" s="10">
        <v>110</v>
      </c>
      <c r="F368" s="8">
        <f t="shared" si="125"/>
        <v>3870.25</v>
      </c>
      <c r="G368" s="8">
        <f t="shared" si="126"/>
        <v>0</v>
      </c>
      <c r="H368" s="8">
        <f t="shared" si="127"/>
        <v>0</v>
      </c>
      <c r="I368" s="8">
        <f t="shared" si="128"/>
        <v>1</v>
      </c>
      <c r="J368" s="8">
        <f t="shared" si="129"/>
        <v>3871.25</v>
      </c>
      <c r="K368" s="8">
        <f t="shared" si="130"/>
        <v>1868.7999999999993</v>
      </c>
      <c r="L368" s="8">
        <f t="shared" si="131"/>
        <v>5740.0499999999993</v>
      </c>
      <c r="M368" s="8">
        <f t="shared" si="132"/>
        <v>35.19318181818182</v>
      </c>
      <c r="N368" s="8">
        <f t="shared" si="133"/>
        <v>3025</v>
      </c>
      <c r="O368" s="8">
        <f t="shared" si="134"/>
        <v>28</v>
      </c>
      <c r="P368" s="8">
        <f t="shared" si="135"/>
        <v>127</v>
      </c>
      <c r="Q368" s="8">
        <f t="shared" si="136"/>
        <v>677.25</v>
      </c>
      <c r="R368" s="8">
        <f t="shared" si="137"/>
        <v>13</v>
      </c>
      <c r="S368" s="8">
        <f t="shared" si="138"/>
        <v>0</v>
      </c>
      <c r="T368" s="8">
        <f t="shared" si="139"/>
        <v>0</v>
      </c>
      <c r="U368" s="8">
        <f t="shared" si="140"/>
        <v>0</v>
      </c>
      <c r="V368" s="8">
        <f t="shared" si="141"/>
        <v>1</v>
      </c>
      <c r="W368" s="8">
        <f t="shared" si="142"/>
        <v>0</v>
      </c>
      <c r="X368" s="8">
        <f t="shared" si="143"/>
        <v>3871.25</v>
      </c>
      <c r="Y368" s="10">
        <v>702526</v>
      </c>
      <c r="Z368" s="10">
        <v>6503</v>
      </c>
      <c r="AA368" s="10">
        <v>29398</v>
      </c>
      <c r="AB368" s="10">
        <v>134556</v>
      </c>
      <c r="AC368" s="10">
        <v>3290</v>
      </c>
      <c r="AD368" s="10">
        <v>0</v>
      </c>
      <c r="AE368" s="10">
        <v>29250</v>
      </c>
      <c r="AF368" s="10">
        <v>0</v>
      </c>
      <c r="AG368" s="10">
        <v>14151</v>
      </c>
      <c r="AH368" s="10">
        <f t="shared" si="144"/>
        <v>83943.645359999966</v>
      </c>
      <c r="AI368" s="10">
        <v>1003617.64536</v>
      </c>
      <c r="AJ368" s="10">
        <v>705551</v>
      </c>
      <c r="AK368" s="10">
        <v>6531</v>
      </c>
      <c r="AL368" s="10">
        <v>29525</v>
      </c>
      <c r="AM368" s="10">
        <v>135233.25</v>
      </c>
      <c r="AN368" s="10">
        <v>3303</v>
      </c>
      <c r="AO368" s="10">
        <v>0</v>
      </c>
      <c r="AP368" s="10">
        <v>29250</v>
      </c>
      <c r="AQ368" s="10">
        <v>0</v>
      </c>
      <c r="AR368" s="10">
        <v>14152</v>
      </c>
      <c r="AS368" s="10">
        <f t="shared" si="124"/>
        <v>83943.645359999966</v>
      </c>
      <c r="AT368" s="10">
        <v>1007488.89536</v>
      </c>
      <c r="AU368" s="12">
        <v>0</v>
      </c>
      <c r="AV368" s="12">
        <v>0</v>
      </c>
      <c r="AW368" s="12">
        <v>2449.375</v>
      </c>
      <c r="AX368" s="12">
        <f t="shared" si="145"/>
        <v>2449.375</v>
      </c>
      <c r="AY368" s="12">
        <v>0</v>
      </c>
      <c r="AZ368" s="12">
        <v>0</v>
      </c>
      <c r="BA368" s="12">
        <v>4318.1750000000002</v>
      </c>
      <c r="BB368" s="12">
        <f t="shared" si="146"/>
        <v>4318.1750000000002</v>
      </c>
      <c r="BC368" s="12">
        <v>0</v>
      </c>
      <c r="BD368" s="12">
        <v>0</v>
      </c>
      <c r="BE368" s="12">
        <v>1868.7999999999993</v>
      </c>
      <c r="BF368" s="12">
        <v>1868.7999999999993</v>
      </c>
    </row>
    <row r="369" spans="1:58" x14ac:dyDescent="0.25">
      <c r="A369" s="7">
        <v>4027</v>
      </c>
      <c r="B369" s="7">
        <v>7</v>
      </c>
      <c r="C369" s="7" t="s">
        <v>370</v>
      </c>
      <c r="D369" s="4">
        <v>7</v>
      </c>
      <c r="E369" s="10">
        <v>1036</v>
      </c>
      <c r="F369" s="8">
        <f t="shared" si="125"/>
        <v>37639</v>
      </c>
      <c r="G369" s="8">
        <f t="shared" si="126"/>
        <v>13487.32</v>
      </c>
      <c r="H369" s="8">
        <f t="shared" si="127"/>
        <v>1908</v>
      </c>
      <c r="I369" s="8">
        <f t="shared" si="128"/>
        <v>5.0000000002983143</v>
      </c>
      <c r="J369" s="8">
        <f t="shared" si="129"/>
        <v>53039.320000000298</v>
      </c>
      <c r="K369" s="8">
        <f t="shared" si="130"/>
        <v>2171.6000000000058</v>
      </c>
      <c r="L369" s="8">
        <f t="shared" si="131"/>
        <v>55210.920000000304</v>
      </c>
      <c r="M369" s="8">
        <f t="shared" si="132"/>
        <v>51.196254826255114</v>
      </c>
      <c r="N369" s="8">
        <f t="shared" si="133"/>
        <v>26935</v>
      </c>
      <c r="O369" s="8">
        <f t="shared" si="134"/>
        <v>0</v>
      </c>
      <c r="P369" s="8">
        <f t="shared" si="135"/>
        <v>1</v>
      </c>
      <c r="Q369" s="8">
        <f t="shared" si="136"/>
        <v>10590</v>
      </c>
      <c r="R369" s="8">
        <f t="shared" si="137"/>
        <v>113</v>
      </c>
      <c r="S369" s="8">
        <f t="shared" si="138"/>
        <v>0</v>
      </c>
      <c r="T369" s="8">
        <f t="shared" si="139"/>
        <v>13487.32</v>
      </c>
      <c r="U369" s="8">
        <f t="shared" si="140"/>
        <v>1908</v>
      </c>
      <c r="V369" s="8">
        <f t="shared" si="141"/>
        <v>5</v>
      </c>
      <c r="W369" s="8">
        <f t="shared" si="142"/>
        <v>0</v>
      </c>
      <c r="X369" s="8">
        <f t="shared" si="143"/>
        <v>53039.320000000298</v>
      </c>
      <c r="Y369" s="10">
        <v>6255384</v>
      </c>
      <c r="Z369" s="10">
        <v>0</v>
      </c>
      <c r="AA369" s="10">
        <v>279</v>
      </c>
      <c r="AB369" s="10">
        <v>2104021</v>
      </c>
      <c r="AC369" s="10">
        <v>29299</v>
      </c>
      <c r="AD369" s="10">
        <v>0</v>
      </c>
      <c r="AE369" s="10">
        <v>0</v>
      </c>
      <c r="AF369" s="10">
        <v>114480</v>
      </c>
      <c r="AG369" s="10">
        <v>126005</v>
      </c>
      <c r="AH369" s="10">
        <f t="shared" si="144"/>
        <v>727875.95399999991</v>
      </c>
      <c r="AI369" s="10">
        <v>9357343.9539999999</v>
      </c>
      <c r="AJ369" s="10">
        <v>6282319</v>
      </c>
      <c r="AK369" s="10">
        <v>0</v>
      </c>
      <c r="AL369" s="10">
        <v>280</v>
      </c>
      <c r="AM369" s="10">
        <v>2114611</v>
      </c>
      <c r="AN369" s="10">
        <v>29412</v>
      </c>
      <c r="AO369" s="10">
        <v>0</v>
      </c>
      <c r="AP369" s="10">
        <v>13487.32</v>
      </c>
      <c r="AQ369" s="10">
        <v>116388</v>
      </c>
      <c r="AR369" s="10">
        <v>126010</v>
      </c>
      <c r="AS369" s="10">
        <f t="shared" si="124"/>
        <v>727875.95399999991</v>
      </c>
      <c r="AT369" s="10">
        <v>9410383.2740000002</v>
      </c>
      <c r="AU369" s="12">
        <v>0</v>
      </c>
      <c r="AV369" s="12">
        <v>0</v>
      </c>
      <c r="AW369" s="12">
        <v>13194.5</v>
      </c>
      <c r="AX369" s="12">
        <f t="shared" si="145"/>
        <v>13194.5</v>
      </c>
      <c r="AY369" s="12">
        <v>0</v>
      </c>
      <c r="AZ369" s="12">
        <v>0</v>
      </c>
      <c r="BA369" s="12">
        <v>15366.1</v>
      </c>
      <c r="BB369" s="12">
        <f t="shared" si="146"/>
        <v>15366.1</v>
      </c>
      <c r="BC369" s="12">
        <v>0</v>
      </c>
      <c r="BD369" s="12">
        <v>0</v>
      </c>
      <c r="BE369" s="12">
        <v>2171.6000000000058</v>
      </c>
      <c r="BF369" s="12">
        <v>2171.6000000000058</v>
      </c>
    </row>
    <row r="370" spans="1:58" x14ac:dyDescent="0.25">
      <c r="A370" s="7">
        <v>4028</v>
      </c>
      <c r="B370" s="7">
        <v>7</v>
      </c>
      <c r="C370" s="7" t="s">
        <v>371</v>
      </c>
      <c r="D370" s="4">
        <v>7</v>
      </c>
      <c r="E370" s="10">
        <v>0</v>
      </c>
      <c r="F370" s="8">
        <f t="shared" si="125"/>
        <v>0</v>
      </c>
      <c r="G370" s="8">
        <f t="shared" si="126"/>
        <v>0</v>
      </c>
      <c r="H370" s="8">
        <f t="shared" si="127"/>
        <v>0</v>
      </c>
      <c r="I370" s="8">
        <f t="shared" si="128"/>
        <v>0</v>
      </c>
      <c r="J370" s="8">
        <f t="shared" si="129"/>
        <v>0</v>
      </c>
      <c r="K370" s="8">
        <f t="shared" si="130"/>
        <v>0</v>
      </c>
      <c r="L370" s="8">
        <f t="shared" si="131"/>
        <v>0</v>
      </c>
      <c r="M370" s="8">
        <f t="shared" si="132"/>
        <v>0</v>
      </c>
      <c r="N370" s="8">
        <f t="shared" si="133"/>
        <v>0</v>
      </c>
      <c r="O370" s="8">
        <f t="shared" si="134"/>
        <v>0</v>
      </c>
      <c r="P370" s="8">
        <f t="shared" si="135"/>
        <v>0</v>
      </c>
      <c r="Q370" s="8">
        <f t="shared" si="136"/>
        <v>0</v>
      </c>
      <c r="R370" s="8">
        <f t="shared" si="137"/>
        <v>0</v>
      </c>
      <c r="S370" s="8">
        <f t="shared" si="138"/>
        <v>0</v>
      </c>
      <c r="T370" s="8">
        <f t="shared" si="139"/>
        <v>0</v>
      </c>
      <c r="U370" s="8">
        <f t="shared" si="140"/>
        <v>0</v>
      </c>
      <c r="V370" s="8">
        <f t="shared" si="141"/>
        <v>0</v>
      </c>
      <c r="W370" s="8">
        <f t="shared" si="142"/>
        <v>0</v>
      </c>
      <c r="X370" s="8">
        <f t="shared" si="143"/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f t="shared" si="144"/>
        <v>0</v>
      </c>
      <c r="AI370" s="10">
        <v>0</v>
      </c>
      <c r="AJ370" s="10">
        <v>0</v>
      </c>
      <c r="AK370" s="10">
        <v>0</v>
      </c>
      <c r="AL370" s="10">
        <v>0</v>
      </c>
      <c r="AM370" s="10">
        <v>0</v>
      </c>
      <c r="AN370" s="10">
        <v>0</v>
      </c>
      <c r="AO370" s="10">
        <v>0</v>
      </c>
      <c r="AP370" s="10">
        <v>0</v>
      </c>
      <c r="AQ370" s="10">
        <v>0</v>
      </c>
      <c r="AR370" s="10">
        <v>0</v>
      </c>
      <c r="AS370" s="10">
        <f t="shared" si="124"/>
        <v>0</v>
      </c>
      <c r="AT370" s="10">
        <v>0</v>
      </c>
      <c r="AU370" s="12">
        <v>0</v>
      </c>
      <c r="AV370" s="12">
        <v>0</v>
      </c>
      <c r="AW370" s="12">
        <v>0</v>
      </c>
      <c r="AX370" s="12">
        <f t="shared" si="145"/>
        <v>0</v>
      </c>
      <c r="AY370" s="12">
        <v>0</v>
      </c>
      <c r="AZ370" s="12">
        <v>0</v>
      </c>
      <c r="BA370" s="12">
        <v>0</v>
      </c>
      <c r="BB370" s="12">
        <f t="shared" si="146"/>
        <v>0</v>
      </c>
      <c r="BC370" s="12">
        <v>0</v>
      </c>
      <c r="BD370" s="12">
        <v>0</v>
      </c>
      <c r="BE370" s="12">
        <v>0</v>
      </c>
      <c r="BF370" s="12">
        <v>0</v>
      </c>
    </row>
    <row r="371" spans="1:58" x14ac:dyDescent="0.25">
      <c r="A371" s="7">
        <v>4029</v>
      </c>
      <c r="B371" s="7">
        <v>7</v>
      </c>
      <c r="C371" s="7" t="s">
        <v>372</v>
      </c>
      <c r="D371" s="4">
        <v>7</v>
      </c>
      <c r="E371" s="10">
        <v>379</v>
      </c>
      <c r="F371" s="8">
        <f t="shared" si="125"/>
        <v>15019</v>
      </c>
      <c r="G371" s="8">
        <f t="shared" si="126"/>
        <v>0</v>
      </c>
      <c r="H371" s="8">
        <f t="shared" si="127"/>
        <v>13404</v>
      </c>
      <c r="I371" s="8">
        <f t="shared" si="128"/>
        <v>2</v>
      </c>
      <c r="J371" s="8">
        <f t="shared" si="129"/>
        <v>28425</v>
      </c>
      <c r="K371" s="8">
        <f t="shared" si="130"/>
        <v>0</v>
      </c>
      <c r="L371" s="8">
        <f t="shared" si="131"/>
        <v>28425</v>
      </c>
      <c r="M371" s="8">
        <f t="shared" si="132"/>
        <v>75</v>
      </c>
      <c r="N371" s="8">
        <f t="shared" si="133"/>
        <v>9413</v>
      </c>
      <c r="O371" s="8">
        <f t="shared" si="134"/>
        <v>0</v>
      </c>
      <c r="P371" s="8">
        <f t="shared" si="135"/>
        <v>1</v>
      </c>
      <c r="Q371" s="8">
        <f t="shared" si="136"/>
        <v>5565</v>
      </c>
      <c r="R371" s="8">
        <f t="shared" si="137"/>
        <v>40</v>
      </c>
      <c r="S371" s="8">
        <f t="shared" si="138"/>
        <v>0</v>
      </c>
      <c r="T371" s="8">
        <f t="shared" si="139"/>
        <v>0</v>
      </c>
      <c r="U371" s="8">
        <f t="shared" si="140"/>
        <v>13404</v>
      </c>
      <c r="V371" s="8">
        <f t="shared" si="141"/>
        <v>2</v>
      </c>
      <c r="W371" s="8">
        <f t="shared" si="142"/>
        <v>0</v>
      </c>
      <c r="X371" s="8">
        <f t="shared" si="143"/>
        <v>28425</v>
      </c>
      <c r="Y371" s="10">
        <v>2185959</v>
      </c>
      <c r="Z371" s="10">
        <v>0</v>
      </c>
      <c r="AA371" s="10">
        <v>97</v>
      </c>
      <c r="AB371" s="10">
        <v>1105654</v>
      </c>
      <c r="AC371" s="10">
        <v>10238</v>
      </c>
      <c r="AD371" s="10">
        <v>0</v>
      </c>
      <c r="AE371" s="10">
        <v>98250</v>
      </c>
      <c r="AF371" s="10">
        <v>200340</v>
      </c>
      <c r="AG371" s="10">
        <v>44033</v>
      </c>
      <c r="AH371" s="10">
        <f t="shared" si="144"/>
        <v>191327.29399999976</v>
      </c>
      <c r="AI371" s="10">
        <v>3835898.2939999998</v>
      </c>
      <c r="AJ371" s="10">
        <v>2195372</v>
      </c>
      <c r="AK371" s="10">
        <v>0</v>
      </c>
      <c r="AL371" s="10">
        <v>98</v>
      </c>
      <c r="AM371" s="10">
        <v>1111219</v>
      </c>
      <c r="AN371" s="10">
        <v>10278</v>
      </c>
      <c r="AO371" s="10">
        <v>0</v>
      </c>
      <c r="AP371" s="10">
        <v>98250</v>
      </c>
      <c r="AQ371" s="10">
        <v>213744</v>
      </c>
      <c r="AR371" s="10">
        <v>44035</v>
      </c>
      <c r="AS371" s="10">
        <f t="shared" si="124"/>
        <v>191327.29399999976</v>
      </c>
      <c r="AT371" s="10">
        <v>3864323.2939999998</v>
      </c>
      <c r="AU371" s="12">
        <v>0</v>
      </c>
      <c r="AV371" s="12">
        <v>0</v>
      </c>
      <c r="AW371" s="12">
        <v>0</v>
      </c>
      <c r="AX371" s="12">
        <f t="shared" si="145"/>
        <v>0</v>
      </c>
      <c r="AY371" s="12">
        <v>0</v>
      </c>
      <c r="AZ371" s="12">
        <v>0</v>
      </c>
      <c r="BA371" s="12">
        <v>0</v>
      </c>
      <c r="BB371" s="12">
        <f t="shared" si="146"/>
        <v>0</v>
      </c>
      <c r="BC371" s="12">
        <v>0</v>
      </c>
      <c r="BD371" s="12">
        <v>0</v>
      </c>
      <c r="BE371" s="12">
        <v>0</v>
      </c>
      <c r="BF371" s="12">
        <v>0</v>
      </c>
    </row>
    <row r="372" spans="1:58" x14ac:dyDescent="0.25">
      <c r="A372" s="7">
        <v>4030</v>
      </c>
      <c r="B372" s="7">
        <v>7</v>
      </c>
      <c r="C372" s="7" t="s">
        <v>373</v>
      </c>
      <c r="D372" s="4">
        <v>7</v>
      </c>
      <c r="E372" s="10">
        <v>347</v>
      </c>
      <c r="F372" s="8">
        <f t="shared" si="125"/>
        <v>12810</v>
      </c>
      <c r="G372" s="8">
        <f t="shared" si="126"/>
        <v>7432.2200000000012</v>
      </c>
      <c r="H372" s="8">
        <f t="shared" si="127"/>
        <v>4623</v>
      </c>
      <c r="I372" s="8">
        <f t="shared" si="128"/>
        <v>2.0000000002037268</v>
      </c>
      <c r="J372" s="8">
        <f t="shared" si="129"/>
        <v>24867.220000000205</v>
      </c>
      <c r="K372" s="8">
        <f t="shared" si="130"/>
        <v>1021.1999999999971</v>
      </c>
      <c r="L372" s="8">
        <f t="shared" si="131"/>
        <v>25888.420000000202</v>
      </c>
      <c r="M372" s="8">
        <f t="shared" si="132"/>
        <v>71.663458213257073</v>
      </c>
      <c r="N372" s="8">
        <f t="shared" si="133"/>
        <v>8507</v>
      </c>
      <c r="O372" s="8">
        <f t="shared" si="134"/>
        <v>73</v>
      </c>
      <c r="P372" s="8">
        <f t="shared" si="135"/>
        <v>0</v>
      </c>
      <c r="Q372" s="8">
        <f t="shared" si="136"/>
        <v>4194</v>
      </c>
      <c r="R372" s="8">
        <f t="shared" si="137"/>
        <v>36</v>
      </c>
      <c r="S372" s="8">
        <f t="shared" si="138"/>
        <v>0</v>
      </c>
      <c r="T372" s="8">
        <f t="shared" si="139"/>
        <v>7432.2200000000012</v>
      </c>
      <c r="U372" s="8">
        <f t="shared" si="140"/>
        <v>4623</v>
      </c>
      <c r="V372" s="8">
        <f t="shared" si="141"/>
        <v>2</v>
      </c>
      <c r="W372" s="8">
        <f t="shared" si="142"/>
        <v>0</v>
      </c>
      <c r="X372" s="8">
        <f t="shared" si="143"/>
        <v>24867.220000000205</v>
      </c>
      <c r="Y372" s="10">
        <v>1975782</v>
      </c>
      <c r="Z372" s="10">
        <v>16907</v>
      </c>
      <c r="AA372" s="10">
        <v>88</v>
      </c>
      <c r="AB372" s="10">
        <v>833264</v>
      </c>
      <c r="AC372" s="10">
        <v>9254</v>
      </c>
      <c r="AD372" s="10">
        <v>0</v>
      </c>
      <c r="AE372" s="10">
        <v>0</v>
      </c>
      <c r="AF372" s="10">
        <v>32314</v>
      </c>
      <c r="AG372" s="10">
        <v>39799</v>
      </c>
      <c r="AH372" s="10">
        <f t="shared" si="144"/>
        <v>113259.93491999991</v>
      </c>
      <c r="AI372" s="10">
        <v>3020667.9349199999</v>
      </c>
      <c r="AJ372" s="10">
        <v>1984289</v>
      </c>
      <c r="AK372" s="10">
        <v>16980</v>
      </c>
      <c r="AL372" s="10">
        <v>88</v>
      </c>
      <c r="AM372" s="10">
        <v>837458</v>
      </c>
      <c r="AN372" s="10">
        <v>9290</v>
      </c>
      <c r="AO372" s="10">
        <v>0</v>
      </c>
      <c r="AP372" s="10">
        <v>7432.2200000000012</v>
      </c>
      <c r="AQ372" s="10">
        <v>36937</v>
      </c>
      <c r="AR372" s="10">
        <v>39801</v>
      </c>
      <c r="AS372" s="10">
        <f t="shared" ref="AS372:AS435" si="147">AT372-SUM(AJ372:AR372)</f>
        <v>113259.93491999991</v>
      </c>
      <c r="AT372" s="10">
        <v>3045535.1549200001</v>
      </c>
      <c r="AU372" s="12">
        <v>0</v>
      </c>
      <c r="AV372" s="12">
        <v>0</v>
      </c>
      <c r="AW372" s="12">
        <v>4383.75</v>
      </c>
      <c r="AX372" s="12">
        <f t="shared" si="145"/>
        <v>4383.75</v>
      </c>
      <c r="AY372" s="12">
        <v>0</v>
      </c>
      <c r="AZ372" s="12">
        <v>0</v>
      </c>
      <c r="BA372" s="12">
        <v>5404.95</v>
      </c>
      <c r="BB372" s="12">
        <f t="shared" si="146"/>
        <v>5404.95</v>
      </c>
      <c r="BC372" s="12">
        <v>0</v>
      </c>
      <c r="BD372" s="12">
        <v>0</v>
      </c>
      <c r="BE372" s="12">
        <v>1021.1999999999971</v>
      </c>
      <c r="BF372" s="12">
        <v>1021.1999999999971</v>
      </c>
    </row>
    <row r="373" spans="1:58" x14ac:dyDescent="0.25">
      <c r="A373" s="7">
        <v>4031</v>
      </c>
      <c r="B373" s="7">
        <v>7</v>
      </c>
      <c r="C373" s="7" t="s">
        <v>374</v>
      </c>
      <c r="D373" s="4">
        <v>7</v>
      </c>
      <c r="E373" s="10">
        <v>70</v>
      </c>
      <c r="F373" s="8">
        <f t="shared" si="125"/>
        <v>3073</v>
      </c>
      <c r="G373" s="8">
        <f t="shared" si="126"/>
        <v>1506.98</v>
      </c>
      <c r="H373" s="8">
        <f t="shared" si="127"/>
        <v>0</v>
      </c>
      <c r="I373" s="8">
        <f t="shared" si="128"/>
        <v>-1.8644641386345029E-11</v>
      </c>
      <c r="J373" s="8">
        <f t="shared" si="129"/>
        <v>4579.9799999999814</v>
      </c>
      <c r="K373" s="8">
        <f t="shared" si="130"/>
        <v>10.800000000000182</v>
      </c>
      <c r="L373" s="8">
        <f t="shared" si="131"/>
        <v>4590.7799999999816</v>
      </c>
      <c r="M373" s="8">
        <f t="shared" si="132"/>
        <v>65.428285714285451</v>
      </c>
      <c r="N373" s="8">
        <f t="shared" si="133"/>
        <v>2100</v>
      </c>
      <c r="O373" s="8">
        <f t="shared" si="134"/>
        <v>34</v>
      </c>
      <c r="P373" s="8">
        <f t="shared" si="135"/>
        <v>0</v>
      </c>
      <c r="Q373" s="8">
        <f t="shared" si="136"/>
        <v>930</v>
      </c>
      <c r="R373" s="8">
        <f t="shared" si="137"/>
        <v>9</v>
      </c>
      <c r="S373" s="8">
        <f t="shared" si="138"/>
        <v>0</v>
      </c>
      <c r="T373" s="8">
        <f t="shared" si="139"/>
        <v>1506.98</v>
      </c>
      <c r="U373" s="8">
        <f t="shared" si="140"/>
        <v>0</v>
      </c>
      <c r="V373" s="8">
        <f t="shared" si="141"/>
        <v>0</v>
      </c>
      <c r="W373" s="8">
        <f t="shared" si="142"/>
        <v>0</v>
      </c>
      <c r="X373" s="8">
        <f t="shared" si="143"/>
        <v>4579.9799999999814</v>
      </c>
      <c r="Y373" s="10">
        <v>487704</v>
      </c>
      <c r="Z373" s="10">
        <v>7803</v>
      </c>
      <c r="AA373" s="10">
        <v>22</v>
      </c>
      <c r="AB373" s="10">
        <v>184772</v>
      </c>
      <c r="AC373" s="10">
        <v>2284</v>
      </c>
      <c r="AD373" s="10">
        <v>0</v>
      </c>
      <c r="AE373" s="10">
        <v>0</v>
      </c>
      <c r="AF373" s="10">
        <v>0</v>
      </c>
      <c r="AG373" s="10">
        <v>9824</v>
      </c>
      <c r="AH373" s="10">
        <f t="shared" si="144"/>
        <v>42084.305999999982</v>
      </c>
      <c r="AI373" s="10">
        <v>734493.30599999998</v>
      </c>
      <c r="AJ373" s="10">
        <v>489804</v>
      </c>
      <c r="AK373" s="10">
        <v>7837</v>
      </c>
      <c r="AL373" s="10">
        <v>22</v>
      </c>
      <c r="AM373" s="10">
        <v>185702</v>
      </c>
      <c r="AN373" s="10">
        <v>2293</v>
      </c>
      <c r="AO373" s="10">
        <v>0</v>
      </c>
      <c r="AP373" s="10">
        <v>1506.98</v>
      </c>
      <c r="AQ373" s="10">
        <v>0</v>
      </c>
      <c r="AR373" s="10">
        <v>9824</v>
      </c>
      <c r="AS373" s="10">
        <f t="shared" si="147"/>
        <v>42084.305999999982</v>
      </c>
      <c r="AT373" s="10">
        <v>739073.28599999996</v>
      </c>
      <c r="AU373" s="12">
        <v>0</v>
      </c>
      <c r="AV373" s="12">
        <v>0</v>
      </c>
      <c r="AW373" s="12">
        <v>551.625</v>
      </c>
      <c r="AX373" s="12">
        <f t="shared" si="145"/>
        <v>551.625</v>
      </c>
      <c r="AY373" s="12">
        <v>0</v>
      </c>
      <c r="AZ373" s="12">
        <v>0</v>
      </c>
      <c r="BA373" s="12">
        <v>562.42499999999995</v>
      </c>
      <c r="BB373" s="12">
        <f t="shared" si="146"/>
        <v>562.42499999999995</v>
      </c>
      <c r="BC373" s="12">
        <v>0</v>
      </c>
      <c r="BD373" s="12">
        <v>0</v>
      </c>
      <c r="BE373" s="12">
        <v>10.800000000000182</v>
      </c>
      <c r="BF373" s="12">
        <v>10.800000000000182</v>
      </c>
    </row>
    <row r="374" spans="1:58" x14ac:dyDescent="0.25">
      <c r="A374" s="7">
        <v>4032</v>
      </c>
      <c r="B374" s="7">
        <v>7</v>
      </c>
      <c r="C374" s="7" t="s">
        <v>375</v>
      </c>
      <c r="D374" s="4">
        <v>7</v>
      </c>
      <c r="E374" s="10">
        <v>384</v>
      </c>
      <c r="F374" s="8">
        <f t="shared" si="125"/>
        <v>14006</v>
      </c>
      <c r="G374" s="8">
        <f t="shared" si="126"/>
        <v>0</v>
      </c>
      <c r="H374" s="8">
        <f t="shared" si="127"/>
        <v>0</v>
      </c>
      <c r="I374" s="8">
        <f t="shared" si="128"/>
        <v>1</v>
      </c>
      <c r="J374" s="8">
        <f t="shared" si="129"/>
        <v>14007</v>
      </c>
      <c r="K374" s="8">
        <f t="shared" si="130"/>
        <v>1980.8000000000029</v>
      </c>
      <c r="L374" s="8">
        <f t="shared" si="131"/>
        <v>15987.800000000003</v>
      </c>
      <c r="M374" s="8">
        <f t="shared" si="132"/>
        <v>36.4765625</v>
      </c>
      <c r="N374" s="8">
        <f t="shared" si="133"/>
        <v>8823</v>
      </c>
      <c r="O374" s="8">
        <f t="shared" si="134"/>
        <v>0</v>
      </c>
      <c r="P374" s="8">
        <f t="shared" si="135"/>
        <v>1</v>
      </c>
      <c r="Q374" s="8">
        <f t="shared" si="136"/>
        <v>5145</v>
      </c>
      <c r="R374" s="8">
        <f t="shared" si="137"/>
        <v>37</v>
      </c>
      <c r="S374" s="8">
        <f t="shared" si="138"/>
        <v>0</v>
      </c>
      <c r="T374" s="8">
        <f t="shared" si="139"/>
        <v>0</v>
      </c>
      <c r="U374" s="8">
        <f t="shared" si="140"/>
        <v>0</v>
      </c>
      <c r="V374" s="8">
        <f t="shared" si="141"/>
        <v>1</v>
      </c>
      <c r="W374" s="8">
        <f t="shared" si="142"/>
        <v>0</v>
      </c>
      <c r="X374" s="8">
        <f t="shared" si="143"/>
        <v>14007</v>
      </c>
      <c r="Y374" s="10">
        <v>2049228</v>
      </c>
      <c r="Z374" s="10">
        <v>0</v>
      </c>
      <c r="AA374" s="10">
        <v>91</v>
      </c>
      <c r="AB374" s="10">
        <v>1022209</v>
      </c>
      <c r="AC374" s="10">
        <v>9598</v>
      </c>
      <c r="AD374" s="10">
        <v>0</v>
      </c>
      <c r="AE374" s="10">
        <v>92250</v>
      </c>
      <c r="AF374" s="10">
        <v>16344</v>
      </c>
      <c r="AG374" s="10">
        <v>41279</v>
      </c>
      <c r="AH374" s="10">
        <f t="shared" si="144"/>
        <v>108835.76800000016</v>
      </c>
      <c r="AI374" s="10">
        <v>3339834.7680000002</v>
      </c>
      <c r="AJ374" s="10">
        <v>2058051</v>
      </c>
      <c r="AK374" s="10">
        <v>0</v>
      </c>
      <c r="AL374" s="10">
        <v>92</v>
      </c>
      <c r="AM374" s="10">
        <v>1027354</v>
      </c>
      <c r="AN374" s="10">
        <v>9635</v>
      </c>
      <c r="AO374" s="10">
        <v>0</v>
      </c>
      <c r="AP374" s="10">
        <v>92250</v>
      </c>
      <c r="AQ374" s="10">
        <v>16344</v>
      </c>
      <c r="AR374" s="10">
        <v>41280</v>
      </c>
      <c r="AS374" s="10">
        <f t="shared" si="147"/>
        <v>108835.76800000016</v>
      </c>
      <c r="AT374" s="10">
        <v>3353841.7680000002</v>
      </c>
      <c r="AU374" s="12">
        <v>0</v>
      </c>
      <c r="AV374" s="12">
        <v>0</v>
      </c>
      <c r="AW374" s="12">
        <v>8429.125</v>
      </c>
      <c r="AX374" s="12">
        <f t="shared" si="145"/>
        <v>8429.125</v>
      </c>
      <c r="AY374" s="12">
        <v>0</v>
      </c>
      <c r="AZ374" s="12">
        <v>0</v>
      </c>
      <c r="BA374" s="12">
        <v>10409.924999999999</v>
      </c>
      <c r="BB374" s="12">
        <f t="shared" si="146"/>
        <v>10409.924999999999</v>
      </c>
      <c r="BC374" s="12">
        <v>0</v>
      </c>
      <c r="BD374" s="12">
        <v>0</v>
      </c>
      <c r="BE374" s="12">
        <v>1980.8000000000029</v>
      </c>
      <c r="BF374" s="12">
        <v>1980.8000000000029</v>
      </c>
    </row>
    <row r="375" spans="1:58" x14ac:dyDescent="0.25">
      <c r="A375" s="7">
        <v>4035</v>
      </c>
      <c r="B375" s="7">
        <v>7</v>
      </c>
      <c r="C375" s="7" t="s">
        <v>376</v>
      </c>
      <c r="D375" s="4">
        <v>7</v>
      </c>
      <c r="E375" s="10">
        <v>390</v>
      </c>
      <c r="F375" s="8">
        <f t="shared" si="125"/>
        <v>13092.5</v>
      </c>
      <c r="G375" s="8">
        <f t="shared" si="126"/>
        <v>0</v>
      </c>
      <c r="H375" s="8">
        <f t="shared" si="127"/>
        <v>0</v>
      </c>
      <c r="I375" s="8">
        <f t="shared" si="128"/>
        <v>1</v>
      </c>
      <c r="J375" s="8">
        <f t="shared" si="129"/>
        <v>13093.5</v>
      </c>
      <c r="K375" s="8">
        <f t="shared" si="130"/>
        <v>3930.4000000000015</v>
      </c>
      <c r="L375" s="8">
        <f t="shared" si="131"/>
        <v>17023.900000000001</v>
      </c>
      <c r="M375" s="8">
        <f t="shared" si="132"/>
        <v>33.573076923076925</v>
      </c>
      <c r="N375" s="8">
        <f t="shared" si="133"/>
        <v>9538</v>
      </c>
      <c r="O375" s="8">
        <f t="shared" si="134"/>
        <v>211</v>
      </c>
      <c r="P375" s="8">
        <f t="shared" si="135"/>
        <v>0</v>
      </c>
      <c r="Q375" s="8">
        <f t="shared" si="136"/>
        <v>3302.5</v>
      </c>
      <c r="R375" s="8">
        <f t="shared" si="137"/>
        <v>41</v>
      </c>
      <c r="S375" s="8">
        <f t="shared" si="138"/>
        <v>0</v>
      </c>
      <c r="T375" s="8">
        <f t="shared" si="139"/>
        <v>0</v>
      </c>
      <c r="U375" s="8">
        <f t="shared" si="140"/>
        <v>0</v>
      </c>
      <c r="V375" s="8">
        <f t="shared" si="141"/>
        <v>1</v>
      </c>
      <c r="W375" s="8">
        <f t="shared" si="142"/>
        <v>0</v>
      </c>
      <c r="X375" s="8">
        <f t="shared" si="143"/>
        <v>13093.5</v>
      </c>
      <c r="Y375" s="10">
        <v>2214989</v>
      </c>
      <c r="Z375" s="10">
        <v>49096</v>
      </c>
      <c r="AA375" s="10">
        <v>99</v>
      </c>
      <c r="AB375" s="10">
        <v>656141</v>
      </c>
      <c r="AC375" s="10">
        <v>10374</v>
      </c>
      <c r="AD375" s="10">
        <v>0</v>
      </c>
      <c r="AE375" s="10">
        <v>104250</v>
      </c>
      <c r="AF375" s="10">
        <v>37079</v>
      </c>
      <c r="AG375" s="10">
        <v>44618</v>
      </c>
      <c r="AH375" s="10">
        <f t="shared" si="144"/>
        <v>326118.30517999968</v>
      </c>
      <c r="AI375" s="10">
        <v>3442764.3051799997</v>
      </c>
      <c r="AJ375" s="10">
        <v>2224527</v>
      </c>
      <c r="AK375" s="10">
        <v>49307</v>
      </c>
      <c r="AL375" s="10">
        <v>99</v>
      </c>
      <c r="AM375" s="10">
        <v>659443.5</v>
      </c>
      <c r="AN375" s="10">
        <v>10415</v>
      </c>
      <c r="AO375" s="10">
        <v>0</v>
      </c>
      <c r="AP375" s="10">
        <v>104250</v>
      </c>
      <c r="AQ375" s="10">
        <v>37079</v>
      </c>
      <c r="AR375" s="10">
        <v>44619</v>
      </c>
      <c r="AS375" s="10">
        <f t="shared" si="147"/>
        <v>326118.30517999968</v>
      </c>
      <c r="AT375" s="10">
        <v>3455857.8051799997</v>
      </c>
      <c r="AU375" s="12">
        <v>0</v>
      </c>
      <c r="AV375" s="12">
        <v>0</v>
      </c>
      <c r="AW375" s="12">
        <v>7017.375</v>
      </c>
      <c r="AX375" s="12">
        <f t="shared" si="145"/>
        <v>7017.375</v>
      </c>
      <c r="AY375" s="12">
        <v>0</v>
      </c>
      <c r="AZ375" s="12">
        <v>0</v>
      </c>
      <c r="BA375" s="12">
        <v>10947.775</v>
      </c>
      <c r="BB375" s="12">
        <f t="shared" si="146"/>
        <v>10947.775</v>
      </c>
      <c r="BC375" s="12">
        <v>0</v>
      </c>
      <c r="BD375" s="12">
        <v>0</v>
      </c>
      <c r="BE375" s="12">
        <v>3930.4000000000015</v>
      </c>
      <c r="BF375" s="12">
        <v>3930.4000000000015</v>
      </c>
    </row>
    <row r="376" spans="1:58" x14ac:dyDescent="0.25">
      <c r="A376" s="7">
        <v>4036</v>
      </c>
      <c r="B376" s="7">
        <v>7</v>
      </c>
      <c r="C376" s="7" t="s">
        <v>377</v>
      </c>
      <c r="D376" s="4">
        <v>7</v>
      </c>
      <c r="E376" s="10">
        <v>69</v>
      </c>
      <c r="F376" s="8">
        <f t="shared" si="125"/>
        <v>3024</v>
      </c>
      <c r="G376" s="8">
        <f t="shared" si="126"/>
        <v>0</v>
      </c>
      <c r="H376" s="8">
        <f t="shared" si="127"/>
        <v>0</v>
      </c>
      <c r="I376" s="8">
        <f t="shared" si="128"/>
        <v>0</v>
      </c>
      <c r="J376" s="8">
        <f t="shared" si="129"/>
        <v>3024</v>
      </c>
      <c r="K376" s="8">
        <f t="shared" si="130"/>
        <v>114</v>
      </c>
      <c r="L376" s="8">
        <f t="shared" si="131"/>
        <v>3138</v>
      </c>
      <c r="M376" s="8">
        <f t="shared" si="132"/>
        <v>43.826086956521742</v>
      </c>
      <c r="N376" s="8">
        <f t="shared" si="133"/>
        <v>2070</v>
      </c>
      <c r="O376" s="8">
        <f t="shared" si="134"/>
        <v>0</v>
      </c>
      <c r="P376" s="8">
        <f t="shared" si="135"/>
        <v>1</v>
      </c>
      <c r="Q376" s="8">
        <f t="shared" si="136"/>
        <v>945</v>
      </c>
      <c r="R376" s="8">
        <f t="shared" si="137"/>
        <v>8</v>
      </c>
      <c r="S376" s="8">
        <f t="shared" si="138"/>
        <v>0</v>
      </c>
      <c r="T376" s="8">
        <f t="shared" si="139"/>
        <v>0</v>
      </c>
      <c r="U376" s="8">
        <f t="shared" si="140"/>
        <v>0</v>
      </c>
      <c r="V376" s="8">
        <f t="shared" si="141"/>
        <v>0</v>
      </c>
      <c r="W376" s="8">
        <f t="shared" si="142"/>
        <v>0</v>
      </c>
      <c r="X376" s="8">
        <f t="shared" si="143"/>
        <v>3024</v>
      </c>
      <c r="Y376" s="10">
        <v>480737</v>
      </c>
      <c r="Z376" s="10">
        <v>0</v>
      </c>
      <c r="AA376" s="10">
        <v>21</v>
      </c>
      <c r="AB376" s="10">
        <v>187753</v>
      </c>
      <c r="AC376" s="10">
        <v>2252</v>
      </c>
      <c r="AD376" s="10">
        <v>0</v>
      </c>
      <c r="AE376" s="10">
        <v>18000</v>
      </c>
      <c r="AF376" s="10">
        <v>0</v>
      </c>
      <c r="AG376" s="10">
        <v>9684</v>
      </c>
      <c r="AH376" s="10">
        <f t="shared" si="144"/>
        <v>41594.649999999907</v>
      </c>
      <c r="AI376" s="10">
        <v>740041.64999999991</v>
      </c>
      <c r="AJ376" s="10">
        <v>482807</v>
      </c>
      <c r="AK376" s="10">
        <v>0</v>
      </c>
      <c r="AL376" s="10">
        <v>22</v>
      </c>
      <c r="AM376" s="10">
        <v>188698</v>
      </c>
      <c r="AN376" s="10">
        <v>2260</v>
      </c>
      <c r="AO376" s="10">
        <v>0</v>
      </c>
      <c r="AP376" s="10">
        <v>18000</v>
      </c>
      <c r="AQ376" s="10">
        <v>0</v>
      </c>
      <c r="AR376" s="10">
        <v>9684</v>
      </c>
      <c r="AS376" s="10">
        <f t="shared" si="147"/>
        <v>41594.649999999907</v>
      </c>
      <c r="AT376" s="10">
        <v>743065.64999999991</v>
      </c>
      <c r="AU376" s="12">
        <v>0</v>
      </c>
      <c r="AV376" s="12">
        <v>0</v>
      </c>
      <c r="AW376" s="12">
        <v>567.25</v>
      </c>
      <c r="AX376" s="12">
        <f t="shared" si="145"/>
        <v>567.25</v>
      </c>
      <c r="AY376" s="12">
        <v>0</v>
      </c>
      <c r="AZ376" s="12">
        <v>0</v>
      </c>
      <c r="BA376" s="12">
        <v>681.25</v>
      </c>
      <c r="BB376" s="12">
        <f t="shared" si="146"/>
        <v>681.25</v>
      </c>
      <c r="BC376" s="12">
        <v>0</v>
      </c>
      <c r="BD376" s="12">
        <v>0</v>
      </c>
      <c r="BE376" s="12">
        <v>114</v>
      </c>
      <c r="BF376" s="12">
        <v>114</v>
      </c>
    </row>
    <row r="377" spans="1:58" x14ac:dyDescent="0.25">
      <c r="A377" s="7">
        <v>4038</v>
      </c>
      <c r="B377" s="7">
        <v>7</v>
      </c>
      <c r="C377" s="7" t="s">
        <v>378</v>
      </c>
      <c r="D377" s="4">
        <v>7</v>
      </c>
      <c r="E377" s="10">
        <v>394</v>
      </c>
      <c r="F377" s="8">
        <f t="shared" si="125"/>
        <v>15766.5</v>
      </c>
      <c r="G377" s="8">
        <f t="shared" si="126"/>
        <v>0</v>
      </c>
      <c r="H377" s="8">
        <f t="shared" si="127"/>
        <v>4164</v>
      </c>
      <c r="I377" s="8">
        <f t="shared" si="128"/>
        <v>1</v>
      </c>
      <c r="J377" s="8">
        <f t="shared" si="129"/>
        <v>19931.5</v>
      </c>
      <c r="K377" s="8">
        <f t="shared" si="130"/>
        <v>879.19999999999709</v>
      </c>
      <c r="L377" s="8">
        <f t="shared" si="131"/>
        <v>20810.699999999997</v>
      </c>
      <c r="M377" s="8">
        <f t="shared" si="132"/>
        <v>50.587563451776653</v>
      </c>
      <c r="N377" s="8">
        <f t="shared" si="133"/>
        <v>9613</v>
      </c>
      <c r="O377" s="8">
        <f t="shared" si="134"/>
        <v>0</v>
      </c>
      <c r="P377" s="8">
        <f t="shared" si="135"/>
        <v>1</v>
      </c>
      <c r="Q377" s="8">
        <f t="shared" si="136"/>
        <v>6112.5</v>
      </c>
      <c r="R377" s="8">
        <f t="shared" si="137"/>
        <v>40</v>
      </c>
      <c r="S377" s="8">
        <f t="shared" si="138"/>
        <v>0</v>
      </c>
      <c r="T377" s="8">
        <f t="shared" si="139"/>
        <v>0</v>
      </c>
      <c r="U377" s="8">
        <f t="shared" si="140"/>
        <v>4164</v>
      </c>
      <c r="V377" s="8">
        <f t="shared" si="141"/>
        <v>1</v>
      </c>
      <c r="W377" s="8">
        <f t="shared" si="142"/>
        <v>0</v>
      </c>
      <c r="X377" s="8">
        <f t="shared" si="143"/>
        <v>19931.5</v>
      </c>
      <c r="Y377" s="10">
        <v>2232407</v>
      </c>
      <c r="Z377" s="10">
        <v>0</v>
      </c>
      <c r="AA377" s="10">
        <v>99</v>
      </c>
      <c r="AB377" s="10">
        <v>1214432</v>
      </c>
      <c r="AC377" s="10">
        <v>10456</v>
      </c>
      <c r="AD377" s="10">
        <v>0</v>
      </c>
      <c r="AE377" s="10">
        <v>105500</v>
      </c>
      <c r="AF377" s="10">
        <v>26086</v>
      </c>
      <c r="AG377" s="10">
        <v>44969</v>
      </c>
      <c r="AH377" s="10">
        <f t="shared" si="144"/>
        <v>150857.27199999988</v>
      </c>
      <c r="AI377" s="10">
        <v>3784806.2719999999</v>
      </c>
      <c r="AJ377" s="10">
        <v>2242020</v>
      </c>
      <c r="AK377" s="10">
        <v>0</v>
      </c>
      <c r="AL377" s="10">
        <v>100</v>
      </c>
      <c r="AM377" s="10">
        <v>1220544.5</v>
      </c>
      <c r="AN377" s="10">
        <v>10496</v>
      </c>
      <c r="AO377" s="10">
        <v>0</v>
      </c>
      <c r="AP377" s="10">
        <v>105500</v>
      </c>
      <c r="AQ377" s="10">
        <v>30250</v>
      </c>
      <c r="AR377" s="10">
        <v>44970</v>
      </c>
      <c r="AS377" s="10">
        <f t="shared" si="147"/>
        <v>150857.27199999988</v>
      </c>
      <c r="AT377" s="10">
        <v>3804737.7719999999</v>
      </c>
      <c r="AU377" s="12">
        <v>0</v>
      </c>
      <c r="AV377" s="12">
        <v>0</v>
      </c>
      <c r="AW377" s="12">
        <v>7035.25</v>
      </c>
      <c r="AX377" s="12">
        <f t="shared" si="145"/>
        <v>7035.25</v>
      </c>
      <c r="AY377" s="12">
        <v>0</v>
      </c>
      <c r="AZ377" s="12">
        <v>0</v>
      </c>
      <c r="BA377" s="12">
        <v>7914.45</v>
      </c>
      <c r="BB377" s="12">
        <f t="shared" si="146"/>
        <v>7914.45</v>
      </c>
      <c r="BC377" s="12">
        <v>0</v>
      </c>
      <c r="BD377" s="12">
        <v>0</v>
      </c>
      <c r="BE377" s="12">
        <v>879.19999999999709</v>
      </c>
      <c r="BF377" s="12">
        <v>879.19999999999709</v>
      </c>
    </row>
    <row r="378" spans="1:58" x14ac:dyDescent="0.25">
      <c r="A378" s="7">
        <v>4039</v>
      </c>
      <c r="B378" s="7">
        <v>7</v>
      </c>
      <c r="C378" s="7" t="s">
        <v>379</v>
      </c>
      <c r="D378" s="4">
        <v>7</v>
      </c>
      <c r="E378" s="10">
        <v>250</v>
      </c>
      <c r="F378" s="8">
        <f t="shared" si="125"/>
        <v>10622</v>
      </c>
      <c r="G378" s="8">
        <f t="shared" si="126"/>
        <v>3947.14</v>
      </c>
      <c r="H378" s="8">
        <f t="shared" si="127"/>
        <v>0</v>
      </c>
      <c r="I378" s="8">
        <f t="shared" si="128"/>
        <v>1.0000000001305125</v>
      </c>
      <c r="J378" s="8">
        <f t="shared" si="129"/>
        <v>14570.14000000013</v>
      </c>
      <c r="K378" s="8">
        <f t="shared" si="130"/>
        <v>241.59999999999854</v>
      </c>
      <c r="L378" s="8">
        <f t="shared" si="131"/>
        <v>14811.740000000129</v>
      </c>
      <c r="M378" s="8">
        <f t="shared" si="132"/>
        <v>58.28056000000052</v>
      </c>
      <c r="N378" s="8">
        <f t="shared" si="133"/>
        <v>7500</v>
      </c>
      <c r="O378" s="8">
        <f t="shared" si="134"/>
        <v>0</v>
      </c>
      <c r="P378" s="8">
        <f t="shared" si="135"/>
        <v>0</v>
      </c>
      <c r="Q378" s="8">
        <f t="shared" si="136"/>
        <v>3090</v>
      </c>
      <c r="R378" s="8">
        <f t="shared" si="137"/>
        <v>32</v>
      </c>
      <c r="S378" s="8">
        <f t="shared" si="138"/>
        <v>0</v>
      </c>
      <c r="T378" s="8">
        <f t="shared" si="139"/>
        <v>3947.14</v>
      </c>
      <c r="U378" s="8">
        <f t="shared" si="140"/>
        <v>0</v>
      </c>
      <c r="V378" s="8">
        <f t="shared" si="141"/>
        <v>1</v>
      </c>
      <c r="W378" s="8">
        <f t="shared" si="142"/>
        <v>0</v>
      </c>
      <c r="X378" s="8">
        <f t="shared" si="143"/>
        <v>14570.14000000013</v>
      </c>
      <c r="Y378" s="10">
        <v>1741800</v>
      </c>
      <c r="Z378" s="10">
        <v>0</v>
      </c>
      <c r="AA378" s="10">
        <v>78</v>
      </c>
      <c r="AB378" s="10">
        <v>613921</v>
      </c>
      <c r="AC378" s="10">
        <v>8158</v>
      </c>
      <c r="AD378" s="10">
        <v>0</v>
      </c>
      <c r="AE378" s="10">
        <v>0</v>
      </c>
      <c r="AF378" s="10">
        <v>0</v>
      </c>
      <c r="AG378" s="10">
        <v>35086</v>
      </c>
      <c r="AH378" s="10">
        <f t="shared" si="144"/>
        <v>164533.75999999978</v>
      </c>
      <c r="AI378" s="10">
        <v>2563576.7599999998</v>
      </c>
      <c r="AJ378" s="10">
        <v>1749300</v>
      </c>
      <c r="AK378" s="10">
        <v>0</v>
      </c>
      <c r="AL378" s="10">
        <v>78</v>
      </c>
      <c r="AM378" s="10">
        <v>617011</v>
      </c>
      <c r="AN378" s="10">
        <v>8190</v>
      </c>
      <c r="AO378" s="10">
        <v>0</v>
      </c>
      <c r="AP378" s="10">
        <v>3947.14</v>
      </c>
      <c r="AQ378" s="10">
        <v>0</v>
      </c>
      <c r="AR378" s="10">
        <v>35087</v>
      </c>
      <c r="AS378" s="10">
        <f t="shared" si="147"/>
        <v>164533.75999999978</v>
      </c>
      <c r="AT378" s="10">
        <v>2578146.9</v>
      </c>
      <c r="AU378" s="12">
        <v>0</v>
      </c>
      <c r="AV378" s="12">
        <v>0</v>
      </c>
      <c r="AW378" s="12">
        <v>2022.375</v>
      </c>
      <c r="AX378" s="12">
        <f t="shared" si="145"/>
        <v>2022.375</v>
      </c>
      <c r="AY378" s="12">
        <v>0</v>
      </c>
      <c r="AZ378" s="12">
        <v>0</v>
      </c>
      <c r="BA378" s="12">
        <v>2263.9749999999999</v>
      </c>
      <c r="BB378" s="12">
        <f t="shared" si="146"/>
        <v>2263.9749999999999</v>
      </c>
      <c r="BC378" s="12">
        <v>0</v>
      </c>
      <c r="BD378" s="12">
        <v>0</v>
      </c>
      <c r="BE378" s="12">
        <v>241.59999999999854</v>
      </c>
      <c r="BF378" s="12">
        <v>241.59999999999854</v>
      </c>
    </row>
    <row r="379" spans="1:58" x14ac:dyDescent="0.25">
      <c r="A379" s="7">
        <v>4040</v>
      </c>
      <c r="B379" s="7">
        <v>7</v>
      </c>
      <c r="C379" s="7" t="s">
        <v>380</v>
      </c>
      <c r="D379" s="4">
        <v>7</v>
      </c>
      <c r="E379" s="10">
        <v>0</v>
      </c>
      <c r="F379" s="8">
        <f t="shared" si="125"/>
        <v>0</v>
      </c>
      <c r="G379" s="8">
        <f t="shared" si="126"/>
        <v>0</v>
      </c>
      <c r="H379" s="8">
        <f t="shared" si="127"/>
        <v>0</v>
      </c>
      <c r="I379" s="8">
        <f t="shared" si="128"/>
        <v>0</v>
      </c>
      <c r="J379" s="8">
        <f t="shared" si="129"/>
        <v>0</v>
      </c>
      <c r="K379" s="8">
        <f t="shared" si="130"/>
        <v>0</v>
      </c>
      <c r="L379" s="8">
        <f t="shared" si="131"/>
        <v>0</v>
      </c>
      <c r="M379" s="8">
        <f t="shared" si="132"/>
        <v>0</v>
      </c>
      <c r="N379" s="8">
        <f t="shared" si="133"/>
        <v>0</v>
      </c>
      <c r="O379" s="8">
        <f t="shared" si="134"/>
        <v>0</v>
      </c>
      <c r="P379" s="8">
        <f t="shared" si="135"/>
        <v>0</v>
      </c>
      <c r="Q379" s="8">
        <f t="shared" si="136"/>
        <v>0</v>
      </c>
      <c r="R379" s="8">
        <f t="shared" si="137"/>
        <v>0</v>
      </c>
      <c r="S379" s="8">
        <f t="shared" si="138"/>
        <v>0</v>
      </c>
      <c r="T379" s="8">
        <f t="shared" si="139"/>
        <v>0</v>
      </c>
      <c r="U379" s="8">
        <f t="shared" si="140"/>
        <v>0</v>
      </c>
      <c r="V379" s="8">
        <f t="shared" si="141"/>
        <v>0</v>
      </c>
      <c r="W379" s="8">
        <f t="shared" si="142"/>
        <v>0</v>
      </c>
      <c r="X379" s="8">
        <f t="shared" si="143"/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f t="shared" si="144"/>
        <v>0</v>
      </c>
      <c r="AI379" s="10">
        <v>0</v>
      </c>
      <c r="AJ379" s="10">
        <v>0</v>
      </c>
      <c r="AK379" s="10">
        <v>0</v>
      </c>
      <c r="AL379" s="10">
        <v>0</v>
      </c>
      <c r="AM379" s="10">
        <v>0</v>
      </c>
      <c r="AN379" s="10">
        <v>0</v>
      </c>
      <c r="AO379" s="10">
        <v>0</v>
      </c>
      <c r="AP379" s="10">
        <v>0</v>
      </c>
      <c r="AQ379" s="10">
        <v>0</v>
      </c>
      <c r="AR379" s="10">
        <v>0</v>
      </c>
      <c r="AS379" s="10">
        <f t="shared" si="147"/>
        <v>0</v>
      </c>
      <c r="AT379" s="10">
        <v>0</v>
      </c>
      <c r="AU379" s="12">
        <v>0</v>
      </c>
      <c r="AV379" s="12">
        <v>0</v>
      </c>
      <c r="AW379" s="12">
        <v>0</v>
      </c>
      <c r="AX379" s="12">
        <f t="shared" si="145"/>
        <v>0</v>
      </c>
      <c r="AY379" s="12">
        <v>0</v>
      </c>
      <c r="AZ379" s="12">
        <v>0</v>
      </c>
      <c r="BA379" s="12">
        <v>0</v>
      </c>
      <c r="BB379" s="12">
        <f t="shared" si="146"/>
        <v>0</v>
      </c>
      <c r="BC379" s="12">
        <v>0</v>
      </c>
      <c r="BD379" s="12">
        <v>0</v>
      </c>
      <c r="BE379" s="12">
        <v>0</v>
      </c>
      <c r="BF379" s="12">
        <v>0</v>
      </c>
    </row>
    <row r="380" spans="1:58" x14ac:dyDescent="0.25">
      <c r="A380" s="7">
        <v>4042</v>
      </c>
      <c r="B380" s="7">
        <v>7</v>
      </c>
      <c r="C380" s="7" t="s">
        <v>381</v>
      </c>
      <c r="D380" s="4">
        <v>7</v>
      </c>
      <c r="E380" s="10">
        <v>215</v>
      </c>
      <c r="F380" s="8">
        <f t="shared" si="125"/>
        <v>6596.75</v>
      </c>
      <c r="G380" s="8">
        <f t="shared" si="126"/>
        <v>4835.0199999999995</v>
      </c>
      <c r="H380" s="8">
        <f t="shared" si="127"/>
        <v>13902</v>
      </c>
      <c r="I380" s="8">
        <f t="shared" si="128"/>
        <v>1.0000000000181899</v>
      </c>
      <c r="J380" s="8">
        <f t="shared" si="129"/>
        <v>25334.770000000019</v>
      </c>
      <c r="K380" s="8">
        <f t="shared" si="130"/>
        <v>1267.2000000000007</v>
      </c>
      <c r="L380" s="8">
        <f t="shared" si="131"/>
        <v>26601.970000000019</v>
      </c>
      <c r="M380" s="8">
        <f t="shared" si="132"/>
        <v>117.83613953488381</v>
      </c>
      <c r="N380" s="8">
        <f t="shared" si="133"/>
        <v>6075</v>
      </c>
      <c r="O380" s="8">
        <f t="shared" si="134"/>
        <v>0</v>
      </c>
      <c r="P380" s="8">
        <f t="shared" si="135"/>
        <v>0</v>
      </c>
      <c r="Q380" s="8">
        <f t="shared" si="136"/>
        <v>495.75</v>
      </c>
      <c r="R380" s="8">
        <f t="shared" si="137"/>
        <v>26</v>
      </c>
      <c r="S380" s="8">
        <f t="shared" si="138"/>
        <v>0</v>
      </c>
      <c r="T380" s="8">
        <f t="shared" si="139"/>
        <v>4835.0199999999995</v>
      </c>
      <c r="U380" s="8">
        <f t="shared" si="140"/>
        <v>13902</v>
      </c>
      <c r="V380" s="8">
        <f t="shared" si="141"/>
        <v>1</v>
      </c>
      <c r="W380" s="8">
        <f t="shared" si="142"/>
        <v>0</v>
      </c>
      <c r="X380" s="8">
        <f t="shared" si="143"/>
        <v>25334.770000000019</v>
      </c>
      <c r="Y380" s="10">
        <v>1410858</v>
      </c>
      <c r="Z380" s="10">
        <v>0</v>
      </c>
      <c r="AA380" s="10">
        <v>63</v>
      </c>
      <c r="AB380" s="10">
        <v>98496</v>
      </c>
      <c r="AC380" s="10">
        <v>6608</v>
      </c>
      <c r="AD380" s="10">
        <v>0</v>
      </c>
      <c r="AE380" s="10">
        <v>0</v>
      </c>
      <c r="AF380" s="10">
        <v>18124</v>
      </c>
      <c r="AG380" s="10">
        <v>28420</v>
      </c>
      <c r="AH380" s="10">
        <f t="shared" si="144"/>
        <v>129389.48999999999</v>
      </c>
      <c r="AI380" s="10">
        <v>1691958.49</v>
      </c>
      <c r="AJ380" s="10">
        <v>1416933</v>
      </c>
      <c r="AK380" s="10">
        <v>0</v>
      </c>
      <c r="AL380" s="10">
        <v>63</v>
      </c>
      <c r="AM380" s="10">
        <v>98991.75</v>
      </c>
      <c r="AN380" s="10">
        <v>6634</v>
      </c>
      <c r="AO380" s="10">
        <v>0</v>
      </c>
      <c r="AP380" s="10">
        <v>4835.0199999999995</v>
      </c>
      <c r="AQ380" s="10">
        <v>32026</v>
      </c>
      <c r="AR380" s="10">
        <v>28421</v>
      </c>
      <c r="AS380" s="10">
        <f t="shared" si="147"/>
        <v>129389.48999999999</v>
      </c>
      <c r="AT380" s="10">
        <v>1717293.26</v>
      </c>
      <c r="AU380" s="12">
        <v>0</v>
      </c>
      <c r="AV380" s="12">
        <v>0</v>
      </c>
      <c r="AW380" s="12">
        <v>3695.625</v>
      </c>
      <c r="AX380" s="12">
        <f t="shared" si="145"/>
        <v>3695.625</v>
      </c>
      <c r="AY380" s="12">
        <v>0</v>
      </c>
      <c r="AZ380" s="12">
        <v>0</v>
      </c>
      <c r="BA380" s="12">
        <v>4962.8249999999998</v>
      </c>
      <c r="BB380" s="12">
        <f t="shared" si="146"/>
        <v>4962.8249999999998</v>
      </c>
      <c r="BC380" s="12">
        <v>0</v>
      </c>
      <c r="BD380" s="12">
        <v>0</v>
      </c>
      <c r="BE380" s="12">
        <v>1267.2000000000007</v>
      </c>
      <c r="BF380" s="12">
        <v>1267.2000000000007</v>
      </c>
    </row>
    <row r="381" spans="1:58" x14ac:dyDescent="0.25">
      <c r="A381" s="7">
        <v>4043</v>
      </c>
      <c r="B381" s="7">
        <v>7</v>
      </c>
      <c r="C381" s="7" t="s">
        <v>382</v>
      </c>
      <c r="D381" s="4">
        <v>7</v>
      </c>
      <c r="E381" s="10">
        <v>447</v>
      </c>
      <c r="F381" s="8">
        <f t="shared" si="125"/>
        <v>13027.5</v>
      </c>
      <c r="G381" s="8">
        <f t="shared" si="126"/>
        <v>8425.8000000000011</v>
      </c>
      <c r="H381" s="8">
        <f t="shared" si="127"/>
        <v>16025</v>
      </c>
      <c r="I381" s="8">
        <f t="shared" si="128"/>
        <v>-603.00000000018736</v>
      </c>
      <c r="J381" s="8">
        <f t="shared" si="129"/>
        <v>36875.299999999814</v>
      </c>
      <c r="K381" s="8">
        <f t="shared" si="130"/>
        <v>0</v>
      </c>
      <c r="L381" s="8">
        <f t="shared" si="131"/>
        <v>36875.299999999814</v>
      </c>
      <c r="M381" s="8">
        <f t="shared" si="132"/>
        <v>82.495078299775869</v>
      </c>
      <c r="N381" s="8">
        <f t="shared" si="133"/>
        <v>12970</v>
      </c>
      <c r="O381" s="8">
        <f t="shared" si="134"/>
        <v>0</v>
      </c>
      <c r="P381" s="8">
        <f t="shared" si="135"/>
        <v>1</v>
      </c>
      <c r="Q381" s="8">
        <f t="shared" si="136"/>
        <v>1.5</v>
      </c>
      <c r="R381" s="8">
        <f t="shared" si="137"/>
        <v>55</v>
      </c>
      <c r="S381" s="8">
        <f t="shared" si="138"/>
        <v>0</v>
      </c>
      <c r="T381" s="8">
        <f t="shared" si="139"/>
        <v>8425.8000000000011</v>
      </c>
      <c r="U381" s="8">
        <f t="shared" si="140"/>
        <v>16025</v>
      </c>
      <c r="V381" s="8">
        <f t="shared" si="141"/>
        <v>3</v>
      </c>
      <c r="W381" s="8">
        <f t="shared" si="142"/>
        <v>-606</v>
      </c>
      <c r="X381" s="8">
        <f t="shared" si="143"/>
        <v>36875.299999999814</v>
      </c>
      <c r="Y381" s="10">
        <v>3012153</v>
      </c>
      <c r="Z381" s="10">
        <v>0</v>
      </c>
      <c r="AA381" s="10">
        <v>134</v>
      </c>
      <c r="AB381" s="10">
        <v>298</v>
      </c>
      <c r="AC381" s="10">
        <v>14108</v>
      </c>
      <c r="AD381" s="10">
        <v>0</v>
      </c>
      <c r="AE381" s="10">
        <v>0</v>
      </c>
      <c r="AF381" s="10">
        <v>0</v>
      </c>
      <c r="AG381" s="10">
        <v>60675</v>
      </c>
      <c r="AH381" s="10">
        <f t="shared" si="144"/>
        <v>75801.329999999609</v>
      </c>
      <c r="AI381" s="10">
        <v>3163169.3299999996</v>
      </c>
      <c r="AJ381" s="10">
        <v>3025123</v>
      </c>
      <c r="AK381" s="10">
        <v>0</v>
      </c>
      <c r="AL381" s="10">
        <v>135</v>
      </c>
      <c r="AM381" s="10">
        <v>299.5</v>
      </c>
      <c r="AN381" s="10">
        <v>14163</v>
      </c>
      <c r="AO381" s="10">
        <v>0</v>
      </c>
      <c r="AP381" s="10">
        <v>8425.8000000000011</v>
      </c>
      <c r="AQ381" s="10">
        <v>16025</v>
      </c>
      <c r="AR381" s="10">
        <v>60678</v>
      </c>
      <c r="AS381" s="10">
        <f t="shared" si="147"/>
        <v>75195.329999999609</v>
      </c>
      <c r="AT381" s="10">
        <v>3200044.6299999994</v>
      </c>
      <c r="AU381" s="12">
        <v>0</v>
      </c>
      <c r="AV381" s="12">
        <v>0</v>
      </c>
      <c r="AW381" s="12">
        <v>0</v>
      </c>
      <c r="AX381" s="12">
        <f t="shared" si="145"/>
        <v>0</v>
      </c>
      <c r="AY381" s="12">
        <v>0</v>
      </c>
      <c r="AZ381" s="12">
        <v>0</v>
      </c>
      <c r="BA381" s="12">
        <v>0</v>
      </c>
      <c r="BB381" s="12">
        <f t="shared" si="146"/>
        <v>0</v>
      </c>
      <c r="BC381" s="12">
        <v>0</v>
      </c>
      <c r="BD381" s="12">
        <v>0</v>
      </c>
      <c r="BE381" s="12">
        <v>0</v>
      </c>
      <c r="BF381" s="12">
        <v>0</v>
      </c>
    </row>
    <row r="382" spans="1:58" x14ac:dyDescent="0.25">
      <c r="A382" s="7">
        <v>4044</v>
      </c>
      <c r="B382" s="7">
        <v>7</v>
      </c>
      <c r="C382" s="7" t="s">
        <v>383</v>
      </c>
      <c r="D382" s="4">
        <v>7</v>
      </c>
      <c r="E382" s="10">
        <v>0</v>
      </c>
      <c r="F382" s="8">
        <f t="shared" si="125"/>
        <v>0</v>
      </c>
      <c r="G382" s="8">
        <f t="shared" si="126"/>
        <v>0</v>
      </c>
      <c r="H382" s="8">
        <f t="shared" si="127"/>
        <v>0</v>
      </c>
      <c r="I382" s="8">
        <f t="shared" si="128"/>
        <v>0</v>
      </c>
      <c r="J382" s="8">
        <f t="shared" si="129"/>
        <v>0</v>
      </c>
      <c r="K382" s="8">
        <f t="shared" si="130"/>
        <v>0</v>
      </c>
      <c r="L382" s="8">
        <f t="shared" si="131"/>
        <v>0</v>
      </c>
      <c r="M382" s="8">
        <f t="shared" si="132"/>
        <v>0</v>
      </c>
      <c r="N382" s="8">
        <f t="shared" si="133"/>
        <v>0</v>
      </c>
      <c r="O382" s="8">
        <f t="shared" si="134"/>
        <v>0</v>
      </c>
      <c r="P382" s="8">
        <f t="shared" si="135"/>
        <v>0</v>
      </c>
      <c r="Q382" s="8">
        <f t="shared" si="136"/>
        <v>0</v>
      </c>
      <c r="R382" s="8">
        <f t="shared" si="137"/>
        <v>0</v>
      </c>
      <c r="S382" s="8">
        <f t="shared" si="138"/>
        <v>0</v>
      </c>
      <c r="T382" s="8">
        <f t="shared" si="139"/>
        <v>0</v>
      </c>
      <c r="U382" s="8">
        <f t="shared" si="140"/>
        <v>0</v>
      </c>
      <c r="V382" s="8">
        <f t="shared" si="141"/>
        <v>0</v>
      </c>
      <c r="W382" s="8">
        <f t="shared" si="142"/>
        <v>0</v>
      </c>
      <c r="X382" s="8">
        <f t="shared" si="143"/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f t="shared" si="144"/>
        <v>0</v>
      </c>
      <c r="AI382" s="10">
        <v>0</v>
      </c>
      <c r="AJ382" s="10">
        <v>0</v>
      </c>
      <c r="AK382" s="10">
        <v>0</v>
      </c>
      <c r="AL382" s="10">
        <v>0</v>
      </c>
      <c r="AM382" s="10">
        <v>0</v>
      </c>
      <c r="AN382" s="10">
        <v>0</v>
      </c>
      <c r="AO382" s="10">
        <v>0</v>
      </c>
      <c r="AP382" s="10">
        <v>0</v>
      </c>
      <c r="AQ382" s="10">
        <v>0</v>
      </c>
      <c r="AR382" s="10">
        <v>0</v>
      </c>
      <c r="AS382" s="10">
        <f t="shared" si="147"/>
        <v>0</v>
      </c>
      <c r="AT382" s="10">
        <v>0</v>
      </c>
      <c r="AU382" s="12">
        <v>0</v>
      </c>
      <c r="AV382" s="12">
        <v>0</v>
      </c>
      <c r="AW382" s="12">
        <v>0</v>
      </c>
      <c r="AX382" s="12">
        <f t="shared" si="145"/>
        <v>0</v>
      </c>
      <c r="AY382" s="12">
        <v>0</v>
      </c>
      <c r="AZ382" s="12">
        <v>0</v>
      </c>
      <c r="BA382" s="12">
        <v>0</v>
      </c>
      <c r="BB382" s="12">
        <f t="shared" si="146"/>
        <v>0</v>
      </c>
      <c r="BC382" s="12">
        <v>0</v>
      </c>
      <c r="BD382" s="12">
        <v>0</v>
      </c>
      <c r="BE382" s="12">
        <v>0</v>
      </c>
      <c r="BF382" s="12">
        <v>0</v>
      </c>
    </row>
    <row r="383" spans="1:58" x14ac:dyDescent="0.25">
      <c r="A383" s="7">
        <v>4045</v>
      </c>
      <c r="B383" s="7">
        <v>7</v>
      </c>
      <c r="C383" s="7" t="s">
        <v>384</v>
      </c>
      <c r="D383" s="4">
        <v>7</v>
      </c>
      <c r="E383" s="10">
        <v>0</v>
      </c>
      <c r="F383" s="8">
        <f t="shared" si="125"/>
        <v>0</v>
      </c>
      <c r="G383" s="8">
        <f t="shared" si="126"/>
        <v>0</v>
      </c>
      <c r="H383" s="8">
        <f t="shared" si="127"/>
        <v>0</v>
      </c>
      <c r="I383" s="8">
        <f t="shared" si="128"/>
        <v>0</v>
      </c>
      <c r="J383" s="8">
        <f t="shared" si="129"/>
        <v>0</v>
      </c>
      <c r="K383" s="8">
        <f t="shared" si="130"/>
        <v>0</v>
      </c>
      <c r="L383" s="8">
        <f t="shared" si="131"/>
        <v>0</v>
      </c>
      <c r="M383" s="8">
        <f t="shared" si="132"/>
        <v>0</v>
      </c>
      <c r="N383" s="8">
        <f t="shared" si="133"/>
        <v>0</v>
      </c>
      <c r="O383" s="8">
        <f t="shared" si="134"/>
        <v>0</v>
      </c>
      <c r="P383" s="8">
        <f t="shared" si="135"/>
        <v>0</v>
      </c>
      <c r="Q383" s="8">
        <f t="shared" si="136"/>
        <v>0</v>
      </c>
      <c r="R383" s="8">
        <f t="shared" si="137"/>
        <v>0</v>
      </c>
      <c r="S383" s="8">
        <f t="shared" si="138"/>
        <v>0</v>
      </c>
      <c r="T383" s="8">
        <f t="shared" si="139"/>
        <v>0</v>
      </c>
      <c r="U383" s="8">
        <f t="shared" si="140"/>
        <v>0</v>
      </c>
      <c r="V383" s="8">
        <f t="shared" si="141"/>
        <v>0</v>
      </c>
      <c r="W383" s="8">
        <f t="shared" si="142"/>
        <v>0</v>
      </c>
      <c r="X383" s="8">
        <f t="shared" si="143"/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f t="shared" si="144"/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f t="shared" si="147"/>
        <v>0</v>
      </c>
      <c r="AT383" s="10">
        <v>0</v>
      </c>
      <c r="AU383" s="12">
        <v>0</v>
      </c>
      <c r="AV383" s="12">
        <v>0</v>
      </c>
      <c r="AW383" s="12">
        <v>0</v>
      </c>
      <c r="AX383" s="12">
        <f t="shared" si="145"/>
        <v>0</v>
      </c>
      <c r="AY383" s="12">
        <v>0</v>
      </c>
      <c r="AZ383" s="12">
        <v>0</v>
      </c>
      <c r="BA383" s="12">
        <v>0</v>
      </c>
      <c r="BB383" s="12">
        <f t="shared" si="146"/>
        <v>0</v>
      </c>
      <c r="BC383" s="12">
        <v>0</v>
      </c>
      <c r="BD383" s="12">
        <v>0</v>
      </c>
      <c r="BE383" s="12">
        <v>0</v>
      </c>
      <c r="BF383" s="12">
        <v>0</v>
      </c>
    </row>
    <row r="384" spans="1:58" x14ac:dyDescent="0.25">
      <c r="A384" s="7">
        <v>4046</v>
      </c>
      <c r="B384" s="7">
        <v>7</v>
      </c>
      <c r="C384" s="7" t="s">
        <v>385</v>
      </c>
      <c r="D384" s="4">
        <v>7</v>
      </c>
      <c r="E384" s="10">
        <v>0</v>
      </c>
      <c r="F384" s="8">
        <f t="shared" si="125"/>
        <v>0</v>
      </c>
      <c r="G384" s="8">
        <f t="shared" si="126"/>
        <v>0</v>
      </c>
      <c r="H384" s="8">
        <f t="shared" si="127"/>
        <v>0</v>
      </c>
      <c r="I384" s="8">
        <f t="shared" si="128"/>
        <v>0</v>
      </c>
      <c r="J384" s="8">
        <f t="shared" si="129"/>
        <v>0</v>
      </c>
      <c r="K384" s="8">
        <f t="shared" si="130"/>
        <v>0</v>
      </c>
      <c r="L384" s="8">
        <f t="shared" si="131"/>
        <v>0</v>
      </c>
      <c r="M384" s="8">
        <f t="shared" si="132"/>
        <v>0</v>
      </c>
      <c r="N384" s="8">
        <f t="shared" si="133"/>
        <v>0</v>
      </c>
      <c r="O384" s="8">
        <f t="shared" si="134"/>
        <v>0</v>
      </c>
      <c r="P384" s="8">
        <f t="shared" si="135"/>
        <v>0</v>
      </c>
      <c r="Q384" s="8">
        <f t="shared" si="136"/>
        <v>0</v>
      </c>
      <c r="R384" s="8">
        <f t="shared" si="137"/>
        <v>0</v>
      </c>
      <c r="S384" s="8">
        <f t="shared" si="138"/>
        <v>0</v>
      </c>
      <c r="T384" s="8">
        <f t="shared" si="139"/>
        <v>0</v>
      </c>
      <c r="U384" s="8">
        <f t="shared" si="140"/>
        <v>0</v>
      </c>
      <c r="V384" s="8">
        <f t="shared" si="141"/>
        <v>0</v>
      </c>
      <c r="W384" s="8">
        <f t="shared" si="142"/>
        <v>0</v>
      </c>
      <c r="X384" s="8">
        <f t="shared" si="143"/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f t="shared" si="144"/>
        <v>0</v>
      </c>
      <c r="AI384" s="10">
        <v>0</v>
      </c>
      <c r="AJ384" s="10">
        <v>0</v>
      </c>
      <c r="AK384" s="10">
        <v>0</v>
      </c>
      <c r="AL384" s="10">
        <v>0</v>
      </c>
      <c r="AM384" s="10">
        <v>0</v>
      </c>
      <c r="AN384" s="10">
        <v>0</v>
      </c>
      <c r="AO384" s="10">
        <v>0</v>
      </c>
      <c r="AP384" s="10">
        <v>0</v>
      </c>
      <c r="AQ384" s="10">
        <v>0</v>
      </c>
      <c r="AR384" s="10">
        <v>0</v>
      </c>
      <c r="AS384" s="10">
        <f t="shared" si="147"/>
        <v>0</v>
      </c>
      <c r="AT384" s="10">
        <v>0</v>
      </c>
      <c r="AU384" s="12">
        <v>0</v>
      </c>
      <c r="AV384" s="12">
        <v>0</v>
      </c>
      <c r="AW384" s="12">
        <v>0</v>
      </c>
      <c r="AX384" s="12">
        <f t="shared" si="145"/>
        <v>0</v>
      </c>
      <c r="AY384" s="12">
        <v>0</v>
      </c>
      <c r="AZ384" s="12">
        <v>0</v>
      </c>
      <c r="BA384" s="12">
        <v>0</v>
      </c>
      <c r="BB384" s="12">
        <f t="shared" si="146"/>
        <v>0</v>
      </c>
      <c r="BC384" s="12">
        <v>0</v>
      </c>
      <c r="BD384" s="12">
        <v>0</v>
      </c>
      <c r="BE384" s="12">
        <v>0</v>
      </c>
      <c r="BF384" s="12">
        <v>0</v>
      </c>
    </row>
    <row r="385" spans="1:58" x14ac:dyDescent="0.25">
      <c r="A385" s="7">
        <v>4048</v>
      </c>
      <c r="B385" s="7">
        <v>7</v>
      </c>
      <c r="C385" s="7" t="s">
        <v>386</v>
      </c>
      <c r="D385" s="4">
        <v>7</v>
      </c>
      <c r="E385" s="10">
        <v>0</v>
      </c>
      <c r="F385" s="8">
        <f t="shared" si="125"/>
        <v>0</v>
      </c>
      <c r="G385" s="8">
        <f t="shared" si="126"/>
        <v>0</v>
      </c>
      <c r="H385" s="8">
        <f t="shared" si="127"/>
        <v>0</v>
      </c>
      <c r="I385" s="8">
        <f t="shared" si="128"/>
        <v>0</v>
      </c>
      <c r="J385" s="8">
        <f t="shared" si="129"/>
        <v>0</v>
      </c>
      <c r="K385" s="8">
        <f t="shared" si="130"/>
        <v>0</v>
      </c>
      <c r="L385" s="8">
        <f t="shared" si="131"/>
        <v>0</v>
      </c>
      <c r="M385" s="8">
        <f t="shared" si="132"/>
        <v>0</v>
      </c>
      <c r="N385" s="8">
        <f t="shared" si="133"/>
        <v>0</v>
      </c>
      <c r="O385" s="8">
        <f t="shared" si="134"/>
        <v>0</v>
      </c>
      <c r="P385" s="8">
        <f t="shared" si="135"/>
        <v>0</v>
      </c>
      <c r="Q385" s="8">
        <f t="shared" si="136"/>
        <v>0</v>
      </c>
      <c r="R385" s="8">
        <f t="shared" si="137"/>
        <v>0</v>
      </c>
      <c r="S385" s="8">
        <f t="shared" si="138"/>
        <v>0</v>
      </c>
      <c r="T385" s="8">
        <f t="shared" si="139"/>
        <v>0</v>
      </c>
      <c r="U385" s="8">
        <f t="shared" si="140"/>
        <v>0</v>
      </c>
      <c r="V385" s="8">
        <f t="shared" si="141"/>
        <v>0</v>
      </c>
      <c r="W385" s="8">
        <f t="shared" si="142"/>
        <v>0</v>
      </c>
      <c r="X385" s="8">
        <f t="shared" si="143"/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f t="shared" si="144"/>
        <v>0</v>
      </c>
      <c r="AI385" s="10">
        <v>0</v>
      </c>
      <c r="AJ385" s="10">
        <v>0</v>
      </c>
      <c r="AK385" s="10">
        <v>0</v>
      </c>
      <c r="AL385" s="10">
        <v>0</v>
      </c>
      <c r="AM385" s="10">
        <v>0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f t="shared" si="147"/>
        <v>0</v>
      </c>
      <c r="AT385" s="10">
        <v>0</v>
      </c>
      <c r="AU385" s="12">
        <v>0</v>
      </c>
      <c r="AV385" s="12">
        <v>0</v>
      </c>
      <c r="AW385" s="12">
        <v>0</v>
      </c>
      <c r="AX385" s="12">
        <f t="shared" si="145"/>
        <v>0</v>
      </c>
      <c r="AY385" s="12">
        <v>0</v>
      </c>
      <c r="AZ385" s="12">
        <v>0</v>
      </c>
      <c r="BA385" s="12">
        <v>0</v>
      </c>
      <c r="BB385" s="12">
        <f t="shared" si="146"/>
        <v>0</v>
      </c>
      <c r="BC385" s="12">
        <v>0</v>
      </c>
      <c r="BD385" s="12">
        <v>0</v>
      </c>
      <c r="BE385" s="12">
        <v>0</v>
      </c>
      <c r="BF385" s="12">
        <v>0</v>
      </c>
    </row>
    <row r="386" spans="1:58" x14ac:dyDescent="0.25">
      <c r="A386" s="7">
        <v>4049</v>
      </c>
      <c r="B386" s="7">
        <v>7</v>
      </c>
      <c r="C386" s="7" t="s">
        <v>387</v>
      </c>
      <c r="D386" s="4">
        <v>7</v>
      </c>
      <c r="E386" s="10">
        <v>155</v>
      </c>
      <c r="F386" s="8">
        <f t="shared" si="125"/>
        <v>5066</v>
      </c>
      <c r="G386" s="8">
        <f t="shared" si="126"/>
        <v>3004.8999999999996</v>
      </c>
      <c r="H386" s="8">
        <f t="shared" si="127"/>
        <v>0</v>
      </c>
      <c r="I386" s="8">
        <f t="shared" si="128"/>
        <v>0.99999999990723154</v>
      </c>
      <c r="J386" s="8">
        <f t="shared" si="129"/>
        <v>8071.8999999999069</v>
      </c>
      <c r="K386" s="8">
        <f t="shared" si="130"/>
        <v>203.59999999999991</v>
      </c>
      <c r="L386" s="8">
        <f t="shared" si="131"/>
        <v>8275.4999999999072</v>
      </c>
      <c r="M386" s="8">
        <f t="shared" si="132"/>
        <v>52.076774193547784</v>
      </c>
      <c r="N386" s="8">
        <f t="shared" si="133"/>
        <v>4650</v>
      </c>
      <c r="O386" s="8">
        <f t="shared" si="134"/>
        <v>0</v>
      </c>
      <c r="P386" s="8">
        <f t="shared" si="135"/>
        <v>0</v>
      </c>
      <c r="Q386" s="8">
        <f t="shared" si="136"/>
        <v>396</v>
      </c>
      <c r="R386" s="8">
        <f t="shared" si="137"/>
        <v>20</v>
      </c>
      <c r="S386" s="8">
        <f t="shared" si="138"/>
        <v>0</v>
      </c>
      <c r="T386" s="8">
        <f t="shared" si="139"/>
        <v>3004.8999999999996</v>
      </c>
      <c r="U386" s="8">
        <f t="shared" si="140"/>
        <v>0</v>
      </c>
      <c r="V386" s="8">
        <f t="shared" si="141"/>
        <v>1</v>
      </c>
      <c r="W386" s="8">
        <f t="shared" si="142"/>
        <v>0</v>
      </c>
      <c r="X386" s="8">
        <f t="shared" si="143"/>
        <v>8071.8999999999069</v>
      </c>
      <c r="Y386" s="10">
        <v>1079916</v>
      </c>
      <c r="Z386" s="10">
        <v>0</v>
      </c>
      <c r="AA386" s="10">
        <v>48</v>
      </c>
      <c r="AB386" s="10">
        <v>78677</v>
      </c>
      <c r="AC386" s="10">
        <v>5058</v>
      </c>
      <c r="AD386" s="10">
        <v>0</v>
      </c>
      <c r="AE386" s="10">
        <v>0</v>
      </c>
      <c r="AF386" s="10">
        <v>19080</v>
      </c>
      <c r="AG386" s="10">
        <v>21753</v>
      </c>
      <c r="AH386" s="10">
        <f t="shared" si="144"/>
        <v>87004.169999999925</v>
      </c>
      <c r="AI386" s="10">
        <v>1291536.17</v>
      </c>
      <c r="AJ386" s="10">
        <v>1084566</v>
      </c>
      <c r="AK386" s="10">
        <v>0</v>
      </c>
      <c r="AL386" s="10">
        <v>48</v>
      </c>
      <c r="AM386" s="10">
        <v>79073</v>
      </c>
      <c r="AN386" s="10">
        <v>5078</v>
      </c>
      <c r="AO386" s="10">
        <v>0</v>
      </c>
      <c r="AP386" s="10">
        <v>3004.8999999999996</v>
      </c>
      <c r="AQ386" s="10">
        <v>19080</v>
      </c>
      <c r="AR386" s="10">
        <v>21754</v>
      </c>
      <c r="AS386" s="10">
        <f t="shared" si="147"/>
        <v>87004.169999999925</v>
      </c>
      <c r="AT386" s="10">
        <v>1299608.0699999998</v>
      </c>
      <c r="AU386" s="12">
        <v>0</v>
      </c>
      <c r="AV386" s="12">
        <v>0</v>
      </c>
      <c r="AW386" s="12">
        <v>448.625</v>
      </c>
      <c r="AX386" s="12">
        <f t="shared" si="145"/>
        <v>448.625</v>
      </c>
      <c r="AY386" s="12">
        <v>0</v>
      </c>
      <c r="AZ386" s="12">
        <v>0</v>
      </c>
      <c r="BA386" s="12">
        <v>652.22500000000002</v>
      </c>
      <c r="BB386" s="12">
        <f t="shared" si="146"/>
        <v>652.22500000000002</v>
      </c>
      <c r="BC386" s="12">
        <v>0</v>
      </c>
      <c r="BD386" s="12">
        <v>0</v>
      </c>
      <c r="BE386" s="12">
        <v>203.59999999999991</v>
      </c>
      <c r="BF386" s="12">
        <v>203.59999999999991</v>
      </c>
    </row>
    <row r="387" spans="1:58" x14ac:dyDescent="0.25">
      <c r="A387" s="7">
        <v>4050</v>
      </c>
      <c r="B387" s="7">
        <v>7</v>
      </c>
      <c r="C387" s="7" t="s">
        <v>388</v>
      </c>
      <c r="D387" s="4">
        <v>7</v>
      </c>
      <c r="E387" s="10">
        <v>106</v>
      </c>
      <c r="F387" s="8">
        <f t="shared" si="125"/>
        <v>3342</v>
      </c>
      <c r="G387" s="8">
        <f t="shared" si="126"/>
        <v>2500.5600000000004</v>
      </c>
      <c r="H387" s="8">
        <f t="shared" si="127"/>
        <v>0</v>
      </c>
      <c r="I387" s="8">
        <f t="shared" si="128"/>
        <v>5.5479176808148623E-11</v>
      </c>
      <c r="J387" s="8">
        <f t="shared" si="129"/>
        <v>5842.5600000000559</v>
      </c>
      <c r="K387" s="8">
        <f t="shared" si="130"/>
        <v>532</v>
      </c>
      <c r="L387" s="8">
        <f t="shared" si="131"/>
        <v>6374.5600000000559</v>
      </c>
      <c r="M387" s="8">
        <f t="shared" si="132"/>
        <v>55.118490566038261</v>
      </c>
      <c r="N387" s="8">
        <f t="shared" si="133"/>
        <v>2735</v>
      </c>
      <c r="O387" s="8">
        <f t="shared" si="134"/>
        <v>0</v>
      </c>
      <c r="P387" s="8">
        <f t="shared" si="135"/>
        <v>76</v>
      </c>
      <c r="Q387" s="8">
        <f t="shared" si="136"/>
        <v>519</v>
      </c>
      <c r="R387" s="8">
        <f t="shared" si="137"/>
        <v>12</v>
      </c>
      <c r="S387" s="8">
        <f t="shared" si="138"/>
        <v>0</v>
      </c>
      <c r="T387" s="8">
        <f t="shared" si="139"/>
        <v>2500.5600000000004</v>
      </c>
      <c r="U387" s="8">
        <f t="shared" si="140"/>
        <v>0</v>
      </c>
      <c r="V387" s="8">
        <f t="shared" si="141"/>
        <v>0</v>
      </c>
      <c r="W387" s="8">
        <f t="shared" si="142"/>
        <v>0</v>
      </c>
      <c r="X387" s="8">
        <f t="shared" si="143"/>
        <v>5842.5600000000559</v>
      </c>
      <c r="Y387" s="10">
        <v>635176</v>
      </c>
      <c r="Z387" s="10">
        <v>0</v>
      </c>
      <c r="AA387" s="10">
        <v>17736</v>
      </c>
      <c r="AB387" s="10">
        <v>103115</v>
      </c>
      <c r="AC387" s="10">
        <v>2975</v>
      </c>
      <c r="AD387" s="10">
        <v>0</v>
      </c>
      <c r="AE387" s="10">
        <v>0</v>
      </c>
      <c r="AF387" s="10">
        <v>0</v>
      </c>
      <c r="AG387" s="10">
        <v>12795</v>
      </c>
      <c r="AH387" s="10">
        <f t="shared" si="144"/>
        <v>45956.844999999972</v>
      </c>
      <c r="AI387" s="10">
        <v>817753.84499999997</v>
      </c>
      <c r="AJ387" s="10">
        <v>637911</v>
      </c>
      <c r="AK387" s="10">
        <v>0</v>
      </c>
      <c r="AL387" s="10">
        <v>17812</v>
      </c>
      <c r="AM387" s="10">
        <v>103634</v>
      </c>
      <c r="AN387" s="10">
        <v>2987</v>
      </c>
      <c r="AO387" s="10">
        <v>0</v>
      </c>
      <c r="AP387" s="10">
        <v>2500.5600000000004</v>
      </c>
      <c r="AQ387" s="10">
        <v>0</v>
      </c>
      <c r="AR387" s="10">
        <v>12795</v>
      </c>
      <c r="AS387" s="10">
        <f t="shared" si="147"/>
        <v>45956.844999999972</v>
      </c>
      <c r="AT387" s="10">
        <v>823596.40500000003</v>
      </c>
      <c r="AU387" s="12">
        <v>0</v>
      </c>
      <c r="AV387" s="12">
        <v>0</v>
      </c>
      <c r="AW387" s="12">
        <v>1407.75</v>
      </c>
      <c r="AX387" s="12">
        <f t="shared" si="145"/>
        <v>1407.75</v>
      </c>
      <c r="AY387" s="12">
        <v>0</v>
      </c>
      <c r="AZ387" s="12">
        <v>0</v>
      </c>
      <c r="BA387" s="12">
        <v>1939.75</v>
      </c>
      <c r="BB387" s="12">
        <f t="shared" si="146"/>
        <v>1939.75</v>
      </c>
      <c r="BC387" s="12">
        <v>0</v>
      </c>
      <c r="BD387" s="12">
        <v>0</v>
      </c>
      <c r="BE387" s="12">
        <v>532</v>
      </c>
      <c r="BF387" s="12">
        <v>532</v>
      </c>
    </row>
    <row r="388" spans="1:58" x14ac:dyDescent="0.25">
      <c r="A388" s="7">
        <v>4051</v>
      </c>
      <c r="B388" s="7">
        <v>7</v>
      </c>
      <c r="C388" s="7" t="s">
        <v>389</v>
      </c>
      <c r="D388" s="4">
        <v>7</v>
      </c>
      <c r="E388" s="10">
        <v>0</v>
      </c>
      <c r="F388" s="8">
        <f t="shared" si="125"/>
        <v>0</v>
      </c>
      <c r="G388" s="8">
        <f t="shared" si="126"/>
        <v>0</v>
      </c>
      <c r="H388" s="8">
        <f t="shared" si="127"/>
        <v>0</v>
      </c>
      <c r="I388" s="8">
        <f t="shared" si="128"/>
        <v>0</v>
      </c>
      <c r="J388" s="8">
        <f t="shared" si="129"/>
        <v>0</v>
      </c>
      <c r="K388" s="8">
        <f t="shared" si="130"/>
        <v>0</v>
      </c>
      <c r="L388" s="8">
        <f t="shared" si="131"/>
        <v>0</v>
      </c>
      <c r="M388" s="8">
        <f t="shared" si="132"/>
        <v>0</v>
      </c>
      <c r="N388" s="8">
        <f t="shared" si="133"/>
        <v>0</v>
      </c>
      <c r="O388" s="8">
        <f t="shared" si="134"/>
        <v>0</v>
      </c>
      <c r="P388" s="8">
        <f t="shared" si="135"/>
        <v>0</v>
      </c>
      <c r="Q388" s="8">
        <f t="shared" si="136"/>
        <v>0</v>
      </c>
      <c r="R388" s="8">
        <f t="shared" si="137"/>
        <v>0</v>
      </c>
      <c r="S388" s="8">
        <f t="shared" si="138"/>
        <v>0</v>
      </c>
      <c r="T388" s="8">
        <f t="shared" si="139"/>
        <v>0</v>
      </c>
      <c r="U388" s="8">
        <f t="shared" si="140"/>
        <v>0</v>
      </c>
      <c r="V388" s="8">
        <f t="shared" si="141"/>
        <v>0</v>
      </c>
      <c r="W388" s="8">
        <f t="shared" si="142"/>
        <v>0</v>
      </c>
      <c r="X388" s="8">
        <f t="shared" si="143"/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f t="shared" si="144"/>
        <v>0</v>
      </c>
      <c r="AI388" s="10">
        <v>0</v>
      </c>
      <c r="AJ388" s="10">
        <v>0</v>
      </c>
      <c r="AK388" s="10">
        <v>0</v>
      </c>
      <c r="AL388" s="10">
        <v>0</v>
      </c>
      <c r="AM388" s="10">
        <v>0</v>
      </c>
      <c r="AN388" s="10">
        <v>0</v>
      </c>
      <c r="AO388" s="10">
        <v>0</v>
      </c>
      <c r="AP388" s="10">
        <v>0</v>
      </c>
      <c r="AQ388" s="10">
        <v>0</v>
      </c>
      <c r="AR388" s="10">
        <v>0</v>
      </c>
      <c r="AS388" s="10">
        <f t="shared" si="147"/>
        <v>0</v>
      </c>
      <c r="AT388" s="10">
        <v>0</v>
      </c>
      <c r="AU388" s="12">
        <v>0</v>
      </c>
      <c r="AV388" s="12">
        <v>0</v>
      </c>
      <c r="AW388" s="12">
        <v>0</v>
      </c>
      <c r="AX388" s="12">
        <f t="shared" si="145"/>
        <v>0</v>
      </c>
      <c r="AY388" s="12">
        <v>0</v>
      </c>
      <c r="AZ388" s="12">
        <v>0</v>
      </c>
      <c r="BA388" s="12">
        <v>0</v>
      </c>
      <c r="BB388" s="12">
        <f t="shared" si="146"/>
        <v>0</v>
      </c>
      <c r="BC388" s="12">
        <v>0</v>
      </c>
      <c r="BD388" s="12">
        <v>0</v>
      </c>
      <c r="BE388" s="12">
        <v>0</v>
      </c>
      <c r="BF388" s="12">
        <v>0</v>
      </c>
    </row>
    <row r="389" spans="1:58" x14ac:dyDescent="0.25">
      <c r="A389" s="7">
        <v>4052</v>
      </c>
      <c r="B389" s="7">
        <v>7</v>
      </c>
      <c r="C389" s="7" t="s">
        <v>390</v>
      </c>
      <c r="D389" s="4">
        <v>7</v>
      </c>
      <c r="E389" s="10">
        <v>0</v>
      </c>
      <c r="F389" s="8">
        <f t="shared" si="125"/>
        <v>0</v>
      </c>
      <c r="G389" s="8">
        <f t="shared" si="126"/>
        <v>0</v>
      </c>
      <c r="H389" s="8">
        <f t="shared" si="127"/>
        <v>0</v>
      </c>
      <c r="I389" s="8">
        <f t="shared" si="128"/>
        <v>0</v>
      </c>
      <c r="J389" s="8">
        <f t="shared" si="129"/>
        <v>0</v>
      </c>
      <c r="K389" s="8">
        <f t="shared" si="130"/>
        <v>0</v>
      </c>
      <c r="L389" s="8">
        <f t="shared" si="131"/>
        <v>0</v>
      </c>
      <c r="M389" s="8">
        <f t="shared" si="132"/>
        <v>0</v>
      </c>
      <c r="N389" s="8">
        <f t="shared" si="133"/>
        <v>0</v>
      </c>
      <c r="O389" s="8">
        <f t="shared" si="134"/>
        <v>0</v>
      </c>
      <c r="P389" s="8">
        <f t="shared" si="135"/>
        <v>0</v>
      </c>
      <c r="Q389" s="8">
        <f t="shared" si="136"/>
        <v>0</v>
      </c>
      <c r="R389" s="8">
        <f t="shared" si="137"/>
        <v>0</v>
      </c>
      <c r="S389" s="8">
        <f t="shared" si="138"/>
        <v>0</v>
      </c>
      <c r="T389" s="8">
        <f t="shared" si="139"/>
        <v>0</v>
      </c>
      <c r="U389" s="8">
        <f t="shared" si="140"/>
        <v>0</v>
      </c>
      <c r="V389" s="8">
        <f t="shared" si="141"/>
        <v>0</v>
      </c>
      <c r="W389" s="8">
        <f t="shared" si="142"/>
        <v>0</v>
      </c>
      <c r="X389" s="8">
        <f t="shared" si="143"/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f t="shared" si="144"/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</v>
      </c>
      <c r="AS389" s="10">
        <f t="shared" si="147"/>
        <v>0</v>
      </c>
      <c r="AT389" s="10">
        <v>0</v>
      </c>
      <c r="AU389" s="12">
        <v>0</v>
      </c>
      <c r="AV389" s="12">
        <v>0</v>
      </c>
      <c r="AW389" s="12">
        <v>0</v>
      </c>
      <c r="AX389" s="12">
        <f t="shared" si="145"/>
        <v>0</v>
      </c>
      <c r="AY389" s="12">
        <v>0</v>
      </c>
      <c r="AZ389" s="12">
        <v>0</v>
      </c>
      <c r="BA389" s="12">
        <v>0</v>
      </c>
      <c r="BB389" s="12">
        <f t="shared" si="146"/>
        <v>0</v>
      </c>
      <c r="BC389" s="12">
        <v>0</v>
      </c>
      <c r="BD389" s="12">
        <v>0</v>
      </c>
      <c r="BE389" s="12">
        <v>0</v>
      </c>
      <c r="BF389" s="12">
        <v>0</v>
      </c>
    </row>
    <row r="390" spans="1:58" x14ac:dyDescent="0.25">
      <c r="A390" s="7">
        <v>4053</v>
      </c>
      <c r="B390" s="7">
        <v>7</v>
      </c>
      <c r="C390" s="7" t="s">
        <v>391</v>
      </c>
      <c r="D390" s="4">
        <v>7</v>
      </c>
      <c r="E390" s="10">
        <v>394</v>
      </c>
      <c r="F390" s="8">
        <f t="shared" si="125"/>
        <v>11931.5</v>
      </c>
      <c r="G390" s="8">
        <f t="shared" si="126"/>
        <v>9805.94</v>
      </c>
      <c r="H390" s="8">
        <f t="shared" si="127"/>
        <v>0</v>
      </c>
      <c r="I390" s="8">
        <f t="shared" si="128"/>
        <v>-659.00000000005639</v>
      </c>
      <c r="J390" s="8">
        <f t="shared" si="129"/>
        <v>21078.439999999944</v>
      </c>
      <c r="K390" s="8">
        <f t="shared" si="130"/>
        <v>1779.5999999999985</v>
      </c>
      <c r="L390" s="8">
        <f t="shared" si="131"/>
        <v>22858.039999999943</v>
      </c>
      <c r="M390" s="8">
        <f t="shared" si="132"/>
        <v>53.498578680202904</v>
      </c>
      <c r="N390" s="8">
        <f t="shared" si="133"/>
        <v>11425</v>
      </c>
      <c r="O390" s="8">
        <f t="shared" si="134"/>
        <v>0</v>
      </c>
      <c r="P390" s="8">
        <f t="shared" si="135"/>
        <v>129</v>
      </c>
      <c r="Q390" s="8">
        <f t="shared" si="136"/>
        <v>329.5</v>
      </c>
      <c r="R390" s="8">
        <f t="shared" si="137"/>
        <v>48</v>
      </c>
      <c r="S390" s="8">
        <f t="shared" si="138"/>
        <v>0</v>
      </c>
      <c r="T390" s="8">
        <f t="shared" si="139"/>
        <v>9805.94</v>
      </c>
      <c r="U390" s="8">
        <f t="shared" si="140"/>
        <v>0</v>
      </c>
      <c r="V390" s="8">
        <f t="shared" si="141"/>
        <v>2</v>
      </c>
      <c r="W390" s="8">
        <f t="shared" si="142"/>
        <v>-661</v>
      </c>
      <c r="X390" s="8">
        <f t="shared" si="143"/>
        <v>21078.439999999944</v>
      </c>
      <c r="Y390" s="10">
        <v>2653342</v>
      </c>
      <c r="Z390" s="10">
        <v>0</v>
      </c>
      <c r="AA390" s="10">
        <v>29938</v>
      </c>
      <c r="AB390" s="10">
        <v>65465</v>
      </c>
      <c r="AC390" s="10">
        <v>12428</v>
      </c>
      <c r="AD390" s="10">
        <v>0</v>
      </c>
      <c r="AE390" s="10">
        <v>0</v>
      </c>
      <c r="AF390" s="10">
        <v>0</v>
      </c>
      <c r="AG390" s="10">
        <v>53448</v>
      </c>
      <c r="AH390" s="10">
        <f t="shared" si="144"/>
        <v>-9352.6499999999069</v>
      </c>
      <c r="AI390" s="10">
        <v>2805268.35</v>
      </c>
      <c r="AJ390" s="10">
        <v>2664767</v>
      </c>
      <c r="AK390" s="10">
        <v>0</v>
      </c>
      <c r="AL390" s="10">
        <v>30067</v>
      </c>
      <c r="AM390" s="10">
        <v>65794.5</v>
      </c>
      <c r="AN390" s="10">
        <v>12476</v>
      </c>
      <c r="AO390" s="10">
        <v>0</v>
      </c>
      <c r="AP390" s="10">
        <v>9805.94</v>
      </c>
      <c r="AQ390" s="10">
        <v>0</v>
      </c>
      <c r="AR390" s="10">
        <v>53450</v>
      </c>
      <c r="AS390" s="10">
        <f t="shared" si="147"/>
        <v>-10013.649999999907</v>
      </c>
      <c r="AT390" s="10">
        <v>2826346.79</v>
      </c>
      <c r="AU390" s="12">
        <v>0</v>
      </c>
      <c r="AV390" s="12">
        <v>0</v>
      </c>
      <c r="AW390" s="12">
        <v>3557.125</v>
      </c>
      <c r="AX390" s="12">
        <f t="shared" si="145"/>
        <v>3557.125</v>
      </c>
      <c r="AY390" s="12">
        <v>0</v>
      </c>
      <c r="AZ390" s="12">
        <v>0</v>
      </c>
      <c r="BA390" s="12">
        <v>5336.7250000000004</v>
      </c>
      <c r="BB390" s="12">
        <f t="shared" si="146"/>
        <v>5336.7250000000004</v>
      </c>
      <c r="BC390" s="12">
        <v>0</v>
      </c>
      <c r="BD390" s="12">
        <v>0</v>
      </c>
      <c r="BE390" s="12">
        <v>1779.5999999999985</v>
      </c>
      <c r="BF390" s="12">
        <v>1779.5999999999985</v>
      </c>
    </row>
    <row r="391" spans="1:58" x14ac:dyDescent="0.25">
      <c r="A391" s="7">
        <v>4054</v>
      </c>
      <c r="B391" s="7">
        <v>7</v>
      </c>
      <c r="C391" s="7" t="s">
        <v>392</v>
      </c>
      <c r="D391" s="4">
        <v>7</v>
      </c>
      <c r="E391" s="10">
        <v>60</v>
      </c>
      <c r="F391" s="8">
        <f t="shared" si="125"/>
        <v>1638.5</v>
      </c>
      <c r="G391" s="8">
        <f t="shared" si="126"/>
        <v>1784.82</v>
      </c>
      <c r="H391" s="8">
        <f t="shared" si="127"/>
        <v>0</v>
      </c>
      <c r="I391" s="8">
        <f t="shared" si="128"/>
        <v>-104.99999999999295</v>
      </c>
      <c r="J391" s="8">
        <f t="shared" si="129"/>
        <v>3318.320000000007</v>
      </c>
      <c r="K391" s="8">
        <f t="shared" si="130"/>
        <v>0</v>
      </c>
      <c r="L391" s="8">
        <f t="shared" si="131"/>
        <v>3318.320000000007</v>
      </c>
      <c r="M391" s="8">
        <f t="shared" si="132"/>
        <v>55.305333333333451</v>
      </c>
      <c r="N391" s="8">
        <f t="shared" si="133"/>
        <v>1590</v>
      </c>
      <c r="O391" s="8">
        <f t="shared" si="134"/>
        <v>0</v>
      </c>
      <c r="P391" s="8">
        <f t="shared" si="135"/>
        <v>32</v>
      </c>
      <c r="Q391" s="8">
        <f t="shared" si="136"/>
        <v>10.5</v>
      </c>
      <c r="R391" s="8">
        <f t="shared" si="137"/>
        <v>6</v>
      </c>
      <c r="S391" s="8">
        <f t="shared" si="138"/>
        <v>0</v>
      </c>
      <c r="T391" s="8">
        <f t="shared" si="139"/>
        <v>1784.82</v>
      </c>
      <c r="U391" s="8">
        <f t="shared" si="140"/>
        <v>0</v>
      </c>
      <c r="V391" s="8">
        <f t="shared" si="141"/>
        <v>1</v>
      </c>
      <c r="W391" s="8">
        <f t="shared" si="142"/>
        <v>-106</v>
      </c>
      <c r="X391" s="8">
        <f t="shared" si="143"/>
        <v>3318.320000000007</v>
      </c>
      <c r="Y391" s="10">
        <v>369262</v>
      </c>
      <c r="Z391" s="10">
        <v>0</v>
      </c>
      <c r="AA391" s="10">
        <v>7358</v>
      </c>
      <c r="AB391" s="10">
        <v>2086</v>
      </c>
      <c r="AC391" s="10">
        <v>1730</v>
      </c>
      <c r="AD391" s="10">
        <v>0</v>
      </c>
      <c r="AE391" s="10">
        <v>0</v>
      </c>
      <c r="AF391" s="10">
        <v>0</v>
      </c>
      <c r="AG391" s="10">
        <v>7438</v>
      </c>
      <c r="AH391" s="10">
        <f t="shared" si="144"/>
        <v>-2869.6749999999884</v>
      </c>
      <c r="AI391" s="10">
        <v>385004.32500000001</v>
      </c>
      <c r="AJ391" s="10">
        <v>370852</v>
      </c>
      <c r="AK391" s="10">
        <v>0</v>
      </c>
      <c r="AL391" s="10">
        <v>7390</v>
      </c>
      <c r="AM391" s="10">
        <v>2096.5</v>
      </c>
      <c r="AN391" s="10">
        <v>1736</v>
      </c>
      <c r="AO391" s="10">
        <v>0</v>
      </c>
      <c r="AP391" s="10">
        <v>1784.82</v>
      </c>
      <c r="AQ391" s="10">
        <v>0</v>
      </c>
      <c r="AR391" s="10">
        <v>7439</v>
      </c>
      <c r="AS391" s="10">
        <f t="shared" si="147"/>
        <v>-2975.6749999999884</v>
      </c>
      <c r="AT391" s="10">
        <v>388322.64500000002</v>
      </c>
      <c r="AU391" s="12">
        <v>0</v>
      </c>
      <c r="AV391" s="12">
        <v>0</v>
      </c>
      <c r="AW391" s="12">
        <v>0</v>
      </c>
      <c r="AX391" s="12">
        <f t="shared" si="145"/>
        <v>0</v>
      </c>
      <c r="AY391" s="12">
        <v>0</v>
      </c>
      <c r="AZ391" s="12">
        <v>0</v>
      </c>
      <c r="BA391" s="12">
        <v>0</v>
      </c>
      <c r="BB391" s="12">
        <f t="shared" si="146"/>
        <v>0</v>
      </c>
      <c r="BC391" s="12">
        <v>0</v>
      </c>
      <c r="BD391" s="12">
        <v>0</v>
      </c>
      <c r="BE391" s="12">
        <v>0</v>
      </c>
      <c r="BF391" s="12">
        <v>0</v>
      </c>
    </row>
    <row r="392" spans="1:58" x14ac:dyDescent="0.25">
      <c r="A392" s="7">
        <v>4055</v>
      </c>
      <c r="B392" s="7">
        <v>7</v>
      </c>
      <c r="C392" s="7" t="s">
        <v>393</v>
      </c>
      <c r="D392" s="4">
        <v>7</v>
      </c>
      <c r="E392" s="10">
        <v>155</v>
      </c>
      <c r="F392" s="8">
        <f t="shared" si="125"/>
        <v>3987</v>
      </c>
      <c r="G392" s="8">
        <f t="shared" si="126"/>
        <v>2869</v>
      </c>
      <c r="H392" s="8">
        <f t="shared" si="127"/>
        <v>0</v>
      </c>
      <c r="I392" s="8">
        <f t="shared" si="128"/>
        <v>-239</v>
      </c>
      <c r="J392" s="8">
        <f t="shared" si="129"/>
        <v>6617</v>
      </c>
      <c r="K392" s="8">
        <f t="shared" si="130"/>
        <v>0</v>
      </c>
      <c r="L392" s="8">
        <f t="shared" si="131"/>
        <v>6617</v>
      </c>
      <c r="M392" s="8">
        <f t="shared" si="132"/>
        <v>42.690322580645159</v>
      </c>
      <c r="N392" s="8">
        <f t="shared" si="133"/>
        <v>3875</v>
      </c>
      <c r="O392" s="8">
        <f t="shared" si="134"/>
        <v>0</v>
      </c>
      <c r="P392" s="8">
        <f t="shared" si="135"/>
        <v>59</v>
      </c>
      <c r="Q392" s="8">
        <f t="shared" si="136"/>
        <v>37</v>
      </c>
      <c r="R392" s="8">
        <f t="shared" si="137"/>
        <v>16</v>
      </c>
      <c r="S392" s="8">
        <f t="shared" si="138"/>
        <v>0</v>
      </c>
      <c r="T392" s="8">
        <f t="shared" si="139"/>
        <v>2869</v>
      </c>
      <c r="U392" s="8">
        <f t="shared" si="140"/>
        <v>0</v>
      </c>
      <c r="V392" s="8">
        <f t="shared" si="141"/>
        <v>0</v>
      </c>
      <c r="W392" s="8">
        <f t="shared" si="142"/>
        <v>-239</v>
      </c>
      <c r="X392" s="8">
        <f t="shared" si="143"/>
        <v>6617</v>
      </c>
      <c r="Y392" s="10">
        <v>899930</v>
      </c>
      <c r="Z392" s="10">
        <v>0</v>
      </c>
      <c r="AA392" s="10">
        <v>13777</v>
      </c>
      <c r="AB392" s="10">
        <v>7351</v>
      </c>
      <c r="AC392" s="10">
        <v>4215</v>
      </c>
      <c r="AD392" s="10">
        <v>0</v>
      </c>
      <c r="AE392" s="10">
        <v>0</v>
      </c>
      <c r="AF392" s="10">
        <v>0</v>
      </c>
      <c r="AG392" s="10">
        <v>18128</v>
      </c>
      <c r="AH392" s="10">
        <f t="shared" si="144"/>
        <v>7658.1748999999836</v>
      </c>
      <c r="AI392" s="10">
        <v>951059.17489999998</v>
      </c>
      <c r="AJ392" s="10">
        <v>903805</v>
      </c>
      <c r="AK392" s="10">
        <v>0</v>
      </c>
      <c r="AL392" s="10">
        <v>13836</v>
      </c>
      <c r="AM392" s="10">
        <v>7388</v>
      </c>
      <c r="AN392" s="10">
        <v>4231</v>
      </c>
      <c r="AO392" s="10">
        <v>0</v>
      </c>
      <c r="AP392" s="10">
        <v>2869</v>
      </c>
      <c r="AQ392" s="10">
        <v>0</v>
      </c>
      <c r="AR392" s="10">
        <v>18128</v>
      </c>
      <c r="AS392" s="10">
        <f t="shared" si="147"/>
        <v>7419.1748999999836</v>
      </c>
      <c r="AT392" s="10">
        <v>957676.17489999998</v>
      </c>
      <c r="AU392" s="12">
        <v>0</v>
      </c>
      <c r="AV392" s="12">
        <v>0</v>
      </c>
      <c r="AW392" s="12">
        <v>0</v>
      </c>
      <c r="AX392" s="12">
        <f t="shared" si="145"/>
        <v>0</v>
      </c>
      <c r="AY392" s="12">
        <v>0</v>
      </c>
      <c r="AZ392" s="12">
        <v>0</v>
      </c>
      <c r="BA392" s="12">
        <v>0</v>
      </c>
      <c r="BB392" s="12">
        <f t="shared" si="146"/>
        <v>0</v>
      </c>
      <c r="BC392" s="12">
        <v>0</v>
      </c>
      <c r="BD392" s="12">
        <v>0</v>
      </c>
      <c r="BE392" s="12">
        <v>0</v>
      </c>
      <c r="BF392" s="12">
        <v>0</v>
      </c>
    </row>
    <row r="393" spans="1:58" x14ac:dyDescent="0.25">
      <c r="A393" s="7">
        <v>4056</v>
      </c>
      <c r="B393" s="7">
        <v>7</v>
      </c>
      <c r="C393" s="7" t="s">
        <v>394</v>
      </c>
      <c r="D393" s="4">
        <v>7</v>
      </c>
      <c r="E393" s="10">
        <v>100</v>
      </c>
      <c r="F393" s="8">
        <f t="shared" si="125"/>
        <v>3511</v>
      </c>
      <c r="G393" s="8">
        <f t="shared" si="126"/>
        <v>3684.3999999999996</v>
      </c>
      <c r="H393" s="8">
        <f t="shared" si="127"/>
        <v>0</v>
      </c>
      <c r="I393" s="8">
        <f t="shared" si="128"/>
        <v>1.0000000000236469</v>
      </c>
      <c r="J393" s="8">
        <f t="shared" si="129"/>
        <v>7196.4000000000233</v>
      </c>
      <c r="K393" s="8">
        <f t="shared" si="130"/>
        <v>246.39999999999964</v>
      </c>
      <c r="L393" s="8">
        <f t="shared" si="131"/>
        <v>7442.8000000000229</v>
      </c>
      <c r="M393" s="8">
        <f t="shared" si="132"/>
        <v>71.964000000000226</v>
      </c>
      <c r="N393" s="8">
        <f t="shared" si="133"/>
        <v>3000</v>
      </c>
      <c r="O393" s="8">
        <f t="shared" si="134"/>
        <v>0</v>
      </c>
      <c r="P393" s="8">
        <f t="shared" si="135"/>
        <v>15</v>
      </c>
      <c r="Q393" s="8">
        <f t="shared" si="136"/>
        <v>483</v>
      </c>
      <c r="R393" s="8">
        <f t="shared" si="137"/>
        <v>13</v>
      </c>
      <c r="S393" s="8">
        <f t="shared" si="138"/>
        <v>0</v>
      </c>
      <c r="T393" s="8">
        <f t="shared" si="139"/>
        <v>3684.3999999999996</v>
      </c>
      <c r="U393" s="8">
        <f t="shared" si="140"/>
        <v>0</v>
      </c>
      <c r="V393" s="8">
        <f t="shared" si="141"/>
        <v>1</v>
      </c>
      <c r="W393" s="8">
        <f t="shared" si="142"/>
        <v>0</v>
      </c>
      <c r="X393" s="8">
        <f t="shared" si="143"/>
        <v>7196.4000000000233</v>
      </c>
      <c r="Y393" s="10">
        <v>696720</v>
      </c>
      <c r="Z393" s="10">
        <v>0</v>
      </c>
      <c r="AA393" s="10">
        <v>3535</v>
      </c>
      <c r="AB393" s="10">
        <v>95962</v>
      </c>
      <c r="AC393" s="10">
        <v>3263</v>
      </c>
      <c r="AD393" s="10">
        <v>0</v>
      </c>
      <c r="AE393" s="10">
        <v>0</v>
      </c>
      <c r="AF393" s="10">
        <v>0</v>
      </c>
      <c r="AG393" s="10">
        <v>14034</v>
      </c>
      <c r="AH393" s="10">
        <f t="shared" si="144"/>
        <v>43523.900000000023</v>
      </c>
      <c r="AI393" s="10">
        <v>857037.9</v>
      </c>
      <c r="AJ393" s="10">
        <v>699720</v>
      </c>
      <c r="AK393" s="10">
        <v>0</v>
      </c>
      <c r="AL393" s="10">
        <v>3550</v>
      </c>
      <c r="AM393" s="10">
        <v>96445</v>
      </c>
      <c r="AN393" s="10">
        <v>3276</v>
      </c>
      <c r="AO393" s="10">
        <v>0</v>
      </c>
      <c r="AP393" s="10">
        <v>3684.3999999999996</v>
      </c>
      <c r="AQ393" s="10">
        <v>0</v>
      </c>
      <c r="AR393" s="10">
        <v>14035</v>
      </c>
      <c r="AS393" s="10">
        <f t="shared" si="147"/>
        <v>43523.900000000023</v>
      </c>
      <c r="AT393" s="10">
        <v>864234.3</v>
      </c>
      <c r="AU393" s="12">
        <v>0</v>
      </c>
      <c r="AV393" s="12">
        <v>0</v>
      </c>
      <c r="AW393" s="12">
        <v>673.625</v>
      </c>
      <c r="AX393" s="12">
        <f t="shared" si="145"/>
        <v>673.625</v>
      </c>
      <c r="AY393" s="12">
        <v>0</v>
      </c>
      <c r="AZ393" s="12">
        <v>0</v>
      </c>
      <c r="BA393" s="12">
        <v>920.02499999999998</v>
      </c>
      <c r="BB393" s="12">
        <f t="shared" si="146"/>
        <v>920.02499999999998</v>
      </c>
      <c r="BC393" s="12">
        <v>0</v>
      </c>
      <c r="BD393" s="12">
        <v>0</v>
      </c>
      <c r="BE393" s="12">
        <v>246.39999999999964</v>
      </c>
      <c r="BF393" s="12">
        <v>246.39999999999964</v>
      </c>
    </row>
    <row r="394" spans="1:58" x14ac:dyDescent="0.25">
      <c r="A394" s="7">
        <v>4057</v>
      </c>
      <c r="B394" s="7">
        <v>7</v>
      </c>
      <c r="C394" s="7" t="s">
        <v>395</v>
      </c>
      <c r="D394" s="4">
        <v>7</v>
      </c>
      <c r="E394" s="10">
        <v>80</v>
      </c>
      <c r="F394" s="8">
        <f t="shared" si="125"/>
        <v>3517</v>
      </c>
      <c r="G394" s="8">
        <f t="shared" si="126"/>
        <v>0</v>
      </c>
      <c r="H394" s="8">
        <f t="shared" si="127"/>
        <v>31015</v>
      </c>
      <c r="I394" s="8">
        <f t="shared" si="128"/>
        <v>0</v>
      </c>
      <c r="J394" s="8">
        <f t="shared" si="129"/>
        <v>34532</v>
      </c>
      <c r="K394" s="8">
        <f t="shared" si="130"/>
        <v>0</v>
      </c>
      <c r="L394" s="8">
        <f t="shared" si="131"/>
        <v>34532</v>
      </c>
      <c r="M394" s="8">
        <f t="shared" si="132"/>
        <v>431.65</v>
      </c>
      <c r="N394" s="8">
        <f t="shared" si="133"/>
        <v>2400</v>
      </c>
      <c r="O394" s="8">
        <f t="shared" si="134"/>
        <v>42</v>
      </c>
      <c r="P394" s="8">
        <f t="shared" si="135"/>
        <v>0</v>
      </c>
      <c r="Q394" s="8">
        <f t="shared" si="136"/>
        <v>1065</v>
      </c>
      <c r="R394" s="8">
        <f t="shared" si="137"/>
        <v>10</v>
      </c>
      <c r="S394" s="8">
        <f t="shared" si="138"/>
        <v>0</v>
      </c>
      <c r="T394" s="8">
        <f t="shared" si="139"/>
        <v>0</v>
      </c>
      <c r="U394" s="8">
        <f t="shared" si="140"/>
        <v>31015</v>
      </c>
      <c r="V394" s="8">
        <f t="shared" si="141"/>
        <v>0</v>
      </c>
      <c r="W394" s="8">
        <f t="shared" si="142"/>
        <v>0</v>
      </c>
      <c r="X394" s="8">
        <f t="shared" si="143"/>
        <v>34532</v>
      </c>
      <c r="Y394" s="10">
        <v>557376</v>
      </c>
      <c r="Z394" s="10">
        <v>9754</v>
      </c>
      <c r="AA394" s="10">
        <v>25</v>
      </c>
      <c r="AB394" s="10">
        <v>211594</v>
      </c>
      <c r="AC394" s="10">
        <v>2611</v>
      </c>
      <c r="AD394" s="10">
        <v>0</v>
      </c>
      <c r="AE394" s="10">
        <v>19750</v>
      </c>
      <c r="AF394" s="10">
        <v>28620</v>
      </c>
      <c r="AG394" s="10">
        <v>11228</v>
      </c>
      <c r="AH394" s="10">
        <f t="shared" si="144"/>
        <v>31676.199999999953</v>
      </c>
      <c r="AI394" s="10">
        <v>872634.2</v>
      </c>
      <c r="AJ394" s="10">
        <v>559776</v>
      </c>
      <c r="AK394" s="10">
        <v>9796</v>
      </c>
      <c r="AL394" s="10">
        <v>25</v>
      </c>
      <c r="AM394" s="10">
        <v>212659</v>
      </c>
      <c r="AN394" s="10">
        <v>2621</v>
      </c>
      <c r="AO394" s="10">
        <v>0</v>
      </c>
      <c r="AP394" s="10">
        <v>19750</v>
      </c>
      <c r="AQ394" s="10">
        <v>59635</v>
      </c>
      <c r="AR394" s="10">
        <v>11228</v>
      </c>
      <c r="AS394" s="10">
        <f t="shared" si="147"/>
        <v>31676.199999999953</v>
      </c>
      <c r="AT394" s="10">
        <v>907166.2</v>
      </c>
      <c r="AU394" s="12">
        <v>0</v>
      </c>
      <c r="AV394" s="12">
        <v>0</v>
      </c>
      <c r="AW394" s="12">
        <v>618.375</v>
      </c>
      <c r="AX394" s="12">
        <f t="shared" si="145"/>
        <v>618.375</v>
      </c>
      <c r="AY394" s="12">
        <v>0</v>
      </c>
      <c r="AZ394" s="12">
        <v>0</v>
      </c>
      <c r="BA394" s="12">
        <v>618.375</v>
      </c>
      <c r="BB394" s="12">
        <f t="shared" si="146"/>
        <v>618.375</v>
      </c>
      <c r="BC394" s="12">
        <v>0</v>
      </c>
      <c r="BD394" s="12">
        <v>0</v>
      </c>
      <c r="BE394" s="12">
        <v>0</v>
      </c>
      <c r="BF394" s="12">
        <v>0</v>
      </c>
    </row>
    <row r="395" spans="1:58" x14ac:dyDescent="0.25">
      <c r="A395" s="7">
        <v>4058</v>
      </c>
      <c r="B395" s="7">
        <v>7</v>
      </c>
      <c r="C395" s="7" t="s">
        <v>396</v>
      </c>
      <c r="D395" s="4">
        <v>7</v>
      </c>
      <c r="E395" s="10">
        <v>192</v>
      </c>
      <c r="F395" s="8">
        <f t="shared" si="125"/>
        <v>5764</v>
      </c>
      <c r="G395" s="8">
        <f t="shared" si="126"/>
        <v>5209.4999999999991</v>
      </c>
      <c r="H395" s="8">
        <f t="shared" si="127"/>
        <v>0</v>
      </c>
      <c r="I395" s="8">
        <f t="shared" si="128"/>
        <v>-341.99999999999909</v>
      </c>
      <c r="J395" s="8">
        <f t="shared" si="129"/>
        <v>10631.5</v>
      </c>
      <c r="K395" s="8">
        <f t="shared" si="130"/>
        <v>2032.4000000000015</v>
      </c>
      <c r="L395" s="8">
        <f t="shared" si="131"/>
        <v>12663.900000000001</v>
      </c>
      <c r="M395" s="8">
        <f t="shared" si="132"/>
        <v>55.372395833333336</v>
      </c>
      <c r="N395" s="8">
        <f t="shared" si="133"/>
        <v>4765</v>
      </c>
      <c r="O395" s="8">
        <f t="shared" si="134"/>
        <v>0</v>
      </c>
      <c r="P395" s="8">
        <f t="shared" si="135"/>
        <v>121</v>
      </c>
      <c r="Q395" s="8">
        <f t="shared" si="136"/>
        <v>858</v>
      </c>
      <c r="R395" s="8">
        <f t="shared" si="137"/>
        <v>20</v>
      </c>
      <c r="S395" s="8">
        <f t="shared" si="138"/>
        <v>0</v>
      </c>
      <c r="T395" s="8">
        <f t="shared" si="139"/>
        <v>5209.4999999999991</v>
      </c>
      <c r="U395" s="8">
        <f t="shared" si="140"/>
        <v>0</v>
      </c>
      <c r="V395" s="8">
        <f t="shared" si="141"/>
        <v>1</v>
      </c>
      <c r="W395" s="8">
        <f t="shared" si="142"/>
        <v>-343</v>
      </c>
      <c r="X395" s="8">
        <f t="shared" si="143"/>
        <v>10631.5</v>
      </c>
      <c r="Y395" s="10">
        <v>1106624</v>
      </c>
      <c r="Z395" s="10">
        <v>0</v>
      </c>
      <c r="AA395" s="10">
        <v>28016</v>
      </c>
      <c r="AB395" s="10">
        <v>170467</v>
      </c>
      <c r="AC395" s="10">
        <v>5183</v>
      </c>
      <c r="AD395" s="10">
        <v>0</v>
      </c>
      <c r="AE395" s="10">
        <v>0</v>
      </c>
      <c r="AF395" s="10">
        <v>0</v>
      </c>
      <c r="AG395" s="10">
        <v>22291</v>
      </c>
      <c r="AH395" s="10">
        <f t="shared" si="144"/>
        <v>6892.2800000000279</v>
      </c>
      <c r="AI395" s="10">
        <v>1339473.28</v>
      </c>
      <c r="AJ395" s="10">
        <v>1111389</v>
      </c>
      <c r="AK395" s="10">
        <v>0</v>
      </c>
      <c r="AL395" s="10">
        <v>28137</v>
      </c>
      <c r="AM395" s="10">
        <v>171325</v>
      </c>
      <c r="AN395" s="10">
        <v>5203</v>
      </c>
      <c r="AO395" s="10">
        <v>0</v>
      </c>
      <c r="AP395" s="10">
        <v>5209.4999999999991</v>
      </c>
      <c r="AQ395" s="10">
        <v>0</v>
      </c>
      <c r="AR395" s="10">
        <v>22292</v>
      </c>
      <c r="AS395" s="10">
        <f t="shared" si="147"/>
        <v>6549.2800000000279</v>
      </c>
      <c r="AT395" s="10">
        <v>1350104.78</v>
      </c>
      <c r="AU395" s="12">
        <v>0</v>
      </c>
      <c r="AV395" s="12">
        <v>0</v>
      </c>
      <c r="AW395" s="12">
        <v>2928.25</v>
      </c>
      <c r="AX395" s="12">
        <f t="shared" si="145"/>
        <v>2928.25</v>
      </c>
      <c r="AY395" s="12">
        <v>0</v>
      </c>
      <c r="AZ395" s="12">
        <v>0</v>
      </c>
      <c r="BA395" s="12">
        <v>4960.6499999999996</v>
      </c>
      <c r="BB395" s="12">
        <f t="shared" si="146"/>
        <v>4960.6499999999996</v>
      </c>
      <c r="BC395" s="12">
        <v>0</v>
      </c>
      <c r="BD395" s="12">
        <v>0</v>
      </c>
      <c r="BE395" s="12">
        <v>2032.4000000000015</v>
      </c>
      <c r="BF395" s="12">
        <v>2032.4000000000015</v>
      </c>
    </row>
    <row r="396" spans="1:58" x14ac:dyDescent="0.25">
      <c r="A396" s="7">
        <v>4059</v>
      </c>
      <c r="B396" s="7">
        <v>7</v>
      </c>
      <c r="C396" s="7" t="s">
        <v>397</v>
      </c>
      <c r="D396" s="4">
        <v>7</v>
      </c>
      <c r="E396" s="10">
        <v>154</v>
      </c>
      <c r="F396" s="8">
        <f t="shared" si="125"/>
        <v>4214.75</v>
      </c>
      <c r="G396" s="8">
        <f t="shared" si="126"/>
        <v>0</v>
      </c>
      <c r="H396" s="8">
        <f t="shared" si="127"/>
        <v>0</v>
      </c>
      <c r="I396" s="8">
        <f t="shared" si="128"/>
        <v>1</v>
      </c>
      <c r="J396" s="8">
        <f t="shared" si="129"/>
        <v>4215.75</v>
      </c>
      <c r="K396" s="8">
        <f t="shared" si="130"/>
        <v>291.20000000000073</v>
      </c>
      <c r="L396" s="8">
        <f t="shared" si="131"/>
        <v>4506.9500000000007</v>
      </c>
      <c r="M396" s="8">
        <f t="shared" si="132"/>
        <v>27.375</v>
      </c>
      <c r="N396" s="8">
        <f t="shared" si="133"/>
        <v>3731</v>
      </c>
      <c r="O396" s="8">
        <f t="shared" si="134"/>
        <v>0</v>
      </c>
      <c r="P396" s="8">
        <f t="shared" si="135"/>
        <v>80</v>
      </c>
      <c r="Q396" s="8">
        <f t="shared" si="136"/>
        <v>388.75</v>
      </c>
      <c r="R396" s="8">
        <f t="shared" si="137"/>
        <v>15</v>
      </c>
      <c r="S396" s="8">
        <f t="shared" si="138"/>
        <v>0</v>
      </c>
      <c r="T396" s="8">
        <f t="shared" si="139"/>
        <v>0</v>
      </c>
      <c r="U396" s="8">
        <f t="shared" si="140"/>
        <v>0</v>
      </c>
      <c r="V396" s="8">
        <f t="shared" si="141"/>
        <v>1</v>
      </c>
      <c r="W396" s="8">
        <f t="shared" si="142"/>
        <v>0</v>
      </c>
      <c r="X396" s="8">
        <f t="shared" si="143"/>
        <v>4215.75</v>
      </c>
      <c r="Y396" s="10">
        <v>866546</v>
      </c>
      <c r="Z396" s="10">
        <v>0</v>
      </c>
      <c r="AA396" s="10">
        <v>18580</v>
      </c>
      <c r="AB396" s="10">
        <v>77237</v>
      </c>
      <c r="AC396" s="10">
        <v>4059</v>
      </c>
      <c r="AD396" s="10">
        <v>0</v>
      </c>
      <c r="AE396" s="10">
        <v>30750</v>
      </c>
      <c r="AF396" s="10">
        <v>0</v>
      </c>
      <c r="AG396" s="10">
        <v>17455</v>
      </c>
      <c r="AH396" s="10">
        <f t="shared" si="144"/>
        <v>45501.800000000047</v>
      </c>
      <c r="AI396" s="10">
        <v>1060128.8</v>
      </c>
      <c r="AJ396" s="10">
        <v>870277</v>
      </c>
      <c r="AK396" s="10">
        <v>0</v>
      </c>
      <c r="AL396" s="10">
        <v>18660</v>
      </c>
      <c r="AM396" s="10">
        <v>77625.75</v>
      </c>
      <c r="AN396" s="10">
        <v>4074</v>
      </c>
      <c r="AO396" s="10">
        <v>0</v>
      </c>
      <c r="AP396" s="10">
        <v>30750</v>
      </c>
      <c r="AQ396" s="10">
        <v>0</v>
      </c>
      <c r="AR396" s="10">
        <v>17456</v>
      </c>
      <c r="AS396" s="10">
        <f t="shared" si="147"/>
        <v>45501.800000000047</v>
      </c>
      <c r="AT396" s="10">
        <v>1064344.55</v>
      </c>
      <c r="AU396" s="12">
        <v>0</v>
      </c>
      <c r="AV396" s="12">
        <v>0</v>
      </c>
      <c r="AW396" s="12">
        <v>1682.625</v>
      </c>
      <c r="AX396" s="12">
        <f t="shared" si="145"/>
        <v>1682.625</v>
      </c>
      <c r="AY396" s="12">
        <v>0</v>
      </c>
      <c r="AZ396" s="12">
        <v>0</v>
      </c>
      <c r="BA396" s="12">
        <v>1973.825</v>
      </c>
      <c r="BB396" s="12">
        <f t="shared" si="146"/>
        <v>1973.825</v>
      </c>
      <c r="BC396" s="12">
        <v>0</v>
      </c>
      <c r="BD396" s="12">
        <v>0</v>
      </c>
      <c r="BE396" s="12">
        <v>291.20000000000073</v>
      </c>
      <c r="BF396" s="12">
        <v>291.20000000000073</v>
      </c>
    </row>
    <row r="397" spans="1:58" x14ac:dyDescent="0.25">
      <c r="A397" s="7">
        <v>4060</v>
      </c>
      <c r="B397" s="7">
        <v>7</v>
      </c>
      <c r="C397" s="7" t="s">
        <v>398</v>
      </c>
      <c r="D397" s="4">
        <v>7</v>
      </c>
      <c r="E397" s="10">
        <v>0</v>
      </c>
      <c r="F397" s="8">
        <f t="shared" si="125"/>
        <v>0</v>
      </c>
      <c r="G397" s="8">
        <f t="shared" si="126"/>
        <v>0</v>
      </c>
      <c r="H397" s="8">
        <f t="shared" si="127"/>
        <v>0</v>
      </c>
      <c r="I397" s="8">
        <f t="shared" si="128"/>
        <v>0</v>
      </c>
      <c r="J397" s="8">
        <f t="shared" si="129"/>
        <v>0</v>
      </c>
      <c r="K397" s="8">
        <f t="shared" si="130"/>
        <v>0</v>
      </c>
      <c r="L397" s="8">
        <f t="shared" si="131"/>
        <v>0</v>
      </c>
      <c r="M397" s="8">
        <f t="shared" si="132"/>
        <v>0</v>
      </c>
      <c r="N397" s="8">
        <f t="shared" si="133"/>
        <v>0</v>
      </c>
      <c r="O397" s="8">
        <f t="shared" si="134"/>
        <v>0</v>
      </c>
      <c r="P397" s="8">
        <f t="shared" si="135"/>
        <v>0</v>
      </c>
      <c r="Q397" s="8">
        <f t="shared" si="136"/>
        <v>0</v>
      </c>
      <c r="R397" s="8">
        <f t="shared" si="137"/>
        <v>0</v>
      </c>
      <c r="S397" s="8">
        <f t="shared" si="138"/>
        <v>0</v>
      </c>
      <c r="T397" s="8">
        <f t="shared" si="139"/>
        <v>0</v>
      </c>
      <c r="U397" s="8">
        <f t="shared" si="140"/>
        <v>0</v>
      </c>
      <c r="V397" s="8">
        <f t="shared" si="141"/>
        <v>0</v>
      </c>
      <c r="W397" s="8">
        <f t="shared" si="142"/>
        <v>0</v>
      </c>
      <c r="X397" s="8">
        <f t="shared" si="143"/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f t="shared" si="144"/>
        <v>0</v>
      </c>
      <c r="AI397" s="10">
        <v>0</v>
      </c>
      <c r="AJ397" s="10">
        <v>0</v>
      </c>
      <c r="AK397" s="10">
        <v>0</v>
      </c>
      <c r="AL397" s="10">
        <v>0</v>
      </c>
      <c r="AM397" s="10">
        <v>0</v>
      </c>
      <c r="AN397" s="10">
        <v>0</v>
      </c>
      <c r="AO397" s="10">
        <v>0</v>
      </c>
      <c r="AP397" s="10">
        <v>0</v>
      </c>
      <c r="AQ397" s="10">
        <v>0</v>
      </c>
      <c r="AR397" s="10">
        <v>0</v>
      </c>
      <c r="AS397" s="10">
        <f t="shared" si="147"/>
        <v>0</v>
      </c>
      <c r="AT397" s="10">
        <v>0</v>
      </c>
      <c r="AU397" s="12">
        <v>0</v>
      </c>
      <c r="AV397" s="12">
        <v>0</v>
      </c>
      <c r="AW397" s="12">
        <v>0</v>
      </c>
      <c r="AX397" s="12">
        <f t="shared" si="145"/>
        <v>0</v>
      </c>
      <c r="AY397" s="12">
        <v>0</v>
      </c>
      <c r="AZ397" s="12">
        <v>0</v>
      </c>
      <c r="BA397" s="12">
        <v>0</v>
      </c>
      <c r="BB397" s="12">
        <f t="shared" si="146"/>
        <v>0</v>
      </c>
      <c r="BC397" s="12">
        <v>0</v>
      </c>
      <c r="BD397" s="12">
        <v>0</v>
      </c>
      <c r="BE397" s="12">
        <v>0</v>
      </c>
      <c r="BF397" s="12">
        <v>0</v>
      </c>
    </row>
    <row r="398" spans="1:58" x14ac:dyDescent="0.25">
      <c r="A398" s="7">
        <v>4061</v>
      </c>
      <c r="B398" s="7">
        <v>7</v>
      </c>
      <c r="C398" s="7" t="s">
        <v>399</v>
      </c>
      <c r="D398" s="4">
        <v>7</v>
      </c>
      <c r="E398" s="10">
        <v>0</v>
      </c>
      <c r="F398" s="8">
        <f t="shared" si="125"/>
        <v>0</v>
      </c>
      <c r="G398" s="8">
        <f t="shared" si="126"/>
        <v>0</v>
      </c>
      <c r="H398" s="8">
        <f t="shared" si="127"/>
        <v>0</v>
      </c>
      <c r="I398" s="8">
        <f t="shared" si="128"/>
        <v>0</v>
      </c>
      <c r="J398" s="8">
        <f t="shared" si="129"/>
        <v>0</v>
      </c>
      <c r="K398" s="8">
        <f t="shared" si="130"/>
        <v>0</v>
      </c>
      <c r="L398" s="8">
        <f t="shared" si="131"/>
        <v>0</v>
      </c>
      <c r="M398" s="8">
        <f t="shared" si="132"/>
        <v>0</v>
      </c>
      <c r="N398" s="8">
        <f t="shared" si="133"/>
        <v>0</v>
      </c>
      <c r="O398" s="8">
        <f t="shared" si="134"/>
        <v>0</v>
      </c>
      <c r="P398" s="8">
        <f t="shared" si="135"/>
        <v>0</v>
      </c>
      <c r="Q398" s="8">
        <f t="shared" si="136"/>
        <v>0</v>
      </c>
      <c r="R398" s="8">
        <f t="shared" si="137"/>
        <v>0</v>
      </c>
      <c r="S398" s="8">
        <f t="shared" si="138"/>
        <v>0</v>
      </c>
      <c r="T398" s="8">
        <f t="shared" si="139"/>
        <v>0</v>
      </c>
      <c r="U398" s="8">
        <f t="shared" si="140"/>
        <v>0</v>
      </c>
      <c r="V398" s="8">
        <f t="shared" si="141"/>
        <v>0</v>
      </c>
      <c r="W398" s="8">
        <f t="shared" si="142"/>
        <v>0</v>
      </c>
      <c r="X398" s="8">
        <f t="shared" si="143"/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f t="shared" si="144"/>
        <v>0</v>
      </c>
      <c r="AI398" s="10">
        <v>0</v>
      </c>
      <c r="AJ398" s="10">
        <v>0</v>
      </c>
      <c r="AK398" s="10">
        <v>0</v>
      </c>
      <c r="AL398" s="10">
        <v>0</v>
      </c>
      <c r="AM398" s="10">
        <v>0</v>
      </c>
      <c r="AN398" s="10">
        <v>0</v>
      </c>
      <c r="AO398" s="10">
        <v>0</v>
      </c>
      <c r="AP398" s="10">
        <v>0</v>
      </c>
      <c r="AQ398" s="10">
        <v>0</v>
      </c>
      <c r="AR398" s="10">
        <v>0</v>
      </c>
      <c r="AS398" s="10">
        <f t="shared" si="147"/>
        <v>0</v>
      </c>
      <c r="AT398" s="10">
        <v>0</v>
      </c>
      <c r="AU398" s="12">
        <v>0</v>
      </c>
      <c r="AV398" s="12">
        <v>0</v>
      </c>
      <c r="AW398" s="12">
        <v>0</v>
      </c>
      <c r="AX398" s="12">
        <f t="shared" si="145"/>
        <v>0</v>
      </c>
      <c r="AY398" s="12">
        <v>0</v>
      </c>
      <c r="AZ398" s="12">
        <v>0</v>
      </c>
      <c r="BA398" s="12">
        <v>0</v>
      </c>
      <c r="BB398" s="12">
        <f t="shared" si="146"/>
        <v>0</v>
      </c>
      <c r="BC398" s="12">
        <v>0</v>
      </c>
      <c r="BD398" s="12">
        <v>0</v>
      </c>
      <c r="BE398" s="12">
        <v>0</v>
      </c>
      <c r="BF398" s="12">
        <v>0</v>
      </c>
    </row>
    <row r="399" spans="1:58" x14ac:dyDescent="0.25">
      <c r="A399" s="7">
        <v>4062</v>
      </c>
      <c r="B399" s="7">
        <v>7</v>
      </c>
      <c r="C399" s="7" t="s">
        <v>400</v>
      </c>
      <c r="D399" s="4">
        <v>7</v>
      </c>
      <c r="E399" s="10">
        <v>0</v>
      </c>
      <c r="F399" s="8">
        <f t="shared" si="125"/>
        <v>0</v>
      </c>
      <c r="G399" s="8">
        <f t="shared" si="126"/>
        <v>0</v>
      </c>
      <c r="H399" s="8">
        <f t="shared" si="127"/>
        <v>0</v>
      </c>
      <c r="I399" s="8">
        <f t="shared" si="128"/>
        <v>0</v>
      </c>
      <c r="J399" s="8">
        <f t="shared" si="129"/>
        <v>0</v>
      </c>
      <c r="K399" s="8">
        <f t="shared" si="130"/>
        <v>0</v>
      </c>
      <c r="L399" s="8">
        <f t="shared" si="131"/>
        <v>0</v>
      </c>
      <c r="M399" s="8">
        <f t="shared" si="132"/>
        <v>0</v>
      </c>
      <c r="N399" s="8">
        <f t="shared" si="133"/>
        <v>0</v>
      </c>
      <c r="O399" s="8">
        <f t="shared" si="134"/>
        <v>0</v>
      </c>
      <c r="P399" s="8">
        <f t="shared" si="135"/>
        <v>0</v>
      </c>
      <c r="Q399" s="8">
        <f t="shared" si="136"/>
        <v>0</v>
      </c>
      <c r="R399" s="8">
        <f t="shared" si="137"/>
        <v>0</v>
      </c>
      <c r="S399" s="8">
        <f t="shared" si="138"/>
        <v>0</v>
      </c>
      <c r="T399" s="8">
        <f t="shared" si="139"/>
        <v>0</v>
      </c>
      <c r="U399" s="8">
        <f t="shared" si="140"/>
        <v>0</v>
      </c>
      <c r="V399" s="8">
        <f t="shared" si="141"/>
        <v>0</v>
      </c>
      <c r="W399" s="8">
        <f t="shared" si="142"/>
        <v>0</v>
      </c>
      <c r="X399" s="8">
        <f t="shared" si="143"/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f t="shared" si="144"/>
        <v>0</v>
      </c>
      <c r="AI399" s="10">
        <v>0</v>
      </c>
      <c r="AJ399" s="10">
        <v>0</v>
      </c>
      <c r="AK399" s="10">
        <v>0</v>
      </c>
      <c r="AL399" s="10">
        <v>0</v>
      </c>
      <c r="AM399" s="10">
        <v>0</v>
      </c>
      <c r="AN399" s="10">
        <v>0</v>
      </c>
      <c r="AO399" s="10">
        <v>0</v>
      </c>
      <c r="AP399" s="10">
        <v>0</v>
      </c>
      <c r="AQ399" s="10">
        <v>0</v>
      </c>
      <c r="AR399" s="10">
        <v>0</v>
      </c>
      <c r="AS399" s="10">
        <f t="shared" si="147"/>
        <v>0</v>
      </c>
      <c r="AT399" s="10">
        <v>0</v>
      </c>
      <c r="AU399" s="12">
        <v>0</v>
      </c>
      <c r="AV399" s="12">
        <v>0</v>
      </c>
      <c r="AW399" s="12">
        <v>0</v>
      </c>
      <c r="AX399" s="12">
        <f t="shared" si="145"/>
        <v>0</v>
      </c>
      <c r="AY399" s="12">
        <v>0</v>
      </c>
      <c r="AZ399" s="12">
        <v>0</v>
      </c>
      <c r="BA399" s="12">
        <v>0</v>
      </c>
      <c r="BB399" s="12">
        <f t="shared" si="146"/>
        <v>0</v>
      </c>
      <c r="BC399" s="12">
        <v>0</v>
      </c>
      <c r="BD399" s="12">
        <v>0</v>
      </c>
      <c r="BE399" s="12">
        <v>0</v>
      </c>
      <c r="BF399" s="12">
        <v>0</v>
      </c>
    </row>
    <row r="400" spans="1:58" x14ac:dyDescent="0.25">
      <c r="A400" s="7">
        <v>4064</v>
      </c>
      <c r="B400" s="7">
        <v>7</v>
      </c>
      <c r="C400" s="7" t="s">
        <v>401</v>
      </c>
      <c r="D400" s="4">
        <v>7</v>
      </c>
      <c r="E400" s="10">
        <v>100</v>
      </c>
      <c r="F400" s="8">
        <f t="shared" si="125"/>
        <v>3566</v>
      </c>
      <c r="G400" s="8">
        <f t="shared" si="126"/>
        <v>2313.3200000000002</v>
      </c>
      <c r="H400" s="8">
        <f t="shared" si="127"/>
        <v>0</v>
      </c>
      <c r="I400" s="8">
        <f t="shared" si="128"/>
        <v>-5.1386450650170445E-11</v>
      </c>
      <c r="J400" s="8">
        <f t="shared" si="129"/>
        <v>5879.3199999999488</v>
      </c>
      <c r="K400" s="8">
        <f t="shared" si="130"/>
        <v>528.39999999999964</v>
      </c>
      <c r="L400" s="8">
        <f t="shared" si="131"/>
        <v>6407.7199999999484</v>
      </c>
      <c r="M400" s="8">
        <f t="shared" si="132"/>
        <v>58.793199999999487</v>
      </c>
      <c r="N400" s="8">
        <f t="shared" si="133"/>
        <v>2725</v>
      </c>
      <c r="O400" s="8">
        <f t="shared" si="134"/>
        <v>0</v>
      </c>
      <c r="P400" s="8">
        <f t="shared" si="135"/>
        <v>50</v>
      </c>
      <c r="Q400" s="8">
        <f t="shared" si="136"/>
        <v>779</v>
      </c>
      <c r="R400" s="8">
        <f t="shared" si="137"/>
        <v>12</v>
      </c>
      <c r="S400" s="8">
        <f t="shared" si="138"/>
        <v>0</v>
      </c>
      <c r="T400" s="8">
        <f t="shared" si="139"/>
        <v>2313.3200000000002</v>
      </c>
      <c r="U400" s="8">
        <f t="shared" si="140"/>
        <v>0</v>
      </c>
      <c r="V400" s="8">
        <f t="shared" si="141"/>
        <v>0</v>
      </c>
      <c r="W400" s="8">
        <f t="shared" si="142"/>
        <v>0</v>
      </c>
      <c r="X400" s="8">
        <f t="shared" si="143"/>
        <v>5879.3199999999488</v>
      </c>
      <c r="Y400" s="10">
        <v>632854</v>
      </c>
      <c r="Z400" s="10">
        <v>0</v>
      </c>
      <c r="AA400" s="10">
        <v>11619</v>
      </c>
      <c r="AB400" s="10">
        <v>154772</v>
      </c>
      <c r="AC400" s="10">
        <v>2964</v>
      </c>
      <c r="AD400" s="10">
        <v>0</v>
      </c>
      <c r="AE400" s="10">
        <v>0</v>
      </c>
      <c r="AF400" s="10">
        <v>0</v>
      </c>
      <c r="AG400" s="10">
        <v>12748</v>
      </c>
      <c r="AH400" s="10">
        <f t="shared" si="144"/>
        <v>40517.368000000017</v>
      </c>
      <c r="AI400" s="10">
        <v>855474.36800000002</v>
      </c>
      <c r="AJ400" s="10">
        <v>635579</v>
      </c>
      <c r="AK400" s="10">
        <v>0</v>
      </c>
      <c r="AL400" s="10">
        <v>11669</v>
      </c>
      <c r="AM400" s="10">
        <v>155551</v>
      </c>
      <c r="AN400" s="10">
        <v>2976</v>
      </c>
      <c r="AO400" s="10">
        <v>0</v>
      </c>
      <c r="AP400" s="10">
        <v>2313.3200000000002</v>
      </c>
      <c r="AQ400" s="10">
        <v>0</v>
      </c>
      <c r="AR400" s="10">
        <v>12748</v>
      </c>
      <c r="AS400" s="10">
        <f t="shared" si="147"/>
        <v>40517.368000000017</v>
      </c>
      <c r="AT400" s="10">
        <v>861353.68799999997</v>
      </c>
      <c r="AU400" s="12">
        <v>0</v>
      </c>
      <c r="AV400" s="12">
        <v>0</v>
      </c>
      <c r="AW400" s="12">
        <v>1516.75</v>
      </c>
      <c r="AX400" s="12">
        <f t="shared" si="145"/>
        <v>1516.75</v>
      </c>
      <c r="AY400" s="12">
        <v>0</v>
      </c>
      <c r="AZ400" s="12">
        <v>0</v>
      </c>
      <c r="BA400" s="12">
        <v>2045.15</v>
      </c>
      <c r="BB400" s="12">
        <f t="shared" si="146"/>
        <v>2045.15</v>
      </c>
      <c r="BC400" s="12">
        <v>0</v>
      </c>
      <c r="BD400" s="12">
        <v>0</v>
      </c>
      <c r="BE400" s="12">
        <v>528.39999999999964</v>
      </c>
      <c r="BF400" s="12">
        <v>528.39999999999964</v>
      </c>
    </row>
    <row r="401" spans="1:58" x14ac:dyDescent="0.25">
      <c r="A401" s="7">
        <v>4065</v>
      </c>
      <c r="B401" s="7">
        <v>7</v>
      </c>
      <c r="C401" s="7" t="s">
        <v>402</v>
      </c>
      <c r="D401" s="4">
        <v>7</v>
      </c>
      <c r="E401" s="10">
        <v>0</v>
      </c>
      <c r="F401" s="8">
        <f t="shared" ref="F401:F464" si="148">SUM(N401:S401)</f>
        <v>0</v>
      </c>
      <c r="G401" s="8">
        <f t="shared" ref="G401:G464" si="149">T401</f>
        <v>0</v>
      </c>
      <c r="H401" s="8">
        <f t="shared" ref="H401:H464" si="150">U401</f>
        <v>0</v>
      </c>
      <c r="I401" s="8">
        <f t="shared" ref="I401:I464" si="151">J401-F401-G401-H401</f>
        <v>0</v>
      </c>
      <c r="J401" s="8">
        <f t="shared" ref="J401:J464" si="152">X401</f>
        <v>0</v>
      </c>
      <c r="K401" s="8">
        <f t="shared" ref="K401:K464" si="153">BF401</f>
        <v>0</v>
      </c>
      <c r="L401" s="8">
        <f t="shared" ref="L401:L464" si="154">J401+K401</f>
        <v>0</v>
      </c>
      <c r="M401" s="8">
        <f t="shared" ref="M401:M464" si="155">IF(E401=0,0,J401/E401)</f>
        <v>0</v>
      </c>
      <c r="N401" s="8">
        <f t="shared" ref="N401:N464" si="156">AJ401-Y401</f>
        <v>0</v>
      </c>
      <c r="O401" s="8">
        <f t="shared" ref="O401:O464" si="157">AK401-Z401</f>
        <v>0</v>
      </c>
      <c r="P401" s="8">
        <f t="shared" ref="P401:P464" si="158">AL401-AA401</f>
        <v>0</v>
      </c>
      <c r="Q401" s="8">
        <f t="shared" ref="Q401:Q464" si="159">AM401-AB401</f>
        <v>0</v>
      </c>
      <c r="R401" s="8">
        <f t="shared" ref="R401:R464" si="160">AN401-AC401</f>
        <v>0</v>
      </c>
      <c r="S401" s="8">
        <f t="shared" ref="S401:S464" si="161">AO401-AD401</f>
        <v>0</v>
      </c>
      <c r="T401" s="8">
        <f t="shared" ref="T401:T464" si="162">AP401-AE401</f>
        <v>0</v>
      </c>
      <c r="U401" s="8">
        <f t="shared" ref="U401:U464" si="163">AQ401-AF401</f>
        <v>0</v>
      </c>
      <c r="V401" s="8">
        <f t="shared" ref="V401:V464" si="164">AR401-AG401</f>
        <v>0</v>
      </c>
      <c r="W401" s="8">
        <f t="shared" ref="W401:W464" si="165">AS401-AH401</f>
        <v>0</v>
      </c>
      <c r="X401" s="8">
        <f t="shared" ref="X401:X464" si="166">AT401-AI401</f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f t="shared" ref="AH401:AH464" si="167">AI401-SUM(Y401:AG401)</f>
        <v>0</v>
      </c>
      <c r="AI401" s="10">
        <v>0</v>
      </c>
      <c r="AJ401" s="10">
        <v>0</v>
      </c>
      <c r="AK401" s="10">
        <v>0</v>
      </c>
      <c r="AL401" s="10">
        <v>0</v>
      </c>
      <c r="AM401" s="10">
        <v>0</v>
      </c>
      <c r="AN401" s="10">
        <v>0</v>
      </c>
      <c r="AO401" s="10">
        <v>0</v>
      </c>
      <c r="AP401" s="10">
        <v>0</v>
      </c>
      <c r="AQ401" s="10">
        <v>0</v>
      </c>
      <c r="AR401" s="10">
        <v>0</v>
      </c>
      <c r="AS401" s="10">
        <f t="shared" si="147"/>
        <v>0</v>
      </c>
      <c r="AT401" s="10">
        <v>0</v>
      </c>
      <c r="AU401" s="12">
        <v>0</v>
      </c>
      <c r="AV401" s="12">
        <v>0</v>
      </c>
      <c r="AW401" s="12">
        <v>0</v>
      </c>
      <c r="AX401" s="12">
        <f t="shared" ref="AX401:AX464" si="168">AU401+AV401+AW401</f>
        <v>0</v>
      </c>
      <c r="AY401" s="12">
        <v>0</v>
      </c>
      <c r="AZ401" s="12">
        <v>0</v>
      </c>
      <c r="BA401" s="12">
        <v>0</v>
      </c>
      <c r="BB401" s="12">
        <f t="shared" ref="BB401:BB464" si="169">AY401+AZ401+BA401</f>
        <v>0</v>
      </c>
      <c r="BC401" s="12">
        <v>0</v>
      </c>
      <c r="BD401" s="12">
        <v>0</v>
      </c>
      <c r="BE401" s="12">
        <v>0</v>
      </c>
      <c r="BF401" s="12">
        <v>0</v>
      </c>
    </row>
    <row r="402" spans="1:58" x14ac:dyDescent="0.25">
      <c r="A402" s="7">
        <v>4066</v>
      </c>
      <c r="B402" s="7">
        <v>7</v>
      </c>
      <c r="C402" s="7" t="s">
        <v>403</v>
      </c>
      <c r="D402" s="4">
        <v>7</v>
      </c>
      <c r="E402" s="10">
        <v>77</v>
      </c>
      <c r="F402" s="8">
        <f t="shared" si="148"/>
        <v>2752</v>
      </c>
      <c r="G402" s="8">
        <f t="shared" si="149"/>
        <v>2618.34</v>
      </c>
      <c r="H402" s="8">
        <f t="shared" si="150"/>
        <v>0</v>
      </c>
      <c r="I402" s="8">
        <f t="shared" si="151"/>
        <v>-3.2741809263825417E-11</v>
      </c>
      <c r="J402" s="8">
        <f t="shared" si="152"/>
        <v>5370.3399999999674</v>
      </c>
      <c r="K402" s="8">
        <f t="shared" si="153"/>
        <v>192</v>
      </c>
      <c r="L402" s="8">
        <f t="shared" si="154"/>
        <v>5562.3399999999674</v>
      </c>
      <c r="M402" s="8">
        <f t="shared" si="155"/>
        <v>69.744675324674901</v>
      </c>
      <c r="N402" s="8">
        <f t="shared" si="156"/>
        <v>2275</v>
      </c>
      <c r="O402" s="8">
        <f t="shared" si="157"/>
        <v>0</v>
      </c>
      <c r="P402" s="8">
        <f t="shared" si="158"/>
        <v>18</v>
      </c>
      <c r="Q402" s="8">
        <f t="shared" si="159"/>
        <v>450</v>
      </c>
      <c r="R402" s="8">
        <f t="shared" si="160"/>
        <v>9</v>
      </c>
      <c r="S402" s="8">
        <f t="shared" si="161"/>
        <v>0</v>
      </c>
      <c r="T402" s="8">
        <f t="shared" si="162"/>
        <v>2618.34</v>
      </c>
      <c r="U402" s="8">
        <f t="shared" si="163"/>
        <v>0</v>
      </c>
      <c r="V402" s="8">
        <f t="shared" si="164"/>
        <v>0</v>
      </c>
      <c r="W402" s="8">
        <f t="shared" si="165"/>
        <v>0</v>
      </c>
      <c r="X402" s="8">
        <f t="shared" si="166"/>
        <v>5370.3399999999674</v>
      </c>
      <c r="Y402" s="10">
        <v>528346</v>
      </c>
      <c r="Z402" s="10">
        <v>0</v>
      </c>
      <c r="AA402" s="10">
        <v>4167</v>
      </c>
      <c r="AB402" s="10">
        <v>89406</v>
      </c>
      <c r="AC402" s="10">
        <v>2475</v>
      </c>
      <c r="AD402" s="10">
        <v>0</v>
      </c>
      <c r="AE402" s="10">
        <v>0</v>
      </c>
      <c r="AF402" s="10">
        <v>0</v>
      </c>
      <c r="AG402" s="10">
        <v>10643</v>
      </c>
      <c r="AH402" s="10">
        <f t="shared" si="167"/>
        <v>37300.150000000023</v>
      </c>
      <c r="AI402" s="10">
        <v>672337.15</v>
      </c>
      <c r="AJ402" s="10">
        <v>530621</v>
      </c>
      <c r="AK402" s="10">
        <v>0</v>
      </c>
      <c r="AL402" s="10">
        <v>4185</v>
      </c>
      <c r="AM402" s="10">
        <v>89856</v>
      </c>
      <c r="AN402" s="10">
        <v>2484</v>
      </c>
      <c r="AO402" s="10">
        <v>0</v>
      </c>
      <c r="AP402" s="10">
        <v>2618.34</v>
      </c>
      <c r="AQ402" s="10">
        <v>0</v>
      </c>
      <c r="AR402" s="10">
        <v>10643</v>
      </c>
      <c r="AS402" s="10">
        <f t="shared" si="147"/>
        <v>37300.150000000023</v>
      </c>
      <c r="AT402" s="10">
        <v>677707.49</v>
      </c>
      <c r="AU402" s="12">
        <v>0</v>
      </c>
      <c r="AV402" s="12">
        <v>0</v>
      </c>
      <c r="AW402" s="12">
        <v>307.125</v>
      </c>
      <c r="AX402" s="12">
        <f t="shared" si="168"/>
        <v>307.125</v>
      </c>
      <c r="AY402" s="12">
        <v>0</v>
      </c>
      <c r="AZ402" s="12">
        <v>0</v>
      </c>
      <c r="BA402" s="12">
        <v>499.125</v>
      </c>
      <c r="BB402" s="12">
        <f t="shared" si="169"/>
        <v>499.125</v>
      </c>
      <c r="BC402" s="12">
        <v>0</v>
      </c>
      <c r="BD402" s="12">
        <v>0</v>
      </c>
      <c r="BE402" s="12">
        <v>192</v>
      </c>
      <c r="BF402" s="12">
        <v>192</v>
      </c>
    </row>
    <row r="403" spans="1:58" x14ac:dyDescent="0.25">
      <c r="A403" s="7">
        <v>4067</v>
      </c>
      <c r="B403" s="7">
        <v>7</v>
      </c>
      <c r="C403" s="7" t="s">
        <v>404</v>
      </c>
      <c r="D403" s="4">
        <v>7</v>
      </c>
      <c r="E403" s="10">
        <v>348</v>
      </c>
      <c r="F403" s="8">
        <f t="shared" si="148"/>
        <v>13734</v>
      </c>
      <c r="G403" s="8">
        <f t="shared" si="149"/>
        <v>7498.66</v>
      </c>
      <c r="H403" s="8">
        <f t="shared" si="150"/>
        <v>35823</v>
      </c>
      <c r="I403" s="8">
        <f t="shared" si="151"/>
        <v>2.0000000001455192</v>
      </c>
      <c r="J403" s="8">
        <f t="shared" si="152"/>
        <v>57057.660000000149</v>
      </c>
      <c r="K403" s="8">
        <f t="shared" si="153"/>
        <v>1367.5999999999985</v>
      </c>
      <c r="L403" s="8">
        <f t="shared" si="154"/>
        <v>58425.260000000148</v>
      </c>
      <c r="M403" s="8">
        <f t="shared" si="155"/>
        <v>163.9587931034487</v>
      </c>
      <c r="N403" s="8">
        <f t="shared" si="156"/>
        <v>9030</v>
      </c>
      <c r="O403" s="8">
        <f t="shared" si="157"/>
        <v>0</v>
      </c>
      <c r="P403" s="8">
        <f t="shared" si="158"/>
        <v>1</v>
      </c>
      <c r="Q403" s="8">
        <f t="shared" si="159"/>
        <v>4665</v>
      </c>
      <c r="R403" s="8">
        <f t="shared" si="160"/>
        <v>38</v>
      </c>
      <c r="S403" s="8">
        <f t="shared" si="161"/>
        <v>0</v>
      </c>
      <c r="T403" s="8">
        <f t="shared" si="162"/>
        <v>7498.66</v>
      </c>
      <c r="U403" s="8">
        <f t="shared" si="163"/>
        <v>35823</v>
      </c>
      <c r="V403" s="8">
        <f t="shared" si="164"/>
        <v>2</v>
      </c>
      <c r="W403" s="8">
        <f t="shared" si="165"/>
        <v>0</v>
      </c>
      <c r="X403" s="8">
        <f t="shared" si="166"/>
        <v>57057.660000000149</v>
      </c>
      <c r="Y403" s="10">
        <v>2097127</v>
      </c>
      <c r="Z403" s="10">
        <v>0</v>
      </c>
      <c r="AA403" s="10">
        <v>93</v>
      </c>
      <c r="AB403" s="10">
        <v>926842</v>
      </c>
      <c r="AC403" s="10">
        <v>9822</v>
      </c>
      <c r="AD403" s="10">
        <v>0</v>
      </c>
      <c r="AE403" s="10">
        <v>0</v>
      </c>
      <c r="AF403" s="10">
        <v>209880</v>
      </c>
      <c r="AG403" s="10">
        <v>42243</v>
      </c>
      <c r="AH403" s="10">
        <f t="shared" si="167"/>
        <v>214130.67199999979</v>
      </c>
      <c r="AI403" s="10">
        <v>3500137.6719999998</v>
      </c>
      <c r="AJ403" s="10">
        <v>2106157</v>
      </c>
      <c r="AK403" s="10">
        <v>0</v>
      </c>
      <c r="AL403" s="10">
        <v>94</v>
      </c>
      <c r="AM403" s="10">
        <v>931507</v>
      </c>
      <c r="AN403" s="10">
        <v>9860</v>
      </c>
      <c r="AO403" s="10">
        <v>0</v>
      </c>
      <c r="AP403" s="10">
        <v>7498.66</v>
      </c>
      <c r="AQ403" s="10">
        <v>245703</v>
      </c>
      <c r="AR403" s="10">
        <v>42245</v>
      </c>
      <c r="AS403" s="10">
        <f t="shared" si="147"/>
        <v>214130.67199999979</v>
      </c>
      <c r="AT403" s="10">
        <v>3557195.3319999999</v>
      </c>
      <c r="AU403" s="12">
        <v>0</v>
      </c>
      <c r="AV403" s="12">
        <v>0</v>
      </c>
      <c r="AW403" s="12">
        <v>6788.375</v>
      </c>
      <c r="AX403" s="12">
        <f t="shared" si="168"/>
        <v>6788.375</v>
      </c>
      <c r="AY403" s="12">
        <v>0</v>
      </c>
      <c r="AZ403" s="12">
        <v>0</v>
      </c>
      <c r="BA403" s="12">
        <v>8155.9750000000004</v>
      </c>
      <c r="BB403" s="12">
        <f t="shared" si="169"/>
        <v>8155.9750000000004</v>
      </c>
      <c r="BC403" s="12">
        <v>0</v>
      </c>
      <c r="BD403" s="12">
        <v>0</v>
      </c>
      <c r="BE403" s="12">
        <v>1367.5999999999985</v>
      </c>
      <c r="BF403" s="12">
        <v>1367.5999999999985</v>
      </c>
    </row>
    <row r="404" spans="1:58" x14ac:dyDescent="0.25">
      <c r="A404" s="7">
        <v>4068</v>
      </c>
      <c r="B404" s="7">
        <v>7</v>
      </c>
      <c r="C404" s="7" t="s">
        <v>405</v>
      </c>
      <c r="D404" s="4">
        <v>7</v>
      </c>
      <c r="E404" s="10">
        <v>380</v>
      </c>
      <c r="F404" s="8">
        <f t="shared" si="148"/>
        <v>14632</v>
      </c>
      <c r="G404" s="8">
        <f t="shared" si="149"/>
        <v>0</v>
      </c>
      <c r="H404" s="8">
        <f t="shared" si="150"/>
        <v>0</v>
      </c>
      <c r="I404" s="8">
        <f t="shared" si="151"/>
        <v>2</v>
      </c>
      <c r="J404" s="8">
        <f t="shared" si="152"/>
        <v>14634</v>
      </c>
      <c r="K404" s="8">
        <f t="shared" si="153"/>
        <v>2284.4000000000015</v>
      </c>
      <c r="L404" s="8">
        <f t="shared" si="154"/>
        <v>16918.400000000001</v>
      </c>
      <c r="M404" s="8">
        <f t="shared" si="155"/>
        <v>38.510526315789477</v>
      </c>
      <c r="N404" s="8">
        <f t="shared" si="156"/>
        <v>9700</v>
      </c>
      <c r="O404" s="8">
        <f t="shared" si="157"/>
        <v>0</v>
      </c>
      <c r="P404" s="8">
        <f t="shared" si="158"/>
        <v>1</v>
      </c>
      <c r="Q404" s="8">
        <f t="shared" si="159"/>
        <v>4890</v>
      </c>
      <c r="R404" s="8">
        <f t="shared" si="160"/>
        <v>41</v>
      </c>
      <c r="S404" s="8">
        <f t="shared" si="161"/>
        <v>0</v>
      </c>
      <c r="T404" s="8">
        <f t="shared" si="162"/>
        <v>0</v>
      </c>
      <c r="U404" s="8">
        <f t="shared" si="163"/>
        <v>0</v>
      </c>
      <c r="V404" s="8">
        <f t="shared" si="164"/>
        <v>2</v>
      </c>
      <c r="W404" s="8">
        <f t="shared" si="165"/>
        <v>0</v>
      </c>
      <c r="X404" s="8">
        <f t="shared" si="166"/>
        <v>14634</v>
      </c>
      <c r="Y404" s="10">
        <v>2252728</v>
      </c>
      <c r="Z404" s="10">
        <v>0</v>
      </c>
      <c r="AA404" s="10">
        <v>100</v>
      </c>
      <c r="AB404" s="10">
        <v>971545</v>
      </c>
      <c r="AC404" s="10">
        <v>10551</v>
      </c>
      <c r="AD404" s="10">
        <v>0</v>
      </c>
      <c r="AE404" s="10">
        <v>90750</v>
      </c>
      <c r="AF404" s="10">
        <v>114480</v>
      </c>
      <c r="AG404" s="10">
        <v>45378</v>
      </c>
      <c r="AH404" s="10">
        <f t="shared" si="167"/>
        <v>130546.01000000024</v>
      </c>
      <c r="AI404" s="10">
        <v>3616078.0100000002</v>
      </c>
      <c r="AJ404" s="10">
        <v>2262428</v>
      </c>
      <c r="AK404" s="10">
        <v>0</v>
      </c>
      <c r="AL404" s="10">
        <v>101</v>
      </c>
      <c r="AM404" s="10">
        <v>976435</v>
      </c>
      <c r="AN404" s="10">
        <v>10592</v>
      </c>
      <c r="AO404" s="10">
        <v>0</v>
      </c>
      <c r="AP404" s="10">
        <v>90750</v>
      </c>
      <c r="AQ404" s="10">
        <v>114480</v>
      </c>
      <c r="AR404" s="10">
        <v>45380</v>
      </c>
      <c r="AS404" s="10">
        <f t="shared" si="147"/>
        <v>130546.01000000024</v>
      </c>
      <c r="AT404" s="10">
        <v>3630712.0100000002</v>
      </c>
      <c r="AU404" s="12">
        <v>0</v>
      </c>
      <c r="AV404" s="12">
        <v>0</v>
      </c>
      <c r="AW404" s="12">
        <v>7496</v>
      </c>
      <c r="AX404" s="12">
        <f t="shared" si="168"/>
        <v>7496</v>
      </c>
      <c r="AY404" s="12">
        <v>0</v>
      </c>
      <c r="AZ404" s="12">
        <v>0</v>
      </c>
      <c r="BA404" s="12">
        <v>9780.4</v>
      </c>
      <c r="BB404" s="12">
        <f t="shared" si="169"/>
        <v>9780.4</v>
      </c>
      <c r="BC404" s="12">
        <v>0</v>
      </c>
      <c r="BD404" s="12">
        <v>0</v>
      </c>
      <c r="BE404" s="12">
        <v>2284.4000000000015</v>
      </c>
      <c r="BF404" s="12">
        <v>2284.4000000000015</v>
      </c>
    </row>
    <row r="405" spans="1:58" x14ac:dyDescent="0.25">
      <c r="A405" s="7">
        <v>4069</v>
      </c>
      <c r="B405" s="7">
        <v>7</v>
      </c>
      <c r="C405" s="7" t="s">
        <v>406</v>
      </c>
      <c r="D405" s="4">
        <v>7</v>
      </c>
      <c r="E405" s="10">
        <v>0</v>
      </c>
      <c r="F405" s="8">
        <f t="shared" si="148"/>
        <v>0</v>
      </c>
      <c r="G405" s="8">
        <f t="shared" si="149"/>
        <v>0</v>
      </c>
      <c r="H405" s="8">
        <f t="shared" si="150"/>
        <v>0</v>
      </c>
      <c r="I405" s="8">
        <f t="shared" si="151"/>
        <v>0</v>
      </c>
      <c r="J405" s="8">
        <f t="shared" si="152"/>
        <v>0</v>
      </c>
      <c r="K405" s="8">
        <f t="shared" si="153"/>
        <v>0</v>
      </c>
      <c r="L405" s="8">
        <f t="shared" si="154"/>
        <v>0</v>
      </c>
      <c r="M405" s="8">
        <f t="shared" si="155"/>
        <v>0</v>
      </c>
      <c r="N405" s="8">
        <f t="shared" si="156"/>
        <v>0</v>
      </c>
      <c r="O405" s="8">
        <f t="shared" si="157"/>
        <v>0</v>
      </c>
      <c r="P405" s="8">
        <f t="shared" si="158"/>
        <v>0</v>
      </c>
      <c r="Q405" s="8">
        <f t="shared" si="159"/>
        <v>0</v>
      </c>
      <c r="R405" s="8">
        <f t="shared" si="160"/>
        <v>0</v>
      </c>
      <c r="S405" s="8">
        <f t="shared" si="161"/>
        <v>0</v>
      </c>
      <c r="T405" s="8">
        <f t="shared" si="162"/>
        <v>0</v>
      </c>
      <c r="U405" s="8">
        <f t="shared" si="163"/>
        <v>0</v>
      </c>
      <c r="V405" s="8">
        <f t="shared" si="164"/>
        <v>0</v>
      </c>
      <c r="W405" s="8">
        <f t="shared" si="165"/>
        <v>0</v>
      </c>
      <c r="X405" s="8">
        <f t="shared" si="166"/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f t="shared" si="167"/>
        <v>0</v>
      </c>
      <c r="AI405" s="10">
        <v>0</v>
      </c>
      <c r="AJ405" s="10">
        <v>0</v>
      </c>
      <c r="AK405" s="10">
        <v>0</v>
      </c>
      <c r="AL405" s="10">
        <v>0</v>
      </c>
      <c r="AM405" s="10">
        <v>0</v>
      </c>
      <c r="AN405" s="10">
        <v>0</v>
      </c>
      <c r="AO405" s="10">
        <v>0</v>
      </c>
      <c r="AP405" s="10">
        <v>0</v>
      </c>
      <c r="AQ405" s="10">
        <v>0</v>
      </c>
      <c r="AR405" s="10">
        <v>0</v>
      </c>
      <c r="AS405" s="10">
        <f t="shared" si="147"/>
        <v>0</v>
      </c>
      <c r="AT405" s="10">
        <v>0</v>
      </c>
      <c r="AU405" s="12">
        <v>0</v>
      </c>
      <c r="AV405" s="12">
        <v>0</v>
      </c>
      <c r="AW405" s="12">
        <v>0</v>
      </c>
      <c r="AX405" s="12">
        <f t="shared" si="168"/>
        <v>0</v>
      </c>
      <c r="AY405" s="12">
        <v>0</v>
      </c>
      <c r="AZ405" s="12">
        <v>0</v>
      </c>
      <c r="BA405" s="12">
        <v>0</v>
      </c>
      <c r="BB405" s="12">
        <f t="shared" si="169"/>
        <v>0</v>
      </c>
      <c r="BC405" s="12">
        <v>0</v>
      </c>
      <c r="BD405" s="12">
        <v>0</v>
      </c>
      <c r="BE405" s="12">
        <v>0</v>
      </c>
      <c r="BF405" s="12">
        <v>0</v>
      </c>
    </row>
    <row r="406" spans="1:58" x14ac:dyDescent="0.25">
      <c r="A406" s="7">
        <v>4070</v>
      </c>
      <c r="B406" s="7">
        <v>7</v>
      </c>
      <c r="C406" s="7" t="s">
        <v>407</v>
      </c>
      <c r="D406" s="4">
        <v>7</v>
      </c>
      <c r="E406" s="10">
        <v>480</v>
      </c>
      <c r="F406" s="8">
        <f t="shared" si="148"/>
        <v>17992.25</v>
      </c>
      <c r="G406" s="8">
        <f t="shared" si="149"/>
        <v>0</v>
      </c>
      <c r="H406" s="8">
        <f t="shared" si="150"/>
        <v>63460</v>
      </c>
      <c r="I406" s="8">
        <f t="shared" si="151"/>
        <v>3</v>
      </c>
      <c r="J406" s="8">
        <f t="shared" si="152"/>
        <v>81455.25</v>
      </c>
      <c r="K406" s="8">
        <f t="shared" si="153"/>
        <v>2366.3999999999942</v>
      </c>
      <c r="L406" s="8">
        <f t="shared" si="154"/>
        <v>83821.649999999994</v>
      </c>
      <c r="M406" s="8">
        <f t="shared" si="155"/>
        <v>169.69843750000001</v>
      </c>
      <c r="N406" s="8">
        <f t="shared" si="156"/>
        <v>12395</v>
      </c>
      <c r="O406" s="8">
        <f t="shared" si="157"/>
        <v>0</v>
      </c>
      <c r="P406" s="8">
        <f t="shared" si="158"/>
        <v>1</v>
      </c>
      <c r="Q406" s="8">
        <f t="shared" si="159"/>
        <v>5544.25</v>
      </c>
      <c r="R406" s="8">
        <f t="shared" si="160"/>
        <v>52</v>
      </c>
      <c r="S406" s="8">
        <f t="shared" si="161"/>
        <v>0</v>
      </c>
      <c r="T406" s="8">
        <f t="shared" si="162"/>
        <v>0</v>
      </c>
      <c r="U406" s="8">
        <f t="shared" si="163"/>
        <v>63460</v>
      </c>
      <c r="V406" s="8">
        <f t="shared" si="164"/>
        <v>3</v>
      </c>
      <c r="W406" s="8">
        <f t="shared" si="165"/>
        <v>0</v>
      </c>
      <c r="X406" s="8">
        <f t="shared" si="166"/>
        <v>81455.25</v>
      </c>
      <c r="Y406" s="10">
        <v>2878615</v>
      </c>
      <c r="Z406" s="10">
        <v>0</v>
      </c>
      <c r="AA406" s="10">
        <v>128</v>
      </c>
      <c r="AB406" s="10">
        <v>1101532</v>
      </c>
      <c r="AC406" s="10">
        <v>13483</v>
      </c>
      <c r="AD406" s="10">
        <v>0</v>
      </c>
      <c r="AE406" s="10">
        <v>125000</v>
      </c>
      <c r="AF406" s="10">
        <v>214650</v>
      </c>
      <c r="AG406" s="10">
        <v>57985</v>
      </c>
      <c r="AH406" s="10">
        <f t="shared" si="167"/>
        <v>237232.69000000041</v>
      </c>
      <c r="AI406" s="10">
        <v>4628625.6900000004</v>
      </c>
      <c r="AJ406" s="10">
        <v>2891010</v>
      </c>
      <c r="AK406" s="10">
        <v>0</v>
      </c>
      <c r="AL406" s="10">
        <v>129</v>
      </c>
      <c r="AM406" s="10">
        <v>1107076.25</v>
      </c>
      <c r="AN406" s="10">
        <v>13535</v>
      </c>
      <c r="AO406" s="10">
        <v>0</v>
      </c>
      <c r="AP406" s="10">
        <v>125000</v>
      </c>
      <c r="AQ406" s="10">
        <v>278110</v>
      </c>
      <c r="AR406" s="10">
        <v>57988</v>
      </c>
      <c r="AS406" s="10">
        <f t="shared" si="147"/>
        <v>237232.69000000041</v>
      </c>
      <c r="AT406" s="10">
        <v>4710080.9400000004</v>
      </c>
      <c r="AU406" s="12">
        <v>0</v>
      </c>
      <c r="AV406" s="12">
        <v>0</v>
      </c>
      <c r="AW406" s="12">
        <v>11124.625</v>
      </c>
      <c r="AX406" s="12">
        <f t="shared" si="168"/>
        <v>11124.625</v>
      </c>
      <c r="AY406" s="12">
        <v>0</v>
      </c>
      <c r="AZ406" s="12">
        <v>0</v>
      </c>
      <c r="BA406" s="12">
        <v>13491.025</v>
      </c>
      <c r="BB406" s="12">
        <f t="shared" si="169"/>
        <v>13491.025</v>
      </c>
      <c r="BC406" s="12">
        <v>0</v>
      </c>
      <c r="BD406" s="12">
        <v>0</v>
      </c>
      <c r="BE406" s="12">
        <v>2366.3999999999942</v>
      </c>
      <c r="BF406" s="12">
        <v>2366.3999999999942</v>
      </c>
    </row>
    <row r="407" spans="1:58" x14ac:dyDescent="0.25">
      <c r="A407" s="7">
        <v>4071</v>
      </c>
      <c r="B407" s="7">
        <v>7</v>
      </c>
      <c r="C407" s="7" t="s">
        <v>408</v>
      </c>
      <c r="D407" s="4">
        <v>7</v>
      </c>
      <c r="E407" s="10">
        <v>0</v>
      </c>
      <c r="F407" s="8">
        <f t="shared" si="148"/>
        <v>0</v>
      </c>
      <c r="G407" s="8">
        <f t="shared" si="149"/>
        <v>0</v>
      </c>
      <c r="H407" s="8">
        <f t="shared" si="150"/>
        <v>0</v>
      </c>
      <c r="I407" s="8">
        <f t="shared" si="151"/>
        <v>0</v>
      </c>
      <c r="J407" s="8">
        <f t="shared" si="152"/>
        <v>0</v>
      </c>
      <c r="K407" s="8">
        <f t="shared" si="153"/>
        <v>0</v>
      </c>
      <c r="L407" s="8">
        <f t="shared" si="154"/>
        <v>0</v>
      </c>
      <c r="M407" s="8">
        <f t="shared" si="155"/>
        <v>0</v>
      </c>
      <c r="N407" s="8">
        <f t="shared" si="156"/>
        <v>0</v>
      </c>
      <c r="O407" s="8">
        <f t="shared" si="157"/>
        <v>0</v>
      </c>
      <c r="P407" s="8">
        <f t="shared" si="158"/>
        <v>0</v>
      </c>
      <c r="Q407" s="8">
        <f t="shared" si="159"/>
        <v>0</v>
      </c>
      <c r="R407" s="8">
        <f t="shared" si="160"/>
        <v>0</v>
      </c>
      <c r="S407" s="8">
        <f t="shared" si="161"/>
        <v>0</v>
      </c>
      <c r="T407" s="8">
        <f t="shared" si="162"/>
        <v>0</v>
      </c>
      <c r="U407" s="8">
        <f t="shared" si="163"/>
        <v>0</v>
      </c>
      <c r="V407" s="8">
        <f t="shared" si="164"/>
        <v>0</v>
      </c>
      <c r="W407" s="8">
        <f t="shared" si="165"/>
        <v>0</v>
      </c>
      <c r="X407" s="8">
        <f t="shared" si="166"/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  <c r="AG407" s="10">
        <v>0</v>
      </c>
      <c r="AH407" s="10">
        <f t="shared" si="167"/>
        <v>0</v>
      </c>
      <c r="AI407" s="10">
        <v>0</v>
      </c>
      <c r="AJ407" s="10">
        <v>0</v>
      </c>
      <c r="AK407" s="10">
        <v>0</v>
      </c>
      <c r="AL407" s="10">
        <v>0</v>
      </c>
      <c r="AM407" s="10">
        <v>0</v>
      </c>
      <c r="AN407" s="10">
        <v>0</v>
      </c>
      <c r="AO407" s="10">
        <v>0</v>
      </c>
      <c r="AP407" s="10">
        <v>0</v>
      </c>
      <c r="AQ407" s="10">
        <v>0</v>
      </c>
      <c r="AR407" s="10">
        <v>0</v>
      </c>
      <c r="AS407" s="10">
        <f t="shared" si="147"/>
        <v>0</v>
      </c>
      <c r="AT407" s="10">
        <v>0</v>
      </c>
      <c r="AU407" s="12">
        <v>0</v>
      </c>
      <c r="AV407" s="12">
        <v>0</v>
      </c>
      <c r="AW407" s="12">
        <v>0</v>
      </c>
      <c r="AX407" s="12">
        <f t="shared" si="168"/>
        <v>0</v>
      </c>
      <c r="AY407" s="12">
        <v>0</v>
      </c>
      <c r="AZ407" s="12">
        <v>0</v>
      </c>
      <c r="BA407" s="12">
        <v>0</v>
      </c>
      <c r="BB407" s="12">
        <f t="shared" si="169"/>
        <v>0</v>
      </c>
      <c r="BC407" s="12">
        <v>0</v>
      </c>
      <c r="BD407" s="12">
        <v>0</v>
      </c>
      <c r="BE407" s="12">
        <v>0</v>
      </c>
      <c r="BF407" s="12">
        <v>0</v>
      </c>
    </row>
    <row r="408" spans="1:58" x14ac:dyDescent="0.25">
      <c r="A408" s="7">
        <v>4072</v>
      </c>
      <c r="B408" s="7">
        <v>7</v>
      </c>
      <c r="C408" s="7" t="s">
        <v>409</v>
      </c>
      <c r="D408" s="4">
        <v>7</v>
      </c>
      <c r="E408" s="10">
        <v>0</v>
      </c>
      <c r="F408" s="8">
        <f t="shared" si="148"/>
        <v>0</v>
      </c>
      <c r="G408" s="8">
        <f t="shared" si="149"/>
        <v>0</v>
      </c>
      <c r="H408" s="8">
        <f t="shared" si="150"/>
        <v>0</v>
      </c>
      <c r="I408" s="8">
        <f t="shared" si="151"/>
        <v>0</v>
      </c>
      <c r="J408" s="8">
        <f t="shared" si="152"/>
        <v>0</v>
      </c>
      <c r="K408" s="8">
        <f t="shared" si="153"/>
        <v>0</v>
      </c>
      <c r="L408" s="8">
        <f t="shared" si="154"/>
        <v>0</v>
      </c>
      <c r="M408" s="8">
        <f t="shared" si="155"/>
        <v>0</v>
      </c>
      <c r="N408" s="8">
        <f t="shared" si="156"/>
        <v>0</v>
      </c>
      <c r="O408" s="8">
        <f t="shared" si="157"/>
        <v>0</v>
      </c>
      <c r="P408" s="8">
        <f t="shared" si="158"/>
        <v>0</v>
      </c>
      <c r="Q408" s="8">
        <f t="shared" si="159"/>
        <v>0</v>
      </c>
      <c r="R408" s="8">
        <f t="shared" si="160"/>
        <v>0</v>
      </c>
      <c r="S408" s="8">
        <f t="shared" si="161"/>
        <v>0</v>
      </c>
      <c r="T408" s="8">
        <f t="shared" si="162"/>
        <v>0</v>
      </c>
      <c r="U408" s="8">
        <f t="shared" si="163"/>
        <v>0</v>
      </c>
      <c r="V408" s="8">
        <f t="shared" si="164"/>
        <v>0</v>
      </c>
      <c r="W408" s="8">
        <f t="shared" si="165"/>
        <v>0</v>
      </c>
      <c r="X408" s="8">
        <f t="shared" si="166"/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  <c r="AG408" s="10">
        <v>0</v>
      </c>
      <c r="AH408" s="10">
        <f t="shared" si="167"/>
        <v>0</v>
      </c>
      <c r="AI408" s="10">
        <v>0</v>
      </c>
      <c r="AJ408" s="10">
        <v>0</v>
      </c>
      <c r="AK408" s="10">
        <v>0</v>
      </c>
      <c r="AL408" s="10">
        <v>0</v>
      </c>
      <c r="AM408" s="10">
        <v>0</v>
      </c>
      <c r="AN408" s="10">
        <v>0</v>
      </c>
      <c r="AO408" s="10">
        <v>0</v>
      </c>
      <c r="AP408" s="10">
        <v>0</v>
      </c>
      <c r="AQ408" s="10">
        <v>0</v>
      </c>
      <c r="AR408" s="10">
        <v>0</v>
      </c>
      <c r="AS408" s="10">
        <f t="shared" si="147"/>
        <v>0</v>
      </c>
      <c r="AT408" s="10">
        <v>0</v>
      </c>
      <c r="AU408" s="12">
        <v>0</v>
      </c>
      <c r="AV408" s="12">
        <v>0</v>
      </c>
      <c r="AW408" s="12">
        <v>0</v>
      </c>
      <c r="AX408" s="12">
        <f t="shared" si="168"/>
        <v>0</v>
      </c>
      <c r="AY408" s="12">
        <v>0</v>
      </c>
      <c r="AZ408" s="12">
        <v>0</v>
      </c>
      <c r="BA408" s="12">
        <v>0</v>
      </c>
      <c r="BB408" s="12">
        <f t="shared" si="169"/>
        <v>0</v>
      </c>
      <c r="BC408" s="12">
        <v>0</v>
      </c>
      <c r="BD408" s="12">
        <v>0</v>
      </c>
      <c r="BE408" s="12">
        <v>0</v>
      </c>
      <c r="BF408" s="12">
        <v>0</v>
      </c>
    </row>
    <row r="409" spans="1:58" x14ac:dyDescent="0.25">
      <c r="A409" s="7">
        <v>4073</v>
      </c>
      <c r="B409" s="7">
        <v>7</v>
      </c>
      <c r="C409" s="7" t="s">
        <v>410</v>
      </c>
      <c r="D409" s="4">
        <v>7</v>
      </c>
      <c r="E409" s="10">
        <v>397</v>
      </c>
      <c r="F409" s="8">
        <f t="shared" si="148"/>
        <v>15352</v>
      </c>
      <c r="G409" s="8">
        <f t="shared" si="149"/>
        <v>0</v>
      </c>
      <c r="H409" s="8">
        <f t="shared" si="150"/>
        <v>7479</v>
      </c>
      <c r="I409" s="8">
        <f t="shared" si="151"/>
        <v>2</v>
      </c>
      <c r="J409" s="8">
        <f t="shared" si="152"/>
        <v>22833</v>
      </c>
      <c r="K409" s="8">
        <f t="shared" si="153"/>
        <v>1565.1999999999971</v>
      </c>
      <c r="L409" s="8">
        <f t="shared" si="154"/>
        <v>24398.199999999997</v>
      </c>
      <c r="M409" s="8">
        <f t="shared" si="155"/>
        <v>57.513853904282115</v>
      </c>
      <c r="N409" s="8">
        <f t="shared" si="156"/>
        <v>9925</v>
      </c>
      <c r="O409" s="8">
        <f t="shared" si="157"/>
        <v>0</v>
      </c>
      <c r="P409" s="8">
        <f t="shared" si="158"/>
        <v>0</v>
      </c>
      <c r="Q409" s="8">
        <f t="shared" si="159"/>
        <v>5385</v>
      </c>
      <c r="R409" s="8">
        <f t="shared" si="160"/>
        <v>42</v>
      </c>
      <c r="S409" s="8">
        <f t="shared" si="161"/>
        <v>0</v>
      </c>
      <c r="T409" s="8">
        <f t="shared" si="162"/>
        <v>0</v>
      </c>
      <c r="U409" s="8">
        <f t="shared" si="163"/>
        <v>7479</v>
      </c>
      <c r="V409" s="8">
        <f t="shared" si="164"/>
        <v>2</v>
      </c>
      <c r="W409" s="8">
        <f t="shared" si="165"/>
        <v>0</v>
      </c>
      <c r="X409" s="8">
        <f t="shared" si="166"/>
        <v>22833</v>
      </c>
      <c r="Y409" s="10">
        <v>2304982</v>
      </c>
      <c r="Z409" s="10">
        <v>0</v>
      </c>
      <c r="AA409" s="10">
        <v>103</v>
      </c>
      <c r="AB409" s="10">
        <v>1069892</v>
      </c>
      <c r="AC409" s="10">
        <v>10796</v>
      </c>
      <c r="AD409" s="10">
        <v>0</v>
      </c>
      <c r="AE409" s="10">
        <v>97250</v>
      </c>
      <c r="AF409" s="10">
        <v>230868</v>
      </c>
      <c r="AG409" s="10">
        <v>46430</v>
      </c>
      <c r="AH409" s="10">
        <f t="shared" si="167"/>
        <v>192863.64500000002</v>
      </c>
      <c r="AI409" s="10">
        <v>3953184.645</v>
      </c>
      <c r="AJ409" s="10">
        <v>2314907</v>
      </c>
      <c r="AK409" s="10">
        <v>0</v>
      </c>
      <c r="AL409" s="10">
        <v>103</v>
      </c>
      <c r="AM409" s="10">
        <v>1075277</v>
      </c>
      <c r="AN409" s="10">
        <v>10838</v>
      </c>
      <c r="AO409" s="10">
        <v>0</v>
      </c>
      <c r="AP409" s="10">
        <v>97250</v>
      </c>
      <c r="AQ409" s="10">
        <v>238347</v>
      </c>
      <c r="AR409" s="10">
        <v>46432</v>
      </c>
      <c r="AS409" s="10">
        <f t="shared" si="147"/>
        <v>192863.64500000002</v>
      </c>
      <c r="AT409" s="10">
        <v>3976017.645</v>
      </c>
      <c r="AU409" s="12">
        <v>0</v>
      </c>
      <c r="AV409" s="12">
        <v>0</v>
      </c>
      <c r="AW409" s="12">
        <v>6866.125</v>
      </c>
      <c r="AX409" s="12">
        <f t="shared" si="168"/>
        <v>6866.125</v>
      </c>
      <c r="AY409" s="12">
        <v>0</v>
      </c>
      <c r="AZ409" s="12">
        <v>0</v>
      </c>
      <c r="BA409" s="12">
        <v>8431.3250000000007</v>
      </c>
      <c r="BB409" s="12">
        <f t="shared" si="169"/>
        <v>8431.3250000000007</v>
      </c>
      <c r="BC409" s="12">
        <v>0</v>
      </c>
      <c r="BD409" s="12">
        <v>0</v>
      </c>
      <c r="BE409" s="12">
        <v>1565.1999999999971</v>
      </c>
      <c r="BF409" s="12">
        <v>1565.1999999999971</v>
      </c>
    </row>
    <row r="410" spans="1:58" x14ac:dyDescent="0.25">
      <c r="A410" s="7">
        <v>4074</v>
      </c>
      <c r="B410" s="7">
        <v>7</v>
      </c>
      <c r="C410" s="7" t="s">
        <v>411</v>
      </c>
      <c r="D410" s="4">
        <v>7</v>
      </c>
      <c r="E410" s="10">
        <v>300</v>
      </c>
      <c r="F410" s="8">
        <f t="shared" si="148"/>
        <v>9625.75</v>
      </c>
      <c r="G410" s="8">
        <f t="shared" si="149"/>
        <v>0</v>
      </c>
      <c r="H410" s="8">
        <f t="shared" si="150"/>
        <v>0</v>
      </c>
      <c r="I410" s="8">
        <f t="shared" si="151"/>
        <v>2</v>
      </c>
      <c r="J410" s="8">
        <f t="shared" si="152"/>
        <v>9627.75</v>
      </c>
      <c r="K410" s="8">
        <f t="shared" si="153"/>
        <v>1427.5999999999985</v>
      </c>
      <c r="L410" s="8">
        <f t="shared" si="154"/>
        <v>11055.349999999999</v>
      </c>
      <c r="M410" s="8">
        <f t="shared" si="155"/>
        <v>32.092500000000001</v>
      </c>
      <c r="N410" s="8">
        <f t="shared" si="156"/>
        <v>9000</v>
      </c>
      <c r="O410" s="8">
        <f t="shared" si="157"/>
        <v>0</v>
      </c>
      <c r="P410" s="8">
        <f t="shared" si="158"/>
        <v>0</v>
      </c>
      <c r="Q410" s="8">
        <f t="shared" si="159"/>
        <v>587.75</v>
      </c>
      <c r="R410" s="8">
        <f t="shared" si="160"/>
        <v>38</v>
      </c>
      <c r="S410" s="8">
        <f t="shared" si="161"/>
        <v>0</v>
      </c>
      <c r="T410" s="8">
        <f t="shared" si="162"/>
        <v>0</v>
      </c>
      <c r="U410" s="8">
        <f t="shared" si="163"/>
        <v>0</v>
      </c>
      <c r="V410" s="8">
        <f t="shared" si="164"/>
        <v>2</v>
      </c>
      <c r="W410" s="8">
        <f t="shared" si="165"/>
        <v>0</v>
      </c>
      <c r="X410" s="8">
        <f t="shared" si="166"/>
        <v>9627.75</v>
      </c>
      <c r="Y410" s="10">
        <v>2090160</v>
      </c>
      <c r="Z410" s="10">
        <v>0</v>
      </c>
      <c r="AA410" s="10">
        <v>93</v>
      </c>
      <c r="AB410" s="10">
        <v>116774</v>
      </c>
      <c r="AC410" s="10">
        <v>9790</v>
      </c>
      <c r="AD410" s="10">
        <v>0</v>
      </c>
      <c r="AE410" s="10">
        <v>74250</v>
      </c>
      <c r="AF410" s="10">
        <v>0</v>
      </c>
      <c r="AG410" s="10">
        <v>42103</v>
      </c>
      <c r="AH410" s="10">
        <f t="shared" si="167"/>
        <v>183493.70999999996</v>
      </c>
      <c r="AI410" s="10">
        <v>2516663.71</v>
      </c>
      <c r="AJ410" s="10">
        <v>2099160</v>
      </c>
      <c r="AK410" s="10">
        <v>0</v>
      </c>
      <c r="AL410" s="10">
        <v>93</v>
      </c>
      <c r="AM410" s="10">
        <v>117361.75</v>
      </c>
      <c r="AN410" s="10">
        <v>9828</v>
      </c>
      <c r="AO410" s="10">
        <v>0</v>
      </c>
      <c r="AP410" s="10">
        <v>74250</v>
      </c>
      <c r="AQ410" s="10">
        <v>0</v>
      </c>
      <c r="AR410" s="10">
        <v>42105</v>
      </c>
      <c r="AS410" s="10">
        <f t="shared" si="147"/>
        <v>183493.70999999996</v>
      </c>
      <c r="AT410" s="10">
        <v>2526291.46</v>
      </c>
      <c r="AU410" s="12">
        <v>0</v>
      </c>
      <c r="AV410" s="12">
        <v>0</v>
      </c>
      <c r="AW410" s="12">
        <v>3424.75</v>
      </c>
      <c r="AX410" s="12">
        <f t="shared" si="168"/>
        <v>3424.75</v>
      </c>
      <c r="AY410" s="12">
        <v>0</v>
      </c>
      <c r="AZ410" s="12">
        <v>0</v>
      </c>
      <c r="BA410" s="12">
        <v>4852.3500000000004</v>
      </c>
      <c r="BB410" s="12">
        <f t="shared" si="169"/>
        <v>4852.3500000000004</v>
      </c>
      <c r="BC410" s="12">
        <v>0</v>
      </c>
      <c r="BD410" s="12">
        <v>0</v>
      </c>
      <c r="BE410" s="12">
        <v>1427.5999999999985</v>
      </c>
      <c r="BF410" s="12">
        <v>1427.5999999999985</v>
      </c>
    </row>
    <row r="411" spans="1:58" x14ac:dyDescent="0.25">
      <c r="A411" s="7">
        <v>4075</v>
      </c>
      <c r="B411" s="7">
        <v>7</v>
      </c>
      <c r="C411" s="7" t="s">
        <v>412</v>
      </c>
      <c r="D411" s="4">
        <v>7</v>
      </c>
      <c r="E411" s="10">
        <v>190</v>
      </c>
      <c r="F411" s="8">
        <f t="shared" si="148"/>
        <v>5902</v>
      </c>
      <c r="G411" s="8">
        <f t="shared" si="149"/>
        <v>0</v>
      </c>
      <c r="H411" s="8">
        <f t="shared" si="150"/>
        <v>0</v>
      </c>
      <c r="I411" s="8">
        <f t="shared" si="151"/>
        <v>2</v>
      </c>
      <c r="J411" s="8">
        <f t="shared" si="152"/>
        <v>5904</v>
      </c>
      <c r="K411" s="8">
        <f t="shared" si="153"/>
        <v>231.60000000000036</v>
      </c>
      <c r="L411" s="8">
        <f t="shared" si="154"/>
        <v>6135.6</v>
      </c>
      <c r="M411" s="8">
        <f t="shared" si="155"/>
        <v>31.073684210526316</v>
      </c>
      <c r="N411" s="8">
        <f t="shared" si="156"/>
        <v>5625</v>
      </c>
      <c r="O411" s="8">
        <f t="shared" si="157"/>
        <v>0</v>
      </c>
      <c r="P411" s="8">
        <f t="shared" si="158"/>
        <v>0</v>
      </c>
      <c r="Q411" s="8">
        <f t="shared" si="159"/>
        <v>254</v>
      </c>
      <c r="R411" s="8">
        <f t="shared" si="160"/>
        <v>23</v>
      </c>
      <c r="S411" s="8">
        <f t="shared" si="161"/>
        <v>0</v>
      </c>
      <c r="T411" s="8">
        <f t="shared" si="162"/>
        <v>0</v>
      </c>
      <c r="U411" s="8">
        <f t="shared" si="163"/>
        <v>0</v>
      </c>
      <c r="V411" s="8">
        <f t="shared" si="164"/>
        <v>2</v>
      </c>
      <c r="W411" s="8">
        <f t="shared" si="165"/>
        <v>0</v>
      </c>
      <c r="X411" s="8">
        <f t="shared" si="166"/>
        <v>5904</v>
      </c>
      <c r="Y411" s="10">
        <v>1306350</v>
      </c>
      <c r="Z411" s="10">
        <v>0</v>
      </c>
      <c r="AA411" s="10">
        <v>58</v>
      </c>
      <c r="AB411" s="10">
        <v>50465</v>
      </c>
      <c r="AC411" s="10">
        <v>6119</v>
      </c>
      <c r="AD411" s="10">
        <v>0</v>
      </c>
      <c r="AE411" s="10">
        <v>35250</v>
      </c>
      <c r="AF411" s="10">
        <v>18657</v>
      </c>
      <c r="AG411" s="10">
        <v>26314</v>
      </c>
      <c r="AH411" s="10">
        <f t="shared" si="167"/>
        <v>195102.82000000007</v>
      </c>
      <c r="AI411" s="10">
        <v>1638315.82</v>
      </c>
      <c r="AJ411" s="10">
        <v>1311975</v>
      </c>
      <c r="AK411" s="10">
        <v>0</v>
      </c>
      <c r="AL411" s="10">
        <v>58</v>
      </c>
      <c r="AM411" s="10">
        <v>50719</v>
      </c>
      <c r="AN411" s="10">
        <v>6142</v>
      </c>
      <c r="AO411" s="10">
        <v>0</v>
      </c>
      <c r="AP411" s="10">
        <v>35250</v>
      </c>
      <c r="AQ411" s="10">
        <v>18657</v>
      </c>
      <c r="AR411" s="10">
        <v>26316</v>
      </c>
      <c r="AS411" s="10">
        <f t="shared" si="147"/>
        <v>195102.82000000007</v>
      </c>
      <c r="AT411" s="10">
        <v>1644219.82</v>
      </c>
      <c r="AU411" s="12">
        <v>0</v>
      </c>
      <c r="AV411" s="12">
        <v>0</v>
      </c>
      <c r="AW411" s="12">
        <v>762.75</v>
      </c>
      <c r="AX411" s="12">
        <f t="shared" si="168"/>
        <v>762.75</v>
      </c>
      <c r="AY411" s="12">
        <v>0</v>
      </c>
      <c r="AZ411" s="12">
        <v>0</v>
      </c>
      <c r="BA411" s="12">
        <v>994.35</v>
      </c>
      <c r="BB411" s="12">
        <f t="shared" si="169"/>
        <v>994.35</v>
      </c>
      <c r="BC411" s="12">
        <v>0</v>
      </c>
      <c r="BD411" s="12">
        <v>0</v>
      </c>
      <c r="BE411" s="12">
        <v>231.60000000000036</v>
      </c>
      <c r="BF411" s="12">
        <v>231.60000000000036</v>
      </c>
    </row>
    <row r="412" spans="1:58" x14ac:dyDescent="0.25">
      <c r="A412" s="7">
        <v>4076</v>
      </c>
      <c r="B412" s="7">
        <v>7</v>
      </c>
      <c r="C412" s="7" t="s">
        <v>413</v>
      </c>
      <c r="D412" s="4">
        <v>7</v>
      </c>
      <c r="E412" s="10">
        <v>0</v>
      </c>
      <c r="F412" s="8">
        <f t="shared" si="148"/>
        <v>0</v>
      </c>
      <c r="G412" s="8">
        <f t="shared" si="149"/>
        <v>0</v>
      </c>
      <c r="H412" s="8">
        <f t="shared" si="150"/>
        <v>0</v>
      </c>
      <c r="I412" s="8">
        <f t="shared" si="151"/>
        <v>0</v>
      </c>
      <c r="J412" s="8">
        <f t="shared" si="152"/>
        <v>0</v>
      </c>
      <c r="K412" s="8">
        <f t="shared" si="153"/>
        <v>0</v>
      </c>
      <c r="L412" s="8">
        <f t="shared" si="154"/>
        <v>0</v>
      </c>
      <c r="M412" s="8">
        <f t="shared" si="155"/>
        <v>0</v>
      </c>
      <c r="N412" s="8">
        <f t="shared" si="156"/>
        <v>0</v>
      </c>
      <c r="O412" s="8">
        <f t="shared" si="157"/>
        <v>0</v>
      </c>
      <c r="P412" s="8">
        <f t="shared" si="158"/>
        <v>0</v>
      </c>
      <c r="Q412" s="8">
        <f t="shared" si="159"/>
        <v>0</v>
      </c>
      <c r="R412" s="8">
        <f t="shared" si="160"/>
        <v>0</v>
      </c>
      <c r="S412" s="8">
        <f t="shared" si="161"/>
        <v>0</v>
      </c>
      <c r="T412" s="8">
        <f t="shared" si="162"/>
        <v>0</v>
      </c>
      <c r="U412" s="8">
        <f t="shared" si="163"/>
        <v>0</v>
      </c>
      <c r="V412" s="8">
        <f t="shared" si="164"/>
        <v>0</v>
      </c>
      <c r="W412" s="8">
        <f t="shared" si="165"/>
        <v>0</v>
      </c>
      <c r="X412" s="8">
        <f t="shared" si="166"/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f t="shared" si="167"/>
        <v>0</v>
      </c>
      <c r="AI412" s="10">
        <v>0</v>
      </c>
      <c r="AJ412" s="10">
        <v>0</v>
      </c>
      <c r="AK412" s="10">
        <v>0</v>
      </c>
      <c r="AL412" s="10">
        <v>0</v>
      </c>
      <c r="AM412" s="10">
        <v>0</v>
      </c>
      <c r="AN412" s="10">
        <v>0</v>
      </c>
      <c r="AO412" s="10">
        <v>0</v>
      </c>
      <c r="AP412" s="10">
        <v>0</v>
      </c>
      <c r="AQ412" s="10">
        <v>0</v>
      </c>
      <c r="AR412" s="10">
        <v>0</v>
      </c>
      <c r="AS412" s="10">
        <f t="shared" si="147"/>
        <v>0</v>
      </c>
      <c r="AT412" s="10">
        <v>0</v>
      </c>
      <c r="AU412" s="12">
        <v>0</v>
      </c>
      <c r="AV412" s="12">
        <v>0</v>
      </c>
      <c r="AW412" s="12">
        <v>0</v>
      </c>
      <c r="AX412" s="12">
        <f t="shared" si="168"/>
        <v>0</v>
      </c>
      <c r="AY412" s="12">
        <v>0</v>
      </c>
      <c r="AZ412" s="12">
        <v>0</v>
      </c>
      <c r="BA412" s="12">
        <v>0</v>
      </c>
      <c r="BB412" s="12">
        <f t="shared" si="169"/>
        <v>0</v>
      </c>
      <c r="BC412" s="12">
        <v>0</v>
      </c>
      <c r="BD412" s="12">
        <v>0</v>
      </c>
      <c r="BE412" s="12">
        <v>0</v>
      </c>
      <c r="BF412" s="12">
        <v>0</v>
      </c>
    </row>
    <row r="413" spans="1:58" x14ac:dyDescent="0.25">
      <c r="A413" s="7">
        <v>4077</v>
      </c>
      <c r="B413" s="7">
        <v>7</v>
      </c>
      <c r="C413" s="7" t="s">
        <v>414</v>
      </c>
      <c r="D413" s="4">
        <v>7</v>
      </c>
      <c r="E413" s="10">
        <v>576</v>
      </c>
      <c r="F413" s="8">
        <f t="shared" si="148"/>
        <v>21674.5</v>
      </c>
      <c r="G413" s="8">
        <f t="shared" si="149"/>
        <v>12080</v>
      </c>
      <c r="H413" s="8">
        <f t="shared" si="150"/>
        <v>29574</v>
      </c>
      <c r="I413" s="8">
        <f t="shared" si="151"/>
        <v>2</v>
      </c>
      <c r="J413" s="8">
        <f t="shared" si="152"/>
        <v>63330.5</v>
      </c>
      <c r="K413" s="8">
        <f t="shared" si="153"/>
        <v>494</v>
      </c>
      <c r="L413" s="8">
        <f t="shared" si="154"/>
        <v>63824.5</v>
      </c>
      <c r="M413" s="8">
        <f t="shared" si="155"/>
        <v>109.94878472222223</v>
      </c>
      <c r="N413" s="8">
        <f t="shared" si="156"/>
        <v>13106</v>
      </c>
      <c r="O413" s="8">
        <f t="shared" si="157"/>
        <v>0</v>
      </c>
      <c r="P413" s="8">
        <f t="shared" si="158"/>
        <v>0</v>
      </c>
      <c r="Q413" s="8">
        <f t="shared" si="159"/>
        <v>8512.5</v>
      </c>
      <c r="R413" s="8">
        <f t="shared" si="160"/>
        <v>56</v>
      </c>
      <c r="S413" s="8">
        <f t="shared" si="161"/>
        <v>0</v>
      </c>
      <c r="T413" s="8">
        <f t="shared" si="162"/>
        <v>12080</v>
      </c>
      <c r="U413" s="8">
        <f t="shared" si="163"/>
        <v>29574</v>
      </c>
      <c r="V413" s="8">
        <f t="shared" si="164"/>
        <v>2</v>
      </c>
      <c r="W413" s="8">
        <f t="shared" si="165"/>
        <v>0</v>
      </c>
      <c r="X413" s="8">
        <f t="shared" si="166"/>
        <v>63330.5</v>
      </c>
      <c r="Y413" s="10">
        <v>3043796</v>
      </c>
      <c r="Z413" s="10">
        <v>0</v>
      </c>
      <c r="AA413" s="10">
        <v>136</v>
      </c>
      <c r="AB413" s="10">
        <v>1691264</v>
      </c>
      <c r="AC413" s="10">
        <v>14256</v>
      </c>
      <c r="AD413" s="10">
        <v>0</v>
      </c>
      <c r="AE413" s="10">
        <v>0</v>
      </c>
      <c r="AF413" s="10">
        <v>515160</v>
      </c>
      <c r="AG413" s="10">
        <v>61313</v>
      </c>
      <c r="AH413" s="10">
        <f t="shared" si="167"/>
        <v>167091.90000000037</v>
      </c>
      <c r="AI413" s="10">
        <v>5493016.9000000004</v>
      </c>
      <c r="AJ413" s="10">
        <v>3056902</v>
      </c>
      <c r="AK413" s="10">
        <v>0</v>
      </c>
      <c r="AL413" s="10">
        <v>136</v>
      </c>
      <c r="AM413" s="10">
        <v>1699776.5</v>
      </c>
      <c r="AN413" s="10">
        <v>14312</v>
      </c>
      <c r="AO413" s="10">
        <v>0</v>
      </c>
      <c r="AP413" s="10">
        <v>12080</v>
      </c>
      <c r="AQ413" s="10">
        <v>544734</v>
      </c>
      <c r="AR413" s="10">
        <v>61315</v>
      </c>
      <c r="AS413" s="10">
        <f t="shared" si="147"/>
        <v>167091.90000000037</v>
      </c>
      <c r="AT413" s="10">
        <v>5556347.4000000004</v>
      </c>
      <c r="AU413" s="12">
        <v>0</v>
      </c>
      <c r="AV413" s="12">
        <v>0</v>
      </c>
      <c r="AW413" s="12">
        <v>12323.875</v>
      </c>
      <c r="AX413" s="12">
        <f t="shared" si="168"/>
        <v>12323.875</v>
      </c>
      <c r="AY413" s="12">
        <v>0</v>
      </c>
      <c r="AZ413" s="12">
        <v>0</v>
      </c>
      <c r="BA413" s="12">
        <v>12817.875</v>
      </c>
      <c r="BB413" s="12">
        <f t="shared" si="169"/>
        <v>12817.875</v>
      </c>
      <c r="BC413" s="12">
        <v>0</v>
      </c>
      <c r="BD413" s="12">
        <v>0</v>
      </c>
      <c r="BE413" s="12">
        <v>494</v>
      </c>
      <c r="BF413" s="12">
        <v>494</v>
      </c>
    </row>
    <row r="414" spans="1:58" x14ac:dyDescent="0.25">
      <c r="A414" s="7">
        <v>4078</v>
      </c>
      <c r="B414" s="7">
        <v>7</v>
      </c>
      <c r="C414" s="7" t="s">
        <v>415</v>
      </c>
      <c r="D414" s="4">
        <v>7</v>
      </c>
      <c r="E414" s="10">
        <v>435</v>
      </c>
      <c r="F414" s="8">
        <f t="shared" si="148"/>
        <v>17860</v>
      </c>
      <c r="G414" s="8">
        <f t="shared" si="149"/>
        <v>7269.14</v>
      </c>
      <c r="H414" s="8">
        <f t="shared" si="150"/>
        <v>27666</v>
      </c>
      <c r="I414" s="8">
        <f t="shared" si="151"/>
        <v>1.9999999996653059</v>
      </c>
      <c r="J414" s="8">
        <f t="shared" si="152"/>
        <v>52797.139999999665</v>
      </c>
      <c r="K414" s="8">
        <f t="shared" si="153"/>
        <v>288</v>
      </c>
      <c r="L414" s="8">
        <f t="shared" si="154"/>
        <v>53085.139999999665</v>
      </c>
      <c r="M414" s="8">
        <f t="shared" si="155"/>
        <v>121.37273563218314</v>
      </c>
      <c r="N414" s="8">
        <f t="shared" si="156"/>
        <v>11975</v>
      </c>
      <c r="O414" s="8">
        <f t="shared" si="157"/>
        <v>0</v>
      </c>
      <c r="P414" s="8">
        <f t="shared" si="158"/>
        <v>0</v>
      </c>
      <c r="Q414" s="8">
        <f t="shared" si="159"/>
        <v>5835</v>
      </c>
      <c r="R414" s="8">
        <f t="shared" si="160"/>
        <v>50</v>
      </c>
      <c r="S414" s="8">
        <f t="shared" si="161"/>
        <v>0</v>
      </c>
      <c r="T414" s="8">
        <f t="shared" si="162"/>
        <v>7269.14</v>
      </c>
      <c r="U414" s="8">
        <f t="shared" si="163"/>
        <v>27666</v>
      </c>
      <c r="V414" s="8">
        <f t="shared" si="164"/>
        <v>2</v>
      </c>
      <c r="W414" s="8">
        <f t="shared" si="165"/>
        <v>-9.3132257461547852E-10</v>
      </c>
      <c r="X414" s="8">
        <f t="shared" si="166"/>
        <v>52797.139999999665</v>
      </c>
      <c r="Y414" s="10">
        <v>2781074</v>
      </c>
      <c r="Z414" s="10">
        <v>0</v>
      </c>
      <c r="AA414" s="10">
        <v>124</v>
      </c>
      <c r="AB414" s="10">
        <v>1159298</v>
      </c>
      <c r="AC414" s="10">
        <v>13026</v>
      </c>
      <c r="AD414" s="10">
        <v>0</v>
      </c>
      <c r="AE414" s="10">
        <v>0</v>
      </c>
      <c r="AF414" s="10">
        <v>178398</v>
      </c>
      <c r="AG414" s="10">
        <v>56021</v>
      </c>
      <c r="AH414" s="10">
        <f t="shared" si="167"/>
        <v>208667.12000000011</v>
      </c>
      <c r="AI414" s="10">
        <v>4396608.12</v>
      </c>
      <c r="AJ414" s="10">
        <v>2793049</v>
      </c>
      <c r="AK414" s="10">
        <v>0</v>
      </c>
      <c r="AL414" s="10">
        <v>124</v>
      </c>
      <c r="AM414" s="10">
        <v>1165133</v>
      </c>
      <c r="AN414" s="10">
        <v>13076</v>
      </c>
      <c r="AO414" s="10">
        <v>0</v>
      </c>
      <c r="AP414" s="10">
        <v>7269.14</v>
      </c>
      <c r="AQ414" s="10">
        <v>206064</v>
      </c>
      <c r="AR414" s="10">
        <v>56023</v>
      </c>
      <c r="AS414" s="10">
        <f t="shared" si="147"/>
        <v>208667.11999999918</v>
      </c>
      <c r="AT414" s="10">
        <v>4449405.26</v>
      </c>
      <c r="AU414" s="12">
        <v>0</v>
      </c>
      <c r="AV414" s="12">
        <v>0</v>
      </c>
      <c r="AW414" s="12">
        <v>7548.75</v>
      </c>
      <c r="AX414" s="12">
        <f t="shared" si="168"/>
        <v>7548.75</v>
      </c>
      <c r="AY414" s="12">
        <v>0</v>
      </c>
      <c r="AZ414" s="12">
        <v>0</v>
      </c>
      <c r="BA414" s="12">
        <v>7836.75</v>
      </c>
      <c r="BB414" s="12">
        <f t="shared" si="169"/>
        <v>7836.75</v>
      </c>
      <c r="BC414" s="12">
        <v>0</v>
      </c>
      <c r="BD414" s="12">
        <v>0</v>
      </c>
      <c r="BE414" s="12">
        <v>288</v>
      </c>
      <c r="BF414" s="12">
        <v>288</v>
      </c>
    </row>
    <row r="415" spans="1:58" x14ac:dyDescent="0.25">
      <c r="A415" s="7">
        <v>4079</v>
      </c>
      <c r="B415" s="7">
        <v>7</v>
      </c>
      <c r="C415" s="7" t="s">
        <v>416</v>
      </c>
      <c r="D415" s="4">
        <v>7</v>
      </c>
      <c r="E415" s="10">
        <v>135</v>
      </c>
      <c r="F415" s="8">
        <f t="shared" si="148"/>
        <v>4823.5</v>
      </c>
      <c r="G415" s="8">
        <f t="shared" si="149"/>
        <v>0</v>
      </c>
      <c r="H415" s="8">
        <f t="shared" si="150"/>
        <v>0</v>
      </c>
      <c r="I415" s="8">
        <f t="shared" si="151"/>
        <v>-143</v>
      </c>
      <c r="J415" s="8">
        <f t="shared" si="152"/>
        <v>4680.5</v>
      </c>
      <c r="K415" s="8">
        <f t="shared" si="153"/>
        <v>76</v>
      </c>
      <c r="L415" s="8">
        <f t="shared" si="154"/>
        <v>4756.5</v>
      </c>
      <c r="M415" s="8">
        <f t="shared" si="155"/>
        <v>34.670370370370371</v>
      </c>
      <c r="N415" s="8">
        <f t="shared" si="156"/>
        <v>3093</v>
      </c>
      <c r="O415" s="8">
        <f t="shared" si="157"/>
        <v>0</v>
      </c>
      <c r="P415" s="8">
        <f t="shared" si="158"/>
        <v>0</v>
      </c>
      <c r="Q415" s="8">
        <f t="shared" si="159"/>
        <v>1717.5</v>
      </c>
      <c r="R415" s="8">
        <f t="shared" si="160"/>
        <v>13</v>
      </c>
      <c r="S415" s="8">
        <f t="shared" si="161"/>
        <v>0</v>
      </c>
      <c r="T415" s="8">
        <f t="shared" si="162"/>
        <v>0</v>
      </c>
      <c r="U415" s="8">
        <f t="shared" si="163"/>
        <v>0</v>
      </c>
      <c r="V415" s="8">
        <f t="shared" si="164"/>
        <v>1</v>
      </c>
      <c r="W415" s="8">
        <f t="shared" si="165"/>
        <v>-144</v>
      </c>
      <c r="X415" s="8">
        <f t="shared" si="166"/>
        <v>4680.5</v>
      </c>
      <c r="Y415" s="10">
        <v>718493</v>
      </c>
      <c r="Z415" s="10">
        <v>0</v>
      </c>
      <c r="AA415" s="10">
        <v>32</v>
      </c>
      <c r="AB415" s="10">
        <v>341233</v>
      </c>
      <c r="AC415" s="10">
        <v>3365</v>
      </c>
      <c r="AD415" s="10">
        <v>0</v>
      </c>
      <c r="AE415" s="10">
        <v>31750</v>
      </c>
      <c r="AF415" s="10">
        <v>0</v>
      </c>
      <c r="AG415" s="10">
        <v>14473</v>
      </c>
      <c r="AH415" s="10">
        <f t="shared" si="167"/>
        <v>3694.3799999998882</v>
      </c>
      <c r="AI415" s="10">
        <v>1113040.3799999999</v>
      </c>
      <c r="AJ415" s="10">
        <v>721586</v>
      </c>
      <c r="AK415" s="10">
        <v>0</v>
      </c>
      <c r="AL415" s="10">
        <v>32</v>
      </c>
      <c r="AM415" s="10">
        <v>342950.5</v>
      </c>
      <c r="AN415" s="10">
        <v>3378</v>
      </c>
      <c r="AO415" s="10">
        <v>0</v>
      </c>
      <c r="AP415" s="10">
        <v>31750</v>
      </c>
      <c r="AQ415" s="10">
        <v>0</v>
      </c>
      <c r="AR415" s="10">
        <v>14474</v>
      </c>
      <c r="AS415" s="10">
        <f t="shared" si="147"/>
        <v>3550.3799999998882</v>
      </c>
      <c r="AT415" s="10">
        <v>1117720.8799999999</v>
      </c>
      <c r="AU415" s="12">
        <v>0</v>
      </c>
      <c r="AV415" s="12">
        <v>0</v>
      </c>
      <c r="AW415" s="12">
        <v>2143.125</v>
      </c>
      <c r="AX415" s="12">
        <f t="shared" si="168"/>
        <v>2143.125</v>
      </c>
      <c r="AY415" s="12">
        <v>0</v>
      </c>
      <c r="AZ415" s="12">
        <v>0</v>
      </c>
      <c r="BA415" s="12">
        <v>2219.125</v>
      </c>
      <c r="BB415" s="12">
        <f t="shared" si="169"/>
        <v>2219.125</v>
      </c>
      <c r="BC415" s="12">
        <v>0</v>
      </c>
      <c r="BD415" s="12">
        <v>0</v>
      </c>
      <c r="BE415" s="12">
        <v>76</v>
      </c>
      <c r="BF415" s="12">
        <v>76</v>
      </c>
    </row>
    <row r="416" spans="1:58" x14ac:dyDescent="0.25">
      <c r="A416" s="7">
        <v>4080</v>
      </c>
      <c r="B416" s="7">
        <v>7</v>
      </c>
      <c r="C416" s="7" t="s">
        <v>417</v>
      </c>
      <c r="D416" s="4">
        <v>7</v>
      </c>
      <c r="E416" s="10">
        <v>45</v>
      </c>
      <c r="F416" s="8">
        <f t="shared" si="148"/>
        <v>1857.25</v>
      </c>
      <c r="G416" s="8">
        <f t="shared" si="149"/>
        <v>1540.2000000000003</v>
      </c>
      <c r="H416" s="8">
        <f t="shared" si="150"/>
        <v>0</v>
      </c>
      <c r="I416" s="8">
        <f t="shared" si="151"/>
        <v>1.0000000000113687</v>
      </c>
      <c r="J416" s="8">
        <f t="shared" si="152"/>
        <v>3398.4500000000116</v>
      </c>
      <c r="K416" s="8">
        <f t="shared" si="153"/>
        <v>0</v>
      </c>
      <c r="L416" s="8">
        <f t="shared" si="154"/>
        <v>3398.4500000000116</v>
      </c>
      <c r="M416" s="8">
        <f t="shared" si="155"/>
        <v>75.521111111111367</v>
      </c>
      <c r="N416" s="8">
        <f t="shared" si="156"/>
        <v>1350</v>
      </c>
      <c r="O416" s="8">
        <f t="shared" si="157"/>
        <v>0</v>
      </c>
      <c r="P416" s="8">
        <f t="shared" si="158"/>
        <v>38</v>
      </c>
      <c r="Q416" s="8">
        <f t="shared" si="159"/>
        <v>463.25</v>
      </c>
      <c r="R416" s="8">
        <f t="shared" si="160"/>
        <v>6</v>
      </c>
      <c r="S416" s="8">
        <f t="shared" si="161"/>
        <v>0</v>
      </c>
      <c r="T416" s="8">
        <f t="shared" si="162"/>
        <v>1540.2000000000003</v>
      </c>
      <c r="U416" s="8">
        <f t="shared" si="163"/>
        <v>0</v>
      </c>
      <c r="V416" s="8">
        <f t="shared" si="164"/>
        <v>1</v>
      </c>
      <c r="W416" s="8">
        <f t="shared" si="165"/>
        <v>0</v>
      </c>
      <c r="X416" s="8">
        <f t="shared" si="166"/>
        <v>3398.4500000000116</v>
      </c>
      <c r="Y416" s="10">
        <v>313524</v>
      </c>
      <c r="Z416" s="10">
        <v>0</v>
      </c>
      <c r="AA416" s="10">
        <v>8811</v>
      </c>
      <c r="AB416" s="10">
        <v>92039</v>
      </c>
      <c r="AC416" s="10">
        <v>1468</v>
      </c>
      <c r="AD416" s="10">
        <v>0</v>
      </c>
      <c r="AE416" s="10">
        <v>0</v>
      </c>
      <c r="AF416" s="10">
        <v>0</v>
      </c>
      <c r="AG416" s="10">
        <v>6315</v>
      </c>
      <c r="AH416" s="10">
        <f t="shared" si="167"/>
        <v>16796.559999999998</v>
      </c>
      <c r="AI416" s="10">
        <v>438953.56</v>
      </c>
      <c r="AJ416" s="10">
        <v>314874</v>
      </c>
      <c r="AK416" s="10">
        <v>0</v>
      </c>
      <c r="AL416" s="10">
        <v>8849</v>
      </c>
      <c r="AM416" s="10">
        <v>92502.25</v>
      </c>
      <c r="AN416" s="10">
        <v>1474</v>
      </c>
      <c r="AO416" s="10">
        <v>0</v>
      </c>
      <c r="AP416" s="10">
        <v>1540.2000000000003</v>
      </c>
      <c r="AQ416" s="10">
        <v>0</v>
      </c>
      <c r="AR416" s="10">
        <v>6316</v>
      </c>
      <c r="AS416" s="10">
        <f t="shared" si="147"/>
        <v>16796.559999999998</v>
      </c>
      <c r="AT416" s="10">
        <v>442352.01</v>
      </c>
      <c r="AU416" s="12">
        <v>0</v>
      </c>
      <c r="AV416" s="12">
        <v>0</v>
      </c>
      <c r="AW416" s="12">
        <v>0</v>
      </c>
      <c r="AX416" s="12">
        <f t="shared" si="168"/>
        <v>0</v>
      </c>
      <c r="AY416" s="12">
        <v>0</v>
      </c>
      <c r="AZ416" s="12">
        <v>0</v>
      </c>
      <c r="BA416" s="12">
        <v>0</v>
      </c>
      <c r="BB416" s="12">
        <f t="shared" si="169"/>
        <v>0</v>
      </c>
      <c r="BC416" s="12">
        <v>0</v>
      </c>
      <c r="BD416" s="12">
        <v>0</v>
      </c>
      <c r="BE416" s="12">
        <v>0</v>
      </c>
      <c r="BF416" s="12">
        <v>0</v>
      </c>
    </row>
    <row r="417" spans="1:58" x14ac:dyDescent="0.25">
      <c r="A417" s="7">
        <v>4081</v>
      </c>
      <c r="B417" s="7">
        <v>7</v>
      </c>
      <c r="C417" s="7" t="s">
        <v>418</v>
      </c>
      <c r="D417" s="4">
        <v>7</v>
      </c>
      <c r="E417" s="10">
        <v>54</v>
      </c>
      <c r="F417" s="8">
        <f t="shared" si="148"/>
        <v>2078.75</v>
      </c>
      <c r="G417" s="8">
        <f t="shared" si="149"/>
        <v>2147.2199999999998</v>
      </c>
      <c r="H417" s="8">
        <f t="shared" si="150"/>
        <v>0</v>
      </c>
      <c r="I417" s="8">
        <f t="shared" si="151"/>
        <v>-99.00000000002774</v>
      </c>
      <c r="J417" s="8">
        <f t="shared" si="152"/>
        <v>4126.9699999999721</v>
      </c>
      <c r="K417" s="8">
        <f t="shared" si="153"/>
        <v>148.40000000000009</v>
      </c>
      <c r="L417" s="8">
        <f t="shared" si="154"/>
        <v>4275.3699999999717</v>
      </c>
      <c r="M417" s="8">
        <f t="shared" si="155"/>
        <v>76.425370370369848</v>
      </c>
      <c r="N417" s="8">
        <f t="shared" si="156"/>
        <v>1605</v>
      </c>
      <c r="O417" s="8">
        <f t="shared" si="157"/>
        <v>0</v>
      </c>
      <c r="P417" s="8">
        <f t="shared" si="158"/>
        <v>25</v>
      </c>
      <c r="Q417" s="8">
        <f t="shared" si="159"/>
        <v>441.75</v>
      </c>
      <c r="R417" s="8">
        <f t="shared" si="160"/>
        <v>7</v>
      </c>
      <c r="S417" s="8">
        <f t="shared" si="161"/>
        <v>0</v>
      </c>
      <c r="T417" s="8">
        <f t="shared" si="162"/>
        <v>2147.2199999999998</v>
      </c>
      <c r="U417" s="8">
        <f t="shared" si="163"/>
        <v>0</v>
      </c>
      <c r="V417" s="8">
        <f t="shared" si="164"/>
        <v>1</v>
      </c>
      <c r="W417" s="8">
        <f t="shared" si="165"/>
        <v>-100</v>
      </c>
      <c r="X417" s="8">
        <f t="shared" si="166"/>
        <v>4126.9699999999721</v>
      </c>
      <c r="Y417" s="10">
        <v>372745</v>
      </c>
      <c r="Z417" s="10">
        <v>0</v>
      </c>
      <c r="AA417" s="10">
        <v>5706</v>
      </c>
      <c r="AB417" s="10">
        <v>87767</v>
      </c>
      <c r="AC417" s="10">
        <v>1746</v>
      </c>
      <c r="AD417" s="10">
        <v>0</v>
      </c>
      <c r="AE417" s="10">
        <v>0</v>
      </c>
      <c r="AF417" s="10">
        <v>19080</v>
      </c>
      <c r="AG417" s="10">
        <v>7508</v>
      </c>
      <c r="AH417" s="10">
        <f t="shared" si="167"/>
        <v>3490.2699999999604</v>
      </c>
      <c r="AI417" s="10">
        <v>498042.26999999996</v>
      </c>
      <c r="AJ417" s="10">
        <v>374350</v>
      </c>
      <c r="AK417" s="10">
        <v>0</v>
      </c>
      <c r="AL417" s="10">
        <v>5731</v>
      </c>
      <c r="AM417" s="10">
        <v>88208.75</v>
      </c>
      <c r="AN417" s="10">
        <v>1753</v>
      </c>
      <c r="AO417" s="10">
        <v>0</v>
      </c>
      <c r="AP417" s="10">
        <v>2147.2199999999998</v>
      </c>
      <c r="AQ417" s="10">
        <v>19080</v>
      </c>
      <c r="AR417" s="10">
        <v>7509</v>
      </c>
      <c r="AS417" s="10">
        <f t="shared" si="147"/>
        <v>3390.2699999999604</v>
      </c>
      <c r="AT417" s="10">
        <v>502169.23999999993</v>
      </c>
      <c r="AU417" s="12">
        <v>0</v>
      </c>
      <c r="AV417" s="12">
        <v>0</v>
      </c>
      <c r="AW417" s="12">
        <v>437</v>
      </c>
      <c r="AX417" s="12">
        <f t="shared" si="168"/>
        <v>437</v>
      </c>
      <c r="AY417" s="12">
        <v>0</v>
      </c>
      <c r="AZ417" s="12">
        <v>0</v>
      </c>
      <c r="BA417" s="12">
        <v>585.4</v>
      </c>
      <c r="BB417" s="12">
        <f t="shared" si="169"/>
        <v>585.4</v>
      </c>
      <c r="BC417" s="12">
        <v>0</v>
      </c>
      <c r="BD417" s="12">
        <v>0</v>
      </c>
      <c r="BE417" s="12">
        <v>148.40000000000009</v>
      </c>
      <c r="BF417" s="12">
        <v>148.40000000000009</v>
      </c>
    </row>
    <row r="418" spans="1:58" x14ac:dyDescent="0.25">
      <c r="A418" s="7">
        <v>4082</v>
      </c>
      <c r="B418" s="7">
        <v>7</v>
      </c>
      <c r="C418" s="7" t="s">
        <v>419</v>
      </c>
      <c r="D418" s="4">
        <v>7</v>
      </c>
      <c r="E418" s="10">
        <v>470</v>
      </c>
      <c r="F418" s="8">
        <f t="shared" si="148"/>
        <v>14893.5</v>
      </c>
      <c r="G418" s="8">
        <f t="shared" si="149"/>
        <v>0</v>
      </c>
      <c r="H418" s="8">
        <f t="shared" si="150"/>
        <v>5917</v>
      </c>
      <c r="I418" s="8">
        <f t="shared" si="151"/>
        <v>2</v>
      </c>
      <c r="J418" s="8">
        <f t="shared" si="152"/>
        <v>20812.5</v>
      </c>
      <c r="K418" s="8">
        <f t="shared" si="153"/>
        <v>0</v>
      </c>
      <c r="L418" s="8">
        <f t="shared" si="154"/>
        <v>20812.5</v>
      </c>
      <c r="M418" s="8">
        <f t="shared" si="155"/>
        <v>44.281914893617021</v>
      </c>
      <c r="N418" s="8">
        <f t="shared" si="156"/>
        <v>14100</v>
      </c>
      <c r="O418" s="8">
        <f t="shared" si="157"/>
        <v>0</v>
      </c>
      <c r="P418" s="8">
        <f t="shared" si="158"/>
        <v>0</v>
      </c>
      <c r="Q418" s="8">
        <f t="shared" si="159"/>
        <v>733.5</v>
      </c>
      <c r="R418" s="8">
        <f t="shared" si="160"/>
        <v>60</v>
      </c>
      <c r="S418" s="8">
        <f t="shared" si="161"/>
        <v>0</v>
      </c>
      <c r="T418" s="8">
        <f t="shared" si="162"/>
        <v>0</v>
      </c>
      <c r="U418" s="8">
        <f t="shared" si="163"/>
        <v>5917</v>
      </c>
      <c r="V418" s="8">
        <f t="shared" si="164"/>
        <v>2</v>
      </c>
      <c r="W418" s="8">
        <f t="shared" si="165"/>
        <v>0</v>
      </c>
      <c r="X418" s="8">
        <f t="shared" si="166"/>
        <v>20812.5</v>
      </c>
      <c r="Y418" s="10">
        <v>3274584</v>
      </c>
      <c r="Z418" s="10">
        <v>0</v>
      </c>
      <c r="AA418" s="10">
        <v>146</v>
      </c>
      <c r="AB418" s="10">
        <v>145732</v>
      </c>
      <c r="AC418" s="10">
        <v>15337</v>
      </c>
      <c r="AD418" s="10">
        <v>0</v>
      </c>
      <c r="AE418" s="10">
        <v>110500</v>
      </c>
      <c r="AF418" s="10">
        <v>15930</v>
      </c>
      <c r="AG418" s="10">
        <v>65962</v>
      </c>
      <c r="AH418" s="10">
        <f t="shared" si="167"/>
        <v>257403.35999999987</v>
      </c>
      <c r="AI418" s="10">
        <v>3885594.36</v>
      </c>
      <c r="AJ418" s="10">
        <v>3288684</v>
      </c>
      <c r="AK418" s="10">
        <v>0</v>
      </c>
      <c r="AL418" s="10">
        <v>146</v>
      </c>
      <c r="AM418" s="10">
        <v>146465.5</v>
      </c>
      <c r="AN418" s="10">
        <v>15397</v>
      </c>
      <c r="AO418" s="10">
        <v>0</v>
      </c>
      <c r="AP418" s="10">
        <v>110500</v>
      </c>
      <c r="AQ418" s="10">
        <v>21847</v>
      </c>
      <c r="AR418" s="10">
        <v>65964</v>
      </c>
      <c r="AS418" s="10">
        <f t="shared" si="147"/>
        <v>257403.35999999987</v>
      </c>
      <c r="AT418" s="10">
        <v>3906406.86</v>
      </c>
      <c r="AU418" s="12">
        <v>0</v>
      </c>
      <c r="AV418" s="12">
        <v>0</v>
      </c>
      <c r="AW418" s="12">
        <v>0</v>
      </c>
      <c r="AX418" s="12">
        <f t="shared" si="168"/>
        <v>0</v>
      </c>
      <c r="AY418" s="12">
        <v>0</v>
      </c>
      <c r="AZ418" s="12">
        <v>0</v>
      </c>
      <c r="BA418" s="12">
        <v>0</v>
      </c>
      <c r="BB418" s="12">
        <f t="shared" si="169"/>
        <v>0</v>
      </c>
      <c r="BC418" s="12">
        <v>0</v>
      </c>
      <c r="BD418" s="12">
        <v>0</v>
      </c>
      <c r="BE418" s="12">
        <v>0</v>
      </c>
      <c r="BF418" s="12">
        <v>0</v>
      </c>
    </row>
    <row r="419" spans="1:58" x14ac:dyDescent="0.25">
      <c r="A419" s="7">
        <v>4083</v>
      </c>
      <c r="B419" s="7">
        <v>7</v>
      </c>
      <c r="C419" s="7" t="s">
        <v>420</v>
      </c>
      <c r="D419" s="4">
        <v>7</v>
      </c>
      <c r="E419" s="10">
        <v>102</v>
      </c>
      <c r="F419" s="8">
        <f t="shared" si="148"/>
        <v>2671</v>
      </c>
      <c r="G419" s="8">
        <f t="shared" si="149"/>
        <v>0</v>
      </c>
      <c r="H419" s="8">
        <f t="shared" si="150"/>
        <v>0</v>
      </c>
      <c r="I419" s="8">
        <f t="shared" si="151"/>
        <v>-164</v>
      </c>
      <c r="J419" s="8">
        <f t="shared" si="152"/>
        <v>2507</v>
      </c>
      <c r="K419" s="8">
        <f t="shared" si="153"/>
        <v>671.60000000000036</v>
      </c>
      <c r="L419" s="8">
        <f t="shared" si="154"/>
        <v>3178.6000000000004</v>
      </c>
      <c r="M419" s="8">
        <f t="shared" si="155"/>
        <v>24.578431372549019</v>
      </c>
      <c r="N419" s="8">
        <f t="shared" si="156"/>
        <v>2550</v>
      </c>
      <c r="O419" s="8">
        <f t="shared" si="157"/>
        <v>0</v>
      </c>
      <c r="P419" s="8">
        <f t="shared" si="158"/>
        <v>46</v>
      </c>
      <c r="Q419" s="8">
        <f t="shared" si="159"/>
        <v>64</v>
      </c>
      <c r="R419" s="8">
        <f t="shared" si="160"/>
        <v>11</v>
      </c>
      <c r="S419" s="8">
        <f t="shared" si="161"/>
        <v>0</v>
      </c>
      <c r="T419" s="8">
        <f t="shared" si="162"/>
        <v>0</v>
      </c>
      <c r="U419" s="8">
        <f t="shared" si="163"/>
        <v>0</v>
      </c>
      <c r="V419" s="8">
        <f t="shared" si="164"/>
        <v>1</v>
      </c>
      <c r="W419" s="8">
        <f t="shared" si="165"/>
        <v>-165</v>
      </c>
      <c r="X419" s="8">
        <f t="shared" si="166"/>
        <v>2507</v>
      </c>
      <c r="Y419" s="10">
        <v>592212</v>
      </c>
      <c r="Z419" s="10">
        <v>0</v>
      </c>
      <c r="AA419" s="10">
        <v>10873</v>
      </c>
      <c r="AB419" s="10">
        <v>12716</v>
      </c>
      <c r="AC419" s="10">
        <v>2774</v>
      </c>
      <c r="AD419" s="10">
        <v>0</v>
      </c>
      <c r="AE419" s="10">
        <v>23750</v>
      </c>
      <c r="AF419" s="10">
        <v>0</v>
      </c>
      <c r="AG419" s="10">
        <v>11929</v>
      </c>
      <c r="AH419" s="10">
        <f t="shared" si="167"/>
        <v>-5728.5699999999488</v>
      </c>
      <c r="AI419" s="10">
        <v>648525.43000000005</v>
      </c>
      <c r="AJ419" s="10">
        <v>594762</v>
      </c>
      <c r="AK419" s="10">
        <v>0</v>
      </c>
      <c r="AL419" s="10">
        <v>10919</v>
      </c>
      <c r="AM419" s="10">
        <v>12780</v>
      </c>
      <c r="AN419" s="10">
        <v>2785</v>
      </c>
      <c r="AO419" s="10">
        <v>0</v>
      </c>
      <c r="AP419" s="10">
        <v>23750</v>
      </c>
      <c r="AQ419" s="10">
        <v>0</v>
      </c>
      <c r="AR419" s="10">
        <v>11930</v>
      </c>
      <c r="AS419" s="10">
        <f t="shared" si="147"/>
        <v>-5893.5699999999488</v>
      </c>
      <c r="AT419" s="10">
        <v>651032.43000000005</v>
      </c>
      <c r="AU419" s="12">
        <v>0</v>
      </c>
      <c r="AV419" s="12">
        <v>0</v>
      </c>
      <c r="AW419" s="12">
        <v>1262.125</v>
      </c>
      <c r="AX419" s="12">
        <f t="shared" si="168"/>
        <v>1262.125</v>
      </c>
      <c r="AY419" s="12">
        <v>0</v>
      </c>
      <c r="AZ419" s="12">
        <v>0</v>
      </c>
      <c r="BA419" s="12">
        <v>1933.7249999999999</v>
      </c>
      <c r="BB419" s="12">
        <f t="shared" si="169"/>
        <v>1933.7249999999999</v>
      </c>
      <c r="BC419" s="12">
        <v>0</v>
      </c>
      <c r="BD419" s="12">
        <v>0</v>
      </c>
      <c r="BE419" s="12">
        <v>671.60000000000036</v>
      </c>
      <c r="BF419" s="12">
        <v>671.60000000000036</v>
      </c>
    </row>
    <row r="420" spans="1:58" x14ac:dyDescent="0.25">
      <c r="A420" s="7">
        <v>4084</v>
      </c>
      <c r="B420" s="7">
        <v>7</v>
      </c>
      <c r="C420" s="7" t="s">
        <v>421</v>
      </c>
      <c r="D420" s="4">
        <v>7</v>
      </c>
      <c r="E420" s="10">
        <v>351</v>
      </c>
      <c r="F420" s="8">
        <f t="shared" si="148"/>
        <v>9530.75</v>
      </c>
      <c r="G420" s="8">
        <f t="shared" si="149"/>
        <v>6776.88</v>
      </c>
      <c r="H420" s="8">
        <f t="shared" si="150"/>
        <v>0</v>
      </c>
      <c r="I420" s="8">
        <f t="shared" si="151"/>
        <v>0.99999999988813215</v>
      </c>
      <c r="J420" s="8">
        <f t="shared" si="152"/>
        <v>16308.629999999888</v>
      </c>
      <c r="K420" s="8">
        <f t="shared" si="153"/>
        <v>2382.8000000000029</v>
      </c>
      <c r="L420" s="8">
        <f t="shared" si="154"/>
        <v>18691.429999999891</v>
      </c>
      <c r="M420" s="8">
        <f t="shared" si="155"/>
        <v>46.463333333333011</v>
      </c>
      <c r="N420" s="8">
        <f t="shared" si="156"/>
        <v>8190</v>
      </c>
      <c r="O420" s="8">
        <f t="shared" si="157"/>
        <v>31</v>
      </c>
      <c r="P420" s="8">
        <f t="shared" si="158"/>
        <v>637</v>
      </c>
      <c r="Q420" s="8">
        <f t="shared" si="159"/>
        <v>638.75</v>
      </c>
      <c r="R420" s="8">
        <f t="shared" si="160"/>
        <v>34</v>
      </c>
      <c r="S420" s="8">
        <f t="shared" si="161"/>
        <v>0</v>
      </c>
      <c r="T420" s="8">
        <f t="shared" si="162"/>
        <v>6776.88</v>
      </c>
      <c r="U420" s="8">
        <f t="shared" si="163"/>
        <v>0</v>
      </c>
      <c r="V420" s="8">
        <f t="shared" si="164"/>
        <v>1</v>
      </c>
      <c r="W420" s="8">
        <f t="shared" si="165"/>
        <v>0</v>
      </c>
      <c r="X420" s="8">
        <f t="shared" si="166"/>
        <v>16308.629999999888</v>
      </c>
      <c r="Y420" s="10">
        <v>1902046</v>
      </c>
      <c r="Z420" s="10">
        <v>7153</v>
      </c>
      <c r="AA420" s="10">
        <v>147800</v>
      </c>
      <c r="AB420" s="10">
        <v>126907</v>
      </c>
      <c r="AC420" s="10">
        <v>8909</v>
      </c>
      <c r="AD420" s="10">
        <v>0</v>
      </c>
      <c r="AE420" s="10">
        <v>0</v>
      </c>
      <c r="AF420" s="10">
        <v>0</v>
      </c>
      <c r="AG420" s="10">
        <v>38314</v>
      </c>
      <c r="AH420" s="10">
        <f t="shared" si="167"/>
        <v>145255.24000000022</v>
      </c>
      <c r="AI420" s="10">
        <v>2376384.2400000002</v>
      </c>
      <c r="AJ420" s="10">
        <v>1910236</v>
      </c>
      <c r="AK420" s="10">
        <v>7184</v>
      </c>
      <c r="AL420" s="10">
        <v>148437</v>
      </c>
      <c r="AM420" s="10">
        <v>127545.75</v>
      </c>
      <c r="AN420" s="10">
        <v>8943</v>
      </c>
      <c r="AO420" s="10">
        <v>0</v>
      </c>
      <c r="AP420" s="10">
        <v>6776.88</v>
      </c>
      <c r="AQ420" s="10">
        <v>0</v>
      </c>
      <c r="AR420" s="10">
        <v>38315</v>
      </c>
      <c r="AS420" s="10">
        <f t="shared" si="147"/>
        <v>145255.24000000022</v>
      </c>
      <c r="AT420" s="10">
        <v>2392692.87</v>
      </c>
      <c r="AU420" s="12">
        <v>0</v>
      </c>
      <c r="AV420" s="12">
        <v>0</v>
      </c>
      <c r="AW420" s="12">
        <v>4184.375</v>
      </c>
      <c r="AX420" s="12">
        <f t="shared" si="168"/>
        <v>4184.375</v>
      </c>
      <c r="AY420" s="12">
        <v>0</v>
      </c>
      <c r="AZ420" s="12">
        <v>0</v>
      </c>
      <c r="BA420" s="12">
        <v>6567.1750000000002</v>
      </c>
      <c r="BB420" s="12">
        <f t="shared" si="169"/>
        <v>6567.1750000000002</v>
      </c>
      <c r="BC420" s="12">
        <v>0</v>
      </c>
      <c r="BD420" s="12">
        <v>0</v>
      </c>
      <c r="BE420" s="12">
        <v>2382.8000000000029</v>
      </c>
      <c r="BF420" s="12">
        <v>2382.8000000000029</v>
      </c>
    </row>
    <row r="421" spans="1:58" x14ac:dyDescent="0.25">
      <c r="A421" s="7">
        <v>4085</v>
      </c>
      <c r="B421" s="7">
        <v>7</v>
      </c>
      <c r="C421" s="7" t="s">
        <v>422</v>
      </c>
      <c r="D421" s="4">
        <v>7</v>
      </c>
      <c r="E421" s="10">
        <v>180</v>
      </c>
      <c r="F421" s="8">
        <f t="shared" si="148"/>
        <v>6261</v>
      </c>
      <c r="G421" s="8">
        <f t="shared" si="149"/>
        <v>5046.42</v>
      </c>
      <c r="H421" s="8">
        <f t="shared" si="150"/>
        <v>0</v>
      </c>
      <c r="I421" s="8">
        <f t="shared" si="151"/>
        <v>0.99999999992542143</v>
      </c>
      <c r="J421" s="8">
        <f t="shared" si="152"/>
        <v>11308.419999999925</v>
      </c>
      <c r="K421" s="8">
        <f t="shared" si="153"/>
        <v>655.20000000000073</v>
      </c>
      <c r="L421" s="8">
        <f t="shared" si="154"/>
        <v>11963.619999999926</v>
      </c>
      <c r="M421" s="8">
        <f t="shared" si="155"/>
        <v>62.824555555555143</v>
      </c>
      <c r="N421" s="8">
        <f t="shared" si="156"/>
        <v>5400</v>
      </c>
      <c r="O421" s="8">
        <f t="shared" si="157"/>
        <v>210</v>
      </c>
      <c r="P421" s="8">
        <f t="shared" si="158"/>
        <v>68</v>
      </c>
      <c r="Q421" s="8">
        <f t="shared" si="159"/>
        <v>560</v>
      </c>
      <c r="R421" s="8">
        <f t="shared" si="160"/>
        <v>23</v>
      </c>
      <c r="S421" s="8">
        <f t="shared" si="161"/>
        <v>0</v>
      </c>
      <c r="T421" s="8">
        <f t="shared" si="162"/>
        <v>5046.42</v>
      </c>
      <c r="U421" s="8">
        <f t="shared" si="163"/>
        <v>0</v>
      </c>
      <c r="V421" s="8">
        <f t="shared" si="164"/>
        <v>1</v>
      </c>
      <c r="W421" s="8">
        <f t="shared" si="165"/>
        <v>0</v>
      </c>
      <c r="X421" s="8">
        <f t="shared" si="166"/>
        <v>11308.419999999925</v>
      </c>
      <c r="Y421" s="10">
        <v>1254096</v>
      </c>
      <c r="Z421" s="10">
        <v>48770</v>
      </c>
      <c r="AA421" s="10">
        <v>15768</v>
      </c>
      <c r="AB421" s="10">
        <v>111261</v>
      </c>
      <c r="AC421" s="10">
        <v>5874</v>
      </c>
      <c r="AD421" s="10">
        <v>0</v>
      </c>
      <c r="AE421" s="10">
        <v>0</v>
      </c>
      <c r="AF421" s="10">
        <v>0</v>
      </c>
      <c r="AG421" s="10">
        <v>25262</v>
      </c>
      <c r="AH421" s="10">
        <f t="shared" si="167"/>
        <v>66961.185000000056</v>
      </c>
      <c r="AI421" s="10">
        <v>1527992.1850000001</v>
      </c>
      <c r="AJ421" s="10">
        <v>1259496</v>
      </c>
      <c r="AK421" s="10">
        <v>48980</v>
      </c>
      <c r="AL421" s="10">
        <v>15836</v>
      </c>
      <c r="AM421" s="10">
        <v>111821</v>
      </c>
      <c r="AN421" s="10">
        <v>5897</v>
      </c>
      <c r="AO421" s="10">
        <v>0</v>
      </c>
      <c r="AP421" s="10">
        <v>5046.42</v>
      </c>
      <c r="AQ421" s="10">
        <v>0</v>
      </c>
      <c r="AR421" s="10">
        <v>25263</v>
      </c>
      <c r="AS421" s="10">
        <f t="shared" si="147"/>
        <v>66961.185000000056</v>
      </c>
      <c r="AT421" s="10">
        <v>1539300.605</v>
      </c>
      <c r="AU421" s="12">
        <v>0</v>
      </c>
      <c r="AV421" s="12">
        <v>0</v>
      </c>
      <c r="AW421" s="12">
        <v>1144</v>
      </c>
      <c r="AX421" s="12">
        <f t="shared" si="168"/>
        <v>1144</v>
      </c>
      <c r="AY421" s="12">
        <v>0</v>
      </c>
      <c r="AZ421" s="12">
        <v>0</v>
      </c>
      <c r="BA421" s="12">
        <v>1799.2</v>
      </c>
      <c r="BB421" s="12">
        <f t="shared" si="169"/>
        <v>1799.2</v>
      </c>
      <c r="BC421" s="12">
        <v>0</v>
      </c>
      <c r="BD421" s="12">
        <v>0</v>
      </c>
      <c r="BE421" s="12">
        <v>655.20000000000073</v>
      </c>
      <c r="BF421" s="12">
        <v>655.20000000000073</v>
      </c>
    </row>
    <row r="422" spans="1:58" x14ac:dyDescent="0.25">
      <c r="A422" s="7">
        <v>4086</v>
      </c>
      <c r="B422" s="7">
        <v>7</v>
      </c>
      <c r="C422" s="7" t="s">
        <v>423</v>
      </c>
      <c r="D422" s="4">
        <v>7</v>
      </c>
      <c r="E422" s="10">
        <v>368</v>
      </c>
      <c r="F422" s="8">
        <f t="shared" si="148"/>
        <v>12665.5</v>
      </c>
      <c r="G422" s="8">
        <f t="shared" si="149"/>
        <v>6363.14</v>
      </c>
      <c r="H422" s="8">
        <f t="shared" si="150"/>
        <v>0</v>
      </c>
      <c r="I422" s="8">
        <f t="shared" si="151"/>
        <v>2.0000000001300577</v>
      </c>
      <c r="J422" s="8">
        <f t="shared" si="152"/>
        <v>19030.64000000013</v>
      </c>
      <c r="K422" s="8">
        <f t="shared" si="153"/>
        <v>1330.8000000000029</v>
      </c>
      <c r="L422" s="8">
        <f t="shared" si="154"/>
        <v>20361.440000000133</v>
      </c>
      <c r="M422" s="8">
        <f t="shared" si="155"/>
        <v>51.713695652174266</v>
      </c>
      <c r="N422" s="8">
        <f t="shared" si="156"/>
        <v>9170</v>
      </c>
      <c r="O422" s="8">
        <f t="shared" si="157"/>
        <v>0</v>
      </c>
      <c r="P422" s="8">
        <f t="shared" si="158"/>
        <v>0</v>
      </c>
      <c r="Q422" s="8">
        <f t="shared" si="159"/>
        <v>3457.5</v>
      </c>
      <c r="R422" s="8">
        <f t="shared" si="160"/>
        <v>38</v>
      </c>
      <c r="S422" s="8">
        <f t="shared" si="161"/>
        <v>0</v>
      </c>
      <c r="T422" s="8">
        <f t="shared" si="162"/>
        <v>6363.14</v>
      </c>
      <c r="U422" s="8">
        <f t="shared" si="163"/>
        <v>0</v>
      </c>
      <c r="V422" s="8">
        <f t="shared" si="164"/>
        <v>2</v>
      </c>
      <c r="W422" s="8">
        <f t="shared" si="165"/>
        <v>0</v>
      </c>
      <c r="X422" s="8">
        <f t="shared" si="166"/>
        <v>19030.64000000013</v>
      </c>
      <c r="Y422" s="10">
        <v>2129641</v>
      </c>
      <c r="Z422" s="10">
        <v>0</v>
      </c>
      <c r="AA422" s="10">
        <v>95</v>
      </c>
      <c r="AB422" s="10">
        <v>686936</v>
      </c>
      <c r="AC422" s="10">
        <v>9975</v>
      </c>
      <c r="AD422" s="10">
        <v>0</v>
      </c>
      <c r="AE422" s="10">
        <v>0</v>
      </c>
      <c r="AF422" s="10">
        <v>0</v>
      </c>
      <c r="AG422" s="10">
        <v>42898</v>
      </c>
      <c r="AH422" s="10">
        <f t="shared" si="167"/>
        <v>111198.33000000007</v>
      </c>
      <c r="AI422" s="10">
        <v>2980743.33</v>
      </c>
      <c r="AJ422" s="10">
        <v>2138811</v>
      </c>
      <c r="AK422" s="10">
        <v>0</v>
      </c>
      <c r="AL422" s="10">
        <v>95</v>
      </c>
      <c r="AM422" s="10">
        <v>690393.5</v>
      </c>
      <c r="AN422" s="10">
        <v>10013</v>
      </c>
      <c r="AO422" s="10">
        <v>0</v>
      </c>
      <c r="AP422" s="10">
        <v>6363.14</v>
      </c>
      <c r="AQ422" s="10">
        <v>0</v>
      </c>
      <c r="AR422" s="10">
        <v>42900</v>
      </c>
      <c r="AS422" s="10">
        <f t="shared" si="147"/>
        <v>111198.33000000007</v>
      </c>
      <c r="AT422" s="10">
        <v>2999773.97</v>
      </c>
      <c r="AU422" s="12">
        <v>0</v>
      </c>
      <c r="AV422" s="12">
        <v>0</v>
      </c>
      <c r="AW422" s="12">
        <v>5189.375</v>
      </c>
      <c r="AX422" s="12">
        <f t="shared" si="168"/>
        <v>5189.375</v>
      </c>
      <c r="AY422" s="12">
        <v>0</v>
      </c>
      <c r="AZ422" s="12">
        <v>0</v>
      </c>
      <c r="BA422" s="12">
        <v>6520.1750000000002</v>
      </c>
      <c r="BB422" s="12">
        <f t="shared" si="169"/>
        <v>6520.1750000000002</v>
      </c>
      <c r="BC422" s="12">
        <v>0</v>
      </c>
      <c r="BD422" s="12">
        <v>0</v>
      </c>
      <c r="BE422" s="12">
        <v>1330.8000000000029</v>
      </c>
      <c r="BF422" s="12">
        <v>1330.8000000000029</v>
      </c>
    </row>
    <row r="423" spans="1:58" x14ac:dyDescent="0.25">
      <c r="A423" s="7">
        <v>4087</v>
      </c>
      <c r="B423" s="7">
        <v>7</v>
      </c>
      <c r="C423" s="7" t="s">
        <v>424</v>
      </c>
      <c r="D423" s="4">
        <v>7</v>
      </c>
      <c r="E423" s="10">
        <v>80</v>
      </c>
      <c r="F423" s="8">
        <f t="shared" si="148"/>
        <v>3016.5</v>
      </c>
      <c r="G423" s="8">
        <f t="shared" si="149"/>
        <v>2364.66</v>
      </c>
      <c r="H423" s="8">
        <f t="shared" si="150"/>
        <v>0</v>
      </c>
      <c r="I423" s="8">
        <f t="shared" si="151"/>
        <v>3.2741809263825417E-11</v>
      </c>
      <c r="J423" s="8">
        <f t="shared" si="152"/>
        <v>5381.1600000000326</v>
      </c>
      <c r="K423" s="8">
        <f t="shared" si="153"/>
        <v>462.80000000000018</v>
      </c>
      <c r="L423" s="8">
        <f t="shared" si="154"/>
        <v>5843.9600000000328</v>
      </c>
      <c r="M423" s="8">
        <f t="shared" si="155"/>
        <v>67.26450000000041</v>
      </c>
      <c r="N423" s="8">
        <f t="shared" si="156"/>
        <v>2400</v>
      </c>
      <c r="O423" s="8">
        <f t="shared" si="157"/>
        <v>16</v>
      </c>
      <c r="P423" s="8">
        <f t="shared" si="158"/>
        <v>0</v>
      </c>
      <c r="Q423" s="8">
        <f t="shared" si="159"/>
        <v>590.5</v>
      </c>
      <c r="R423" s="8">
        <f t="shared" si="160"/>
        <v>10</v>
      </c>
      <c r="S423" s="8">
        <f t="shared" si="161"/>
        <v>0</v>
      </c>
      <c r="T423" s="8">
        <f t="shared" si="162"/>
        <v>2364.66</v>
      </c>
      <c r="U423" s="8">
        <f t="shared" si="163"/>
        <v>0</v>
      </c>
      <c r="V423" s="8">
        <f t="shared" si="164"/>
        <v>0</v>
      </c>
      <c r="W423" s="8">
        <f t="shared" si="165"/>
        <v>0</v>
      </c>
      <c r="X423" s="8">
        <f t="shared" si="166"/>
        <v>5381.1600000000326</v>
      </c>
      <c r="Y423" s="10">
        <v>557376</v>
      </c>
      <c r="Z423" s="10">
        <v>3902</v>
      </c>
      <c r="AA423" s="10">
        <v>25</v>
      </c>
      <c r="AB423" s="10">
        <v>117321</v>
      </c>
      <c r="AC423" s="10">
        <v>2611</v>
      </c>
      <c r="AD423" s="10">
        <v>0</v>
      </c>
      <c r="AE423" s="10">
        <v>0</v>
      </c>
      <c r="AF423" s="10">
        <v>19080</v>
      </c>
      <c r="AG423" s="10">
        <v>11228</v>
      </c>
      <c r="AH423" s="10">
        <f t="shared" si="167"/>
        <v>31977.812000000034</v>
      </c>
      <c r="AI423" s="10">
        <v>743520.81200000003</v>
      </c>
      <c r="AJ423" s="10">
        <v>559776</v>
      </c>
      <c r="AK423" s="10">
        <v>3918</v>
      </c>
      <c r="AL423" s="10">
        <v>25</v>
      </c>
      <c r="AM423" s="10">
        <v>117911.5</v>
      </c>
      <c r="AN423" s="10">
        <v>2621</v>
      </c>
      <c r="AO423" s="10">
        <v>0</v>
      </c>
      <c r="AP423" s="10">
        <v>2364.66</v>
      </c>
      <c r="AQ423" s="10">
        <v>19080</v>
      </c>
      <c r="AR423" s="10">
        <v>11228</v>
      </c>
      <c r="AS423" s="10">
        <f t="shared" si="147"/>
        <v>31977.812000000034</v>
      </c>
      <c r="AT423" s="10">
        <v>748901.97200000007</v>
      </c>
      <c r="AU423" s="12">
        <v>0</v>
      </c>
      <c r="AV423" s="12">
        <v>0</v>
      </c>
      <c r="AW423" s="12">
        <v>850.25</v>
      </c>
      <c r="AX423" s="12">
        <f t="shared" si="168"/>
        <v>850.25</v>
      </c>
      <c r="AY423" s="12">
        <v>0</v>
      </c>
      <c r="AZ423" s="12">
        <v>0</v>
      </c>
      <c r="BA423" s="12">
        <v>1313.05</v>
      </c>
      <c r="BB423" s="12">
        <f t="shared" si="169"/>
        <v>1313.05</v>
      </c>
      <c r="BC423" s="12">
        <v>0</v>
      </c>
      <c r="BD423" s="12">
        <v>0</v>
      </c>
      <c r="BE423" s="12">
        <v>462.80000000000018</v>
      </c>
      <c r="BF423" s="12">
        <v>462.80000000000018</v>
      </c>
    </row>
    <row r="424" spans="1:58" x14ac:dyDescent="0.25">
      <c r="A424" s="7">
        <v>4088</v>
      </c>
      <c r="B424" s="7">
        <v>7</v>
      </c>
      <c r="C424" s="7" t="s">
        <v>425</v>
      </c>
      <c r="D424" s="4">
        <v>7</v>
      </c>
      <c r="E424" s="10">
        <v>311</v>
      </c>
      <c r="F424" s="8">
        <f t="shared" si="148"/>
        <v>11799</v>
      </c>
      <c r="G424" s="8">
        <f t="shared" si="149"/>
        <v>0</v>
      </c>
      <c r="H424" s="8">
        <f t="shared" si="150"/>
        <v>0</v>
      </c>
      <c r="I424" s="8">
        <f t="shared" si="151"/>
        <v>2</v>
      </c>
      <c r="J424" s="8">
        <f t="shared" si="152"/>
        <v>11801</v>
      </c>
      <c r="K424" s="8">
        <f t="shared" si="153"/>
        <v>375.59999999999854</v>
      </c>
      <c r="L424" s="8">
        <f t="shared" si="154"/>
        <v>12176.599999999999</v>
      </c>
      <c r="M424" s="8">
        <f t="shared" si="155"/>
        <v>37.945337620578776</v>
      </c>
      <c r="N424" s="8">
        <f t="shared" si="156"/>
        <v>7775</v>
      </c>
      <c r="O424" s="8">
        <f t="shared" si="157"/>
        <v>0</v>
      </c>
      <c r="P424" s="8">
        <f t="shared" si="158"/>
        <v>1</v>
      </c>
      <c r="Q424" s="8">
        <f t="shared" si="159"/>
        <v>3990</v>
      </c>
      <c r="R424" s="8">
        <f t="shared" si="160"/>
        <v>33</v>
      </c>
      <c r="S424" s="8">
        <f t="shared" si="161"/>
        <v>0</v>
      </c>
      <c r="T424" s="8">
        <f t="shared" si="162"/>
        <v>0</v>
      </c>
      <c r="U424" s="8">
        <f t="shared" si="163"/>
        <v>0</v>
      </c>
      <c r="V424" s="8">
        <f t="shared" si="164"/>
        <v>2</v>
      </c>
      <c r="W424" s="8">
        <f t="shared" si="165"/>
        <v>0</v>
      </c>
      <c r="X424" s="8">
        <f t="shared" si="166"/>
        <v>11801</v>
      </c>
      <c r="Y424" s="10">
        <v>1805666</v>
      </c>
      <c r="Z424" s="10">
        <v>0</v>
      </c>
      <c r="AA424" s="10">
        <v>80</v>
      </c>
      <c r="AB424" s="10">
        <v>792733</v>
      </c>
      <c r="AC424" s="10">
        <v>8457</v>
      </c>
      <c r="AD424" s="10">
        <v>0</v>
      </c>
      <c r="AE424" s="10">
        <v>66750</v>
      </c>
      <c r="AF424" s="10">
        <v>27411</v>
      </c>
      <c r="AG424" s="10">
        <v>36372</v>
      </c>
      <c r="AH424" s="10">
        <f t="shared" si="167"/>
        <v>145573.3049999997</v>
      </c>
      <c r="AI424" s="10">
        <v>2883042.3049999997</v>
      </c>
      <c r="AJ424" s="10">
        <v>1813441</v>
      </c>
      <c r="AK424" s="10">
        <v>0</v>
      </c>
      <c r="AL424" s="10">
        <v>81</v>
      </c>
      <c r="AM424" s="10">
        <v>796723</v>
      </c>
      <c r="AN424" s="10">
        <v>8490</v>
      </c>
      <c r="AO424" s="10">
        <v>0</v>
      </c>
      <c r="AP424" s="10">
        <v>66750</v>
      </c>
      <c r="AQ424" s="10">
        <v>27411</v>
      </c>
      <c r="AR424" s="10">
        <v>36374</v>
      </c>
      <c r="AS424" s="10">
        <f t="shared" si="147"/>
        <v>145573.3049999997</v>
      </c>
      <c r="AT424" s="10">
        <v>2894843.3049999997</v>
      </c>
      <c r="AU424" s="12">
        <v>0</v>
      </c>
      <c r="AV424" s="12">
        <v>0</v>
      </c>
      <c r="AW424" s="12">
        <v>5303.75</v>
      </c>
      <c r="AX424" s="12">
        <f t="shared" si="168"/>
        <v>5303.75</v>
      </c>
      <c r="AY424" s="12">
        <v>0</v>
      </c>
      <c r="AZ424" s="12">
        <v>0</v>
      </c>
      <c r="BA424" s="12">
        <v>5679.35</v>
      </c>
      <c r="BB424" s="12">
        <f t="shared" si="169"/>
        <v>5679.35</v>
      </c>
      <c r="BC424" s="12">
        <v>0</v>
      </c>
      <c r="BD424" s="12">
        <v>0</v>
      </c>
      <c r="BE424" s="12">
        <v>375.59999999999854</v>
      </c>
      <c r="BF424" s="12">
        <v>375.59999999999854</v>
      </c>
    </row>
    <row r="425" spans="1:58" x14ac:dyDescent="0.25">
      <c r="A425" s="7">
        <v>4089</v>
      </c>
      <c r="B425" s="7">
        <v>7</v>
      </c>
      <c r="C425" s="7" t="s">
        <v>426</v>
      </c>
      <c r="D425" s="4">
        <v>7</v>
      </c>
      <c r="E425" s="10">
        <v>202</v>
      </c>
      <c r="F425" s="8">
        <f t="shared" si="148"/>
        <v>5757.5</v>
      </c>
      <c r="G425" s="8">
        <f t="shared" si="149"/>
        <v>4400.1400000000003</v>
      </c>
      <c r="H425" s="8">
        <f t="shared" si="150"/>
        <v>0</v>
      </c>
      <c r="I425" s="8">
        <f t="shared" si="151"/>
        <v>-241.00000000010277</v>
      </c>
      <c r="J425" s="8">
        <f t="shared" si="152"/>
        <v>9916.6399999998976</v>
      </c>
      <c r="K425" s="8">
        <f t="shared" si="153"/>
        <v>404.79999999999927</v>
      </c>
      <c r="L425" s="8">
        <f t="shared" si="154"/>
        <v>10321.439999999897</v>
      </c>
      <c r="M425" s="8">
        <f t="shared" si="155"/>
        <v>49.092277227722263</v>
      </c>
      <c r="N425" s="8">
        <f t="shared" si="156"/>
        <v>5185</v>
      </c>
      <c r="O425" s="8">
        <f t="shared" si="157"/>
        <v>0</v>
      </c>
      <c r="P425" s="8">
        <f t="shared" si="158"/>
        <v>0</v>
      </c>
      <c r="Q425" s="8">
        <f t="shared" si="159"/>
        <v>550.5</v>
      </c>
      <c r="R425" s="8">
        <f t="shared" si="160"/>
        <v>22</v>
      </c>
      <c r="S425" s="8">
        <f t="shared" si="161"/>
        <v>0</v>
      </c>
      <c r="T425" s="8">
        <f t="shared" si="162"/>
        <v>4400.1400000000003</v>
      </c>
      <c r="U425" s="8">
        <f t="shared" si="163"/>
        <v>0</v>
      </c>
      <c r="V425" s="8">
        <f t="shared" si="164"/>
        <v>1</v>
      </c>
      <c r="W425" s="8">
        <f t="shared" si="165"/>
        <v>-242</v>
      </c>
      <c r="X425" s="8">
        <f t="shared" si="166"/>
        <v>9916.6399999998976</v>
      </c>
      <c r="Y425" s="10">
        <v>1204164</v>
      </c>
      <c r="Z425" s="10">
        <v>0</v>
      </c>
      <c r="AA425" s="10">
        <v>54</v>
      </c>
      <c r="AB425" s="10">
        <v>109373</v>
      </c>
      <c r="AC425" s="10">
        <v>5640</v>
      </c>
      <c r="AD425" s="10">
        <v>0</v>
      </c>
      <c r="AE425" s="10">
        <v>0</v>
      </c>
      <c r="AF425" s="10">
        <v>18385</v>
      </c>
      <c r="AG425" s="10">
        <v>24256</v>
      </c>
      <c r="AH425" s="10">
        <f t="shared" si="167"/>
        <v>6724.3500000000931</v>
      </c>
      <c r="AI425" s="10">
        <v>1368596.35</v>
      </c>
      <c r="AJ425" s="10">
        <v>1209349</v>
      </c>
      <c r="AK425" s="10">
        <v>0</v>
      </c>
      <c r="AL425" s="10">
        <v>54</v>
      </c>
      <c r="AM425" s="10">
        <v>109923.5</v>
      </c>
      <c r="AN425" s="10">
        <v>5662</v>
      </c>
      <c r="AO425" s="10">
        <v>0</v>
      </c>
      <c r="AP425" s="10">
        <v>4400.1400000000003</v>
      </c>
      <c r="AQ425" s="10">
        <v>18385</v>
      </c>
      <c r="AR425" s="10">
        <v>24257</v>
      </c>
      <c r="AS425" s="10">
        <f t="shared" si="147"/>
        <v>6482.3500000000931</v>
      </c>
      <c r="AT425" s="10">
        <v>1378512.99</v>
      </c>
      <c r="AU425" s="12">
        <v>0</v>
      </c>
      <c r="AV425" s="12">
        <v>0</v>
      </c>
      <c r="AW425" s="12">
        <v>1635.375</v>
      </c>
      <c r="AX425" s="12">
        <f t="shared" si="168"/>
        <v>1635.375</v>
      </c>
      <c r="AY425" s="12">
        <v>0</v>
      </c>
      <c r="AZ425" s="12">
        <v>0</v>
      </c>
      <c r="BA425" s="12">
        <v>2040.175</v>
      </c>
      <c r="BB425" s="12">
        <f t="shared" si="169"/>
        <v>2040.175</v>
      </c>
      <c r="BC425" s="12">
        <v>0</v>
      </c>
      <c r="BD425" s="12">
        <v>0</v>
      </c>
      <c r="BE425" s="12">
        <v>404.79999999999927</v>
      </c>
      <c r="BF425" s="12">
        <v>404.79999999999927</v>
      </c>
    </row>
    <row r="426" spans="1:58" x14ac:dyDescent="0.25">
      <c r="A426" s="7">
        <v>4090</v>
      </c>
      <c r="B426" s="7">
        <v>7</v>
      </c>
      <c r="C426" s="7" t="s">
        <v>427</v>
      </c>
      <c r="D426" s="4">
        <v>7</v>
      </c>
      <c r="E426" s="10">
        <v>182</v>
      </c>
      <c r="F426" s="8">
        <f t="shared" si="148"/>
        <v>4666</v>
      </c>
      <c r="G426" s="8">
        <f t="shared" si="149"/>
        <v>4406.18</v>
      </c>
      <c r="H426" s="8">
        <f t="shared" si="150"/>
        <v>0</v>
      </c>
      <c r="I426" s="8">
        <f t="shared" si="151"/>
        <v>-280.00000000006548</v>
      </c>
      <c r="J426" s="8">
        <f t="shared" si="152"/>
        <v>8792.1799999999348</v>
      </c>
      <c r="K426" s="8">
        <f t="shared" si="153"/>
        <v>510.39999999999964</v>
      </c>
      <c r="L426" s="8">
        <f t="shared" si="154"/>
        <v>9302.5799999999344</v>
      </c>
      <c r="M426" s="8">
        <f t="shared" si="155"/>
        <v>48.308681318680961</v>
      </c>
      <c r="N426" s="8">
        <f t="shared" si="156"/>
        <v>4550</v>
      </c>
      <c r="O426" s="8">
        <f t="shared" si="157"/>
        <v>0</v>
      </c>
      <c r="P426" s="8">
        <f t="shared" si="158"/>
        <v>69</v>
      </c>
      <c r="Q426" s="8">
        <f t="shared" si="159"/>
        <v>28</v>
      </c>
      <c r="R426" s="8">
        <f t="shared" si="160"/>
        <v>19</v>
      </c>
      <c r="S426" s="8">
        <f t="shared" si="161"/>
        <v>0</v>
      </c>
      <c r="T426" s="8">
        <f t="shared" si="162"/>
        <v>4406.18</v>
      </c>
      <c r="U426" s="8">
        <f t="shared" si="163"/>
        <v>0</v>
      </c>
      <c r="V426" s="8">
        <f t="shared" si="164"/>
        <v>1</v>
      </c>
      <c r="W426" s="8">
        <f t="shared" si="165"/>
        <v>-281</v>
      </c>
      <c r="X426" s="8">
        <f t="shared" si="166"/>
        <v>8792.1799999999348</v>
      </c>
      <c r="Y426" s="10">
        <v>1056692</v>
      </c>
      <c r="Z426" s="10">
        <v>0</v>
      </c>
      <c r="AA426" s="10">
        <v>15821</v>
      </c>
      <c r="AB426" s="10">
        <v>5563</v>
      </c>
      <c r="AC426" s="10">
        <v>4949</v>
      </c>
      <c r="AD426" s="10">
        <v>0</v>
      </c>
      <c r="AE426" s="10">
        <v>0</v>
      </c>
      <c r="AF426" s="10">
        <v>0</v>
      </c>
      <c r="AG426" s="10">
        <v>21285</v>
      </c>
      <c r="AH426" s="10">
        <f t="shared" si="167"/>
        <v>924.18999999994412</v>
      </c>
      <c r="AI426" s="10">
        <v>1105234.19</v>
      </c>
      <c r="AJ426" s="10">
        <v>1061242</v>
      </c>
      <c r="AK426" s="10">
        <v>0</v>
      </c>
      <c r="AL426" s="10">
        <v>15890</v>
      </c>
      <c r="AM426" s="10">
        <v>5591</v>
      </c>
      <c r="AN426" s="10">
        <v>4968</v>
      </c>
      <c r="AO426" s="10">
        <v>0</v>
      </c>
      <c r="AP426" s="10">
        <v>4406.18</v>
      </c>
      <c r="AQ426" s="10">
        <v>0</v>
      </c>
      <c r="AR426" s="10">
        <v>21286</v>
      </c>
      <c r="AS426" s="10">
        <f t="shared" si="147"/>
        <v>643.18999999994412</v>
      </c>
      <c r="AT426" s="10">
        <v>1114026.3699999999</v>
      </c>
      <c r="AU426" s="12">
        <v>0</v>
      </c>
      <c r="AV426" s="12">
        <v>0</v>
      </c>
      <c r="AW426" s="12">
        <v>1495</v>
      </c>
      <c r="AX426" s="12">
        <f t="shared" si="168"/>
        <v>1495</v>
      </c>
      <c r="AY426" s="12">
        <v>0</v>
      </c>
      <c r="AZ426" s="12">
        <v>0</v>
      </c>
      <c r="BA426" s="12">
        <v>2005.4</v>
      </c>
      <c r="BB426" s="12">
        <f t="shared" si="169"/>
        <v>2005.4</v>
      </c>
      <c r="BC426" s="12">
        <v>0</v>
      </c>
      <c r="BD426" s="12">
        <v>0</v>
      </c>
      <c r="BE426" s="12">
        <v>510.39999999999964</v>
      </c>
      <c r="BF426" s="12">
        <v>510.39999999999964</v>
      </c>
    </row>
    <row r="427" spans="1:58" x14ac:dyDescent="0.25">
      <c r="A427" s="7">
        <v>4091</v>
      </c>
      <c r="B427" s="7">
        <v>7</v>
      </c>
      <c r="C427" s="7" t="s">
        <v>428</v>
      </c>
      <c r="D427" s="4">
        <v>7</v>
      </c>
      <c r="E427" s="10">
        <v>120</v>
      </c>
      <c r="F427" s="8">
        <f t="shared" si="148"/>
        <v>3671.75</v>
      </c>
      <c r="G427" s="8">
        <f t="shared" si="149"/>
        <v>0</v>
      </c>
      <c r="H427" s="8">
        <f t="shared" si="150"/>
        <v>0</v>
      </c>
      <c r="I427" s="8">
        <f t="shared" si="151"/>
        <v>-215</v>
      </c>
      <c r="J427" s="8">
        <f t="shared" si="152"/>
        <v>3456.75</v>
      </c>
      <c r="K427" s="8">
        <f t="shared" si="153"/>
        <v>275.19999999999982</v>
      </c>
      <c r="L427" s="8">
        <f t="shared" si="154"/>
        <v>3731.95</v>
      </c>
      <c r="M427" s="8">
        <f t="shared" si="155"/>
        <v>28.806249999999999</v>
      </c>
      <c r="N427" s="8">
        <f t="shared" si="156"/>
        <v>3510</v>
      </c>
      <c r="O427" s="8">
        <f t="shared" si="157"/>
        <v>0</v>
      </c>
      <c r="P427" s="8">
        <f t="shared" si="158"/>
        <v>53</v>
      </c>
      <c r="Q427" s="8">
        <f t="shared" si="159"/>
        <v>93.75</v>
      </c>
      <c r="R427" s="8">
        <f t="shared" si="160"/>
        <v>15</v>
      </c>
      <c r="S427" s="8">
        <f t="shared" si="161"/>
        <v>0</v>
      </c>
      <c r="T427" s="8">
        <f t="shared" si="162"/>
        <v>0</v>
      </c>
      <c r="U427" s="8">
        <f t="shared" si="163"/>
        <v>0</v>
      </c>
      <c r="V427" s="8">
        <f t="shared" si="164"/>
        <v>1</v>
      </c>
      <c r="W427" s="8">
        <f t="shared" si="165"/>
        <v>-216</v>
      </c>
      <c r="X427" s="8">
        <f t="shared" si="166"/>
        <v>3456.75</v>
      </c>
      <c r="Y427" s="10">
        <v>815162</v>
      </c>
      <c r="Z427" s="10">
        <v>0</v>
      </c>
      <c r="AA427" s="10">
        <v>12205</v>
      </c>
      <c r="AB427" s="10">
        <v>18626</v>
      </c>
      <c r="AC427" s="10">
        <v>3818</v>
      </c>
      <c r="AD427" s="10">
        <v>0</v>
      </c>
      <c r="AE427" s="10">
        <v>30000</v>
      </c>
      <c r="AF427" s="10">
        <v>0</v>
      </c>
      <c r="AG427" s="10">
        <v>16420</v>
      </c>
      <c r="AH427" s="10">
        <f t="shared" si="167"/>
        <v>-1294.9100000000326</v>
      </c>
      <c r="AI427" s="10">
        <v>894936.09</v>
      </c>
      <c r="AJ427" s="10">
        <v>818672</v>
      </c>
      <c r="AK427" s="10">
        <v>0</v>
      </c>
      <c r="AL427" s="10">
        <v>12258</v>
      </c>
      <c r="AM427" s="10">
        <v>18719.75</v>
      </c>
      <c r="AN427" s="10">
        <v>3833</v>
      </c>
      <c r="AO427" s="10">
        <v>0</v>
      </c>
      <c r="AP427" s="10">
        <v>30000</v>
      </c>
      <c r="AQ427" s="10">
        <v>0</v>
      </c>
      <c r="AR427" s="10">
        <v>16421</v>
      </c>
      <c r="AS427" s="10">
        <f t="shared" si="147"/>
        <v>-1510.9100000000326</v>
      </c>
      <c r="AT427" s="10">
        <v>898392.84</v>
      </c>
      <c r="AU427" s="12">
        <v>0</v>
      </c>
      <c r="AV427" s="12">
        <v>0</v>
      </c>
      <c r="AW427" s="12">
        <v>678.875</v>
      </c>
      <c r="AX427" s="12">
        <f t="shared" si="168"/>
        <v>678.875</v>
      </c>
      <c r="AY427" s="12">
        <v>0</v>
      </c>
      <c r="AZ427" s="12">
        <v>0</v>
      </c>
      <c r="BA427" s="12">
        <v>954.07500000000005</v>
      </c>
      <c r="BB427" s="12">
        <f t="shared" si="169"/>
        <v>954.07500000000005</v>
      </c>
      <c r="BC427" s="12">
        <v>0</v>
      </c>
      <c r="BD427" s="12">
        <v>0</v>
      </c>
      <c r="BE427" s="12">
        <v>275.19999999999982</v>
      </c>
      <c r="BF427" s="12">
        <v>275.19999999999982</v>
      </c>
    </row>
    <row r="428" spans="1:58" x14ac:dyDescent="0.25">
      <c r="A428" s="7">
        <v>4092</v>
      </c>
      <c r="B428" s="7">
        <v>7</v>
      </c>
      <c r="C428" s="7" t="s">
        <v>429</v>
      </c>
      <c r="D428" s="4">
        <v>7</v>
      </c>
      <c r="E428" s="10">
        <v>71</v>
      </c>
      <c r="F428" s="8">
        <f t="shared" si="148"/>
        <v>2389.25</v>
      </c>
      <c r="G428" s="8">
        <f t="shared" si="149"/>
        <v>2114</v>
      </c>
      <c r="H428" s="8">
        <f t="shared" si="150"/>
        <v>0</v>
      </c>
      <c r="I428" s="8">
        <f t="shared" si="151"/>
        <v>1</v>
      </c>
      <c r="J428" s="8">
        <f t="shared" si="152"/>
        <v>4504.25</v>
      </c>
      <c r="K428" s="8">
        <f t="shared" si="153"/>
        <v>4.3999999999996362</v>
      </c>
      <c r="L428" s="8">
        <f t="shared" si="154"/>
        <v>4508.6499999999996</v>
      </c>
      <c r="M428" s="8">
        <f t="shared" si="155"/>
        <v>63.440140845070424</v>
      </c>
      <c r="N428" s="8">
        <f t="shared" si="156"/>
        <v>2130</v>
      </c>
      <c r="O428" s="8">
        <f t="shared" si="157"/>
        <v>0</v>
      </c>
      <c r="P428" s="8">
        <f t="shared" si="158"/>
        <v>0</v>
      </c>
      <c r="Q428" s="8">
        <f t="shared" si="159"/>
        <v>250.25</v>
      </c>
      <c r="R428" s="8">
        <f t="shared" si="160"/>
        <v>9</v>
      </c>
      <c r="S428" s="8">
        <f t="shared" si="161"/>
        <v>0</v>
      </c>
      <c r="T428" s="8">
        <f t="shared" si="162"/>
        <v>2114</v>
      </c>
      <c r="U428" s="8">
        <f t="shared" si="163"/>
        <v>0</v>
      </c>
      <c r="V428" s="8">
        <f t="shared" si="164"/>
        <v>1</v>
      </c>
      <c r="W428" s="8">
        <f t="shared" si="165"/>
        <v>0</v>
      </c>
      <c r="X428" s="8">
        <f t="shared" si="166"/>
        <v>4504.25</v>
      </c>
      <c r="Y428" s="10">
        <v>494671</v>
      </c>
      <c r="Z428" s="10">
        <v>0</v>
      </c>
      <c r="AA428" s="10">
        <v>22</v>
      </c>
      <c r="AB428" s="10">
        <v>49720</v>
      </c>
      <c r="AC428" s="10">
        <v>2317</v>
      </c>
      <c r="AD428" s="10">
        <v>0</v>
      </c>
      <c r="AE428" s="10">
        <v>0</v>
      </c>
      <c r="AF428" s="10">
        <v>0</v>
      </c>
      <c r="AG428" s="10">
        <v>9964</v>
      </c>
      <c r="AH428" s="10">
        <f t="shared" si="167"/>
        <v>26645.439999999944</v>
      </c>
      <c r="AI428" s="10">
        <v>583339.43999999994</v>
      </c>
      <c r="AJ428" s="10">
        <v>496801</v>
      </c>
      <c r="AK428" s="10">
        <v>0</v>
      </c>
      <c r="AL428" s="10">
        <v>22</v>
      </c>
      <c r="AM428" s="10">
        <v>49970.25</v>
      </c>
      <c r="AN428" s="10">
        <v>2326</v>
      </c>
      <c r="AO428" s="10">
        <v>0</v>
      </c>
      <c r="AP428" s="10">
        <v>2114</v>
      </c>
      <c r="AQ428" s="10">
        <v>0</v>
      </c>
      <c r="AR428" s="10">
        <v>9965</v>
      </c>
      <c r="AS428" s="10">
        <f t="shared" si="147"/>
        <v>26645.439999999944</v>
      </c>
      <c r="AT428" s="10">
        <v>587843.68999999994</v>
      </c>
      <c r="AU428" s="12">
        <v>0</v>
      </c>
      <c r="AV428" s="12">
        <v>0</v>
      </c>
      <c r="AW428" s="12">
        <v>550.75</v>
      </c>
      <c r="AX428" s="12">
        <f t="shared" si="168"/>
        <v>550.75</v>
      </c>
      <c r="AY428" s="12">
        <v>0</v>
      </c>
      <c r="AZ428" s="12">
        <v>0</v>
      </c>
      <c r="BA428" s="12">
        <v>555.15</v>
      </c>
      <c r="BB428" s="12">
        <f t="shared" si="169"/>
        <v>555.15</v>
      </c>
      <c r="BC428" s="12">
        <v>0</v>
      </c>
      <c r="BD428" s="12">
        <v>0</v>
      </c>
      <c r="BE428" s="12">
        <v>4.3999999999996362</v>
      </c>
      <c r="BF428" s="12">
        <v>4.3999999999996362</v>
      </c>
    </row>
    <row r="429" spans="1:58" x14ac:dyDescent="0.25">
      <c r="A429" s="7">
        <v>4093</v>
      </c>
      <c r="B429" s="7">
        <v>7</v>
      </c>
      <c r="C429" s="7" t="s">
        <v>430</v>
      </c>
      <c r="D429" s="4">
        <v>7</v>
      </c>
      <c r="E429" s="10">
        <v>150</v>
      </c>
      <c r="F429" s="8">
        <f t="shared" si="148"/>
        <v>5218.5</v>
      </c>
      <c r="G429" s="8">
        <f t="shared" si="149"/>
        <v>4650.8</v>
      </c>
      <c r="H429" s="8">
        <f t="shared" si="150"/>
        <v>0</v>
      </c>
      <c r="I429" s="8">
        <f t="shared" si="151"/>
        <v>-283.99999999995362</v>
      </c>
      <c r="J429" s="8">
        <f t="shared" si="152"/>
        <v>9585.3000000000466</v>
      </c>
      <c r="K429" s="8">
        <f t="shared" si="153"/>
        <v>578</v>
      </c>
      <c r="L429" s="8">
        <f t="shared" si="154"/>
        <v>10163.300000000047</v>
      </c>
      <c r="M429" s="8">
        <f t="shared" si="155"/>
        <v>63.902000000000314</v>
      </c>
      <c r="N429" s="8">
        <f t="shared" si="156"/>
        <v>4500</v>
      </c>
      <c r="O429" s="8">
        <f t="shared" si="157"/>
        <v>0</v>
      </c>
      <c r="P429" s="8">
        <f t="shared" si="158"/>
        <v>75</v>
      </c>
      <c r="Q429" s="8">
        <f t="shared" si="159"/>
        <v>624.5</v>
      </c>
      <c r="R429" s="8">
        <f t="shared" si="160"/>
        <v>19</v>
      </c>
      <c r="S429" s="8">
        <f t="shared" si="161"/>
        <v>0</v>
      </c>
      <c r="T429" s="8">
        <f t="shared" si="162"/>
        <v>4650.8</v>
      </c>
      <c r="U429" s="8">
        <f t="shared" si="163"/>
        <v>0</v>
      </c>
      <c r="V429" s="8">
        <f t="shared" si="164"/>
        <v>0</v>
      </c>
      <c r="W429" s="8">
        <f t="shared" si="165"/>
        <v>-284</v>
      </c>
      <c r="X429" s="8">
        <f t="shared" si="166"/>
        <v>9585.3000000000466</v>
      </c>
      <c r="Y429" s="10">
        <v>1045080</v>
      </c>
      <c r="Z429" s="10">
        <v>0</v>
      </c>
      <c r="AA429" s="10">
        <v>17467</v>
      </c>
      <c r="AB429" s="10">
        <v>124076</v>
      </c>
      <c r="AC429" s="10">
        <v>4895</v>
      </c>
      <c r="AD429" s="10">
        <v>0</v>
      </c>
      <c r="AE429" s="10">
        <v>0</v>
      </c>
      <c r="AF429" s="10">
        <v>0</v>
      </c>
      <c r="AG429" s="10">
        <v>21052</v>
      </c>
      <c r="AH429" s="10">
        <f t="shared" si="167"/>
        <v>76871.860000000102</v>
      </c>
      <c r="AI429" s="10">
        <v>1289441.8600000001</v>
      </c>
      <c r="AJ429" s="10">
        <v>1049580</v>
      </c>
      <c r="AK429" s="10">
        <v>0</v>
      </c>
      <c r="AL429" s="10">
        <v>17542</v>
      </c>
      <c r="AM429" s="10">
        <v>124700.5</v>
      </c>
      <c r="AN429" s="10">
        <v>4914</v>
      </c>
      <c r="AO429" s="10">
        <v>0</v>
      </c>
      <c r="AP429" s="10">
        <v>4650.8</v>
      </c>
      <c r="AQ429" s="10">
        <v>0</v>
      </c>
      <c r="AR429" s="10">
        <v>21052</v>
      </c>
      <c r="AS429" s="10">
        <f t="shared" si="147"/>
        <v>76587.860000000102</v>
      </c>
      <c r="AT429" s="10">
        <v>1299027.1600000001</v>
      </c>
      <c r="AU429" s="12">
        <v>0</v>
      </c>
      <c r="AV429" s="12">
        <v>0</v>
      </c>
      <c r="AW429" s="12">
        <v>1693.75</v>
      </c>
      <c r="AX429" s="12">
        <f t="shared" si="168"/>
        <v>1693.75</v>
      </c>
      <c r="AY429" s="12">
        <v>0</v>
      </c>
      <c r="AZ429" s="12">
        <v>0</v>
      </c>
      <c r="BA429" s="12">
        <v>2271.75</v>
      </c>
      <c r="BB429" s="12">
        <f t="shared" si="169"/>
        <v>2271.75</v>
      </c>
      <c r="BC429" s="12">
        <v>0</v>
      </c>
      <c r="BD429" s="12">
        <v>0</v>
      </c>
      <c r="BE429" s="12">
        <v>578</v>
      </c>
      <c r="BF429" s="12">
        <v>578</v>
      </c>
    </row>
    <row r="430" spans="1:58" x14ac:dyDescent="0.25">
      <c r="A430" s="7">
        <v>4095</v>
      </c>
      <c r="B430" s="7">
        <v>7</v>
      </c>
      <c r="C430" s="7" t="s">
        <v>431</v>
      </c>
      <c r="D430" s="4">
        <v>7</v>
      </c>
      <c r="E430" s="10">
        <v>148</v>
      </c>
      <c r="F430" s="8">
        <f t="shared" si="148"/>
        <v>4825.5</v>
      </c>
      <c r="G430" s="8">
        <f t="shared" si="149"/>
        <v>0</v>
      </c>
      <c r="H430" s="8">
        <f t="shared" si="150"/>
        <v>0</v>
      </c>
      <c r="I430" s="8">
        <f t="shared" si="151"/>
        <v>-273</v>
      </c>
      <c r="J430" s="8">
        <f t="shared" si="152"/>
        <v>4552.5</v>
      </c>
      <c r="K430" s="8">
        <f t="shared" si="153"/>
        <v>0</v>
      </c>
      <c r="L430" s="8">
        <f t="shared" si="154"/>
        <v>4552.5</v>
      </c>
      <c r="M430" s="8">
        <f t="shared" si="155"/>
        <v>30.760135135135137</v>
      </c>
      <c r="N430" s="8">
        <f t="shared" si="156"/>
        <v>4440</v>
      </c>
      <c r="O430" s="8">
        <f t="shared" si="157"/>
        <v>0</v>
      </c>
      <c r="P430" s="8">
        <f t="shared" si="158"/>
        <v>67</v>
      </c>
      <c r="Q430" s="8">
        <f t="shared" si="159"/>
        <v>300.5</v>
      </c>
      <c r="R430" s="8">
        <f t="shared" si="160"/>
        <v>18</v>
      </c>
      <c r="S430" s="8">
        <f t="shared" si="161"/>
        <v>0</v>
      </c>
      <c r="T430" s="8">
        <f t="shared" si="162"/>
        <v>0</v>
      </c>
      <c r="U430" s="8">
        <f t="shared" si="163"/>
        <v>0</v>
      </c>
      <c r="V430" s="8">
        <f t="shared" si="164"/>
        <v>1</v>
      </c>
      <c r="W430" s="8">
        <f t="shared" si="165"/>
        <v>-274</v>
      </c>
      <c r="X430" s="8">
        <f t="shared" si="166"/>
        <v>4552.5</v>
      </c>
      <c r="Y430" s="10">
        <v>1031146</v>
      </c>
      <c r="Z430" s="10">
        <v>0</v>
      </c>
      <c r="AA430" s="10">
        <v>15542</v>
      </c>
      <c r="AB430" s="10">
        <v>59703</v>
      </c>
      <c r="AC430" s="10">
        <v>4830</v>
      </c>
      <c r="AD430" s="10">
        <v>0</v>
      </c>
      <c r="AE430" s="10">
        <v>33000</v>
      </c>
      <c r="AF430" s="10">
        <v>0</v>
      </c>
      <c r="AG430" s="10">
        <v>20771</v>
      </c>
      <c r="AH430" s="10">
        <f t="shared" si="167"/>
        <v>-4388.3000000000466</v>
      </c>
      <c r="AI430" s="10">
        <v>1160603.7</v>
      </c>
      <c r="AJ430" s="10">
        <v>1035586</v>
      </c>
      <c r="AK430" s="10">
        <v>0</v>
      </c>
      <c r="AL430" s="10">
        <v>15609</v>
      </c>
      <c r="AM430" s="10">
        <v>60003.5</v>
      </c>
      <c r="AN430" s="10">
        <v>4848</v>
      </c>
      <c r="AO430" s="10">
        <v>0</v>
      </c>
      <c r="AP430" s="10">
        <v>33000</v>
      </c>
      <c r="AQ430" s="10">
        <v>0</v>
      </c>
      <c r="AR430" s="10">
        <v>20772</v>
      </c>
      <c r="AS430" s="10">
        <f t="shared" si="147"/>
        <v>-4662.3000000000466</v>
      </c>
      <c r="AT430" s="10">
        <v>1165156.2</v>
      </c>
      <c r="AU430" s="12">
        <v>0</v>
      </c>
      <c r="AV430" s="12">
        <v>0</v>
      </c>
      <c r="AW430" s="12">
        <v>0</v>
      </c>
      <c r="AX430" s="12">
        <f t="shared" si="168"/>
        <v>0</v>
      </c>
      <c r="AY430" s="12">
        <v>0</v>
      </c>
      <c r="AZ430" s="12">
        <v>0</v>
      </c>
      <c r="BA430" s="12">
        <v>0</v>
      </c>
      <c r="BB430" s="12">
        <f t="shared" si="169"/>
        <v>0</v>
      </c>
      <c r="BC430" s="12">
        <v>0</v>
      </c>
      <c r="BD430" s="12">
        <v>0</v>
      </c>
      <c r="BE430" s="12">
        <v>0</v>
      </c>
      <c r="BF430" s="12">
        <v>0</v>
      </c>
    </row>
    <row r="431" spans="1:58" x14ac:dyDescent="0.25">
      <c r="A431" s="7">
        <v>4096</v>
      </c>
      <c r="B431" s="7">
        <v>7</v>
      </c>
      <c r="C431" s="7" t="s">
        <v>432</v>
      </c>
      <c r="D431" s="4">
        <v>7</v>
      </c>
      <c r="E431" s="10">
        <v>0</v>
      </c>
      <c r="F431" s="8">
        <f t="shared" si="148"/>
        <v>0</v>
      </c>
      <c r="G431" s="8">
        <f t="shared" si="149"/>
        <v>0</v>
      </c>
      <c r="H431" s="8">
        <f t="shared" si="150"/>
        <v>0</v>
      </c>
      <c r="I431" s="8">
        <f t="shared" si="151"/>
        <v>0</v>
      </c>
      <c r="J431" s="8">
        <f t="shared" si="152"/>
        <v>0</v>
      </c>
      <c r="K431" s="8">
        <f t="shared" si="153"/>
        <v>0</v>
      </c>
      <c r="L431" s="8">
        <f t="shared" si="154"/>
        <v>0</v>
      </c>
      <c r="M431" s="8">
        <f t="shared" si="155"/>
        <v>0</v>
      </c>
      <c r="N431" s="8">
        <f t="shared" si="156"/>
        <v>0</v>
      </c>
      <c r="O431" s="8">
        <f t="shared" si="157"/>
        <v>0</v>
      </c>
      <c r="P431" s="8">
        <f t="shared" si="158"/>
        <v>0</v>
      </c>
      <c r="Q431" s="8">
        <f t="shared" si="159"/>
        <v>0</v>
      </c>
      <c r="R431" s="8">
        <f t="shared" si="160"/>
        <v>0</v>
      </c>
      <c r="S431" s="8">
        <f t="shared" si="161"/>
        <v>0</v>
      </c>
      <c r="T431" s="8">
        <f t="shared" si="162"/>
        <v>0</v>
      </c>
      <c r="U431" s="8">
        <f t="shared" si="163"/>
        <v>0</v>
      </c>
      <c r="V431" s="8">
        <f t="shared" si="164"/>
        <v>0</v>
      </c>
      <c r="W431" s="8">
        <f t="shared" si="165"/>
        <v>0</v>
      </c>
      <c r="X431" s="8">
        <f t="shared" si="166"/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  <c r="AG431" s="10">
        <v>0</v>
      </c>
      <c r="AH431" s="10">
        <f t="shared" si="167"/>
        <v>0</v>
      </c>
      <c r="AI431" s="10">
        <v>0</v>
      </c>
      <c r="AJ431" s="10">
        <v>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  <c r="AQ431" s="10">
        <v>0</v>
      </c>
      <c r="AR431" s="10">
        <v>0</v>
      </c>
      <c r="AS431" s="10">
        <f t="shared" si="147"/>
        <v>0</v>
      </c>
      <c r="AT431" s="10">
        <v>0</v>
      </c>
      <c r="AU431" s="12">
        <v>0</v>
      </c>
      <c r="AV431" s="12">
        <v>0</v>
      </c>
      <c r="AW431" s="12">
        <v>0</v>
      </c>
      <c r="AX431" s="12">
        <f t="shared" si="168"/>
        <v>0</v>
      </c>
      <c r="AY431" s="12">
        <v>0</v>
      </c>
      <c r="AZ431" s="12">
        <v>0</v>
      </c>
      <c r="BA431" s="12">
        <v>0</v>
      </c>
      <c r="BB431" s="12">
        <f t="shared" si="169"/>
        <v>0</v>
      </c>
      <c r="BC431" s="12">
        <v>0</v>
      </c>
      <c r="BD431" s="12">
        <v>0</v>
      </c>
      <c r="BE431" s="12">
        <v>0</v>
      </c>
      <c r="BF431" s="12">
        <v>0</v>
      </c>
    </row>
    <row r="432" spans="1:58" x14ac:dyDescent="0.25">
      <c r="A432" s="7">
        <v>4097</v>
      </c>
      <c r="B432" s="7">
        <v>7</v>
      </c>
      <c r="C432" s="7" t="s">
        <v>433</v>
      </c>
      <c r="D432" s="4">
        <v>7</v>
      </c>
      <c r="E432" s="10">
        <v>270</v>
      </c>
      <c r="F432" s="8">
        <f t="shared" si="148"/>
        <v>10917</v>
      </c>
      <c r="G432" s="8">
        <f t="shared" si="149"/>
        <v>0</v>
      </c>
      <c r="H432" s="8">
        <f t="shared" si="150"/>
        <v>30566</v>
      </c>
      <c r="I432" s="8">
        <f t="shared" si="151"/>
        <v>-313</v>
      </c>
      <c r="J432" s="8">
        <f t="shared" si="152"/>
        <v>41170</v>
      </c>
      <c r="K432" s="8">
        <f t="shared" si="153"/>
        <v>1649.5999999999985</v>
      </c>
      <c r="L432" s="8">
        <f t="shared" si="154"/>
        <v>42819.6</v>
      </c>
      <c r="M432" s="8">
        <f t="shared" si="155"/>
        <v>152.4814814814815</v>
      </c>
      <c r="N432" s="8">
        <f t="shared" si="156"/>
        <v>6750</v>
      </c>
      <c r="O432" s="8">
        <f t="shared" si="157"/>
        <v>28</v>
      </c>
      <c r="P432" s="8">
        <f t="shared" si="158"/>
        <v>0</v>
      </c>
      <c r="Q432" s="8">
        <f t="shared" si="159"/>
        <v>4110</v>
      </c>
      <c r="R432" s="8">
        <f t="shared" si="160"/>
        <v>29</v>
      </c>
      <c r="S432" s="8">
        <f t="shared" si="161"/>
        <v>0</v>
      </c>
      <c r="T432" s="8">
        <f t="shared" si="162"/>
        <v>0</v>
      </c>
      <c r="U432" s="8">
        <f t="shared" si="163"/>
        <v>30566</v>
      </c>
      <c r="V432" s="8">
        <f t="shared" si="164"/>
        <v>2</v>
      </c>
      <c r="W432" s="8">
        <f t="shared" si="165"/>
        <v>-315</v>
      </c>
      <c r="X432" s="8">
        <f t="shared" si="166"/>
        <v>41170</v>
      </c>
      <c r="Y432" s="10">
        <v>1567620</v>
      </c>
      <c r="Z432" s="10">
        <v>6503</v>
      </c>
      <c r="AA432" s="10">
        <v>70</v>
      </c>
      <c r="AB432" s="10">
        <v>816575</v>
      </c>
      <c r="AC432" s="10">
        <v>7342</v>
      </c>
      <c r="AD432" s="10">
        <v>0</v>
      </c>
      <c r="AE432" s="10">
        <v>70500</v>
      </c>
      <c r="AF432" s="10">
        <v>214650</v>
      </c>
      <c r="AG432" s="10">
        <v>31577</v>
      </c>
      <c r="AH432" s="10">
        <f t="shared" si="167"/>
        <v>8372.7008000002243</v>
      </c>
      <c r="AI432" s="10">
        <v>2723209.7008000002</v>
      </c>
      <c r="AJ432" s="10">
        <v>1574370</v>
      </c>
      <c r="AK432" s="10">
        <v>6531</v>
      </c>
      <c r="AL432" s="10">
        <v>70</v>
      </c>
      <c r="AM432" s="10">
        <v>820685</v>
      </c>
      <c r="AN432" s="10">
        <v>7371</v>
      </c>
      <c r="AO432" s="10">
        <v>0</v>
      </c>
      <c r="AP432" s="10">
        <v>70500</v>
      </c>
      <c r="AQ432" s="10">
        <v>245216</v>
      </c>
      <c r="AR432" s="10">
        <v>31579</v>
      </c>
      <c r="AS432" s="10">
        <f t="shared" si="147"/>
        <v>8057.7008000002243</v>
      </c>
      <c r="AT432" s="10">
        <v>2764379.7008000002</v>
      </c>
      <c r="AU432" s="12">
        <v>0</v>
      </c>
      <c r="AV432" s="12">
        <v>0</v>
      </c>
      <c r="AW432" s="12">
        <v>5857.625</v>
      </c>
      <c r="AX432" s="12">
        <f t="shared" si="168"/>
        <v>5857.625</v>
      </c>
      <c r="AY432" s="12">
        <v>0</v>
      </c>
      <c r="AZ432" s="12">
        <v>0</v>
      </c>
      <c r="BA432" s="12">
        <v>7507.2250000000004</v>
      </c>
      <c r="BB432" s="12">
        <f t="shared" si="169"/>
        <v>7507.2250000000004</v>
      </c>
      <c r="BC432" s="12">
        <v>0</v>
      </c>
      <c r="BD432" s="12">
        <v>0</v>
      </c>
      <c r="BE432" s="12">
        <v>1649.5999999999985</v>
      </c>
      <c r="BF432" s="12">
        <v>1649.5999999999985</v>
      </c>
    </row>
    <row r="433" spans="1:58" x14ac:dyDescent="0.25">
      <c r="A433" s="7">
        <v>4098</v>
      </c>
      <c r="B433" s="7">
        <v>7</v>
      </c>
      <c r="C433" s="7" t="s">
        <v>434</v>
      </c>
      <c r="D433" s="4">
        <v>7</v>
      </c>
      <c r="E433" s="10">
        <v>888</v>
      </c>
      <c r="F433" s="8">
        <f t="shared" si="148"/>
        <v>23265.75</v>
      </c>
      <c r="G433" s="8">
        <f t="shared" si="149"/>
        <v>0</v>
      </c>
      <c r="H433" s="8">
        <f t="shared" si="150"/>
        <v>15059</v>
      </c>
      <c r="I433" s="8">
        <f t="shared" si="151"/>
        <v>4</v>
      </c>
      <c r="J433" s="8">
        <f t="shared" si="152"/>
        <v>38328.75</v>
      </c>
      <c r="K433" s="8">
        <f t="shared" si="153"/>
        <v>1657.5999999999985</v>
      </c>
      <c r="L433" s="8">
        <f t="shared" si="154"/>
        <v>39986.35</v>
      </c>
      <c r="M433" s="8">
        <f t="shared" si="155"/>
        <v>43.163006756756758</v>
      </c>
      <c r="N433" s="8">
        <f t="shared" si="156"/>
        <v>23015</v>
      </c>
      <c r="O433" s="8">
        <f t="shared" si="157"/>
        <v>0</v>
      </c>
      <c r="P433" s="8">
        <f t="shared" si="158"/>
        <v>1</v>
      </c>
      <c r="Q433" s="8">
        <f t="shared" si="159"/>
        <v>152.75</v>
      </c>
      <c r="R433" s="8">
        <f t="shared" si="160"/>
        <v>97</v>
      </c>
      <c r="S433" s="8">
        <f t="shared" si="161"/>
        <v>0</v>
      </c>
      <c r="T433" s="8">
        <f t="shared" si="162"/>
        <v>0</v>
      </c>
      <c r="U433" s="8">
        <f t="shared" si="163"/>
        <v>15059</v>
      </c>
      <c r="V433" s="8">
        <f t="shared" si="164"/>
        <v>4</v>
      </c>
      <c r="W433" s="8">
        <f t="shared" si="165"/>
        <v>0</v>
      </c>
      <c r="X433" s="8">
        <f t="shared" si="166"/>
        <v>38328.75</v>
      </c>
      <c r="Y433" s="10">
        <v>5345004</v>
      </c>
      <c r="Z433" s="10">
        <v>0</v>
      </c>
      <c r="AA433" s="10">
        <v>238</v>
      </c>
      <c r="AB433" s="10">
        <v>30348</v>
      </c>
      <c r="AC433" s="10">
        <v>25035</v>
      </c>
      <c r="AD433" s="10">
        <v>0</v>
      </c>
      <c r="AE433" s="10">
        <v>221000</v>
      </c>
      <c r="AF433" s="10">
        <v>0</v>
      </c>
      <c r="AG433" s="10">
        <v>107667</v>
      </c>
      <c r="AH433" s="10">
        <f t="shared" si="167"/>
        <v>396037.1950000003</v>
      </c>
      <c r="AI433" s="10">
        <v>6125329.1950000003</v>
      </c>
      <c r="AJ433" s="10">
        <v>5368019</v>
      </c>
      <c r="AK433" s="10">
        <v>0</v>
      </c>
      <c r="AL433" s="10">
        <v>239</v>
      </c>
      <c r="AM433" s="10">
        <v>30500.75</v>
      </c>
      <c r="AN433" s="10">
        <v>25132</v>
      </c>
      <c r="AO433" s="10">
        <v>0</v>
      </c>
      <c r="AP433" s="10">
        <v>221000</v>
      </c>
      <c r="AQ433" s="10">
        <v>15059</v>
      </c>
      <c r="AR433" s="10">
        <v>107671</v>
      </c>
      <c r="AS433" s="10">
        <f t="shared" si="147"/>
        <v>396037.1950000003</v>
      </c>
      <c r="AT433" s="10">
        <v>6163657.9450000003</v>
      </c>
      <c r="AU433" s="12">
        <v>0</v>
      </c>
      <c r="AV433" s="12">
        <v>0</v>
      </c>
      <c r="AW433" s="12">
        <v>5000.75</v>
      </c>
      <c r="AX433" s="12">
        <f t="shared" si="168"/>
        <v>5000.75</v>
      </c>
      <c r="AY433" s="12">
        <v>0</v>
      </c>
      <c r="AZ433" s="12">
        <v>0</v>
      </c>
      <c r="BA433" s="12">
        <v>6658.35</v>
      </c>
      <c r="BB433" s="12">
        <f t="shared" si="169"/>
        <v>6658.35</v>
      </c>
      <c r="BC433" s="12">
        <v>0</v>
      </c>
      <c r="BD433" s="12">
        <v>0</v>
      </c>
      <c r="BE433" s="12">
        <v>1657.5999999999985</v>
      </c>
      <c r="BF433" s="12">
        <v>1657.5999999999985</v>
      </c>
    </row>
    <row r="434" spans="1:58" x14ac:dyDescent="0.25">
      <c r="A434" s="7">
        <v>4099</v>
      </c>
      <c r="B434" s="7">
        <v>7</v>
      </c>
      <c r="C434" s="7" t="s">
        <v>435</v>
      </c>
      <c r="D434" s="4">
        <v>7</v>
      </c>
      <c r="E434" s="10">
        <v>0</v>
      </c>
      <c r="F434" s="8">
        <f t="shared" si="148"/>
        <v>0</v>
      </c>
      <c r="G434" s="8">
        <f t="shared" si="149"/>
        <v>0</v>
      </c>
      <c r="H434" s="8">
        <f t="shared" si="150"/>
        <v>0</v>
      </c>
      <c r="I434" s="8">
        <f t="shared" si="151"/>
        <v>0</v>
      </c>
      <c r="J434" s="8">
        <f t="shared" si="152"/>
        <v>0</v>
      </c>
      <c r="K434" s="8">
        <f t="shared" si="153"/>
        <v>0</v>
      </c>
      <c r="L434" s="8">
        <f t="shared" si="154"/>
        <v>0</v>
      </c>
      <c r="M434" s="8">
        <f t="shared" si="155"/>
        <v>0</v>
      </c>
      <c r="N434" s="8">
        <f t="shared" si="156"/>
        <v>0</v>
      </c>
      <c r="O434" s="8">
        <f t="shared" si="157"/>
        <v>0</v>
      </c>
      <c r="P434" s="8">
        <f t="shared" si="158"/>
        <v>0</v>
      </c>
      <c r="Q434" s="8">
        <f t="shared" si="159"/>
        <v>0</v>
      </c>
      <c r="R434" s="8">
        <f t="shared" si="160"/>
        <v>0</v>
      </c>
      <c r="S434" s="8">
        <f t="shared" si="161"/>
        <v>0</v>
      </c>
      <c r="T434" s="8">
        <f t="shared" si="162"/>
        <v>0</v>
      </c>
      <c r="U434" s="8">
        <f t="shared" si="163"/>
        <v>0</v>
      </c>
      <c r="V434" s="8">
        <f t="shared" si="164"/>
        <v>0</v>
      </c>
      <c r="W434" s="8">
        <f t="shared" si="165"/>
        <v>0</v>
      </c>
      <c r="X434" s="8">
        <f t="shared" si="166"/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  <c r="AG434" s="10">
        <v>0</v>
      </c>
      <c r="AH434" s="10">
        <f t="shared" si="167"/>
        <v>0</v>
      </c>
      <c r="AI434" s="10">
        <v>0</v>
      </c>
      <c r="AJ434" s="10">
        <v>0</v>
      </c>
      <c r="AK434" s="10">
        <v>0</v>
      </c>
      <c r="AL434" s="10">
        <v>0</v>
      </c>
      <c r="AM434" s="10">
        <v>0</v>
      </c>
      <c r="AN434" s="10">
        <v>0</v>
      </c>
      <c r="AO434" s="10">
        <v>0</v>
      </c>
      <c r="AP434" s="10">
        <v>0</v>
      </c>
      <c r="AQ434" s="10">
        <v>0</v>
      </c>
      <c r="AR434" s="10">
        <v>0</v>
      </c>
      <c r="AS434" s="10">
        <f t="shared" si="147"/>
        <v>0</v>
      </c>
      <c r="AT434" s="10">
        <v>0</v>
      </c>
      <c r="AU434" s="12">
        <v>0</v>
      </c>
      <c r="AV434" s="12">
        <v>0</v>
      </c>
      <c r="AW434" s="12">
        <v>0</v>
      </c>
      <c r="AX434" s="12">
        <f t="shared" si="168"/>
        <v>0</v>
      </c>
      <c r="AY434" s="12">
        <v>0</v>
      </c>
      <c r="AZ434" s="12">
        <v>0</v>
      </c>
      <c r="BA434" s="12">
        <v>0</v>
      </c>
      <c r="BB434" s="12">
        <f t="shared" si="169"/>
        <v>0</v>
      </c>
      <c r="BC434" s="12">
        <v>0</v>
      </c>
      <c r="BD434" s="12">
        <v>0</v>
      </c>
      <c r="BE434" s="12">
        <v>0</v>
      </c>
      <c r="BF434" s="12">
        <v>0</v>
      </c>
    </row>
    <row r="435" spans="1:58" x14ac:dyDescent="0.25">
      <c r="A435" s="7">
        <v>4100</v>
      </c>
      <c r="B435" s="7">
        <v>7</v>
      </c>
      <c r="C435" s="7" t="s">
        <v>436</v>
      </c>
      <c r="D435" s="4">
        <v>7</v>
      </c>
      <c r="E435" s="10">
        <v>87</v>
      </c>
      <c r="F435" s="8">
        <f t="shared" si="148"/>
        <v>2613.5</v>
      </c>
      <c r="G435" s="8">
        <f t="shared" si="149"/>
        <v>2053.6000000000004</v>
      </c>
      <c r="H435" s="8">
        <f t="shared" si="150"/>
        <v>0</v>
      </c>
      <c r="I435" s="8">
        <f t="shared" si="151"/>
        <v>-315.00000000002365</v>
      </c>
      <c r="J435" s="8">
        <f t="shared" si="152"/>
        <v>4352.0999999999767</v>
      </c>
      <c r="K435" s="8">
        <f t="shared" si="153"/>
        <v>0</v>
      </c>
      <c r="L435" s="8">
        <f t="shared" si="154"/>
        <v>4352.0999999999767</v>
      </c>
      <c r="M435" s="8">
        <f t="shared" si="155"/>
        <v>50.024137931034218</v>
      </c>
      <c r="N435" s="8">
        <f t="shared" si="156"/>
        <v>2148</v>
      </c>
      <c r="O435" s="8">
        <f t="shared" si="157"/>
        <v>31</v>
      </c>
      <c r="P435" s="8">
        <f t="shared" si="158"/>
        <v>216</v>
      </c>
      <c r="Q435" s="8">
        <f t="shared" si="159"/>
        <v>209.5</v>
      </c>
      <c r="R435" s="8">
        <f t="shared" si="160"/>
        <v>9</v>
      </c>
      <c r="S435" s="8">
        <f t="shared" si="161"/>
        <v>0</v>
      </c>
      <c r="T435" s="8">
        <f t="shared" si="162"/>
        <v>2053.6000000000004</v>
      </c>
      <c r="U435" s="8">
        <f t="shared" si="163"/>
        <v>0</v>
      </c>
      <c r="V435" s="8">
        <f t="shared" si="164"/>
        <v>1</v>
      </c>
      <c r="W435" s="8">
        <f t="shared" si="165"/>
        <v>-316</v>
      </c>
      <c r="X435" s="8">
        <f t="shared" si="166"/>
        <v>4352.0999999999767</v>
      </c>
      <c r="Y435" s="10">
        <v>498735</v>
      </c>
      <c r="Z435" s="10">
        <v>6990</v>
      </c>
      <c r="AA435" s="10">
        <v>50105</v>
      </c>
      <c r="AB435" s="10">
        <v>41623</v>
      </c>
      <c r="AC435" s="10">
        <v>2336</v>
      </c>
      <c r="AD435" s="10">
        <v>0</v>
      </c>
      <c r="AE435" s="10">
        <v>0</v>
      </c>
      <c r="AF435" s="10">
        <v>0</v>
      </c>
      <c r="AG435" s="10">
        <v>10046</v>
      </c>
      <c r="AH435" s="10">
        <f t="shared" si="167"/>
        <v>-47511.619999999995</v>
      </c>
      <c r="AI435" s="10">
        <v>562323.38</v>
      </c>
      <c r="AJ435" s="10">
        <v>500883</v>
      </c>
      <c r="AK435" s="10">
        <v>7021</v>
      </c>
      <c r="AL435" s="10">
        <v>50321</v>
      </c>
      <c r="AM435" s="10">
        <v>41832.5</v>
      </c>
      <c r="AN435" s="10">
        <v>2345</v>
      </c>
      <c r="AO435" s="10">
        <v>0</v>
      </c>
      <c r="AP435" s="10">
        <v>2053.6000000000004</v>
      </c>
      <c r="AQ435" s="10">
        <v>0</v>
      </c>
      <c r="AR435" s="10">
        <v>10047</v>
      </c>
      <c r="AS435" s="10">
        <f t="shared" si="147"/>
        <v>-47827.619999999995</v>
      </c>
      <c r="AT435" s="10">
        <v>566675.48</v>
      </c>
      <c r="AU435" s="12">
        <v>0</v>
      </c>
      <c r="AV435" s="12">
        <v>0</v>
      </c>
      <c r="AW435" s="12">
        <v>0</v>
      </c>
      <c r="AX435" s="12">
        <f t="shared" si="168"/>
        <v>0</v>
      </c>
      <c r="AY435" s="12">
        <v>0</v>
      </c>
      <c r="AZ435" s="12">
        <v>0</v>
      </c>
      <c r="BA435" s="12">
        <v>0</v>
      </c>
      <c r="BB435" s="12">
        <f t="shared" si="169"/>
        <v>0</v>
      </c>
      <c r="BC435" s="12">
        <v>0</v>
      </c>
      <c r="BD435" s="12">
        <v>0</v>
      </c>
      <c r="BE435" s="12">
        <v>0</v>
      </c>
      <c r="BF435" s="12">
        <v>0</v>
      </c>
    </row>
    <row r="436" spans="1:58" x14ac:dyDescent="0.25">
      <c r="A436" s="7">
        <v>4101</v>
      </c>
      <c r="B436" s="7">
        <v>7</v>
      </c>
      <c r="C436" s="7" t="s">
        <v>437</v>
      </c>
      <c r="D436" s="4">
        <v>7</v>
      </c>
      <c r="E436" s="10">
        <v>0</v>
      </c>
      <c r="F436" s="8">
        <f t="shared" si="148"/>
        <v>0</v>
      </c>
      <c r="G436" s="8">
        <f t="shared" si="149"/>
        <v>0</v>
      </c>
      <c r="H436" s="8">
        <f t="shared" si="150"/>
        <v>0</v>
      </c>
      <c r="I436" s="8">
        <f t="shared" si="151"/>
        <v>0</v>
      </c>
      <c r="J436" s="8">
        <f t="shared" si="152"/>
        <v>0</v>
      </c>
      <c r="K436" s="8">
        <f t="shared" si="153"/>
        <v>0</v>
      </c>
      <c r="L436" s="8">
        <f t="shared" si="154"/>
        <v>0</v>
      </c>
      <c r="M436" s="8">
        <f t="shared" si="155"/>
        <v>0</v>
      </c>
      <c r="N436" s="8">
        <f t="shared" si="156"/>
        <v>0</v>
      </c>
      <c r="O436" s="8">
        <f t="shared" si="157"/>
        <v>0</v>
      </c>
      <c r="P436" s="8">
        <f t="shared" si="158"/>
        <v>0</v>
      </c>
      <c r="Q436" s="8">
        <f t="shared" si="159"/>
        <v>0</v>
      </c>
      <c r="R436" s="8">
        <f t="shared" si="160"/>
        <v>0</v>
      </c>
      <c r="S436" s="8">
        <f t="shared" si="161"/>
        <v>0</v>
      </c>
      <c r="T436" s="8">
        <f t="shared" si="162"/>
        <v>0</v>
      </c>
      <c r="U436" s="8">
        <f t="shared" si="163"/>
        <v>0</v>
      </c>
      <c r="V436" s="8">
        <f t="shared" si="164"/>
        <v>0</v>
      </c>
      <c r="W436" s="8">
        <f t="shared" si="165"/>
        <v>0</v>
      </c>
      <c r="X436" s="8">
        <f t="shared" si="166"/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  <c r="AG436" s="10">
        <v>0</v>
      </c>
      <c r="AH436" s="10">
        <f t="shared" si="167"/>
        <v>0</v>
      </c>
      <c r="AI436" s="10">
        <v>0</v>
      </c>
      <c r="AJ436" s="10">
        <v>0</v>
      </c>
      <c r="AK436" s="10">
        <v>0</v>
      </c>
      <c r="AL436" s="10">
        <v>0</v>
      </c>
      <c r="AM436" s="10">
        <v>0</v>
      </c>
      <c r="AN436" s="10">
        <v>0</v>
      </c>
      <c r="AO436" s="10">
        <v>0</v>
      </c>
      <c r="AP436" s="10">
        <v>0</v>
      </c>
      <c r="AQ436" s="10">
        <v>0</v>
      </c>
      <c r="AR436" s="10">
        <v>0</v>
      </c>
      <c r="AS436" s="10">
        <f t="shared" ref="AS436:AS499" si="170">AT436-SUM(AJ436:AR436)</f>
        <v>0</v>
      </c>
      <c r="AT436" s="10">
        <v>0</v>
      </c>
      <c r="AU436" s="12">
        <v>0</v>
      </c>
      <c r="AV436" s="12">
        <v>0</v>
      </c>
      <c r="AW436" s="12">
        <v>0</v>
      </c>
      <c r="AX436" s="12">
        <f t="shared" si="168"/>
        <v>0</v>
      </c>
      <c r="AY436" s="12">
        <v>0</v>
      </c>
      <c r="AZ436" s="12">
        <v>0</v>
      </c>
      <c r="BA436" s="12">
        <v>0</v>
      </c>
      <c r="BB436" s="12">
        <f t="shared" si="169"/>
        <v>0</v>
      </c>
      <c r="BC436" s="12">
        <v>0</v>
      </c>
      <c r="BD436" s="12">
        <v>0</v>
      </c>
      <c r="BE436" s="12">
        <v>0</v>
      </c>
      <c r="BF436" s="12">
        <v>0</v>
      </c>
    </row>
    <row r="437" spans="1:58" x14ac:dyDescent="0.25">
      <c r="A437" s="7">
        <v>4102</v>
      </c>
      <c r="B437" s="7">
        <v>7</v>
      </c>
      <c r="C437" s="7" t="s">
        <v>438</v>
      </c>
      <c r="D437" s="4">
        <v>7</v>
      </c>
      <c r="E437" s="10">
        <v>260</v>
      </c>
      <c r="F437" s="8">
        <f t="shared" si="148"/>
        <v>11298</v>
      </c>
      <c r="G437" s="8">
        <f t="shared" si="149"/>
        <v>5810.48</v>
      </c>
      <c r="H437" s="8">
        <f t="shared" si="150"/>
        <v>0</v>
      </c>
      <c r="I437" s="8">
        <f t="shared" si="151"/>
        <v>1.9999999999818101</v>
      </c>
      <c r="J437" s="8">
        <f t="shared" si="152"/>
        <v>17110.479999999981</v>
      </c>
      <c r="K437" s="8">
        <f t="shared" si="153"/>
        <v>151.20000000000073</v>
      </c>
      <c r="L437" s="8">
        <f t="shared" si="154"/>
        <v>17261.679999999982</v>
      </c>
      <c r="M437" s="8">
        <f t="shared" si="155"/>
        <v>65.809538461538395</v>
      </c>
      <c r="N437" s="8">
        <f t="shared" si="156"/>
        <v>7800</v>
      </c>
      <c r="O437" s="8">
        <f t="shared" si="157"/>
        <v>0</v>
      </c>
      <c r="P437" s="8">
        <f t="shared" si="158"/>
        <v>0</v>
      </c>
      <c r="Q437" s="8">
        <f t="shared" si="159"/>
        <v>3465</v>
      </c>
      <c r="R437" s="8">
        <f t="shared" si="160"/>
        <v>33</v>
      </c>
      <c r="S437" s="8">
        <f t="shared" si="161"/>
        <v>0</v>
      </c>
      <c r="T437" s="8">
        <f t="shared" si="162"/>
        <v>5810.48</v>
      </c>
      <c r="U437" s="8">
        <f t="shared" si="163"/>
        <v>0</v>
      </c>
      <c r="V437" s="8">
        <f t="shared" si="164"/>
        <v>2</v>
      </c>
      <c r="W437" s="8">
        <f t="shared" si="165"/>
        <v>0</v>
      </c>
      <c r="X437" s="8">
        <f t="shared" si="166"/>
        <v>17110.479999999981</v>
      </c>
      <c r="Y437" s="10">
        <v>1811472</v>
      </c>
      <c r="Z437" s="10">
        <v>0</v>
      </c>
      <c r="AA437" s="10">
        <v>81</v>
      </c>
      <c r="AB437" s="10">
        <v>688426</v>
      </c>
      <c r="AC437" s="10">
        <v>8484</v>
      </c>
      <c r="AD437" s="10">
        <v>0</v>
      </c>
      <c r="AE437" s="10">
        <v>0</v>
      </c>
      <c r="AF437" s="10">
        <v>17424</v>
      </c>
      <c r="AG437" s="10">
        <v>36489</v>
      </c>
      <c r="AH437" s="10">
        <f t="shared" si="167"/>
        <v>98832.870000000112</v>
      </c>
      <c r="AI437" s="10">
        <v>2661208.87</v>
      </c>
      <c r="AJ437" s="10">
        <v>1819272</v>
      </c>
      <c r="AK437" s="10">
        <v>0</v>
      </c>
      <c r="AL437" s="10">
        <v>81</v>
      </c>
      <c r="AM437" s="10">
        <v>691891</v>
      </c>
      <c r="AN437" s="10">
        <v>8517</v>
      </c>
      <c r="AO437" s="10">
        <v>0</v>
      </c>
      <c r="AP437" s="10">
        <v>5810.48</v>
      </c>
      <c r="AQ437" s="10">
        <v>17424</v>
      </c>
      <c r="AR437" s="10">
        <v>36491</v>
      </c>
      <c r="AS437" s="10">
        <f t="shared" si="170"/>
        <v>98832.870000000112</v>
      </c>
      <c r="AT437" s="10">
        <v>2678319.35</v>
      </c>
      <c r="AU437" s="12">
        <v>0</v>
      </c>
      <c r="AV437" s="12">
        <v>0</v>
      </c>
      <c r="AW437" s="12">
        <v>1781.625</v>
      </c>
      <c r="AX437" s="12">
        <f t="shared" si="168"/>
        <v>1781.625</v>
      </c>
      <c r="AY437" s="12">
        <v>0</v>
      </c>
      <c r="AZ437" s="12">
        <v>0</v>
      </c>
      <c r="BA437" s="12">
        <v>1932.825</v>
      </c>
      <c r="BB437" s="12">
        <f t="shared" si="169"/>
        <v>1932.825</v>
      </c>
      <c r="BC437" s="12">
        <v>0</v>
      </c>
      <c r="BD437" s="12">
        <v>0</v>
      </c>
      <c r="BE437" s="12">
        <v>151.20000000000073</v>
      </c>
      <c r="BF437" s="12">
        <v>151.20000000000073</v>
      </c>
    </row>
    <row r="438" spans="1:58" x14ac:dyDescent="0.25">
      <c r="A438" s="7">
        <v>4103</v>
      </c>
      <c r="B438" s="7">
        <v>7</v>
      </c>
      <c r="C438" s="7" t="s">
        <v>439</v>
      </c>
      <c r="D438" s="4">
        <v>7</v>
      </c>
      <c r="E438" s="10">
        <v>1120</v>
      </c>
      <c r="F438" s="8">
        <f t="shared" si="148"/>
        <v>45019.5</v>
      </c>
      <c r="G438" s="8">
        <f t="shared" si="149"/>
        <v>0</v>
      </c>
      <c r="H438" s="8">
        <f t="shared" si="150"/>
        <v>12669</v>
      </c>
      <c r="I438" s="8">
        <f t="shared" si="151"/>
        <v>6</v>
      </c>
      <c r="J438" s="8">
        <f t="shared" si="152"/>
        <v>57694.5</v>
      </c>
      <c r="K438" s="8">
        <f t="shared" si="153"/>
        <v>4567.2000000000116</v>
      </c>
      <c r="L438" s="8">
        <f t="shared" si="154"/>
        <v>62261.700000000012</v>
      </c>
      <c r="M438" s="8">
        <f t="shared" si="155"/>
        <v>51.512946428571432</v>
      </c>
      <c r="N438" s="8">
        <f t="shared" si="156"/>
        <v>30900</v>
      </c>
      <c r="O438" s="8">
        <f t="shared" si="157"/>
        <v>0</v>
      </c>
      <c r="P438" s="8">
        <f t="shared" si="158"/>
        <v>1</v>
      </c>
      <c r="Q438" s="8">
        <f t="shared" si="159"/>
        <v>13987.5</v>
      </c>
      <c r="R438" s="8">
        <f t="shared" si="160"/>
        <v>131</v>
      </c>
      <c r="S438" s="8">
        <f t="shared" si="161"/>
        <v>0</v>
      </c>
      <c r="T438" s="8">
        <f t="shared" si="162"/>
        <v>0</v>
      </c>
      <c r="U438" s="8">
        <f t="shared" si="163"/>
        <v>12669</v>
      </c>
      <c r="V438" s="8">
        <f t="shared" si="164"/>
        <v>6</v>
      </c>
      <c r="W438" s="8">
        <f t="shared" si="165"/>
        <v>0</v>
      </c>
      <c r="X438" s="8">
        <f t="shared" si="166"/>
        <v>57694.5</v>
      </c>
      <c r="Y438" s="10">
        <v>7176216</v>
      </c>
      <c r="Z438" s="10">
        <v>0</v>
      </c>
      <c r="AA438" s="10">
        <v>320</v>
      </c>
      <c r="AB438" s="10">
        <v>2779037</v>
      </c>
      <c r="AC438" s="10">
        <v>33611</v>
      </c>
      <c r="AD438" s="10">
        <v>0</v>
      </c>
      <c r="AE438" s="10">
        <v>281500</v>
      </c>
      <c r="AF438" s="10">
        <v>341532</v>
      </c>
      <c r="AG438" s="10">
        <v>144554</v>
      </c>
      <c r="AH438" s="10">
        <f t="shared" si="167"/>
        <v>552571.79999999888</v>
      </c>
      <c r="AI438" s="10">
        <v>11309341.799999999</v>
      </c>
      <c r="AJ438" s="10">
        <v>7207116</v>
      </c>
      <c r="AK438" s="10">
        <v>0</v>
      </c>
      <c r="AL438" s="10">
        <v>321</v>
      </c>
      <c r="AM438" s="10">
        <v>2793024.5</v>
      </c>
      <c r="AN438" s="10">
        <v>33742</v>
      </c>
      <c r="AO438" s="10">
        <v>0</v>
      </c>
      <c r="AP438" s="10">
        <v>281500</v>
      </c>
      <c r="AQ438" s="10">
        <v>354201</v>
      </c>
      <c r="AR438" s="10">
        <v>144560</v>
      </c>
      <c r="AS438" s="10">
        <f t="shared" si="170"/>
        <v>552571.79999999888</v>
      </c>
      <c r="AT438" s="10">
        <v>11367036.299999999</v>
      </c>
      <c r="AU438" s="12">
        <v>0</v>
      </c>
      <c r="AV438" s="12">
        <v>0</v>
      </c>
      <c r="AW438" s="12">
        <v>19317.625</v>
      </c>
      <c r="AX438" s="12">
        <f t="shared" si="168"/>
        <v>19317.625</v>
      </c>
      <c r="AY438" s="12">
        <v>0</v>
      </c>
      <c r="AZ438" s="12">
        <v>0</v>
      </c>
      <c r="BA438" s="12">
        <v>23884.825000000001</v>
      </c>
      <c r="BB438" s="12">
        <f t="shared" si="169"/>
        <v>23884.825000000001</v>
      </c>
      <c r="BC438" s="12">
        <v>0</v>
      </c>
      <c r="BD438" s="12">
        <v>0</v>
      </c>
      <c r="BE438" s="12">
        <v>4567.2000000000116</v>
      </c>
      <c r="BF438" s="12">
        <v>4567.2000000000116</v>
      </c>
    </row>
    <row r="439" spans="1:58" x14ac:dyDescent="0.25">
      <c r="A439" s="7">
        <v>4104</v>
      </c>
      <c r="B439" s="7">
        <v>7</v>
      </c>
      <c r="C439" s="7" t="s">
        <v>440</v>
      </c>
      <c r="D439" s="4">
        <v>7</v>
      </c>
      <c r="E439" s="10">
        <v>280</v>
      </c>
      <c r="F439" s="8">
        <f t="shared" si="148"/>
        <v>11282.75</v>
      </c>
      <c r="G439" s="8">
        <f t="shared" si="149"/>
        <v>0</v>
      </c>
      <c r="H439" s="8">
        <f t="shared" si="150"/>
        <v>0</v>
      </c>
      <c r="I439" s="8">
        <f t="shared" si="151"/>
        <v>2</v>
      </c>
      <c r="J439" s="8">
        <f t="shared" si="152"/>
        <v>11284.75</v>
      </c>
      <c r="K439" s="8">
        <f t="shared" si="153"/>
        <v>349.19999999999982</v>
      </c>
      <c r="L439" s="8">
        <f t="shared" si="154"/>
        <v>11633.95</v>
      </c>
      <c r="M439" s="8">
        <f t="shared" si="155"/>
        <v>40.302678571428572</v>
      </c>
      <c r="N439" s="8">
        <f t="shared" si="156"/>
        <v>8400</v>
      </c>
      <c r="O439" s="8">
        <f t="shared" si="157"/>
        <v>0</v>
      </c>
      <c r="P439" s="8">
        <f t="shared" si="158"/>
        <v>0</v>
      </c>
      <c r="Q439" s="8">
        <f t="shared" si="159"/>
        <v>2847.75</v>
      </c>
      <c r="R439" s="8">
        <f t="shared" si="160"/>
        <v>35</v>
      </c>
      <c r="S439" s="8">
        <f t="shared" si="161"/>
        <v>0</v>
      </c>
      <c r="T439" s="8">
        <f t="shared" si="162"/>
        <v>0</v>
      </c>
      <c r="U439" s="8">
        <f t="shared" si="163"/>
        <v>0</v>
      </c>
      <c r="V439" s="8">
        <f t="shared" si="164"/>
        <v>2</v>
      </c>
      <c r="W439" s="8">
        <f t="shared" si="165"/>
        <v>0</v>
      </c>
      <c r="X439" s="8">
        <f t="shared" si="166"/>
        <v>11284.75</v>
      </c>
      <c r="Y439" s="10">
        <v>1950816</v>
      </c>
      <c r="Z439" s="10">
        <v>0</v>
      </c>
      <c r="AA439" s="10">
        <v>87</v>
      </c>
      <c r="AB439" s="10">
        <v>565791</v>
      </c>
      <c r="AC439" s="10">
        <v>9137</v>
      </c>
      <c r="AD439" s="10">
        <v>0</v>
      </c>
      <c r="AE439" s="10">
        <v>0</v>
      </c>
      <c r="AF439" s="10">
        <v>17186</v>
      </c>
      <c r="AG439" s="10">
        <v>39296</v>
      </c>
      <c r="AH439" s="10">
        <f t="shared" si="167"/>
        <v>147680.12999999989</v>
      </c>
      <c r="AI439" s="10">
        <v>2729993.13</v>
      </c>
      <c r="AJ439" s="10">
        <v>1959216</v>
      </c>
      <c r="AK439" s="10">
        <v>0</v>
      </c>
      <c r="AL439" s="10">
        <v>87</v>
      </c>
      <c r="AM439" s="10">
        <v>568638.75</v>
      </c>
      <c r="AN439" s="10">
        <v>9172</v>
      </c>
      <c r="AO439" s="10">
        <v>0</v>
      </c>
      <c r="AP439" s="10">
        <v>0</v>
      </c>
      <c r="AQ439" s="10">
        <v>17186</v>
      </c>
      <c r="AR439" s="10">
        <v>39298</v>
      </c>
      <c r="AS439" s="10">
        <f t="shared" si="170"/>
        <v>147680.12999999989</v>
      </c>
      <c r="AT439" s="10">
        <v>2741277.88</v>
      </c>
      <c r="AU439" s="12">
        <v>0</v>
      </c>
      <c r="AV439" s="12">
        <v>0</v>
      </c>
      <c r="AW439" s="12">
        <v>867.375</v>
      </c>
      <c r="AX439" s="12">
        <f t="shared" si="168"/>
        <v>867.375</v>
      </c>
      <c r="AY439" s="12">
        <v>0</v>
      </c>
      <c r="AZ439" s="12">
        <v>0</v>
      </c>
      <c r="BA439" s="12">
        <v>1216.575</v>
      </c>
      <c r="BB439" s="12">
        <f t="shared" si="169"/>
        <v>1216.575</v>
      </c>
      <c r="BC439" s="12">
        <v>0</v>
      </c>
      <c r="BD439" s="12">
        <v>0</v>
      </c>
      <c r="BE439" s="12">
        <v>349.19999999999982</v>
      </c>
      <c r="BF439" s="12">
        <v>349.19999999999982</v>
      </c>
    </row>
    <row r="440" spans="1:58" x14ac:dyDescent="0.25">
      <c r="A440" s="7">
        <v>4105</v>
      </c>
      <c r="B440" s="7">
        <v>7</v>
      </c>
      <c r="C440" s="7" t="s">
        <v>441</v>
      </c>
      <c r="D440" s="4">
        <v>7</v>
      </c>
      <c r="E440" s="10">
        <v>405</v>
      </c>
      <c r="F440" s="8">
        <f t="shared" si="148"/>
        <v>11535.5</v>
      </c>
      <c r="G440" s="8">
        <f t="shared" si="149"/>
        <v>8437.880000000001</v>
      </c>
      <c r="H440" s="8">
        <f t="shared" si="150"/>
        <v>16227</v>
      </c>
      <c r="I440" s="8">
        <f t="shared" si="151"/>
        <v>1.9999999998872227</v>
      </c>
      <c r="J440" s="8">
        <f t="shared" si="152"/>
        <v>36202.379999999888</v>
      </c>
      <c r="K440" s="8">
        <f t="shared" si="153"/>
        <v>255.60000000000036</v>
      </c>
      <c r="L440" s="8">
        <f t="shared" si="154"/>
        <v>36457.979999999887</v>
      </c>
      <c r="M440" s="8">
        <f t="shared" si="155"/>
        <v>89.388592592592317</v>
      </c>
      <c r="N440" s="8">
        <f t="shared" si="156"/>
        <v>11306</v>
      </c>
      <c r="O440" s="8">
        <f t="shared" si="157"/>
        <v>111</v>
      </c>
      <c r="P440" s="8">
        <f t="shared" si="158"/>
        <v>0</v>
      </c>
      <c r="Q440" s="8">
        <f t="shared" si="159"/>
        <v>70.5</v>
      </c>
      <c r="R440" s="8">
        <f t="shared" si="160"/>
        <v>48</v>
      </c>
      <c r="S440" s="8">
        <f t="shared" si="161"/>
        <v>0</v>
      </c>
      <c r="T440" s="8">
        <f t="shared" si="162"/>
        <v>8437.880000000001</v>
      </c>
      <c r="U440" s="8">
        <f t="shared" si="163"/>
        <v>16227</v>
      </c>
      <c r="V440" s="8">
        <f t="shared" si="164"/>
        <v>2</v>
      </c>
      <c r="W440" s="8">
        <f t="shared" si="165"/>
        <v>0</v>
      </c>
      <c r="X440" s="8">
        <f t="shared" si="166"/>
        <v>36202.379999999888</v>
      </c>
      <c r="Y440" s="10">
        <v>2625764</v>
      </c>
      <c r="Z440" s="10">
        <v>25604</v>
      </c>
      <c r="AA440" s="10">
        <v>117</v>
      </c>
      <c r="AB440" s="10">
        <v>14007</v>
      </c>
      <c r="AC440" s="10">
        <v>12298</v>
      </c>
      <c r="AD440" s="10">
        <v>0</v>
      </c>
      <c r="AE440" s="10">
        <v>0</v>
      </c>
      <c r="AF440" s="10">
        <v>0</v>
      </c>
      <c r="AG440" s="10">
        <v>52892</v>
      </c>
      <c r="AH440" s="10">
        <f t="shared" si="167"/>
        <v>207292.05420000013</v>
      </c>
      <c r="AI440" s="10">
        <v>2937974.0542000001</v>
      </c>
      <c r="AJ440" s="10">
        <v>2637070</v>
      </c>
      <c r="AK440" s="10">
        <v>25715</v>
      </c>
      <c r="AL440" s="10">
        <v>117</v>
      </c>
      <c r="AM440" s="10">
        <v>14077.5</v>
      </c>
      <c r="AN440" s="10">
        <v>12346</v>
      </c>
      <c r="AO440" s="10">
        <v>0</v>
      </c>
      <c r="AP440" s="10">
        <v>8437.880000000001</v>
      </c>
      <c r="AQ440" s="10">
        <v>16227</v>
      </c>
      <c r="AR440" s="10">
        <v>52894</v>
      </c>
      <c r="AS440" s="10">
        <f t="shared" si="170"/>
        <v>207292.05420000013</v>
      </c>
      <c r="AT440" s="10">
        <v>2974176.4342</v>
      </c>
      <c r="AU440" s="12">
        <v>0</v>
      </c>
      <c r="AV440" s="12">
        <v>0</v>
      </c>
      <c r="AW440" s="12">
        <v>739.625</v>
      </c>
      <c r="AX440" s="12">
        <f t="shared" si="168"/>
        <v>739.625</v>
      </c>
      <c r="AY440" s="12">
        <v>0</v>
      </c>
      <c r="AZ440" s="12">
        <v>0</v>
      </c>
      <c r="BA440" s="12">
        <v>995.22500000000002</v>
      </c>
      <c r="BB440" s="12">
        <f t="shared" si="169"/>
        <v>995.22500000000002</v>
      </c>
      <c r="BC440" s="12">
        <v>0</v>
      </c>
      <c r="BD440" s="12">
        <v>0</v>
      </c>
      <c r="BE440" s="12">
        <v>255.60000000000036</v>
      </c>
      <c r="BF440" s="12">
        <v>255.60000000000036</v>
      </c>
    </row>
    <row r="441" spans="1:58" x14ac:dyDescent="0.25">
      <c r="A441" s="7">
        <v>4106</v>
      </c>
      <c r="B441" s="7">
        <v>7</v>
      </c>
      <c r="C441" s="7" t="s">
        <v>442</v>
      </c>
      <c r="D441" s="4">
        <v>7</v>
      </c>
      <c r="E441" s="10">
        <v>225</v>
      </c>
      <c r="F441" s="8">
        <f t="shared" si="148"/>
        <v>7993.75</v>
      </c>
      <c r="G441" s="8">
        <f t="shared" si="149"/>
        <v>5828.6</v>
      </c>
      <c r="H441" s="8">
        <f t="shared" si="150"/>
        <v>0</v>
      </c>
      <c r="I441" s="8">
        <f t="shared" si="151"/>
        <v>-474.99999999990723</v>
      </c>
      <c r="J441" s="8">
        <f t="shared" si="152"/>
        <v>13347.350000000093</v>
      </c>
      <c r="K441" s="8">
        <f t="shared" si="153"/>
        <v>1022.3999999999996</v>
      </c>
      <c r="L441" s="8">
        <f t="shared" si="154"/>
        <v>14369.750000000093</v>
      </c>
      <c r="M441" s="8">
        <f t="shared" si="155"/>
        <v>59.321555555555967</v>
      </c>
      <c r="N441" s="8">
        <f t="shared" si="156"/>
        <v>6615</v>
      </c>
      <c r="O441" s="8">
        <f t="shared" si="157"/>
        <v>0</v>
      </c>
      <c r="P441" s="8">
        <f t="shared" si="158"/>
        <v>168</v>
      </c>
      <c r="Q441" s="8">
        <f t="shared" si="159"/>
        <v>1182.75</v>
      </c>
      <c r="R441" s="8">
        <f t="shared" si="160"/>
        <v>28</v>
      </c>
      <c r="S441" s="8">
        <f t="shared" si="161"/>
        <v>0</v>
      </c>
      <c r="T441" s="8">
        <f t="shared" si="162"/>
        <v>5828.6</v>
      </c>
      <c r="U441" s="8">
        <f t="shared" si="163"/>
        <v>0</v>
      </c>
      <c r="V441" s="8">
        <f t="shared" si="164"/>
        <v>1</v>
      </c>
      <c r="W441" s="8">
        <f t="shared" si="165"/>
        <v>-476</v>
      </c>
      <c r="X441" s="8">
        <f t="shared" si="166"/>
        <v>13347.350000000093</v>
      </c>
      <c r="Y441" s="10">
        <v>1536268</v>
      </c>
      <c r="Z441" s="10">
        <v>0</v>
      </c>
      <c r="AA441" s="10">
        <v>38893</v>
      </c>
      <c r="AB441" s="10">
        <v>234989</v>
      </c>
      <c r="AC441" s="10">
        <v>7195</v>
      </c>
      <c r="AD441" s="10">
        <v>0</v>
      </c>
      <c r="AE441" s="10">
        <v>0</v>
      </c>
      <c r="AF441" s="10">
        <v>0</v>
      </c>
      <c r="AG441" s="10">
        <v>30946</v>
      </c>
      <c r="AH441" s="10">
        <f t="shared" si="167"/>
        <v>44477.65000000014</v>
      </c>
      <c r="AI441" s="10">
        <v>1892768.6500000001</v>
      </c>
      <c r="AJ441" s="10">
        <v>1542883</v>
      </c>
      <c r="AK441" s="10">
        <v>0</v>
      </c>
      <c r="AL441" s="10">
        <v>39061</v>
      </c>
      <c r="AM441" s="10">
        <v>236171.75</v>
      </c>
      <c r="AN441" s="10">
        <v>7223</v>
      </c>
      <c r="AO441" s="10">
        <v>0</v>
      </c>
      <c r="AP441" s="10">
        <v>5828.6</v>
      </c>
      <c r="AQ441" s="10">
        <v>0</v>
      </c>
      <c r="AR441" s="10">
        <v>30947</v>
      </c>
      <c r="AS441" s="10">
        <f t="shared" si="170"/>
        <v>44001.65000000014</v>
      </c>
      <c r="AT441" s="10">
        <v>1906116.0000000002</v>
      </c>
      <c r="AU441" s="12">
        <v>0</v>
      </c>
      <c r="AV441" s="12">
        <v>0</v>
      </c>
      <c r="AW441" s="12">
        <v>1486.875</v>
      </c>
      <c r="AX441" s="12">
        <f t="shared" si="168"/>
        <v>1486.875</v>
      </c>
      <c r="AY441" s="12">
        <v>0</v>
      </c>
      <c r="AZ441" s="12">
        <v>0</v>
      </c>
      <c r="BA441" s="12">
        <v>2509.2750000000001</v>
      </c>
      <c r="BB441" s="12">
        <f t="shared" si="169"/>
        <v>2509.2750000000001</v>
      </c>
      <c r="BC441" s="12">
        <v>0</v>
      </c>
      <c r="BD441" s="12">
        <v>0</v>
      </c>
      <c r="BE441" s="12">
        <v>1022.3999999999996</v>
      </c>
      <c r="BF441" s="12">
        <v>1022.3999999999996</v>
      </c>
    </row>
    <row r="442" spans="1:58" x14ac:dyDescent="0.25">
      <c r="A442" s="7">
        <v>4107</v>
      </c>
      <c r="B442" s="7">
        <v>7</v>
      </c>
      <c r="C442" s="7" t="s">
        <v>443</v>
      </c>
      <c r="D442" s="4">
        <v>7</v>
      </c>
      <c r="E442" s="10">
        <v>94</v>
      </c>
      <c r="F442" s="8">
        <f t="shared" si="148"/>
        <v>3843.25</v>
      </c>
      <c r="G442" s="8">
        <f t="shared" si="149"/>
        <v>2705.9199999999996</v>
      </c>
      <c r="H442" s="8">
        <f t="shared" si="150"/>
        <v>0</v>
      </c>
      <c r="I442" s="8">
        <f t="shared" si="151"/>
        <v>-198.99999999995771</v>
      </c>
      <c r="J442" s="8">
        <f t="shared" si="152"/>
        <v>6350.1700000000419</v>
      </c>
      <c r="K442" s="8">
        <f t="shared" si="153"/>
        <v>360</v>
      </c>
      <c r="L442" s="8">
        <f t="shared" si="154"/>
        <v>6710.1700000000419</v>
      </c>
      <c r="M442" s="8">
        <f t="shared" si="155"/>
        <v>67.555000000000447</v>
      </c>
      <c r="N442" s="8">
        <f t="shared" si="156"/>
        <v>2770</v>
      </c>
      <c r="O442" s="8">
        <f t="shared" si="157"/>
        <v>0</v>
      </c>
      <c r="P442" s="8">
        <f t="shared" si="158"/>
        <v>71</v>
      </c>
      <c r="Q442" s="8">
        <f t="shared" si="159"/>
        <v>990.25</v>
      </c>
      <c r="R442" s="8">
        <f t="shared" si="160"/>
        <v>12</v>
      </c>
      <c r="S442" s="8">
        <f t="shared" si="161"/>
        <v>0</v>
      </c>
      <c r="T442" s="8">
        <f t="shared" si="162"/>
        <v>2705.9199999999996</v>
      </c>
      <c r="U442" s="8">
        <f t="shared" si="163"/>
        <v>0</v>
      </c>
      <c r="V442" s="8">
        <f t="shared" si="164"/>
        <v>1</v>
      </c>
      <c r="W442" s="8">
        <f t="shared" si="165"/>
        <v>-200</v>
      </c>
      <c r="X442" s="8">
        <f t="shared" si="166"/>
        <v>6350.1700000000419</v>
      </c>
      <c r="Y442" s="10">
        <v>643305</v>
      </c>
      <c r="Z442" s="10">
        <v>0</v>
      </c>
      <c r="AA442" s="10">
        <v>16286</v>
      </c>
      <c r="AB442" s="10">
        <v>196743</v>
      </c>
      <c r="AC442" s="10">
        <v>3013</v>
      </c>
      <c r="AD442" s="10">
        <v>0</v>
      </c>
      <c r="AE442" s="10">
        <v>0</v>
      </c>
      <c r="AF442" s="10">
        <v>0</v>
      </c>
      <c r="AG442" s="10">
        <v>12958</v>
      </c>
      <c r="AH442" s="10">
        <f t="shared" si="167"/>
        <v>27074.959999999963</v>
      </c>
      <c r="AI442" s="10">
        <v>899379.96</v>
      </c>
      <c r="AJ442" s="10">
        <v>646075</v>
      </c>
      <c r="AK442" s="10">
        <v>0</v>
      </c>
      <c r="AL442" s="10">
        <v>16357</v>
      </c>
      <c r="AM442" s="10">
        <v>197733.25</v>
      </c>
      <c r="AN442" s="10">
        <v>3025</v>
      </c>
      <c r="AO442" s="10">
        <v>0</v>
      </c>
      <c r="AP442" s="10">
        <v>2705.9199999999996</v>
      </c>
      <c r="AQ442" s="10">
        <v>0</v>
      </c>
      <c r="AR442" s="10">
        <v>12959</v>
      </c>
      <c r="AS442" s="10">
        <f t="shared" si="170"/>
        <v>26874.959999999963</v>
      </c>
      <c r="AT442" s="10">
        <v>905730.13</v>
      </c>
      <c r="AU442" s="12">
        <v>0</v>
      </c>
      <c r="AV442" s="12">
        <v>0</v>
      </c>
      <c r="AW442" s="12">
        <v>1121.375</v>
      </c>
      <c r="AX442" s="12">
        <f t="shared" si="168"/>
        <v>1121.375</v>
      </c>
      <c r="AY442" s="12">
        <v>0</v>
      </c>
      <c r="AZ442" s="12">
        <v>0</v>
      </c>
      <c r="BA442" s="12">
        <v>1481.375</v>
      </c>
      <c r="BB442" s="12">
        <f t="shared" si="169"/>
        <v>1481.375</v>
      </c>
      <c r="BC442" s="12">
        <v>0</v>
      </c>
      <c r="BD442" s="12">
        <v>0</v>
      </c>
      <c r="BE442" s="12">
        <v>360</v>
      </c>
      <c r="BF442" s="12">
        <v>360</v>
      </c>
    </row>
    <row r="443" spans="1:58" x14ac:dyDescent="0.25">
      <c r="A443" s="7">
        <v>4108</v>
      </c>
      <c r="B443" s="7">
        <v>7</v>
      </c>
      <c r="C443" s="7" t="s">
        <v>444</v>
      </c>
      <c r="D443" s="4">
        <v>7</v>
      </c>
      <c r="E443" s="10">
        <v>0</v>
      </c>
      <c r="F443" s="8">
        <f t="shared" si="148"/>
        <v>0</v>
      </c>
      <c r="G443" s="8">
        <f t="shared" si="149"/>
        <v>0</v>
      </c>
      <c r="H443" s="8">
        <f t="shared" si="150"/>
        <v>0</v>
      </c>
      <c r="I443" s="8">
        <f t="shared" si="151"/>
        <v>0</v>
      </c>
      <c r="J443" s="8">
        <f t="shared" si="152"/>
        <v>0</v>
      </c>
      <c r="K443" s="8">
        <f t="shared" si="153"/>
        <v>0</v>
      </c>
      <c r="L443" s="8">
        <f t="shared" si="154"/>
        <v>0</v>
      </c>
      <c r="M443" s="8">
        <f t="shared" si="155"/>
        <v>0</v>
      </c>
      <c r="N443" s="8">
        <f t="shared" si="156"/>
        <v>0</v>
      </c>
      <c r="O443" s="8">
        <f t="shared" si="157"/>
        <v>0</v>
      </c>
      <c r="P443" s="8">
        <f t="shared" si="158"/>
        <v>0</v>
      </c>
      <c r="Q443" s="8">
        <f t="shared" si="159"/>
        <v>0</v>
      </c>
      <c r="R443" s="8">
        <f t="shared" si="160"/>
        <v>0</v>
      </c>
      <c r="S443" s="8">
        <f t="shared" si="161"/>
        <v>0</v>
      </c>
      <c r="T443" s="8">
        <f t="shared" si="162"/>
        <v>0</v>
      </c>
      <c r="U443" s="8">
        <f t="shared" si="163"/>
        <v>0</v>
      </c>
      <c r="V443" s="8">
        <f t="shared" si="164"/>
        <v>0</v>
      </c>
      <c r="W443" s="8">
        <f t="shared" si="165"/>
        <v>0</v>
      </c>
      <c r="X443" s="8">
        <f t="shared" si="166"/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</v>
      </c>
      <c r="AF443" s="10">
        <v>0</v>
      </c>
      <c r="AG443" s="10">
        <v>0</v>
      </c>
      <c r="AH443" s="10">
        <f t="shared" si="167"/>
        <v>0</v>
      </c>
      <c r="AI443" s="10">
        <v>0</v>
      </c>
      <c r="AJ443" s="10">
        <v>0</v>
      </c>
      <c r="AK443" s="10">
        <v>0</v>
      </c>
      <c r="AL443" s="10">
        <v>0</v>
      </c>
      <c r="AM443" s="10">
        <v>0</v>
      </c>
      <c r="AN443" s="10">
        <v>0</v>
      </c>
      <c r="AO443" s="10">
        <v>0</v>
      </c>
      <c r="AP443" s="10">
        <v>0</v>
      </c>
      <c r="AQ443" s="10">
        <v>0</v>
      </c>
      <c r="AR443" s="10">
        <v>0</v>
      </c>
      <c r="AS443" s="10">
        <f t="shared" si="170"/>
        <v>0</v>
      </c>
      <c r="AT443" s="10">
        <v>0</v>
      </c>
      <c r="AU443" s="12">
        <v>0</v>
      </c>
      <c r="AV443" s="12">
        <v>0</v>
      </c>
      <c r="AW443" s="12">
        <v>0</v>
      </c>
      <c r="AX443" s="12">
        <f t="shared" si="168"/>
        <v>0</v>
      </c>
      <c r="AY443" s="12">
        <v>0</v>
      </c>
      <c r="AZ443" s="12">
        <v>0</v>
      </c>
      <c r="BA443" s="12">
        <v>0</v>
      </c>
      <c r="BB443" s="12">
        <f t="shared" si="169"/>
        <v>0</v>
      </c>
      <c r="BC443" s="12">
        <v>0</v>
      </c>
      <c r="BD443" s="12">
        <v>0</v>
      </c>
      <c r="BE443" s="12">
        <v>0</v>
      </c>
      <c r="BF443" s="12">
        <v>0</v>
      </c>
    </row>
    <row r="444" spans="1:58" x14ac:dyDescent="0.25">
      <c r="A444" s="7">
        <v>4109</v>
      </c>
      <c r="B444" s="7">
        <v>7</v>
      </c>
      <c r="C444" s="7" t="s">
        <v>445</v>
      </c>
      <c r="D444" s="4">
        <v>7</v>
      </c>
      <c r="E444" s="10">
        <v>0</v>
      </c>
      <c r="F444" s="8">
        <f t="shared" si="148"/>
        <v>0</v>
      </c>
      <c r="G444" s="8">
        <f t="shared" si="149"/>
        <v>0</v>
      </c>
      <c r="H444" s="8">
        <f t="shared" si="150"/>
        <v>0</v>
      </c>
      <c r="I444" s="8">
        <f t="shared" si="151"/>
        <v>0</v>
      </c>
      <c r="J444" s="8">
        <f t="shared" si="152"/>
        <v>0</v>
      </c>
      <c r="K444" s="8">
        <f t="shared" si="153"/>
        <v>0</v>
      </c>
      <c r="L444" s="8">
        <f t="shared" si="154"/>
        <v>0</v>
      </c>
      <c r="M444" s="8">
        <f t="shared" si="155"/>
        <v>0</v>
      </c>
      <c r="N444" s="8">
        <f t="shared" si="156"/>
        <v>0</v>
      </c>
      <c r="O444" s="8">
        <f t="shared" si="157"/>
        <v>0</v>
      </c>
      <c r="P444" s="8">
        <f t="shared" si="158"/>
        <v>0</v>
      </c>
      <c r="Q444" s="8">
        <f t="shared" si="159"/>
        <v>0</v>
      </c>
      <c r="R444" s="8">
        <f t="shared" si="160"/>
        <v>0</v>
      </c>
      <c r="S444" s="8">
        <f t="shared" si="161"/>
        <v>0</v>
      </c>
      <c r="T444" s="8">
        <f t="shared" si="162"/>
        <v>0</v>
      </c>
      <c r="U444" s="8">
        <f t="shared" si="163"/>
        <v>0</v>
      </c>
      <c r="V444" s="8">
        <f t="shared" si="164"/>
        <v>0</v>
      </c>
      <c r="W444" s="8">
        <f t="shared" si="165"/>
        <v>0</v>
      </c>
      <c r="X444" s="8">
        <f t="shared" si="166"/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  <c r="AG444" s="10">
        <v>0</v>
      </c>
      <c r="AH444" s="10">
        <f t="shared" si="167"/>
        <v>0</v>
      </c>
      <c r="AI444" s="10">
        <v>0</v>
      </c>
      <c r="AJ444" s="10">
        <v>0</v>
      </c>
      <c r="AK444" s="10">
        <v>0</v>
      </c>
      <c r="AL444" s="10">
        <v>0</v>
      </c>
      <c r="AM444" s="10">
        <v>0</v>
      </c>
      <c r="AN444" s="10">
        <v>0</v>
      </c>
      <c r="AO444" s="10">
        <v>0</v>
      </c>
      <c r="AP444" s="10">
        <v>0</v>
      </c>
      <c r="AQ444" s="10">
        <v>0</v>
      </c>
      <c r="AR444" s="10">
        <v>0</v>
      </c>
      <c r="AS444" s="10">
        <f t="shared" si="170"/>
        <v>0</v>
      </c>
      <c r="AT444" s="10">
        <v>0</v>
      </c>
      <c r="AU444" s="12">
        <v>0</v>
      </c>
      <c r="AV444" s="12">
        <v>0</v>
      </c>
      <c r="AW444" s="12">
        <v>0</v>
      </c>
      <c r="AX444" s="12">
        <f t="shared" si="168"/>
        <v>0</v>
      </c>
      <c r="AY444" s="12">
        <v>0</v>
      </c>
      <c r="AZ444" s="12">
        <v>0</v>
      </c>
      <c r="BA444" s="12">
        <v>0</v>
      </c>
      <c r="BB444" s="12">
        <f t="shared" si="169"/>
        <v>0</v>
      </c>
      <c r="BC444" s="12">
        <v>0</v>
      </c>
      <c r="BD444" s="12">
        <v>0</v>
      </c>
      <c r="BE444" s="12">
        <v>0</v>
      </c>
      <c r="BF444" s="12">
        <v>0</v>
      </c>
    </row>
    <row r="445" spans="1:58" x14ac:dyDescent="0.25">
      <c r="A445" s="7">
        <v>4110</v>
      </c>
      <c r="B445" s="7">
        <v>7</v>
      </c>
      <c r="C445" s="7" t="s">
        <v>446</v>
      </c>
      <c r="D445" s="4">
        <v>7</v>
      </c>
      <c r="E445" s="10">
        <v>280</v>
      </c>
      <c r="F445" s="8">
        <f t="shared" si="148"/>
        <v>8741.5</v>
      </c>
      <c r="G445" s="8">
        <f t="shared" si="149"/>
        <v>0</v>
      </c>
      <c r="H445" s="8">
        <f t="shared" si="150"/>
        <v>0</v>
      </c>
      <c r="I445" s="8">
        <f t="shared" si="151"/>
        <v>2</v>
      </c>
      <c r="J445" s="8">
        <f t="shared" si="152"/>
        <v>8743.5</v>
      </c>
      <c r="K445" s="8">
        <f t="shared" si="153"/>
        <v>0</v>
      </c>
      <c r="L445" s="8">
        <f t="shared" si="154"/>
        <v>8743.5</v>
      </c>
      <c r="M445" s="8">
        <f t="shared" si="155"/>
        <v>31.226785714285715</v>
      </c>
      <c r="N445" s="8">
        <f t="shared" si="156"/>
        <v>8400</v>
      </c>
      <c r="O445" s="8">
        <f t="shared" si="157"/>
        <v>0</v>
      </c>
      <c r="P445" s="8">
        <f t="shared" si="158"/>
        <v>0</v>
      </c>
      <c r="Q445" s="8">
        <f t="shared" si="159"/>
        <v>306.5</v>
      </c>
      <c r="R445" s="8">
        <f t="shared" si="160"/>
        <v>35</v>
      </c>
      <c r="S445" s="8">
        <f t="shared" si="161"/>
        <v>0</v>
      </c>
      <c r="T445" s="8">
        <f t="shared" si="162"/>
        <v>0</v>
      </c>
      <c r="U445" s="8">
        <f t="shared" si="163"/>
        <v>0</v>
      </c>
      <c r="V445" s="8">
        <f t="shared" si="164"/>
        <v>2</v>
      </c>
      <c r="W445" s="8">
        <f t="shared" si="165"/>
        <v>0</v>
      </c>
      <c r="X445" s="8">
        <f t="shared" si="166"/>
        <v>8743.5</v>
      </c>
      <c r="Y445" s="10">
        <v>1950816</v>
      </c>
      <c r="Z445" s="10">
        <v>0</v>
      </c>
      <c r="AA445" s="10">
        <v>87</v>
      </c>
      <c r="AB445" s="10">
        <v>60895</v>
      </c>
      <c r="AC445" s="10">
        <v>9137</v>
      </c>
      <c r="AD445" s="10">
        <v>0</v>
      </c>
      <c r="AE445" s="10">
        <v>70750</v>
      </c>
      <c r="AF445" s="10">
        <v>0</v>
      </c>
      <c r="AG445" s="10">
        <v>39296</v>
      </c>
      <c r="AH445" s="10">
        <f t="shared" si="167"/>
        <v>107640.12999999989</v>
      </c>
      <c r="AI445" s="10">
        <v>2238621.13</v>
      </c>
      <c r="AJ445" s="10">
        <v>1959216</v>
      </c>
      <c r="AK445" s="10">
        <v>0</v>
      </c>
      <c r="AL445" s="10">
        <v>87</v>
      </c>
      <c r="AM445" s="10">
        <v>61201.5</v>
      </c>
      <c r="AN445" s="10">
        <v>9172</v>
      </c>
      <c r="AO445" s="10">
        <v>0</v>
      </c>
      <c r="AP445" s="10">
        <v>70750</v>
      </c>
      <c r="AQ445" s="10">
        <v>0</v>
      </c>
      <c r="AR445" s="10">
        <v>39298</v>
      </c>
      <c r="AS445" s="10">
        <f t="shared" si="170"/>
        <v>107640.12999999989</v>
      </c>
      <c r="AT445" s="10">
        <v>2247364.63</v>
      </c>
      <c r="AU445" s="12">
        <v>0</v>
      </c>
      <c r="AV445" s="12">
        <v>0</v>
      </c>
      <c r="AW445" s="12">
        <v>0</v>
      </c>
      <c r="AX445" s="12">
        <f t="shared" si="168"/>
        <v>0</v>
      </c>
      <c r="AY445" s="12">
        <v>0</v>
      </c>
      <c r="AZ445" s="12">
        <v>0</v>
      </c>
      <c r="BA445" s="12">
        <v>0</v>
      </c>
      <c r="BB445" s="12">
        <f t="shared" si="169"/>
        <v>0</v>
      </c>
      <c r="BC445" s="12">
        <v>0</v>
      </c>
      <c r="BD445" s="12">
        <v>0</v>
      </c>
      <c r="BE445" s="12">
        <v>0</v>
      </c>
      <c r="BF445" s="12">
        <v>0</v>
      </c>
    </row>
    <row r="446" spans="1:58" x14ac:dyDescent="0.25">
      <c r="A446" s="7">
        <v>4111</v>
      </c>
      <c r="B446" s="7">
        <v>7</v>
      </c>
      <c r="C446" s="7" t="s">
        <v>447</v>
      </c>
      <c r="D446" s="4">
        <v>7</v>
      </c>
      <c r="E446" s="10">
        <v>170</v>
      </c>
      <c r="F446" s="8">
        <f t="shared" si="148"/>
        <v>7446</v>
      </c>
      <c r="G446" s="8">
        <f t="shared" si="149"/>
        <v>4439.3999999999996</v>
      </c>
      <c r="H446" s="8">
        <f t="shared" si="150"/>
        <v>0</v>
      </c>
      <c r="I446" s="8">
        <f t="shared" si="151"/>
        <v>0.99999999990723154</v>
      </c>
      <c r="J446" s="8">
        <f t="shared" si="152"/>
        <v>11886.399999999907</v>
      </c>
      <c r="K446" s="8">
        <f t="shared" si="153"/>
        <v>12</v>
      </c>
      <c r="L446" s="8">
        <f t="shared" si="154"/>
        <v>11898.399999999907</v>
      </c>
      <c r="M446" s="8">
        <f t="shared" si="155"/>
        <v>69.919999999999447</v>
      </c>
      <c r="N446" s="8">
        <f t="shared" si="156"/>
        <v>5100</v>
      </c>
      <c r="O446" s="8">
        <f t="shared" si="157"/>
        <v>0</v>
      </c>
      <c r="P446" s="8">
        <f t="shared" si="158"/>
        <v>0</v>
      </c>
      <c r="Q446" s="8">
        <f t="shared" si="159"/>
        <v>2325</v>
      </c>
      <c r="R446" s="8">
        <f t="shared" si="160"/>
        <v>21</v>
      </c>
      <c r="S446" s="8">
        <f t="shared" si="161"/>
        <v>0</v>
      </c>
      <c r="T446" s="8">
        <f t="shared" si="162"/>
        <v>4439.3999999999996</v>
      </c>
      <c r="U446" s="8">
        <f t="shared" si="163"/>
        <v>0</v>
      </c>
      <c r="V446" s="8">
        <f t="shared" si="164"/>
        <v>1</v>
      </c>
      <c r="W446" s="8">
        <f t="shared" si="165"/>
        <v>0</v>
      </c>
      <c r="X446" s="8">
        <f t="shared" si="166"/>
        <v>11886.399999999907</v>
      </c>
      <c r="Y446" s="10">
        <v>1184424</v>
      </c>
      <c r="Z446" s="10">
        <v>0</v>
      </c>
      <c r="AA446" s="10">
        <v>53</v>
      </c>
      <c r="AB446" s="10">
        <v>461931</v>
      </c>
      <c r="AC446" s="10">
        <v>5548</v>
      </c>
      <c r="AD446" s="10">
        <v>0</v>
      </c>
      <c r="AE446" s="10">
        <v>0</v>
      </c>
      <c r="AF446" s="10">
        <v>0</v>
      </c>
      <c r="AG446" s="10">
        <v>23858</v>
      </c>
      <c r="AH446" s="10">
        <f t="shared" si="167"/>
        <v>62626.649999999907</v>
      </c>
      <c r="AI446" s="10">
        <v>1738440.65</v>
      </c>
      <c r="AJ446" s="10">
        <v>1189524</v>
      </c>
      <c r="AK446" s="10">
        <v>0</v>
      </c>
      <c r="AL446" s="10">
        <v>53</v>
      </c>
      <c r="AM446" s="10">
        <v>464256</v>
      </c>
      <c r="AN446" s="10">
        <v>5569</v>
      </c>
      <c r="AO446" s="10">
        <v>0</v>
      </c>
      <c r="AP446" s="10">
        <v>4439.3999999999996</v>
      </c>
      <c r="AQ446" s="10">
        <v>0</v>
      </c>
      <c r="AR446" s="10">
        <v>23859</v>
      </c>
      <c r="AS446" s="10">
        <f t="shared" si="170"/>
        <v>62626.649999999907</v>
      </c>
      <c r="AT446" s="10">
        <v>1750327.0499999998</v>
      </c>
      <c r="AU446" s="12">
        <v>0</v>
      </c>
      <c r="AV446" s="12">
        <v>0</v>
      </c>
      <c r="AW446" s="12">
        <v>608.25</v>
      </c>
      <c r="AX446" s="12">
        <f t="shared" si="168"/>
        <v>608.25</v>
      </c>
      <c r="AY446" s="12">
        <v>0</v>
      </c>
      <c r="AZ446" s="12">
        <v>0</v>
      </c>
      <c r="BA446" s="12">
        <v>620.25</v>
      </c>
      <c r="BB446" s="12">
        <f t="shared" si="169"/>
        <v>620.25</v>
      </c>
      <c r="BC446" s="12">
        <v>0</v>
      </c>
      <c r="BD446" s="12">
        <v>0</v>
      </c>
      <c r="BE446" s="12">
        <v>12</v>
      </c>
      <c r="BF446" s="12">
        <v>12</v>
      </c>
    </row>
    <row r="447" spans="1:58" x14ac:dyDescent="0.25">
      <c r="A447" s="7">
        <v>4112</v>
      </c>
      <c r="B447" s="7">
        <v>7</v>
      </c>
      <c r="C447" s="7" t="s">
        <v>448</v>
      </c>
      <c r="D447" s="4">
        <v>7</v>
      </c>
      <c r="E447" s="10">
        <v>620</v>
      </c>
      <c r="F447" s="8">
        <f t="shared" si="148"/>
        <v>19008.25</v>
      </c>
      <c r="G447" s="8">
        <f t="shared" si="149"/>
        <v>0</v>
      </c>
      <c r="H447" s="8">
        <f t="shared" si="150"/>
        <v>0</v>
      </c>
      <c r="I447" s="8">
        <f t="shared" si="151"/>
        <v>4</v>
      </c>
      <c r="J447" s="8">
        <f t="shared" si="152"/>
        <v>19012.25</v>
      </c>
      <c r="K447" s="8">
        <f t="shared" si="153"/>
        <v>0</v>
      </c>
      <c r="L447" s="8">
        <f t="shared" si="154"/>
        <v>19012.25</v>
      </c>
      <c r="M447" s="8">
        <f t="shared" si="155"/>
        <v>30.664919354838709</v>
      </c>
      <c r="N447" s="8">
        <f t="shared" si="156"/>
        <v>18600</v>
      </c>
      <c r="O447" s="8">
        <f t="shared" si="157"/>
        <v>134</v>
      </c>
      <c r="P447" s="8">
        <f t="shared" si="158"/>
        <v>1</v>
      </c>
      <c r="Q447" s="8">
        <f t="shared" si="159"/>
        <v>194.25</v>
      </c>
      <c r="R447" s="8">
        <f t="shared" si="160"/>
        <v>79</v>
      </c>
      <c r="S447" s="8">
        <f t="shared" si="161"/>
        <v>0</v>
      </c>
      <c r="T447" s="8">
        <f t="shared" si="162"/>
        <v>0</v>
      </c>
      <c r="U447" s="8">
        <f t="shared" si="163"/>
        <v>0</v>
      </c>
      <c r="V447" s="8">
        <f t="shared" si="164"/>
        <v>4</v>
      </c>
      <c r="W447" s="8">
        <f t="shared" si="165"/>
        <v>0</v>
      </c>
      <c r="X447" s="8">
        <f t="shared" si="166"/>
        <v>19012.25</v>
      </c>
      <c r="Y447" s="10">
        <v>4319664</v>
      </c>
      <c r="Z447" s="10">
        <v>31213</v>
      </c>
      <c r="AA447" s="10">
        <v>192</v>
      </c>
      <c r="AB447" s="10">
        <v>38594</v>
      </c>
      <c r="AC447" s="10">
        <v>20232</v>
      </c>
      <c r="AD447" s="10">
        <v>0</v>
      </c>
      <c r="AE447" s="10">
        <v>152500</v>
      </c>
      <c r="AF447" s="10">
        <v>0</v>
      </c>
      <c r="AG447" s="10">
        <v>87013</v>
      </c>
      <c r="AH447" s="10">
        <f t="shared" si="167"/>
        <v>296495.97600000072</v>
      </c>
      <c r="AI447" s="10">
        <v>4945903.9760000007</v>
      </c>
      <c r="AJ447" s="10">
        <v>4338264</v>
      </c>
      <c r="AK447" s="10">
        <v>31347</v>
      </c>
      <c r="AL447" s="10">
        <v>193</v>
      </c>
      <c r="AM447" s="10">
        <v>38788.25</v>
      </c>
      <c r="AN447" s="10">
        <v>20311</v>
      </c>
      <c r="AO447" s="10">
        <v>0</v>
      </c>
      <c r="AP447" s="10">
        <v>152500</v>
      </c>
      <c r="AQ447" s="10">
        <v>0</v>
      </c>
      <c r="AR447" s="10">
        <v>87017</v>
      </c>
      <c r="AS447" s="10">
        <f t="shared" si="170"/>
        <v>296495.97600000072</v>
      </c>
      <c r="AT447" s="10">
        <v>4964916.2260000007</v>
      </c>
      <c r="AU447" s="12">
        <v>0</v>
      </c>
      <c r="AV447" s="12">
        <v>0</v>
      </c>
      <c r="AW447" s="12">
        <v>0</v>
      </c>
      <c r="AX447" s="12">
        <f t="shared" si="168"/>
        <v>0</v>
      </c>
      <c r="AY447" s="12">
        <v>0</v>
      </c>
      <c r="AZ447" s="12">
        <v>0</v>
      </c>
      <c r="BA447" s="12">
        <v>0</v>
      </c>
      <c r="BB447" s="12">
        <f t="shared" si="169"/>
        <v>0</v>
      </c>
      <c r="BC447" s="12">
        <v>0</v>
      </c>
      <c r="BD447" s="12">
        <v>0</v>
      </c>
      <c r="BE447" s="12">
        <v>0</v>
      </c>
      <c r="BF447" s="12">
        <v>0</v>
      </c>
    </row>
    <row r="448" spans="1:58" x14ac:dyDescent="0.25">
      <c r="A448" s="7">
        <v>4113</v>
      </c>
      <c r="B448" s="7">
        <v>7</v>
      </c>
      <c r="C448" s="7" t="s">
        <v>449</v>
      </c>
      <c r="D448" s="4">
        <v>7</v>
      </c>
      <c r="E448" s="10">
        <v>80</v>
      </c>
      <c r="F448" s="8">
        <f t="shared" si="148"/>
        <v>2206.75</v>
      </c>
      <c r="G448" s="8">
        <f t="shared" si="149"/>
        <v>5641.36</v>
      </c>
      <c r="H448" s="8">
        <f t="shared" si="150"/>
        <v>0</v>
      </c>
      <c r="I448" s="8">
        <f t="shared" si="151"/>
        <v>0.99999999998635758</v>
      </c>
      <c r="J448" s="8">
        <f t="shared" si="152"/>
        <v>7849.109999999986</v>
      </c>
      <c r="K448" s="8">
        <f t="shared" si="153"/>
        <v>0</v>
      </c>
      <c r="L448" s="8">
        <f t="shared" si="154"/>
        <v>7849.109999999986</v>
      </c>
      <c r="M448" s="8">
        <f t="shared" si="155"/>
        <v>98.113874999999823</v>
      </c>
      <c r="N448" s="8">
        <f t="shared" si="156"/>
        <v>2000</v>
      </c>
      <c r="O448" s="8">
        <f t="shared" si="157"/>
        <v>0</v>
      </c>
      <c r="P448" s="8">
        <f t="shared" si="158"/>
        <v>0</v>
      </c>
      <c r="Q448" s="8">
        <f t="shared" si="159"/>
        <v>197.75</v>
      </c>
      <c r="R448" s="8">
        <f t="shared" si="160"/>
        <v>9</v>
      </c>
      <c r="S448" s="8">
        <f t="shared" si="161"/>
        <v>0</v>
      </c>
      <c r="T448" s="8">
        <f t="shared" si="162"/>
        <v>5641.36</v>
      </c>
      <c r="U448" s="8">
        <f t="shared" si="163"/>
        <v>0</v>
      </c>
      <c r="V448" s="8">
        <f t="shared" si="164"/>
        <v>1</v>
      </c>
      <c r="W448" s="8">
        <f t="shared" si="165"/>
        <v>0</v>
      </c>
      <c r="X448" s="8">
        <f t="shared" si="166"/>
        <v>7849.109999999986</v>
      </c>
      <c r="Y448" s="10">
        <v>464480</v>
      </c>
      <c r="Z448" s="10">
        <v>0</v>
      </c>
      <c r="AA448" s="10">
        <v>21</v>
      </c>
      <c r="AB448" s="10">
        <v>39289</v>
      </c>
      <c r="AC448" s="10">
        <v>2175</v>
      </c>
      <c r="AD448" s="10">
        <v>0</v>
      </c>
      <c r="AE448" s="10">
        <v>0</v>
      </c>
      <c r="AF448" s="10">
        <v>0</v>
      </c>
      <c r="AG448" s="10">
        <v>9356</v>
      </c>
      <c r="AH448" s="10">
        <f t="shared" si="167"/>
        <v>27497.945000000065</v>
      </c>
      <c r="AI448" s="10">
        <v>542818.94500000007</v>
      </c>
      <c r="AJ448" s="10">
        <v>466480</v>
      </c>
      <c r="AK448" s="10">
        <v>0</v>
      </c>
      <c r="AL448" s="10">
        <v>21</v>
      </c>
      <c r="AM448" s="10">
        <v>39486.75</v>
      </c>
      <c r="AN448" s="10">
        <v>2184</v>
      </c>
      <c r="AO448" s="10">
        <v>0</v>
      </c>
      <c r="AP448" s="10">
        <v>5641.36</v>
      </c>
      <c r="AQ448" s="10">
        <v>0</v>
      </c>
      <c r="AR448" s="10">
        <v>9357</v>
      </c>
      <c r="AS448" s="10">
        <f t="shared" si="170"/>
        <v>27497.945000000065</v>
      </c>
      <c r="AT448" s="10">
        <v>550668.05500000005</v>
      </c>
      <c r="AU448" s="12">
        <v>0</v>
      </c>
      <c r="AV448" s="12">
        <v>0</v>
      </c>
      <c r="AW448" s="12">
        <v>0</v>
      </c>
      <c r="AX448" s="12">
        <f t="shared" si="168"/>
        <v>0</v>
      </c>
      <c r="AY448" s="12">
        <v>0</v>
      </c>
      <c r="AZ448" s="12">
        <v>0</v>
      </c>
      <c r="BA448" s="12">
        <v>0</v>
      </c>
      <c r="BB448" s="12">
        <f t="shared" si="169"/>
        <v>0</v>
      </c>
      <c r="BC448" s="12">
        <v>0</v>
      </c>
      <c r="BD448" s="12">
        <v>0</v>
      </c>
      <c r="BE448" s="12">
        <v>0</v>
      </c>
      <c r="BF448" s="12">
        <v>0</v>
      </c>
    </row>
    <row r="449" spans="1:58" x14ac:dyDescent="0.25">
      <c r="A449" s="7">
        <v>4114</v>
      </c>
      <c r="B449" s="7">
        <v>7</v>
      </c>
      <c r="C449" s="7" t="s">
        <v>450</v>
      </c>
      <c r="D449" s="4">
        <v>7</v>
      </c>
      <c r="E449" s="10">
        <v>0</v>
      </c>
      <c r="F449" s="8">
        <f t="shared" si="148"/>
        <v>0</v>
      </c>
      <c r="G449" s="8">
        <f t="shared" si="149"/>
        <v>0</v>
      </c>
      <c r="H449" s="8">
        <f t="shared" si="150"/>
        <v>0</v>
      </c>
      <c r="I449" s="8">
        <f t="shared" si="151"/>
        <v>0</v>
      </c>
      <c r="J449" s="8">
        <f t="shared" si="152"/>
        <v>0</v>
      </c>
      <c r="K449" s="8">
        <f t="shared" si="153"/>
        <v>0</v>
      </c>
      <c r="L449" s="8">
        <f t="shared" si="154"/>
        <v>0</v>
      </c>
      <c r="M449" s="8">
        <f t="shared" si="155"/>
        <v>0</v>
      </c>
      <c r="N449" s="8">
        <f t="shared" si="156"/>
        <v>0</v>
      </c>
      <c r="O449" s="8">
        <f t="shared" si="157"/>
        <v>0</v>
      </c>
      <c r="P449" s="8">
        <f t="shared" si="158"/>
        <v>0</v>
      </c>
      <c r="Q449" s="8">
        <f t="shared" si="159"/>
        <v>0</v>
      </c>
      <c r="R449" s="8">
        <f t="shared" si="160"/>
        <v>0</v>
      </c>
      <c r="S449" s="8">
        <f t="shared" si="161"/>
        <v>0</v>
      </c>
      <c r="T449" s="8">
        <f t="shared" si="162"/>
        <v>0</v>
      </c>
      <c r="U449" s="8">
        <f t="shared" si="163"/>
        <v>0</v>
      </c>
      <c r="V449" s="8">
        <f t="shared" si="164"/>
        <v>0</v>
      </c>
      <c r="W449" s="8">
        <f t="shared" si="165"/>
        <v>0</v>
      </c>
      <c r="X449" s="8">
        <f t="shared" si="166"/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  <c r="AG449" s="10">
        <v>0</v>
      </c>
      <c r="AH449" s="10">
        <f t="shared" si="167"/>
        <v>0</v>
      </c>
      <c r="AI449" s="10">
        <v>0</v>
      </c>
      <c r="AJ449" s="10">
        <v>0</v>
      </c>
      <c r="AK449" s="10">
        <v>0</v>
      </c>
      <c r="AL449" s="10">
        <v>0</v>
      </c>
      <c r="AM449" s="10">
        <v>0</v>
      </c>
      <c r="AN449" s="10">
        <v>0</v>
      </c>
      <c r="AO449" s="10">
        <v>0</v>
      </c>
      <c r="AP449" s="10">
        <v>0</v>
      </c>
      <c r="AQ449" s="10">
        <v>0</v>
      </c>
      <c r="AR449" s="10">
        <v>0</v>
      </c>
      <c r="AS449" s="10">
        <f t="shared" si="170"/>
        <v>0</v>
      </c>
      <c r="AT449" s="10">
        <v>0</v>
      </c>
      <c r="AU449" s="12">
        <v>0</v>
      </c>
      <c r="AV449" s="12">
        <v>0</v>
      </c>
      <c r="AW449" s="12">
        <v>0</v>
      </c>
      <c r="AX449" s="12">
        <f t="shared" si="168"/>
        <v>0</v>
      </c>
      <c r="AY449" s="12">
        <v>0</v>
      </c>
      <c r="AZ449" s="12">
        <v>0</v>
      </c>
      <c r="BA449" s="12">
        <v>0</v>
      </c>
      <c r="BB449" s="12">
        <f t="shared" si="169"/>
        <v>0</v>
      </c>
      <c r="BC449" s="12">
        <v>0</v>
      </c>
      <c r="BD449" s="12">
        <v>0</v>
      </c>
      <c r="BE449" s="12">
        <v>0</v>
      </c>
      <c r="BF449" s="12">
        <v>0</v>
      </c>
    </row>
    <row r="450" spans="1:58" x14ac:dyDescent="0.25">
      <c r="A450" s="7">
        <v>4115</v>
      </c>
      <c r="B450" s="7">
        <v>7</v>
      </c>
      <c r="C450" s="7" t="s">
        <v>451</v>
      </c>
      <c r="D450" s="4">
        <v>7</v>
      </c>
      <c r="E450" s="10">
        <v>100</v>
      </c>
      <c r="F450" s="8">
        <f t="shared" si="148"/>
        <v>4730.25</v>
      </c>
      <c r="G450" s="8">
        <f t="shared" si="149"/>
        <v>4252.16</v>
      </c>
      <c r="H450" s="8">
        <f t="shared" si="150"/>
        <v>1774</v>
      </c>
      <c r="I450" s="8">
        <f t="shared" si="151"/>
        <v>-8.3673512563109398E-11</v>
      </c>
      <c r="J450" s="8">
        <f t="shared" si="152"/>
        <v>10756.409999999916</v>
      </c>
      <c r="K450" s="8">
        <f t="shared" si="153"/>
        <v>812.40000000000146</v>
      </c>
      <c r="L450" s="8">
        <f t="shared" si="154"/>
        <v>11568.809999999918</v>
      </c>
      <c r="M450" s="8">
        <f t="shared" si="155"/>
        <v>107.56409999999916</v>
      </c>
      <c r="N450" s="8">
        <f t="shared" si="156"/>
        <v>2750</v>
      </c>
      <c r="O450" s="8">
        <f t="shared" si="157"/>
        <v>438</v>
      </c>
      <c r="P450" s="8">
        <f t="shared" si="158"/>
        <v>1</v>
      </c>
      <c r="Q450" s="8">
        <f t="shared" si="159"/>
        <v>1529.25</v>
      </c>
      <c r="R450" s="8">
        <f t="shared" si="160"/>
        <v>12</v>
      </c>
      <c r="S450" s="8">
        <f t="shared" si="161"/>
        <v>0</v>
      </c>
      <c r="T450" s="8">
        <f t="shared" si="162"/>
        <v>4252.16</v>
      </c>
      <c r="U450" s="8">
        <f t="shared" si="163"/>
        <v>1774</v>
      </c>
      <c r="V450" s="8">
        <f t="shared" si="164"/>
        <v>0</v>
      </c>
      <c r="W450" s="8">
        <f t="shared" si="165"/>
        <v>0</v>
      </c>
      <c r="X450" s="8">
        <f t="shared" si="166"/>
        <v>10756.409999999916</v>
      </c>
      <c r="Y450" s="10">
        <v>638660</v>
      </c>
      <c r="Z450" s="10">
        <v>101768</v>
      </c>
      <c r="AA450" s="10">
        <v>28</v>
      </c>
      <c r="AB450" s="10">
        <v>303831</v>
      </c>
      <c r="AC450" s="10">
        <v>2991</v>
      </c>
      <c r="AD450" s="10">
        <v>0</v>
      </c>
      <c r="AE450" s="10">
        <v>0</v>
      </c>
      <c r="AF450" s="10">
        <v>42930</v>
      </c>
      <c r="AG450" s="10">
        <v>12865</v>
      </c>
      <c r="AH450" s="10">
        <f t="shared" si="167"/>
        <v>34505.256599999964</v>
      </c>
      <c r="AI450" s="10">
        <v>1137578.2566</v>
      </c>
      <c r="AJ450" s="10">
        <v>641410</v>
      </c>
      <c r="AK450" s="10">
        <v>102206</v>
      </c>
      <c r="AL450" s="10">
        <v>29</v>
      </c>
      <c r="AM450" s="10">
        <v>305360.25</v>
      </c>
      <c r="AN450" s="10">
        <v>3003</v>
      </c>
      <c r="AO450" s="10">
        <v>0</v>
      </c>
      <c r="AP450" s="10">
        <v>4252.16</v>
      </c>
      <c r="AQ450" s="10">
        <v>44704</v>
      </c>
      <c r="AR450" s="10">
        <v>12865</v>
      </c>
      <c r="AS450" s="10">
        <f t="shared" si="170"/>
        <v>34505.256599999964</v>
      </c>
      <c r="AT450" s="10">
        <v>1148334.6665999999</v>
      </c>
      <c r="AU450" s="12">
        <v>0</v>
      </c>
      <c r="AV450" s="12">
        <v>0</v>
      </c>
      <c r="AW450" s="12">
        <v>2717.25</v>
      </c>
      <c r="AX450" s="12">
        <f t="shared" si="168"/>
        <v>2717.25</v>
      </c>
      <c r="AY450" s="12">
        <v>0</v>
      </c>
      <c r="AZ450" s="12">
        <v>0</v>
      </c>
      <c r="BA450" s="12">
        <v>3529.65</v>
      </c>
      <c r="BB450" s="12">
        <f t="shared" si="169"/>
        <v>3529.65</v>
      </c>
      <c r="BC450" s="12">
        <v>0</v>
      </c>
      <c r="BD450" s="12">
        <v>0</v>
      </c>
      <c r="BE450" s="12">
        <v>812.40000000000146</v>
      </c>
      <c r="BF450" s="12">
        <v>812.40000000000146</v>
      </c>
    </row>
    <row r="451" spans="1:58" x14ac:dyDescent="0.25">
      <c r="A451" s="7">
        <v>4116</v>
      </c>
      <c r="B451" s="7">
        <v>7</v>
      </c>
      <c r="C451" s="7" t="s">
        <v>452</v>
      </c>
      <c r="D451" s="4">
        <v>7</v>
      </c>
      <c r="E451" s="10">
        <v>791</v>
      </c>
      <c r="F451" s="8">
        <f t="shared" si="148"/>
        <v>18583</v>
      </c>
      <c r="G451" s="8">
        <f t="shared" si="149"/>
        <v>0</v>
      </c>
      <c r="H451" s="8">
        <f t="shared" si="150"/>
        <v>0</v>
      </c>
      <c r="I451" s="8">
        <f t="shared" si="151"/>
        <v>-1051</v>
      </c>
      <c r="J451" s="8">
        <f t="shared" si="152"/>
        <v>17532</v>
      </c>
      <c r="K451" s="8">
        <f t="shared" si="153"/>
        <v>0</v>
      </c>
      <c r="L451" s="8">
        <f t="shared" si="154"/>
        <v>17532</v>
      </c>
      <c r="M451" s="8">
        <f t="shared" si="155"/>
        <v>22.164348925410874</v>
      </c>
      <c r="N451" s="8">
        <f t="shared" si="156"/>
        <v>18200</v>
      </c>
      <c r="O451" s="8">
        <f t="shared" si="157"/>
        <v>0</v>
      </c>
      <c r="P451" s="8">
        <f t="shared" si="158"/>
        <v>205</v>
      </c>
      <c r="Q451" s="8">
        <f t="shared" si="159"/>
        <v>101</v>
      </c>
      <c r="R451" s="8">
        <f t="shared" si="160"/>
        <v>77</v>
      </c>
      <c r="S451" s="8">
        <f t="shared" si="161"/>
        <v>0</v>
      </c>
      <c r="T451" s="8">
        <f t="shared" si="162"/>
        <v>0</v>
      </c>
      <c r="U451" s="8">
        <f t="shared" si="163"/>
        <v>0</v>
      </c>
      <c r="V451" s="8">
        <f t="shared" si="164"/>
        <v>3</v>
      </c>
      <c r="W451" s="8">
        <f t="shared" si="165"/>
        <v>-1054</v>
      </c>
      <c r="X451" s="8">
        <f t="shared" si="166"/>
        <v>17532</v>
      </c>
      <c r="Y451" s="10">
        <v>4226768</v>
      </c>
      <c r="Z451" s="10">
        <v>0</v>
      </c>
      <c r="AA451" s="10">
        <v>47692</v>
      </c>
      <c r="AB451" s="10">
        <v>20067</v>
      </c>
      <c r="AC451" s="10">
        <v>19797</v>
      </c>
      <c r="AD451" s="10">
        <v>0</v>
      </c>
      <c r="AE451" s="10">
        <v>172750</v>
      </c>
      <c r="AF451" s="10">
        <v>0</v>
      </c>
      <c r="AG451" s="10">
        <v>85142</v>
      </c>
      <c r="AH451" s="10">
        <f t="shared" si="167"/>
        <v>-11042.639999999665</v>
      </c>
      <c r="AI451" s="10">
        <v>4561173.3600000003</v>
      </c>
      <c r="AJ451" s="10">
        <v>4244968</v>
      </c>
      <c r="AK451" s="10">
        <v>0</v>
      </c>
      <c r="AL451" s="10">
        <v>47897</v>
      </c>
      <c r="AM451" s="10">
        <v>20168</v>
      </c>
      <c r="AN451" s="10">
        <v>19874</v>
      </c>
      <c r="AO451" s="10">
        <v>0</v>
      </c>
      <c r="AP451" s="10">
        <v>172750</v>
      </c>
      <c r="AQ451" s="10">
        <v>0</v>
      </c>
      <c r="AR451" s="10">
        <v>85145</v>
      </c>
      <c r="AS451" s="10">
        <f t="shared" si="170"/>
        <v>-12096.639999999665</v>
      </c>
      <c r="AT451" s="10">
        <v>4578705.3600000003</v>
      </c>
      <c r="AU451" s="12">
        <v>0</v>
      </c>
      <c r="AV451" s="12">
        <v>0</v>
      </c>
      <c r="AW451" s="12">
        <v>0</v>
      </c>
      <c r="AX451" s="12">
        <f t="shared" si="168"/>
        <v>0</v>
      </c>
      <c r="AY451" s="12">
        <v>0</v>
      </c>
      <c r="AZ451" s="12">
        <v>0</v>
      </c>
      <c r="BA451" s="12">
        <v>0</v>
      </c>
      <c r="BB451" s="12">
        <f t="shared" si="169"/>
        <v>0</v>
      </c>
      <c r="BC451" s="12">
        <v>0</v>
      </c>
      <c r="BD451" s="12">
        <v>0</v>
      </c>
      <c r="BE451" s="12">
        <v>0</v>
      </c>
      <c r="BF451" s="12">
        <v>0</v>
      </c>
    </row>
    <row r="452" spans="1:58" x14ac:dyDescent="0.25">
      <c r="A452" s="7">
        <v>4118</v>
      </c>
      <c r="B452" s="7">
        <v>7</v>
      </c>
      <c r="C452" s="7" t="s">
        <v>453</v>
      </c>
      <c r="D452" s="4">
        <v>7</v>
      </c>
      <c r="E452" s="10">
        <v>533</v>
      </c>
      <c r="F452" s="8">
        <f t="shared" si="148"/>
        <v>13994.5</v>
      </c>
      <c r="G452" s="8">
        <f t="shared" si="149"/>
        <v>0</v>
      </c>
      <c r="H452" s="8">
        <f t="shared" si="150"/>
        <v>0</v>
      </c>
      <c r="I452" s="8">
        <f t="shared" si="151"/>
        <v>-705</v>
      </c>
      <c r="J452" s="8">
        <f t="shared" si="152"/>
        <v>13289.5</v>
      </c>
      <c r="K452" s="8">
        <f t="shared" si="153"/>
        <v>1520.4000000000015</v>
      </c>
      <c r="L452" s="8">
        <f t="shared" si="154"/>
        <v>14809.900000000001</v>
      </c>
      <c r="M452" s="8">
        <f t="shared" si="155"/>
        <v>24.933395872420263</v>
      </c>
      <c r="N452" s="8">
        <f t="shared" si="156"/>
        <v>13700</v>
      </c>
      <c r="O452" s="8">
        <f t="shared" si="157"/>
        <v>0</v>
      </c>
      <c r="P452" s="8">
        <f t="shared" si="158"/>
        <v>70</v>
      </c>
      <c r="Q452" s="8">
        <f t="shared" si="159"/>
        <v>166.5</v>
      </c>
      <c r="R452" s="8">
        <f t="shared" si="160"/>
        <v>58</v>
      </c>
      <c r="S452" s="8">
        <f t="shared" si="161"/>
        <v>0</v>
      </c>
      <c r="T452" s="8">
        <f t="shared" si="162"/>
        <v>0</v>
      </c>
      <c r="U452" s="8">
        <f t="shared" si="163"/>
        <v>0</v>
      </c>
      <c r="V452" s="8">
        <f t="shared" si="164"/>
        <v>3</v>
      </c>
      <c r="W452" s="8">
        <f t="shared" si="165"/>
        <v>-708</v>
      </c>
      <c r="X452" s="8">
        <f t="shared" si="166"/>
        <v>13289.5</v>
      </c>
      <c r="Y452" s="10">
        <v>3181688</v>
      </c>
      <c r="Z452" s="10">
        <v>0</v>
      </c>
      <c r="AA452" s="10">
        <v>16350</v>
      </c>
      <c r="AB452" s="10">
        <v>33080</v>
      </c>
      <c r="AC452" s="10">
        <v>14902</v>
      </c>
      <c r="AD452" s="10">
        <v>0</v>
      </c>
      <c r="AE452" s="10">
        <v>119000</v>
      </c>
      <c r="AF452" s="10">
        <v>0</v>
      </c>
      <c r="AG452" s="10">
        <v>64090</v>
      </c>
      <c r="AH452" s="10">
        <f t="shared" si="167"/>
        <v>105643.07800000021</v>
      </c>
      <c r="AI452" s="10">
        <v>3534753.0780000002</v>
      </c>
      <c r="AJ452" s="10">
        <v>3195388</v>
      </c>
      <c r="AK452" s="10">
        <v>0</v>
      </c>
      <c r="AL452" s="10">
        <v>16420</v>
      </c>
      <c r="AM452" s="10">
        <v>33246.5</v>
      </c>
      <c r="AN452" s="10">
        <v>14960</v>
      </c>
      <c r="AO452" s="10">
        <v>0</v>
      </c>
      <c r="AP452" s="10">
        <v>119000</v>
      </c>
      <c r="AQ452" s="10">
        <v>0</v>
      </c>
      <c r="AR452" s="10">
        <v>64093</v>
      </c>
      <c r="AS452" s="10">
        <f t="shared" si="170"/>
        <v>104935.07800000021</v>
      </c>
      <c r="AT452" s="10">
        <v>3548042.5780000002</v>
      </c>
      <c r="AU452" s="12">
        <v>0</v>
      </c>
      <c r="AV452" s="12">
        <v>0</v>
      </c>
      <c r="AW452" s="12">
        <v>3214.25</v>
      </c>
      <c r="AX452" s="12">
        <f t="shared" si="168"/>
        <v>3214.25</v>
      </c>
      <c r="AY452" s="12">
        <v>0</v>
      </c>
      <c r="AZ452" s="12">
        <v>0</v>
      </c>
      <c r="BA452" s="12">
        <v>4734.6499999999996</v>
      </c>
      <c r="BB452" s="12">
        <f t="shared" si="169"/>
        <v>4734.6499999999996</v>
      </c>
      <c r="BC452" s="12">
        <v>0</v>
      </c>
      <c r="BD452" s="12">
        <v>0</v>
      </c>
      <c r="BE452" s="12">
        <v>1520.4000000000015</v>
      </c>
      <c r="BF452" s="12">
        <v>1520.4000000000015</v>
      </c>
    </row>
    <row r="453" spans="1:58" x14ac:dyDescent="0.25">
      <c r="A453" s="7">
        <v>4119</v>
      </c>
      <c r="B453" s="7">
        <v>7</v>
      </c>
      <c r="C453" s="7" t="s">
        <v>454</v>
      </c>
      <c r="D453" s="4">
        <v>7</v>
      </c>
      <c r="E453" s="10">
        <v>93</v>
      </c>
      <c r="F453" s="8">
        <f t="shared" si="148"/>
        <v>3104.25</v>
      </c>
      <c r="G453" s="8">
        <f t="shared" si="149"/>
        <v>1419.4</v>
      </c>
      <c r="H453" s="8">
        <f t="shared" si="150"/>
        <v>0</v>
      </c>
      <c r="I453" s="8">
        <f t="shared" si="151"/>
        <v>1.0000000000231921</v>
      </c>
      <c r="J453" s="8">
        <f t="shared" si="152"/>
        <v>4524.6500000000233</v>
      </c>
      <c r="K453" s="8">
        <f t="shared" si="153"/>
        <v>0</v>
      </c>
      <c r="L453" s="8">
        <f t="shared" si="154"/>
        <v>4524.6500000000233</v>
      </c>
      <c r="M453" s="8">
        <f t="shared" si="155"/>
        <v>48.652150537634661</v>
      </c>
      <c r="N453" s="8">
        <f t="shared" si="156"/>
        <v>2790</v>
      </c>
      <c r="O453" s="8">
        <f t="shared" si="157"/>
        <v>0</v>
      </c>
      <c r="P453" s="8">
        <f t="shared" si="158"/>
        <v>0</v>
      </c>
      <c r="Q453" s="8">
        <f t="shared" si="159"/>
        <v>302.25</v>
      </c>
      <c r="R453" s="8">
        <f t="shared" si="160"/>
        <v>12</v>
      </c>
      <c r="S453" s="8">
        <f t="shared" si="161"/>
        <v>0</v>
      </c>
      <c r="T453" s="8">
        <f t="shared" si="162"/>
        <v>1419.4</v>
      </c>
      <c r="U453" s="8">
        <f t="shared" si="163"/>
        <v>0</v>
      </c>
      <c r="V453" s="8">
        <f t="shared" si="164"/>
        <v>1</v>
      </c>
      <c r="W453" s="8">
        <f t="shared" si="165"/>
        <v>0</v>
      </c>
      <c r="X453" s="8">
        <f t="shared" si="166"/>
        <v>4524.6500000000233</v>
      </c>
      <c r="Y453" s="10">
        <v>647950</v>
      </c>
      <c r="Z453" s="10">
        <v>0</v>
      </c>
      <c r="AA453" s="10">
        <v>29</v>
      </c>
      <c r="AB453" s="10">
        <v>60051</v>
      </c>
      <c r="AC453" s="10">
        <v>3035</v>
      </c>
      <c r="AD453" s="10">
        <v>0</v>
      </c>
      <c r="AE453" s="10">
        <v>0</v>
      </c>
      <c r="AF453" s="10">
        <v>0</v>
      </c>
      <c r="AG453" s="10">
        <v>13052</v>
      </c>
      <c r="AH453" s="10">
        <f t="shared" si="167"/>
        <v>42348.060000000056</v>
      </c>
      <c r="AI453" s="10">
        <v>766465.06</v>
      </c>
      <c r="AJ453" s="10">
        <v>650740</v>
      </c>
      <c r="AK453" s="10">
        <v>0</v>
      </c>
      <c r="AL453" s="10">
        <v>29</v>
      </c>
      <c r="AM453" s="10">
        <v>60353.25</v>
      </c>
      <c r="AN453" s="10">
        <v>3047</v>
      </c>
      <c r="AO453" s="10">
        <v>0</v>
      </c>
      <c r="AP453" s="10">
        <v>1419.4</v>
      </c>
      <c r="AQ453" s="10">
        <v>0</v>
      </c>
      <c r="AR453" s="10">
        <v>13053</v>
      </c>
      <c r="AS453" s="10">
        <f t="shared" si="170"/>
        <v>42348.060000000056</v>
      </c>
      <c r="AT453" s="10">
        <v>770989.71000000008</v>
      </c>
      <c r="AU453" s="12">
        <v>0</v>
      </c>
      <c r="AV453" s="12">
        <v>0</v>
      </c>
      <c r="AW453" s="12">
        <v>0</v>
      </c>
      <c r="AX453" s="12">
        <f t="shared" si="168"/>
        <v>0</v>
      </c>
      <c r="AY453" s="12">
        <v>0</v>
      </c>
      <c r="AZ453" s="12">
        <v>0</v>
      </c>
      <c r="BA453" s="12">
        <v>0</v>
      </c>
      <c r="BB453" s="12">
        <f t="shared" si="169"/>
        <v>0</v>
      </c>
      <c r="BC453" s="12">
        <v>0</v>
      </c>
      <c r="BD453" s="12">
        <v>0</v>
      </c>
      <c r="BE453" s="12">
        <v>0</v>
      </c>
      <c r="BF453" s="12">
        <v>0</v>
      </c>
    </row>
    <row r="454" spans="1:58" x14ac:dyDescent="0.25">
      <c r="A454" s="7">
        <v>4120</v>
      </c>
      <c r="B454" s="7">
        <v>7</v>
      </c>
      <c r="C454" s="7" t="s">
        <v>455</v>
      </c>
      <c r="D454" s="4">
        <v>7</v>
      </c>
      <c r="E454" s="10">
        <v>1124</v>
      </c>
      <c r="F454" s="8">
        <f t="shared" si="148"/>
        <v>30994.25</v>
      </c>
      <c r="G454" s="8">
        <f t="shared" si="149"/>
        <v>0</v>
      </c>
      <c r="H454" s="8">
        <f t="shared" si="150"/>
        <v>12997</v>
      </c>
      <c r="I454" s="8">
        <f t="shared" si="151"/>
        <v>-1621</v>
      </c>
      <c r="J454" s="8">
        <f t="shared" si="152"/>
        <v>42370.25</v>
      </c>
      <c r="K454" s="8">
        <f t="shared" si="153"/>
        <v>2018.8000000000029</v>
      </c>
      <c r="L454" s="8">
        <f t="shared" si="154"/>
        <v>44389.05</v>
      </c>
      <c r="M454" s="8">
        <f t="shared" si="155"/>
        <v>37.695951957295371</v>
      </c>
      <c r="N454" s="8">
        <f t="shared" si="156"/>
        <v>30570</v>
      </c>
      <c r="O454" s="8">
        <f t="shared" si="157"/>
        <v>0</v>
      </c>
      <c r="P454" s="8">
        <f t="shared" si="158"/>
        <v>202</v>
      </c>
      <c r="Q454" s="8">
        <f t="shared" si="159"/>
        <v>93.25</v>
      </c>
      <c r="R454" s="8">
        <f t="shared" si="160"/>
        <v>129</v>
      </c>
      <c r="S454" s="8">
        <f t="shared" si="161"/>
        <v>0</v>
      </c>
      <c r="T454" s="8">
        <f t="shared" si="162"/>
        <v>0</v>
      </c>
      <c r="U454" s="8">
        <f t="shared" si="163"/>
        <v>12997</v>
      </c>
      <c r="V454" s="8">
        <f t="shared" si="164"/>
        <v>6</v>
      </c>
      <c r="W454" s="8">
        <f t="shared" si="165"/>
        <v>-1627</v>
      </c>
      <c r="X454" s="8">
        <f t="shared" si="166"/>
        <v>42370.25</v>
      </c>
      <c r="Y454" s="10">
        <v>7099577</v>
      </c>
      <c r="Z454" s="10">
        <v>0</v>
      </c>
      <c r="AA454" s="10">
        <v>47063</v>
      </c>
      <c r="AB454" s="10">
        <v>18527</v>
      </c>
      <c r="AC454" s="10">
        <v>33252</v>
      </c>
      <c r="AD454" s="10">
        <v>0</v>
      </c>
      <c r="AE454" s="10">
        <v>276750</v>
      </c>
      <c r="AF454" s="10">
        <v>14854</v>
      </c>
      <c r="AG454" s="10">
        <v>143010</v>
      </c>
      <c r="AH454" s="10">
        <f t="shared" si="167"/>
        <v>4998.3300000000745</v>
      </c>
      <c r="AI454" s="10">
        <v>7638031.3300000001</v>
      </c>
      <c r="AJ454" s="10">
        <v>7130147</v>
      </c>
      <c r="AK454" s="10">
        <v>0</v>
      </c>
      <c r="AL454" s="10">
        <v>47265</v>
      </c>
      <c r="AM454" s="10">
        <v>18620.25</v>
      </c>
      <c r="AN454" s="10">
        <v>33381</v>
      </c>
      <c r="AO454" s="10">
        <v>0</v>
      </c>
      <c r="AP454" s="10">
        <v>276750</v>
      </c>
      <c r="AQ454" s="10">
        <v>27851</v>
      </c>
      <c r="AR454" s="10">
        <v>143016</v>
      </c>
      <c r="AS454" s="10">
        <f t="shared" si="170"/>
        <v>3371.3300000000745</v>
      </c>
      <c r="AT454" s="10">
        <v>7680401.5800000001</v>
      </c>
      <c r="AU454" s="12">
        <v>0</v>
      </c>
      <c r="AV454" s="12">
        <v>0</v>
      </c>
      <c r="AW454" s="12">
        <v>5828.875</v>
      </c>
      <c r="AX454" s="12">
        <f t="shared" si="168"/>
        <v>5828.875</v>
      </c>
      <c r="AY454" s="12">
        <v>0</v>
      </c>
      <c r="AZ454" s="12">
        <v>0</v>
      </c>
      <c r="BA454" s="12">
        <v>7847.6750000000002</v>
      </c>
      <c r="BB454" s="12">
        <f t="shared" si="169"/>
        <v>7847.6750000000002</v>
      </c>
      <c r="BC454" s="12">
        <v>0</v>
      </c>
      <c r="BD454" s="12">
        <v>0</v>
      </c>
      <c r="BE454" s="12">
        <v>2018.8000000000029</v>
      </c>
      <c r="BF454" s="12">
        <v>2018.8000000000029</v>
      </c>
    </row>
    <row r="455" spans="1:58" x14ac:dyDescent="0.25">
      <c r="A455" s="7">
        <v>4121</v>
      </c>
      <c r="B455" s="7">
        <v>7</v>
      </c>
      <c r="C455" s="7" t="s">
        <v>456</v>
      </c>
      <c r="D455" s="4">
        <v>7</v>
      </c>
      <c r="E455" s="10">
        <v>375</v>
      </c>
      <c r="F455" s="8">
        <f t="shared" si="148"/>
        <v>16624</v>
      </c>
      <c r="G455" s="8">
        <f t="shared" si="149"/>
        <v>6000.7400000000007</v>
      </c>
      <c r="H455" s="8">
        <f t="shared" si="150"/>
        <v>21106</v>
      </c>
      <c r="I455" s="8">
        <f t="shared" si="151"/>
        <v>2.0000000002219167</v>
      </c>
      <c r="J455" s="8">
        <f t="shared" si="152"/>
        <v>43732.740000000224</v>
      </c>
      <c r="K455" s="8">
        <f t="shared" si="153"/>
        <v>214</v>
      </c>
      <c r="L455" s="8">
        <f t="shared" si="154"/>
        <v>43946.740000000224</v>
      </c>
      <c r="M455" s="8">
        <f t="shared" si="155"/>
        <v>116.62064000000059</v>
      </c>
      <c r="N455" s="8">
        <f t="shared" si="156"/>
        <v>11250</v>
      </c>
      <c r="O455" s="8">
        <f t="shared" si="157"/>
        <v>0</v>
      </c>
      <c r="P455" s="8">
        <f t="shared" si="158"/>
        <v>1</v>
      </c>
      <c r="Q455" s="8">
        <f t="shared" si="159"/>
        <v>5325</v>
      </c>
      <c r="R455" s="8">
        <f t="shared" si="160"/>
        <v>48</v>
      </c>
      <c r="S455" s="8">
        <f t="shared" si="161"/>
        <v>0</v>
      </c>
      <c r="T455" s="8">
        <f t="shared" si="162"/>
        <v>6000.7400000000007</v>
      </c>
      <c r="U455" s="8">
        <f t="shared" si="163"/>
        <v>21106</v>
      </c>
      <c r="V455" s="8">
        <f t="shared" si="164"/>
        <v>2</v>
      </c>
      <c r="W455" s="8">
        <f t="shared" si="165"/>
        <v>0</v>
      </c>
      <c r="X455" s="8">
        <f t="shared" si="166"/>
        <v>43732.740000000224</v>
      </c>
      <c r="Y455" s="10">
        <v>2612700</v>
      </c>
      <c r="Z455" s="10">
        <v>0</v>
      </c>
      <c r="AA455" s="10">
        <v>116</v>
      </c>
      <c r="AB455" s="10">
        <v>1057971</v>
      </c>
      <c r="AC455" s="10">
        <v>12237</v>
      </c>
      <c r="AD455" s="10">
        <v>0</v>
      </c>
      <c r="AE455" s="10">
        <v>0</v>
      </c>
      <c r="AF455" s="10">
        <v>26337</v>
      </c>
      <c r="AG455" s="10">
        <v>52629</v>
      </c>
      <c r="AH455" s="10">
        <f t="shared" si="167"/>
        <v>141959.66999999993</v>
      </c>
      <c r="AI455" s="10">
        <v>3903949.67</v>
      </c>
      <c r="AJ455" s="10">
        <v>2623950</v>
      </c>
      <c r="AK455" s="10">
        <v>0</v>
      </c>
      <c r="AL455" s="10">
        <v>117</v>
      </c>
      <c r="AM455" s="10">
        <v>1063296</v>
      </c>
      <c r="AN455" s="10">
        <v>12285</v>
      </c>
      <c r="AO455" s="10">
        <v>0</v>
      </c>
      <c r="AP455" s="10">
        <v>6000.7400000000007</v>
      </c>
      <c r="AQ455" s="10">
        <v>47443</v>
      </c>
      <c r="AR455" s="10">
        <v>52631</v>
      </c>
      <c r="AS455" s="10">
        <f t="shared" si="170"/>
        <v>141959.66999999993</v>
      </c>
      <c r="AT455" s="10">
        <v>3947682.41</v>
      </c>
      <c r="AU455" s="12">
        <v>0</v>
      </c>
      <c r="AV455" s="12">
        <v>0</v>
      </c>
      <c r="AW455" s="12">
        <v>6628.25</v>
      </c>
      <c r="AX455" s="12">
        <f t="shared" si="168"/>
        <v>6628.25</v>
      </c>
      <c r="AY455" s="12">
        <v>0</v>
      </c>
      <c r="AZ455" s="12">
        <v>0</v>
      </c>
      <c r="BA455" s="12">
        <v>6842.25</v>
      </c>
      <c r="BB455" s="12">
        <f t="shared" si="169"/>
        <v>6842.25</v>
      </c>
      <c r="BC455" s="12">
        <v>0</v>
      </c>
      <c r="BD455" s="12">
        <v>0</v>
      </c>
      <c r="BE455" s="12">
        <v>214</v>
      </c>
      <c r="BF455" s="12">
        <v>214</v>
      </c>
    </row>
    <row r="456" spans="1:58" x14ac:dyDescent="0.25">
      <c r="A456" s="7">
        <v>4122</v>
      </c>
      <c r="B456" s="7">
        <v>7</v>
      </c>
      <c r="C456" s="7" t="s">
        <v>457</v>
      </c>
      <c r="D456" s="4">
        <v>7</v>
      </c>
      <c r="E456" s="10">
        <v>879</v>
      </c>
      <c r="F456" s="8">
        <f t="shared" si="148"/>
        <v>23529.25</v>
      </c>
      <c r="G456" s="8">
        <f t="shared" si="149"/>
        <v>0</v>
      </c>
      <c r="H456" s="8">
        <f t="shared" si="150"/>
        <v>0</v>
      </c>
      <c r="I456" s="8">
        <f t="shared" si="151"/>
        <v>5</v>
      </c>
      <c r="J456" s="8">
        <f t="shared" si="152"/>
        <v>23534.25</v>
      </c>
      <c r="K456" s="8">
        <f t="shared" si="153"/>
        <v>2076</v>
      </c>
      <c r="L456" s="8">
        <f t="shared" si="154"/>
        <v>25610.25</v>
      </c>
      <c r="M456" s="8">
        <f t="shared" si="155"/>
        <v>26.773890784982935</v>
      </c>
      <c r="N456" s="8">
        <f t="shared" si="156"/>
        <v>23179</v>
      </c>
      <c r="O456" s="8">
        <f t="shared" si="157"/>
        <v>0</v>
      </c>
      <c r="P456" s="8">
        <f t="shared" si="158"/>
        <v>1</v>
      </c>
      <c r="Q456" s="8">
        <f t="shared" si="159"/>
        <v>252.25</v>
      </c>
      <c r="R456" s="8">
        <f t="shared" si="160"/>
        <v>97</v>
      </c>
      <c r="S456" s="8">
        <f t="shared" si="161"/>
        <v>0</v>
      </c>
      <c r="T456" s="8">
        <f t="shared" si="162"/>
        <v>0</v>
      </c>
      <c r="U456" s="8">
        <f t="shared" si="163"/>
        <v>0</v>
      </c>
      <c r="V456" s="8">
        <f t="shared" si="164"/>
        <v>5</v>
      </c>
      <c r="W456" s="8">
        <f t="shared" si="165"/>
        <v>0</v>
      </c>
      <c r="X456" s="8">
        <f t="shared" si="166"/>
        <v>23534.25</v>
      </c>
      <c r="Y456" s="10">
        <v>5383033</v>
      </c>
      <c r="Z456" s="10">
        <v>0</v>
      </c>
      <c r="AA456" s="10">
        <v>240</v>
      </c>
      <c r="AB456" s="10">
        <v>50117</v>
      </c>
      <c r="AC456" s="10">
        <v>25213</v>
      </c>
      <c r="AD456" s="10">
        <v>0</v>
      </c>
      <c r="AE456" s="10">
        <v>205750</v>
      </c>
      <c r="AF456" s="10">
        <v>0</v>
      </c>
      <c r="AG456" s="10">
        <v>108433</v>
      </c>
      <c r="AH456" s="10">
        <f t="shared" si="167"/>
        <v>290193.98500000034</v>
      </c>
      <c r="AI456" s="10">
        <v>6062979.9850000003</v>
      </c>
      <c r="AJ456" s="10">
        <v>5406212</v>
      </c>
      <c r="AK456" s="10">
        <v>0</v>
      </c>
      <c r="AL456" s="10">
        <v>241</v>
      </c>
      <c r="AM456" s="10">
        <v>50369.25</v>
      </c>
      <c r="AN456" s="10">
        <v>25310</v>
      </c>
      <c r="AO456" s="10">
        <v>0</v>
      </c>
      <c r="AP456" s="10">
        <v>205750</v>
      </c>
      <c r="AQ456" s="10">
        <v>0</v>
      </c>
      <c r="AR456" s="10">
        <v>108438</v>
      </c>
      <c r="AS456" s="10">
        <f t="shared" si="170"/>
        <v>290193.98500000034</v>
      </c>
      <c r="AT456" s="10">
        <v>6086514.2350000003</v>
      </c>
      <c r="AU456" s="12">
        <v>0</v>
      </c>
      <c r="AV456" s="12">
        <v>0</v>
      </c>
      <c r="AW456" s="12">
        <v>5017.25</v>
      </c>
      <c r="AX456" s="12">
        <f t="shared" si="168"/>
        <v>5017.25</v>
      </c>
      <c r="AY456" s="12">
        <v>0</v>
      </c>
      <c r="AZ456" s="12">
        <v>0</v>
      </c>
      <c r="BA456" s="12">
        <v>7093.25</v>
      </c>
      <c r="BB456" s="12">
        <f t="shared" si="169"/>
        <v>7093.25</v>
      </c>
      <c r="BC456" s="12">
        <v>0</v>
      </c>
      <c r="BD456" s="12">
        <v>0</v>
      </c>
      <c r="BE456" s="12">
        <v>2076</v>
      </c>
      <c r="BF456" s="12">
        <v>2076</v>
      </c>
    </row>
    <row r="457" spans="1:58" x14ac:dyDescent="0.25">
      <c r="A457" s="7">
        <v>4123</v>
      </c>
      <c r="B457" s="7">
        <v>7</v>
      </c>
      <c r="C457" s="7" t="s">
        <v>458</v>
      </c>
      <c r="D457" s="4">
        <v>7</v>
      </c>
      <c r="E457" s="10">
        <v>46</v>
      </c>
      <c r="F457" s="8">
        <f t="shared" si="148"/>
        <v>1071.5</v>
      </c>
      <c r="G457" s="8">
        <f t="shared" si="149"/>
        <v>1618.7199999999998</v>
      </c>
      <c r="H457" s="8">
        <f t="shared" si="150"/>
        <v>0</v>
      </c>
      <c r="I457" s="8">
        <f t="shared" si="151"/>
        <v>-68.00000000002774</v>
      </c>
      <c r="J457" s="8">
        <f t="shared" si="152"/>
        <v>2622.2199999999721</v>
      </c>
      <c r="K457" s="8">
        <f t="shared" si="153"/>
        <v>343.60000000000036</v>
      </c>
      <c r="L457" s="8">
        <f t="shared" si="154"/>
        <v>2965.8199999999724</v>
      </c>
      <c r="M457" s="8">
        <f t="shared" si="155"/>
        <v>57.004782608695045</v>
      </c>
      <c r="N457" s="8">
        <f t="shared" si="156"/>
        <v>1048</v>
      </c>
      <c r="O457" s="8">
        <f t="shared" si="157"/>
        <v>0</v>
      </c>
      <c r="P457" s="8">
        <f t="shared" si="158"/>
        <v>19</v>
      </c>
      <c r="Q457" s="8">
        <f t="shared" si="159"/>
        <v>0.5</v>
      </c>
      <c r="R457" s="8">
        <f t="shared" si="160"/>
        <v>4</v>
      </c>
      <c r="S457" s="8">
        <f t="shared" si="161"/>
        <v>0</v>
      </c>
      <c r="T457" s="8">
        <f t="shared" si="162"/>
        <v>1618.7199999999998</v>
      </c>
      <c r="U457" s="8">
        <f t="shared" si="163"/>
        <v>0</v>
      </c>
      <c r="V457" s="8">
        <f t="shared" si="164"/>
        <v>0</v>
      </c>
      <c r="W457" s="8">
        <f t="shared" si="165"/>
        <v>-68.000000000029104</v>
      </c>
      <c r="X457" s="8">
        <f t="shared" si="166"/>
        <v>2622.2199999999721</v>
      </c>
      <c r="Y457" s="10">
        <v>243562</v>
      </c>
      <c r="Z457" s="10">
        <v>0</v>
      </c>
      <c r="AA457" s="10">
        <v>4472</v>
      </c>
      <c r="AB457" s="10">
        <v>99</v>
      </c>
      <c r="AC457" s="10">
        <v>1141</v>
      </c>
      <c r="AD457" s="10">
        <v>0</v>
      </c>
      <c r="AE457" s="10">
        <v>0</v>
      </c>
      <c r="AF457" s="10">
        <v>0</v>
      </c>
      <c r="AG457" s="10">
        <v>4906</v>
      </c>
      <c r="AH457" s="10">
        <f t="shared" si="167"/>
        <v>-3246.5740000000224</v>
      </c>
      <c r="AI457" s="10">
        <v>250933.42599999998</v>
      </c>
      <c r="AJ457" s="10">
        <v>244610</v>
      </c>
      <c r="AK457" s="10">
        <v>0</v>
      </c>
      <c r="AL457" s="10">
        <v>4491</v>
      </c>
      <c r="AM457" s="10">
        <v>99.5</v>
      </c>
      <c r="AN457" s="10">
        <v>1145</v>
      </c>
      <c r="AO457" s="10">
        <v>0</v>
      </c>
      <c r="AP457" s="10">
        <v>1618.7199999999998</v>
      </c>
      <c r="AQ457" s="10">
        <v>0</v>
      </c>
      <c r="AR457" s="10">
        <v>4906</v>
      </c>
      <c r="AS457" s="10">
        <f t="shared" si="170"/>
        <v>-3314.5740000000515</v>
      </c>
      <c r="AT457" s="10">
        <v>253555.64599999995</v>
      </c>
      <c r="AU457" s="12">
        <v>0</v>
      </c>
      <c r="AV457" s="12">
        <v>0</v>
      </c>
      <c r="AW457" s="12">
        <v>576.875</v>
      </c>
      <c r="AX457" s="12">
        <f t="shared" si="168"/>
        <v>576.875</v>
      </c>
      <c r="AY457" s="12">
        <v>0</v>
      </c>
      <c r="AZ457" s="12">
        <v>0</v>
      </c>
      <c r="BA457" s="12">
        <v>920.47500000000002</v>
      </c>
      <c r="BB457" s="12">
        <f t="shared" si="169"/>
        <v>920.47500000000002</v>
      </c>
      <c r="BC457" s="12">
        <v>0</v>
      </c>
      <c r="BD457" s="12">
        <v>0</v>
      </c>
      <c r="BE457" s="12">
        <v>343.60000000000036</v>
      </c>
      <c r="BF457" s="12">
        <v>343.60000000000036</v>
      </c>
    </row>
    <row r="458" spans="1:58" x14ac:dyDescent="0.25">
      <c r="A458" s="7">
        <v>4124</v>
      </c>
      <c r="B458" s="7">
        <v>7</v>
      </c>
      <c r="C458" s="7" t="s">
        <v>459</v>
      </c>
      <c r="D458" s="4">
        <v>7</v>
      </c>
      <c r="E458" s="10">
        <v>416</v>
      </c>
      <c r="F458" s="8">
        <f t="shared" si="148"/>
        <v>11072.5</v>
      </c>
      <c r="G458" s="8">
        <f t="shared" si="149"/>
        <v>0</v>
      </c>
      <c r="H458" s="8">
        <f t="shared" si="150"/>
        <v>0</v>
      </c>
      <c r="I458" s="8">
        <f t="shared" si="151"/>
        <v>2</v>
      </c>
      <c r="J458" s="8">
        <f t="shared" si="152"/>
        <v>11074.5</v>
      </c>
      <c r="K458" s="8">
        <f t="shared" si="153"/>
        <v>839.59999999999854</v>
      </c>
      <c r="L458" s="8">
        <f t="shared" si="154"/>
        <v>11914.099999999999</v>
      </c>
      <c r="M458" s="8">
        <f t="shared" si="155"/>
        <v>26.62139423076923</v>
      </c>
      <c r="N458" s="8">
        <f t="shared" si="156"/>
        <v>10840</v>
      </c>
      <c r="O458" s="8">
        <f t="shared" si="157"/>
        <v>2</v>
      </c>
      <c r="P458" s="8">
        <f t="shared" si="158"/>
        <v>1</v>
      </c>
      <c r="Q458" s="8">
        <f t="shared" si="159"/>
        <v>183.5</v>
      </c>
      <c r="R458" s="8">
        <f t="shared" si="160"/>
        <v>46</v>
      </c>
      <c r="S458" s="8">
        <f t="shared" si="161"/>
        <v>0</v>
      </c>
      <c r="T458" s="8">
        <f t="shared" si="162"/>
        <v>0</v>
      </c>
      <c r="U458" s="8">
        <f t="shared" si="163"/>
        <v>0</v>
      </c>
      <c r="V458" s="8">
        <f t="shared" si="164"/>
        <v>2</v>
      </c>
      <c r="W458" s="8">
        <f t="shared" si="165"/>
        <v>0</v>
      </c>
      <c r="X458" s="8">
        <f t="shared" si="166"/>
        <v>11074.5</v>
      </c>
      <c r="Y458" s="10">
        <v>2517482</v>
      </c>
      <c r="Z458" s="10">
        <v>325</v>
      </c>
      <c r="AA458" s="10">
        <v>112</v>
      </c>
      <c r="AB458" s="10">
        <v>36458</v>
      </c>
      <c r="AC458" s="10">
        <v>11791</v>
      </c>
      <c r="AD458" s="10">
        <v>0</v>
      </c>
      <c r="AE458" s="10">
        <v>103000</v>
      </c>
      <c r="AF458" s="10">
        <v>16170</v>
      </c>
      <c r="AG458" s="10">
        <v>50711</v>
      </c>
      <c r="AH458" s="10">
        <f t="shared" si="167"/>
        <v>141464.43519999972</v>
      </c>
      <c r="AI458" s="10">
        <v>2877513.4351999997</v>
      </c>
      <c r="AJ458" s="10">
        <v>2528322</v>
      </c>
      <c r="AK458" s="10">
        <v>327</v>
      </c>
      <c r="AL458" s="10">
        <v>113</v>
      </c>
      <c r="AM458" s="10">
        <v>36641.5</v>
      </c>
      <c r="AN458" s="10">
        <v>11837</v>
      </c>
      <c r="AO458" s="10">
        <v>0</v>
      </c>
      <c r="AP458" s="10">
        <v>103000</v>
      </c>
      <c r="AQ458" s="10">
        <v>16170</v>
      </c>
      <c r="AR458" s="10">
        <v>50713</v>
      </c>
      <c r="AS458" s="10">
        <f t="shared" si="170"/>
        <v>141464.43519999972</v>
      </c>
      <c r="AT458" s="10">
        <v>2888587.9351999997</v>
      </c>
      <c r="AU458" s="12">
        <v>0</v>
      </c>
      <c r="AV458" s="12">
        <v>0</v>
      </c>
      <c r="AW458" s="12">
        <v>3626.375</v>
      </c>
      <c r="AX458" s="12">
        <f t="shared" si="168"/>
        <v>3626.375</v>
      </c>
      <c r="AY458" s="12">
        <v>0</v>
      </c>
      <c r="AZ458" s="12">
        <v>0</v>
      </c>
      <c r="BA458" s="12">
        <v>4465.9750000000004</v>
      </c>
      <c r="BB458" s="12">
        <f t="shared" si="169"/>
        <v>4465.9750000000004</v>
      </c>
      <c r="BC458" s="12">
        <v>0</v>
      </c>
      <c r="BD458" s="12">
        <v>0</v>
      </c>
      <c r="BE458" s="12">
        <v>839.59999999999854</v>
      </c>
      <c r="BF458" s="12">
        <v>839.59999999999854</v>
      </c>
    </row>
    <row r="459" spans="1:58" x14ac:dyDescent="0.25">
      <c r="A459" s="7">
        <v>4125</v>
      </c>
      <c r="B459" s="7">
        <v>7</v>
      </c>
      <c r="C459" s="7" t="s">
        <v>460</v>
      </c>
      <c r="D459" s="4">
        <v>7</v>
      </c>
      <c r="E459" s="10">
        <v>0</v>
      </c>
      <c r="F459" s="8">
        <f t="shared" si="148"/>
        <v>0</v>
      </c>
      <c r="G459" s="8">
        <f t="shared" si="149"/>
        <v>0</v>
      </c>
      <c r="H459" s="8">
        <f t="shared" si="150"/>
        <v>0</v>
      </c>
      <c r="I459" s="8">
        <f t="shared" si="151"/>
        <v>0</v>
      </c>
      <c r="J459" s="8">
        <f t="shared" si="152"/>
        <v>0</v>
      </c>
      <c r="K459" s="8">
        <f t="shared" si="153"/>
        <v>0</v>
      </c>
      <c r="L459" s="8">
        <f t="shared" si="154"/>
        <v>0</v>
      </c>
      <c r="M459" s="8">
        <f t="shared" si="155"/>
        <v>0</v>
      </c>
      <c r="N459" s="8">
        <f t="shared" si="156"/>
        <v>0</v>
      </c>
      <c r="O459" s="8">
        <f t="shared" si="157"/>
        <v>0</v>
      </c>
      <c r="P459" s="8">
        <f t="shared" si="158"/>
        <v>0</v>
      </c>
      <c r="Q459" s="8">
        <f t="shared" si="159"/>
        <v>0</v>
      </c>
      <c r="R459" s="8">
        <f t="shared" si="160"/>
        <v>0</v>
      </c>
      <c r="S459" s="8">
        <f t="shared" si="161"/>
        <v>0</v>
      </c>
      <c r="T459" s="8">
        <f t="shared" si="162"/>
        <v>0</v>
      </c>
      <c r="U459" s="8">
        <f t="shared" si="163"/>
        <v>0</v>
      </c>
      <c r="V459" s="8">
        <f t="shared" si="164"/>
        <v>0</v>
      </c>
      <c r="W459" s="8">
        <f t="shared" si="165"/>
        <v>0</v>
      </c>
      <c r="X459" s="8">
        <f t="shared" si="166"/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  <c r="AG459" s="10">
        <v>0</v>
      </c>
      <c r="AH459" s="10">
        <f t="shared" si="167"/>
        <v>0</v>
      </c>
      <c r="AI459" s="10">
        <v>0</v>
      </c>
      <c r="AJ459" s="10">
        <v>0</v>
      </c>
      <c r="AK459" s="10">
        <v>0</v>
      </c>
      <c r="AL459" s="10">
        <v>0</v>
      </c>
      <c r="AM459" s="10">
        <v>0</v>
      </c>
      <c r="AN459" s="10">
        <v>0</v>
      </c>
      <c r="AO459" s="10">
        <v>0</v>
      </c>
      <c r="AP459" s="10">
        <v>0</v>
      </c>
      <c r="AQ459" s="10">
        <v>0</v>
      </c>
      <c r="AR459" s="10">
        <v>0</v>
      </c>
      <c r="AS459" s="10">
        <f t="shared" si="170"/>
        <v>0</v>
      </c>
      <c r="AT459" s="10">
        <v>0</v>
      </c>
      <c r="AU459" s="12">
        <v>0</v>
      </c>
      <c r="AV459" s="12">
        <v>0</v>
      </c>
      <c r="AW459" s="12">
        <v>0</v>
      </c>
      <c r="AX459" s="12">
        <f t="shared" si="168"/>
        <v>0</v>
      </c>
      <c r="AY459" s="12">
        <v>0</v>
      </c>
      <c r="AZ459" s="12">
        <v>0</v>
      </c>
      <c r="BA459" s="12">
        <v>0</v>
      </c>
      <c r="BB459" s="12">
        <f t="shared" si="169"/>
        <v>0</v>
      </c>
      <c r="BC459" s="12">
        <v>0</v>
      </c>
      <c r="BD459" s="12">
        <v>0</v>
      </c>
      <c r="BE459" s="12">
        <v>0</v>
      </c>
      <c r="BF459" s="12">
        <v>0</v>
      </c>
    </row>
    <row r="460" spans="1:58" x14ac:dyDescent="0.25">
      <c r="A460" s="7">
        <v>4126</v>
      </c>
      <c r="B460" s="7">
        <v>7</v>
      </c>
      <c r="C460" s="7" t="s">
        <v>461</v>
      </c>
      <c r="D460" s="4">
        <v>7</v>
      </c>
      <c r="E460" s="10">
        <v>775</v>
      </c>
      <c r="F460" s="8">
        <f t="shared" si="148"/>
        <v>28278.25</v>
      </c>
      <c r="G460" s="8">
        <f t="shared" si="149"/>
        <v>0</v>
      </c>
      <c r="H460" s="8">
        <f t="shared" si="150"/>
        <v>15713</v>
      </c>
      <c r="I460" s="8">
        <f t="shared" si="151"/>
        <v>4</v>
      </c>
      <c r="J460" s="8">
        <f t="shared" si="152"/>
        <v>43995.25</v>
      </c>
      <c r="K460" s="8">
        <f t="shared" si="153"/>
        <v>4018</v>
      </c>
      <c r="L460" s="8">
        <f t="shared" si="154"/>
        <v>48013.25</v>
      </c>
      <c r="M460" s="8">
        <f t="shared" si="155"/>
        <v>56.76806451612903</v>
      </c>
      <c r="N460" s="8">
        <f t="shared" si="156"/>
        <v>21225</v>
      </c>
      <c r="O460" s="8">
        <f t="shared" si="157"/>
        <v>0</v>
      </c>
      <c r="P460" s="8">
        <f t="shared" si="158"/>
        <v>0</v>
      </c>
      <c r="Q460" s="8">
        <f t="shared" si="159"/>
        <v>6963.25</v>
      </c>
      <c r="R460" s="8">
        <f t="shared" si="160"/>
        <v>90</v>
      </c>
      <c r="S460" s="8">
        <f t="shared" si="161"/>
        <v>0</v>
      </c>
      <c r="T460" s="8">
        <f t="shared" si="162"/>
        <v>0</v>
      </c>
      <c r="U460" s="8">
        <f t="shared" si="163"/>
        <v>15713</v>
      </c>
      <c r="V460" s="8">
        <f t="shared" si="164"/>
        <v>4</v>
      </c>
      <c r="W460" s="8">
        <f t="shared" si="165"/>
        <v>0</v>
      </c>
      <c r="X460" s="8">
        <f t="shared" si="166"/>
        <v>43995.25</v>
      </c>
      <c r="Y460" s="10">
        <v>4929294</v>
      </c>
      <c r="Z460" s="10">
        <v>0</v>
      </c>
      <c r="AA460" s="10">
        <v>220</v>
      </c>
      <c r="AB460" s="10">
        <v>1383459</v>
      </c>
      <c r="AC460" s="10">
        <v>23087</v>
      </c>
      <c r="AD460" s="10">
        <v>0</v>
      </c>
      <c r="AE460" s="10">
        <v>197750</v>
      </c>
      <c r="AF460" s="10">
        <v>97308</v>
      </c>
      <c r="AG460" s="10">
        <v>99293</v>
      </c>
      <c r="AH460" s="10">
        <f t="shared" si="167"/>
        <v>277068.3599999994</v>
      </c>
      <c r="AI460" s="10">
        <v>7007479.3599999994</v>
      </c>
      <c r="AJ460" s="10">
        <v>4950519</v>
      </c>
      <c r="AK460" s="10">
        <v>0</v>
      </c>
      <c r="AL460" s="10">
        <v>220</v>
      </c>
      <c r="AM460" s="10">
        <v>1390422.25</v>
      </c>
      <c r="AN460" s="10">
        <v>23177</v>
      </c>
      <c r="AO460" s="10">
        <v>0</v>
      </c>
      <c r="AP460" s="10">
        <v>197750</v>
      </c>
      <c r="AQ460" s="10">
        <v>113021</v>
      </c>
      <c r="AR460" s="10">
        <v>99297</v>
      </c>
      <c r="AS460" s="10">
        <f t="shared" si="170"/>
        <v>277068.3599999994</v>
      </c>
      <c r="AT460" s="10">
        <v>7051474.6099999994</v>
      </c>
      <c r="AU460" s="12">
        <v>0</v>
      </c>
      <c r="AV460" s="12">
        <v>0</v>
      </c>
      <c r="AW460" s="12">
        <v>13974.375</v>
      </c>
      <c r="AX460" s="12">
        <f t="shared" si="168"/>
        <v>13974.375</v>
      </c>
      <c r="AY460" s="12">
        <v>0</v>
      </c>
      <c r="AZ460" s="12">
        <v>0</v>
      </c>
      <c r="BA460" s="12">
        <v>17992.375</v>
      </c>
      <c r="BB460" s="12">
        <f t="shared" si="169"/>
        <v>17992.375</v>
      </c>
      <c r="BC460" s="12">
        <v>0</v>
      </c>
      <c r="BD460" s="12">
        <v>0</v>
      </c>
      <c r="BE460" s="12">
        <v>4018</v>
      </c>
      <c r="BF460" s="12">
        <v>4018</v>
      </c>
    </row>
    <row r="461" spans="1:58" x14ac:dyDescent="0.25">
      <c r="A461" s="7">
        <v>4127</v>
      </c>
      <c r="B461" s="7">
        <v>7</v>
      </c>
      <c r="C461" s="7" t="s">
        <v>462</v>
      </c>
      <c r="D461" s="4">
        <v>7</v>
      </c>
      <c r="E461" s="10">
        <v>137</v>
      </c>
      <c r="F461" s="8">
        <f t="shared" si="148"/>
        <v>4283</v>
      </c>
      <c r="G461" s="8">
        <f t="shared" si="149"/>
        <v>0</v>
      </c>
      <c r="H461" s="8">
        <f t="shared" si="150"/>
        <v>0</v>
      </c>
      <c r="I461" s="8">
        <f t="shared" si="151"/>
        <v>-210</v>
      </c>
      <c r="J461" s="8">
        <f t="shared" si="152"/>
        <v>4073</v>
      </c>
      <c r="K461" s="8">
        <f t="shared" si="153"/>
        <v>1338.7999999999993</v>
      </c>
      <c r="L461" s="8">
        <f t="shared" si="154"/>
        <v>5411.7999999999993</v>
      </c>
      <c r="M461" s="8">
        <f t="shared" si="155"/>
        <v>29.729927007299271</v>
      </c>
      <c r="N461" s="8">
        <f t="shared" si="156"/>
        <v>3200</v>
      </c>
      <c r="O461" s="8">
        <f t="shared" si="157"/>
        <v>0</v>
      </c>
      <c r="P461" s="8">
        <f t="shared" si="158"/>
        <v>62</v>
      </c>
      <c r="Q461" s="8">
        <f t="shared" si="159"/>
        <v>1008</v>
      </c>
      <c r="R461" s="8">
        <f t="shared" si="160"/>
        <v>13</v>
      </c>
      <c r="S461" s="8">
        <f t="shared" si="161"/>
        <v>0</v>
      </c>
      <c r="T461" s="8">
        <f t="shared" si="162"/>
        <v>0</v>
      </c>
      <c r="U461" s="8">
        <f t="shared" si="163"/>
        <v>0</v>
      </c>
      <c r="V461" s="8">
        <f t="shared" si="164"/>
        <v>1</v>
      </c>
      <c r="W461" s="8">
        <f t="shared" si="165"/>
        <v>-211</v>
      </c>
      <c r="X461" s="8">
        <f t="shared" si="166"/>
        <v>4073</v>
      </c>
      <c r="Y461" s="10">
        <v>743168</v>
      </c>
      <c r="Z461" s="10">
        <v>0</v>
      </c>
      <c r="AA461" s="10">
        <v>14563</v>
      </c>
      <c r="AB461" s="10">
        <v>200269</v>
      </c>
      <c r="AC461" s="10">
        <v>3481</v>
      </c>
      <c r="AD461" s="10">
        <v>0</v>
      </c>
      <c r="AE461" s="10">
        <v>34000</v>
      </c>
      <c r="AF461" s="10">
        <v>19080</v>
      </c>
      <c r="AG461" s="10">
        <v>14970</v>
      </c>
      <c r="AH461" s="10">
        <f t="shared" si="167"/>
        <v>25237.34999999986</v>
      </c>
      <c r="AI461" s="10">
        <v>1054768.3499999999</v>
      </c>
      <c r="AJ461" s="10">
        <v>746368</v>
      </c>
      <c r="AK461" s="10">
        <v>0</v>
      </c>
      <c r="AL461" s="10">
        <v>14625</v>
      </c>
      <c r="AM461" s="10">
        <v>201277</v>
      </c>
      <c r="AN461" s="10">
        <v>3494</v>
      </c>
      <c r="AO461" s="10">
        <v>0</v>
      </c>
      <c r="AP461" s="10">
        <v>34000</v>
      </c>
      <c r="AQ461" s="10">
        <v>19080</v>
      </c>
      <c r="AR461" s="10">
        <v>14971</v>
      </c>
      <c r="AS461" s="10">
        <f t="shared" si="170"/>
        <v>25026.34999999986</v>
      </c>
      <c r="AT461" s="10">
        <v>1058841.3499999999</v>
      </c>
      <c r="AU461" s="12">
        <v>0</v>
      </c>
      <c r="AV461" s="12">
        <v>0</v>
      </c>
      <c r="AW461" s="12">
        <v>1993.875</v>
      </c>
      <c r="AX461" s="12">
        <f t="shared" si="168"/>
        <v>1993.875</v>
      </c>
      <c r="AY461" s="12">
        <v>0</v>
      </c>
      <c r="AZ461" s="12">
        <v>0</v>
      </c>
      <c r="BA461" s="12">
        <v>3332.6750000000002</v>
      </c>
      <c r="BB461" s="12">
        <f t="shared" si="169"/>
        <v>3332.6750000000002</v>
      </c>
      <c r="BC461" s="12">
        <v>0</v>
      </c>
      <c r="BD461" s="12">
        <v>0</v>
      </c>
      <c r="BE461" s="12">
        <v>1338.7999999999993</v>
      </c>
      <c r="BF461" s="12">
        <v>1338.7999999999993</v>
      </c>
    </row>
    <row r="462" spans="1:58" x14ac:dyDescent="0.25">
      <c r="A462" s="7">
        <v>4128</v>
      </c>
      <c r="B462" s="7">
        <v>7</v>
      </c>
      <c r="C462" s="7" t="s">
        <v>463</v>
      </c>
      <c r="D462" s="4">
        <v>7</v>
      </c>
      <c r="E462" s="10">
        <v>0</v>
      </c>
      <c r="F462" s="8">
        <f t="shared" si="148"/>
        <v>0</v>
      </c>
      <c r="G462" s="8">
        <f t="shared" si="149"/>
        <v>0</v>
      </c>
      <c r="H462" s="8">
        <f t="shared" si="150"/>
        <v>0</v>
      </c>
      <c r="I462" s="8">
        <f t="shared" si="151"/>
        <v>0</v>
      </c>
      <c r="J462" s="8">
        <f t="shared" si="152"/>
        <v>0</v>
      </c>
      <c r="K462" s="8">
        <f t="shared" si="153"/>
        <v>0</v>
      </c>
      <c r="L462" s="8">
        <f t="shared" si="154"/>
        <v>0</v>
      </c>
      <c r="M462" s="8">
        <f t="shared" si="155"/>
        <v>0</v>
      </c>
      <c r="N462" s="8">
        <f t="shared" si="156"/>
        <v>0</v>
      </c>
      <c r="O462" s="8">
        <f t="shared" si="157"/>
        <v>0</v>
      </c>
      <c r="P462" s="8">
        <f t="shared" si="158"/>
        <v>0</v>
      </c>
      <c r="Q462" s="8">
        <f t="shared" si="159"/>
        <v>0</v>
      </c>
      <c r="R462" s="8">
        <f t="shared" si="160"/>
        <v>0</v>
      </c>
      <c r="S462" s="8">
        <f t="shared" si="161"/>
        <v>0</v>
      </c>
      <c r="T462" s="8">
        <f t="shared" si="162"/>
        <v>0</v>
      </c>
      <c r="U462" s="8">
        <f t="shared" si="163"/>
        <v>0</v>
      </c>
      <c r="V462" s="8">
        <f t="shared" si="164"/>
        <v>0</v>
      </c>
      <c r="W462" s="8">
        <f t="shared" si="165"/>
        <v>0</v>
      </c>
      <c r="X462" s="8">
        <f t="shared" si="166"/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  <c r="AG462" s="10">
        <v>0</v>
      </c>
      <c r="AH462" s="10">
        <f t="shared" si="167"/>
        <v>0</v>
      </c>
      <c r="AI462" s="10">
        <v>0</v>
      </c>
      <c r="AJ462" s="10">
        <v>0</v>
      </c>
      <c r="AK462" s="10">
        <v>0</v>
      </c>
      <c r="AL462" s="10">
        <v>0</v>
      </c>
      <c r="AM462" s="10">
        <v>0</v>
      </c>
      <c r="AN462" s="10">
        <v>0</v>
      </c>
      <c r="AO462" s="10">
        <v>0</v>
      </c>
      <c r="AP462" s="10">
        <v>0</v>
      </c>
      <c r="AQ462" s="10">
        <v>0</v>
      </c>
      <c r="AR462" s="10">
        <v>0</v>
      </c>
      <c r="AS462" s="10">
        <f t="shared" si="170"/>
        <v>0</v>
      </c>
      <c r="AT462" s="10">
        <v>0</v>
      </c>
      <c r="AU462" s="12">
        <v>0</v>
      </c>
      <c r="AV462" s="12">
        <v>0</v>
      </c>
      <c r="AW462" s="12">
        <v>0</v>
      </c>
      <c r="AX462" s="12">
        <f t="shared" si="168"/>
        <v>0</v>
      </c>
      <c r="AY462" s="12">
        <v>0</v>
      </c>
      <c r="AZ462" s="12">
        <v>0</v>
      </c>
      <c r="BA462" s="12">
        <v>0</v>
      </c>
      <c r="BB462" s="12">
        <f t="shared" si="169"/>
        <v>0</v>
      </c>
      <c r="BC462" s="12">
        <v>0</v>
      </c>
      <c r="BD462" s="12">
        <v>0</v>
      </c>
      <c r="BE462" s="12">
        <v>0</v>
      </c>
      <c r="BF462" s="12">
        <v>0</v>
      </c>
    </row>
    <row r="463" spans="1:58" x14ac:dyDescent="0.25">
      <c r="A463" s="7">
        <v>4129</v>
      </c>
      <c r="B463" s="7">
        <v>7</v>
      </c>
      <c r="C463" s="7" t="s">
        <v>464</v>
      </c>
      <c r="D463" s="4">
        <v>7</v>
      </c>
      <c r="E463" s="10">
        <v>0</v>
      </c>
      <c r="F463" s="8">
        <f t="shared" si="148"/>
        <v>0</v>
      </c>
      <c r="G463" s="8">
        <f t="shared" si="149"/>
        <v>0</v>
      </c>
      <c r="H463" s="8">
        <f t="shared" si="150"/>
        <v>0</v>
      </c>
      <c r="I463" s="8">
        <f t="shared" si="151"/>
        <v>0</v>
      </c>
      <c r="J463" s="8">
        <f t="shared" si="152"/>
        <v>0</v>
      </c>
      <c r="K463" s="8">
        <f t="shared" si="153"/>
        <v>0</v>
      </c>
      <c r="L463" s="8">
        <f t="shared" si="154"/>
        <v>0</v>
      </c>
      <c r="M463" s="8">
        <f t="shared" si="155"/>
        <v>0</v>
      </c>
      <c r="N463" s="8">
        <f t="shared" si="156"/>
        <v>0</v>
      </c>
      <c r="O463" s="8">
        <f t="shared" si="157"/>
        <v>0</v>
      </c>
      <c r="P463" s="8">
        <f t="shared" si="158"/>
        <v>0</v>
      </c>
      <c r="Q463" s="8">
        <f t="shared" si="159"/>
        <v>0</v>
      </c>
      <c r="R463" s="8">
        <f t="shared" si="160"/>
        <v>0</v>
      </c>
      <c r="S463" s="8">
        <f t="shared" si="161"/>
        <v>0</v>
      </c>
      <c r="T463" s="8">
        <f t="shared" si="162"/>
        <v>0</v>
      </c>
      <c r="U463" s="8">
        <f t="shared" si="163"/>
        <v>0</v>
      </c>
      <c r="V463" s="8">
        <f t="shared" si="164"/>
        <v>0</v>
      </c>
      <c r="W463" s="8">
        <f t="shared" si="165"/>
        <v>0</v>
      </c>
      <c r="X463" s="8">
        <f t="shared" si="166"/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  <c r="AG463" s="10">
        <v>0</v>
      </c>
      <c r="AH463" s="10">
        <f t="shared" si="167"/>
        <v>0</v>
      </c>
      <c r="AI463" s="10">
        <v>0</v>
      </c>
      <c r="AJ463" s="10">
        <v>0</v>
      </c>
      <c r="AK463" s="10">
        <v>0</v>
      </c>
      <c r="AL463" s="10">
        <v>0</v>
      </c>
      <c r="AM463" s="10">
        <v>0</v>
      </c>
      <c r="AN463" s="10">
        <v>0</v>
      </c>
      <c r="AO463" s="10">
        <v>0</v>
      </c>
      <c r="AP463" s="10">
        <v>0</v>
      </c>
      <c r="AQ463" s="10">
        <v>0</v>
      </c>
      <c r="AR463" s="10">
        <v>0</v>
      </c>
      <c r="AS463" s="10">
        <f t="shared" si="170"/>
        <v>0</v>
      </c>
      <c r="AT463" s="10">
        <v>0</v>
      </c>
      <c r="AU463" s="12">
        <v>0</v>
      </c>
      <c r="AV463" s="12">
        <v>0</v>
      </c>
      <c r="AW463" s="12">
        <v>0</v>
      </c>
      <c r="AX463" s="12">
        <f t="shared" si="168"/>
        <v>0</v>
      </c>
      <c r="AY463" s="12">
        <v>0</v>
      </c>
      <c r="AZ463" s="12">
        <v>0</v>
      </c>
      <c r="BA463" s="12">
        <v>0</v>
      </c>
      <c r="BB463" s="12">
        <f t="shared" si="169"/>
        <v>0</v>
      </c>
      <c r="BC463" s="12">
        <v>0</v>
      </c>
      <c r="BD463" s="12">
        <v>0</v>
      </c>
      <c r="BE463" s="12">
        <v>0</v>
      </c>
      <c r="BF463" s="12">
        <v>0</v>
      </c>
    </row>
    <row r="464" spans="1:58" x14ac:dyDescent="0.25">
      <c r="A464" s="7">
        <v>4131</v>
      </c>
      <c r="B464" s="7">
        <v>7</v>
      </c>
      <c r="C464" s="7" t="s">
        <v>465</v>
      </c>
      <c r="D464" s="4">
        <v>7</v>
      </c>
      <c r="E464" s="10">
        <v>270</v>
      </c>
      <c r="F464" s="8">
        <f t="shared" si="148"/>
        <v>11049.5</v>
      </c>
      <c r="G464" s="8">
        <f t="shared" si="149"/>
        <v>6637.96</v>
      </c>
      <c r="H464" s="8">
        <f t="shared" si="150"/>
        <v>12775</v>
      </c>
      <c r="I464" s="8">
        <f t="shared" si="151"/>
        <v>1.9999999999636202</v>
      </c>
      <c r="J464" s="8">
        <f t="shared" si="152"/>
        <v>30464.459999999963</v>
      </c>
      <c r="K464" s="8">
        <f t="shared" si="153"/>
        <v>92.400000000001455</v>
      </c>
      <c r="L464" s="8">
        <f t="shared" si="154"/>
        <v>30556.859999999964</v>
      </c>
      <c r="M464" s="8">
        <f t="shared" si="155"/>
        <v>112.83133333333319</v>
      </c>
      <c r="N464" s="8">
        <f t="shared" si="156"/>
        <v>7750</v>
      </c>
      <c r="O464" s="8">
        <f t="shared" si="157"/>
        <v>0</v>
      </c>
      <c r="P464" s="8">
        <f t="shared" si="158"/>
        <v>1</v>
      </c>
      <c r="Q464" s="8">
        <f t="shared" si="159"/>
        <v>3265.5</v>
      </c>
      <c r="R464" s="8">
        <f t="shared" si="160"/>
        <v>33</v>
      </c>
      <c r="S464" s="8">
        <f t="shared" si="161"/>
        <v>0</v>
      </c>
      <c r="T464" s="8">
        <f t="shared" si="162"/>
        <v>6637.96</v>
      </c>
      <c r="U464" s="8">
        <f t="shared" si="163"/>
        <v>12775</v>
      </c>
      <c r="V464" s="8">
        <f t="shared" si="164"/>
        <v>2</v>
      </c>
      <c r="W464" s="8">
        <f t="shared" si="165"/>
        <v>0</v>
      </c>
      <c r="X464" s="8">
        <f t="shared" si="166"/>
        <v>30464.459999999963</v>
      </c>
      <c r="Y464" s="10">
        <v>1799860</v>
      </c>
      <c r="Z464" s="10">
        <v>0</v>
      </c>
      <c r="AA464" s="10">
        <v>80</v>
      </c>
      <c r="AB464" s="10">
        <v>648790</v>
      </c>
      <c r="AC464" s="10">
        <v>8430</v>
      </c>
      <c r="AD464" s="10">
        <v>0</v>
      </c>
      <c r="AE464" s="10">
        <v>0</v>
      </c>
      <c r="AF464" s="10">
        <v>76320</v>
      </c>
      <c r="AG464" s="10">
        <v>36255</v>
      </c>
      <c r="AH464" s="10">
        <f t="shared" si="167"/>
        <v>93603.339999999851</v>
      </c>
      <c r="AI464" s="10">
        <v>2663338.34</v>
      </c>
      <c r="AJ464" s="10">
        <v>1807610</v>
      </c>
      <c r="AK464" s="10">
        <v>0</v>
      </c>
      <c r="AL464" s="10">
        <v>81</v>
      </c>
      <c r="AM464" s="10">
        <v>652055.5</v>
      </c>
      <c r="AN464" s="10">
        <v>8463</v>
      </c>
      <c r="AO464" s="10">
        <v>0</v>
      </c>
      <c r="AP464" s="10">
        <v>6637.96</v>
      </c>
      <c r="AQ464" s="10">
        <v>89095</v>
      </c>
      <c r="AR464" s="10">
        <v>36257</v>
      </c>
      <c r="AS464" s="10">
        <f t="shared" si="170"/>
        <v>93603.339999999851</v>
      </c>
      <c r="AT464" s="10">
        <v>2693802.8</v>
      </c>
      <c r="AU464" s="12">
        <v>0</v>
      </c>
      <c r="AV464" s="12">
        <v>0</v>
      </c>
      <c r="AW464" s="12">
        <v>4357.875</v>
      </c>
      <c r="AX464" s="12">
        <f t="shared" si="168"/>
        <v>4357.875</v>
      </c>
      <c r="AY464" s="12">
        <v>0</v>
      </c>
      <c r="AZ464" s="12">
        <v>0</v>
      </c>
      <c r="BA464" s="12">
        <v>4450.2749999999996</v>
      </c>
      <c r="BB464" s="12">
        <f t="shared" si="169"/>
        <v>4450.2749999999996</v>
      </c>
      <c r="BC464" s="12">
        <v>0</v>
      </c>
      <c r="BD464" s="12">
        <v>0</v>
      </c>
      <c r="BE464" s="12">
        <v>92.400000000001455</v>
      </c>
      <c r="BF464" s="12">
        <v>92.400000000001455</v>
      </c>
    </row>
    <row r="465" spans="1:58" x14ac:dyDescent="0.25">
      <c r="A465" s="7">
        <v>4132</v>
      </c>
      <c r="B465" s="7">
        <v>7</v>
      </c>
      <c r="C465" s="7" t="s">
        <v>466</v>
      </c>
      <c r="D465" s="4">
        <v>7</v>
      </c>
      <c r="E465" s="10">
        <v>205</v>
      </c>
      <c r="F465" s="8">
        <f t="shared" ref="F465:F528" si="171">SUM(N465:S465)</f>
        <v>6867.25</v>
      </c>
      <c r="G465" s="8">
        <f t="shared" ref="G465:G528" si="172">T465</f>
        <v>5007.16</v>
      </c>
      <c r="H465" s="8">
        <f t="shared" ref="H465:H528" si="173">U465</f>
        <v>18322</v>
      </c>
      <c r="I465" s="8">
        <f t="shared" ref="I465:I528" si="174">J465-F465-G465-H465</f>
        <v>1.9999999999163265</v>
      </c>
      <c r="J465" s="8">
        <f t="shared" ref="J465:J528" si="175">X465</f>
        <v>30198.409999999916</v>
      </c>
      <c r="K465" s="8">
        <f t="shared" ref="K465:K528" si="176">BF465</f>
        <v>0</v>
      </c>
      <c r="L465" s="8">
        <f t="shared" ref="L465:L528" si="177">J465+K465</f>
        <v>30198.409999999916</v>
      </c>
      <c r="M465" s="8">
        <f t="shared" ref="M465:M528" si="178">IF(E465=0,0,J465/E465)</f>
        <v>147.30931707317032</v>
      </c>
      <c r="N465" s="8">
        <f t="shared" ref="N465:N528" si="179">AJ465-Y465</f>
        <v>6150</v>
      </c>
      <c r="O465" s="8">
        <f t="shared" ref="O465:O528" si="180">AK465-Z465</f>
        <v>26</v>
      </c>
      <c r="P465" s="8">
        <f t="shared" ref="P465:P528" si="181">AL465-AA465</f>
        <v>0</v>
      </c>
      <c r="Q465" s="8">
        <f t="shared" ref="Q465:Q528" si="182">AM465-AB465</f>
        <v>665.25</v>
      </c>
      <c r="R465" s="8">
        <f t="shared" ref="R465:R528" si="183">AN465-AC465</f>
        <v>26</v>
      </c>
      <c r="S465" s="8">
        <f t="shared" ref="S465:S528" si="184">AO465-AD465</f>
        <v>0</v>
      </c>
      <c r="T465" s="8">
        <f t="shared" ref="T465:T528" si="185">AP465-AE465</f>
        <v>5007.16</v>
      </c>
      <c r="U465" s="8">
        <f t="shared" ref="U465:U528" si="186">AQ465-AF465</f>
        <v>18322</v>
      </c>
      <c r="V465" s="8">
        <f t="shared" ref="V465:V528" si="187">AR465-AG465</f>
        <v>2</v>
      </c>
      <c r="W465" s="8">
        <f t="shared" ref="W465:W528" si="188">AS465-AH465</f>
        <v>0</v>
      </c>
      <c r="X465" s="8">
        <f t="shared" ref="X465:X528" si="189">AT465-AI465</f>
        <v>30198.409999999916</v>
      </c>
      <c r="Y465" s="10">
        <v>1428276</v>
      </c>
      <c r="Z465" s="10">
        <v>5852</v>
      </c>
      <c r="AA465" s="10">
        <v>64</v>
      </c>
      <c r="AB465" s="10">
        <v>132172</v>
      </c>
      <c r="AC465" s="10">
        <v>6690</v>
      </c>
      <c r="AD465" s="10">
        <v>0</v>
      </c>
      <c r="AE465" s="10">
        <v>0</v>
      </c>
      <c r="AF465" s="10">
        <v>0</v>
      </c>
      <c r="AG465" s="10">
        <v>28770</v>
      </c>
      <c r="AH465" s="10">
        <f t="shared" ref="AH465:AH528" si="190">AI465-SUM(Y465:AG465)</f>
        <v>116620.54799999995</v>
      </c>
      <c r="AI465" s="10">
        <v>1718444.548</v>
      </c>
      <c r="AJ465" s="10">
        <v>1434426</v>
      </c>
      <c r="AK465" s="10">
        <v>5878</v>
      </c>
      <c r="AL465" s="10">
        <v>64</v>
      </c>
      <c r="AM465" s="10">
        <v>132837.25</v>
      </c>
      <c r="AN465" s="10">
        <v>6716</v>
      </c>
      <c r="AO465" s="10">
        <v>0</v>
      </c>
      <c r="AP465" s="10">
        <v>5007.16</v>
      </c>
      <c r="AQ465" s="10">
        <v>18322</v>
      </c>
      <c r="AR465" s="10">
        <v>28772</v>
      </c>
      <c r="AS465" s="10">
        <f t="shared" si="170"/>
        <v>116620.54799999995</v>
      </c>
      <c r="AT465" s="10">
        <v>1748642.9579999999</v>
      </c>
      <c r="AU465" s="12">
        <v>0</v>
      </c>
      <c r="AV465" s="12">
        <v>0</v>
      </c>
      <c r="AW465" s="12">
        <v>0</v>
      </c>
      <c r="AX465" s="12">
        <f t="shared" ref="AX465:AX528" si="191">AU465+AV465+AW465</f>
        <v>0</v>
      </c>
      <c r="AY465" s="12">
        <v>0</v>
      </c>
      <c r="AZ465" s="12">
        <v>0</v>
      </c>
      <c r="BA465" s="12">
        <v>0</v>
      </c>
      <c r="BB465" s="12">
        <f t="shared" ref="BB465:BB528" si="192">AY465+AZ465+BA465</f>
        <v>0</v>
      </c>
      <c r="BC465" s="12">
        <v>0</v>
      </c>
      <c r="BD465" s="12">
        <v>0</v>
      </c>
      <c r="BE465" s="12">
        <v>0</v>
      </c>
      <c r="BF465" s="12">
        <v>0</v>
      </c>
    </row>
    <row r="466" spans="1:58" x14ac:dyDescent="0.25">
      <c r="A466" s="7">
        <v>4133</v>
      </c>
      <c r="B466" s="7">
        <v>7</v>
      </c>
      <c r="C466" s="7" t="s">
        <v>467</v>
      </c>
      <c r="D466" s="4">
        <v>7</v>
      </c>
      <c r="E466" s="10">
        <v>215</v>
      </c>
      <c r="F466" s="8">
        <f t="shared" si="171"/>
        <v>6273.75</v>
      </c>
      <c r="G466" s="8">
        <f t="shared" si="172"/>
        <v>0</v>
      </c>
      <c r="H466" s="8">
        <f t="shared" si="173"/>
        <v>0</v>
      </c>
      <c r="I466" s="8">
        <f t="shared" si="174"/>
        <v>1</v>
      </c>
      <c r="J466" s="8">
        <f t="shared" si="175"/>
        <v>6274.75</v>
      </c>
      <c r="K466" s="8">
        <f t="shared" si="176"/>
        <v>0</v>
      </c>
      <c r="L466" s="8">
        <f t="shared" si="177"/>
        <v>6274.75</v>
      </c>
      <c r="M466" s="8">
        <f t="shared" si="178"/>
        <v>29.184883720930234</v>
      </c>
      <c r="N466" s="8">
        <f t="shared" si="179"/>
        <v>6075</v>
      </c>
      <c r="O466" s="8">
        <f t="shared" si="180"/>
        <v>0</v>
      </c>
      <c r="P466" s="8">
        <f t="shared" si="181"/>
        <v>0</v>
      </c>
      <c r="Q466" s="8">
        <f t="shared" si="182"/>
        <v>172.75</v>
      </c>
      <c r="R466" s="8">
        <f t="shared" si="183"/>
        <v>26</v>
      </c>
      <c r="S466" s="8">
        <f t="shared" si="184"/>
        <v>0</v>
      </c>
      <c r="T466" s="8">
        <f t="shared" si="185"/>
        <v>0</v>
      </c>
      <c r="U466" s="8">
        <f t="shared" si="186"/>
        <v>0</v>
      </c>
      <c r="V466" s="8">
        <f t="shared" si="187"/>
        <v>1</v>
      </c>
      <c r="W466" s="8">
        <f t="shared" si="188"/>
        <v>0</v>
      </c>
      <c r="X466" s="8">
        <f t="shared" si="189"/>
        <v>6274.75</v>
      </c>
      <c r="Y466" s="10">
        <v>1410858</v>
      </c>
      <c r="Z466" s="10">
        <v>0</v>
      </c>
      <c r="AA466" s="10">
        <v>63</v>
      </c>
      <c r="AB466" s="10">
        <v>34322</v>
      </c>
      <c r="AC466" s="10">
        <v>6608</v>
      </c>
      <c r="AD466" s="10">
        <v>0</v>
      </c>
      <c r="AE466" s="10">
        <v>46750</v>
      </c>
      <c r="AF466" s="10">
        <v>0</v>
      </c>
      <c r="AG466" s="10">
        <v>28420</v>
      </c>
      <c r="AH466" s="10">
        <f t="shared" si="190"/>
        <v>72844.120000000112</v>
      </c>
      <c r="AI466" s="10">
        <v>1599865.12</v>
      </c>
      <c r="AJ466" s="10">
        <v>1416933</v>
      </c>
      <c r="AK466" s="10">
        <v>0</v>
      </c>
      <c r="AL466" s="10">
        <v>63</v>
      </c>
      <c r="AM466" s="10">
        <v>34494.75</v>
      </c>
      <c r="AN466" s="10">
        <v>6634</v>
      </c>
      <c r="AO466" s="10">
        <v>0</v>
      </c>
      <c r="AP466" s="10">
        <v>46750</v>
      </c>
      <c r="AQ466" s="10">
        <v>0</v>
      </c>
      <c r="AR466" s="10">
        <v>28421</v>
      </c>
      <c r="AS466" s="10">
        <f t="shared" si="170"/>
        <v>72844.120000000112</v>
      </c>
      <c r="AT466" s="10">
        <v>1606139.87</v>
      </c>
      <c r="AU466" s="12">
        <v>0</v>
      </c>
      <c r="AV466" s="12">
        <v>0</v>
      </c>
      <c r="AW466" s="12">
        <v>0</v>
      </c>
      <c r="AX466" s="12">
        <f t="shared" si="191"/>
        <v>0</v>
      </c>
      <c r="AY466" s="12">
        <v>0</v>
      </c>
      <c r="AZ466" s="12">
        <v>0</v>
      </c>
      <c r="BA466" s="12">
        <v>0</v>
      </c>
      <c r="BB466" s="12">
        <f t="shared" si="192"/>
        <v>0</v>
      </c>
      <c r="BC466" s="12">
        <v>0</v>
      </c>
      <c r="BD466" s="12">
        <v>0</v>
      </c>
      <c r="BE466" s="12">
        <v>0</v>
      </c>
      <c r="BF466" s="12">
        <v>0</v>
      </c>
    </row>
    <row r="467" spans="1:58" x14ac:dyDescent="0.25">
      <c r="A467" s="7">
        <v>4135</v>
      </c>
      <c r="B467" s="7">
        <v>7</v>
      </c>
      <c r="C467" s="7" t="s">
        <v>468</v>
      </c>
      <c r="D467" s="4">
        <v>7</v>
      </c>
      <c r="E467" s="10">
        <v>270</v>
      </c>
      <c r="F467" s="8">
        <f t="shared" si="171"/>
        <v>10890</v>
      </c>
      <c r="G467" s="8">
        <f t="shared" si="172"/>
        <v>0</v>
      </c>
      <c r="H467" s="8">
        <f t="shared" si="173"/>
        <v>36099</v>
      </c>
      <c r="I467" s="8">
        <f t="shared" si="174"/>
        <v>1</v>
      </c>
      <c r="J467" s="8">
        <f t="shared" si="175"/>
        <v>46990</v>
      </c>
      <c r="K467" s="8">
        <f t="shared" si="176"/>
        <v>87.19999999999709</v>
      </c>
      <c r="L467" s="8">
        <f t="shared" si="177"/>
        <v>47077.2</v>
      </c>
      <c r="M467" s="8">
        <f t="shared" si="178"/>
        <v>174.03703703703704</v>
      </c>
      <c r="N467" s="8">
        <f t="shared" si="179"/>
        <v>6555</v>
      </c>
      <c r="O467" s="8">
        <f t="shared" si="180"/>
        <v>284</v>
      </c>
      <c r="P467" s="8">
        <f t="shared" si="181"/>
        <v>33</v>
      </c>
      <c r="Q467" s="8">
        <f t="shared" si="182"/>
        <v>3990</v>
      </c>
      <c r="R467" s="8">
        <f t="shared" si="183"/>
        <v>28</v>
      </c>
      <c r="S467" s="8">
        <f t="shared" si="184"/>
        <v>0</v>
      </c>
      <c r="T467" s="8">
        <f t="shared" si="185"/>
        <v>0</v>
      </c>
      <c r="U467" s="8">
        <f t="shared" si="186"/>
        <v>36099</v>
      </c>
      <c r="V467" s="8">
        <f t="shared" si="187"/>
        <v>1</v>
      </c>
      <c r="W467" s="8">
        <f t="shared" si="188"/>
        <v>0</v>
      </c>
      <c r="X467" s="8">
        <f t="shared" si="189"/>
        <v>46990</v>
      </c>
      <c r="Y467" s="10">
        <v>1522333</v>
      </c>
      <c r="Z467" s="10">
        <v>66003</v>
      </c>
      <c r="AA467" s="10">
        <v>7724</v>
      </c>
      <c r="AB467" s="10">
        <v>792733</v>
      </c>
      <c r="AC467" s="10">
        <v>7130</v>
      </c>
      <c r="AD467" s="10">
        <v>0</v>
      </c>
      <c r="AE467" s="10">
        <v>68250</v>
      </c>
      <c r="AF467" s="10">
        <v>157410</v>
      </c>
      <c r="AG467" s="10">
        <v>30665</v>
      </c>
      <c r="AH467" s="10">
        <f t="shared" si="190"/>
        <v>79639.080000000075</v>
      </c>
      <c r="AI467" s="10">
        <v>2731887.08</v>
      </c>
      <c r="AJ467" s="10">
        <v>1528888</v>
      </c>
      <c r="AK467" s="10">
        <v>66287</v>
      </c>
      <c r="AL467" s="10">
        <v>7757</v>
      </c>
      <c r="AM467" s="10">
        <v>796723</v>
      </c>
      <c r="AN467" s="10">
        <v>7158</v>
      </c>
      <c r="AO467" s="10">
        <v>0</v>
      </c>
      <c r="AP467" s="10">
        <v>68250</v>
      </c>
      <c r="AQ467" s="10">
        <v>193509</v>
      </c>
      <c r="AR467" s="10">
        <v>30666</v>
      </c>
      <c r="AS467" s="10">
        <f t="shared" si="170"/>
        <v>79639.080000000075</v>
      </c>
      <c r="AT467" s="10">
        <v>2778877.08</v>
      </c>
      <c r="AU467" s="12">
        <v>0</v>
      </c>
      <c r="AV467" s="12">
        <v>0</v>
      </c>
      <c r="AW467" s="12">
        <v>4887.75</v>
      </c>
      <c r="AX467" s="12">
        <f t="shared" si="191"/>
        <v>4887.75</v>
      </c>
      <c r="AY467" s="12">
        <v>0</v>
      </c>
      <c r="AZ467" s="12">
        <v>0</v>
      </c>
      <c r="BA467" s="12">
        <v>4974.95</v>
      </c>
      <c r="BB467" s="12">
        <f t="shared" si="192"/>
        <v>4974.95</v>
      </c>
      <c r="BC467" s="12">
        <v>0</v>
      </c>
      <c r="BD467" s="12">
        <v>0</v>
      </c>
      <c r="BE467" s="12">
        <v>87.19999999999709</v>
      </c>
      <c r="BF467" s="12">
        <v>87.19999999999709</v>
      </c>
    </row>
    <row r="468" spans="1:58" x14ac:dyDescent="0.25">
      <c r="A468" s="7">
        <v>4136</v>
      </c>
      <c r="B468" s="7">
        <v>7</v>
      </c>
      <c r="C468" s="7" t="s">
        <v>469</v>
      </c>
      <c r="D468" s="4">
        <v>7</v>
      </c>
      <c r="E468" s="10">
        <v>0</v>
      </c>
      <c r="F468" s="8">
        <f t="shared" si="171"/>
        <v>0</v>
      </c>
      <c r="G468" s="8">
        <f t="shared" si="172"/>
        <v>0</v>
      </c>
      <c r="H468" s="8">
        <f t="shared" si="173"/>
        <v>0</v>
      </c>
      <c r="I468" s="8">
        <f t="shared" si="174"/>
        <v>0</v>
      </c>
      <c r="J468" s="8">
        <f t="shared" si="175"/>
        <v>0</v>
      </c>
      <c r="K468" s="8">
        <f t="shared" si="176"/>
        <v>0</v>
      </c>
      <c r="L468" s="8">
        <f t="shared" si="177"/>
        <v>0</v>
      </c>
      <c r="M468" s="8">
        <f t="shared" si="178"/>
        <v>0</v>
      </c>
      <c r="N468" s="8">
        <f t="shared" si="179"/>
        <v>0</v>
      </c>
      <c r="O468" s="8">
        <f t="shared" si="180"/>
        <v>0</v>
      </c>
      <c r="P468" s="8">
        <f t="shared" si="181"/>
        <v>0</v>
      </c>
      <c r="Q468" s="8">
        <f t="shared" si="182"/>
        <v>0</v>
      </c>
      <c r="R468" s="8">
        <f t="shared" si="183"/>
        <v>0</v>
      </c>
      <c r="S468" s="8">
        <f t="shared" si="184"/>
        <v>0</v>
      </c>
      <c r="T468" s="8">
        <f t="shared" si="185"/>
        <v>0</v>
      </c>
      <c r="U468" s="8">
        <f t="shared" si="186"/>
        <v>0</v>
      </c>
      <c r="V468" s="8">
        <f t="shared" si="187"/>
        <v>0</v>
      </c>
      <c r="W468" s="8">
        <f t="shared" si="188"/>
        <v>0</v>
      </c>
      <c r="X468" s="8">
        <f t="shared" si="189"/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  <c r="AG468" s="10">
        <v>0</v>
      </c>
      <c r="AH468" s="10">
        <f t="shared" si="190"/>
        <v>0</v>
      </c>
      <c r="AI468" s="10">
        <v>0</v>
      </c>
      <c r="AJ468" s="10">
        <v>0</v>
      </c>
      <c r="AK468" s="10">
        <v>0</v>
      </c>
      <c r="AL468" s="10">
        <v>0</v>
      </c>
      <c r="AM468" s="10">
        <v>0</v>
      </c>
      <c r="AN468" s="10">
        <v>0</v>
      </c>
      <c r="AO468" s="10">
        <v>0</v>
      </c>
      <c r="AP468" s="10">
        <v>0</v>
      </c>
      <c r="AQ468" s="10">
        <v>0</v>
      </c>
      <c r="AR468" s="10">
        <v>0</v>
      </c>
      <c r="AS468" s="10">
        <f t="shared" si="170"/>
        <v>0</v>
      </c>
      <c r="AT468" s="10">
        <v>0</v>
      </c>
      <c r="AU468" s="12">
        <v>0</v>
      </c>
      <c r="AV468" s="12">
        <v>0</v>
      </c>
      <c r="AW468" s="12">
        <v>0</v>
      </c>
      <c r="AX468" s="12">
        <f t="shared" si="191"/>
        <v>0</v>
      </c>
      <c r="AY468" s="12">
        <v>0</v>
      </c>
      <c r="AZ468" s="12">
        <v>0</v>
      </c>
      <c r="BA468" s="12">
        <v>0</v>
      </c>
      <c r="BB468" s="12">
        <f t="shared" si="192"/>
        <v>0</v>
      </c>
      <c r="BC468" s="12">
        <v>0</v>
      </c>
      <c r="BD468" s="12">
        <v>0</v>
      </c>
      <c r="BE468" s="12">
        <v>0</v>
      </c>
      <c r="BF468" s="12">
        <v>0</v>
      </c>
    </row>
    <row r="469" spans="1:58" x14ac:dyDescent="0.25">
      <c r="A469" s="7">
        <v>4137</v>
      </c>
      <c r="B469" s="7">
        <v>7</v>
      </c>
      <c r="C469" s="7" t="s">
        <v>470</v>
      </c>
      <c r="D469" s="4">
        <v>7</v>
      </c>
      <c r="E469" s="10">
        <v>144</v>
      </c>
      <c r="F469" s="8">
        <f t="shared" si="171"/>
        <v>3462.25</v>
      </c>
      <c r="G469" s="8">
        <f t="shared" si="172"/>
        <v>3161.94</v>
      </c>
      <c r="H469" s="8">
        <f t="shared" si="173"/>
        <v>0</v>
      </c>
      <c r="I469" s="8">
        <f t="shared" si="174"/>
        <v>-184.00000000005593</v>
      </c>
      <c r="J469" s="8">
        <f t="shared" si="175"/>
        <v>6440.1899999999441</v>
      </c>
      <c r="K469" s="8">
        <f t="shared" si="176"/>
        <v>424.79999999999927</v>
      </c>
      <c r="L469" s="8">
        <f t="shared" si="177"/>
        <v>6864.9899999999434</v>
      </c>
      <c r="M469" s="8">
        <f t="shared" si="178"/>
        <v>44.723541666666279</v>
      </c>
      <c r="N469" s="8">
        <f t="shared" si="179"/>
        <v>3330</v>
      </c>
      <c r="O469" s="8">
        <f t="shared" si="180"/>
        <v>74</v>
      </c>
      <c r="P469" s="8">
        <f t="shared" si="181"/>
        <v>30</v>
      </c>
      <c r="Q469" s="8">
        <f t="shared" si="182"/>
        <v>14.25</v>
      </c>
      <c r="R469" s="8">
        <f t="shared" si="183"/>
        <v>14</v>
      </c>
      <c r="S469" s="8">
        <f t="shared" si="184"/>
        <v>0</v>
      </c>
      <c r="T469" s="8">
        <f t="shared" si="185"/>
        <v>3161.94</v>
      </c>
      <c r="U469" s="8">
        <f t="shared" si="186"/>
        <v>0</v>
      </c>
      <c r="V469" s="8">
        <f t="shared" si="187"/>
        <v>1</v>
      </c>
      <c r="W469" s="8">
        <f t="shared" si="188"/>
        <v>-185</v>
      </c>
      <c r="X469" s="8">
        <f t="shared" si="189"/>
        <v>6440.1899999999441</v>
      </c>
      <c r="Y469" s="10">
        <v>773359</v>
      </c>
      <c r="Z469" s="10">
        <v>16988</v>
      </c>
      <c r="AA469" s="10">
        <v>6945</v>
      </c>
      <c r="AB469" s="10">
        <v>2831</v>
      </c>
      <c r="AC469" s="10">
        <v>3622</v>
      </c>
      <c r="AD469" s="10">
        <v>0</v>
      </c>
      <c r="AE469" s="10">
        <v>0</v>
      </c>
      <c r="AF469" s="10">
        <v>19080</v>
      </c>
      <c r="AG469" s="10">
        <v>15578</v>
      </c>
      <c r="AH469" s="10">
        <f t="shared" si="190"/>
        <v>23264.799559999956</v>
      </c>
      <c r="AI469" s="10">
        <v>861667.79955999996</v>
      </c>
      <c r="AJ469" s="10">
        <v>776689</v>
      </c>
      <c r="AK469" s="10">
        <v>17062</v>
      </c>
      <c r="AL469" s="10">
        <v>6975</v>
      </c>
      <c r="AM469" s="10">
        <v>2845.25</v>
      </c>
      <c r="AN469" s="10">
        <v>3636</v>
      </c>
      <c r="AO469" s="10">
        <v>0</v>
      </c>
      <c r="AP469" s="10">
        <v>3161.94</v>
      </c>
      <c r="AQ469" s="10">
        <v>19080</v>
      </c>
      <c r="AR469" s="10">
        <v>15579</v>
      </c>
      <c r="AS469" s="10">
        <f t="shared" si="170"/>
        <v>23079.799559999956</v>
      </c>
      <c r="AT469" s="10">
        <v>868107.9895599999</v>
      </c>
      <c r="AU469" s="12">
        <v>0</v>
      </c>
      <c r="AV469" s="12">
        <v>0</v>
      </c>
      <c r="AW469" s="12">
        <v>1447.5</v>
      </c>
      <c r="AX469" s="12">
        <f t="shared" si="191"/>
        <v>1447.5</v>
      </c>
      <c r="AY469" s="12">
        <v>0</v>
      </c>
      <c r="AZ469" s="12">
        <v>0</v>
      </c>
      <c r="BA469" s="12">
        <v>1872.3</v>
      </c>
      <c r="BB469" s="12">
        <f t="shared" si="192"/>
        <v>1872.3</v>
      </c>
      <c r="BC469" s="12">
        <v>0</v>
      </c>
      <c r="BD469" s="12">
        <v>0</v>
      </c>
      <c r="BE469" s="12">
        <v>424.79999999999927</v>
      </c>
      <c r="BF469" s="12">
        <v>424.79999999999927</v>
      </c>
    </row>
    <row r="470" spans="1:58" x14ac:dyDescent="0.25">
      <c r="A470" s="7">
        <v>4138</v>
      </c>
      <c r="B470" s="7">
        <v>7</v>
      </c>
      <c r="C470" s="7" t="s">
        <v>471</v>
      </c>
      <c r="D470" s="4">
        <v>7</v>
      </c>
      <c r="E470" s="10">
        <v>50</v>
      </c>
      <c r="F470" s="8">
        <f t="shared" si="171"/>
        <v>1391.25</v>
      </c>
      <c r="G470" s="8">
        <f t="shared" si="172"/>
        <v>0</v>
      </c>
      <c r="H470" s="8">
        <f t="shared" si="173"/>
        <v>0</v>
      </c>
      <c r="I470" s="8">
        <f t="shared" si="174"/>
        <v>-133</v>
      </c>
      <c r="J470" s="8">
        <f t="shared" si="175"/>
        <v>1258.25</v>
      </c>
      <c r="K470" s="8">
        <f t="shared" si="176"/>
        <v>0</v>
      </c>
      <c r="L470" s="8">
        <f t="shared" si="177"/>
        <v>1258.25</v>
      </c>
      <c r="M470" s="8">
        <f t="shared" si="178"/>
        <v>25.164999999999999</v>
      </c>
      <c r="N470" s="8">
        <f t="shared" si="179"/>
        <v>1250</v>
      </c>
      <c r="O470" s="8">
        <f t="shared" si="180"/>
        <v>0</v>
      </c>
      <c r="P470" s="8">
        <f t="shared" si="181"/>
        <v>75</v>
      </c>
      <c r="Q470" s="8">
        <f t="shared" si="182"/>
        <v>61.25</v>
      </c>
      <c r="R470" s="8">
        <f t="shared" si="183"/>
        <v>5</v>
      </c>
      <c r="S470" s="8">
        <f t="shared" si="184"/>
        <v>0</v>
      </c>
      <c r="T470" s="8">
        <f t="shared" si="185"/>
        <v>0</v>
      </c>
      <c r="U470" s="8">
        <f t="shared" si="186"/>
        <v>0</v>
      </c>
      <c r="V470" s="8">
        <f t="shared" si="187"/>
        <v>0</v>
      </c>
      <c r="W470" s="8">
        <f t="shared" si="188"/>
        <v>-133</v>
      </c>
      <c r="X470" s="8">
        <f t="shared" si="189"/>
        <v>1258.25</v>
      </c>
      <c r="Y470" s="10">
        <v>290300</v>
      </c>
      <c r="Z470" s="10">
        <v>0</v>
      </c>
      <c r="AA470" s="10">
        <v>17438</v>
      </c>
      <c r="AB470" s="10">
        <v>12169</v>
      </c>
      <c r="AC470" s="10">
        <v>1360</v>
      </c>
      <c r="AD470" s="10">
        <v>0</v>
      </c>
      <c r="AE470" s="10">
        <v>11000</v>
      </c>
      <c r="AF470" s="10">
        <v>0</v>
      </c>
      <c r="AG470" s="10">
        <v>5848</v>
      </c>
      <c r="AH470" s="10">
        <f t="shared" si="190"/>
        <v>-9821.5320000000065</v>
      </c>
      <c r="AI470" s="10">
        <v>328293.46799999999</v>
      </c>
      <c r="AJ470" s="10">
        <v>291550</v>
      </c>
      <c r="AK470" s="10">
        <v>0</v>
      </c>
      <c r="AL470" s="10">
        <v>17513</v>
      </c>
      <c r="AM470" s="10">
        <v>12230.25</v>
      </c>
      <c r="AN470" s="10">
        <v>1365</v>
      </c>
      <c r="AO470" s="10">
        <v>0</v>
      </c>
      <c r="AP470" s="10">
        <v>11000</v>
      </c>
      <c r="AQ470" s="10">
        <v>0</v>
      </c>
      <c r="AR470" s="10">
        <v>5848</v>
      </c>
      <c r="AS470" s="10">
        <f t="shared" si="170"/>
        <v>-9954.5320000000065</v>
      </c>
      <c r="AT470" s="10">
        <v>329551.71799999999</v>
      </c>
      <c r="AU470" s="12">
        <v>0</v>
      </c>
      <c r="AV470" s="12">
        <v>0</v>
      </c>
      <c r="AW470" s="12">
        <v>0</v>
      </c>
      <c r="AX470" s="12">
        <f t="shared" si="191"/>
        <v>0</v>
      </c>
      <c r="AY470" s="12">
        <v>0</v>
      </c>
      <c r="AZ470" s="12">
        <v>0</v>
      </c>
      <c r="BA470" s="12">
        <v>0</v>
      </c>
      <c r="BB470" s="12">
        <f t="shared" si="192"/>
        <v>0</v>
      </c>
      <c r="BC470" s="12">
        <v>0</v>
      </c>
      <c r="BD470" s="12">
        <v>0</v>
      </c>
      <c r="BE470" s="12">
        <v>0</v>
      </c>
      <c r="BF470" s="12">
        <v>0</v>
      </c>
    </row>
    <row r="471" spans="1:58" x14ac:dyDescent="0.25">
      <c r="A471" s="7">
        <v>4139</v>
      </c>
      <c r="B471" s="7">
        <v>7</v>
      </c>
      <c r="C471" s="7" t="s">
        <v>472</v>
      </c>
      <c r="D471" s="4">
        <v>7</v>
      </c>
      <c r="E471" s="10">
        <v>270</v>
      </c>
      <c r="F471" s="8">
        <f t="shared" si="171"/>
        <v>10146</v>
      </c>
      <c r="G471" s="8">
        <f t="shared" si="172"/>
        <v>5858.7999999999993</v>
      </c>
      <c r="H471" s="8">
        <f t="shared" si="173"/>
        <v>0</v>
      </c>
      <c r="I471" s="8">
        <f t="shared" si="174"/>
        <v>0.99999999981446308</v>
      </c>
      <c r="J471" s="8">
        <f t="shared" si="175"/>
        <v>16005.799999999814</v>
      </c>
      <c r="K471" s="8">
        <f t="shared" si="176"/>
        <v>865.20000000000073</v>
      </c>
      <c r="L471" s="8">
        <f t="shared" si="177"/>
        <v>16870.999999999814</v>
      </c>
      <c r="M471" s="8">
        <f t="shared" si="178"/>
        <v>59.28074074074005</v>
      </c>
      <c r="N471" s="8">
        <f t="shared" si="179"/>
        <v>6593</v>
      </c>
      <c r="O471" s="8">
        <f t="shared" si="180"/>
        <v>0</v>
      </c>
      <c r="P471" s="8">
        <f t="shared" si="181"/>
        <v>0</v>
      </c>
      <c r="Q471" s="8">
        <f t="shared" si="182"/>
        <v>3525</v>
      </c>
      <c r="R471" s="8">
        <f t="shared" si="183"/>
        <v>28</v>
      </c>
      <c r="S471" s="8">
        <f t="shared" si="184"/>
        <v>0</v>
      </c>
      <c r="T471" s="8">
        <f t="shared" si="185"/>
        <v>5858.7999999999993</v>
      </c>
      <c r="U471" s="8">
        <f t="shared" si="186"/>
        <v>0</v>
      </c>
      <c r="V471" s="8">
        <f t="shared" si="187"/>
        <v>1</v>
      </c>
      <c r="W471" s="8">
        <f t="shared" si="188"/>
        <v>0</v>
      </c>
      <c r="X471" s="8">
        <f t="shared" si="189"/>
        <v>16005.799999999814</v>
      </c>
      <c r="Y471" s="10">
        <v>1531042</v>
      </c>
      <c r="Z471" s="10">
        <v>0</v>
      </c>
      <c r="AA471" s="10">
        <v>68</v>
      </c>
      <c r="AB471" s="10">
        <v>700347</v>
      </c>
      <c r="AC471" s="10">
        <v>7171</v>
      </c>
      <c r="AD471" s="10">
        <v>0</v>
      </c>
      <c r="AE471" s="10">
        <v>0</v>
      </c>
      <c r="AF471" s="10">
        <v>0</v>
      </c>
      <c r="AG471" s="10">
        <v>30841</v>
      </c>
      <c r="AH471" s="10">
        <f t="shared" si="190"/>
        <v>80468.300000000279</v>
      </c>
      <c r="AI471" s="10">
        <v>2349937.3000000003</v>
      </c>
      <c r="AJ471" s="10">
        <v>1537635</v>
      </c>
      <c r="AK471" s="10">
        <v>0</v>
      </c>
      <c r="AL471" s="10">
        <v>68</v>
      </c>
      <c r="AM471" s="10">
        <v>703872</v>
      </c>
      <c r="AN471" s="10">
        <v>7199</v>
      </c>
      <c r="AO471" s="10">
        <v>0</v>
      </c>
      <c r="AP471" s="10">
        <v>5858.7999999999993</v>
      </c>
      <c r="AQ471" s="10">
        <v>0</v>
      </c>
      <c r="AR471" s="10">
        <v>30842</v>
      </c>
      <c r="AS471" s="10">
        <f t="shared" si="170"/>
        <v>80468.300000000279</v>
      </c>
      <c r="AT471" s="10">
        <v>2365943.1</v>
      </c>
      <c r="AU471" s="12">
        <v>0</v>
      </c>
      <c r="AV471" s="12">
        <v>0</v>
      </c>
      <c r="AW471" s="12">
        <v>3987.25</v>
      </c>
      <c r="AX471" s="12">
        <f t="shared" si="191"/>
        <v>3987.25</v>
      </c>
      <c r="AY471" s="12">
        <v>0</v>
      </c>
      <c r="AZ471" s="12">
        <v>0</v>
      </c>
      <c r="BA471" s="12">
        <v>4852.45</v>
      </c>
      <c r="BB471" s="12">
        <f t="shared" si="192"/>
        <v>4852.45</v>
      </c>
      <c r="BC471" s="12">
        <v>0</v>
      </c>
      <c r="BD471" s="12">
        <v>0</v>
      </c>
      <c r="BE471" s="12">
        <v>865.20000000000073</v>
      </c>
      <c r="BF471" s="12">
        <v>865.20000000000073</v>
      </c>
    </row>
    <row r="472" spans="1:58" x14ac:dyDescent="0.25">
      <c r="A472" s="7">
        <v>4140</v>
      </c>
      <c r="B472" s="7">
        <v>7</v>
      </c>
      <c r="C472" s="7" t="s">
        <v>473</v>
      </c>
      <c r="D472" s="4">
        <v>7</v>
      </c>
      <c r="E472" s="10">
        <v>614</v>
      </c>
      <c r="F472" s="8">
        <f t="shared" si="171"/>
        <v>14423.5</v>
      </c>
      <c r="G472" s="8">
        <f t="shared" si="172"/>
        <v>0</v>
      </c>
      <c r="H472" s="8">
        <f t="shared" si="173"/>
        <v>0</v>
      </c>
      <c r="I472" s="8">
        <f t="shared" si="174"/>
        <v>3</v>
      </c>
      <c r="J472" s="8">
        <f t="shared" si="175"/>
        <v>14426.5</v>
      </c>
      <c r="K472" s="8">
        <f t="shared" si="176"/>
        <v>802</v>
      </c>
      <c r="L472" s="8">
        <f t="shared" si="177"/>
        <v>15228.5</v>
      </c>
      <c r="M472" s="8">
        <f t="shared" si="178"/>
        <v>23.495928338762216</v>
      </c>
      <c r="N472" s="8">
        <f t="shared" si="179"/>
        <v>14270</v>
      </c>
      <c r="O472" s="8">
        <f t="shared" si="180"/>
        <v>0</v>
      </c>
      <c r="P472" s="8">
        <f t="shared" si="181"/>
        <v>0</v>
      </c>
      <c r="Q472" s="8">
        <f t="shared" si="182"/>
        <v>93.5</v>
      </c>
      <c r="R472" s="8">
        <f t="shared" si="183"/>
        <v>60</v>
      </c>
      <c r="S472" s="8">
        <f t="shared" si="184"/>
        <v>0</v>
      </c>
      <c r="T472" s="8">
        <f t="shared" si="185"/>
        <v>0</v>
      </c>
      <c r="U472" s="8">
        <f t="shared" si="186"/>
        <v>0</v>
      </c>
      <c r="V472" s="8">
        <f t="shared" si="187"/>
        <v>3</v>
      </c>
      <c r="W472" s="8">
        <f t="shared" si="188"/>
        <v>0</v>
      </c>
      <c r="X472" s="8">
        <f t="shared" si="189"/>
        <v>14426.5</v>
      </c>
      <c r="Y472" s="10">
        <v>3314065</v>
      </c>
      <c r="Z472" s="10">
        <v>0</v>
      </c>
      <c r="AA472" s="10">
        <v>148</v>
      </c>
      <c r="AB472" s="10">
        <v>18577</v>
      </c>
      <c r="AC472" s="10">
        <v>15522</v>
      </c>
      <c r="AD472" s="10">
        <v>0</v>
      </c>
      <c r="AE472" s="10">
        <v>141000</v>
      </c>
      <c r="AF472" s="10">
        <v>15496</v>
      </c>
      <c r="AG472" s="10">
        <v>66757</v>
      </c>
      <c r="AH472" s="10">
        <f t="shared" si="190"/>
        <v>224414.33999999985</v>
      </c>
      <c r="AI472" s="10">
        <v>3795979.34</v>
      </c>
      <c r="AJ472" s="10">
        <v>3328335</v>
      </c>
      <c r="AK472" s="10">
        <v>0</v>
      </c>
      <c r="AL472" s="10">
        <v>148</v>
      </c>
      <c r="AM472" s="10">
        <v>18670.5</v>
      </c>
      <c r="AN472" s="10">
        <v>15582</v>
      </c>
      <c r="AO472" s="10">
        <v>0</v>
      </c>
      <c r="AP472" s="10">
        <v>141000</v>
      </c>
      <c r="AQ472" s="10">
        <v>15496</v>
      </c>
      <c r="AR472" s="10">
        <v>66760</v>
      </c>
      <c r="AS472" s="10">
        <f t="shared" si="170"/>
        <v>224414.33999999985</v>
      </c>
      <c r="AT472" s="10">
        <v>3810405.84</v>
      </c>
      <c r="AU472" s="12">
        <v>0</v>
      </c>
      <c r="AV472" s="12">
        <v>0</v>
      </c>
      <c r="AW472" s="12">
        <v>4158</v>
      </c>
      <c r="AX472" s="12">
        <f t="shared" si="191"/>
        <v>4158</v>
      </c>
      <c r="AY472" s="12">
        <v>0</v>
      </c>
      <c r="AZ472" s="12">
        <v>0</v>
      </c>
      <c r="BA472" s="12">
        <v>4960</v>
      </c>
      <c r="BB472" s="12">
        <f t="shared" si="192"/>
        <v>4960</v>
      </c>
      <c r="BC472" s="12">
        <v>0</v>
      </c>
      <c r="BD472" s="12">
        <v>0</v>
      </c>
      <c r="BE472" s="12">
        <v>802</v>
      </c>
      <c r="BF472" s="12">
        <v>802</v>
      </c>
    </row>
    <row r="473" spans="1:58" x14ac:dyDescent="0.25">
      <c r="A473" s="7">
        <v>4141</v>
      </c>
      <c r="B473" s="7">
        <v>7</v>
      </c>
      <c r="C473" s="7" t="s">
        <v>474</v>
      </c>
      <c r="D473" s="4">
        <v>7</v>
      </c>
      <c r="E473" s="10">
        <v>396</v>
      </c>
      <c r="F473" s="8">
        <f t="shared" si="171"/>
        <v>10531.25</v>
      </c>
      <c r="G473" s="8">
        <f t="shared" si="172"/>
        <v>0</v>
      </c>
      <c r="H473" s="8">
        <f t="shared" si="173"/>
        <v>16276</v>
      </c>
      <c r="I473" s="8">
        <f t="shared" si="174"/>
        <v>2</v>
      </c>
      <c r="J473" s="8">
        <f t="shared" si="175"/>
        <v>26809.25</v>
      </c>
      <c r="K473" s="8">
        <f t="shared" si="176"/>
        <v>512.79999999999927</v>
      </c>
      <c r="L473" s="8">
        <f t="shared" si="177"/>
        <v>27322.05</v>
      </c>
      <c r="M473" s="8">
        <f t="shared" si="178"/>
        <v>67.700126262626256</v>
      </c>
      <c r="N473" s="8">
        <f t="shared" si="179"/>
        <v>10340</v>
      </c>
      <c r="O473" s="8">
        <f t="shared" si="180"/>
        <v>0</v>
      </c>
      <c r="P473" s="8">
        <f t="shared" si="181"/>
        <v>0</v>
      </c>
      <c r="Q473" s="8">
        <f t="shared" si="182"/>
        <v>147.25</v>
      </c>
      <c r="R473" s="8">
        <f t="shared" si="183"/>
        <v>44</v>
      </c>
      <c r="S473" s="8">
        <f t="shared" si="184"/>
        <v>0</v>
      </c>
      <c r="T473" s="8">
        <f t="shared" si="185"/>
        <v>0</v>
      </c>
      <c r="U473" s="8">
        <f t="shared" si="186"/>
        <v>16276</v>
      </c>
      <c r="V473" s="8">
        <f t="shared" si="187"/>
        <v>2</v>
      </c>
      <c r="W473" s="8">
        <f t="shared" si="188"/>
        <v>0</v>
      </c>
      <c r="X473" s="8">
        <f t="shared" si="189"/>
        <v>26809.25</v>
      </c>
      <c r="Y473" s="10">
        <v>2401362</v>
      </c>
      <c r="Z473" s="10">
        <v>0</v>
      </c>
      <c r="AA473" s="10">
        <v>107</v>
      </c>
      <c r="AB473" s="10">
        <v>29256</v>
      </c>
      <c r="AC473" s="10">
        <v>11247</v>
      </c>
      <c r="AD473" s="10">
        <v>0</v>
      </c>
      <c r="AE473" s="10">
        <v>96250</v>
      </c>
      <c r="AF473" s="10">
        <v>0</v>
      </c>
      <c r="AG473" s="10">
        <v>48372</v>
      </c>
      <c r="AH473" s="10">
        <f t="shared" si="190"/>
        <v>158769.98400000017</v>
      </c>
      <c r="AI473" s="10">
        <v>2745363.9840000002</v>
      </c>
      <c r="AJ473" s="10">
        <v>2411702</v>
      </c>
      <c r="AK473" s="10">
        <v>0</v>
      </c>
      <c r="AL473" s="10">
        <v>107</v>
      </c>
      <c r="AM473" s="10">
        <v>29403.25</v>
      </c>
      <c r="AN473" s="10">
        <v>11291</v>
      </c>
      <c r="AO473" s="10">
        <v>0</v>
      </c>
      <c r="AP473" s="10">
        <v>96250</v>
      </c>
      <c r="AQ473" s="10">
        <v>16276</v>
      </c>
      <c r="AR473" s="10">
        <v>48374</v>
      </c>
      <c r="AS473" s="10">
        <f t="shared" si="170"/>
        <v>158769.98400000017</v>
      </c>
      <c r="AT473" s="10">
        <v>2772173.2340000002</v>
      </c>
      <c r="AU473" s="12">
        <v>0</v>
      </c>
      <c r="AV473" s="12">
        <v>0</v>
      </c>
      <c r="AW473" s="12">
        <v>2775.875</v>
      </c>
      <c r="AX473" s="12">
        <f t="shared" si="191"/>
        <v>2775.875</v>
      </c>
      <c r="AY473" s="12">
        <v>0</v>
      </c>
      <c r="AZ473" s="12">
        <v>0</v>
      </c>
      <c r="BA473" s="12">
        <v>3288.6750000000002</v>
      </c>
      <c r="BB473" s="12">
        <f t="shared" si="192"/>
        <v>3288.6750000000002</v>
      </c>
      <c r="BC473" s="12">
        <v>0</v>
      </c>
      <c r="BD473" s="12">
        <v>0</v>
      </c>
      <c r="BE473" s="12">
        <v>512.79999999999927</v>
      </c>
      <c r="BF473" s="12">
        <v>512.79999999999927</v>
      </c>
    </row>
    <row r="474" spans="1:58" x14ac:dyDescent="0.25">
      <c r="A474" s="7">
        <v>4142</v>
      </c>
      <c r="B474" s="7">
        <v>7</v>
      </c>
      <c r="C474" s="7" t="s">
        <v>475</v>
      </c>
      <c r="D474" s="4">
        <v>7</v>
      </c>
      <c r="E474" s="10">
        <v>549</v>
      </c>
      <c r="F474" s="8">
        <f t="shared" si="171"/>
        <v>16085.25</v>
      </c>
      <c r="G474" s="8">
        <f t="shared" si="172"/>
        <v>0</v>
      </c>
      <c r="H474" s="8">
        <f t="shared" si="173"/>
        <v>0</v>
      </c>
      <c r="I474" s="8">
        <f t="shared" si="174"/>
        <v>-788</v>
      </c>
      <c r="J474" s="8">
        <f t="shared" si="175"/>
        <v>15297.25</v>
      </c>
      <c r="K474" s="8">
        <f t="shared" si="176"/>
        <v>3152.4000000000015</v>
      </c>
      <c r="L474" s="8">
        <f t="shared" si="177"/>
        <v>18449.650000000001</v>
      </c>
      <c r="M474" s="8">
        <f t="shared" si="178"/>
        <v>27.863843351548269</v>
      </c>
      <c r="N474" s="8">
        <f t="shared" si="179"/>
        <v>14110</v>
      </c>
      <c r="O474" s="8">
        <f t="shared" si="180"/>
        <v>0</v>
      </c>
      <c r="P474" s="8">
        <f t="shared" si="181"/>
        <v>134</v>
      </c>
      <c r="Q474" s="8">
        <f t="shared" si="182"/>
        <v>1781.25</v>
      </c>
      <c r="R474" s="8">
        <f t="shared" si="183"/>
        <v>60</v>
      </c>
      <c r="S474" s="8">
        <f t="shared" si="184"/>
        <v>0</v>
      </c>
      <c r="T474" s="8">
        <f t="shared" si="185"/>
        <v>0</v>
      </c>
      <c r="U474" s="8">
        <f t="shared" si="186"/>
        <v>0</v>
      </c>
      <c r="V474" s="8">
        <f t="shared" si="187"/>
        <v>3</v>
      </c>
      <c r="W474" s="8">
        <f t="shared" si="188"/>
        <v>-791</v>
      </c>
      <c r="X474" s="8">
        <f t="shared" si="189"/>
        <v>15297.25</v>
      </c>
      <c r="Y474" s="10">
        <v>3276906</v>
      </c>
      <c r="Z474" s="10">
        <v>0</v>
      </c>
      <c r="AA474" s="10">
        <v>30935</v>
      </c>
      <c r="AB474" s="10">
        <v>353899</v>
      </c>
      <c r="AC474" s="10">
        <v>15348</v>
      </c>
      <c r="AD474" s="10">
        <v>0</v>
      </c>
      <c r="AE474" s="10">
        <v>131750</v>
      </c>
      <c r="AF474" s="10">
        <v>15664</v>
      </c>
      <c r="AG474" s="10">
        <v>66008</v>
      </c>
      <c r="AH474" s="10">
        <f t="shared" si="190"/>
        <v>5344.5299999997951</v>
      </c>
      <c r="AI474" s="10">
        <v>3895854.53</v>
      </c>
      <c r="AJ474" s="10">
        <v>3291016</v>
      </c>
      <c r="AK474" s="10">
        <v>0</v>
      </c>
      <c r="AL474" s="10">
        <v>31069</v>
      </c>
      <c r="AM474" s="10">
        <v>355680.25</v>
      </c>
      <c r="AN474" s="10">
        <v>15408</v>
      </c>
      <c r="AO474" s="10">
        <v>0</v>
      </c>
      <c r="AP474" s="10">
        <v>131750</v>
      </c>
      <c r="AQ474" s="10">
        <v>15664</v>
      </c>
      <c r="AR474" s="10">
        <v>66011</v>
      </c>
      <c r="AS474" s="10">
        <f t="shared" si="170"/>
        <v>4553.5299999997951</v>
      </c>
      <c r="AT474" s="10">
        <v>3911151.78</v>
      </c>
      <c r="AU474" s="12">
        <v>0</v>
      </c>
      <c r="AV474" s="12">
        <v>0</v>
      </c>
      <c r="AW474" s="12">
        <v>6056.625</v>
      </c>
      <c r="AX474" s="12">
        <f t="shared" si="191"/>
        <v>6056.625</v>
      </c>
      <c r="AY474" s="12">
        <v>0</v>
      </c>
      <c r="AZ474" s="12">
        <v>0</v>
      </c>
      <c r="BA474" s="12">
        <v>9209.0249999999996</v>
      </c>
      <c r="BB474" s="12">
        <f t="shared" si="192"/>
        <v>9209.0249999999996</v>
      </c>
      <c r="BC474" s="12">
        <v>0</v>
      </c>
      <c r="BD474" s="12">
        <v>0</v>
      </c>
      <c r="BE474" s="12">
        <v>3152.4000000000015</v>
      </c>
      <c r="BF474" s="12">
        <v>3152.4000000000015</v>
      </c>
    </row>
    <row r="475" spans="1:58" x14ac:dyDescent="0.25">
      <c r="A475" s="7">
        <v>4143</v>
      </c>
      <c r="B475" s="7">
        <v>7</v>
      </c>
      <c r="C475" s="7" t="s">
        <v>476</v>
      </c>
      <c r="D475" s="4">
        <v>7</v>
      </c>
      <c r="E475" s="10">
        <v>441</v>
      </c>
      <c r="F475" s="8">
        <f t="shared" si="171"/>
        <v>15906.5</v>
      </c>
      <c r="G475" s="8">
        <f t="shared" si="172"/>
        <v>0</v>
      </c>
      <c r="H475" s="8">
        <f t="shared" si="173"/>
        <v>12421</v>
      </c>
      <c r="I475" s="8">
        <f t="shared" si="174"/>
        <v>2</v>
      </c>
      <c r="J475" s="8">
        <f t="shared" si="175"/>
        <v>28329.5</v>
      </c>
      <c r="K475" s="8">
        <f t="shared" si="176"/>
        <v>2739.1999999999971</v>
      </c>
      <c r="L475" s="8">
        <f t="shared" si="177"/>
        <v>31068.699999999997</v>
      </c>
      <c r="M475" s="8">
        <f t="shared" si="178"/>
        <v>64.239229024943313</v>
      </c>
      <c r="N475" s="8">
        <f t="shared" si="179"/>
        <v>11375</v>
      </c>
      <c r="O475" s="8">
        <f t="shared" si="180"/>
        <v>0</v>
      </c>
      <c r="P475" s="8">
        <f t="shared" si="181"/>
        <v>0</v>
      </c>
      <c r="Q475" s="8">
        <f t="shared" si="182"/>
        <v>4483.5</v>
      </c>
      <c r="R475" s="8">
        <f t="shared" si="183"/>
        <v>48</v>
      </c>
      <c r="S475" s="8">
        <f t="shared" si="184"/>
        <v>0</v>
      </c>
      <c r="T475" s="8">
        <f t="shared" si="185"/>
        <v>0</v>
      </c>
      <c r="U475" s="8">
        <f t="shared" si="186"/>
        <v>12421</v>
      </c>
      <c r="V475" s="8">
        <f t="shared" si="187"/>
        <v>2</v>
      </c>
      <c r="W475" s="8">
        <f t="shared" si="188"/>
        <v>0</v>
      </c>
      <c r="X475" s="8">
        <f t="shared" si="189"/>
        <v>28329.5</v>
      </c>
      <c r="Y475" s="10">
        <v>2641730</v>
      </c>
      <c r="Z475" s="10">
        <v>0</v>
      </c>
      <c r="AA475" s="10">
        <v>118</v>
      </c>
      <c r="AB475" s="10">
        <v>890782</v>
      </c>
      <c r="AC475" s="10">
        <v>12373</v>
      </c>
      <c r="AD475" s="10">
        <v>0</v>
      </c>
      <c r="AE475" s="10">
        <v>108750</v>
      </c>
      <c r="AF475" s="10">
        <v>209880</v>
      </c>
      <c r="AG475" s="10">
        <v>53214</v>
      </c>
      <c r="AH475" s="10">
        <f t="shared" si="190"/>
        <v>148067.83000000007</v>
      </c>
      <c r="AI475" s="10">
        <v>4064914.83</v>
      </c>
      <c r="AJ475" s="10">
        <v>2653105</v>
      </c>
      <c r="AK475" s="10">
        <v>0</v>
      </c>
      <c r="AL475" s="10">
        <v>118</v>
      </c>
      <c r="AM475" s="10">
        <v>895265.5</v>
      </c>
      <c r="AN475" s="10">
        <v>12421</v>
      </c>
      <c r="AO475" s="10">
        <v>0</v>
      </c>
      <c r="AP475" s="10">
        <v>108750</v>
      </c>
      <c r="AQ475" s="10">
        <v>222301</v>
      </c>
      <c r="AR475" s="10">
        <v>53216</v>
      </c>
      <c r="AS475" s="10">
        <f t="shared" si="170"/>
        <v>148067.83000000007</v>
      </c>
      <c r="AT475" s="10">
        <v>4093244.33</v>
      </c>
      <c r="AU475" s="12">
        <v>0</v>
      </c>
      <c r="AV475" s="12">
        <v>0</v>
      </c>
      <c r="AW475" s="12">
        <v>9816.25</v>
      </c>
      <c r="AX475" s="12">
        <f t="shared" si="191"/>
        <v>9816.25</v>
      </c>
      <c r="AY475" s="12">
        <v>0</v>
      </c>
      <c r="AZ475" s="12">
        <v>0</v>
      </c>
      <c r="BA475" s="12">
        <v>12555.45</v>
      </c>
      <c r="BB475" s="12">
        <f t="shared" si="192"/>
        <v>12555.45</v>
      </c>
      <c r="BC475" s="12">
        <v>0</v>
      </c>
      <c r="BD475" s="12">
        <v>0</v>
      </c>
      <c r="BE475" s="12">
        <v>2739.1999999999971</v>
      </c>
      <c r="BF475" s="12">
        <v>2739.1999999999971</v>
      </c>
    </row>
    <row r="476" spans="1:58" x14ac:dyDescent="0.25">
      <c r="A476" s="7">
        <v>4144</v>
      </c>
      <c r="B476" s="7">
        <v>7</v>
      </c>
      <c r="C476" s="7" t="s">
        <v>477</v>
      </c>
      <c r="D476" s="4">
        <v>7</v>
      </c>
      <c r="E476" s="10">
        <v>84</v>
      </c>
      <c r="F476" s="8">
        <f t="shared" si="171"/>
        <v>2159</v>
      </c>
      <c r="G476" s="8">
        <f t="shared" si="172"/>
        <v>1404.3000000000002</v>
      </c>
      <c r="H476" s="8">
        <f t="shared" si="173"/>
        <v>0</v>
      </c>
      <c r="I476" s="8">
        <f t="shared" si="174"/>
        <v>-145.99999999995362</v>
      </c>
      <c r="J476" s="8">
        <f t="shared" si="175"/>
        <v>3417.3000000000466</v>
      </c>
      <c r="K476" s="8">
        <f t="shared" si="176"/>
        <v>0</v>
      </c>
      <c r="L476" s="8">
        <f t="shared" si="177"/>
        <v>3417.3000000000466</v>
      </c>
      <c r="M476" s="8">
        <f t="shared" si="178"/>
        <v>40.682142857143411</v>
      </c>
      <c r="N476" s="8">
        <f t="shared" si="179"/>
        <v>1965</v>
      </c>
      <c r="O476" s="8">
        <f t="shared" si="180"/>
        <v>0</v>
      </c>
      <c r="P476" s="8">
        <f t="shared" si="181"/>
        <v>54</v>
      </c>
      <c r="Q476" s="8">
        <f t="shared" si="182"/>
        <v>131</v>
      </c>
      <c r="R476" s="8">
        <f t="shared" si="183"/>
        <v>9</v>
      </c>
      <c r="S476" s="8">
        <f t="shared" si="184"/>
        <v>0</v>
      </c>
      <c r="T476" s="8">
        <f t="shared" si="185"/>
        <v>1404.3000000000002</v>
      </c>
      <c r="U476" s="8">
        <f t="shared" si="186"/>
        <v>0</v>
      </c>
      <c r="V476" s="8">
        <f t="shared" si="187"/>
        <v>0</v>
      </c>
      <c r="W476" s="8">
        <f t="shared" si="188"/>
        <v>-146</v>
      </c>
      <c r="X476" s="8">
        <f t="shared" si="189"/>
        <v>3417.3000000000466</v>
      </c>
      <c r="Y476" s="10">
        <v>456352</v>
      </c>
      <c r="Z476" s="10">
        <v>0</v>
      </c>
      <c r="AA476" s="10">
        <v>12605</v>
      </c>
      <c r="AB476" s="10">
        <v>26027</v>
      </c>
      <c r="AC476" s="10">
        <v>2137</v>
      </c>
      <c r="AD476" s="10">
        <v>0</v>
      </c>
      <c r="AE476" s="10">
        <v>0</v>
      </c>
      <c r="AF476" s="10">
        <v>19080</v>
      </c>
      <c r="AG476" s="10">
        <v>9193</v>
      </c>
      <c r="AH476" s="10">
        <f t="shared" si="190"/>
        <v>10342.444000000018</v>
      </c>
      <c r="AI476" s="10">
        <v>535736.44400000002</v>
      </c>
      <c r="AJ476" s="10">
        <v>458317</v>
      </c>
      <c r="AK476" s="10">
        <v>0</v>
      </c>
      <c r="AL476" s="10">
        <v>12659</v>
      </c>
      <c r="AM476" s="10">
        <v>26158</v>
      </c>
      <c r="AN476" s="10">
        <v>2146</v>
      </c>
      <c r="AO476" s="10">
        <v>0</v>
      </c>
      <c r="AP476" s="10">
        <v>1404.3000000000002</v>
      </c>
      <c r="AQ476" s="10">
        <v>19080</v>
      </c>
      <c r="AR476" s="10">
        <v>9193</v>
      </c>
      <c r="AS476" s="10">
        <f t="shared" si="170"/>
        <v>10196.444000000018</v>
      </c>
      <c r="AT476" s="10">
        <v>539153.74400000006</v>
      </c>
      <c r="AU476" s="12">
        <v>0</v>
      </c>
      <c r="AV476" s="12">
        <v>0</v>
      </c>
      <c r="AW476" s="12">
        <v>0</v>
      </c>
      <c r="AX476" s="12">
        <f t="shared" si="191"/>
        <v>0</v>
      </c>
      <c r="AY476" s="12">
        <v>0</v>
      </c>
      <c r="AZ476" s="12">
        <v>0</v>
      </c>
      <c r="BA476" s="12">
        <v>0</v>
      </c>
      <c r="BB476" s="12">
        <f t="shared" si="192"/>
        <v>0</v>
      </c>
      <c r="BC476" s="12">
        <v>0</v>
      </c>
      <c r="BD476" s="12">
        <v>0</v>
      </c>
      <c r="BE476" s="12">
        <v>0</v>
      </c>
      <c r="BF476" s="12">
        <v>0</v>
      </c>
    </row>
    <row r="477" spans="1:58" x14ac:dyDescent="0.25">
      <c r="A477" s="7">
        <v>4145</v>
      </c>
      <c r="B477" s="7">
        <v>7</v>
      </c>
      <c r="C477" s="7" t="s">
        <v>478</v>
      </c>
      <c r="D477" s="4">
        <v>7</v>
      </c>
      <c r="E477" s="10">
        <v>31</v>
      </c>
      <c r="F477" s="8">
        <f t="shared" si="171"/>
        <v>891.75</v>
      </c>
      <c r="G477" s="8">
        <f t="shared" si="172"/>
        <v>0</v>
      </c>
      <c r="H477" s="8">
        <f t="shared" si="173"/>
        <v>0</v>
      </c>
      <c r="I477" s="8">
        <f t="shared" si="174"/>
        <v>0</v>
      </c>
      <c r="J477" s="8">
        <f t="shared" si="175"/>
        <v>891.75</v>
      </c>
      <c r="K477" s="8">
        <f t="shared" si="176"/>
        <v>130.40000000000009</v>
      </c>
      <c r="L477" s="8">
        <f t="shared" si="177"/>
        <v>1022.1500000000001</v>
      </c>
      <c r="M477" s="8">
        <f t="shared" si="178"/>
        <v>28.766129032258064</v>
      </c>
      <c r="N477" s="8">
        <f t="shared" si="179"/>
        <v>696</v>
      </c>
      <c r="O477" s="8">
        <f t="shared" si="180"/>
        <v>0</v>
      </c>
      <c r="P477" s="8">
        <f t="shared" si="181"/>
        <v>70</v>
      </c>
      <c r="Q477" s="8">
        <f t="shared" si="182"/>
        <v>122.75</v>
      </c>
      <c r="R477" s="8">
        <f t="shared" si="183"/>
        <v>3</v>
      </c>
      <c r="S477" s="8">
        <f t="shared" si="184"/>
        <v>0</v>
      </c>
      <c r="T477" s="8">
        <f t="shared" si="185"/>
        <v>0</v>
      </c>
      <c r="U477" s="8">
        <f t="shared" si="186"/>
        <v>0</v>
      </c>
      <c r="V477" s="8">
        <f t="shared" si="187"/>
        <v>0</v>
      </c>
      <c r="W477" s="8">
        <f t="shared" si="188"/>
        <v>0</v>
      </c>
      <c r="X477" s="8">
        <f t="shared" si="189"/>
        <v>891.75</v>
      </c>
      <c r="Y477" s="10">
        <v>161697</v>
      </c>
      <c r="Z477" s="10">
        <v>0</v>
      </c>
      <c r="AA477" s="10">
        <v>16245</v>
      </c>
      <c r="AB477" s="10">
        <v>24388</v>
      </c>
      <c r="AC477" s="10">
        <v>757</v>
      </c>
      <c r="AD477" s="10">
        <v>0</v>
      </c>
      <c r="AE477" s="10">
        <v>5500</v>
      </c>
      <c r="AF477" s="10">
        <v>0</v>
      </c>
      <c r="AG477" s="10">
        <v>3257</v>
      </c>
      <c r="AH477" s="10">
        <f t="shared" si="190"/>
        <v>8250.8999999999942</v>
      </c>
      <c r="AI477" s="10">
        <v>220094.9</v>
      </c>
      <c r="AJ477" s="10">
        <v>162393</v>
      </c>
      <c r="AK477" s="10">
        <v>0</v>
      </c>
      <c r="AL477" s="10">
        <v>16315</v>
      </c>
      <c r="AM477" s="10">
        <v>24510.75</v>
      </c>
      <c r="AN477" s="10">
        <v>760</v>
      </c>
      <c r="AO477" s="10">
        <v>0</v>
      </c>
      <c r="AP477" s="10">
        <v>5500</v>
      </c>
      <c r="AQ477" s="10">
        <v>0</v>
      </c>
      <c r="AR477" s="10">
        <v>3257</v>
      </c>
      <c r="AS477" s="10">
        <f t="shared" si="170"/>
        <v>8250.8999999999942</v>
      </c>
      <c r="AT477" s="10">
        <v>220986.65</v>
      </c>
      <c r="AU477" s="12">
        <v>0</v>
      </c>
      <c r="AV477" s="12">
        <v>0</v>
      </c>
      <c r="AW477" s="12">
        <v>208.25</v>
      </c>
      <c r="AX477" s="12">
        <f t="shared" si="191"/>
        <v>208.25</v>
      </c>
      <c r="AY477" s="12">
        <v>0</v>
      </c>
      <c r="AZ477" s="12">
        <v>0</v>
      </c>
      <c r="BA477" s="12">
        <v>338.65</v>
      </c>
      <c r="BB477" s="12">
        <f t="shared" si="192"/>
        <v>338.65</v>
      </c>
      <c r="BC477" s="12">
        <v>0</v>
      </c>
      <c r="BD477" s="12">
        <v>0</v>
      </c>
      <c r="BE477" s="12">
        <v>130.40000000000009</v>
      </c>
      <c r="BF477" s="12">
        <v>130.40000000000009</v>
      </c>
    </row>
    <row r="478" spans="1:58" x14ac:dyDescent="0.25">
      <c r="A478" s="7">
        <v>4146</v>
      </c>
      <c r="B478" s="7">
        <v>7</v>
      </c>
      <c r="C478" s="7" t="s">
        <v>479</v>
      </c>
      <c r="D478" s="4">
        <v>7</v>
      </c>
      <c r="E478" s="10">
        <v>58</v>
      </c>
      <c r="F478" s="8">
        <f t="shared" si="171"/>
        <v>3241.25</v>
      </c>
      <c r="G478" s="8">
        <f t="shared" si="172"/>
        <v>3098.52</v>
      </c>
      <c r="H478" s="8">
        <f t="shared" si="173"/>
        <v>0</v>
      </c>
      <c r="I478" s="8">
        <f t="shared" si="174"/>
        <v>1.0000000000186446</v>
      </c>
      <c r="J478" s="8">
        <f t="shared" si="175"/>
        <v>6340.7700000000186</v>
      </c>
      <c r="K478" s="8">
        <f t="shared" si="176"/>
        <v>326.80000000000018</v>
      </c>
      <c r="L478" s="8">
        <f t="shared" si="177"/>
        <v>6667.5700000000188</v>
      </c>
      <c r="M478" s="8">
        <f t="shared" si="178"/>
        <v>109.3236206896555</v>
      </c>
      <c r="N478" s="8">
        <f t="shared" si="179"/>
        <v>1705</v>
      </c>
      <c r="O478" s="8">
        <f t="shared" si="180"/>
        <v>363</v>
      </c>
      <c r="P478" s="8">
        <f t="shared" si="181"/>
        <v>80</v>
      </c>
      <c r="Q478" s="8">
        <f t="shared" si="182"/>
        <v>1086.25</v>
      </c>
      <c r="R478" s="8">
        <f t="shared" si="183"/>
        <v>7</v>
      </c>
      <c r="S478" s="8">
        <f t="shared" si="184"/>
        <v>0</v>
      </c>
      <c r="T478" s="8">
        <f t="shared" si="185"/>
        <v>3098.52</v>
      </c>
      <c r="U478" s="8">
        <f t="shared" si="186"/>
        <v>0</v>
      </c>
      <c r="V478" s="8">
        <f t="shared" si="187"/>
        <v>1</v>
      </c>
      <c r="W478" s="8">
        <f t="shared" si="188"/>
        <v>0</v>
      </c>
      <c r="X478" s="8">
        <f t="shared" si="189"/>
        <v>6340.7700000000186</v>
      </c>
      <c r="Y478" s="10">
        <v>395969</v>
      </c>
      <c r="Z478" s="10">
        <v>84210</v>
      </c>
      <c r="AA478" s="10">
        <v>18492</v>
      </c>
      <c r="AB478" s="10">
        <v>215816</v>
      </c>
      <c r="AC478" s="10">
        <v>1855</v>
      </c>
      <c r="AD478" s="10">
        <v>0</v>
      </c>
      <c r="AE478" s="10">
        <v>0</v>
      </c>
      <c r="AF478" s="10">
        <v>0</v>
      </c>
      <c r="AG478" s="10">
        <v>7976</v>
      </c>
      <c r="AH478" s="10">
        <f t="shared" si="190"/>
        <v>25240.133600000059</v>
      </c>
      <c r="AI478" s="10">
        <v>749558.13360000006</v>
      </c>
      <c r="AJ478" s="10">
        <v>397674</v>
      </c>
      <c r="AK478" s="10">
        <v>84573</v>
      </c>
      <c r="AL478" s="10">
        <v>18572</v>
      </c>
      <c r="AM478" s="10">
        <v>216902.25</v>
      </c>
      <c r="AN478" s="10">
        <v>1862</v>
      </c>
      <c r="AO478" s="10">
        <v>0</v>
      </c>
      <c r="AP478" s="10">
        <v>3098.52</v>
      </c>
      <c r="AQ478" s="10">
        <v>0</v>
      </c>
      <c r="AR478" s="10">
        <v>7977</v>
      </c>
      <c r="AS478" s="10">
        <f t="shared" si="170"/>
        <v>25240.133600000059</v>
      </c>
      <c r="AT478" s="10">
        <v>755898.90360000008</v>
      </c>
      <c r="AU478" s="12">
        <v>0</v>
      </c>
      <c r="AV478" s="12">
        <v>0</v>
      </c>
      <c r="AW478" s="12">
        <v>869.75</v>
      </c>
      <c r="AX478" s="12">
        <f t="shared" si="191"/>
        <v>869.75</v>
      </c>
      <c r="AY478" s="12">
        <v>0</v>
      </c>
      <c r="AZ478" s="12">
        <v>0</v>
      </c>
      <c r="BA478" s="12">
        <v>1196.55</v>
      </c>
      <c r="BB478" s="12">
        <f t="shared" si="192"/>
        <v>1196.55</v>
      </c>
      <c r="BC478" s="12">
        <v>0</v>
      </c>
      <c r="BD478" s="12">
        <v>0</v>
      </c>
      <c r="BE478" s="12">
        <v>326.80000000000018</v>
      </c>
      <c r="BF478" s="12">
        <v>326.80000000000018</v>
      </c>
    </row>
    <row r="479" spans="1:58" x14ac:dyDescent="0.25">
      <c r="A479" s="7">
        <v>4148</v>
      </c>
      <c r="B479" s="7">
        <v>7</v>
      </c>
      <c r="C479" s="7" t="s">
        <v>480</v>
      </c>
      <c r="D479" s="4">
        <v>7</v>
      </c>
      <c r="E479" s="10">
        <v>0</v>
      </c>
      <c r="F479" s="8">
        <f t="shared" si="171"/>
        <v>0</v>
      </c>
      <c r="G479" s="8">
        <f t="shared" si="172"/>
        <v>0</v>
      </c>
      <c r="H479" s="8">
        <f t="shared" si="173"/>
        <v>0</v>
      </c>
      <c r="I479" s="8">
        <f t="shared" si="174"/>
        <v>0</v>
      </c>
      <c r="J479" s="8">
        <f t="shared" si="175"/>
        <v>0</v>
      </c>
      <c r="K479" s="8">
        <f t="shared" si="176"/>
        <v>0</v>
      </c>
      <c r="L479" s="8">
        <f t="shared" si="177"/>
        <v>0</v>
      </c>
      <c r="M479" s="8">
        <f t="shared" si="178"/>
        <v>0</v>
      </c>
      <c r="N479" s="8">
        <f t="shared" si="179"/>
        <v>0</v>
      </c>
      <c r="O479" s="8">
        <f t="shared" si="180"/>
        <v>0</v>
      </c>
      <c r="P479" s="8">
        <f t="shared" si="181"/>
        <v>0</v>
      </c>
      <c r="Q479" s="8">
        <f t="shared" si="182"/>
        <v>0</v>
      </c>
      <c r="R479" s="8">
        <f t="shared" si="183"/>
        <v>0</v>
      </c>
      <c r="S479" s="8">
        <f t="shared" si="184"/>
        <v>0</v>
      </c>
      <c r="T479" s="8">
        <f t="shared" si="185"/>
        <v>0</v>
      </c>
      <c r="U479" s="8">
        <f t="shared" si="186"/>
        <v>0</v>
      </c>
      <c r="V479" s="8">
        <f t="shared" si="187"/>
        <v>0</v>
      </c>
      <c r="W479" s="8">
        <f t="shared" si="188"/>
        <v>0</v>
      </c>
      <c r="X479" s="8">
        <f t="shared" si="189"/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  <c r="AG479" s="10">
        <v>0</v>
      </c>
      <c r="AH479" s="10">
        <f t="shared" si="190"/>
        <v>0</v>
      </c>
      <c r="AI479" s="10">
        <v>0</v>
      </c>
      <c r="AJ479" s="10">
        <v>0</v>
      </c>
      <c r="AK479" s="10">
        <v>0</v>
      </c>
      <c r="AL479" s="10">
        <v>0</v>
      </c>
      <c r="AM479" s="10">
        <v>0</v>
      </c>
      <c r="AN479" s="10">
        <v>0</v>
      </c>
      <c r="AO479" s="10">
        <v>0</v>
      </c>
      <c r="AP479" s="10">
        <v>0</v>
      </c>
      <c r="AQ479" s="10">
        <v>0</v>
      </c>
      <c r="AR479" s="10">
        <v>0</v>
      </c>
      <c r="AS479" s="10">
        <f t="shared" si="170"/>
        <v>0</v>
      </c>
      <c r="AT479" s="10">
        <v>0</v>
      </c>
      <c r="AU479" s="12">
        <v>0</v>
      </c>
      <c r="AV479" s="12">
        <v>0</v>
      </c>
      <c r="AW479" s="12">
        <v>0</v>
      </c>
      <c r="AX479" s="12">
        <f t="shared" si="191"/>
        <v>0</v>
      </c>
      <c r="AY479" s="12">
        <v>0</v>
      </c>
      <c r="AZ479" s="12">
        <v>0</v>
      </c>
      <c r="BA479" s="12">
        <v>0</v>
      </c>
      <c r="BB479" s="12">
        <f t="shared" si="192"/>
        <v>0</v>
      </c>
      <c r="BC479" s="12">
        <v>0</v>
      </c>
      <c r="BD479" s="12">
        <v>0</v>
      </c>
      <c r="BE479" s="12">
        <v>0</v>
      </c>
      <c r="BF479" s="12">
        <v>0</v>
      </c>
    </row>
    <row r="480" spans="1:58" x14ac:dyDescent="0.25">
      <c r="A480" s="7">
        <v>4149</v>
      </c>
      <c r="B480" s="7">
        <v>7</v>
      </c>
      <c r="C480" s="7" t="s">
        <v>481</v>
      </c>
      <c r="D480" s="4">
        <v>7</v>
      </c>
      <c r="E480" s="10">
        <v>0</v>
      </c>
      <c r="F480" s="8">
        <f t="shared" si="171"/>
        <v>0</v>
      </c>
      <c r="G480" s="8">
        <f t="shared" si="172"/>
        <v>0</v>
      </c>
      <c r="H480" s="8">
        <f t="shared" si="173"/>
        <v>0</v>
      </c>
      <c r="I480" s="8">
        <f t="shared" si="174"/>
        <v>0</v>
      </c>
      <c r="J480" s="8">
        <f t="shared" si="175"/>
        <v>0</v>
      </c>
      <c r="K480" s="8">
        <f t="shared" si="176"/>
        <v>0</v>
      </c>
      <c r="L480" s="8">
        <f t="shared" si="177"/>
        <v>0</v>
      </c>
      <c r="M480" s="8">
        <f t="shared" si="178"/>
        <v>0</v>
      </c>
      <c r="N480" s="8">
        <f t="shared" si="179"/>
        <v>0</v>
      </c>
      <c r="O480" s="8">
        <f t="shared" si="180"/>
        <v>0</v>
      </c>
      <c r="P480" s="8">
        <f t="shared" si="181"/>
        <v>0</v>
      </c>
      <c r="Q480" s="8">
        <f t="shared" si="182"/>
        <v>0</v>
      </c>
      <c r="R480" s="8">
        <f t="shared" si="183"/>
        <v>0</v>
      </c>
      <c r="S480" s="8">
        <f t="shared" si="184"/>
        <v>0</v>
      </c>
      <c r="T480" s="8">
        <f t="shared" si="185"/>
        <v>0</v>
      </c>
      <c r="U480" s="8">
        <f t="shared" si="186"/>
        <v>0</v>
      </c>
      <c r="V480" s="8">
        <f t="shared" si="187"/>
        <v>0</v>
      </c>
      <c r="W480" s="8">
        <f t="shared" si="188"/>
        <v>0</v>
      </c>
      <c r="X480" s="8">
        <f t="shared" si="189"/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  <c r="AG480" s="10">
        <v>0</v>
      </c>
      <c r="AH480" s="10">
        <f t="shared" si="190"/>
        <v>0</v>
      </c>
      <c r="AI480" s="10">
        <v>0</v>
      </c>
      <c r="AJ480" s="10">
        <v>0</v>
      </c>
      <c r="AK480" s="10">
        <v>0</v>
      </c>
      <c r="AL480" s="10">
        <v>0</v>
      </c>
      <c r="AM480" s="10">
        <v>0</v>
      </c>
      <c r="AN480" s="10">
        <v>0</v>
      </c>
      <c r="AO480" s="10">
        <v>0</v>
      </c>
      <c r="AP480" s="10">
        <v>0</v>
      </c>
      <c r="AQ480" s="10">
        <v>0</v>
      </c>
      <c r="AR480" s="10">
        <v>0</v>
      </c>
      <c r="AS480" s="10">
        <f t="shared" si="170"/>
        <v>0</v>
      </c>
      <c r="AT480" s="10">
        <v>0</v>
      </c>
      <c r="AU480" s="12">
        <v>0</v>
      </c>
      <c r="AV480" s="12">
        <v>0</v>
      </c>
      <c r="AW480" s="12">
        <v>0</v>
      </c>
      <c r="AX480" s="12">
        <f t="shared" si="191"/>
        <v>0</v>
      </c>
      <c r="AY480" s="12">
        <v>0</v>
      </c>
      <c r="AZ480" s="12">
        <v>0</v>
      </c>
      <c r="BA480" s="12">
        <v>0</v>
      </c>
      <c r="BB480" s="12">
        <f t="shared" si="192"/>
        <v>0</v>
      </c>
      <c r="BC480" s="12">
        <v>0</v>
      </c>
      <c r="BD480" s="12">
        <v>0</v>
      </c>
      <c r="BE480" s="12">
        <v>0</v>
      </c>
      <c r="BF480" s="12">
        <v>0</v>
      </c>
    </row>
    <row r="481" spans="1:58" x14ac:dyDescent="0.25">
      <c r="A481" s="7">
        <v>4150</v>
      </c>
      <c r="B481" s="7">
        <v>7</v>
      </c>
      <c r="C481" s="7" t="s">
        <v>482</v>
      </c>
      <c r="D481" s="4">
        <v>7</v>
      </c>
      <c r="E481" s="10">
        <v>110</v>
      </c>
      <c r="F481" s="8">
        <f t="shared" si="171"/>
        <v>3384</v>
      </c>
      <c r="G481" s="8">
        <f t="shared" si="172"/>
        <v>0</v>
      </c>
      <c r="H481" s="8">
        <f t="shared" si="173"/>
        <v>0</v>
      </c>
      <c r="I481" s="8">
        <f t="shared" si="174"/>
        <v>0</v>
      </c>
      <c r="J481" s="8">
        <f t="shared" si="175"/>
        <v>3384</v>
      </c>
      <c r="K481" s="8">
        <f t="shared" si="176"/>
        <v>0</v>
      </c>
      <c r="L481" s="8">
        <f t="shared" si="177"/>
        <v>3384</v>
      </c>
      <c r="M481" s="8">
        <f t="shared" si="178"/>
        <v>30.763636363636362</v>
      </c>
      <c r="N481" s="8">
        <f t="shared" si="179"/>
        <v>3300</v>
      </c>
      <c r="O481" s="8">
        <f t="shared" si="180"/>
        <v>0</v>
      </c>
      <c r="P481" s="8">
        <f t="shared" si="181"/>
        <v>0</v>
      </c>
      <c r="Q481" s="8">
        <f t="shared" si="182"/>
        <v>71</v>
      </c>
      <c r="R481" s="8">
        <f t="shared" si="183"/>
        <v>13</v>
      </c>
      <c r="S481" s="8">
        <f t="shared" si="184"/>
        <v>0</v>
      </c>
      <c r="T481" s="8">
        <f t="shared" si="185"/>
        <v>0</v>
      </c>
      <c r="U481" s="8">
        <f t="shared" si="186"/>
        <v>0</v>
      </c>
      <c r="V481" s="8">
        <f t="shared" si="187"/>
        <v>0</v>
      </c>
      <c r="W481" s="8">
        <f t="shared" si="188"/>
        <v>0</v>
      </c>
      <c r="X481" s="8">
        <f t="shared" si="189"/>
        <v>3384</v>
      </c>
      <c r="Y481" s="10">
        <v>766392</v>
      </c>
      <c r="Z481" s="10">
        <v>0</v>
      </c>
      <c r="AA481" s="10">
        <v>34</v>
      </c>
      <c r="AB481" s="10">
        <v>14106</v>
      </c>
      <c r="AC481" s="10">
        <v>3590</v>
      </c>
      <c r="AD481" s="10">
        <v>0</v>
      </c>
      <c r="AE481" s="10">
        <v>30500</v>
      </c>
      <c r="AF481" s="10">
        <v>0</v>
      </c>
      <c r="AG481" s="10">
        <v>15438</v>
      </c>
      <c r="AH481" s="10">
        <f t="shared" si="190"/>
        <v>55207.060000000056</v>
      </c>
      <c r="AI481" s="10">
        <v>885267.06</v>
      </c>
      <c r="AJ481" s="10">
        <v>769692</v>
      </c>
      <c r="AK481" s="10">
        <v>0</v>
      </c>
      <c r="AL481" s="10">
        <v>34</v>
      </c>
      <c r="AM481" s="10">
        <v>14177</v>
      </c>
      <c r="AN481" s="10">
        <v>3603</v>
      </c>
      <c r="AO481" s="10">
        <v>0</v>
      </c>
      <c r="AP481" s="10">
        <v>30500</v>
      </c>
      <c r="AQ481" s="10">
        <v>0</v>
      </c>
      <c r="AR481" s="10">
        <v>15438</v>
      </c>
      <c r="AS481" s="10">
        <f t="shared" si="170"/>
        <v>55207.060000000056</v>
      </c>
      <c r="AT481" s="10">
        <v>888651.06</v>
      </c>
      <c r="AU481" s="12">
        <v>0</v>
      </c>
      <c r="AV481" s="12">
        <v>0</v>
      </c>
      <c r="AW481" s="12">
        <v>0</v>
      </c>
      <c r="AX481" s="12">
        <f t="shared" si="191"/>
        <v>0</v>
      </c>
      <c r="AY481" s="12">
        <v>0</v>
      </c>
      <c r="AZ481" s="12">
        <v>0</v>
      </c>
      <c r="BA481" s="12">
        <v>0</v>
      </c>
      <c r="BB481" s="12">
        <f t="shared" si="192"/>
        <v>0</v>
      </c>
      <c r="BC481" s="12">
        <v>0</v>
      </c>
      <c r="BD481" s="12">
        <v>0</v>
      </c>
      <c r="BE481" s="12">
        <v>0</v>
      </c>
      <c r="BF481" s="12">
        <v>0</v>
      </c>
    </row>
    <row r="482" spans="1:58" x14ac:dyDescent="0.25">
      <c r="A482" s="7">
        <v>4151</v>
      </c>
      <c r="B482" s="7">
        <v>7</v>
      </c>
      <c r="C482" s="7" t="s">
        <v>483</v>
      </c>
      <c r="D482" s="4">
        <v>7</v>
      </c>
      <c r="E482" s="10">
        <v>93</v>
      </c>
      <c r="F482" s="8">
        <f t="shared" si="171"/>
        <v>3023.5</v>
      </c>
      <c r="G482" s="8">
        <f t="shared" si="172"/>
        <v>0</v>
      </c>
      <c r="H482" s="8">
        <f t="shared" si="173"/>
        <v>0</v>
      </c>
      <c r="I482" s="8">
        <f t="shared" si="174"/>
        <v>1</v>
      </c>
      <c r="J482" s="8">
        <f t="shared" si="175"/>
        <v>3024.5</v>
      </c>
      <c r="K482" s="8">
        <f t="shared" si="176"/>
        <v>0</v>
      </c>
      <c r="L482" s="8">
        <f t="shared" si="177"/>
        <v>3024.5</v>
      </c>
      <c r="M482" s="8">
        <f t="shared" si="178"/>
        <v>32.521505376344088</v>
      </c>
      <c r="N482" s="8">
        <f t="shared" si="179"/>
        <v>2790</v>
      </c>
      <c r="O482" s="8">
        <f t="shared" si="180"/>
        <v>0</v>
      </c>
      <c r="P482" s="8">
        <f t="shared" si="181"/>
        <v>70</v>
      </c>
      <c r="Q482" s="8">
        <f t="shared" si="182"/>
        <v>151.5</v>
      </c>
      <c r="R482" s="8">
        <f t="shared" si="183"/>
        <v>12</v>
      </c>
      <c r="S482" s="8">
        <f t="shared" si="184"/>
        <v>0</v>
      </c>
      <c r="T482" s="8">
        <f t="shared" si="185"/>
        <v>0</v>
      </c>
      <c r="U482" s="8">
        <f t="shared" si="186"/>
        <v>0</v>
      </c>
      <c r="V482" s="8">
        <f t="shared" si="187"/>
        <v>1</v>
      </c>
      <c r="W482" s="8">
        <f t="shared" si="188"/>
        <v>0</v>
      </c>
      <c r="X482" s="8">
        <f t="shared" si="189"/>
        <v>3024.5</v>
      </c>
      <c r="Y482" s="10">
        <v>647950</v>
      </c>
      <c r="Z482" s="10">
        <v>0</v>
      </c>
      <c r="AA482" s="10">
        <v>16232</v>
      </c>
      <c r="AB482" s="10">
        <v>30100</v>
      </c>
      <c r="AC482" s="10">
        <v>3035</v>
      </c>
      <c r="AD482" s="10">
        <v>0</v>
      </c>
      <c r="AE482" s="10">
        <v>24250</v>
      </c>
      <c r="AF482" s="10">
        <v>0</v>
      </c>
      <c r="AG482" s="10">
        <v>13052</v>
      </c>
      <c r="AH482" s="10">
        <f t="shared" si="190"/>
        <v>44699.150000000023</v>
      </c>
      <c r="AI482" s="10">
        <v>779318.15</v>
      </c>
      <c r="AJ482" s="10">
        <v>650740</v>
      </c>
      <c r="AK482" s="10">
        <v>0</v>
      </c>
      <c r="AL482" s="10">
        <v>16302</v>
      </c>
      <c r="AM482" s="10">
        <v>30251.5</v>
      </c>
      <c r="AN482" s="10">
        <v>3047</v>
      </c>
      <c r="AO482" s="10">
        <v>0</v>
      </c>
      <c r="AP482" s="10">
        <v>24250</v>
      </c>
      <c r="AQ482" s="10">
        <v>0</v>
      </c>
      <c r="AR482" s="10">
        <v>13053</v>
      </c>
      <c r="AS482" s="10">
        <f t="shared" si="170"/>
        <v>44699.150000000023</v>
      </c>
      <c r="AT482" s="10">
        <v>782342.65</v>
      </c>
      <c r="AU482" s="12">
        <v>0</v>
      </c>
      <c r="AV482" s="12">
        <v>0</v>
      </c>
      <c r="AW482" s="12">
        <v>0</v>
      </c>
      <c r="AX482" s="12">
        <f t="shared" si="191"/>
        <v>0</v>
      </c>
      <c r="AY482" s="12">
        <v>0</v>
      </c>
      <c r="AZ482" s="12">
        <v>0</v>
      </c>
      <c r="BA482" s="12">
        <v>0</v>
      </c>
      <c r="BB482" s="12">
        <f t="shared" si="192"/>
        <v>0</v>
      </c>
      <c r="BC482" s="12">
        <v>0</v>
      </c>
      <c r="BD482" s="12">
        <v>0</v>
      </c>
      <c r="BE482" s="12">
        <v>0</v>
      </c>
      <c r="BF482" s="12">
        <v>0</v>
      </c>
    </row>
    <row r="483" spans="1:58" x14ac:dyDescent="0.25">
      <c r="A483" s="7">
        <v>4152</v>
      </c>
      <c r="B483" s="7">
        <v>7</v>
      </c>
      <c r="C483" s="7" t="s">
        <v>484</v>
      </c>
      <c r="D483" s="4">
        <v>7</v>
      </c>
      <c r="E483" s="10">
        <v>411</v>
      </c>
      <c r="F483" s="8">
        <f t="shared" si="171"/>
        <v>9758.25</v>
      </c>
      <c r="G483" s="8">
        <f t="shared" si="172"/>
        <v>0</v>
      </c>
      <c r="H483" s="8">
        <f t="shared" si="173"/>
        <v>0</v>
      </c>
      <c r="I483" s="8">
        <f t="shared" si="174"/>
        <v>2</v>
      </c>
      <c r="J483" s="8">
        <f t="shared" si="175"/>
        <v>9760.25</v>
      </c>
      <c r="K483" s="8">
        <f t="shared" si="176"/>
        <v>522.39999999999964</v>
      </c>
      <c r="L483" s="8">
        <f t="shared" si="177"/>
        <v>10282.65</v>
      </c>
      <c r="M483" s="8">
        <f t="shared" si="178"/>
        <v>23.747566909975671</v>
      </c>
      <c r="N483" s="8">
        <f t="shared" si="179"/>
        <v>9680</v>
      </c>
      <c r="O483" s="8">
        <f t="shared" si="180"/>
        <v>0</v>
      </c>
      <c r="P483" s="8">
        <f t="shared" si="181"/>
        <v>1</v>
      </c>
      <c r="Q483" s="8">
        <f t="shared" si="182"/>
        <v>36.25</v>
      </c>
      <c r="R483" s="8">
        <f t="shared" si="183"/>
        <v>41</v>
      </c>
      <c r="S483" s="8">
        <f t="shared" si="184"/>
        <v>0</v>
      </c>
      <c r="T483" s="8">
        <f t="shared" si="185"/>
        <v>0</v>
      </c>
      <c r="U483" s="8">
        <f t="shared" si="186"/>
        <v>0</v>
      </c>
      <c r="V483" s="8">
        <f t="shared" si="187"/>
        <v>2</v>
      </c>
      <c r="W483" s="8">
        <f t="shared" si="188"/>
        <v>0</v>
      </c>
      <c r="X483" s="8">
        <f t="shared" si="189"/>
        <v>9760.25</v>
      </c>
      <c r="Y483" s="10">
        <v>2248083</v>
      </c>
      <c r="Z483" s="10">
        <v>0</v>
      </c>
      <c r="AA483" s="10">
        <v>100</v>
      </c>
      <c r="AB483" s="10">
        <v>7202</v>
      </c>
      <c r="AC483" s="10">
        <v>10529</v>
      </c>
      <c r="AD483" s="10">
        <v>0</v>
      </c>
      <c r="AE483" s="10">
        <v>94000</v>
      </c>
      <c r="AF483" s="10">
        <v>16196</v>
      </c>
      <c r="AG483" s="10">
        <v>45284</v>
      </c>
      <c r="AH483" s="10">
        <f t="shared" si="190"/>
        <v>152926.19200000027</v>
      </c>
      <c r="AI483" s="10">
        <v>2574320.1920000003</v>
      </c>
      <c r="AJ483" s="10">
        <v>2257763</v>
      </c>
      <c r="AK483" s="10">
        <v>0</v>
      </c>
      <c r="AL483" s="10">
        <v>101</v>
      </c>
      <c r="AM483" s="10">
        <v>7238.25</v>
      </c>
      <c r="AN483" s="10">
        <v>10570</v>
      </c>
      <c r="AO483" s="10">
        <v>0</v>
      </c>
      <c r="AP483" s="10">
        <v>94000</v>
      </c>
      <c r="AQ483" s="10">
        <v>16196</v>
      </c>
      <c r="AR483" s="10">
        <v>45286</v>
      </c>
      <c r="AS483" s="10">
        <f t="shared" si="170"/>
        <v>152926.19200000027</v>
      </c>
      <c r="AT483" s="10">
        <v>2584080.4420000003</v>
      </c>
      <c r="AU483" s="12">
        <v>0</v>
      </c>
      <c r="AV483" s="12">
        <v>0</v>
      </c>
      <c r="AW483" s="12">
        <v>1591.125</v>
      </c>
      <c r="AX483" s="12">
        <f t="shared" si="191"/>
        <v>1591.125</v>
      </c>
      <c r="AY483" s="12">
        <v>0</v>
      </c>
      <c r="AZ483" s="12">
        <v>0</v>
      </c>
      <c r="BA483" s="12">
        <v>2113.5250000000001</v>
      </c>
      <c r="BB483" s="12">
        <f t="shared" si="192"/>
        <v>2113.5250000000001</v>
      </c>
      <c r="BC483" s="12">
        <v>0</v>
      </c>
      <c r="BD483" s="12">
        <v>0</v>
      </c>
      <c r="BE483" s="12">
        <v>522.39999999999964</v>
      </c>
      <c r="BF483" s="12">
        <v>522.39999999999964</v>
      </c>
    </row>
    <row r="484" spans="1:58" x14ac:dyDescent="0.25">
      <c r="A484" s="7">
        <v>4153</v>
      </c>
      <c r="B484" s="7">
        <v>7</v>
      </c>
      <c r="C484" s="7" t="s">
        <v>485</v>
      </c>
      <c r="D484" s="4">
        <v>7</v>
      </c>
      <c r="E484" s="10">
        <v>390</v>
      </c>
      <c r="F484" s="8">
        <f t="shared" si="171"/>
        <v>15353</v>
      </c>
      <c r="G484" s="8">
        <f t="shared" si="172"/>
        <v>0</v>
      </c>
      <c r="H484" s="8">
        <f t="shared" si="173"/>
        <v>38800</v>
      </c>
      <c r="I484" s="8">
        <f t="shared" si="174"/>
        <v>2</v>
      </c>
      <c r="J484" s="8">
        <f t="shared" si="175"/>
        <v>54155</v>
      </c>
      <c r="K484" s="8">
        <f t="shared" si="176"/>
        <v>71.599999999998545</v>
      </c>
      <c r="L484" s="8">
        <f t="shared" si="177"/>
        <v>54226.6</v>
      </c>
      <c r="M484" s="8">
        <f t="shared" si="178"/>
        <v>138.85897435897436</v>
      </c>
      <c r="N484" s="8">
        <f t="shared" si="179"/>
        <v>10135</v>
      </c>
      <c r="O484" s="8">
        <f t="shared" si="180"/>
        <v>0</v>
      </c>
      <c r="P484" s="8">
        <f t="shared" si="181"/>
        <v>0</v>
      </c>
      <c r="Q484" s="8">
        <f t="shared" si="182"/>
        <v>5175</v>
      </c>
      <c r="R484" s="8">
        <f t="shared" si="183"/>
        <v>43</v>
      </c>
      <c r="S484" s="8">
        <f t="shared" si="184"/>
        <v>0</v>
      </c>
      <c r="T484" s="8">
        <f t="shared" si="185"/>
        <v>0</v>
      </c>
      <c r="U484" s="8">
        <f t="shared" si="186"/>
        <v>38800</v>
      </c>
      <c r="V484" s="8">
        <f t="shared" si="187"/>
        <v>2</v>
      </c>
      <c r="W484" s="8">
        <f t="shared" si="188"/>
        <v>0</v>
      </c>
      <c r="X484" s="8">
        <f t="shared" si="189"/>
        <v>54155</v>
      </c>
      <c r="Y484" s="10">
        <v>2353752</v>
      </c>
      <c r="Z484" s="10">
        <v>0</v>
      </c>
      <c r="AA484" s="10">
        <v>105</v>
      </c>
      <c r="AB484" s="10">
        <v>1028169</v>
      </c>
      <c r="AC484" s="10">
        <v>11024</v>
      </c>
      <c r="AD484" s="10">
        <v>0</v>
      </c>
      <c r="AE484" s="10">
        <v>89000</v>
      </c>
      <c r="AF484" s="10">
        <v>168858</v>
      </c>
      <c r="AG484" s="10">
        <v>47413</v>
      </c>
      <c r="AH484" s="10">
        <f t="shared" si="190"/>
        <v>136501.35800000001</v>
      </c>
      <c r="AI484" s="10">
        <v>3834822.358</v>
      </c>
      <c r="AJ484" s="10">
        <v>2363887</v>
      </c>
      <c r="AK484" s="10">
        <v>0</v>
      </c>
      <c r="AL484" s="10">
        <v>105</v>
      </c>
      <c r="AM484" s="10">
        <v>1033344</v>
      </c>
      <c r="AN484" s="10">
        <v>11067</v>
      </c>
      <c r="AO484" s="10">
        <v>0</v>
      </c>
      <c r="AP484" s="10">
        <v>89000</v>
      </c>
      <c r="AQ484" s="10">
        <v>207658</v>
      </c>
      <c r="AR484" s="10">
        <v>47415</v>
      </c>
      <c r="AS484" s="10">
        <f t="shared" si="170"/>
        <v>136501.35800000001</v>
      </c>
      <c r="AT484" s="10">
        <v>3888977.358</v>
      </c>
      <c r="AU484" s="12">
        <v>0</v>
      </c>
      <c r="AV484" s="12">
        <v>0</v>
      </c>
      <c r="AW484" s="12">
        <v>7478.625</v>
      </c>
      <c r="AX484" s="12">
        <f t="shared" si="191"/>
        <v>7478.625</v>
      </c>
      <c r="AY484" s="12">
        <v>0</v>
      </c>
      <c r="AZ484" s="12">
        <v>0</v>
      </c>
      <c r="BA484" s="12">
        <v>7550.2250000000004</v>
      </c>
      <c r="BB484" s="12">
        <f t="shared" si="192"/>
        <v>7550.2250000000004</v>
      </c>
      <c r="BC484" s="12">
        <v>0</v>
      </c>
      <c r="BD484" s="12">
        <v>0</v>
      </c>
      <c r="BE484" s="12">
        <v>71.599999999998545</v>
      </c>
      <c r="BF484" s="12">
        <v>71.599999999998545</v>
      </c>
    </row>
    <row r="485" spans="1:58" x14ac:dyDescent="0.25">
      <c r="A485" s="7">
        <v>4154</v>
      </c>
      <c r="B485" s="7">
        <v>7</v>
      </c>
      <c r="C485" s="7" t="s">
        <v>486</v>
      </c>
      <c r="D485" s="4">
        <v>7</v>
      </c>
      <c r="E485" s="10">
        <v>0</v>
      </c>
      <c r="F485" s="8">
        <f t="shared" si="171"/>
        <v>0</v>
      </c>
      <c r="G485" s="8">
        <f t="shared" si="172"/>
        <v>0</v>
      </c>
      <c r="H485" s="8">
        <f t="shared" si="173"/>
        <v>0</v>
      </c>
      <c r="I485" s="8">
        <f t="shared" si="174"/>
        <v>0</v>
      </c>
      <c r="J485" s="8">
        <f t="shared" si="175"/>
        <v>0</v>
      </c>
      <c r="K485" s="8">
        <f t="shared" si="176"/>
        <v>0</v>
      </c>
      <c r="L485" s="8">
        <f t="shared" si="177"/>
        <v>0</v>
      </c>
      <c r="M485" s="8">
        <f t="shared" si="178"/>
        <v>0</v>
      </c>
      <c r="N485" s="8">
        <f t="shared" si="179"/>
        <v>0</v>
      </c>
      <c r="O485" s="8">
        <f t="shared" si="180"/>
        <v>0</v>
      </c>
      <c r="P485" s="8">
        <f t="shared" si="181"/>
        <v>0</v>
      </c>
      <c r="Q485" s="8">
        <f t="shared" si="182"/>
        <v>0</v>
      </c>
      <c r="R485" s="8">
        <f t="shared" si="183"/>
        <v>0</v>
      </c>
      <c r="S485" s="8">
        <f t="shared" si="184"/>
        <v>0</v>
      </c>
      <c r="T485" s="8">
        <f t="shared" si="185"/>
        <v>0</v>
      </c>
      <c r="U485" s="8">
        <f t="shared" si="186"/>
        <v>0</v>
      </c>
      <c r="V485" s="8">
        <f t="shared" si="187"/>
        <v>0</v>
      </c>
      <c r="W485" s="8">
        <f t="shared" si="188"/>
        <v>0</v>
      </c>
      <c r="X485" s="8">
        <f t="shared" si="189"/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  <c r="AG485" s="10">
        <v>0</v>
      </c>
      <c r="AH485" s="10">
        <f t="shared" si="190"/>
        <v>0</v>
      </c>
      <c r="AI485" s="10">
        <v>0</v>
      </c>
      <c r="AJ485" s="10">
        <v>0</v>
      </c>
      <c r="AK485" s="10">
        <v>0</v>
      </c>
      <c r="AL485" s="10">
        <v>0</v>
      </c>
      <c r="AM485" s="10">
        <v>0</v>
      </c>
      <c r="AN485" s="10">
        <v>0</v>
      </c>
      <c r="AO485" s="10">
        <v>0</v>
      </c>
      <c r="AP485" s="10">
        <v>0</v>
      </c>
      <c r="AQ485" s="10">
        <v>0</v>
      </c>
      <c r="AR485" s="10">
        <v>0</v>
      </c>
      <c r="AS485" s="10">
        <f t="shared" si="170"/>
        <v>0</v>
      </c>
      <c r="AT485" s="10">
        <v>0</v>
      </c>
      <c r="AU485" s="12">
        <v>0</v>
      </c>
      <c r="AV485" s="12">
        <v>0</v>
      </c>
      <c r="AW485" s="12">
        <v>0</v>
      </c>
      <c r="AX485" s="12">
        <f t="shared" si="191"/>
        <v>0</v>
      </c>
      <c r="AY485" s="12">
        <v>0</v>
      </c>
      <c r="AZ485" s="12">
        <v>0</v>
      </c>
      <c r="BA485" s="12">
        <v>0</v>
      </c>
      <c r="BB485" s="12">
        <f t="shared" si="192"/>
        <v>0</v>
      </c>
      <c r="BC485" s="12">
        <v>0</v>
      </c>
      <c r="BD485" s="12">
        <v>0</v>
      </c>
      <c r="BE485" s="12">
        <v>0</v>
      </c>
      <c r="BF485" s="12">
        <v>0</v>
      </c>
    </row>
    <row r="486" spans="1:58" x14ac:dyDescent="0.25">
      <c r="A486" s="7">
        <v>4155</v>
      </c>
      <c r="B486" s="7">
        <v>7</v>
      </c>
      <c r="C486" s="7" t="s">
        <v>487</v>
      </c>
      <c r="D486" s="4">
        <v>7</v>
      </c>
      <c r="E486" s="10">
        <v>136</v>
      </c>
      <c r="F486" s="8">
        <f t="shared" si="171"/>
        <v>5010</v>
      </c>
      <c r="G486" s="8">
        <f t="shared" si="172"/>
        <v>4228</v>
      </c>
      <c r="H486" s="8">
        <f t="shared" si="173"/>
        <v>0</v>
      </c>
      <c r="I486" s="8">
        <f t="shared" si="174"/>
        <v>0</v>
      </c>
      <c r="J486" s="8">
        <f t="shared" si="175"/>
        <v>9238</v>
      </c>
      <c r="K486" s="8">
        <f t="shared" si="176"/>
        <v>283.59999999999854</v>
      </c>
      <c r="L486" s="8">
        <f t="shared" si="177"/>
        <v>9521.5999999999985</v>
      </c>
      <c r="M486" s="8">
        <f t="shared" si="178"/>
        <v>67.92647058823529</v>
      </c>
      <c r="N486" s="8">
        <f t="shared" si="179"/>
        <v>3400</v>
      </c>
      <c r="O486" s="8">
        <f t="shared" si="180"/>
        <v>0</v>
      </c>
      <c r="P486" s="8">
        <f t="shared" si="181"/>
        <v>170</v>
      </c>
      <c r="Q486" s="8">
        <f t="shared" si="182"/>
        <v>1425</v>
      </c>
      <c r="R486" s="8">
        <f t="shared" si="183"/>
        <v>15</v>
      </c>
      <c r="S486" s="8">
        <f t="shared" si="184"/>
        <v>0</v>
      </c>
      <c r="T486" s="8">
        <f t="shared" si="185"/>
        <v>4228</v>
      </c>
      <c r="U486" s="8">
        <f t="shared" si="186"/>
        <v>0</v>
      </c>
      <c r="V486" s="8">
        <f t="shared" si="187"/>
        <v>0</v>
      </c>
      <c r="W486" s="8">
        <f t="shared" si="188"/>
        <v>0</v>
      </c>
      <c r="X486" s="8">
        <f t="shared" si="189"/>
        <v>9238</v>
      </c>
      <c r="Y486" s="10">
        <v>789616</v>
      </c>
      <c r="Z486" s="10">
        <v>0</v>
      </c>
      <c r="AA486" s="10">
        <v>39627</v>
      </c>
      <c r="AB486" s="10">
        <v>283119</v>
      </c>
      <c r="AC486" s="10">
        <v>3698</v>
      </c>
      <c r="AD486" s="10">
        <v>0</v>
      </c>
      <c r="AE486" s="10">
        <v>0</v>
      </c>
      <c r="AF486" s="10">
        <v>0</v>
      </c>
      <c r="AG486" s="10">
        <v>15906</v>
      </c>
      <c r="AH486" s="10">
        <f t="shared" si="190"/>
        <v>39904.219999999972</v>
      </c>
      <c r="AI486" s="10">
        <v>1171870.22</v>
      </c>
      <c r="AJ486" s="10">
        <v>793016</v>
      </c>
      <c r="AK486" s="10">
        <v>0</v>
      </c>
      <c r="AL486" s="10">
        <v>39797</v>
      </c>
      <c r="AM486" s="10">
        <v>284544</v>
      </c>
      <c r="AN486" s="10">
        <v>3713</v>
      </c>
      <c r="AO486" s="10">
        <v>0</v>
      </c>
      <c r="AP486" s="10">
        <v>4228</v>
      </c>
      <c r="AQ486" s="10">
        <v>0</v>
      </c>
      <c r="AR486" s="10">
        <v>15906</v>
      </c>
      <c r="AS486" s="10">
        <f t="shared" si="170"/>
        <v>39904.219999999972</v>
      </c>
      <c r="AT486" s="10">
        <v>1181108.22</v>
      </c>
      <c r="AU486" s="12">
        <v>0</v>
      </c>
      <c r="AV486" s="12">
        <v>0</v>
      </c>
      <c r="AW486" s="12">
        <v>2256.625</v>
      </c>
      <c r="AX486" s="12">
        <f t="shared" si="191"/>
        <v>2256.625</v>
      </c>
      <c r="AY486" s="12">
        <v>0</v>
      </c>
      <c r="AZ486" s="12">
        <v>0</v>
      </c>
      <c r="BA486" s="12">
        <v>2540.2249999999999</v>
      </c>
      <c r="BB486" s="12">
        <f t="shared" si="192"/>
        <v>2540.2249999999999</v>
      </c>
      <c r="BC486" s="12">
        <v>0</v>
      </c>
      <c r="BD486" s="12">
        <v>0</v>
      </c>
      <c r="BE486" s="12">
        <v>283.59999999999854</v>
      </c>
      <c r="BF486" s="12">
        <v>283.59999999999854</v>
      </c>
    </row>
    <row r="487" spans="1:58" x14ac:dyDescent="0.25">
      <c r="A487" s="7">
        <v>4157</v>
      </c>
      <c r="B487" s="7">
        <v>7</v>
      </c>
      <c r="C487" s="7" t="s">
        <v>488</v>
      </c>
      <c r="D487" s="4">
        <v>7</v>
      </c>
      <c r="E487" s="10">
        <v>0</v>
      </c>
      <c r="F487" s="8">
        <f t="shared" si="171"/>
        <v>0</v>
      </c>
      <c r="G487" s="8">
        <f t="shared" si="172"/>
        <v>0</v>
      </c>
      <c r="H487" s="8">
        <f t="shared" si="173"/>
        <v>0</v>
      </c>
      <c r="I487" s="8">
        <f t="shared" si="174"/>
        <v>0</v>
      </c>
      <c r="J487" s="8">
        <f t="shared" si="175"/>
        <v>0</v>
      </c>
      <c r="K487" s="8">
        <f t="shared" si="176"/>
        <v>0</v>
      </c>
      <c r="L487" s="8">
        <f t="shared" si="177"/>
        <v>0</v>
      </c>
      <c r="M487" s="8">
        <f t="shared" si="178"/>
        <v>0</v>
      </c>
      <c r="N487" s="8">
        <f t="shared" si="179"/>
        <v>0</v>
      </c>
      <c r="O487" s="8">
        <f t="shared" si="180"/>
        <v>0</v>
      </c>
      <c r="P487" s="8">
        <f t="shared" si="181"/>
        <v>0</v>
      </c>
      <c r="Q487" s="8">
        <f t="shared" si="182"/>
        <v>0</v>
      </c>
      <c r="R487" s="8">
        <f t="shared" si="183"/>
        <v>0</v>
      </c>
      <c r="S487" s="8">
        <f t="shared" si="184"/>
        <v>0</v>
      </c>
      <c r="T487" s="8">
        <f t="shared" si="185"/>
        <v>0</v>
      </c>
      <c r="U487" s="8">
        <f t="shared" si="186"/>
        <v>0</v>
      </c>
      <c r="V487" s="8">
        <f t="shared" si="187"/>
        <v>0</v>
      </c>
      <c r="W487" s="8">
        <f t="shared" si="188"/>
        <v>0</v>
      </c>
      <c r="X487" s="8">
        <f t="shared" si="189"/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  <c r="AG487" s="10">
        <v>0</v>
      </c>
      <c r="AH487" s="10">
        <f t="shared" si="190"/>
        <v>0</v>
      </c>
      <c r="AI487" s="10">
        <v>0</v>
      </c>
      <c r="AJ487" s="10">
        <v>0</v>
      </c>
      <c r="AK487" s="10">
        <v>0</v>
      </c>
      <c r="AL487" s="10">
        <v>0</v>
      </c>
      <c r="AM487" s="10">
        <v>0</v>
      </c>
      <c r="AN487" s="10">
        <v>0</v>
      </c>
      <c r="AO487" s="10">
        <v>0</v>
      </c>
      <c r="AP487" s="10">
        <v>0</v>
      </c>
      <c r="AQ487" s="10">
        <v>0</v>
      </c>
      <c r="AR487" s="10">
        <v>0</v>
      </c>
      <c r="AS487" s="10">
        <f t="shared" si="170"/>
        <v>0</v>
      </c>
      <c r="AT487" s="10">
        <v>0</v>
      </c>
      <c r="AU487" s="12">
        <v>0</v>
      </c>
      <c r="AV487" s="12">
        <v>0</v>
      </c>
      <c r="AW487" s="12">
        <v>0</v>
      </c>
      <c r="AX487" s="12">
        <f t="shared" si="191"/>
        <v>0</v>
      </c>
      <c r="AY487" s="12">
        <v>0</v>
      </c>
      <c r="AZ487" s="12">
        <v>0</v>
      </c>
      <c r="BA487" s="12">
        <v>0</v>
      </c>
      <c r="BB487" s="12">
        <f t="shared" si="192"/>
        <v>0</v>
      </c>
      <c r="BC487" s="12">
        <v>0</v>
      </c>
      <c r="BD487" s="12">
        <v>0</v>
      </c>
      <c r="BE487" s="12">
        <v>0</v>
      </c>
      <c r="BF487" s="12">
        <v>0</v>
      </c>
    </row>
    <row r="488" spans="1:58" x14ac:dyDescent="0.25">
      <c r="A488" s="7">
        <v>4158</v>
      </c>
      <c r="B488" s="7">
        <v>7</v>
      </c>
      <c r="C488" s="7" t="s">
        <v>489</v>
      </c>
      <c r="D488" s="4">
        <v>7</v>
      </c>
      <c r="E488" s="10">
        <v>0</v>
      </c>
      <c r="F488" s="8">
        <f t="shared" si="171"/>
        <v>0</v>
      </c>
      <c r="G488" s="8">
        <f t="shared" si="172"/>
        <v>0</v>
      </c>
      <c r="H488" s="8">
        <f t="shared" si="173"/>
        <v>0</v>
      </c>
      <c r="I488" s="8">
        <f t="shared" si="174"/>
        <v>0</v>
      </c>
      <c r="J488" s="8">
        <f t="shared" si="175"/>
        <v>0</v>
      </c>
      <c r="K488" s="8">
        <f t="shared" si="176"/>
        <v>0</v>
      </c>
      <c r="L488" s="8">
        <f t="shared" si="177"/>
        <v>0</v>
      </c>
      <c r="M488" s="8">
        <f t="shared" si="178"/>
        <v>0</v>
      </c>
      <c r="N488" s="8">
        <f t="shared" si="179"/>
        <v>0</v>
      </c>
      <c r="O488" s="8">
        <f t="shared" si="180"/>
        <v>0</v>
      </c>
      <c r="P488" s="8">
        <f t="shared" si="181"/>
        <v>0</v>
      </c>
      <c r="Q488" s="8">
        <f t="shared" si="182"/>
        <v>0</v>
      </c>
      <c r="R488" s="8">
        <f t="shared" si="183"/>
        <v>0</v>
      </c>
      <c r="S488" s="8">
        <f t="shared" si="184"/>
        <v>0</v>
      </c>
      <c r="T488" s="8">
        <f t="shared" si="185"/>
        <v>0</v>
      </c>
      <c r="U488" s="8">
        <f t="shared" si="186"/>
        <v>0</v>
      </c>
      <c r="V488" s="8">
        <f t="shared" si="187"/>
        <v>0</v>
      </c>
      <c r="W488" s="8">
        <f t="shared" si="188"/>
        <v>0</v>
      </c>
      <c r="X488" s="8">
        <f t="shared" si="189"/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  <c r="AG488" s="10">
        <v>0</v>
      </c>
      <c r="AH488" s="10">
        <f t="shared" si="190"/>
        <v>0</v>
      </c>
      <c r="AI488" s="10">
        <v>0</v>
      </c>
      <c r="AJ488" s="10">
        <v>0</v>
      </c>
      <c r="AK488" s="10">
        <v>0</v>
      </c>
      <c r="AL488" s="10">
        <v>0</v>
      </c>
      <c r="AM488" s="10">
        <v>0</v>
      </c>
      <c r="AN488" s="10">
        <v>0</v>
      </c>
      <c r="AO488" s="10">
        <v>0</v>
      </c>
      <c r="AP488" s="10">
        <v>0</v>
      </c>
      <c r="AQ488" s="10">
        <v>0</v>
      </c>
      <c r="AR488" s="10">
        <v>0</v>
      </c>
      <c r="AS488" s="10">
        <f t="shared" si="170"/>
        <v>0</v>
      </c>
      <c r="AT488" s="10">
        <v>0</v>
      </c>
      <c r="AU488" s="12">
        <v>0</v>
      </c>
      <c r="AV488" s="12">
        <v>0</v>
      </c>
      <c r="AW488" s="12">
        <v>0</v>
      </c>
      <c r="AX488" s="12">
        <f t="shared" si="191"/>
        <v>0</v>
      </c>
      <c r="AY488" s="12">
        <v>0</v>
      </c>
      <c r="AZ488" s="12">
        <v>0</v>
      </c>
      <c r="BA488" s="12">
        <v>0</v>
      </c>
      <c r="BB488" s="12">
        <f t="shared" si="192"/>
        <v>0</v>
      </c>
      <c r="BC488" s="12">
        <v>0</v>
      </c>
      <c r="BD488" s="12">
        <v>0</v>
      </c>
      <c r="BE488" s="12">
        <v>0</v>
      </c>
      <c r="BF488" s="12">
        <v>0</v>
      </c>
    </row>
    <row r="489" spans="1:58" x14ac:dyDescent="0.25">
      <c r="A489" s="7">
        <v>4159</v>
      </c>
      <c r="B489" s="7">
        <v>7</v>
      </c>
      <c r="C489" s="7" t="s">
        <v>490</v>
      </c>
      <c r="D489" s="4">
        <v>7</v>
      </c>
      <c r="E489" s="10">
        <v>490</v>
      </c>
      <c r="F489" s="8">
        <f t="shared" si="171"/>
        <v>11306.25</v>
      </c>
      <c r="G489" s="8">
        <f t="shared" si="172"/>
        <v>0</v>
      </c>
      <c r="H489" s="8">
        <f t="shared" si="173"/>
        <v>0</v>
      </c>
      <c r="I489" s="8">
        <f t="shared" si="174"/>
        <v>2</v>
      </c>
      <c r="J489" s="8">
        <f t="shared" si="175"/>
        <v>11308.25</v>
      </c>
      <c r="K489" s="8">
        <f t="shared" si="176"/>
        <v>992.40000000000146</v>
      </c>
      <c r="L489" s="8">
        <f t="shared" si="177"/>
        <v>12300.650000000001</v>
      </c>
      <c r="M489" s="8">
        <f t="shared" si="178"/>
        <v>23.078061224489797</v>
      </c>
      <c r="N489" s="8">
        <f t="shared" si="179"/>
        <v>11125</v>
      </c>
      <c r="O489" s="8">
        <f t="shared" si="180"/>
        <v>0</v>
      </c>
      <c r="P489" s="8">
        <f t="shared" si="181"/>
        <v>1</v>
      </c>
      <c r="Q489" s="8">
        <f t="shared" si="182"/>
        <v>133.25</v>
      </c>
      <c r="R489" s="8">
        <f t="shared" si="183"/>
        <v>47</v>
      </c>
      <c r="S489" s="8">
        <f t="shared" si="184"/>
        <v>0</v>
      </c>
      <c r="T489" s="8">
        <f t="shared" si="185"/>
        <v>0</v>
      </c>
      <c r="U489" s="8">
        <f t="shared" si="186"/>
        <v>0</v>
      </c>
      <c r="V489" s="8">
        <f t="shared" si="187"/>
        <v>2</v>
      </c>
      <c r="W489" s="8">
        <f t="shared" si="188"/>
        <v>0</v>
      </c>
      <c r="X489" s="8">
        <f t="shared" si="189"/>
        <v>11308.25</v>
      </c>
      <c r="Y489" s="10">
        <v>2583670</v>
      </c>
      <c r="Z489" s="10">
        <v>0</v>
      </c>
      <c r="AA489" s="10">
        <v>115</v>
      </c>
      <c r="AB489" s="10">
        <v>26474</v>
      </c>
      <c r="AC489" s="10">
        <v>12101</v>
      </c>
      <c r="AD489" s="10">
        <v>0</v>
      </c>
      <c r="AE489" s="10">
        <v>118250</v>
      </c>
      <c r="AF489" s="10">
        <v>15855</v>
      </c>
      <c r="AG489" s="10">
        <v>52044</v>
      </c>
      <c r="AH489" s="10">
        <f t="shared" si="190"/>
        <v>140271.94999999972</v>
      </c>
      <c r="AI489" s="10">
        <v>2948780.9499999997</v>
      </c>
      <c r="AJ489" s="10">
        <v>2594795</v>
      </c>
      <c r="AK489" s="10">
        <v>0</v>
      </c>
      <c r="AL489" s="10">
        <v>116</v>
      </c>
      <c r="AM489" s="10">
        <v>26607.25</v>
      </c>
      <c r="AN489" s="10">
        <v>12148</v>
      </c>
      <c r="AO489" s="10">
        <v>0</v>
      </c>
      <c r="AP489" s="10">
        <v>118250</v>
      </c>
      <c r="AQ489" s="10">
        <v>15855</v>
      </c>
      <c r="AR489" s="10">
        <v>52046</v>
      </c>
      <c r="AS489" s="10">
        <f t="shared" si="170"/>
        <v>140271.94999999972</v>
      </c>
      <c r="AT489" s="10">
        <v>2960089.1999999997</v>
      </c>
      <c r="AU489" s="12">
        <v>0</v>
      </c>
      <c r="AV489" s="12">
        <v>0</v>
      </c>
      <c r="AW489" s="12">
        <v>3219.125</v>
      </c>
      <c r="AX489" s="12">
        <f t="shared" si="191"/>
        <v>3219.125</v>
      </c>
      <c r="AY489" s="12">
        <v>0</v>
      </c>
      <c r="AZ489" s="12">
        <v>0</v>
      </c>
      <c r="BA489" s="12">
        <v>4211.5249999999996</v>
      </c>
      <c r="BB489" s="12">
        <f t="shared" si="192"/>
        <v>4211.5249999999996</v>
      </c>
      <c r="BC489" s="12">
        <v>0</v>
      </c>
      <c r="BD489" s="12">
        <v>0</v>
      </c>
      <c r="BE489" s="12">
        <v>992.40000000000146</v>
      </c>
      <c r="BF489" s="12">
        <v>992.40000000000146</v>
      </c>
    </row>
    <row r="490" spans="1:58" x14ac:dyDescent="0.25">
      <c r="A490" s="7">
        <v>4160</v>
      </c>
      <c r="B490" s="7">
        <v>7</v>
      </c>
      <c r="C490" s="7" t="s">
        <v>491</v>
      </c>
      <c r="D490" s="4">
        <v>7</v>
      </c>
      <c r="E490" s="10">
        <v>533</v>
      </c>
      <c r="F490" s="8">
        <f t="shared" si="171"/>
        <v>15960.75</v>
      </c>
      <c r="G490" s="8">
        <f t="shared" si="172"/>
        <v>0</v>
      </c>
      <c r="H490" s="8">
        <f t="shared" si="173"/>
        <v>0</v>
      </c>
      <c r="I490" s="8">
        <f t="shared" si="174"/>
        <v>3</v>
      </c>
      <c r="J490" s="8">
        <f t="shared" si="175"/>
        <v>15963.75</v>
      </c>
      <c r="K490" s="8">
        <f t="shared" si="176"/>
        <v>1245.5999999999985</v>
      </c>
      <c r="L490" s="8">
        <f t="shared" si="177"/>
        <v>17209.349999999999</v>
      </c>
      <c r="M490" s="8">
        <f t="shared" si="178"/>
        <v>29.95075046904315</v>
      </c>
      <c r="N490" s="8">
        <f t="shared" si="179"/>
        <v>15615</v>
      </c>
      <c r="O490" s="8">
        <f t="shared" si="180"/>
        <v>0</v>
      </c>
      <c r="P490" s="8">
        <f t="shared" si="181"/>
        <v>80</v>
      </c>
      <c r="Q490" s="8">
        <f t="shared" si="182"/>
        <v>199.75</v>
      </c>
      <c r="R490" s="8">
        <f t="shared" si="183"/>
        <v>66</v>
      </c>
      <c r="S490" s="8">
        <f t="shared" si="184"/>
        <v>0</v>
      </c>
      <c r="T490" s="8">
        <f t="shared" si="185"/>
        <v>0</v>
      </c>
      <c r="U490" s="8">
        <f t="shared" si="186"/>
        <v>0</v>
      </c>
      <c r="V490" s="8">
        <f t="shared" si="187"/>
        <v>3</v>
      </c>
      <c r="W490" s="8">
        <f t="shared" si="188"/>
        <v>0</v>
      </c>
      <c r="X490" s="8">
        <f t="shared" si="189"/>
        <v>15963.75</v>
      </c>
      <c r="Y490" s="10">
        <v>3626428</v>
      </c>
      <c r="Z490" s="10">
        <v>0</v>
      </c>
      <c r="AA490" s="10">
        <v>18635</v>
      </c>
      <c r="AB490" s="10">
        <v>39686</v>
      </c>
      <c r="AC490" s="10">
        <v>16985</v>
      </c>
      <c r="AD490" s="10">
        <v>0</v>
      </c>
      <c r="AE490" s="10">
        <v>132000</v>
      </c>
      <c r="AF490" s="10">
        <v>0</v>
      </c>
      <c r="AG490" s="10">
        <v>73049</v>
      </c>
      <c r="AH490" s="10">
        <f t="shared" si="190"/>
        <v>307735.4299999997</v>
      </c>
      <c r="AI490" s="10">
        <v>4214518.43</v>
      </c>
      <c r="AJ490" s="10">
        <v>3642043</v>
      </c>
      <c r="AK490" s="10">
        <v>0</v>
      </c>
      <c r="AL490" s="10">
        <v>18715</v>
      </c>
      <c r="AM490" s="10">
        <v>39885.75</v>
      </c>
      <c r="AN490" s="10">
        <v>17051</v>
      </c>
      <c r="AO490" s="10">
        <v>0</v>
      </c>
      <c r="AP490" s="10">
        <v>132000</v>
      </c>
      <c r="AQ490" s="10">
        <v>0</v>
      </c>
      <c r="AR490" s="10">
        <v>73052</v>
      </c>
      <c r="AS490" s="10">
        <f t="shared" si="170"/>
        <v>307735.4299999997</v>
      </c>
      <c r="AT490" s="10">
        <v>4230482.18</v>
      </c>
      <c r="AU490" s="12">
        <v>0</v>
      </c>
      <c r="AV490" s="12">
        <v>0</v>
      </c>
      <c r="AW490" s="12">
        <v>3733.75</v>
      </c>
      <c r="AX490" s="12">
        <f t="shared" si="191"/>
        <v>3733.75</v>
      </c>
      <c r="AY490" s="12">
        <v>0</v>
      </c>
      <c r="AZ490" s="12">
        <v>0</v>
      </c>
      <c r="BA490" s="12">
        <v>4979.3500000000004</v>
      </c>
      <c r="BB490" s="12">
        <f t="shared" si="192"/>
        <v>4979.3500000000004</v>
      </c>
      <c r="BC490" s="12">
        <v>0</v>
      </c>
      <c r="BD490" s="12">
        <v>0</v>
      </c>
      <c r="BE490" s="12">
        <v>1245.5999999999985</v>
      </c>
      <c r="BF490" s="12">
        <v>1245.5999999999985</v>
      </c>
    </row>
    <row r="491" spans="1:58" x14ac:dyDescent="0.25">
      <c r="A491" s="7">
        <v>4161</v>
      </c>
      <c r="B491" s="7">
        <v>7</v>
      </c>
      <c r="C491" s="7" t="s">
        <v>492</v>
      </c>
      <c r="D491" s="4">
        <v>7</v>
      </c>
      <c r="E491" s="10">
        <v>172</v>
      </c>
      <c r="F491" s="8">
        <f t="shared" si="171"/>
        <v>5098</v>
      </c>
      <c r="G491" s="8">
        <f t="shared" si="172"/>
        <v>0</v>
      </c>
      <c r="H491" s="8">
        <f t="shared" si="173"/>
        <v>0</v>
      </c>
      <c r="I491" s="8">
        <f t="shared" si="174"/>
        <v>-272</v>
      </c>
      <c r="J491" s="8">
        <f t="shared" si="175"/>
        <v>4826</v>
      </c>
      <c r="K491" s="8">
        <f t="shared" si="176"/>
        <v>970.40000000000146</v>
      </c>
      <c r="L491" s="8">
        <f t="shared" si="177"/>
        <v>5796.4000000000015</v>
      </c>
      <c r="M491" s="8">
        <f t="shared" si="178"/>
        <v>28.058139534883722</v>
      </c>
      <c r="N491" s="8">
        <f t="shared" si="179"/>
        <v>4300</v>
      </c>
      <c r="O491" s="8">
        <f t="shared" si="180"/>
        <v>0</v>
      </c>
      <c r="P491" s="8">
        <f t="shared" si="181"/>
        <v>72</v>
      </c>
      <c r="Q491" s="8">
        <f t="shared" si="182"/>
        <v>708</v>
      </c>
      <c r="R491" s="8">
        <f t="shared" si="183"/>
        <v>18</v>
      </c>
      <c r="S491" s="8">
        <f t="shared" si="184"/>
        <v>0</v>
      </c>
      <c r="T491" s="8">
        <f t="shared" si="185"/>
        <v>0</v>
      </c>
      <c r="U491" s="8">
        <f t="shared" si="186"/>
        <v>0</v>
      </c>
      <c r="V491" s="8">
        <f t="shared" si="187"/>
        <v>1</v>
      </c>
      <c r="W491" s="8">
        <f t="shared" si="188"/>
        <v>-273</v>
      </c>
      <c r="X491" s="8">
        <f t="shared" si="189"/>
        <v>4826</v>
      </c>
      <c r="Y491" s="10">
        <v>998632</v>
      </c>
      <c r="Z491" s="10">
        <v>0</v>
      </c>
      <c r="AA491" s="10">
        <v>16690</v>
      </c>
      <c r="AB491" s="10">
        <v>140665</v>
      </c>
      <c r="AC491" s="10">
        <v>4677</v>
      </c>
      <c r="AD491" s="10">
        <v>0</v>
      </c>
      <c r="AE491" s="10">
        <v>38750</v>
      </c>
      <c r="AF491" s="10">
        <v>0</v>
      </c>
      <c r="AG491" s="10">
        <v>20116</v>
      </c>
      <c r="AH491" s="10">
        <f t="shared" si="190"/>
        <v>25837.158000000054</v>
      </c>
      <c r="AI491" s="10">
        <v>1245367.1580000001</v>
      </c>
      <c r="AJ491" s="10">
        <v>1002932</v>
      </c>
      <c r="AK491" s="10">
        <v>0</v>
      </c>
      <c r="AL491" s="10">
        <v>16762</v>
      </c>
      <c r="AM491" s="10">
        <v>141373</v>
      </c>
      <c r="AN491" s="10">
        <v>4695</v>
      </c>
      <c r="AO491" s="10">
        <v>0</v>
      </c>
      <c r="AP491" s="10">
        <v>38750</v>
      </c>
      <c r="AQ491" s="10">
        <v>0</v>
      </c>
      <c r="AR491" s="10">
        <v>20117</v>
      </c>
      <c r="AS491" s="10">
        <f t="shared" si="170"/>
        <v>25564.158000000054</v>
      </c>
      <c r="AT491" s="10">
        <v>1250193.1580000001</v>
      </c>
      <c r="AU491" s="12">
        <v>0</v>
      </c>
      <c r="AV491" s="12">
        <v>0</v>
      </c>
      <c r="AW491" s="12">
        <v>2690.875</v>
      </c>
      <c r="AX491" s="12">
        <f t="shared" si="191"/>
        <v>2690.875</v>
      </c>
      <c r="AY491" s="12">
        <v>0</v>
      </c>
      <c r="AZ491" s="12">
        <v>0</v>
      </c>
      <c r="BA491" s="12">
        <v>3661.2750000000001</v>
      </c>
      <c r="BB491" s="12">
        <f t="shared" si="192"/>
        <v>3661.2750000000001</v>
      </c>
      <c r="BC491" s="12">
        <v>0</v>
      </c>
      <c r="BD491" s="12">
        <v>0</v>
      </c>
      <c r="BE491" s="12">
        <v>970.40000000000146</v>
      </c>
      <c r="BF491" s="12">
        <v>970.40000000000146</v>
      </c>
    </row>
    <row r="492" spans="1:58" x14ac:dyDescent="0.25">
      <c r="A492" s="7">
        <v>4162</v>
      </c>
      <c r="B492" s="7">
        <v>7</v>
      </c>
      <c r="C492" s="7" t="s">
        <v>493</v>
      </c>
      <c r="D492" s="4">
        <v>7</v>
      </c>
      <c r="E492" s="10">
        <v>107</v>
      </c>
      <c r="F492" s="8">
        <f t="shared" si="171"/>
        <v>3104.25</v>
      </c>
      <c r="G492" s="8">
        <f t="shared" si="172"/>
        <v>2050.58</v>
      </c>
      <c r="H492" s="8">
        <f t="shared" si="173"/>
        <v>0</v>
      </c>
      <c r="I492" s="8">
        <f t="shared" si="174"/>
        <v>-129.00000000004184</v>
      </c>
      <c r="J492" s="8">
        <f t="shared" si="175"/>
        <v>5025.8299999999581</v>
      </c>
      <c r="K492" s="8">
        <f t="shared" si="176"/>
        <v>553.20000000000073</v>
      </c>
      <c r="L492" s="8">
        <f t="shared" si="177"/>
        <v>5579.0299999999588</v>
      </c>
      <c r="M492" s="8">
        <f t="shared" si="178"/>
        <v>46.970373831775312</v>
      </c>
      <c r="N492" s="8">
        <f t="shared" si="179"/>
        <v>2775</v>
      </c>
      <c r="O492" s="8">
        <f t="shared" si="180"/>
        <v>36</v>
      </c>
      <c r="P492" s="8">
        <f t="shared" si="181"/>
        <v>0</v>
      </c>
      <c r="Q492" s="8">
        <f t="shared" si="182"/>
        <v>282.25</v>
      </c>
      <c r="R492" s="8">
        <f t="shared" si="183"/>
        <v>11</v>
      </c>
      <c r="S492" s="8">
        <f t="shared" si="184"/>
        <v>0</v>
      </c>
      <c r="T492" s="8">
        <f t="shared" si="185"/>
        <v>2050.58</v>
      </c>
      <c r="U492" s="8">
        <f t="shared" si="186"/>
        <v>0</v>
      </c>
      <c r="V492" s="8">
        <f t="shared" si="187"/>
        <v>0</v>
      </c>
      <c r="W492" s="8">
        <f t="shared" si="188"/>
        <v>-129</v>
      </c>
      <c r="X492" s="8">
        <f t="shared" si="189"/>
        <v>5025.8299999999581</v>
      </c>
      <c r="Y492" s="10">
        <v>644466</v>
      </c>
      <c r="Z492" s="10">
        <v>8454</v>
      </c>
      <c r="AA492" s="10">
        <v>29</v>
      </c>
      <c r="AB492" s="10">
        <v>56077</v>
      </c>
      <c r="AC492" s="10">
        <v>3019</v>
      </c>
      <c r="AD492" s="10">
        <v>0</v>
      </c>
      <c r="AE492" s="10">
        <v>0</v>
      </c>
      <c r="AF492" s="10">
        <v>19080</v>
      </c>
      <c r="AG492" s="10">
        <v>12982</v>
      </c>
      <c r="AH492" s="10">
        <f t="shared" si="190"/>
        <v>3628.7882499999832</v>
      </c>
      <c r="AI492" s="10">
        <v>747735.78824999998</v>
      </c>
      <c r="AJ492" s="10">
        <v>647241</v>
      </c>
      <c r="AK492" s="10">
        <v>8490</v>
      </c>
      <c r="AL492" s="10">
        <v>29</v>
      </c>
      <c r="AM492" s="10">
        <v>56359.25</v>
      </c>
      <c r="AN492" s="10">
        <v>3030</v>
      </c>
      <c r="AO492" s="10">
        <v>0</v>
      </c>
      <c r="AP492" s="10">
        <v>2050.58</v>
      </c>
      <c r="AQ492" s="10">
        <v>19080</v>
      </c>
      <c r="AR492" s="10">
        <v>12982</v>
      </c>
      <c r="AS492" s="10">
        <f t="shared" si="170"/>
        <v>3499.7882499999832</v>
      </c>
      <c r="AT492" s="10">
        <v>752761.61824999994</v>
      </c>
      <c r="AU492" s="12">
        <v>0</v>
      </c>
      <c r="AV492" s="12">
        <v>0</v>
      </c>
      <c r="AW492" s="12">
        <v>999.375</v>
      </c>
      <c r="AX492" s="12">
        <f t="shared" si="191"/>
        <v>999.375</v>
      </c>
      <c r="AY492" s="12">
        <v>0</v>
      </c>
      <c r="AZ492" s="12">
        <v>0</v>
      </c>
      <c r="BA492" s="12">
        <v>1552.575</v>
      </c>
      <c r="BB492" s="12">
        <f t="shared" si="192"/>
        <v>1552.575</v>
      </c>
      <c r="BC492" s="12">
        <v>0</v>
      </c>
      <c r="BD492" s="12">
        <v>0</v>
      </c>
      <c r="BE492" s="12">
        <v>553.20000000000073</v>
      </c>
      <c r="BF492" s="12">
        <v>553.20000000000073</v>
      </c>
    </row>
    <row r="493" spans="1:58" x14ac:dyDescent="0.25">
      <c r="A493" s="7">
        <v>4163</v>
      </c>
      <c r="B493" s="7">
        <v>7</v>
      </c>
      <c r="C493" s="7" t="s">
        <v>494</v>
      </c>
      <c r="D493" s="4">
        <v>7</v>
      </c>
      <c r="E493" s="10">
        <v>229</v>
      </c>
      <c r="F493" s="8">
        <f t="shared" si="171"/>
        <v>8699</v>
      </c>
      <c r="G493" s="8">
        <f t="shared" si="172"/>
        <v>0</v>
      </c>
      <c r="H493" s="8">
        <f t="shared" si="173"/>
        <v>41738</v>
      </c>
      <c r="I493" s="8">
        <f t="shared" si="174"/>
        <v>1</v>
      </c>
      <c r="J493" s="8">
        <f t="shared" si="175"/>
        <v>50438</v>
      </c>
      <c r="K493" s="8">
        <f t="shared" si="176"/>
        <v>605.20000000000073</v>
      </c>
      <c r="L493" s="8">
        <f t="shared" si="177"/>
        <v>51043.199999999997</v>
      </c>
      <c r="M493" s="8">
        <f t="shared" si="178"/>
        <v>220.25327510917032</v>
      </c>
      <c r="N493" s="8">
        <f t="shared" si="179"/>
        <v>6048</v>
      </c>
      <c r="O493" s="8">
        <f t="shared" si="180"/>
        <v>0</v>
      </c>
      <c r="P493" s="8">
        <f t="shared" si="181"/>
        <v>0</v>
      </c>
      <c r="Q493" s="8">
        <f t="shared" si="182"/>
        <v>2625</v>
      </c>
      <c r="R493" s="8">
        <f t="shared" si="183"/>
        <v>26</v>
      </c>
      <c r="S493" s="8">
        <f t="shared" si="184"/>
        <v>0</v>
      </c>
      <c r="T493" s="8">
        <f t="shared" si="185"/>
        <v>0</v>
      </c>
      <c r="U493" s="8">
        <f t="shared" si="186"/>
        <v>41738</v>
      </c>
      <c r="V493" s="8">
        <f t="shared" si="187"/>
        <v>1</v>
      </c>
      <c r="W493" s="8">
        <f t="shared" si="188"/>
        <v>0</v>
      </c>
      <c r="X493" s="8">
        <f t="shared" si="189"/>
        <v>50438</v>
      </c>
      <c r="Y493" s="10">
        <v>1404471</v>
      </c>
      <c r="Z493" s="10">
        <v>0</v>
      </c>
      <c r="AA493" s="10">
        <v>63</v>
      </c>
      <c r="AB493" s="10">
        <v>521535</v>
      </c>
      <c r="AC493" s="10">
        <v>6578</v>
      </c>
      <c r="AD493" s="10">
        <v>0</v>
      </c>
      <c r="AE493" s="10">
        <v>51500</v>
      </c>
      <c r="AF493" s="10">
        <v>71550</v>
      </c>
      <c r="AG493" s="10">
        <v>28291</v>
      </c>
      <c r="AH493" s="10">
        <f t="shared" si="190"/>
        <v>78175.123999999836</v>
      </c>
      <c r="AI493" s="10">
        <v>2162163.1239999998</v>
      </c>
      <c r="AJ493" s="10">
        <v>1410519</v>
      </c>
      <c r="AK493" s="10">
        <v>0</v>
      </c>
      <c r="AL493" s="10">
        <v>63</v>
      </c>
      <c r="AM493" s="10">
        <v>524160</v>
      </c>
      <c r="AN493" s="10">
        <v>6604</v>
      </c>
      <c r="AO493" s="10">
        <v>0</v>
      </c>
      <c r="AP493" s="10">
        <v>51500</v>
      </c>
      <c r="AQ493" s="10">
        <v>113288</v>
      </c>
      <c r="AR493" s="10">
        <v>28292</v>
      </c>
      <c r="AS493" s="10">
        <f t="shared" si="170"/>
        <v>78175.123999999836</v>
      </c>
      <c r="AT493" s="10">
        <v>2212601.1239999998</v>
      </c>
      <c r="AU493" s="12">
        <v>0</v>
      </c>
      <c r="AV493" s="12">
        <v>0</v>
      </c>
      <c r="AW493" s="12">
        <v>3735</v>
      </c>
      <c r="AX493" s="12">
        <f t="shared" si="191"/>
        <v>3735</v>
      </c>
      <c r="AY493" s="12">
        <v>0</v>
      </c>
      <c r="AZ493" s="12">
        <v>0</v>
      </c>
      <c r="BA493" s="12">
        <v>4340.2</v>
      </c>
      <c r="BB493" s="12">
        <f t="shared" si="192"/>
        <v>4340.2</v>
      </c>
      <c r="BC493" s="12">
        <v>0</v>
      </c>
      <c r="BD493" s="12">
        <v>0</v>
      </c>
      <c r="BE493" s="12">
        <v>605.20000000000073</v>
      </c>
      <c r="BF493" s="12">
        <v>605.20000000000073</v>
      </c>
    </row>
    <row r="494" spans="1:58" x14ac:dyDescent="0.25">
      <c r="A494" s="7">
        <v>4164</v>
      </c>
      <c r="B494" s="7">
        <v>7</v>
      </c>
      <c r="C494" s="7" t="s">
        <v>495</v>
      </c>
      <c r="D494" s="4">
        <v>7</v>
      </c>
      <c r="E494" s="10">
        <v>186</v>
      </c>
      <c r="F494" s="8">
        <f t="shared" si="171"/>
        <v>5632.75</v>
      </c>
      <c r="G494" s="8">
        <f t="shared" si="172"/>
        <v>0</v>
      </c>
      <c r="H494" s="8">
        <f t="shared" si="173"/>
        <v>0</v>
      </c>
      <c r="I494" s="8">
        <f t="shared" si="174"/>
        <v>1</v>
      </c>
      <c r="J494" s="8">
        <f t="shared" si="175"/>
        <v>5633.75</v>
      </c>
      <c r="K494" s="8">
        <f t="shared" si="176"/>
        <v>566.79999999999927</v>
      </c>
      <c r="L494" s="8">
        <f t="shared" si="177"/>
        <v>6200.5499999999993</v>
      </c>
      <c r="M494" s="8">
        <f t="shared" si="178"/>
        <v>30.288978494623656</v>
      </c>
      <c r="N494" s="8">
        <f t="shared" si="179"/>
        <v>5100</v>
      </c>
      <c r="O494" s="8">
        <f t="shared" si="180"/>
        <v>0</v>
      </c>
      <c r="P494" s="8">
        <f t="shared" si="181"/>
        <v>0</v>
      </c>
      <c r="Q494" s="8">
        <f t="shared" si="182"/>
        <v>511.75</v>
      </c>
      <c r="R494" s="8">
        <f t="shared" si="183"/>
        <v>21</v>
      </c>
      <c r="S494" s="8">
        <f t="shared" si="184"/>
        <v>0</v>
      </c>
      <c r="T494" s="8">
        <f t="shared" si="185"/>
        <v>0</v>
      </c>
      <c r="U494" s="8">
        <f t="shared" si="186"/>
        <v>0</v>
      </c>
      <c r="V494" s="8">
        <f t="shared" si="187"/>
        <v>1</v>
      </c>
      <c r="W494" s="8">
        <f t="shared" si="188"/>
        <v>0</v>
      </c>
      <c r="X494" s="8">
        <f t="shared" si="189"/>
        <v>5633.75</v>
      </c>
      <c r="Y494" s="10">
        <v>1184424</v>
      </c>
      <c r="Z494" s="10">
        <v>0</v>
      </c>
      <c r="AA494" s="10">
        <v>53</v>
      </c>
      <c r="AB494" s="10">
        <v>101674</v>
      </c>
      <c r="AC494" s="10">
        <v>5548</v>
      </c>
      <c r="AD494" s="10">
        <v>0</v>
      </c>
      <c r="AE494" s="10">
        <v>40500</v>
      </c>
      <c r="AF494" s="10">
        <v>0</v>
      </c>
      <c r="AG494" s="10">
        <v>23858</v>
      </c>
      <c r="AH494" s="10">
        <f t="shared" si="190"/>
        <v>92906.959999999963</v>
      </c>
      <c r="AI494" s="10">
        <v>1448963.96</v>
      </c>
      <c r="AJ494" s="10">
        <v>1189524</v>
      </c>
      <c r="AK494" s="10">
        <v>0</v>
      </c>
      <c r="AL494" s="10">
        <v>53</v>
      </c>
      <c r="AM494" s="10">
        <v>102185.75</v>
      </c>
      <c r="AN494" s="10">
        <v>5569</v>
      </c>
      <c r="AO494" s="10">
        <v>0</v>
      </c>
      <c r="AP494" s="10">
        <v>40500</v>
      </c>
      <c r="AQ494" s="10">
        <v>0</v>
      </c>
      <c r="AR494" s="10">
        <v>23859</v>
      </c>
      <c r="AS494" s="10">
        <f t="shared" si="170"/>
        <v>92906.959999999963</v>
      </c>
      <c r="AT494" s="10">
        <v>1454597.71</v>
      </c>
      <c r="AU494" s="12">
        <v>0</v>
      </c>
      <c r="AV494" s="12">
        <v>0</v>
      </c>
      <c r="AW494" s="12">
        <v>1672</v>
      </c>
      <c r="AX494" s="12">
        <f t="shared" si="191"/>
        <v>1672</v>
      </c>
      <c r="AY494" s="12">
        <v>0</v>
      </c>
      <c r="AZ494" s="12">
        <v>0</v>
      </c>
      <c r="BA494" s="12">
        <v>2238.8000000000002</v>
      </c>
      <c r="BB494" s="12">
        <f t="shared" si="192"/>
        <v>2238.8000000000002</v>
      </c>
      <c r="BC494" s="12">
        <v>0</v>
      </c>
      <c r="BD494" s="12">
        <v>0</v>
      </c>
      <c r="BE494" s="12">
        <v>566.79999999999927</v>
      </c>
      <c r="BF494" s="12">
        <v>566.79999999999927</v>
      </c>
    </row>
    <row r="495" spans="1:58" x14ac:dyDescent="0.25">
      <c r="A495" s="7">
        <v>4165</v>
      </c>
      <c r="B495" s="7">
        <v>7</v>
      </c>
      <c r="C495" s="7" t="s">
        <v>496</v>
      </c>
      <c r="D495" s="4">
        <v>7</v>
      </c>
      <c r="E495" s="10">
        <v>0</v>
      </c>
      <c r="F495" s="8">
        <f t="shared" si="171"/>
        <v>0</v>
      </c>
      <c r="G495" s="8">
        <f t="shared" si="172"/>
        <v>0</v>
      </c>
      <c r="H495" s="8">
        <f t="shared" si="173"/>
        <v>0</v>
      </c>
      <c r="I495" s="8">
        <f t="shared" si="174"/>
        <v>0</v>
      </c>
      <c r="J495" s="8">
        <f t="shared" si="175"/>
        <v>0</v>
      </c>
      <c r="K495" s="8">
        <f t="shared" si="176"/>
        <v>0</v>
      </c>
      <c r="L495" s="8">
        <f t="shared" si="177"/>
        <v>0</v>
      </c>
      <c r="M495" s="8">
        <f t="shared" si="178"/>
        <v>0</v>
      </c>
      <c r="N495" s="8">
        <f t="shared" si="179"/>
        <v>0</v>
      </c>
      <c r="O495" s="8">
        <f t="shared" si="180"/>
        <v>0</v>
      </c>
      <c r="P495" s="8">
        <f t="shared" si="181"/>
        <v>0</v>
      </c>
      <c r="Q495" s="8">
        <f t="shared" si="182"/>
        <v>0</v>
      </c>
      <c r="R495" s="8">
        <f t="shared" si="183"/>
        <v>0</v>
      </c>
      <c r="S495" s="8">
        <f t="shared" si="184"/>
        <v>0</v>
      </c>
      <c r="T495" s="8">
        <f t="shared" si="185"/>
        <v>0</v>
      </c>
      <c r="U495" s="8">
        <f t="shared" si="186"/>
        <v>0</v>
      </c>
      <c r="V495" s="8">
        <f t="shared" si="187"/>
        <v>0</v>
      </c>
      <c r="W495" s="8">
        <f t="shared" si="188"/>
        <v>0</v>
      </c>
      <c r="X495" s="8">
        <f t="shared" si="189"/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  <c r="AG495" s="10">
        <v>0</v>
      </c>
      <c r="AH495" s="10">
        <f t="shared" si="190"/>
        <v>0</v>
      </c>
      <c r="AI495" s="10">
        <v>0</v>
      </c>
      <c r="AJ495" s="10">
        <v>0</v>
      </c>
      <c r="AK495" s="10">
        <v>0</v>
      </c>
      <c r="AL495" s="10">
        <v>0</v>
      </c>
      <c r="AM495" s="10">
        <v>0</v>
      </c>
      <c r="AN495" s="10">
        <v>0</v>
      </c>
      <c r="AO495" s="10">
        <v>0</v>
      </c>
      <c r="AP495" s="10">
        <v>0</v>
      </c>
      <c r="AQ495" s="10">
        <v>0</v>
      </c>
      <c r="AR495" s="10">
        <v>0</v>
      </c>
      <c r="AS495" s="10">
        <f t="shared" si="170"/>
        <v>0</v>
      </c>
      <c r="AT495" s="10">
        <v>0</v>
      </c>
      <c r="AU495" s="12">
        <v>0</v>
      </c>
      <c r="AV495" s="12">
        <v>0</v>
      </c>
      <c r="AW495" s="12">
        <v>0</v>
      </c>
      <c r="AX495" s="12">
        <f t="shared" si="191"/>
        <v>0</v>
      </c>
      <c r="AY495" s="12">
        <v>0</v>
      </c>
      <c r="AZ495" s="12">
        <v>0</v>
      </c>
      <c r="BA495" s="12">
        <v>0</v>
      </c>
      <c r="BB495" s="12">
        <f t="shared" si="192"/>
        <v>0</v>
      </c>
      <c r="BC495" s="12">
        <v>0</v>
      </c>
      <c r="BD495" s="12">
        <v>0</v>
      </c>
      <c r="BE495" s="12">
        <v>0</v>
      </c>
      <c r="BF495" s="12">
        <v>0</v>
      </c>
    </row>
    <row r="496" spans="1:58" x14ac:dyDescent="0.25">
      <c r="A496" s="7">
        <v>4166</v>
      </c>
      <c r="B496" s="7">
        <v>7</v>
      </c>
      <c r="C496" s="7" t="s">
        <v>497</v>
      </c>
      <c r="D496" s="4">
        <v>7</v>
      </c>
      <c r="E496" s="10">
        <v>100</v>
      </c>
      <c r="F496" s="8">
        <f t="shared" si="171"/>
        <v>4070</v>
      </c>
      <c r="G496" s="8">
        <f t="shared" si="172"/>
        <v>0</v>
      </c>
      <c r="H496" s="8">
        <f t="shared" si="173"/>
        <v>0</v>
      </c>
      <c r="I496" s="8">
        <f t="shared" si="174"/>
        <v>1</v>
      </c>
      <c r="J496" s="8">
        <f t="shared" si="175"/>
        <v>4071</v>
      </c>
      <c r="K496" s="8">
        <f t="shared" si="176"/>
        <v>222</v>
      </c>
      <c r="L496" s="8">
        <f t="shared" si="177"/>
        <v>4293</v>
      </c>
      <c r="M496" s="8">
        <f t="shared" si="178"/>
        <v>40.71</v>
      </c>
      <c r="N496" s="8">
        <f t="shared" si="179"/>
        <v>3000</v>
      </c>
      <c r="O496" s="8">
        <f t="shared" si="180"/>
        <v>0</v>
      </c>
      <c r="P496" s="8">
        <f t="shared" si="181"/>
        <v>69</v>
      </c>
      <c r="Q496" s="8">
        <f t="shared" si="182"/>
        <v>988</v>
      </c>
      <c r="R496" s="8">
        <f t="shared" si="183"/>
        <v>13</v>
      </c>
      <c r="S496" s="8">
        <f t="shared" si="184"/>
        <v>0</v>
      </c>
      <c r="T496" s="8">
        <f t="shared" si="185"/>
        <v>0</v>
      </c>
      <c r="U496" s="8">
        <f t="shared" si="186"/>
        <v>0</v>
      </c>
      <c r="V496" s="8">
        <f t="shared" si="187"/>
        <v>1</v>
      </c>
      <c r="W496" s="8">
        <f t="shared" si="188"/>
        <v>0</v>
      </c>
      <c r="X496" s="8">
        <f t="shared" si="189"/>
        <v>4071</v>
      </c>
      <c r="Y496" s="10">
        <v>696720</v>
      </c>
      <c r="Z496" s="10">
        <v>0</v>
      </c>
      <c r="AA496" s="10">
        <v>16061</v>
      </c>
      <c r="AB496" s="10">
        <v>196296</v>
      </c>
      <c r="AC496" s="10">
        <v>3263</v>
      </c>
      <c r="AD496" s="10">
        <v>0</v>
      </c>
      <c r="AE496" s="10">
        <v>23250</v>
      </c>
      <c r="AF496" s="10">
        <v>0</v>
      </c>
      <c r="AG496" s="10">
        <v>14034</v>
      </c>
      <c r="AH496" s="10">
        <f t="shared" si="190"/>
        <v>63427.270000000019</v>
      </c>
      <c r="AI496" s="10">
        <v>1013051.27</v>
      </c>
      <c r="AJ496" s="10">
        <v>699720</v>
      </c>
      <c r="AK496" s="10">
        <v>0</v>
      </c>
      <c r="AL496" s="10">
        <v>16130</v>
      </c>
      <c r="AM496" s="10">
        <v>197284</v>
      </c>
      <c r="AN496" s="10">
        <v>3276</v>
      </c>
      <c r="AO496" s="10">
        <v>0</v>
      </c>
      <c r="AP496" s="10">
        <v>23250</v>
      </c>
      <c r="AQ496" s="10">
        <v>0</v>
      </c>
      <c r="AR496" s="10">
        <v>14035</v>
      </c>
      <c r="AS496" s="10">
        <f t="shared" si="170"/>
        <v>63427.270000000019</v>
      </c>
      <c r="AT496" s="10">
        <v>1017122.27</v>
      </c>
      <c r="AU496" s="12">
        <v>0</v>
      </c>
      <c r="AV496" s="12">
        <v>0</v>
      </c>
      <c r="AW496" s="12">
        <v>827.75</v>
      </c>
      <c r="AX496" s="12">
        <f t="shared" si="191"/>
        <v>827.75</v>
      </c>
      <c r="AY496" s="12">
        <v>0</v>
      </c>
      <c r="AZ496" s="12">
        <v>0</v>
      </c>
      <c r="BA496" s="12">
        <v>1049.75</v>
      </c>
      <c r="BB496" s="12">
        <f t="shared" si="192"/>
        <v>1049.75</v>
      </c>
      <c r="BC496" s="12">
        <v>0</v>
      </c>
      <c r="BD496" s="12">
        <v>0</v>
      </c>
      <c r="BE496" s="12">
        <v>222</v>
      </c>
      <c r="BF496" s="12">
        <v>222</v>
      </c>
    </row>
    <row r="497" spans="1:58" x14ac:dyDescent="0.25">
      <c r="A497" s="7">
        <v>4167</v>
      </c>
      <c r="B497" s="7">
        <v>7</v>
      </c>
      <c r="C497" s="7" t="s">
        <v>498</v>
      </c>
      <c r="D497" s="4">
        <v>7</v>
      </c>
      <c r="E497" s="10">
        <v>320</v>
      </c>
      <c r="F497" s="8">
        <f t="shared" si="171"/>
        <v>7491.5</v>
      </c>
      <c r="G497" s="8">
        <f t="shared" si="172"/>
        <v>5272.92</v>
      </c>
      <c r="H497" s="8">
        <f t="shared" si="173"/>
        <v>0</v>
      </c>
      <c r="I497" s="8">
        <f t="shared" si="174"/>
        <v>-346.00000000007458</v>
      </c>
      <c r="J497" s="8">
        <f t="shared" si="175"/>
        <v>12418.419999999925</v>
      </c>
      <c r="K497" s="8">
        <f t="shared" si="176"/>
        <v>266</v>
      </c>
      <c r="L497" s="8">
        <f t="shared" si="177"/>
        <v>12684.419999999925</v>
      </c>
      <c r="M497" s="8">
        <f t="shared" si="178"/>
        <v>38.807562499999769</v>
      </c>
      <c r="N497" s="8">
        <f t="shared" si="179"/>
        <v>7438</v>
      </c>
      <c r="O497" s="8">
        <f t="shared" si="180"/>
        <v>0</v>
      </c>
      <c r="P497" s="8">
        <f t="shared" si="181"/>
        <v>0</v>
      </c>
      <c r="Q497" s="8">
        <f t="shared" si="182"/>
        <v>22.5</v>
      </c>
      <c r="R497" s="8">
        <f t="shared" si="183"/>
        <v>31</v>
      </c>
      <c r="S497" s="8">
        <f t="shared" si="184"/>
        <v>0</v>
      </c>
      <c r="T497" s="8">
        <f t="shared" si="185"/>
        <v>5272.92</v>
      </c>
      <c r="U497" s="8">
        <f t="shared" si="186"/>
        <v>0</v>
      </c>
      <c r="V497" s="8">
        <f t="shared" si="187"/>
        <v>1</v>
      </c>
      <c r="W497" s="8">
        <f t="shared" si="188"/>
        <v>-347</v>
      </c>
      <c r="X497" s="8">
        <f t="shared" si="189"/>
        <v>12418.419999999925</v>
      </c>
      <c r="Y497" s="10">
        <v>1727285</v>
      </c>
      <c r="Z497" s="10">
        <v>0</v>
      </c>
      <c r="AA497" s="10">
        <v>77</v>
      </c>
      <c r="AB497" s="10">
        <v>4470</v>
      </c>
      <c r="AC497" s="10">
        <v>8090</v>
      </c>
      <c r="AD497" s="10">
        <v>0</v>
      </c>
      <c r="AE497" s="10">
        <v>0</v>
      </c>
      <c r="AF497" s="10">
        <v>0</v>
      </c>
      <c r="AG497" s="10">
        <v>34794</v>
      </c>
      <c r="AH497" s="10">
        <f t="shared" si="190"/>
        <v>10668.260000000009</v>
      </c>
      <c r="AI497" s="10">
        <v>1785384.26</v>
      </c>
      <c r="AJ497" s="10">
        <v>1734723</v>
      </c>
      <c r="AK497" s="10">
        <v>0</v>
      </c>
      <c r="AL497" s="10">
        <v>77</v>
      </c>
      <c r="AM497" s="10">
        <v>4492.5</v>
      </c>
      <c r="AN497" s="10">
        <v>8121</v>
      </c>
      <c r="AO497" s="10">
        <v>0</v>
      </c>
      <c r="AP497" s="10">
        <v>5272.92</v>
      </c>
      <c r="AQ497" s="10">
        <v>0</v>
      </c>
      <c r="AR497" s="10">
        <v>34795</v>
      </c>
      <c r="AS497" s="10">
        <f t="shared" si="170"/>
        <v>10321.260000000009</v>
      </c>
      <c r="AT497" s="10">
        <v>1797802.68</v>
      </c>
      <c r="AU497" s="12">
        <v>0</v>
      </c>
      <c r="AV497" s="12">
        <v>0</v>
      </c>
      <c r="AW497" s="12">
        <v>2191.125</v>
      </c>
      <c r="AX497" s="12">
        <f t="shared" si="191"/>
        <v>2191.125</v>
      </c>
      <c r="AY497" s="12">
        <v>0</v>
      </c>
      <c r="AZ497" s="12">
        <v>0</v>
      </c>
      <c r="BA497" s="12">
        <v>2457.125</v>
      </c>
      <c r="BB497" s="12">
        <f t="shared" si="192"/>
        <v>2457.125</v>
      </c>
      <c r="BC497" s="12">
        <v>0</v>
      </c>
      <c r="BD497" s="12">
        <v>0</v>
      </c>
      <c r="BE497" s="12">
        <v>266</v>
      </c>
      <c r="BF497" s="12">
        <v>266</v>
      </c>
    </row>
    <row r="498" spans="1:58" x14ac:dyDescent="0.25">
      <c r="A498" s="7">
        <v>4168</v>
      </c>
      <c r="B498" s="7">
        <v>7</v>
      </c>
      <c r="C498" s="7" t="s">
        <v>499</v>
      </c>
      <c r="D498" s="4">
        <v>7</v>
      </c>
      <c r="E498" s="10">
        <v>128</v>
      </c>
      <c r="F498" s="8">
        <f t="shared" si="171"/>
        <v>3925</v>
      </c>
      <c r="G498" s="8">
        <f t="shared" si="172"/>
        <v>3654.2</v>
      </c>
      <c r="H498" s="8">
        <f t="shared" si="173"/>
        <v>0</v>
      </c>
      <c r="I498" s="8">
        <f t="shared" si="174"/>
        <v>-288.00000000004638</v>
      </c>
      <c r="J498" s="8">
        <f t="shared" si="175"/>
        <v>7291.1999999999534</v>
      </c>
      <c r="K498" s="8">
        <f t="shared" si="176"/>
        <v>1254</v>
      </c>
      <c r="L498" s="8">
        <f t="shared" si="177"/>
        <v>8545.1999999999534</v>
      </c>
      <c r="M498" s="8">
        <f t="shared" si="178"/>
        <v>56.962499999999636</v>
      </c>
      <c r="N498" s="8">
        <f t="shared" si="179"/>
        <v>3200</v>
      </c>
      <c r="O498" s="8">
        <f t="shared" si="180"/>
        <v>0</v>
      </c>
      <c r="P498" s="8">
        <f t="shared" si="181"/>
        <v>140</v>
      </c>
      <c r="Q498" s="8">
        <f t="shared" si="182"/>
        <v>572</v>
      </c>
      <c r="R498" s="8">
        <f t="shared" si="183"/>
        <v>13</v>
      </c>
      <c r="S498" s="8">
        <f t="shared" si="184"/>
        <v>0</v>
      </c>
      <c r="T498" s="8">
        <f t="shared" si="185"/>
        <v>3654.2</v>
      </c>
      <c r="U498" s="8">
        <f t="shared" si="186"/>
        <v>0</v>
      </c>
      <c r="V498" s="8">
        <f t="shared" si="187"/>
        <v>1</v>
      </c>
      <c r="W498" s="8">
        <f t="shared" si="188"/>
        <v>-289</v>
      </c>
      <c r="X498" s="8">
        <f t="shared" si="189"/>
        <v>7291.1999999999534</v>
      </c>
      <c r="Y498" s="10">
        <v>743168</v>
      </c>
      <c r="Z498" s="10">
        <v>0</v>
      </c>
      <c r="AA498" s="10">
        <v>32445</v>
      </c>
      <c r="AB498" s="10">
        <v>113645</v>
      </c>
      <c r="AC498" s="10">
        <v>3481</v>
      </c>
      <c r="AD498" s="10">
        <v>0</v>
      </c>
      <c r="AE498" s="10">
        <v>0</v>
      </c>
      <c r="AF498" s="10">
        <v>0</v>
      </c>
      <c r="AG498" s="10">
        <v>14970</v>
      </c>
      <c r="AH498" s="10">
        <f t="shared" si="190"/>
        <v>-26289.890000000014</v>
      </c>
      <c r="AI498" s="10">
        <v>881419.11</v>
      </c>
      <c r="AJ498" s="10">
        <v>746368</v>
      </c>
      <c r="AK498" s="10">
        <v>0</v>
      </c>
      <c r="AL498" s="10">
        <v>32585</v>
      </c>
      <c r="AM498" s="10">
        <v>114217</v>
      </c>
      <c r="AN498" s="10">
        <v>3494</v>
      </c>
      <c r="AO498" s="10">
        <v>0</v>
      </c>
      <c r="AP498" s="10">
        <v>3654.2</v>
      </c>
      <c r="AQ498" s="10">
        <v>0</v>
      </c>
      <c r="AR498" s="10">
        <v>14971</v>
      </c>
      <c r="AS498" s="10">
        <f t="shared" si="170"/>
        <v>-26578.890000000014</v>
      </c>
      <c r="AT498" s="10">
        <v>888710.30999999994</v>
      </c>
      <c r="AU498" s="12">
        <v>0</v>
      </c>
      <c r="AV498" s="12">
        <v>0</v>
      </c>
      <c r="AW498" s="12">
        <v>2216.75</v>
      </c>
      <c r="AX498" s="12">
        <f t="shared" si="191"/>
        <v>2216.75</v>
      </c>
      <c r="AY498" s="12">
        <v>0</v>
      </c>
      <c r="AZ498" s="12">
        <v>0</v>
      </c>
      <c r="BA498" s="12">
        <v>3470.75</v>
      </c>
      <c r="BB498" s="12">
        <f t="shared" si="192"/>
        <v>3470.75</v>
      </c>
      <c r="BC498" s="12">
        <v>0</v>
      </c>
      <c r="BD498" s="12">
        <v>0</v>
      </c>
      <c r="BE498" s="12">
        <v>1254</v>
      </c>
      <c r="BF498" s="12">
        <v>1254</v>
      </c>
    </row>
    <row r="499" spans="1:58" x14ac:dyDescent="0.25">
      <c r="A499" s="7">
        <v>4169</v>
      </c>
      <c r="B499" s="7">
        <v>7</v>
      </c>
      <c r="C499" s="7" t="s">
        <v>500</v>
      </c>
      <c r="D499" s="4">
        <v>7</v>
      </c>
      <c r="E499" s="10">
        <v>267</v>
      </c>
      <c r="F499" s="8">
        <f t="shared" si="171"/>
        <v>9115.5</v>
      </c>
      <c r="G499" s="8">
        <f t="shared" si="172"/>
        <v>0</v>
      </c>
      <c r="H499" s="8">
        <f t="shared" si="173"/>
        <v>3177</v>
      </c>
      <c r="I499" s="8">
        <f t="shared" si="174"/>
        <v>1</v>
      </c>
      <c r="J499" s="8">
        <f t="shared" si="175"/>
        <v>12293.5</v>
      </c>
      <c r="K499" s="8">
        <f t="shared" si="176"/>
        <v>746.40000000000146</v>
      </c>
      <c r="L499" s="8">
        <f t="shared" si="177"/>
        <v>13039.900000000001</v>
      </c>
      <c r="M499" s="8">
        <f t="shared" si="178"/>
        <v>46.043071161048687</v>
      </c>
      <c r="N499" s="8">
        <f t="shared" si="179"/>
        <v>6202</v>
      </c>
      <c r="O499" s="8">
        <f t="shared" si="180"/>
        <v>0</v>
      </c>
      <c r="P499" s="8">
        <f t="shared" si="181"/>
        <v>0</v>
      </c>
      <c r="Q499" s="8">
        <f t="shared" si="182"/>
        <v>2887.5</v>
      </c>
      <c r="R499" s="8">
        <f t="shared" si="183"/>
        <v>26</v>
      </c>
      <c r="S499" s="8">
        <f t="shared" si="184"/>
        <v>0</v>
      </c>
      <c r="T499" s="8">
        <f t="shared" si="185"/>
        <v>0</v>
      </c>
      <c r="U499" s="8">
        <f t="shared" si="186"/>
        <v>3177</v>
      </c>
      <c r="V499" s="8">
        <f t="shared" si="187"/>
        <v>1</v>
      </c>
      <c r="W499" s="8">
        <f t="shared" si="188"/>
        <v>0</v>
      </c>
      <c r="X499" s="8">
        <f t="shared" si="189"/>
        <v>12293.5</v>
      </c>
      <c r="Y499" s="10">
        <v>1440469</v>
      </c>
      <c r="Z499" s="10">
        <v>0</v>
      </c>
      <c r="AA499" s="10">
        <v>64</v>
      </c>
      <c r="AB499" s="10">
        <v>573689</v>
      </c>
      <c r="AC499" s="10">
        <v>6747</v>
      </c>
      <c r="AD499" s="10">
        <v>0</v>
      </c>
      <c r="AE499" s="10">
        <v>50750</v>
      </c>
      <c r="AF499" s="10">
        <v>33390</v>
      </c>
      <c r="AG499" s="10">
        <v>29016</v>
      </c>
      <c r="AH499" s="10">
        <f t="shared" si="190"/>
        <v>73517.444000000134</v>
      </c>
      <c r="AI499" s="10">
        <v>2207642.4440000001</v>
      </c>
      <c r="AJ499" s="10">
        <v>1446671</v>
      </c>
      <c r="AK499" s="10">
        <v>0</v>
      </c>
      <c r="AL499" s="10">
        <v>64</v>
      </c>
      <c r="AM499" s="10">
        <v>576576.5</v>
      </c>
      <c r="AN499" s="10">
        <v>6773</v>
      </c>
      <c r="AO499" s="10">
        <v>0</v>
      </c>
      <c r="AP499" s="10">
        <v>50750</v>
      </c>
      <c r="AQ499" s="10">
        <v>36567</v>
      </c>
      <c r="AR499" s="10">
        <v>29017</v>
      </c>
      <c r="AS499" s="10">
        <f t="shared" si="170"/>
        <v>73517.444000000134</v>
      </c>
      <c r="AT499" s="10">
        <v>2219935.9440000001</v>
      </c>
      <c r="AU499" s="12">
        <v>0</v>
      </c>
      <c r="AV499" s="12">
        <v>0</v>
      </c>
      <c r="AW499" s="12">
        <v>4426.375</v>
      </c>
      <c r="AX499" s="12">
        <f t="shared" si="191"/>
        <v>4426.375</v>
      </c>
      <c r="AY499" s="12">
        <v>0</v>
      </c>
      <c r="AZ499" s="12">
        <v>0</v>
      </c>
      <c r="BA499" s="12">
        <v>5172.7749999999996</v>
      </c>
      <c r="BB499" s="12">
        <f t="shared" si="192"/>
        <v>5172.7749999999996</v>
      </c>
      <c r="BC499" s="12">
        <v>0</v>
      </c>
      <c r="BD499" s="12">
        <v>0</v>
      </c>
      <c r="BE499" s="12">
        <v>746.40000000000146</v>
      </c>
      <c r="BF499" s="12">
        <v>746.40000000000146</v>
      </c>
    </row>
    <row r="500" spans="1:58" x14ac:dyDescent="0.25">
      <c r="A500" s="7">
        <v>4170</v>
      </c>
      <c r="B500" s="7">
        <v>7</v>
      </c>
      <c r="C500" s="7" t="s">
        <v>501</v>
      </c>
      <c r="D500" s="4">
        <v>7</v>
      </c>
      <c r="E500" s="10">
        <v>830</v>
      </c>
      <c r="F500" s="8">
        <f t="shared" si="171"/>
        <v>30751</v>
      </c>
      <c r="G500" s="8">
        <f t="shared" si="172"/>
        <v>0</v>
      </c>
      <c r="H500" s="8">
        <f t="shared" si="173"/>
        <v>52470</v>
      </c>
      <c r="I500" s="8">
        <f t="shared" si="174"/>
        <v>4</v>
      </c>
      <c r="J500" s="8">
        <f t="shared" si="175"/>
        <v>83225</v>
      </c>
      <c r="K500" s="8">
        <f t="shared" si="176"/>
        <v>2469.6000000000058</v>
      </c>
      <c r="L500" s="8">
        <f t="shared" si="177"/>
        <v>85694.6</v>
      </c>
      <c r="M500" s="8">
        <f t="shared" si="178"/>
        <v>100.27108433734939</v>
      </c>
      <c r="N500" s="8">
        <f t="shared" si="179"/>
        <v>21390</v>
      </c>
      <c r="O500" s="8">
        <f t="shared" si="180"/>
        <v>0</v>
      </c>
      <c r="P500" s="8">
        <f t="shared" si="181"/>
        <v>1</v>
      </c>
      <c r="Q500" s="8">
        <f t="shared" si="182"/>
        <v>9270</v>
      </c>
      <c r="R500" s="8">
        <f t="shared" si="183"/>
        <v>90</v>
      </c>
      <c r="S500" s="8">
        <f t="shared" si="184"/>
        <v>0</v>
      </c>
      <c r="T500" s="8">
        <f t="shared" si="185"/>
        <v>0</v>
      </c>
      <c r="U500" s="8">
        <f t="shared" si="186"/>
        <v>52470</v>
      </c>
      <c r="V500" s="8">
        <f t="shared" si="187"/>
        <v>4</v>
      </c>
      <c r="W500" s="8">
        <f t="shared" si="188"/>
        <v>0</v>
      </c>
      <c r="X500" s="8">
        <f t="shared" si="189"/>
        <v>83225</v>
      </c>
      <c r="Y500" s="10">
        <v>4967614</v>
      </c>
      <c r="Z500" s="10">
        <v>0</v>
      </c>
      <c r="AA500" s="10">
        <v>221</v>
      </c>
      <c r="AB500" s="10">
        <v>1841764</v>
      </c>
      <c r="AC500" s="10">
        <v>23267</v>
      </c>
      <c r="AD500" s="10">
        <v>0</v>
      </c>
      <c r="AE500" s="10">
        <v>96250</v>
      </c>
      <c r="AF500" s="10">
        <v>598158</v>
      </c>
      <c r="AG500" s="10">
        <v>100065</v>
      </c>
      <c r="AH500" s="10">
        <f t="shared" si="190"/>
        <v>251331.49000000022</v>
      </c>
      <c r="AI500" s="10">
        <v>7878670.4900000002</v>
      </c>
      <c r="AJ500" s="10">
        <v>4989004</v>
      </c>
      <c r="AK500" s="10">
        <v>0</v>
      </c>
      <c r="AL500" s="10">
        <v>222</v>
      </c>
      <c r="AM500" s="10">
        <v>1851034</v>
      </c>
      <c r="AN500" s="10">
        <v>23357</v>
      </c>
      <c r="AO500" s="10">
        <v>0</v>
      </c>
      <c r="AP500" s="10">
        <v>96250</v>
      </c>
      <c r="AQ500" s="10">
        <v>650628</v>
      </c>
      <c r="AR500" s="10">
        <v>100069</v>
      </c>
      <c r="AS500" s="10">
        <f t="shared" ref="AS500:AS546" si="193">AT500-SUM(AJ500:AR500)</f>
        <v>251331.49000000022</v>
      </c>
      <c r="AT500" s="10">
        <v>7961895.4900000002</v>
      </c>
      <c r="AU500" s="12">
        <v>0</v>
      </c>
      <c r="AV500" s="12">
        <v>0</v>
      </c>
      <c r="AW500" s="12">
        <v>11007.625</v>
      </c>
      <c r="AX500" s="12">
        <f t="shared" si="191"/>
        <v>11007.625</v>
      </c>
      <c r="AY500" s="12">
        <v>0</v>
      </c>
      <c r="AZ500" s="12">
        <v>0</v>
      </c>
      <c r="BA500" s="12">
        <v>13477.225</v>
      </c>
      <c r="BB500" s="12">
        <f t="shared" si="192"/>
        <v>13477.225</v>
      </c>
      <c r="BC500" s="12">
        <v>0</v>
      </c>
      <c r="BD500" s="12">
        <v>0</v>
      </c>
      <c r="BE500" s="12">
        <v>2469.6000000000058</v>
      </c>
      <c r="BF500" s="12">
        <v>2469.6000000000058</v>
      </c>
    </row>
    <row r="501" spans="1:58" x14ac:dyDescent="0.25">
      <c r="A501" s="7">
        <v>4171</v>
      </c>
      <c r="B501" s="7">
        <v>7</v>
      </c>
      <c r="C501" s="7" t="s">
        <v>502</v>
      </c>
      <c r="D501" s="4">
        <v>7</v>
      </c>
      <c r="E501" s="10">
        <v>510</v>
      </c>
      <c r="F501" s="8">
        <f t="shared" si="171"/>
        <v>17786.5</v>
      </c>
      <c r="G501" s="8">
        <f t="shared" si="172"/>
        <v>0</v>
      </c>
      <c r="H501" s="8">
        <f t="shared" si="173"/>
        <v>11353</v>
      </c>
      <c r="I501" s="8">
        <f t="shared" si="174"/>
        <v>3</v>
      </c>
      <c r="J501" s="8">
        <f t="shared" si="175"/>
        <v>29142.5</v>
      </c>
      <c r="K501" s="8">
        <f t="shared" si="176"/>
        <v>5399.1999999999971</v>
      </c>
      <c r="L501" s="8">
        <f t="shared" si="177"/>
        <v>34541.699999999997</v>
      </c>
      <c r="M501" s="8">
        <f t="shared" si="178"/>
        <v>57.142156862745097</v>
      </c>
      <c r="N501" s="8">
        <f t="shared" si="179"/>
        <v>13150</v>
      </c>
      <c r="O501" s="8">
        <f t="shared" si="180"/>
        <v>0</v>
      </c>
      <c r="P501" s="8">
        <f t="shared" si="181"/>
        <v>1</v>
      </c>
      <c r="Q501" s="8">
        <f t="shared" si="182"/>
        <v>4580.5</v>
      </c>
      <c r="R501" s="8">
        <f t="shared" si="183"/>
        <v>55</v>
      </c>
      <c r="S501" s="8">
        <f t="shared" si="184"/>
        <v>0</v>
      </c>
      <c r="T501" s="8">
        <f t="shared" si="185"/>
        <v>0</v>
      </c>
      <c r="U501" s="8">
        <f t="shared" si="186"/>
        <v>11353</v>
      </c>
      <c r="V501" s="8">
        <f t="shared" si="187"/>
        <v>3</v>
      </c>
      <c r="W501" s="8">
        <f t="shared" si="188"/>
        <v>0</v>
      </c>
      <c r="X501" s="8">
        <f t="shared" si="189"/>
        <v>29142.5</v>
      </c>
      <c r="Y501" s="10">
        <v>3053956</v>
      </c>
      <c r="Z501" s="10">
        <v>0</v>
      </c>
      <c r="AA501" s="10">
        <v>136</v>
      </c>
      <c r="AB501" s="10">
        <v>910054</v>
      </c>
      <c r="AC501" s="10">
        <v>14304</v>
      </c>
      <c r="AD501" s="10">
        <v>0</v>
      </c>
      <c r="AE501" s="10">
        <v>119000</v>
      </c>
      <c r="AF501" s="10">
        <v>190800</v>
      </c>
      <c r="AG501" s="10">
        <v>61517</v>
      </c>
      <c r="AH501" s="10">
        <f t="shared" si="190"/>
        <v>172301.03999999911</v>
      </c>
      <c r="AI501" s="10">
        <v>4522068.0399999991</v>
      </c>
      <c r="AJ501" s="10">
        <v>3067106</v>
      </c>
      <c r="AK501" s="10">
        <v>0</v>
      </c>
      <c r="AL501" s="10">
        <v>137</v>
      </c>
      <c r="AM501" s="10">
        <v>914634.5</v>
      </c>
      <c r="AN501" s="10">
        <v>14359</v>
      </c>
      <c r="AO501" s="10">
        <v>0</v>
      </c>
      <c r="AP501" s="10">
        <v>119000</v>
      </c>
      <c r="AQ501" s="10">
        <v>202153</v>
      </c>
      <c r="AR501" s="10">
        <v>61520</v>
      </c>
      <c r="AS501" s="10">
        <f t="shared" si="193"/>
        <v>172301.03999999911</v>
      </c>
      <c r="AT501" s="10">
        <v>4551210.5399999991</v>
      </c>
      <c r="AU501" s="12">
        <v>0</v>
      </c>
      <c r="AV501" s="12">
        <v>0</v>
      </c>
      <c r="AW501" s="12">
        <v>9652.25</v>
      </c>
      <c r="AX501" s="12">
        <f t="shared" si="191"/>
        <v>9652.25</v>
      </c>
      <c r="AY501" s="12">
        <v>0</v>
      </c>
      <c r="AZ501" s="12">
        <v>0</v>
      </c>
      <c r="BA501" s="12">
        <v>15051.45</v>
      </c>
      <c r="BB501" s="12">
        <f t="shared" si="192"/>
        <v>15051.45</v>
      </c>
      <c r="BC501" s="12">
        <v>0</v>
      </c>
      <c r="BD501" s="12">
        <v>0</v>
      </c>
      <c r="BE501" s="12">
        <v>5399.1999999999971</v>
      </c>
      <c r="BF501" s="12">
        <v>5399.1999999999971</v>
      </c>
    </row>
    <row r="502" spans="1:58" x14ac:dyDescent="0.25">
      <c r="A502" s="7">
        <v>4172</v>
      </c>
      <c r="B502" s="7">
        <v>7</v>
      </c>
      <c r="C502" s="7" t="s">
        <v>503</v>
      </c>
      <c r="D502" s="4">
        <v>7</v>
      </c>
      <c r="E502" s="10">
        <v>66</v>
      </c>
      <c r="F502" s="8">
        <f t="shared" si="171"/>
        <v>2058.25</v>
      </c>
      <c r="G502" s="8">
        <f t="shared" si="172"/>
        <v>0</v>
      </c>
      <c r="H502" s="8">
        <f t="shared" si="173"/>
        <v>0</v>
      </c>
      <c r="I502" s="8">
        <f t="shared" si="174"/>
        <v>-146</v>
      </c>
      <c r="J502" s="8">
        <f t="shared" si="175"/>
        <v>1912.25</v>
      </c>
      <c r="K502" s="8">
        <f t="shared" si="176"/>
        <v>1154.7999999999993</v>
      </c>
      <c r="L502" s="8">
        <f t="shared" si="177"/>
        <v>3067.0499999999993</v>
      </c>
      <c r="M502" s="8">
        <f t="shared" si="178"/>
        <v>28.973484848484848</v>
      </c>
      <c r="N502" s="8">
        <f t="shared" si="179"/>
        <v>1650</v>
      </c>
      <c r="O502" s="8">
        <f t="shared" si="180"/>
        <v>0</v>
      </c>
      <c r="P502" s="8">
        <f t="shared" si="181"/>
        <v>69</v>
      </c>
      <c r="Q502" s="8">
        <f t="shared" si="182"/>
        <v>332.25</v>
      </c>
      <c r="R502" s="8">
        <f t="shared" si="183"/>
        <v>7</v>
      </c>
      <c r="S502" s="8">
        <f t="shared" si="184"/>
        <v>0</v>
      </c>
      <c r="T502" s="8">
        <f t="shared" si="185"/>
        <v>0</v>
      </c>
      <c r="U502" s="8">
        <f t="shared" si="186"/>
        <v>0</v>
      </c>
      <c r="V502" s="8">
        <f t="shared" si="187"/>
        <v>0</v>
      </c>
      <c r="W502" s="8">
        <f t="shared" si="188"/>
        <v>-146</v>
      </c>
      <c r="X502" s="8">
        <f t="shared" si="189"/>
        <v>1912.25</v>
      </c>
      <c r="Y502" s="10">
        <v>383196</v>
      </c>
      <c r="Z502" s="10">
        <v>0</v>
      </c>
      <c r="AA502" s="10">
        <v>16035</v>
      </c>
      <c r="AB502" s="10">
        <v>66011</v>
      </c>
      <c r="AC502" s="10">
        <v>1795</v>
      </c>
      <c r="AD502" s="10">
        <v>0</v>
      </c>
      <c r="AE502" s="10">
        <v>14000</v>
      </c>
      <c r="AF502" s="10">
        <v>62964</v>
      </c>
      <c r="AG502" s="10">
        <v>7719</v>
      </c>
      <c r="AH502" s="10">
        <f t="shared" si="190"/>
        <v>11421.572999999975</v>
      </c>
      <c r="AI502" s="10">
        <v>563141.57299999997</v>
      </c>
      <c r="AJ502" s="10">
        <v>384846</v>
      </c>
      <c r="AK502" s="10">
        <v>0</v>
      </c>
      <c r="AL502" s="10">
        <v>16104</v>
      </c>
      <c r="AM502" s="10">
        <v>66343.25</v>
      </c>
      <c r="AN502" s="10">
        <v>1802</v>
      </c>
      <c r="AO502" s="10">
        <v>0</v>
      </c>
      <c r="AP502" s="10">
        <v>14000</v>
      </c>
      <c r="AQ502" s="10">
        <v>62964</v>
      </c>
      <c r="AR502" s="10">
        <v>7719</v>
      </c>
      <c r="AS502" s="10">
        <f t="shared" si="193"/>
        <v>11275.572999999975</v>
      </c>
      <c r="AT502" s="10">
        <v>565053.82299999997</v>
      </c>
      <c r="AU502" s="12">
        <v>0</v>
      </c>
      <c r="AV502" s="12">
        <v>0</v>
      </c>
      <c r="AW502" s="12">
        <v>1090.875</v>
      </c>
      <c r="AX502" s="12">
        <f t="shared" si="191"/>
        <v>1090.875</v>
      </c>
      <c r="AY502" s="12">
        <v>0</v>
      </c>
      <c r="AZ502" s="12">
        <v>0</v>
      </c>
      <c r="BA502" s="12">
        <v>2245.6750000000002</v>
      </c>
      <c r="BB502" s="12">
        <f t="shared" si="192"/>
        <v>2245.6750000000002</v>
      </c>
      <c r="BC502" s="12">
        <v>0</v>
      </c>
      <c r="BD502" s="12">
        <v>0</v>
      </c>
      <c r="BE502" s="12">
        <v>1154.7999999999993</v>
      </c>
      <c r="BF502" s="12">
        <v>1154.7999999999993</v>
      </c>
    </row>
    <row r="503" spans="1:58" x14ac:dyDescent="0.25">
      <c r="A503" s="7">
        <v>4173</v>
      </c>
      <c r="B503" s="7">
        <v>7</v>
      </c>
      <c r="C503" s="7" t="s">
        <v>504</v>
      </c>
      <c r="D503" s="4">
        <v>7</v>
      </c>
      <c r="E503" s="10">
        <v>0</v>
      </c>
      <c r="F503" s="8">
        <f t="shared" si="171"/>
        <v>546</v>
      </c>
      <c r="G503" s="8">
        <f t="shared" si="172"/>
        <v>0</v>
      </c>
      <c r="H503" s="8">
        <f t="shared" si="173"/>
        <v>0</v>
      </c>
      <c r="I503" s="8">
        <f t="shared" si="174"/>
        <v>0</v>
      </c>
      <c r="J503" s="8">
        <f t="shared" si="175"/>
        <v>546</v>
      </c>
      <c r="K503" s="8">
        <f t="shared" si="176"/>
        <v>30</v>
      </c>
      <c r="L503" s="8">
        <f t="shared" si="177"/>
        <v>576</v>
      </c>
      <c r="M503" s="8">
        <f t="shared" si="178"/>
        <v>0</v>
      </c>
      <c r="N503" s="8">
        <f t="shared" si="179"/>
        <v>0</v>
      </c>
      <c r="O503" s="8">
        <f t="shared" si="180"/>
        <v>546</v>
      </c>
      <c r="P503" s="8">
        <f t="shared" si="181"/>
        <v>0</v>
      </c>
      <c r="Q503" s="8">
        <f t="shared" si="182"/>
        <v>0</v>
      </c>
      <c r="R503" s="8">
        <f t="shared" si="183"/>
        <v>0</v>
      </c>
      <c r="S503" s="8">
        <f t="shared" si="184"/>
        <v>0</v>
      </c>
      <c r="T503" s="8">
        <f t="shared" si="185"/>
        <v>0</v>
      </c>
      <c r="U503" s="8">
        <f t="shared" si="186"/>
        <v>0</v>
      </c>
      <c r="V503" s="8">
        <f t="shared" si="187"/>
        <v>0</v>
      </c>
      <c r="W503" s="8">
        <f t="shared" si="188"/>
        <v>0</v>
      </c>
      <c r="X503" s="8">
        <f t="shared" si="189"/>
        <v>546</v>
      </c>
      <c r="Y503" s="10">
        <v>0</v>
      </c>
      <c r="Z503" s="10">
        <v>126803</v>
      </c>
      <c r="AA503" s="10">
        <v>0</v>
      </c>
      <c r="AB503" s="10">
        <v>0</v>
      </c>
      <c r="AC503" s="10">
        <v>0</v>
      </c>
      <c r="AD503" s="10">
        <v>0</v>
      </c>
      <c r="AE503" s="10">
        <v>0</v>
      </c>
      <c r="AF503" s="10">
        <v>0</v>
      </c>
      <c r="AG503" s="10">
        <v>0</v>
      </c>
      <c r="AH503" s="10">
        <f t="shared" si="190"/>
        <v>2039.25</v>
      </c>
      <c r="AI503" s="10">
        <v>128842.25</v>
      </c>
      <c r="AJ503" s="10">
        <v>0</v>
      </c>
      <c r="AK503" s="10">
        <v>127349</v>
      </c>
      <c r="AL503" s="10">
        <v>0</v>
      </c>
      <c r="AM503" s="10">
        <v>0</v>
      </c>
      <c r="AN503" s="10">
        <v>0</v>
      </c>
      <c r="AO503" s="10">
        <v>0</v>
      </c>
      <c r="AP503" s="10">
        <v>0</v>
      </c>
      <c r="AQ503" s="10">
        <v>0</v>
      </c>
      <c r="AR503" s="10">
        <v>0</v>
      </c>
      <c r="AS503" s="10">
        <f t="shared" si="193"/>
        <v>2039.25</v>
      </c>
      <c r="AT503" s="10">
        <v>129388.25</v>
      </c>
      <c r="AU503" s="12">
        <v>0</v>
      </c>
      <c r="AV503" s="12">
        <v>0</v>
      </c>
      <c r="AW503" s="12">
        <v>631</v>
      </c>
      <c r="AX503" s="12">
        <f t="shared" si="191"/>
        <v>631</v>
      </c>
      <c r="AY503" s="12">
        <v>0</v>
      </c>
      <c r="AZ503" s="12">
        <v>0</v>
      </c>
      <c r="BA503" s="12">
        <v>661</v>
      </c>
      <c r="BB503" s="12">
        <f t="shared" si="192"/>
        <v>661</v>
      </c>
      <c r="BC503" s="12">
        <v>0</v>
      </c>
      <c r="BD503" s="12">
        <v>0</v>
      </c>
      <c r="BE503" s="12">
        <v>30</v>
      </c>
      <c r="BF503" s="12">
        <v>30</v>
      </c>
    </row>
    <row r="504" spans="1:58" x14ac:dyDescent="0.25">
      <c r="A504" s="7">
        <v>4174</v>
      </c>
      <c r="B504" s="7">
        <v>7</v>
      </c>
      <c r="C504" s="7" t="s">
        <v>505</v>
      </c>
      <c r="D504" s="4">
        <v>7</v>
      </c>
      <c r="E504" s="10">
        <v>0</v>
      </c>
      <c r="F504" s="8">
        <f t="shared" si="171"/>
        <v>0</v>
      </c>
      <c r="G504" s="8">
        <f t="shared" si="172"/>
        <v>0</v>
      </c>
      <c r="H504" s="8">
        <f t="shared" si="173"/>
        <v>0</v>
      </c>
      <c r="I504" s="8">
        <f t="shared" si="174"/>
        <v>0</v>
      </c>
      <c r="J504" s="8">
        <f t="shared" si="175"/>
        <v>0</v>
      </c>
      <c r="K504" s="8">
        <f t="shared" si="176"/>
        <v>0</v>
      </c>
      <c r="L504" s="8">
        <f t="shared" si="177"/>
        <v>0</v>
      </c>
      <c r="M504" s="8">
        <f t="shared" si="178"/>
        <v>0</v>
      </c>
      <c r="N504" s="8">
        <f t="shared" si="179"/>
        <v>0</v>
      </c>
      <c r="O504" s="8">
        <f t="shared" si="180"/>
        <v>0</v>
      </c>
      <c r="P504" s="8">
        <f t="shared" si="181"/>
        <v>0</v>
      </c>
      <c r="Q504" s="8">
        <f t="shared" si="182"/>
        <v>0</v>
      </c>
      <c r="R504" s="8">
        <f t="shared" si="183"/>
        <v>0</v>
      </c>
      <c r="S504" s="8">
        <f t="shared" si="184"/>
        <v>0</v>
      </c>
      <c r="T504" s="8">
        <f t="shared" si="185"/>
        <v>0</v>
      </c>
      <c r="U504" s="8">
        <f t="shared" si="186"/>
        <v>0</v>
      </c>
      <c r="V504" s="8">
        <f t="shared" si="187"/>
        <v>0</v>
      </c>
      <c r="W504" s="8">
        <f t="shared" si="188"/>
        <v>0</v>
      </c>
      <c r="X504" s="8">
        <f t="shared" si="189"/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  <c r="AG504" s="10">
        <v>0</v>
      </c>
      <c r="AH504" s="10">
        <f t="shared" si="190"/>
        <v>0</v>
      </c>
      <c r="AI504" s="10">
        <v>0</v>
      </c>
      <c r="AJ504" s="10">
        <v>0</v>
      </c>
      <c r="AK504" s="10">
        <v>0</v>
      </c>
      <c r="AL504" s="10">
        <v>0</v>
      </c>
      <c r="AM504" s="10">
        <v>0</v>
      </c>
      <c r="AN504" s="10">
        <v>0</v>
      </c>
      <c r="AO504" s="10">
        <v>0</v>
      </c>
      <c r="AP504" s="10">
        <v>0</v>
      </c>
      <c r="AQ504" s="10">
        <v>0</v>
      </c>
      <c r="AR504" s="10">
        <v>0</v>
      </c>
      <c r="AS504" s="10">
        <f t="shared" si="193"/>
        <v>0</v>
      </c>
      <c r="AT504" s="10">
        <v>0</v>
      </c>
      <c r="AU504" s="12">
        <v>0</v>
      </c>
      <c r="AV504" s="12">
        <v>0</v>
      </c>
      <c r="AW504" s="12">
        <v>0</v>
      </c>
      <c r="AX504" s="12">
        <f t="shared" si="191"/>
        <v>0</v>
      </c>
      <c r="AY504" s="12">
        <v>0</v>
      </c>
      <c r="AZ504" s="12">
        <v>0</v>
      </c>
      <c r="BA504" s="12">
        <v>0</v>
      </c>
      <c r="BB504" s="12">
        <f t="shared" si="192"/>
        <v>0</v>
      </c>
      <c r="BC504" s="12">
        <v>0</v>
      </c>
      <c r="BD504" s="12">
        <v>0</v>
      </c>
      <c r="BE504" s="12">
        <v>0</v>
      </c>
      <c r="BF504" s="12">
        <v>0</v>
      </c>
    </row>
    <row r="505" spans="1:58" x14ac:dyDescent="0.25">
      <c r="A505" s="7">
        <v>4175</v>
      </c>
      <c r="B505" s="7">
        <v>7</v>
      </c>
      <c r="C505" s="7" t="s">
        <v>506</v>
      </c>
      <c r="D505" s="4">
        <v>7</v>
      </c>
      <c r="E505" s="10">
        <v>0</v>
      </c>
      <c r="F505" s="8">
        <f t="shared" si="171"/>
        <v>0</v>
      </c>
      <c r="G505" s="8">
        <f t="shared" si="172"/>
        <v>0</v>
      </c>
      <c r="H505" s="8">
        <f t="shared" si="173"/>
        <v>0</v>
      </c>
      <c r="I505" s="8">
        <f t="shared" si="174"/>
        <v>0</v>
      </c>
      <c r="J505" s="8">
        <f t="shared" si="175"/>
        <v>0</v>
      </c>
      <c r="K505" s="8">
        <f t="shared" si="176"/>
        <v>0</v>
      </c>
      <c r="L505" s="8">
        <f t="shared" si="177"/>
        <v>0</v>
      </c>
      <c r="M505" s="8">
        <f t="shared" si="178"/>
        <v>0</v>
      </c>
      <c r="N505" s="8">
        <f t="shared" si="179"/>
        <v>0</v>
      </c>
      <c r="O505" s="8">
        <f t="shared" si="180"/>
        <v>0</v>
      </c>
      <c r="P505" s="8">
        <f t="shared" si="181"/>
        <v>0</v>
      </c>
      <c r="Q505" s="8">
        <f t="shared" si="182"/>
        <v>0</v>
      </c>
      <c r="R505" s="8">
        <f t="shared" si="183"/>
        <v>0</v>
      </c>
      <c r="S505" s="8">
        <f t="shared" si="184"/>
        <v>0</v>
      </c>
      <c r="T505" s="8">
        <f t="shared" si="185"/>
        <v>0</v>
      </c>
      <c r="U505" s="8">
        <f t="shared" si="186"/>
        <v>0</v>
      </c>
      <c r="V505" s="8">
        <f t="shared" si="187"/>
        <v>0</v>
      </c>
      <c r="W505" s="8">
        <f t="shared" si="188"/>
        <v>0</v>
      </c>
      <c r="X505" s="8">
        <f t="shared" si="189"/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  <c r="AG505" s="10">
        <v>0</v>
      </c>
      <c r="AH505" s="10">
        <f t="shared" si="190"/>
        <v>0</v>
      </c>
      <c r="AI505" s="10">
        <v>0</v>
      </c>
      <c r="AJ505" s="10">
        <v>0</v>
      </c>
      <c r="AK505" s="10">
        <v>0</v>
      </c>
      <c r="AL505" s="10">
        <v>0</v>
      </c>
      <c r="AM505" s="10">
        <v>0</v>
      </c>
      <c r="AN505" s="10">
        <v>0</v>
      </c>
      <c r="AO505" s="10">
        <v>0</v>
      </c>
      <c r="AP505" s="10">
        <v>0</v>
      </c>
      <c r="AQ505" s="10">
        <v>0</v>
      </c>
      <c r="AR505" s="10">
        <v>0</v>
      </c>
      <c r="AS505" s="10">
        <f t="shared" si="193"/>
        <v>0</v>
      </c>
      <c r="AT505" s="10">
        <v>0</v>
      </c>
      <c r="AU505" s="12">
        <v>0</v>
      </c>
      <c r="AV505" s="12">
        <v>0</v>
      </c>
      <c r="AW505" s="12">
        <v>0</v>
      </c>
      <c r="AX505" s="12">
        <f t="shared" si="191"/>
        <v>0</v>
      </c>
      <c r="AY505" s="12">
        <v>0</v>
      </c>
      <c r="AZ505" s="12">
        <v>0</v>
      </c>
      <c r="BA505" s="12">
        <v>0</v>
      </c>
      <c r="BB505" s="12">
        <f t="shared" si="192"/>
        <v>0</v>
      </c>
      <c r="BC505" s="12">
        <v>0</v>
      </c>
      <c r="BD505" s="12">
        <v>0</v>
      </c>
      <c r="BE505" s="12">
        <v>0</v>
      </c>
      <c r="BF505" s="12">
        <v>0</v>
      </c>
    </row>
    <row r="506" spans="1:58" x14ac:dyDescent="0.25">
      <c r="A506" s="7">
        <v>4176</v>
      </c>
      <c r="B506" s="7">
        <v>7</v>
      </c>
      <c r="C506" s="7" t="s">
        <v>507</v>
      </c>
      <c r="D506" s="4">
        <v>7</v>
      </c>
      <c r="E506" s="10">
        <v>0</v>
      </c>
      <c r="F506" s="8">
        <f t="shared" si="171"/>
        <v>0</v>
      </c>
      <c r="G506" s="8">
        <f t="shared" si="172"/>
        <v>0</v>
      </c>
      <c r="H506" s="8">
        <f t="shared" si="173"/>
        <v>0</v>
      </c>
      <c r="I506" s="8">
        <f t="shared" si="174"/>
        <v>0</v>
      </c>
      <c r="J506" s="8">
        <f t="shared" si="175"/>
        <v>0</v>
      </c>
      <c r="K506" s="8">
        <f t="shared" si="176"/>
        <v>0</v>
      </c>
      <c r="L506" s="8">
        <f t="shared" si="177"/>
        <v>0</v>
      </c>
      <c r="M506" s="8">
        <f t="shared" si="178"/>
        <v>0</v>
      </c>
      <c r="N506" s="8">
        <f t="shared" si="179"/>
        <v>0</v>
      </c>
      <c r="O506" s="8">
        <f t="shared" si="180"/>
        <v>0</v>
      </c>
      <c r="P506" s="8">
        <f t="shared" si="181"/>
        <v>0</v>
      </c>
      <c r="Q506" s="8">
        <f t="shared" si="182"/>
        <v>0</v>
      </c>
      <c r="R506" s="8">
        <f t="shared" si="183"/>
        <v>0</v>
      </c>
      <c r="S506" s="8">
        <f t="shared" si="184"/>
        <v>0</v>
      </c>
      <c r="T506" s="8">
        <f t="shared" si="185"/>
        <v>0</v>
      </c>
      <c r="U506" s="8">
        <f t="shared" si="186"/>
        <v>0</v>
      </c>
      <c r="V506" s="8">
        <f t="shared" si="187"/>
        <v>0</v>
      </c>
      <c r="W506" s="8">
        <f t="shared" si="188"/>
        <v>0</v>
      </c>
      <c r="X506" s="8">
        <f t="shared" si="189"/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0</v>
      </c>
      <c r="AF506" s="10">
        <v>0</v>
      </c>
      <c r="AG506" s="10">
        <v>0</v>
      </c>
      <c r="AH506" s="10">
        <f t="shared" si="190"/>
        <v>0</v>
      </c>
      <c r="AI506" s="10">
        <v>0</v>
      </c>
      <c r="AJ506" s="10">
        <v>0</v>
      </c>
      <c r="AK506" s="10">
        <v>0</v>
      </c>
      <c r="AL506" s="10">
        <v>0</v>
      </c>
      <c r="AM506" s="10">
        <v>0</v>
      </c>
      <c r="AN506" s="10">
        <v>0</v>
      </c>
      <c r="AO506" s="10">
        <v>0</v>
      </c>
      <c r="AP506" s="10">
        <v>0</v>
      </c>
      <c r="AQ506" s="10">
        <v>0</v>
      </c>
      <c r="AR506" s="10">
        <v>0</v>
      </c>
      <c r="AS506" s="10">
        <f t="shared" si="193"/>
        <v>0</v>
      </c>
      <c r="AT506" s="10">
        <v>0</v>
      </c>
      <c r="AU506" s="12">
        <v>0</v>
      </c>
      <c r="AV506" s="12">
        <v>0</v>
      </c>
      <c r="AW506" s="12">
        <v>0</v>
      </c>
      <c r="AX506" s="12">
        <f t="shared" si="191"/>
        <v>0</v>
      </c>
      <c r="AY506" s="12">
        <v>0</v>
      </c>
      <c r="AZ506" s="12">
        <v>0</v>
      </c>
      <c r="BA506" s="12">
        <v>0</v>
      </c>
      <c r="BB506" s="12">
        <f t="shared" si="192"/>
        <v>0</v>
      </c>
      <c r="BC506" s="12">
        <v>0</v>
      </c>
      <c r="BD506" s="12">
        <v>0</v>
      </c>
      <c r="BE506" s="12">
        <v>0</v>
      </c>
      <c r="BF506" s="12">
        <v>0</v>
      </c>
    </row>
    <row r="507" spans="1:58" x14ac:dyDescent="0.25">
      <c r="A507" s="7">
        <v>4177</v>
      </c>
      <c r="B507" s="7">
        <v>7</v>
      </c>
      <c r="C507" s="7" t="s">
        <v>508</v>
      </c>
      <c r="D507" s="4">
        <v>7</v>
      </c>
      <c r="E507" s="10">
        <v>52</v>
      </c>
      <c r="F507" s="8">
        <f t="shared" si="171"/>
        <v>2030</v>
      </c>
      <c r="G507" s="8">
        <f t="shared" si="172"/>
        <v>1932.8000000000002</v>
      </c>
      <c r="H507" s="8">
        <f t="shared" si="173"/>
        <v>0</v>
      </c>
      <c r="I507" s="8">
        <f t="shared" si="174"/>
        <v>0.99999999998817657</v>
      </c>
      <c r="J507" s="8">
        <f t="shared" si="175"/>
        <v>3963.7999999999884</v>
      </c>
      <c r="K507" s="8">
        <f t="shared" si="176"/>
        <v>0</v>
      </c>
      <c r="L507" s="8">
        <f t="shared" si="177"/>
        <v>3963.7999999999884</v>
      </c>
      <c r="M507" s="8">
        <f t="shared" si="178"/>
        <v>76.226923076922859</v>
      </c>
      <c r="N507" s="8">
        <f t="shared" si="179"/>
        <v>1375</v>
      </c>
      <c r="O507" s="8">
        <f t="shared" si="180"/>
        <v>0</v>
      </c>
      <c r="P507" s="8">
        <f t="shared" si="181"/>
        <v>110</v>
      </c>
      <c r="Q507" s="8">
        <f t="shared" si="182"/>
        <v>540</v>
      </c>
      <c r="R507" s="8">
        <f t="shared" si="183"/>
        <v>5</v>
      </c>
      <c r="S507" s="8">
        <f t="shared" si="184"/>
        <v>0</v>
      </c>
      <c r="T507" s="8">
        <f t="shared" si="185"/>
        <v>1932.8000000000002</v>
      </c>
      <c r="U507" s="8">
        <f t="shared" si="186"/>
        <v>0</v>
      </c>
      <c r="V507" s="8">
        <f t="shared" si="187"/>
        <v>1</v>
      </c>
      <c r="W507" s="8">
        <f t="shared" si="188"/>
        <v>0</v>
      </c>
      <c r="X507" s="8">
        <f t="shared" si="189"/>
        <v>3963.7999999999884</v>
      </c>
      <c r="Y507" s="10">
        <v>319330</v>
      </c>
      <c r="Z507" s="10">
        <v>0</v>
      </c>
      <c r="AA507" s="10">
        <v>25628</v>
      </c>
      <c r="AB507" s="10">
        <v>107287</v>
      </c>
      <c r="AC507" s="10">
        <v>1496</v>
      </c>
      <c r="AD507" s="10">
        <v>0</v>
      </c>
      <c r="AE507" s="10">
        <v>0</v>
      </c>
      <c r="AF507" s="10">
        <v>0</v>
      </c>
      <c r="AG507" s="10">
        <v>6432</v>
      </c>
      <c r="AH507" s="10">
        <f t="shared" si="190"/>
        <v>15929.270000000019</v>
      </c>
      <c r="AI507" s="10">
        <v>476102.27</v>
      </c>
      <c r="AJ507" s="10">
        <v>320705</v>
      </c>
      <c r="AK507" s="10">
        <v>0</v>
      </c>
      <c r="AL507" s="10">
        <v>25738</v>
      </c>
      <c r="AM507" s="10">
        <v>107827</v>
      </c>
      <c r="AN507" s="10">
        <v>1501</v>
      </c>
      <c r="AO507" s="10">
        <v>0</v>
      </c>
      <c r="AP507" s="10">
        <v>1932.8000000000002</v>
      </c>
      <c r="AQ507" s="10">
        <v>0</v>
      </c>
      <c r="AR507" s="10">
        <v>6433</v>
      </c>
      <c r="AS507" s="10">
        <f t="shared" si="193"/>
        <v>15929.270000000019</v>
      </c>
      <c r="AT507" s="10">
        <v>480066.07</v>
      </c>
      <c r="AU507" s="12">
        <v>0</v>
      </c>
      <c r="AV507" s="12">
        <v>0</v>
      </c>
      <c r="AW507" s="12">
        <v>108</v>
      </c>
      <c r="AX507" s="12">
        <f t="shared" si="191"/>
        <v>108</v>
      </c>
      <c r="AY507" s="12">
        <v>0</v>
      </c>
      <c r="AZ507" s="12">
        <v>0</v>
      </c>
      <c r="BA507" s="12">
        <v>108</v>
      </c>
      <c r="BB507" s="12">
        <f t="shared" si="192"/>
        <v>108</v>
      </c>
      <c r="BC507" s="12">
        <v>0</v>
      </c>
      <c r="BD507" s="12">
        <v>0</v>
      </c>
      <c r="BE507" s="12">
        <v>0</v>
      </c>
      <c r="BF507" s="12">
        <v>0</v>
      </c>
    </row>
    <row r="508" spans="1:58" x14ac:dyDescent="0.25">
      <c r="A508" s="7">
        <v>4178</v>
      </c>
      <c r="B508" s="7">
        <v>7</v>
      </c>
      <c r="C508" s="7" t="s">
        <v>509</v>
      </c>
      <c r="D508" s="4">
        <v>7</v>
      </c>
      <c r="E508" s="10">
        <v>150</v>
      </c>
      <c r="F508" s="8">
        <f t="shared" si="171"/>
        <v>6649</v>
      </c>
      <c r="G508" s="8">
        <f t="shared" si="172"/>
        <v>3865.6000000000004</v>
      </c>
      <c r="H508" s="8">
        <f t="shared" si="173"/>
        <v>12965</v>
      </c>
      <c r="I508" s="8">
        <f t="shared" si="174"/>
        <v>9.276845958083868E-11</v>
      </c>
      <c r="J508" s="8">
        <f t="shared" si="175"/>
        <v>23479.600000000093</v>
      </c>
      <c r="K508" s="8">
        <f t="shared" si="176"/>
        <v>39.599999999998545</v>
      </c>
      <c r="L508" s="8">
        <f t="shared" si="177"/>
        <v>23519.200000000092</v>
      </c>
      <c r="M508" s="8">
        <f t="shared" si="178"/>
        <v>156.53066666666729</v>
      </c>
      <c r="N508" s="8">
        <f t="shared" si="179"/>
        <v>4500</v>
      </c>
      <c r="O508" s="8">
        <f t="shared" si="180"/>
        <v>0</v>
      </c>
      <c r="P508" s="8">
        <f t="shared" si="181"/>
        <v>0</v>
      </c>
      <c r="Q508" s="8">
        <f t="shared" si="182"/>
        <v>2130</v>
      </c>
      <c r="R508" s="8">
        <f t="shared" si="183"/>
        <v>19</v>
      </c>
      <c r="S508" s="8">
        <f t="shared" si="184"/>
        <v>0</v>
      </c>
      <c r="T508" s="8">
        <f t="shared" si="185"/>
        <v>3865.6000000000004</v>
      </c>
      <c r="U508" s="8">
        <f t="shared" si="186"/>
        <v>12965</v>
      </c>
      <c r="V508" s="8">
        <f t="shared" si="187"/>
        <v>0</v>
      </c>
      <c r="W508" s="8">
        <f t="shared" si="188"/>
        <v>0</v>
      </c>
      <c r="X508" s="8">
        <f t="shared" si="189"/>
        <v>23479.600000000093</v>
      </c>
      <c r="Y508" s="10">
        <v>1045080</v>
      </c>
      <c r="Z508" s="10">
        <v>0</v>
      </c>
      <c r="AA508" s="10">
        <v>47</v>
      </c>
      <c r="AB508" s="10">
        <v>423188</v>
      </c>
      <c r="AC508" s="10">
        <v>4895</v>
      </c>
      <c r="AD508" s="10">
        <v>0</v>
      </c>
      <c r="AE508" s="10">
        <v>0</v>
      </c>
      <c r="AF508" s="10">
        <v>114480</v>
      </c>
      <c r="AG508" s="10">
        <v>21052</v>
      </c>
      <c r="AH508" s="10">
        <f t="shared" si="190"/>
        <v>53764.860000000102</v>
      </c>
      <c r="AI508" s="10">
        <v>1662506.86</v>
      </c>
      <c r="AJ508" s="10">
        <v>1049580</v>
      </c>
      <c r="AK508" s="10">
        <v>0</v>
      </c>
      <c r="AL508" s="10">
        <v>47</v>
      </c>
      <c r="AM508" s="10">
        <v>425318</v>
      </c>
      <c r="AN508" s="10">
        <v>4914</v>
      </c>
      <c r="AO508" s="10">
        <v>0</v>
      </c>
      <c r="AP508" s="10">
        <v>3865.6000000000004</v>
      </c>
      <c r="AQ508" s="10">
        <v>127445</v>
      </c>
      <c r="AR508" s="10">
        <v>21052</v>
      </c>
      <c r="AS508" s="10">
        <f t="shared" si="193"/>
        <v>53764.860000000102</v>
      </c>
      <c r="AT508" s="10">
        <v>1685986.4600000002</v>
      </c>
      <c r="AU508" s="12">
        <v>0</v>
      </c>
      <c r="AV508" s="12">
        <v>0</v>
      </c>
      <c r="AW508" s="12">
        <v>2307.375</v>
      </c>
      <c r="AX508" s="12">
        <f t="shared" si="191"/>
        <v>2307.375</v>
      </c>
      <c r="AY508" s="12">
        <v>0</v>
      </c>
      <c r="AZ508" s="12">
        <v>0</v>
      </c>
      <c r="BA508" s="12">
        <v>2346.9749999999999</v>
      </c>
      <c r="BB508" s="12">
        <f t="shared" si="192"/>
        <v>2346.9749999999999</v>
      </c>
      <c r="BC508" s="12">
        <v>0</v>
      </c>
      <c r="BD508" s="12">
        <v>0</v>
      </c>
      <c r="BE508" s="12">
        <v>39.599999999998545</v>
      </c>
      <c r="BF508" s="12">
        <v>39.599999999998545</v>
      </c>
    </row>
    <row r="509" spans="1:58" x14ac:dyDescent="0.25">
      <c r="A509" s="7">
        <v>4180</v>
      </c>
      <c r="B509" s="7">
        <v>7</v>
      </c>
      <c r="C509" s="7" t="s">
        <v>510</v>
      </c>
      <c r="D509" s="4">
        <v>7</v>
      </c>
      <c r="E509" s="10">
        <v>0</v>
      </c>
      <c r="F509" s="8">
        <f t="shared" si="171"/>
        <v>0</v>
      </c>
      <c r="G509" s="8">
        <f t="shared" si="172"/>
        <v>0</v>
      </c>
      <c r="H509" s="8">
        <f t="shared" si="173"/>
        <v>0</v>
      </c>
      <c r="I509" s="8">
        <f t="shared" si="174"/>
        <v>0</v>
      </c>
      <c r="J509" s="8">
        <f t="shared" si="175"/>
        <v>0</v>
      </c>
      <c r="K509" s="8">
        <f t="shared" si="176"/>
        <v>234.40000000000146</v>
      </c>
      <c r="L509" s="8">
        <f t="shared" si="177"/>
        <v>234.40000000000146</v>
      </c>
      <c r="M509" s="8">
        <f t="shared" si="178"/>
        <v>0</v>
      </c>
      <c r="N509" s="8">
        <f t="shared" si="179"/>
        <v>0</v>
      </c>
      <c r="O509" s="8">
        <f t="shared" si="180"/>
        <v>0</v>
      </c>
      <c r="P509" s="8">
        <f t="shared" si="181"/>
        <v>0</v>
      </c>
      <c r="Q509" s="8">
        <f t="shared" si="182"/>
        <v>0</v>
      </c>
      <c r="R509" s="8">
        <f t="shared" si="183"/>
        <v>0</v>
      </c>
      <c r="S509" s="8">
        <f t="shared" si="184"/>
        <v>0</v>
      </c>
      <c r="T509" s="8">
        <f t="shared" si="185"/>
        <v>0</v>
      </c>
      <c r="U509" s="8">
        <f t="shared" si="186"/>
        <v>0</v>
      </c>
      <c r="V509" s="8">
        <f t="shared" si="187"/>
        <v>0</v>
      </c>
      <c r="W509" s="8">
        <f t="shared" si="188"/>
        <v>0</v>
      </c>
      <c r="X509" s="8">
        <f t="shared" si="189"/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  <c r="AG509" s="10">
        <v>0</v>
      </c>
      <c r="AH509" s="10">
        <f t="shared" si="190"/>
        <v>0</v>
      </c>
      <c r="AI509" s="10">
        <v>0</v>
      </c>
      <c r="AJ509" s="10">
        <v>0</v>
      </c>
      <c r="AK509" s="10">
        <v>0</v>
      </c>
      <c r="AL509" s="10">
        <v>0</v>
      </c>
      <c r="AM509" s="10">
        <v>0</v>
      </c>
      <c r="AN509" s="10">
        <v>0</v>
      </c>
      <c r="AO509" s="10">
        <v>0</v>
      </c>
      <c r="AP509" s="10">
        <v>0</v>
      </c>
      <c r="AQ509" s="10">
        <v>0</v>
      </c>
      <c r="AR509" s="10">
        <v>0</v>
      </c>
      <c r="AS509" s="10">
        <f t="shared" si="193"/>
        <v>0</v>
      </c>
      <c r="AT509" s="10">
        <v>0</v>
      </c>
      <c r="AU509" s="12">
        <v>0</v>
      </c>
      <c r="AV509" s="12">
        <v>0</v>
      </c>
      <c r="AW509" s="12">
        <v>5423.875</v>
      </c>
      <c r="AX509" s="12">
        <f t="shared" si="191"/>
        <v>5423.875</v>
      </c>
      <c r="AY509" s="12">
        <v>0</v>
      </c>
      <c r="AZ509" s="12">
        <v>0</v>
      </c>
      <c r="BA509" s="12">
        <v>5658.2749999999996</v>
      </c>
      <c r="BB509" s="12">
        <f t="shared" si="192"/>
        <v>5658.2749999999996</v>
      </c>
      <c r="BC509" s="12">
        <v>0</v>
      </c>
      <c r="BD509" s="12">
        <v>0</v>
      </c>
      <c r="BE509" s="12">
        <v>234.40000000000146</v>
      </c>
      <c r="BF509" s="12">
        <v>234.40000000000146</v>
      </c>
    </row>
    <row r="510" spans="1:58" x14ac:dyDescent="0.25">
      <c r="A510" s="7">
        <v>4181</v>
      </c>
      <c r="B510" s="7">
        <v>7</v>
      </c>
      <c r="C510" s="7" t="s">
        <v>511</v>
      </c>
      <c r="D510" s="4">
        <v>7</v>
      </c>
      <c r="E510" s="10">
        <v>973</v>
      </c>
      <c r="F510" s="8">
        <f t="shared" si="171"/>
        <v>36298.5</v>
      </c>
      <c r="G510" s="8">
        <f t="shared" si="172"/>
        <v>0</v>
      </c>
      <c r="H510" s="8">
        <f t="shared" si="173"/>
        <v>6468</v>
      </c>
      <c r="I510" s="8">
        <f t="shared" si="174"/>
        <v>5</v>
      </c>
      <c r="J510" s="8">
        <f t="shared" si="175"/>
        <v>42771.5</v>
      </c>
      <c r="K510" s="8">
        <f t="shared" si="176"/>
        <v>5256.7999999999884</v>
      </c>
      <c r="L510" s="8">
        <f t="shared" si="177"/>
        <v>48028.299999999988</v>
      </c>
      <c r="M510" s="8">
        <f t="shared" si="178"/>
        <v>43.958376156217881</v>
      </c>
      <c r="N510" s="8">
        <f t="shared" si="179"/>
        <v>23627</v>
      </c>
      <c r="O510" s="8">
        <f t="shared" si="180"/>
        <v>24</v>
      </c>
      <c r="P510" s="8">
        <f t="shared" si="181"/>
        <v>1</v>
      </c>
      <c r="Q510" s="8">
        <f t="shared" si="182"/>
        <v>12547.5</v>
      </c>
      <c r="R510" s="8">
        <f t="shared" si="183"/>
        <v>99</v>
      </c>
      <c r="S510" s="8">
        <f t="shared" si="184"/>
        <v>0</v>
      </c>
      <c r="T510" s="8">
        <f t="shared" si="185"/>
        <v>0</v>
      </c>
      <c r="U510" s="8">
        <f t="shared" si="186"/>
        <v>6468</v>
      </c>
      <c r="V510" s="8">
        <f t="shared" si="187"/>
        <v>5</v>
      </c>
      <c r="W510" s="8">
        <f t="shared" si="188"/>
        <v>0</v>
      </c>
      <c r="X510" s="8">
        <f t="shared" si="189"/>
        <v>42771.5</v>
      </c>
      <c r="Y510" s="10">
        <v>5487251</v>
      </c>
      <c r="Z510" s="10">
        <v>5527</v>
      </c>
      <c r="AA510" s="10">
        <v>244</v>
      </c>
      <c r="AB510" s="10">
        <v>2492937</v>
      </c>
      <c r="AC510" s="10">
        <v>25701</v>
      </c>
      <c r="AD510" s="10">
        <v>0</v>
      </c>
      <c r="AE510" s="10">
        <v>243750</v>
      </c>
      <c r="AF510" s="10">
        <v>693558</v>
      </c>
      <c r="AG510" s="10">
        <v>110532</v>
      </c>
      <c r="AH510" s="10">
        <f t="shared" si="190"/>
        <v>471690.51593000069</v>
      </c>
      <c r="AI510" s="10">
        <v>9531190.5159300007</v>
      </c>
      <c r="AJ510" s="10">
        <v>5510878</v>
      </c>
      <c r="AK510" s="10">
        <v>5551</v>
      </c>
      <c r="AL510" s="10">
        <v>245</v>
      </c>
      <c r="AM510" s="10">
        <v>2505484.5</v>
      </c>
      <c r="AN510" s="10">
        <v>25800</v>
      </c>
      <c r="AO510" s="10">
        <v>0</v>
      </c>
      <c r="AP510" s="10">
        <v>243750</v>
      </c>
      <c r="AQ510" s="10">
        <v>700026</v>
      </c>
      <c r="AR510" s="10">
        <v>110537</v>
      </c>
      <c r="AS510" s="10">
        <f t="shared" si="193"/>
        <v>471690.51593000069</v>
      </c>
      <c r="AT510" s="10">
        <v>9573962.0159300007</v>
      </c>
      <c r="AU510" s="12">
        <v>0</v>
      </c>
      <c r="AV510" s="12">
        <v>0</v>
      </c>
      <c r="AW510" s="12">
        <v>19399.25</v>
      </c>
      <c r="AX510" s="12">
        <f t="shared" si="191"/>
        <v>19399.25</v>
      </c>
      <c r="AY510" s="12">
        <v>0</v>
      </c>
      <c r="AZ510" s="12">
        <v>0</v>
      </c>
      <c r="BA510" s="12">
        <v>24656.05</v>
      </c>
      <c r="BB510" s="12">
        <f t="shared" si="192"/>
        <v>24656.05</v>
      </c>
      <c r="BC510" s="12">
        <v>0</v>
      </c>
      <c r="BD510" s="12">
        <v>0</v>
      </c>
      <c r="BE510" s="12">
        <v>5256.7999999999884</v>
      </c>
      <c r="BF510" s="12">
        <v>5256.7999999999884</v>
      </c>
    </row>
    <row r="511" spans="1:58" x14ac:dyDescent="0.25">
      <c r="A511" s="7">
        <v>4182</v>
      </c>
      <c r="B511" s="7">
        <v>7</v>
      </c>
      <c r="C511" s="7" t="s">
        <v>512</v>
      </c>
      <c r="D511" s="4">
        <v>7</v>
      </c>
      <c r="E511" s="10">
        <v>0</v>
      </c>
      <c r="F511" s="8">
        <f t="shared" si="171"/>
        <v>0</v>
      </c>
      <c r="G511" s="8">
        <f t="shared" si="172"/>
        <v>0</v>
      </c>
      <c r="H511" s="8">
        <f t="shared" si="173"/>
        <v>0</v>
      </c>
      <c r="I511" s="8">
        <f t="shared" si="174"/>
        <v>0</v>
      </c>
      <c r="J511" s="8">
        <f t="shared" si="175"/>
        <v>0</v>
      </c>
      <c r="K511" s="8">
        <f t="shared" si="176"/>
        <v>60</v>
      </c>
      <c r="L511" s="8">
        <f t="shared" si="177"/>
        <v>60</v>
      </c>
      <c r="M511" s="8">
        <f t="shared" si="178"/>
        <v>0</v>
      </c>
      <c r="N511" s="8">
        <f t="shared" si="179"/>
        <v>0</v>
      </c>
      <c r="O511" s="8">
        <f t="shared" si="180"/>
        <v>0</v>
      </c>
      <c r="P511" s="8">
        <f t="shared" si="181"/>
        <v>0</v>
      </c>
      <c r="Q511" s="8">
        <f t="shared" si="182"/>
        <v>0</v>
      </c>
      <c r="R511" s="8">
        <f t="shared" si="183"/>
        <v>0</v>
      </c>
      <c r="S511" s="8">
        <f t="shared" si="184"/>
        <v>0</v>
      </c>
      <c r="T511" s="8">
        <f t="shared" si="185"/>
        <v>0</v>
      </c>
      <c r="U511" s="8">
        <f t="shared" si="186"/>
        <v>0</v>
      </c>
      <c r="V511" s="8">
        <f t="shared" si="187"/>
        <v>0</v>
      </c>
      <c r="W511" s="8">
        <f t="shared" si="188"/>
        <v>0</v>
      </c>
      <c r="X511" s="8">
        <f t="shared" si="189"/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  <c r="AG511" s="10">
        <v>0</v>
      </c>
      <c r="AH511" s="10">
        <f t="shared" si="190"/>
        <v>0</v>
      </c>
      <c r="AI511" s="10">
        <v>0</v>
      </c>
      <c r="AJ511" s="10">
        <v>0</v>
      </c>
      <c r="AK511" s="10">
        <v>0</v>
      </c>
      <c r="AL511" s="10">
        <v>0</v>
      </c>
      <c r="AM511" s="10">
        <v>0</v>
      </c>
      <c r="AN511" s="10">
        <v>0</v>
      </c>
      <c r="AO511" s="10">
        <v>0</v>
      </c>
      <c r="AP511" s="10">
        <v>0</v>
      </c>
      <c r="AQ511" s="10">
        <v>0</v>
      </c>
      <c r="AR511" s="10">
        <v>0</v>
      </c>
      <c r="AS511" s="10">
        <f t="shared" si="193"/>
        <v>0</v>
      </c>
      <c r="AT511" s="10">
        <v>0</v>
      </c>
      <c r="AU511" s="12">
        <v>0</v>
      </c>
      <c r="AV511" s="12">
        <v>0</v>
      </c>
      <c r="AW511" s="12">
        <v>237.75</v>
      </c>
      <c r="AX511" s="12">
        <f t="shared" si="191"/>
        <v>237.75</v>
      </c>
      <c r="AY511" s="12">
        <v>0</v>
      </c>
      <c r="AZ511" s="12">
        <v>0</v>
      </c>
      <c r="BA511" s="12">
        <v>297.75</v>
      </c>
      <c r="BB511" s="12">
        <f t="shared" si="192"/>
        <v>297.75</v>
      </c>
      <c r="BC511" s="12">
        <v>0</v>
      </c>
      <c r="BD511" s="12">
        <v>0</v>
      </c>
      <c r="BE511" s="12">
        <v>60</v>
      </c>
      <c r="BF511" s="12">
        <v>60</v>
      </c>
    </row>
    <row r="512" spans="1:58" x14ac:dyDescent="0.25">
      <c r="A512" s="7">
        <v>4183</v>
      </c>
      <c r="B512" s="7">
        <v>7</v>
      </c>
      <c r="C512" s="7" t="s">
        <v>513</v>
      </c>
      <c r="D512" s="4">
        <v>7</v>
      </c>
      <c r="E512" s="10">
        <v>149</v>
      </c>
      <c r="F512" s="8">
        <f t="shared" si="171"/>
        <v>4698.25</v>
      </c>
      <c r="G512" s="8">
        <f t="shared" si="172"/>
        <v>16042.240000000002</v>
      </c>
      <c r="H512" s="8">
        <f t="shared" si="173"/>
        <v>0</v>
      </c>
      <c r="I512" s="8">
        <f t="shared" si="174"/>
        <v>0.99999999998908606</v>
      </c>
      <c r="J512" s="8">
        <f t="shared" si="175"/>
        <v>20741.489999999991</v>
      </c>
      <c r="K512" s="8">
        <f t="shared" si="176"/>
        <v>261.20000000000073</v>
      </c>
      <c r="L512" s="8">
        <f t="shared" si="177"/>
        <v>21002.689999999991</v>
      </c>
      <c r="M512" s="8">
        <f t="shared" si="178"/>
        <v>139.20463087248316</v>
      </c>
      <c r="N512" s="8">
        <f t="shared" si="179"/>
        <v>4470</v>
      </c>
      <c r="O512" s="8">
        <f t="shared" si="180"/>
        <v>101</v>
      </c>
      <c r="P512" s="8">
        <f t="shared" si="181"/>
        <v>0</v>
      </c>
      <c r="Q512" s="8">
        <f t="shared" si="182"/>
        <v>108.25</v>
      </c>
      <c r="R512" s="8">
        <f t="shared" si="183"/>
        <v>19</v>
      </c>
      <c r="S512" s="8">
        <f t="shared" si="184"/>
        <v>0</v>
      </c>
      <c r="T512" s="8">
        <f t="shared" si="185"/>
        <v>16042.240000000002</v>
      </c>
      <c r="U512" s="8">
        <f t="shared" si="186"/>
        <v>0</v>
      </c>
      <c r="V512" s="8">
        <f t="shared" si="187"/>
        <v>1</v>
      </c>
      <c r="W512" s="8">
        <f t="shared" si="188"/>
        <v>0</v>
      </c>
      <c r="X512" s="8">
        <f t="shared" si="189"/>
        <v>20741.489999999991</v>
      </c>
      <c r="Y512" s="10">
        <v>1038113</v>
      </c>
      <c r="Z512" s="10">
        <v>23410</v>
      </c>
      <c r="AA512" s="10">
        <v>46</v>
      </c>
      <c r="AB512" s="10">
        <v>21507</v>
      </c>
      <c r="AC512" s="10">
        <v>4862</v>
      </c>
      <c r="AD512" s="10">
        <v>0</v>
      </c>
      <c r="AE512" s="10">
        <v>0</v>
      </c>
      <c r="AF512" s="10">
        <v>0</v>
      </c>
      <c r="AG512" s="10">
        <v>20911</v>
      </c>
      <c r="AH512" s="10">
        <f t="shared" si="190"/>
        <v>61859.902000000002</v>
      </c>
      <c r="AI512" s="10">
        <v>1170708.902</v>
      </c>
      <c r="AJ512" s="10">
        <v>1042583</v>
      </c>
      <c r="AK512" s="10">
        <v>23511</v>
      </c>
      <c r="AL512" s="10">
        <v>46</v>
      </c>
      <c r="AM512" s="10">
        <v>21615.25</v>
      </c>
      <c r="AN512" s="10">
        <v>4881</v>
      </c>
      <c r="AO512" s="10">
        <v>0</v>
      </c>
      <c r="AP512" s="10">
        <v>16042.240000000002</v>
      </c>
      <c r="AQ512" s="10">
        <v>0</v>
      </c>
      <c r="AR512" s="10">
        <v>20912</v>
      </c>
      <c r="AS512" s="10">
        <f t="shared" si="193"/>
        <v>61859.902000000002</v>
      </c>
      <c r="AT512" s="10">
        <v>1191450.392</v>
      </c>
      <c r="AU512" s="12">
        <v>0</v>
      </c>
      <c r="AV512" s="12">
        <v>0</v>
      </c>
      <c r="AW512" s="12">
        <v>1282.625</v>
      </c>
      <c r="AX512" s="12">
        <f t="shared" si="191"/>
        <v>1282.625</v>
      </c>
      <c r="AY512" s="12">
        <v>0</v>
      </c>
      <c r="AZ512" s="12">
        <v>0</v>
      </c>
      <c r="BA512" s="12">
        <v>1543.825</v>
      </c>
      <c r="BB512" s="12">
        <f t="shared" si="192"/>
        <v>1543.825</v>
      </c>
      <c r="BC512" s="12">
        <v>0</v>
      </c>
      <c r="BD512" s="12">
        <v>0</v>
      </c>
      <c r="BE512" s="12">
        <v>261.20000000000073</v>
      </c>
      <c r="BF512" s="12">
        <v>261.20000000000073</v>
      </c>
    </row>
    <row r="513" spans="1:58" x14ac:dyDescent="0.25">
      <c r="A513" s="7">
        <v>4184</v>
      </c>
      <c r="B513" s="7">
        <v>7</v>
      </c>
      <c r="C513" s="7" t="s">
        <v>514</v>
      </c>
      <c r="D513" s="4">
        <v>7</v>
      </c>
      <c r="E513" s="10">
        <v>702</v>
      </c>
      <c r="F513" s="8">
        <f t="shared" si="171"/>
        <v>18356.75</v>
      </c>
      <c r="G513" s="8">
        <f t="shared" si="172"/>
        <v>12306.5</v>
      </c>
      <c r="H513" s="8">
        <f t="shared" si="173"/>
        <v>0</v>
      </c>
      <c r="I513" s="8">
        <f t="shared" si="174"/>
        <v>3</v>
      </c>
      <c r="J513" s="8">
        <f t="shared" si="175"/>
        <v>30666.25</v>
      </c>
      <c r="K513" s="8">
        <f t="shared" si="176"/>
        <v>788.79999999999927</v>
      </c>
      <c r="L513" s="8">
        <f t="shared" si="177"/>
        <v>31455.05</v>
      </c>
      <c r="M513" s="8">
        <f t="shared" si="178"/>
        <v>43.684116809116809</v>
      </c>
      <c r="N513" s="8">
        <f t="shared" si="179"/>
        <v>18200</v>
      </c>
      <c r="O513" s="8">
        <f t="shared" si="180"/>
        <v>0</v>
      </c>
      <c r="P513" s="8">
        <f t="shared" si="181"/>
        <v>16</v>
      </c>
      <c r="Q513" s="8">
        <f t="shared" si="182"/>
        <v>63.75</v>
      </c>
      <c r="R513" s="8">
        <f t="shared" si="183"/>
        <v>77</v>
      </c>
      <c r="S513" s="8">
        <f t="shared" si="184"/>
        <v>0</v>
      </c>
      <c r="T513" s="8">
        <f t="shared" si="185"/>
        <v>12306.5</v>
      </c>
      <c r="U513" s="8">
        <f t="shared" si="186"/>
        <v>0</v>
      </c>
      <c r="V513" s="8">
        <f t="shared" si="187"/>
        <v>3</v>
      </c>
      <c r="W513" s="8">
        <f t="shared" si="188"/>
        <v>0</v>
      </c>
      <c r="X513" s="8">
        <f t="shared" si="189"/>
        <v>30666.25</v>
      </c>
      <c r="Y513" s="10">
        <v>4226768</v>
      </c>
      <c r="Z513" s="10">
        <v>0</v>
      </c>
      <c r="AA513" s="10">
        <v>3655</v>
      </c>
      <c r="AB513" s="10">
        <v>12666</v>
      </c>
      <c r="AC513" s="10">
        <v>19797</v>
      </c>
      <c r="AD513" s="10">
        <v>0</v>
      </c>
      <c r="AE513" s="10">
        <v>0</v>
      </c>
      <c r="AF513" s="10">
        <v>28434</v>
      </c>
      <c r="AG513" s="10">
        <v>85142</v>
      </c>
      <c r="AH513" s="10">
        <f t="shared" si="190"/>
        <v>221375.20199999958</v>
      </c>
      <c r="AI513" s="10">
        <v>4597837.2019999996</v>
      </c>
      <c r="AJ513" s="10">
        <v>4244968</v>
      </c>
      <c r="AK513" s="10">
        <v>0</v>
      </c>
      <c r="AL513" s="10">
        <v>3671</v>
      </c>
      <c r="AM513" s="10">
        <v>12729.75</v>
      </c>
      <c r="AN513" s="10">
        <v>19874</v>
      </c>
      <c r="AO513" s="10">
        <v>0</v>
      </c>
      <c r="AP513" s="10">
        <v>12306.5</v>
      </c>
      <c r="AQ513" s="10">
        <v>28434</v>
      </c>
      <c r="AR513" s="10">
        <v>85145</v>
      </c>
      <c r="AS513" s="10">
        <f t="shared" si="193"/>
        <v>221375.20199999958</v>
      </c>
      <c r="AT513" s="10">
        <v>4628503.4519999996</v>
      </c>
      <c r="AU513" s="12">
        <v>0</v>
      </c>
      <c r="AV513" s="12">
        <v>0</v>
      </c>
      <c r="AW513" s="12">
        <v>3052.25</v>
      </c>
      <c r="AX513" s="12">
        <f t="shared" si="191"/>
        <v>3052.25</v>
      </c>
      <c r="AY513" s="12">
        <v>0</v>
      </c>
      <c r="AZ513" s="12">
        <v>0</v>
      </c>
      <c r="BA513" s="12">
        <v>3841.05</v>
      </c>
      <c r="BB513" s="12">
        <f t="shared" si="192"/>
        <v>3841.05</v>
      </c>
      <c r="BC513" s="12">
        <v>0</v>
      </c>
      <c r="BD513" s="12">
        <v>0</v>
      </c>
      <c r="BE513" s="12">
        <v>788.79999999999927</v>
      </c>
      <c r="BF513" s="12">
        <v>788.79999999999927</v>
      </c>
    </row>
    <row r="514" spans="1:58" x14ac:dyDescent="0.25">
      <c r="A514" s="7">
        <v>4185</v>
      </c>
      <c r="B514" s="7">
        <v>7</v>
      </c>
      <c r="C514" s="7" t="s">
        <v>515</v>
      </c>
      <c r="D514" s="4">
        <v>7</v>
      </c>
      <c r="E514" s="10">
        <v>490</v>
      </c>
      <c r="F514" s="8">
        <f t="shared" si="171"/>
        <v>12653.75</v>
      </c>
      <c r="G514" s="8">
        <f t="shared" si="172"/>
        <v>0</v>
      </c>
      <c r="H514" s="8">
        <f t="shared" si="173"/>
        <v>0</v>
      </c>
      <c r="I514" s="8">
        <f t="shared" si="174"/>
        <v>3</v>
      </c>
      <c r="J514" s="8">
        <f t="shared" si="175"/>
        <v>12656.75</v>
      </c>
      <c r="K514" s="8">
        <f t="shared" si="176"/>
        <v>1379.5999999999985</v>
      </c>
      <c r="L514" s="8">
        <f t="shared" si="177"/>
        <v>14036.349999999999</v>
      </c>
      <c r="M514" s="8">
        <f t="shared" si="178"/>
        <v>25.830102040816328</v>
      </c>
      <c r="N514" s="8">
        <f t="shared" si="179"/>
        <v>12413</v>
      </c>
      <c r="O514" s="8">
        <f t="shared" si="180"/>
        <v>0</v>
      </c>
      <c r="P514" s="8">
        <f t="shared" si="181"/>
        <v>1</v>
      </c>
      <c r="Q514" s="8">
        <f t="shared" si="182"/>
        <v>187.75</v>
      </c>
      <c r="R514" s="8">
        <f t="shared" si="183"/>
        <v>52</v>
      </c>
      <c r="S514" s="8">
        <f t="shared" si="184"/>
        <v>0</v>
      </c>
      <c r="T514" s="8">
        <f t="shared" si="185"/>
        <v>0</v>
      </c>
      <c r="U514" s="8">
        <f t="shared" si="186"/>
        <v>0</v>
      </c>
      <c r="V514" s="8">
        <f t="shared" si="187"/>
        <v>3</v>
      </c>
      <c r="W514" s="8">
        <f t="shared" si="188"/>
        <v>0</v>
      </c>
      <c r="X514" s="8">
        <f t="shared" si="189"/>
        <v>12656.75</v>
      </c>
      <c r="Y514" s="10">
        <v>2882679</v>
      </c>
      <c r="Z514" s="10">
        <v>0</v>
      </c>
      <c r="AA514" s="10">
        <v>128</v>
      </c>
      <c r="AB514" s="10">
        <v>37302</v>
      </c>
      <c r="AC514" s="10">
        <v>13502</v>
      </c>
      <c r="AD514" s="10">
        <v>0</v>
      </c>
      <c r="AE514" s="10">
        <v>105500</v>
      </c>
      <c r="AF514" s="10">
        <v>15855</v>
      </c>
      <c r="AG514" s="10">
        <v>58067</v>
      </c>
      <c r="AH514" s="10">
        <f t="shared" si="190"/>
        <v>225020.10499999998</v>
      </c>
      <c r="AI514" s="10">
        <v>3338053.105</v>
      </c>
      <c r="AJ514" s="10">
        <v>2895092</v>
      </c>
      <c r="AK514" s="10">
        <v>0</v>
      </c>
      <c r="AL514" s="10">
        <v>129</v>
      </c>
      <c r="AM514" s="10">
        <v>37489.75</v>
      </c>
      <c r="AN514" s="10">
        <v>13554</v>
      </c>
      <c r="AO514" s="10">
        <v>0</v>
      </c>
      <c r="AP514" s="10">
        <v>105500</v>
      </c>
      <c r="AQ514" s="10">
        <v>15855</v>
      </c>
      <c r="AR514" s="10">
        <v>58070</v>
      </c>
      <c r="AS514" s="10">
        <f t="shared" si="193"/>
        <v>225020.10499999998</v>
      </c>
      <c r="AT514" s="10">
        <v>3350709.855</v>
      </c>
      <c r="AU514" s="12">
        <v>0</v>
      </c>
      <c r="AV514" s="12">
        <v>0</v>
      </c>
      <c r="AW514" s="12">
        <v>3305.75</v>
      </c>
      <c r="AX514" s="12">
        <f t="shared" si="191"/>
        <v>3305.75</v>
      </c>
      <c r="AY514" s="12">
        <v>0</v>
      </c>
      <c r="AZ514" s="12">
        <v>0</v>
      </c>
      <c r="BA514" s="12">
        <v>4685.3500000000004</v>
      </c>
      <c r="BB514" s="12">
        <f t="shared" si="192"/>
        <v>4685.3500000000004</v>
      </c>
      <c r="BC514" s="12">
        <v>0</v>
      </c>
      <c r="BD514" s="12">
        <v>0</v>
      </c>
      <c r="BE514" s="12">
        <v>1379.5999999999985</v>
      </c>
      <c r="BF514" s="12">
        <v>1379.5999999999985</v>
      </c>
    </row>
    <row r="515" spans="1:58" x14ac:dyDescent="0.25">
      <c r="A515" s="7">
        <v>4186</v>
      </c>
      <c r="B515" s="7">
        <v>7</v>
      </c>
      <c r="C515" s="7" t="s">
        <v>516</v>
      </c>
      <c r="D515" s="4">
        <v>7</v>
      </c>
      <c r="E515" s="10">
        <v>430</v>
      </c>
      <c r="F515" s="8">
        <f t="shared" si="171"/>
        <v>16345</v>
      </c>
      <c r="G515" s="8">
        <f t="shared" si="172"/>
        <v>10252.899999999998</v>
      </c>
      <c r="H515" s="8">
        <f t="shared" si="173"/>
        <v>22247</v>
      </c>
      <c r="I515" s="8">
        <f t="shared" si="174"/>
        <v>1.9999999999090505</v>
      </c>
      <c r="J515" s="8">
        <f t="shared" si="175"/>
        <v>48846.899999999907</v>
      </c>
      <c r="K515" s="8">
        <f t="shared" si="176"/>
        <v>2554.3999999999942</v>
      </c>
      <c r="L515" s="8">
        <f t="shared" si="177"/>
        <v>51401.299999999901</v>
      </c>
      <c r="M515" s="8">
        <f t="shared" si="178"/>
        <v>113.5974418604649</v>
      </c>
      <c r="N515" s="8">
        <f t="shared" si="179"/>
        <v>10727</v>
      </c>
      <c r="O515" s="8">
        <f t="shared" si="180"/>
        <v>8</v>
      </c>
      <c r="P515" s="8">
        <f t="shared" si="181"/>
        <v>0</v>
      </c>
      <c r="Q515" s="8">
        <f t="shared" si="182"/>
        <v>5565</v>
      </c>
      <c r="R515" s="8">
        <f t="shared" si="183"/>
        <v>45</v>
      </c>
      <c r="S515" s="8">
        <f t="shared" si="184"/>
        <v>0</v>
      </c>
      <c r="T515" s="8">
        <f t="shared" si="185"/>
        <v>10252.899999999998</v>
      </c>
      <c r="U515" s="8">
        <f t="shared" si="186"/>
        <v>22247</v>
      </c>
      <c r="V515" s="8">
        <f t="shared" si="187"/>
        <v>2</v>
      </c>
      <c r="W515" s="8">
        <f t="shared" si="188"/>
        <v>0</v>
      </c>
      <c r="X515" s="8">
        <f t="shared" si="189"/>
        <v>48846.899999999907</v>
      </c>
      <c r="Y515" s="10">
        <v>2491355</v>
      </c>
      <c r="Z515" s="10">
        <v>1788</v>
      </c>
      <c r="AA515" s="10">
        <v>111</v>
      </c>
      <c r="AB515" s="10">
        <v>1105654</v>
      </c>
      <c r="AC515" s="10">
        <v>11669</v>
      </c>
      <c r="AD515" s="10">
        <v>0</v>
      </c>
      <c r="AE515" s="10">
        <v>0</v>
      </c>
      <c r="AF515" s="10">
        <v>229914</v>
      </c>
      <c r="AG515" s="10">
        <v>50185</v>
      </c>
      <c r="AH515" s="10">
        <f t="shared" si="190"/>
        <v>158375.07775999978</v>
      </c>
      <c r="AI515" s="10">
        <v>4049051.0777599998</v>
      </c>
      <c r="AJ515" s="10">
        <v>2502082</v>
      </c>
      <c r="AK515" s="10">
        <v>1796</v>
      </c>
      <c r="AL515" s="10">
        <v>111</v>
      </c>
      <c r="AM515" s="10">
        <v>1111219</v>
      </c>
      <c r="AN515" s="10">
        <v>11714</v>
      </c>
      <c r="AO515" s="10">
        <v>0</v>
      </c>
      <c r="AP515" s="10">
        <v>10252.899999999998</v>
      </c>
      <c r="AQ515" s="10">
        <v>252161</v>
      </c>
      <c r="AR515" s="10">
        <v>50187</v>
      </c>
      <c r="AS515" s="10">
        <f t="shared" si="193"/>
        <v>158375.07775999978</v>
      </c>
      <c r="AT515" s="10">
        <v>4097897.9777599997</v>
      </c>
      <c r="AU515" s="12">
        <v>0</v>
      </c>
      <c r="AV515" s="12">
        <v>0</v>
      </c>
      <c r="AW515" s="12">
        <v>8590.625</v>
      </c>
      <c r="AX515" s="12">
        <f t="shared" si="191"/>
        <v>8590.625</v>
      </c>
      <c r="AY515" s="12">
        <v>0</v>
      </c>
      <c r="AZ515" s="12">
        <v>0</v>
      </c>
      <c r="BA515" s="12">
        <v>11145.025</v>
      </c>
      <c r="BB515" s="12">
        <f t="shared" si="192"/>
        <v>11145.025</v>
      </c>
      <c r="BC515" s="12">
        <v>0</v>
      </c>
      <c r="BD515" s="12">
        <v>0</v>
      </c>
      <c r="BE515" s="12">
        <v>2554.3999999999942</v>
      </c>
      <c r="BF515" s="12">
        <v>2554.3999999999942</v>
      </c>
    </row>
    <row r="516" spans="1:58" x14ac:dyDescent="0.25">
      <c r="A516" s="7">
        <v>4187</v>
      </c>
      <c r="B516" s="7">
        <v>7</v>
      </c>
      <c r="C516" s="7" t="s">
        <v>517</v>
      </c>
      <c r="D516" s="4">
        <v>7</v>
      </c>
      <c r="E516" s="10">
        <v>86</v>
      </c>
      <c r="F516" s="8">
        <f t="shared" si="171"/>
        <v>2207.75</v>
      </c>
      <c r="G516" s="8">
        <f t="shared" si="172"/>
        <v>1232.1600000000001</v>
      </c>
      <c r="H516" s="8">
        <f t="shared" si="173"/>
        <v>0</v>
      </c>
      <c r="I516" s="8">
        <f t="shared" si="174"/>
        <v>-99.999999999967486</v>
      </c>
      <c r="J516" s="8">
        <f t="shared" si="175"/>
        <v>3339.9100000000326</v>
      </c>
      <c r="K516" s="8">
        <f t="shared" si="176"/>
        <v>0</v>
      </c>
      <c r="L516" s="8">
        <f t="shared" si="177"/>
        <v>3339.9100000000326</v>
      </c>
      <c r="M516" s="8">
        <f t="shared" si="178"/>
        <v>38.836162790698054</v>
      </c>
      <c r="N516" s="8">
        <f t="shared" si="179"/>
        <v>2150</v>
      </c>
      <c r="O516" s="8">
        <f t="shared" si="180"/>
        <v>0</v>
      </c>
      <c r="P516" s="8">
        <f t="shared" si="181"/>
        <v>0</v>
      </c>
      <c r="Q516" s="8">
        <f t="shared" si="182"/>
        <v>48.75</v>
      </c>
      <c r="R516" s="8">
        <f t="shared" si="183"/>
        <v>9</v>
      </c>
      <c r="S516" s="8">
        <f t="shared" si="184"/>
        <v>0</v>
      </c>
      <c r="T516" s="8">
        <f t="shared" si="185"/>
        <v>1232.1600000000001</v>
      </c>
      <c r="U516" s="8">
        <f t="shared" si="186"/>
        <v>0</v>
      </c>
      <c r="V516" s="8">
        <f t="shared" si="187"/>
        <v>0</v>
      </c>
      <c r="W516" s="8">
        <f t="shared" si="188"/>
        <v>-99.999999999883585</v>
      </c>
      <c r="X516" s="8">
        <f t="shared" si="189"/>
        <v>3339.9100000000326</v>
      </c>
      <c r="Y516" s="10">
        <v>499316</v>
      </c>
      <c r="Z516" s="10">
        <v>0</v>
      </c>
      <c r="AA516" s="10">
        <v>22</v>
      </c>
      <c r="AB516" s="10">
        <v>9686</v>
      </c>
      <c r="AC516" s="10">
        <v>2339</v>
      </c>
      <c r="AD516" s="10">
        <v>0</v>
      </c>
      <c r="AE516" s="10">
        <v>0</v>
      </c>
      <c r="AF516" s="10">
        <v>19080</v>
      </c>
      <c r="AG516" s="10">
        <v>10058</v>
      </c>
      <c r="AH516" s="10">
        <f t="shared" si="190"/>
        <v>12857.952000000048</v>
      </c>
      <c r="AI516" s="10">
        <v>553358.95200000005</v>
      </c>
      <c r="AJ516" s="10">
        <v>501466</v>
      </c>
      <c r="AK516" s="10">
        <v>0</v>
      </c>
      <c r="AL516" s="10">
        <v>22</v>
      </c>
      <c r="AM516" s="10">
        <v>9734.75</v>
      </c>
      <c r="AN516" s="10">
        <v>2348</v>
      </c>
      <c r="AO516" s="10">
        <v>0</v>
      </c>
      <c r="AP516" s="10">
        <v>1232.1600000000001</v>
      </c>
      <c r="AQ516" s="10">
        <v>19080</v>
      </c>
      <c r="AR516" s="10">
        <v>10058</v>
      </c>
      <c r="AS516" s="10">
        <f t="shared" si="193"/>
        <v>12757.952000000165</v>
      </c>
      <c r="AT516" s="10">
        <v>556698.86200000008</v>
      </c>
      <c r="AU516" s="12">
        <v>0</v>
      </c>
      <c r="AV516" s="12">
        <v>0</v>
      </c>
      <c r="AW516" s="12">
        <v>0</v>
      </c>
      <c r="AX516" s="12">
        <f t="shared" si="191"/>
        <v>0</v>
      </c>
      <c r="AY516" s="12">
        <v>0</v>
      </c>
      <c r="AZ516" s="12">
        <v>0</v>
      </c>
      <c r="BA516" s="12">
        <v>0</v>
      </c>
      <c r="BB516" s="12">
        <f t="shared" si="192"/>
        <v>0</v>
      </c>
      <c r="BC516" s="12">
        <v>0</v>
      </c>
      <c r="BD516" s="12">
        <v>0</v>
      </c>
      <c r="BE516" s="12">
        <v>0</v>
      </c>
      <c r="BF516" s="12">
        <v>0</v>
      </c>
    </row>
    <row r="517" spans="1:58" x14ac:dyDescent="0.25">
      <c r="A517" s="7">
        <v>4188</v>
      </c>
      <c r="B517" s="7">
        <v>7</v>
      </c>
      <c r="C517" s="7" t="s">
        <v>518</v>
      </c>
      <c r="D517" s="4">
        <v>7</v>
      </c>
      <c r="E517" s="10">
        <v>536</v>
      </c>
      <c r="F517" s="8">
        <f t="shared" si="171"/>
        <v>14164.25</v>
      </c>
      <c r="G517" s="8">
        <f t="shared" si="172"/>
        <v>0</v>
      </c>
      <c r="H517" s="8">
        <f t="shared" si="173"/>
        <v>0</v>
      </c>
      <c r="I517" s="8">
        <f t="shared" si="174"/>
        <v>3</v>
      </c>
      <c r="J517" s="8">
        <f t="shared" si="175"/>
        <v>14167.25</v>
      </c>
      <c r="K517" s="8">
        <f t="shared" si="176"/>
        <v>1639.5999999999985</v>
      </c>
      <c r="L517" s="8">
        <f t="shared" si="177"/>
        <v>15806.849999999999</v>
      </c>
      <c r="M517" s="8">
        <f t="shared" si="178"/>
        <v>26.43143656716418</v>
      </c>
      <c r="N517" s="8">
        <f t="shared" si="179"/>
        <v>13650</v>
      </c>
      <c r="O517" s="8">
        <f t="shared" si="180"/>
        <v>0</v>
      </c>
      <c r="P517" s="8">
        <f t="shared" si="181"/>
        <v>280</v>
      </c>
      <c r="Q517" s="8">
        <f t="shared" si="182"/>
        <v>177.25</v>
      </c>
      <c r="R517" s="8">
        <f t="shared" si="183"/>
        <v>57</v>
      </c>
      <c r="S517" s="8">
        <f t="shared" si="184"/>
        <v>0</v>
      </c>
      <c r="T517" s="8">
        <f t="shared" si="185"/>
        <v>0</v>
      </c>
      <c r="U517" s="8">
        <f t="shared" si="186"/>
        <v>0</v>
      </c>
      <c r="V517" s="8">
        <f t="shared" si="187"/>
        <v>3</v>
      </c>
      <c r="W517" s="8">
        <f t="shared" si="188"/>
        <v>0</v>
      </c>
      <c r="X517" s="8">
        <f t="shared" si="189"/>
        <v>14167.25</v>
      </c>
      <c r="Y517" s="10">
        <v>3170076</v>
      </c>
      <c r="Z517" s="10">
        <v>0</v>
      </c>
      <c r="AA517" s="10">
        <v>64925</v>
      </c>
      <c r="AB517" s="10">
        <v>35216</v>
      </c>
      <c r="AC517" s="10">
        <v>14848</v>
      </c>
      <c r="AD517" s="10">
        <v>0</v>
      </c>
      <c r="AE517" s="10">
        <v>115250</v>
      </c>
      <c r="AF517" s="10">
        <v>15702</v>
      </c>
      <c r="AG517" s="10">
        <v>63856</v>
      </c>
      <c r="AH517" s="10">
        <f t="shared" si="190"/>
        <v>197068.39500000002</v>
      </c>
      <c r="AI517" s="10">
        <v>3676941.395</v>
      </c>
      <c r="AJ517" s="10">
        <v>3183726</v>
      </c>
      <c r="AK517" s="10">
        <v>0</v>
      </c>
      <c r="AL517" s="10">
        <v>65205</v>
      </c>
      <c r="AM517" s="10">
        <v>35393.25</v>
      </c>
      <c r="AN517" s="10">
        <v>14905</v>
      </c>
      <c r="AO517" s="10">
        <v>0</v>
      </c>
      <c r="AP517" s="10">
        <v>115250</v>
      </c>
      <c r="AQ517" s="10">
        <v>15702</v>
      </c>
      <c r="AR517" s="10">
        <v>63859</v>
      </c>
      <c r="AS517" s="10">
        <f t="shared" si="193"/>
        <v>197068.39500000002</v>
      </c>
      <c r="AT517" s="10">
        <v>3691108.645</v>
      </c>
      <c r="AU517" s="12">
        <v>0</v>
      </c>
      <c r="AV517" s="12">
        <v>0</v>
      </c>
      <c r="AW517" s="12">
        <v>4013</v>
      </c>
      <c r="AX517" s="12">
        <f t="shared" si="191"/>
        <v>4013</v>
      </c>
      <c r="AY517" s="12">
        <v>0</v>
      </c>
      <c r="AZ517" s="12">
        <v>0</v>
      </c>
      <c r="BA517" s="12">
        <v>5652.6</v>
      </c>
      <c r="BB517" s="12">
        <f t="shared" si="192"/>
        <v>5652.6</v>
      </c>
      <c r="BC517" s="12">
        <v>0</v>
      </c>
      <c r="BD517" s="12">
        <v>0</v>
      </c>
      <c r="BE517" s="12">
        <v>1639.5999999999985</v>
      </c>
      <c r="BF517" s="12">
        <v>1639.5999999999985</v>
      </c>
    </row>
    <row r="518" spans="1:58" x14ac:dyDescent="0.25">
      <c r="A518" s="7">
        <v>4189</v>
      </c>
      <c r="B518" s="7">
        <v>7</v>
      </c>
      <c r="C518" s="7" t="s">
        <v>519</v>
      </c>
      <c r="D518" s="4">
        <v>7</v>
      </c>
      <c r="E518" s="10">
        <v>208</v>
      </c>
      <c r="F518" s="8">
        <f t="shared" si="171"/>
        <v>5321.25</v>
      </c>
      <c r="G518" s="8">
        <f t="shared" si="172"/>
        <v>2425.06</v>
      </c>
      <c r="H518" s="8">
        <f t="shared" si="173"/>
        <v>0</v>
      </c>
      <c r="I518" s="8">
        <f t="shared" si="174"/>
        <v>1.0000000000559339</v>
      </c>
      <c r="J518" s="8">
        <f t="shared" si="175"/>
        <v>7747.3100000000559</v>
      </c>
      <c r="K518" s="8">
        <f t="shared" si="176"/>
        <v>399.60000000000036</v>
      </c>
      <c r="L518" s="8">
        <f t="shared" si="177"/>
        <v>8146.9100000000562</v>
      </c>
      <c r="M518" s="8">
        <f t="shared" si="178"/>
        <v>37.246682692307964</v>
      </c>
      <c r="N518" s="8">
        <f t="shared" si="179"/>
        <v>4784</v>
      </c>
      <c r="O518" s="8">
        <f t="shared" si="180"/>
        <v>0</v>
      </c>
      <c r="P518" s="8">
        <f t="shared" si="181"/>
        <v>1</v>
      </c>
      <c r="Q518" s="8">
        <f t="shared" si="182"/>
        <v>516.25</v>
      </c>
      <c r="R518" s="8">
        <f t="shared" si="183"/>
        <v>20</v>
      </c>
      <c r="S518" s="8">
        <f t="shared" si="184"/>
        <v>0</v>
      </c>
      <c r="T518" s="8">
        <f t="shared" si="185"/>
        <v>2425.06</v>
      </c>
      <c r="U518" s="8">
        <f t="shared" si="186"/>
        <v>0</v>
      </c>
      <c r="V518" s="8">
        <f t="shared" si="187"/>
        <v>1</v>
      </c>
      <c r="W518" s="8">
        <f t="shared" si="188"/>
        <v>0</v>
      </c>
      <c r="X518" s="8">
        <f t="shared" si="189"/>
        <v>7747.3100000000559</v>
      </c>
      <c r="Y518" s="10">
        <v>1110978</v>
      </c>
      <c r="Z518" s="10">
        <v>0</v>
      </c>
      <c r="AA518" s="10">
        <v>49</v>
      </c>
      <c r="AB518" s="10">
        <v>102569</v>
      </c>
      <c r="AC518" s="10">
        <v>5204</v>
      </c>
      <c r="AD518" s="10">
        <v>0</v>
      </c>
      <c r="AE518" s="10">
        <v>0</v>
      </c>
      <c r="AF518" s="10">
        <v>18261</v>
      </c>
      <c r="AG518" s="10">
        <v>22379</v>
      </c>
      <c r="AH518" s="10">
        <f t="shared" si="190"/>
        <v>56789.22900000005</v>
      </c>
      <c r="AI518" s="10">
        <v>1316229.2290000001</v>
      </c>
      <c r="AJ518" s="10">
        <v>1115762</v>
      </c>
      <c r="AK518" s="10">
        <v>0</v>
      </c>
      <c r="AL518" s="10">
        <v>50</v>
      </c>
      <c r="AM518" s="10">
        <v>103085.25</v>
      </c>
      <c r="AN518" s="10">
        <v>5224</v>
      </c>
      <c r="AO518" s="10">
        <v>0</v>
      </c>
      <c r="AP518" s="10">
        <v>2425.06</v>
      </c>
      <c r="AQ518" s="10">
        <v>18261</v>
      </c>
      <c r="AR518" s="10">
        <v>22380</v>
      </c>
      <c r="AS518" s="10">
        <f t="shared" si="193"/>
        <v>56789.22900000005</v>
      </c>
      <c r="AT518" s="10">
        <v>1323976.5390000001</v>
      </c>
      <c r="AU518" s="12">
        <v>0</v>
      </c>
      <c r="AV518" s="12">
        <v>0</v>
      </c>
      <c r="AW518" s="12">
        <v>1872.625</v>
      </c>
      <c r="AX518" s="12">
        <f t="shared" si="191"/>
        <v>1872.625</v>
      </c>
      <c r="AY518" s="12">
        <v>0</v>
      </c>
      <c r="AZ518" s="12">
        <v>0</v>
      </c>
      <c r="BA518" s="12">
        <v>2272.2249999999999</v>
      </c>
      <c r="BB518" s="12">
        <f t="shared" si="192"/>
        <v>2272.2249999999999</v>
      </c>
      <c r="BC518" s="12">
        <v>0</v>
      </c>
      <c r="BD518" s="12">
        <v>0</v>
      </c>
      <c r="BE518" s="12">
        <v>399.60000000000036</v>
      </c>
      <c r="BF518" s="12">
        <v>399.60000000000036</v>
      </c>
    </row>
    <row r="519" spans="1:58" x14ac:dyDescent="0.25">
      <c r="A519" s="7">
        <v>4190</v>
      </c>
      <c r="B519" s="7">
        <v>7</v>
      </c>
      <c r="C519" s="7" t="s">
        <v>520</v>
      </c>
      <c r="D519" s="4">
        <v>7</v>
      </c>
      <c r="E519" s="10">
        <v>90</v>
      </c>
      <c r="F519" s="8">
        <f t="shared" si="171"/>
        <v>3304.25</v>
      </c>
      <c r="G519" s="8">
        <f t="shared" si="172"/>
        <v>1787.84</v>
      </c>
      <c r="H519" s="8">
        <f t="shared" si="173"/>
        <v>0</v>
      </c>
      <c r="I519" s="8">
        <f t="shared" si="174"/>
        <v>-3.2514435588382185E-11</v>
      </c>
      <c r="J519" s="8">
        <f t="shared" si="175"/>
        <v>5092.0899999999674</v>
      </c>
      <c r="K519" s="8">
        <f t="shared" si="176"/>
        <v>304.39999999999964</v>
      </c>
      <c r="L519" s="8">
        <f t="shared" si="177"/>
        <v>5396.489999999967</v>
      </c>
      <c r="M519" s="8">
        <f t="shared" si="178"/>
        <v>56.578777777777418</v>
      </c>
      <c r="N519" s="8">
        <f t="shared" si="179"/>
        <v>2700</v>
      </c>
      <c r="O519" s="8">
        <f t="shared" si="180"/>
        <v>0</v>
      </c>
      <c r="P519" s="8">
        <f t="shared" si="181"/>
        <v>0</v>
      </c>
      <c r="Q519" s="8">
        <f t="shared" si="182"/>
        <v>593.25</v>
      </c>
      <c r="R519" s="8">
        <f t="shared" si="183"/>
        <v>11</v>
      </c>
      <c r="S519" s="8">
        <f t="shared" si="184"/>
        <v>0</v>
      </c>
      <c r="T519" s="8">
        <f t="shared" si="185"/>
        <v>1787.84</v>
      </c>
      <c r="U519" s="8">
        <f t="shared" si="186"/>
        <v>0</v>
      </c>
      <c r="V519" s="8">
        <f t="shared" si="187"/>
        <v>0</v>
      </c>
      <c r="W519" s="8">
        <f t="shared" si="188"/>
        <v>0</v>
      </c>
      <c r="X519" s="8">
        <f t="shared" si="189"/>
        <v>5092.0899999999674</v>
      </c>
      <c r="Y519" s="10">
        <v>627048</v>
      </c>
      <c r="Z519" s="10">
        <v>0</v>
      </c>
      <c r="AA519" s="10">
        <v>28</v>
      </c>
      <c r="AB519" s="10">
        <v>117867</v>
      </c>
      <c r="AC519" s="10">
        <v>2937</v>
      </c>
      <c r="AD519" s="10">
        <v>0</v>
      </c>
      <c r="AE519" s="10">
        <v>0</v>
      </c>
      <c r="AF519" s="10">
        <v>19080</v>
      </c>
      <c r="AG519" s="10">
        <v>12631</v>
      </c>
      <c r="AH519" s="10">
        <f t="shared" si="190"/>
        <v>53459.430000000051</v>
      </c>
      <c r="AI519" s="10">
        <v>833050.43</v>
      </c>
      <c r="AJ519" s="10">
        <v>629748</v>
      </c>
      <c r="AK519" s="10">
        <v>0</v>
      </c>
      <c r="AL519" s="10">
        <v>28</v>
      </c>
      <c r="AM519" s="10">
        <v>118460.25</v>
      </c>
      <c r="AN519" s="10">
        <v>2948</v>
      </c>
      <c r="AO519" s="10">
        <v>0</v>
      </c>
      <c r="AP519" s="10">
        <v>1787.84</v>
      </c>
      <c r="AQ519" s="10">
        <v>19080</v>
      </c>
      <c r="AR519" s="10">
        <v>12631</v>
      </c>
      <c r="AS519" s="10">
        <f t="shared" si="193"/>
        <v>53459.430000000051</v>
      </c>
      <c r="AT519" s="10">
        <v>838142.52</v>
      </c>
      <c r="AU519" s="12">
        <v>0</v>
      </c>
      <c r="AV519" s="12">
        <v>0</v>
      </c>
      <c r="AW519" s="12">
        <v>800.5</v>
      </c>
      <c r="AX519" s="12">
        <f t="shared" si="191"/>
        <v>800.5</v>
      </c>
      <c r="AY519" s="12">
        <v>0</v>
      </c>
      <c r="AZ519" s="12">
        <v>0</v>
      </c>
      <c r="BA519" s="12">
        <v>1104.9000000000001</v>
      </c>
      <c r="BB519" s="12">
        <f t="shared" si="192"/>
        <v>1104.9000000000001</v>
      </c>
      <c r="BC519" s="12">
        <v>0</v>
      </c>
      <c r="BD519" s="12">
        <v>0</v>
      </c>
      <c r="BE519" s="12">
        <v>304.39999999999964</v>
      </c>
      <c r="BF519" s="12">
        <v>304.39999999999964</v>
      </c>
    </row>
    <row r="520" spans="1:58" x14ac:dyDescent="0.25">
      <c r="A520" s="7">
        <v>4191</v>
      </c>
      <c r="B520" s="7">
        <v>7</v>
      </c>
      <c r="C520" s="7" t="s">
        <v>521</v>
      </c>
      <c r="D520" s="4">
        <v>7</v>
      </c>
      <c r="E520" s="10">
        <v>230</v>
      </c>
      <c r="F520" s="8">
        <f t="shared" si="171"/>
        <v>9089.5</v>
      </c>
      <c r="G520" s="8">
        <f t="shared" si="172"/>
        <v>0</v>
      </c>
      <c r="H520" s="8">
        <f t="shared" si="173"/>
        <v>0</v>
      </c>
      <c r="I520" s="8">
        <f t="shared" si="174"/>
        <v>1</v>
      </c>
      <c r="J520" s="8">
        <f t="shared" si="175"/>
        <v>9090.5</v>
      </c>
      <c r="K520" s="8">
        <f t="shared" si="176"/>
        <v>292</v>
      </c>
      <c r="L520" s="8">
        <f t="shared" si="177"/>
        <v>9382.5</v>
      </c>
      <c r="M520" s="8">
        <f t="shared" si="178"/>
        <v>39.52391304347826</v>
      </c>
      <c r="N520" s="8">
        <f t="shared" si="179"/>
        <v>6250</v>
      </c>
      <c r="O520" s="8">
        <f t="shared" si="180"/>
        <v>0</v>
      </c>
      <c r="P520" s="8">
        <f t="shared" si="181"/>
        <v>0</v>
      </c>
      <c r="Q520" s="8">
        <f t="shared" si="182"/>
        <v>2812.5</v>
      </c>
      <c r="R520" s="8">
        <f t="shared" si="183"/>
        <v>27</v>
      </c>
      <c r="S520" s="8">
        <f t="shared" si="184"/>
        <v>0</v>
      </c>
      <c r="T520" s="8">
        <f t="shared" si="185"/>
        <v>0</v>
      </c>
      <c r="U520" s="8">
        <f t="shared" si="186"/>
        <v>0</v>
      </c>
      <c r="V520" s="8">
        <f t="shared" si="187"/>
        <v>1</v>
      </c>
      <c r="W520" s="8">
        <f t="shared" si="188"/>
        <v>0</v>
      </c>
      <c r="X520" s="8">
        <f t="shared" si="189"/>
        <v>9090.5</v>
      </c>
      <c r="Y520" s="10">
        <v>1451500</v>
      </c>
      <c r="Z520" s="10">
        <v>0</v>
      </c>
      <c r="AA520" s="10">
        <v>65</v>
      </c>
      <c r="AB520" s="10">
        <v>558788</v>
      </c>
      <c r="AC520" s="10">
        <v>6798</v>
      </c>
      <c r="AD520" s="10">
        <v>0</v>
      </c>
      <c r="AE520" s="10">
        <v>49750</v>
      </c>
      <c r="AF520" s="10">
        <v>0</v>
      </c>
      <c r="AG520" s="10">
        <v>29238</v>
      </c>
      <c r="AH520" s="10">
        <f t="shared" si="190"/>
        <v>74058.5</v>
      </c>
      <c r="AI520" s="10">
        <v>2170197.5</v>
      </c>
      <c r="AJ520" s="10">
        <v>1457750</v>
      </c>
      <c r="AK520" s="10">
        <v>0</v>
      </c>
      <c r="AL520" s="10">
        <v>65</v>
      </c>
      <c r="AM520" s="10">
        <v>561600.5</v>
      </c>
      <c r="AN520" s="10">
        <v>6825</v>
      </c>
      <c r="AO520" s="10">
        <v>0</v>
      </c>
      <c r="AP520" s="10">
        <v>49750</v>
      </c>
      <c r="AQ520" s="10">
        <v>0</v>
      </c>
      <c r="AR520" s="10">
        <v>29239</v>
      </c>
      <c r="AS520" s="10">
        <f t="shared" si="193"/>
        <v>74058.5</v>
      </c>
      <c r="AT520" s="10">
        <v>2179288</v>
      </c>
      <c r="AU520" s="12">
        <v>0</v>
      </c>
      <c r="AV520" s="12">
        <v>0</v>
      </c>
      <c r="AW520" s="12">
        <v>2711.625</v>
      </c>
      <c r="AX520" s="12">
        <f t="shared" si="191"/>
        <v>2711.625</v>
      </c>
      <c r="AY520" s="12">
        <v>0</v>
      </c>
      <c r="AZ520" s="12">
        <v>0</v>
      </c>
      <c r="BA520" s="12">
        <v>3003.625</v>
      </c>
      <c r="BB520" s="12">
        <f t="shared" si="192"/>
        <v>3003.625</v>
      </c>
      <c r="BC520" s="12">
        <v>0</v>
      </c>
      <c r="BD520" s="12">
        <v>0</v>
      </c>
      <c r="BE520" s="12">
        <v>292</v>
      </c>
      <c r="BF520" s="12">
        <v>292</v>
      </c>
    </row>
    <row r="521" spans="1:58" x14ac:dyDescent="0.25">
      <c r="A521" s="7">
        <v>4192</v>
      </c>
      <c r="B521" s="7">
        <v>7</v>
      </c>
      <c r="C521" s="7" t="s">
        <v>522</v>
      </c>
      <c r="D521" s="4">
        <v>7</v>
      </c>
      <c r="E521" s="10">
        <v>419</v>
      </c>
      <c r="F521" s="8">
        <f t="shared" si="171"/>
        <v>17255.5</v>
      </c>
      <c r="G521" s="8">
        <f t="shared" si="172"/>
        <v>0</v>
      </c>
      <c r="H521" s="8">
        <f t="shared" si="173"/>
        <v>7241</v>
      </c>
      <c r="I521" s="8">
        <f t="shared" si="174"/>
        <v>2</v>
      </c>
      <c r="J521" s="8">
        <f t="shared" si="175"/>
        <v>24498.5</v>
      </c>
      <c r="K521" s="8">
        <f t="shared" si="176"/>
        <v>1390.3999999999942</v>
      </c>
      <c r="L521" s="8">
        <f t="shared" si="177"/>
        <v>25888.899999999994</v>
      </c>
      <c r="M521" s="8">
        <f t="shared" si="178"/>
        <v>58.468973747016705</v>
      </c>
      <c r="N521" s="8">
        <f t="shared" si="179"/>
        <v>10123</v>
      </c>
      <c r="O521" s="8">
        <f t="shared" si="180"/>
        <v>618</v>
      </c>
      <c r="P521" s="8">
        <f t="shared" si="181"/>
        <v>0</v>
      </c>
      <c r="Q521" s="8">
        <f t="shared" si="182"/>
        <v>6472.5</v>
      </c>
      <c r="R521" s="8">
        <f t="shared" si="183"/>
        <v>42</v>
      </c>
      <c r="S521" s="8">
        <f t="shared" si="184"/>
        <v>0</v>
      </c>
      <c r="T521" s="8">
        <f t="shared" si="185"/>
        <v>0</v>
      </c>
      <c r="U521" s="8">
        <f t="shared" si="186"/>
        <v>7241</v>
      </c>
      <c r="V521" s="8">
        <f t="shared" si="187"/>
        <v>2</v>
      </c>
      <c r="W521" s="8">
        <f t="shared" si="188"/>
        <v>0</v>
      </c>
      <c r="X521" s="8">
        <f t="shared" si="189"/>
        <v>24498.5</v>
      </c>
      <c r="Y521" s="10">
        <v>2350849</v>
      </c>
      <c r="Z521" s="10">
        <v>143629</v>
      </c>
      <c r="AA521" s="10">
        <v>105</v>
      </c>
      <c r="AB521" s="10">
        <v>1285956</v>
      </c>
      <c r="AC521" s="10">
        <v>11011</v>
      </c>
      <c r="AD521" s="10">
        <v>0</v>
      </c>
      <c r="AE521" s="10">
        <v>124250</v>
      </c>
      <c r="AF521" s="10">
        <v>252810</v>
      </c>
      <c r="AG521" s="10">
        <v>47354</v>
      </c>
      <c r="AH521" s="10">
        <f t="shared" si="190"/>
        <v>129246.04889999982</v>
      </c>
      <c r="AI521" s="10">
        <v>4345210.0488999998</v>
      </c>
      <c r="AJ521" s="10">
        <v>2360972</v>
      </c>
      <c r="AK521" s="10">
        <v>144247</v>
      </c>
      <c r="AL521" s="10">
        <v>105</v>
      </c>
      <c r="AM521" s="10">
        <v>1292428.5</v>
      </c>
      <c r="AN521" s="10">
        <v>11053</v>
      </c>
      <c r="AO521" s="10">
        <v>0</v>
      </c>
      <c r="AP521" s="10">
        <v>124250</v>
      </c>
      <c r="AQ521" s="10">
        <v>260051</v>
      </c>
      <c r="AR521" s="10">
        <v>47356</v>
      </c>
      <c r="AS521" s="10">
        <f t="shared" si="193"/>
        <v>129246.04889999982</v>
      </c>
      <c r="AT521" s="10">
        <v>4369708.5488999998</v>
      </c>
      <c r="AU521" s="12">
        <v>0</v>
      </c>
      <c r="AV521" s="12">
        <v>0</v>
      </c>
      <c r="AW521" s="12">
        <v>8910.75</v>
      </c>
      <c r="AX521" s="12">
        <f t="shared" si="191"/>
        <v>8910.75</v>
      </c>
      <c r="AY521" s="12">
        <v>0</v>
      </c>
      <c r="AZ521" s="12">
        <v>0</v>
      </c>
      <c r="BA521" s="12">
        <v>10301.15</v>
      </c>
      <c r="BB521" s="12">
        <f t="shared" si="192"/>
        <v>10301.15</v>
      </c>
      <c r="BC521" s="12">
        <v>0</v>
      </c>
      <c r="BD521" s="12">
        <v>0</v>
      </c>
      <c r="BE521" s="12">
        <v>1390.3999999999942</v>
      </c>
      <c r="BF521" s="12">
        <v>1390.3999999999942</v>
      </c>
    </row>
    <row r="522" spans="1:58" x14ac:dyDescent="0.25">
      <c r="A522" s="7">
        <v>4193</v>
      </c>
      <c r="B522" s="7">
        <v>7</v>
      </c>
      <c r="C522" s="7" t="s">
        <v>523</v>
      </c>
      <c r="D522" s="4">
        <v>7</v>
      </c>
      <c r="E522" s="10">
        <v>340</v>
      </c>
      <c r="F522" s="8">
        <f t="shared" si="171"/>
        <v>12736</v>
      </c>
      <c r="G522" s="8">
        <f t="shared" si="172"/>
        <v>6997.34</v>
      </c>
      <c r="H522" s="8">
        <f t="shared" si="173"/>
        <v>0</v>
      </c>
      <c r="I522" s="8">
        <f t="shared" si="174"/>
        <v>1.9999999998508429</v>
      </c>
      <c r="J522" s="8">
        <f t="shared" si="175"/>
        <v>19735.339999999851</v>
      </c>
      <c r="K522" s="8">
        <f t="shared" si="176"/>
        <v>873.19999999999709</v>
      </c>
      <c r="L522" s="8">
        <f t="shared" si="177"/>
        <v>20608.539999999848</v>
      </c>
      <c r="M522" s="8">
        <f t="shared" si="178"/>
        <v>58.045117647058383</v>
      </c>
      <c r="N522" s="8">
        <f t="shared" si="179"/>
        <v>8500</v>
      </c>
      <c r="O522" s="8">
        <f t="shared" si="180"/>
        <v>0</v>
      </c>
      <c r="P522" s="8">
        <f t="shared" si="181"/>
        <v>0</v>
      </c>
      <c r="Q522" s="8">
        <f t="shared" si="182"/>
        <v>4200</v>
      </c>
      <c r="R522" s="8">
        <f t="shared" si="183"/>
        <v>36</v>
      </c>
      <c r="S522" s="8">
        <f t="shared" si="184"/>
        <v>0</v>
      </c>
      <c r="T522" s="8">
        <f t="shared" si="185"/>
        <v>6997.34</v>
      </c>
      <c r="U522" s="8">
        <f t="shared" si="186"/>
        <v>0</v>
      </c>
      <c r="V522" s="8">
        <f t="shared" si="187"/>
        <v>2</v>
      </c>
      <c r="W522" s="8">
        <f t="shared" si="188"/>
        <v>0</v>
      </c>
      <c r="X522" s="8">
        <f t="shared" si="189"/>
        <v>19735.339999999851</v>
      </c>
      <c r="Y522" s="10">
        <v>1974040</v>
      </c>
      <c r="Z522" s="10">
        <v>0</v>
      </c>
      <c r="AA522" s="10">
        <v>88</v>
      </c>
      <c r="AB522" s="10">
        <v>834456</v>
      </c>
      <c r="AC522" s="10">
        <v>9246</v>
      </c>
      <c r="AD522" s="10">
        <v>0</v>
      </c>
      <c r="AE522" s="10">
        <v>0</v>
      </c>
      <c r="AF522" s="10">
        <v>203202</v>
      </c>
      <c r="AG522" s="10">
        <v>39764</v>
      </c>
      <c r="AH522" s="10">
        <f t="shared" si="190"/>
        <v>154089.31499999994</v>
      </c>
      <c r="AI522" s="10">
        <v>3214885.3149999999</v>
      </c>
      <c r="AJ522" s="10">
        <v>1982540</v>
      </c>
      <c r="AK522" s="10">
        <v>0</v>
      </c>
      <c r="AL522" s="10">
        <v>88</v>
      </c>
      <c r="AM522" s="10">
        <v>838656</v>
      </c>
      <c r="AN522" s="10">
        <v>9282</v>
      </c>
      <c r="AO522" s="10">
        <v>0</v>
      </c>
      <c r="AP522" s="10">
        <v>6997.34</v>
      </c>
      <c r="AQ522" s="10">
        <v>203202</v>
      </c>
      <c r="AR522" s="10">
        <v>39766</v>
      </c>
      <c r="AS522" s="10">
        <f t="shared" si="193"/>
        <v>154089.31499999994</v>
      </c>
      <c r="AT522" s="10">
        <v>3234620.6549999998</v>
      </c>
      <c r="AU522" s="12">
        <v>0</v>
      </c>
      <c r="AV522" s="12">
        <v>0</v>
      </c>
      <c r="AW522" s="12">
        <v>5197.375</v>
      </c>
      <c r="AX522" s="12">
        <f t="shared" si="191"/>
        <v>5197.375</v>
      </c>
      <c r="AY522" s="12">
        <v>0</v>
      </c>
      <c r="AZ522" s="12">
        <v>0</v>
      </c>
      <c r="BA522" s="12">
        <v>6070.5749999999998</v>
      </c>
      <c r="BB522" s="12">
        <f t="shared" si="192"/>
        <v>6070.5749999999998</v>
      </c>
      <c r="BC522" s="12">
        <v>0</v>
      </c>
      <c r="BD522" s="12">
        <v>0</v>
      </c>
      <c r="BE522" s="12">
        <v>873.19999999999709</v>
      </c>
      <c r="BF522" s="12">
        <v>873.19999999999709</v>
      </c>
    </row>
    <row r="523" spans="1:58" x14ac:dyDescent="0.25">
      <c r="A523" s="7">
        <v>4194</v>
      </c>
      <c r="B523" s="7">
        <v>7</v>
      </c>
      <c r="C523" s="7" t="s">
        <v>524</v>
      </c>
      <c r="D523" s="4">
        <v>7</v>
      </c>
      <c r="E523" s="10">
        <v>314</v>
      </c>
      <c r="F523" s="8">
        <f t="shared" si="171"/>
        <v>8540.25</v>
      </c>
      <c r="G523" s="8">
        <f t="shared" si="172"/>
        <v>6571.52</v>
      </c>
      <c r="H523" s="8">
        <f t="shared" si="173"/>
        <v>16849</v>
      </c>
      <c r="I523" s="8">
        <f t="shared" si="174"/>
        <v>-496.99999999998181</v>
      </c>
      <c r="J523" s="8">
        <f t="shared" si="175"/>
        <v>31463.770000000019</v>
      </c>
      <c r="K523" s="8">
        <f t="shared" si="176"/>
        <v>1194.7999999999993</v>
      </c>
      <c r="L523" s="8">
        <f t="shared" si="177"/>
        <v>32658.570000000018</v>
      </c>
      <c r="M523" s="8">
        <f t="shared" si="178"/>
        <v>100.20308917197458</v>
      </c>
      <c r="N523" s="8">
        <f t="shared" si="179"/>
        <v>8070</v>
      </c>
      <c r="O523" s="8">
        <f t="shared" si="180"/>
        <v>0</v>
      </c>
      <c r="P523" s="8">
        <f t="shared" si="181"/>
        <v>123</v>
      </c>
      <c r="Q523" s="8">
        <f t="shared" si="182"/>
        <v>313.25</v>
      </c>
      <c r="R523" s="8">
        <f t="shared" si="183"/>
        <v>34</v>
      </c>
      <c r="S523" s="8">
        <f t="shared" si="184"/>
        <v>0</v>
      </c>
      <c r="T523" s="8">
        <f t="shared" si="185"/>
        <v>6571.52</v>
      </c>
      <c r="U523" s="8">
        <f t="shared" si="186"/>
        <v>16849</v>
      </c>
      <c r="V523" s="8">
        <f t="shared" si="187"/>
        <v>2</v>
      </c>
      <c r="W523" s="8">
        <f t="shared" si="188"/>
        <v>-499</v>
      </c>
      <c r="X523" s="8">
        <f t="shared" si="189"/>
        <v>31463.770000000019</v>
      </c>
      <c r="Y523" s="10">
        <v>1874177</v>
      </c>
      <c r="Z523" s="10">
        <v>0</v>
      </c>
      <c r="AA523" s="10">
        <v>28691</v>
      </c>
      <c r="AB523" s="10">
        <v>62237</v>
      </c>
      <c r="AC523" s="10">
        <v>8778</v>
      </c>
      <c r="AD523" s="10">
        <v>0</v>
      </c>
      <c r="AE523" s="10">
        <v>0</v>
      </c>
      <c r="AF523" s="10">
        <v>0</v>
      </c>
      <c r="AG523" s="10">
        <v>37752</v>
      </c>
      <c r="AH523" s="10">
        <f t="shared" si="190"/>
        <v>10247.069999999832</v>
      </c>
      <c r="AI523" s="10">
        <v>2021882.0699999998</v>
      </c>
      <c r="AJ523" s="10">
        <v>1882247</v>
      </c>
      <c r="AK523" s="10">
        <v>0</v>
      </c>
      <c r="AL523" s="10">
        <v>28814</v>
      </c>
      <c r="AM523" s="10">
        <v>62550.25</v>
      </c>
      <c r="AN523" s="10">
        <v>8812</v>
      </c>
      <c r="AO523" s="10">
        <v>0</v>
      </c>
      <c r="AP523" s="10">
        <v>6571.52</v>
      </c>
      <c r="AQ523" s="10">
        <v>16849</v>
      </c>
      <c r="AR523" s="10">
        <v>37754</v>
      </c>
      <c r="AS523" s="10">
        <f t="shared" si="193"/>
        <v>9748.0699999998324</v>
      </c>
      <c r="AT523" s="10">
        <v>2053345.8399999999</v>
      </c>
      <c r="AU523" s="12">
        <v>0</v>
      </c>
      <c r="AV523" s="12">
        <v>0</v>
      </c>
      <c r="AW523" s="12">
        <v>2485.25</v>
      </c>
      <c r="AX523" s="12">
        <f t="shared" si="191"/>
        <v>2485.25</v>
      </c>
      <c r="AY523" s="12">
        <v>0</v>
      </c>
      <c r="AZ523" s="12">
        <v>0</v>
      </c>
      <c r="BA523" s="12">
        <v>3680.05</v>
      </c>
      <c r="BB523" s="12">
        <f t="shared" si="192"/>
        <v>3680.05</v>
      </c>
      <c r="BC523" s="12">
        <v>0</v>
      </c>
      <c r="BD523" s="12">
        <v>0</v>
      </c>
      <c r="BE523" s="12">
        <v>1194.7999999999993</v>
      </c>
      <c r="BF523" s="12">
        <v>1194.7999999999993</v>
      </c>
    </row>
    <row r="524" spans="1:58" x14ac:dyDescent="0.25">
      <c r="A524" s="7">
        <v>4195</v>
      </c>
      <c r="B524" s="7">
        <v>7</v>
      </c>
      <c r="C524" s="7" t="s">
        <v>525</v>
      </c>
      <c r="D524" s="4">
        <v>7</v>
      </c>
      <c r="E524" s="10">
        <v>43</v>
      </c>
      <c r="F524" s="8">
        <f t="shared" si="171"/>
        <v>1655.5</v>
      </c>
      <c r="G524" s="8">
        <f t="shared" si="172"/>
        <v>1513.02</v>
      </c>
      <c r="H524" s="8">
        <f t="shared" si="173"/>
        <v>0</v>
      </c>
      <c r="I524" s="8">
        <f t="shared" si="174"/>
        <v>1.0000000000186446</v>
      </c>
      <c r="J524" s="8">
        <f t="shared" si="175"/>
        <v>3169.5200000000186</v>
      </c>
      <c r="K524" s="8">
        <f t="shared" si="176"/>
        <v>183.19999999999982</v>
      </c>
      <c r="L524" s="8">
        <f t="shared" si="177"/>
        <v>3352.7200000000184</v>
      </c>
      <c r="M524" s="8">
        <f t="shared" si="178"/>
        <v>73.709767441860905</v>
      </c>
      <c r="N524" s="8">
        <f t="shared" si="179"/>
        <v>1030</v>
      </c>
      <c r="O524" s="8">
        <f t="shared" si="180"/>
        <v>0</v>
      </c>
      <c r="P524" s="8">
        <f t="shared" si="181"/>
        <v>103</v>
      </c>
      <c r="Q524" s="8">
        <f t="shared" si="182"/>
        <v>517.5</v>
      </c>
      <c r="R524" s="8">
        <f t="shared" si="183"/>
        <v>5</v>
      </c>
      <c r="S524" s="8">
        <f t="shared" si="184"/>
        <v>0</v>
      </c>
      <c r="T524" s="8">
        <f t="shared" si="185"/>
        <v>1513.02</v>
      </c>
      <c r="U524" s="8">
        <f t="shared" si="186"/>
        <v>0</v>
      </c>
      <c r="V524" s="8">
        <f t="shared" si="187"/>
        <v>1</v>
      </c>
      <c r="W524" s="8">
        <f t="shared" si="188"/>
        <v>0</v>
      </c>
      <c r="X524" s="8">
        <f t="shared" si="189"/>
        <v>3169.5200000000186</v>
      </c>
      <c r="Y524" s="10">
        <v>239207</v>
      </c>
      <c r="Z524" s="10">
        <v>0</v>
      </c>
      <c r="AA524" s="10">
        <v>24032</v>
      </c>
      <c r="AB524" s="10">
        <v>102817</v>
      </c>
      <c r="AC524" s="10">
        <v>1120</v>
      </c>
      <c r="AD524" s="10">
        <v>0</v>
      </c>
      <c r="AE524" s="10">
        <v>0</v>
      </c>
      <c r="AF524" s="10">
        <v>0</v>
      </c>
      <c r="AG524" s="10">
        <v>4818</v>
      </c>
      <c r="AH524" s="10">
        <f t="shared" si="190"/>
        <v>12369.739999999991</v>
      </c>
      <c r="AI524" s="10">
        <v>384363.74</v>
      </c>
      <c r="AJ524" s="10">
        <v>240237</v>
      </c>
      <c r="AK524" s="10">
        <v>0</v>
      </c>
      <c r="AL524" s="10">
        <v>24135</v>
      </c>
      <c r="AM524" s="10">
        <v>103334.5</v>
      </c>
      <c r="AN524" s="10">
        <v>1125</v>
      </c>
      <c r="AO524" s="10">
        <v>0</v>
      </c>
      <c r="AP524" s="10">
        <v>1513.02</v>
      </c>
      <c r="AQ524" s="10">
        <v>0</v>
      </c>
      <c r="AR524" s="10">
        <v>4819</v>
      </c>
      <c r="AS524" s="10">
        <f t="shared" si="193"/>
        <v>12369.739999999991</v>
      </c>
      <c r="AT524" s="10">
        <v>387533.26</v>
      </c>
      <c r="AU524" s="12">
        <v>0</v>
      </c>
      <c r="AV524" s="12">
        <v>0</v>
      </c>
      <c r="AW524" s="12">
        <v>598.625</v>
      </c>
      <c r="AX524" s="12">
        <f t="shared" si="191"/>
        <v>598.625</v>
      </c>
      <c r="AY524" s="12">
        <v>0</v>
      </c>
      <c r="AZ524" s="12">
        <v>0</v>
      </c>
      <c r="BA524" s="12">
        <v>781.82500000000005</v>
      </c>
      <c r="BB524" s="12">
        <f t="shared" si="192"/>
        <v>781.82500000000005</v>
      </c>
      <c r="BC524" s="12">
        <v>0</v>
      </c>
      <c r="BD524" s="12">
        <v>0</v>
      </c>
      <c r="BE524" s="12">
        <v>183.19999999999982</v>
      </c>
      <c r="BF524" s="12">
        <v>183.19999999999982</v>
      </c>
    </row>
    <row r="525" spans="1:58" x14ac:dyDescent="0.25">
      <c r="A525" s="7">
        <v>4196</v>
      </c>
      <c r="B525" s="7">
        <v>7</v>
      </c>
      <c r="C525" s="7" t="s">
        <v>526</v>
      </c>
      <c r="D525" s="4">
        <v>7</v>
      </c>
      <c r="E525" s="10">
        <v>0</v>
      </c>
      <c r="F525" s="8">
        <f t="shared" si="171"/>
        <v>0</v>
      </c>
      <c r="G525" s="8">
        <f t="shared" si="172"/>
        <v>0</v>
      </c>
      <c r="H525" s="8">
        <f t="shared" si="173"/>
        <v>0</v>
      </c>
      <c r="I525" s="8">
        <f t="shared" si="174"/>
        <v>0</v>
      </c>
      <c r="J525" s="8">
        <f t="shared" si="175"/>
        <v>0</v>
      </c>
      <c r="K525" s="8">
        <f t="shared" si="176"/>
        <v>0</v>
      </c>
      <c r="L525" s="8">
        <f t="shared" si="177"/>
        <v>0</v>
      </c>
      <c r="M525" s="8">
        <f t="shared" si="178"/>
        <v>0</v>
      </c>
      <c r="N525" s="8">
        <f t="shared" si="179"/>
        <v>0</v>
      </c>
      <c r="O525" s="8">
        <f t="shared" si="180"/>
        <v>0</v>
      </c>
      <c r="P525" s="8">
        <f t="shared" si="181"/>
        <v>0</v>
      </c>
      <c r="Q525" s="8">
        <f t="shared" si="182"/>
        <v>0</v>
      </c>
      <c r="R525" s="8">
        <f t="shared" si="183"/>
        <v>0</v>
      </c>
      <c r="S525" s="8">
        <f t="shared" si="184"/>
        <v>0</v>
      </c>
      <c r="T525" s="8">
        <f t="shared" si="185"/>
        <v>0</v>
      </c>
      <c r="U525" s="8">
        <f t="shared" si="186"/>
        <v>0</v>
      </c>
      <c r="V525" s="8">
        <f t="shared" si="187"/>
        <v>0</v>
      </c>
      <c r="W525" s="8">
        <f t="shared" si="188"/>
        <v>0</v>
      </c>
      <c r="X525" s="8">
        <f t="shared" si="189"/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  <c r="AG525" s="10">
        <v>0</v>
      </c>
      <c r="AH525" s="10">
        <f t="shared" si="190"/>
        <v>0</v>
      </c>
      <c r="AI525" s="10">
        <v>0</v>
      </c>
      <c r="AJ525" s="10">
        <v>0</v>
      </c>
      <c r="AK525" s="10">
        <v>0</v>
      </c>
      <c r="AL525" s="10">
        <v>0</v>
      </c>
      <c r="AM525" s="10">
        <v>0</v>
      </c>
      <c r="AN525" s="10">
        <v>0</v>
      </c>
      <c r="AO525" s="10">
        <v>0</v>
      </c>
      <c r="AP525" s="10">
        <v>0</v>
      </c>
      <c r="AQ525" s="10">
        <v>0</v>
      </c>
      <c r="AR525" s="10">
        <v>0</v>
      </c>
      <c r="AS525" s="10">
        <f t="shared" si="193"/>
        <v>0</v>
      </c>
      <c r="AT525" s="10">
        <v>0</v>
      </c>
      <c r="AU525" s="12">
        <v>0</v>
      </c>
      <c r="AV525" s="12">
        <v>0</v>
      </c>
      <c r="AW525" s="12">
        <v>0</v>
      </c>
      <c r="AX525" s="12">
        <f t="shared" si="191"/>
        <v>0</v>
      </c>
      <c r="AY525" s="12">
        <v>0</v>
      </c>
      <c r="AZ525" s="12">
        <v>0</v>
      </c>
      <c r="BA525" s="12">
        <v>0</v>
      </c>
      <c r="BB525" s="12">
        <f t="shared" si="192"/>
        <v>0</v>
      </c>
      <c r="BC525" s="12">
        <v>0</v>
      </c>
      <c r="BD525" s="12">
        <v>0</v>
      </c>
      <c r="BE525" s="12">
        <v>0</v>
      </c>
      <c r="BF525" s="12">
        <v>0</v>
      </c>
    </row>
    <row r="526" spans="1:58" x14ac:dyDescent="0.25">
      <c r="A526" s="7">
        <v>4197</v>
      </c>
      <c r="B526" s="7">
        <v>7</v>
      </c>
      <c r="C526" s="7" t="s">
        <v>527</v>
      </c>
      <c r="D526" s="4">
        <v>7</v>
      </c>
      <c r="E526" s="10">
        <v>0</v>
      </c>
      <c r="F526" s="8">
        <f t="shared" si="171"/>
        <v>0</v>
      </c>
      <c r="G526" s="8">
        <f t="shared" si="172"/>
        <v>0</v>
      </c>
      <c r="H526" s="8">
        <f t="shared" si="173"/>
        <v>0</v>
      </c>
      <c r="I526" s="8">
        <f t="shared" si="174"/>
        <v>0</v>
      </c>
      <c r="J526" s="8">
        <f t="shared" si="175"/>
        <v>0</v>
      </c>
      <c r="K526" s="8">
        <f t="shared" si="176"/>
        <v>0</v>
      </c>
      <c r="L526" s="8">
        <f t="shared" si="177"/>
        <v>0</v>
      </c>
      <c r="M526" s="8">
        <f t="shared" si="178"/>
        <v>0</v>
      </c>
      <c r="N526" s="8">
        <f t="shared" si="179"/>
        <v>0</v>
      </c>
      <c r="O526" s="8">
        <f t="shared" si="180"/>
        <v>0</v>
      </c>
      <c r="P526" s="8">
        <f t="shared" si="181"/>
        <v>0</v>
      </c>
      <c r="Q526" s="8">
        <f t="shared" si="182"/>
        <v>0</v>
      </c>
      <c r="R526" s="8">
        <f t="shared" si="183"/>
        <v>0</v>
      </c>
      <c r="S526" s="8">
        <f t="shared" si="184"/>
        <v>0</v>
      </c>
      <c r="T526" s="8">
        <f t="shared" si="185"/>
        <v>0</v>
      </c>
      <c r="U526" s="8">
        <f t="shared" si="186"/>
        <v>0</v>
      </c>
      <c r="V526" s="8">
        <f t="shared" si="187"/>
        <v>0</v>
      </c>
      <c r="W526" s="8">
        <f t="shared" si="188"/>
        <v>0</v>
      </c>
      <c r="X526" s="8">
        <f t="shared" si="189"/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  <c r="AG526" s="10">
        <v>0</v>
      </c>
      <c r="AH526" s="10">
        <f t="shared" si="190"/>
        <v>0</v>
      </c>
      <c r="AI526" s="10">
        <v>0</v>
      </c>
      <c r="AJ526" s="10">
        <v>0</v>
      </c>
      <c r="AK526" s="10">
        <v>0</v>
      </c>
      <c r="AL526" s="10">
        <v>0</v>
      </c>
      <c r="AM526" s="10">
        <v>0</v>
      </c>
      <c r="AN526" s="10">
        <v>0</v>
      </c>
      <c r="AO526" s="10">
        <v>0</v>
      </c>
      <c r="AP526" s="10">
        <v>0</v>
      </c>
      <c r="AQ526" s="10">
        <v>0</v>
      </c>
      <c r="AR526" s="10">
        <v>0</v>
      </c>
      <c r="AS526" s="10">
        <f t="shared" si="193"/>
        <v>0</v>
      </c>
      <c r="AT526" s="10">
        <v>0</v>
      </c>
      <c r="AU526" s="12">
        <v>0</v>
      </c>
      <c r="AV526" s="12">
        <v>0</v>
      </c>
      <c r="AW526" s="12">
        <v>0</v>
      </c>
      <c r="AX526" s="12">
        <f t="shared" si="191"/>
        <v>0</v>
      </c>
      <c r="AY526" s="12">
        <v>0</v>
      </c>
      <c r="AZ526" s="12">
        <v>0</v>
      </c>
      <c r="BA526" s="12">
        <v>0</v>
      </c>
      <c r="BB526" s="12">
        <f t="shared" si="192"/>
        <v>0</v>
      </c>
      <c r="BC526" s="12">
        <v>0</v>
      </c>
      <c r="BD526" s="12">
        <v>0</v>
      </c>
      <c r="BE526" s="12">
        <v>0</v>
      </c>
      <c r="BF526" s="12">
        <v>0</v>
      </c>
    </row>
    <row r="527" spans="1:58" x14ac:dyDescent="0.25">
      <c r="A527" s="7">
        <v>4198</v>
      </c>
      <c r="B527" s="7">
        <v>7</v>
      </c>
      <c r="C527" s="7" t="s">
        <v>528</v>
      </c>
      <c r="D527" s="4">
        <v>7</v>
      </c>
      <c r="E527" s="10">
        <v>154</v>
      </c>
      <c r="F527" s="8">
        <f t="shared" si="171"/>
        <v>4228</v>
      </c>
      <c r="G527" s="8">
        <f t="shared" si="172"/>
        <v>2192.52</v>
      </c>
      <c r="H527" s="8">
        <f t="shared" si="173"/>
        <v>0</v>
      </c>
      <c r="I527" s="8">
        <f t="shared" si="174"/>
        <v>-236.99999999998136</v>
      </c>
      <c r="J527" s="8">
        <f t="shared" si="175"/>
        <v>6183.5200000000186</v>
      </c>
      <c r="K527" s="8">
        <f t="shared" si="176"/>
        <v>1100.7999999999993</v>
      </c>
      <c r="L527" s="8">
        <f t="shared" si="177"/>
        <v>7284.3200000000179</v>
      </c>
      <c r="M527" s="8">
        <f t="shared" si="178"/>
        <v>40.152727272727397</v>
      </c>
      <c r="N527" s="8">
        <f t="shared" si="179"/>
        <v>3580</v>
      </c>
      <c r="O527" s="8">
        <f t="shared" si="180"/>
        <v>0</v>
      </c>
      <c r="P527" s="8">
        <f t="shared" si="181"/>
        <v>70</v>
      </c>
      <c r="Q527" s="8">
        <f t="shared" si="182"/>
        <v>563</v>
      </c>
      <c r="R527" s="8">
        <f t="shared" si="183"/>
        <v>15</v>
      </c>
      <c r="S527" s="8">
        <f t="shared" si="184"/>
        <v>0</v>
      </c>
      <c r="T527" s="8">
        <f t="shared" si="185"/>
        <v>2192.52</v>
      </c>
      <c r="U527" s="8">
        <f t="shared" si="186"/>
        <v>0</v>
      </c>
      <c r="V527" s="8">
        <f t="shared" si="187"/>
        <v>0</v>
      </c>
      <c r="W527" s="8">
        <f t="shared" si="188"/>
        <v>-237</v>
      </c>
      <c r="X527" s="8">
        <f t="shared" si="189"/>
        <v>6183.5200000000186</v>
      </c>
      <c r="Y527" s="10">
        <v>831419</v>
      </c>
      <c r="Z527" s="10">
        <v>0</v>
      </c>
      <c r="AA527" s="10">
        <v>16198</v>
      </c>
      <c r="AB527" s="10">
        <v>111857</v>
      </c>
      <c r="AC527" s="10">
        <v>3894</v>
      </c>
      <c r="AD527" s="10">
        <v>0</v>
      </c>
      <c r="AE527" s="10">
        <v>0</v>
      </c>
      <c r="AF527" s="10">
        <v>0</v>
      </c>
      <c r="AG527" s="10">
        <v>16748</v>
      </c>
      <c r="AH527" s="10">
        <f t="shared" si="190"/>
        <v>-12851.150000000023</v>
      </c>
      <c r="AI527" s="10">
        <v>967264.85</v>
      </c>
      <c r="AJ527" s="10">
        <v>834999</v>
      </c>
      <c r="AK527" s="10">
        <v>0</v>
      </c>
      <c r="AL527" s="10">
        <v>16268</v>
      </c>
      <c r="AM527" s="10">
        <v>112420</v>
      </c>
      <c r="AN527" s="10">
        <v>3909</v>
      </c>
      <c r="AO527" s="10">
        <v>0</v>
      </c>
      <c r="AP527" s="10">
        <v>2192.52</v>
      </c>
      <c r="AQ527" s="10">
        <v>0</v>
      </c>
      <c r="AR527" s="10">
        <v>16748</v>
      </c>
      <c r="AS527" s="10">
        <f t="shared" si="193"/>
        <v>-13088.150000000023</v>
      </c>
      <c r="AT527" s="10">
        <v>973448.37</v>
      </c>
      <c r="AU527" s="12">
        <v>0</v>
      </c>
      <c r="AV527" s="12">
        <v>0</v>
      </c>
      <c r="AW527" s="12">
        <v>1730.5</v>
      </c>
      <c r="AX527" s="12">
        <f t="shared" si="191"/>
        <v>1730.5</v>
      </c>
      <c r="AY527" s="12">
        <v>0</v>
      </c>
      <c r="AZ527" s="12">
        <v>0</v>
      </c>
      <c r="BA527" s="12">
        <v>2831.3</v>
      </c>
      <c r="BB527" s="12">
        <f t="shared" si="192"/>
        <v>2831.3</v>
      </c>
      <c r="BC527" s="12">
        <v>0</v>
      </c>
      <c r="BD527" s="12">
        <v>0</v>
      </c>
      <c r="BE527" s="12">
        <v>1100.7999999999993</v>
      </c>
      <c r="BF527" s="12">
        <v>1100.7999999999993</v>
      </c>
    </row>
    <row r="528" spans="1:58" x14ac:dyDescent="0.25">
      <c r="A528" s="7">
        <v>4199</v>
      </c>
      <c r="B528" s="7">
        <v>7</v>
      </c>
      <c r="C528" s="7" t="s">
        <v>529</v>
      </c>
      <c r="D528" s="4">
        <v>7</v>
      </c>
      <c r="E528" s="10">
        <v>801</v>
      </c>
      <c r="F528" s="8">
        <f t="shared" si="171"/>
        <v>19784.75</v>
      </c>
      <c r="G528" s="8">
        <f t="shared" si="172"/>
        <v>11065.28</v>
      </c>
      <c r="H528" s="8">
        <f t="shared" si="173"/>
        <v>0</v>
      </c>
      <c r="I528" s="8">
        <f t="shared" si="174"/>
        <v>4.0000000002601155</v>
      </c>
      <c r="J528" s="8">
        <f t="shared" si="175"/>
        <v>30854.030000000261</v>
      </c>
      <c r="K528" s="8">
        <f t="shared" si="176"/>
        <v>900.80000000000291</v>
      </c>
      <c r="L528" s="8">
        <f t="shared" si="177"/>
        <v>31754.830000000264</v>
      </c>
      <c r="M528" s="8">
        <f t="shared" si="178"/>
        <v>38.519388264669487</v>
      </c>
      <c r="N528" s="8">
        <f t="shared" si="179"/>
        <v>19290</v>
      </c>
      <c r="O528" s="8">
        <f t="shared" si="180"/>
        <v>0</v>
      </c>
      <c r="P528" s="8">
        <f t="shared" si="181"/>
        <v>0</v>
      </c>
      <c r="Q528" s="8">
        <f t="shared" si="182"/>
        <v>413.75</v>
      </c>
      <c r="R528" s="8">
        <f t="shared" si="183"/>
        <v>81</v>
      </c>
      <c r="S528" s="8">
        <f t="shared" si="184"/>
        <v>0</v>
      </c>
      <c r="T528" s="8">
        <f t="shared" si="185"/>
        <v>11065.28</v>
      </c>
      <c r="U528" s="8">
        <f t="shared" si="186"/>
        <v>0</v>
      </c>
      <c r="V528" s="8">
        <f t="shared" si="187"/>
        <v>4</v>
      </c>
      <c r="W528" s="8">
        <f t="shared" si="188"/>
        <v>0</v>
      </c>
      <c r="X528" s="8">
        <f t="shared" si="189"/>
        <v>30854.030000000261</v>
      </c>
      <c r="Y528" s="10">
        <v>4479910</v>
      </c>
      <c r="Z528" s="10">
        <v>0</v>
      </c>
      <c r="AA528" s="10">
        <v>200</v>
      </c>
      <c r="AB528" s="10">
        <v>82204</v>
      </c>
      <c r="AC528" s="10">
        <v>20983</v>
      </c>
      <c r="AD528" s="10">
        <v>0</v>
      </c>
      <c r="AE528" s="10">
        <v>0</v>
      </c>
      <c r="AF528" s="10">
        <v>15981</v>
      </c>
      <c r="AG528" s="10">
        <v>90241</v>
      </c>
      <c r="AH528" s="10">
        <f t="shared" si="190"/>
        <v>283482.15999999922</v>
      </c>
      <c r="AI528" s="10">
        <v>4973001.1599999992</v>
      </c>
      <c r="AJ528" s="10">
        <v>4499200</v>
      </c>
      <c r="AK528" s="10">
        <v>0</v>
      </c>
      <c r="AL528" s="10">
        <v>200</v>
      </c>
      <c r="AM528" s="10">
        <v>82617.75</v>
      </c>
      <c r="AN528" s="10">
        <v>21064</v>
      </c>
      <c r="AO528" s="10">
        <v>0</v>
      </c>
      <c r="AP528" s="10">
        <v>11065.28</v>
      </c>
      <c r="AQ528" s="10">
        <v>15981</v>
      </c>
      <c r="AR528" s="10">
        <v>90245</v>
      </c>
      <c r="AS528" s="10">
        <f t="shared" si="193"/>
        <v>283482.15999999922</v>
      </c>
      <c r="AT528" s="10">
        <v>5003855.1899999995</v>
      </c>
      <c r="AU528" s="12">
        <v>0</v>
      </c>
      <c r="AV528" s="12">
        <v>0</v>
      </c>
      <c r="AW528" s="12">
        <v>4403.125</v>
      </c>
      <c r="AX528" s="12">
        <f t="shared" si="191"/>
        <v>4403.125</v>
      </c>
      <c r="AY528" s="12">
        <v>0</v>
      </c>
      <c r="AZ528" s="12">
        <v>0</v>
      </c>
      <c r="BA528" s="12">
        <v>5303.9250000000002</v>
      </c>
      <c r="BB528" s="12">
        <f t="shared" si="192"/>
        <v>5303.9250000000002</v>
      </c>
      <c r="BC528" s="12">
        <v>0</v>
      </c>
      <c r="BD528" s="12">
        <v>0</v>
      </c>
      <c r="BE528" s="12">
        <v>900.80000000000291</v>
      </c>
      <c r="BF528" s="12">
        <v>900.80000000000291</v>
      </c>
    </row>
    <row r="529" spans="1:58" x14ac:dyDescent="0.25">
      <c r="A529" s="7">
        <v>4200</v>
      </c>
      <c r="B529" s="7">
        <v>7</v>
      </c>
      <c r="C529" s="7" t="s">
        <v>530</v>
      </c>
      <c r="D529" s="4">
        <v>7</v>
      </c>
      <c r="E529" s="10">
        <v>177</v>
      </c>
      <c r="F529" s="8">
        <f t="shared" ref="F529:F554" si="194">SUM(N529:S529)</f>
        <v>7644.5</v>
      </c>
      <c r="G529" s="8">
        <f t="shared" ref="G529:G554" si="195">T529</f>
        <v>4819.92</v>
      </c>
      <c r="H529" s="8">
        <f t="shared" ref="H529:H554" si="196">U529</f>
        <v>18993</v>
      </c>
      <c r="I529" s="8">
        <f t="shared" ref="I529:I554" si="197">J529-F529-G529-H529</f>
        <v>0.99999999992724042</v>
      </c>
      <c r="J529" s="8">
        <f t="shared" ref="J529:J554" si="198">X529</f>
        <v>31458.419999999925</v>
      </c>
      <c r="K529" s="8">
        <f t="shared" ref="K529:K554" si="199">BF529</f>
        <v>319.20000000000073</v>
      </c>
      <c r="L529" s="8">
        <f t="shared" ref="L529:L554" si="200">J529+K529</f>
        <v>31777.619999999926</v>
      </c>
      <c r="M529" s="8">
        <f t="shared" ref="M529:M554" si="201">IF(E529=0,0,J529/E529)</f>
        <v>177.73118644067753</v>
      </c>
      <c r="N529" s="8">
        <f t="shared" ref="N529:N546" si="202">AJ529-Y529</f>
        <v>5140</v>
      </c>
      <c r="O529" s="8">
        <f t="shared" ref="O529:O546" si="203">AK529-Z529</f>
        <v>0</v>
      </c>
      <c r="P529" s="8">
        <f t="shared" ref="P529:P546" si="204">AL529-AA529</f>
        <v>0</v>
      </c>
      <c r="Q529" s="8">
        <f t="shared" ref="Q529:Q546" si="205">AM529-AB529</f>
        <v>2482.5</v>
      </c>
      <c r="R529" s="8">
        <f t="shared" ref="R529:R546" si="206">AN529-AC529</f>
        <v>22</v>
      </c>
      <c r="S529" s="8">
        <f t="shared" ref="S529:S546" si="207">AO529-AD529</f>
        <v>0</v>
      </c>
      <c r="T529" s="8">
        <f t="shared" ref="T529:T546" si="208">AP529-AE529</f>
        <v>4819.92</v>
      </c>
      <c r="U529" s="8">
        <f t="shared" ref="U529:U546" si="209">AQ529-AF529</f>
        <v>18993</v>
      </c>
      <c r="V529" s="8">
        <f t="shared" ref="V529:V546" si="210">AR529-AG529</f>
        <v>1</v>
      </c>
      <c r="W529" s="8">
        <f t="shared" ref="W529:W546" si="211">AS529-AH529</f>
        <v>0</v>
      </c>
      <c r="X529" s="8">
        <f t="shared" ref="X529:X546" si="212">AT529-AI529</f>
        <v>31458.419999999925</v>
      </c>
      <c r="Y529" s="10">
        <v>1193714</v>
      </c>
      <c r="Z529" s="10">
        <v>0</v>
      </c>
      <c r="AA529" s="10">
        <v>53</v>
      </c>
      <c r="AB529" s="10">
        <v>493223</v>
      </c>
      <c r="AC529" s="10">
        <v>5591</v>
      </c>
      <c r="AD529" s="10">
        <v>0</v>
      </c>
      <c r="AE529" s="10">
        <v>0</v>
      </c>
      <c r="AF529" s="10">
        <v>0</v>
      </c>
      <c r="AG529" s="10">
        <v>24046</v>
      </c>
      <c r="AH529" s="10">
        <f t="shared" ref="AH529:AH546" si="213">AI529-SUM(Y529:AG529)</f>
        <v>81550.909999999916</v>
      </c>
      <c r="AI529" s="10">
        <v>1798177.91</v>
      </c>
      <c r="AJ529" s="10">
        <v>1198854</v>
      </c>
      <c r="AK529" s="10">
        <v>0</v>
      </c>
      <c r="AL529" s="10">
        <v>53</v>
      </c>
      <c r="AM529" s="10">
        <v>495705.5</v>
      </c>
      <c r="AN529" s="10">
        <v>5613</v>
      </c>
      <c r="AO529" s="10">
        <v>0</v>
      </c>
      <c r="AP529" s="10">
        <v>4819.92</v>
      </c>
      <c r="AQ529" s="10">
        <v>18993</v>
      </c>
      <c r="AR529" s="10">
        <v>24047</v>
      </c>
      <c r="AS529" s="10">
        <f t="shared" si="193"/>
        <v>81550.909999999916</v>
      </c>
      <c r="AT529" s="10">
        <v>1829636.3299999998</v>
      </c>
      <c r="AU529" s="12">
        <v>0</v>
      </c>
      <c r="AV529" s="12">
        <v>0</v>
      </c>
      <c r="AW529" s="12">
        <v>2998</v>
      </c>
      <c r="AX529" s="12">
        <f t="shared" ref="AX529:AX554" si="214">AU529+AV529+AW529</f>
        <v>2998</v>
      </c>
      <c r="AY529" s="12">
        <v>0</v>
      </c>
      <c r="AZ529" s="12">
        <v>0</v>
      </c>
      <c r="BA529" s="12">
        <v>3317.2</v>
      </c>
      <c r="BB529" s="12">
        <f t="shared" ref="BB529:BB554" si="215">AY529+AZ529+BA529</f>
        <v>3317.2</v>
      </c>
      <c r="BC529" s="12">
        <v>0</v>
      </c>
      <c r="BD529" s="12">
        <v>0</v>
      </c>
      <c r="BE529" s="12">
        <v>319.20000000000073</v>
      </c>
      <c r="BF529" s="12">
        <v>319.20000000000073</v>
      </c>
    </row>
    <row r="530" spans="1:58" x14ac:dyDescent="0.25">
      <c r="A530" s="7">
        <v>4201</v>
      </c>
      <c r="B530" s="7">
        <v>7</v>
      </c>
      <c r="C530" s="7" t="s">
        <v>531</v>
      </c>
      <c r="D530" s="4">
        <v>7</v>
      </c>
      <c r="E530" s="10">
        <v>106</v>
      </c>
      <c r="F530" s="8">
        <f t="shared" si="194"/>
        <v>3058.75</v>
      </c>
      <c r="G530" s="8">
        <f t="shared" si="195"/>
        <v>2005.28</v>
      </c>
      <c r="H530" s="8">
        <f t="shared" si="196"/>
        <v>0</v>
      </c>
      <c r="I530" s="8">
        <f t="shared" si="197"/>
        <v>1.000000000027967</v>
      </c>
      <c r="J530" s="8">
        <f t="shared" si="198"/>
        <v>5065.0300000000279</v>
      </c>
      <c r="K530" s="8">
        <f t="shared" si="199"/>
        <v>324</v>
      </c>
      <c r="L530" s="8">
        <f t="shared" si="200"/>
        <v>5389.0300000000279</v>
      </c>
      <c r="M530" s="8">
        <f t="shared" si="201"/>
        <v>47.783301886792714</v>
      </c>
      <c r="N530" s="8">
        <f t="shared" si="202"/>
        <v>2425</v>
      </c>
      <c r="O530" s="8">
        <f t="shared" si="203"/>
        <v>49</v>
      </c>
      <c r="P530" s="8">
        <f t="shared" si="204"/>
        <v>0</v>
      </c>
      <c r="Q530" s="8">
        <f t="shared" si="205"/>
        <v>574.75</v>
      </c>
      <c r="R530" s="8">
        <f t="shared" si="206"/>
        <v>10</v>
      </c>
      <c r="S530" s="8">
        <f t="shared" si="207"/>
        <v>0</v>
      </c>
      <c r="T530" s="8">
        <f t="shared" si="208"/>
        <v>2005.28</v>
      </c>
      <c r="U530" s="8">
        <f t="shared" si="209"/>
        <v>0</v>
      </c>
      <c r="V530" s="8">
        <f t="shared" si="210"/>
        <v>1</v>
      </c>
      <c r="W530" s="8">
        <f t="shared" si="211"/>
        <v>0</v>
      </c>
      <c r="X530" s="8">
        <f t="shared" si="212"/>
        <v>5065.0300000000279</v>
      </c>
      <c r="Y530" s="10">
        <v>563182</v>
      </c>
      <c r="Z530" s="10">
        <v>11380</v>
      </c>
      <c r="AA530" s="10">
        <v>25</v>
      </c>
      <c r="AB530" s="10">
        <v>114191</v>
      </c>
      <c r="AC530" s="10">
        <v>2638</v>
      </c>
      <c r="AD530" s="10">
        <v>0</v>
      </c>
      <c r="AE530" s="10">
        <v>0</v>
      </c>
      <c r="AF530" s="10">
        <v>0</v>
      </c>
      <c r="AG530" s="10">
        <v>11344</v>
      </c>
      <c r="AH530" s="10">
        <f t="shared" si="213"/>
        <v>46521.919999999925</v>
      </c>
      <c r="AI530" s="10">
        <v>749281.91999999993</v>
      </c>
      <c r="AJ530" s="10">
        <v>565607</v>
      </c>
      <c r="AK530" s="10">
        <v>11429</v>
      </c>
      <c r="AL530" s="10">
        <v>25</v>
      </c>
      <c r="AM530" s="10">
        <v>114765.75</v>
      </c>
      <c r="AN530" s="10">
        <v>2648</v>
      </c>
      <c r="AO530" s="10">
        <v>0</v>
      </c>
      <c r="AP530" s="10">
        <v>2005.28</v>
      </c>
      <c r="AQ530" s="10">
        <v>0</v>
      </c>
      <c r="AR530" s="10">
        <v>11345</v>
      </c>
      <c r="AS530" s="10">
        <f t="shared" si="193"/>
        <v>46521.919999999925</v>
      </c>
      <c r="AT530" s="10">
        <v>754346.95</v>
      </c>
      <c r="AU530" s="12">
        <v>0</v>
      </c>
      <c r="AV530" s="12">
        <v>0</v>
      </c>
      <c r="AW530" s="12">
        <v>1615.5</v>
      </c>
      <c r="AX530" s="12">
        <f t="shared" si="214"/>
        <v>1615.5</v>
      </c>
      <c r="AY530" s="12">
        <v>0</v>
      </c>
      <c r="AZ530" s="12">
        <v>0</v>
      </c>
      <c r="BA530" s="12">
        <v>1939.5</v>
      </c>
      <c r="BB530" s="12">
        <f t="shared" si="215"/>
        <v>1939.5</v>
      </c>
      <c r="BC530" s="12">
        <v>0</v>
      </c>
      <c r="BD530" s="12">
        <v>0</v>
      </c>
      <c r="BE530" s="12">
        <v>324</v>
      </c>
      <c r="BF530" s="12">
        <v>324</v>
      </c>
    </row>
    <row r="531" spans="1:58" x14ac:dyDescent="0.25">
      <c r="A531" s="7">
        <v>4202</v>
      </c>
      <c r="B531" s="7">
        <v>7</v>
      </c>
      <c r="C531" s="7" t="s">
        <v>532</v>
      </c>
      <c r="D531" s="4">
        <v>7</v>
      </c>
      <c r="E531" s="10">
        <v>0</v>
      </c>
      <c r="F531" s="8">
        <f t="shared" si="194"/>
        <v>0</v>
      </c>
      <c r="G531" s="8">
        <f t="shared" si="195"/>
        <v>0</v>
      </c>
      <c r="H531" s="8">
        <f t="shared" si="196"/>
        <v>0</v>
      </c>
      <c r="I531" s="8">
        <f t="shared" si="197"/>
        <v>0</v>
      </c>
      <c r="J531" s="8">
        <f t="shared" si="198"/>
        <v>0</v>
      </c>
      <c r="K531" s="8">
        <f t="shared" si="199"/>
        <v>0</v>
      </c>
      <c r="L531" s="8">
        <f t="shared" si="200"/>
        <v>0</v>
      </c>
      <c r="M531" s="8">
        <f t="shared" si="201"/>
        <v>0</v>
      </c>
      <c r="N531" s="8">
        <f t="shared" si="202"/>
        <v>0</v>
      </c>
      <c r="O531" s="8">
        <f t="shared" si="203"/>
        <v>0</v>
      </c>
      <c r="P531" s="8">
        <f t="shared" si="204"/>
        <v>0</v>
      </c>
      <c r="Q531" s="8">
        <f t="shared" si="205"/>
        <v>0</v>
      </c>
      <c r="R531" s="8">
        <f t="shared" si="206"/>
        <v>0</v>
      </c>
      <c r="S531" s="8">
        <f t="shared" si="207"/>
        <v>0</v>
      </c>
      <c r="T531" s="8">
        <f t="shared" si="208"/>
        <v>0</v>
      </c>
      <c r="U531" s="8">
        <f t="shared" si="209"/>
        <v>0</v>
      </c>
      <c r="V531" s="8">
        <f t="shared" si="210"/>
        <v>0</v>
      </c>
      <c r="W531" s="8">
        <f t="shared" si="211"/>
        <v>0</v>
      </c>
      <c r="X531" s="8">
        <f t="shared" si="212"/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  <c r="AG531" s="10">
        <v>0</v>
      </c>
      <c r="AH531" s="10">
        <f t="shared" si="213"/>
        <v>0</v>
      </c>
      <c r="AI531" s="10">
        <v>0</v>
      </c>
      <c r="AJ531" s="10">
        <v>0</v>
      </c>
      <c r="AK531" s="10">
        <v>0</v>
      </c>
      <c r="AL531" s="10">
        <v>0</v>
      </c>
      <c r="AM531" s="10">
        <v>0</v>
      </c>
      <c r="AN531" s="10">
        <v>0</v>
      </c>
      <c r="AO531" s="10">
        <v>0</v>
      </c>
      <c r="AP531" s="10">
        <v>0</v>
      </c>
      <c r="AQ531" s="10">
        <v>0</v>
      </c>
      <c r="AR531" s="10">
        <v>0</v>
      </c>
      <c r="AS531" s="10">
        <f t="shared" si="193"/>
        <v>0</v>
      </c>
      <c r="AT531" s="10">
        <v>0</v>
      </c>
      <c r="AU531" s="12">
        <v>0</v>
      </c>
      <c r="AV531" s="12">
        <v>0</v>
      </c>
      <c r="AW531" s="12">
        <v>0</v>
      </c>
      <c r="AX531" s="12">
        <f t="shared" si="214"/>
        <v>0</v>
      </c>
      <c r="AY531" s="12">
        <v>0</v>
      </c>
      <c r="AZ531" s="12">
        <v>0</v>
      </c>
      <c r="BA531" s="12">
        <v>0</v>
      </c>
      <c r="BB531" s="12">
        <f t="shared" si="215"/>
        <v>0</v>
      </c>
      <c r="BC531" s="12">
        <v>0</v>
      </c>
      <c r="BD531" s="12">
        <v>0</v>
      </c>
      <c r="BE531" s="12">
        <v>0</v>
      </c>
      <c r="BF531" s="12">
        <v>0</v>
      </c>
    </row>
    <row r="532" spans="1:58" x14ac:dyDescent="0.25">
      <c r="A532" s="7">
        <v>4203</v>
      </c>
      <c r="B532" s="7">
        <v>7</v>
      </c>
      <c r="C532" s="7" t="s">
        <v>533</v>
      </c>
      <c r="D532" s="4">
        <v>7</v>
      </c>
      <c r="E532" s="10">
        <v>130</v>
      </c>
      <c r="F532" s="8">
        <f t="shared" si="194"/>
        <v>5185.5</v>
      </c>
      <c r="G532" s="8">
        <f t="shared" si="195"/>
        <v>2705.92</v>
      </c>
      <c r="H532" s="8">
        <f t="shared" si="196"/>
        <v>0</v>
      </c>
      <c r="I532" s="8">
        <f t="shared" si="197"/>
        <v>-7.4578565545380116E-11</v>
      </c>
      <c r="J532" s="8">
        <f t="shared" si="198"/>
        <v>7891.4199999999255</v>
      </c>
      <c r="K532" s="8">
        <f t="shared" si="199"/>
        <v>270.80000000000018</v>
      </c>
      <c r="L532" s="8">
        <f t="shared" si="200"/>
        <v>8162.2199999999257</v>
      </c>
      <c r="M532" s="8">
        <f t="shared" si="201"/>
        <v>60.703230769230196</v>
      </c>
      <c r="N532" s="8">
        <f t="shared" si="202"/>
        <v>3900</v>
      </c>
      <c r="O532" s="8">
        <f t="shared" si="203"/>
        <v>0</v>
      </c>
      <c r="P532" s="8">
        <f t="shared" si="204"/>
        <v>1</v>
      </c>
      <c r="Q532" s="8">
        <f t="shared" si="205"/>
        <v>1267.5</v>
      </c>
      <c r="R532" s="8">
        <f t="shared" si="206"/>
        <v>17</v>
      </c>
      <c r="S532" s="8">
        <f t="shared" si="207"/>
        <v>0</v>
      </c>
      <c r="T532" s="8">
        <f t="shared" si="208"/>
        <v>2705.92</v>
      </c>
      <c r="U532" s="8">
        <f t="shared" si="209"/>
        <v>0</v>
      </c>
      <c r="V532" s="8">
        <f t="shared" si="210"/>
        <v>0</v>
      </c>
      <c r="W532" s="8">
        <f t="shared" si="211"/>
        <v>0</v>
      </c>
      <c r="X532" s="8">
        <f t="shared" si="212"/>
        <v>7891.4199999999255</v>
      </c>
      <c r="Y532" s="10">
        <v>905736</v>
      </c>
      <c r="Z532" s="10">
        <v>0</v>
      </c>
      <c r="AA532" s="10">
        <v>40</v>
      </c>
      <c r="AB532" s="10">
        <v>251827</v>
      </c>
      <c r="AC532" s="10">
        <v>4242</v>
      </c>
      <c r="AD532" s="10">
        <v>0</v>
      </c>
      <c r="AE532" s="10">
        <v>0</v>
      </c>
      <c r="AF532" s="10">
        <v>19080</v>
      </c>
      <c r="AG532" s="10">
        <v>18245</v>
      </c>
      <c r="AH532" s="10">
        <f t="shared" si="213"/>
        <v>48187.899999999907</v>
      </c>
      <c r="AI532" s="10">
        <v>1247357.8999999999</v>
      </c>
      <c r="AJ532" s="10">
        <v>909636</v>
      </c>
      <c r="AK532" s="10">
        <v>0</v>
      </c>
      <c r="AL532" s="10">
        <v>41</v>
      </c>
      <c r="AM532" s="10">
        <v>253094.5</v>
      </c>
      <c r="AN532" s="10">
        <v>4259</v>
      </c>
      <c r="AO532" s="10">
        <v>0</v>
      </c>
      <c r="AP532" s="10">
        <v>2705.92</v>
      </c>
      <c r="AQ532" s="10">
        <v>19080</v>
      </c>
      <c r="AR532" s="10">
        <v>18245</v>
      </c>
      <c r="AS532" s="10">
        <f t="shared" si="193"/>
        <v>48187.899999999907</v>
      </c>
      <c r="AT532" s="10">
        <v>1255249.3199999998</v>
      </c>
      <c r="AU532" s="12">
        <v>0</v>
      </c>
      <c r="AV532" s="12">
        <v>0</v>
      </c>
      <c r="AW532" s="12">
        <v>855.375</v>
      </c>
      <c r="AX532" s="12">
        <f t="shared" si="214"/>
        <v>855.375</v>
      </c>
      <c r="AY532" s="12">
        <v>0</v>
      </c>
      <c r="AZ532" s="12">
        <v>0</v>
      </c>
      <c r="BA532" s="12">
        <v>1126.175</v>
      </c>
      <c r="BB532" s="12">
        <f t="shared" si="215"/>
        <v>1126.175</v>
      </c>
      <c r="BC532" s="12">
        <v>0</v>
      </c>
      <c r="BD532" s="12">
        <v>0</v>
      </c>
      <c r="BE532" s="12">
        <v>270.80000000000018</v>
      </c>
      <c r="BF532" s="12">
        <v>270.80000000000018</v>
      </c>
    </row>
    <row r="533" spans="1:58" x14ac:dyDescent="0.25">
      <c r="A533" s="7">
        <v>4204</v>
      </c>
      <c r="B533" s="7">
        <v>7</v>
      </c>
      <c r="C533" s="7" t="s">
        <v>534</v>
      </c>
      <c r="D533" s="4">
        <v>7</v>
      </c>
      <c r="E533" s="10">
        <v>175</v>
      </c>
      <c r="F533" s="8">
        <f t="shared" si="194"/>
        <v>6394</v>
      </c>
      <c r="G533" s="8">
        <f t="shared" si="195"/>
        <v>2114</v>
      </c>
      <c r="H533" s="8">
        <f t="shared" si="196"/>
        <v>0</v>
      </c>
      <c r="I533" s="8">
        <f t="shared" si="197"/>
        <v>1</v>
      </c>
      <c r="J533" s="8">
        <f t="shared" si="198"/>
        <v>8509</v>
      </c>
      <c r="K533" s="8">
        <f t="shared" si="199"/>
        <v>35.200000000000728</v>
      </c>
      <c r="L533" s="8">
        <f t="shared" si="200"/>
        <v>8544.2000000000007</v>
      </c>
      <c r="M533" s="8">
        <f t="shared" si="201"/>
        <v>48.622857142857143</v>
      </c>
      <c r="N533" s="8">
        <f t="shared" si="202"/>
        <v>5250</v>
      </c>
      <c r="O533" s="8">
        <f t="shared" si="203"/>
        <v>0</v>
      </c>
      <c r="P533" s="8">
        <f t="shared" si="204"/>
        <v>27</v>
      </c>
      <c r="Q533" s="8">
        <f t="shared" si="205"/>
        <v>1095</v>
      </c>
      <c r="R533" s="8">
        <f t="shared" si="206"/>
        <v>22</v>
      </c>
      <c r="S533" s="8">
        <f t="shared" si="207"/>
        <v>0</v>
      </c>
      <c r="T533" s="8">
        <f t="shared" si="208"/>
        <v>2114</v>
      </c>
      <c r="U533" s="8">
        <f t="shared" si="209"/>
        <v>0</v>
      </c>
      <c r="V533" s="8">
        <f t="shared" si="210"/>
        <v>1</v>
      </c>
      <c r="W533" s="8">
        <f t="shared" si="211"/>
        <v>0</v>
      </c>
      <c r="X533" s="8">
        <f t="shared" si="212"/>
        <v>8509</v>
      </c>
      <c r="Y533" s="10">
        <v>1219260</v>
      </c>
      <c r="Z533" s="10">
        <v>0</v>
      </c>
      <c r="AA533" s="10">
        <v>6186</v>
      </c>
      <c r="AB533" s="10">
        <v>217555</v>
      </c>
      <c r="AC533" s="10">
        <v>5711</v>
      </c>
      <c r="AD533" s="10">
        <v>0</v>
      </c>
      <c r="AE533" s="10">
        <v>0</v>
      </c>
      <c r="AF533" s="10">
        <v>0</v>
      </c>
      <c r="AG533" s="10">
        <v>24560</v>
      </c>
      <c r="AH533" s="10">
        <f t="shared" si="213"/>
        <v>58966.110000000102</v>
      </c>
      <c r="AI533" s="10">
        <v>1532238.11</v>
      </c>
      <c r="AJ533" s="10">
        <v>1224510</v>
      </c>
      <c r="AK533" s="10">
        <v>0</v>
      </c>
      <c r="AL533" s="10">
        <v>6213</v>
      </c>
      <c r="AM533" s="10">
        <v>218650</v>
      </c>
      <c r="AN533" s="10">
        <v>5733</v>
      </c>
      <c r="AO533" s="10">
        <v>0</v>
      </c>
      <c r="AP533" s="10">
        <v>2114</v>
      </c>
      <c r="AQ533" s="10">
        <v>0</v>
      </c>
      <c r="AR533" s="10">
        <v>24561</v>
      </c>
      <c r="AS533" s="10">
        <f t="shared" si="193"/>
        <v>58966.110000000102</v>
      </c>
      <c r="AT533" s="10">
        <v>1540747.11</v>
      </c>
      <c r="AU533" s="12">
        <v>0</v>
      </c>
      <c r="AV533" s="12">
        <v>0</v>
      </c>
      <c r="AW533" s="12">
        <v>1417.625</v>
      </c>
      <c r="AX533" s="12">
        <f t="shared" si="214"/>
        <v>1417.625</v>
      </c>
      <c r="AY533" s="12">
        <v>0</v>
      </c>
      <c r="AZ533" s="12">
        <v>0</v>
      </c>
      <c r="BA533" s="12">
        <v>1452.825</v>
      </c>
      <c r="BB533" s="12">
        <f t="shared" si="215"/>
        <v>1452.825</v>
      </c>
      <c r="BC533" s="12">
        <v>0</v>
      </c>
      <c r="BD533" s="12">
        <v>0</v>
      </c>
      <c r="BE533" s="12">
        <v>35.200000000000728</v>
      </c>
      <c r="BF533" s="12">
        <v>35.200000000000728</v>
      </c>
    </row>
    <row r="534" spans="1:58" x14ac:dyDescent="0.25">
      <c r="A534" s="7">
        <v>4205</v>
      </c>
      <c r="B534" s="7">
        <v>7</v>
      </c>
      <c r="C534" s="7" t="s">
        <v>535</v>
      </c>
      <c r="D534" s="4">
        <v>7</v>
      </c>
      <c r="E534" s="10">
        <v>216</v>
      </c>
      <c r="F534" s="8">
        <f t="shared" si="194"/>
        <v>7932.5</v>
      </c>
      <c r="G534" s="8">
        <f t="shared" si="195"/>
        <v>0</v>
      </c>
      <c r="H534" s="8">
        <f t="shared" si="196"/>
        <v>0</v>
      </c>
      <c r="I534" s="8">
        <f t="shared" si="197"/>
        <v>1</v>
      </c>
      <c r="J534" s="8">
        <f t="shared" si="198"/>
        <v>7933.5</v>
      </c>
      <c r="K534" s="8">
        <f t="shared" si="199"/>
        <v>486.79999999999927</v>
      </c>
      <c r="L534" s="8">
        <f t="shared" si="200"/>
        <v>8420.2999999999993</v>
      </c>
      <c r="M534" s="8">
        <f t="shared" si="201"/>
        <v>36.729166666666664</v>
      </c>
      <c r="N534" s="8">
        <f t="shared" si="202"/>
        <v>4725</v>
      </c>
      <c r="O534" s="8">
        <f t="shared" si="203"/>
        <v>0</v>
      </c>
      <c r="P534" s="8">
        <f t="shared" si="204"/>
        <v>0</v>
      </c>
      <c r="Q534" s="8">
        <f t="shared" si="205"/>
        <v>3187.5</v>
      </c>
      <c r="R534" s="8">
        <f t="shared" si="206"/>
        <v>20</v>
      </c>
      <c r="S534" s="8">
        <f t="shared" si="207"/>
        <v>0</v>
      </c>
      <c r="T534" s="8">
        <f t="shared" si="208"/>
        <v>0</v>
      </c>
      <c r="U534" s="8">
        <f t="shared" si="209"/>
        <v>0</v>
      </c>
      <c r="V534" s="8">
        <f t="shared" si="210"/>
        <v>1</v>
      </c>
      <c r="W534" s="8">
        <f t="shared" si="211"/>
        <v>0</v>
      </c>
      <c r="X534" s="8">
        <f t="shared" si="212"/>
        <v>7933.5</v>
      </c>
      <c r="Y534" s="10">
        <v>1097334</v>
      </c>
      <c r="Z534" s="10">
        <v>0</v>
      </c>
      <c r="AA534" s="10">
        <v>49</v>
      </c>
      <c r="AB534" s="10">
        <v>633293</v>
      </c>
      <c r="AC534" s="10">
        <v>5140</v>
      </c>
      <c r="AD534" s="10">
        <v>0</v>
      </c>
      <c r="AE534" s="10">
        <v>54500</v>
      </c>
      <c r="AF534" s="10">
        <v>0</v>
      </c>
      <c r="AG534" s="10">
        <v>22104</v>
      </c>
      <c r="AH534" s="10">
        <f t="shared" si="213"/>
        <v>59252.510000000009</v>
      </c>
      <c r="AI534" s="10">
        <v>1871672.51</v>
      </c>
      <c r="AJ534" s="10">
        <v>1102059</v>
      </c>
      <c r="AK534" s="10">
        <v>0</v>
      </c>
      <c r="AL534" s="10">
        <v>49</v>
      </c>
      <c r="AM534" s="10">
        <v>636480.5</v>
      </c>
      <c r="AN534" s="10">
        <v>5160</v>
      </c>
      <c r="AO534" s="10">
        <v>0</v>
      </c>
      <c r="AP534" s="10">
        <v>54500</v>
      </c>
      <c r="AQ534" s="10">
        <v>0</v>
      </c>
      <c r="AR534" s="10">
        <v>22105</v>
      </c>
      <c r="AS534" s="10">
        <f t="shared" si="193"/>
        <v>59252.510000000009</v>
      </c>
      <c r="AT534" s="10">
        <v>1879606.01</v>
      </c>
      <c r="AU534" s="12">
        <v>0</v>
      </c>
      <c r="AV534" s="12">
        <v>0</v>
      </c>
      <c r="AW534" s="12">
        <v>2520.875</v>
      </c>
      <c r="AX534" s="12">
        <f t="shared" si="214"/>
        <v>2520.875</v>
      </c>
      <c r="AY534" s="12">
        <v>0</v>
      </c>
      <c r="AZ534" s="12">
        <v>0</v>
      </c>
      <c r="BA534" s="12">
        <v>3007.6750000000002</v>
      </c>
      <c r="BB534" s="12">
        <f t="shared" si="215"/>
        <v>3007.6750000000002</v>
      </c>
      <c r="BC534" s="12">
        <v>0</v>
      </c>
      <c r="BD534" s="12">
        <v>0</v>
      </c>
      <c r="BE534" s="12">
        <v>486.79999999999927</v>
      </c>
      <c r="BF534" s="12">
        <v>486.79999999999927</v>
      </c>
    </row>
    <row r="535" spans="1:58" x14ac:dyDescent="0.25">
      <c r="A535" s="7">
        <v>4207</v>
      </c>
      <c r="B535" s="7">
        <v>7</v>
      </c>
      <c r="C535" s="7" t="s">
        <v>536</v>
      </c>
      <c r="D535" s="4">
        <v>7</v>
      </c>
      <c r="E535" s="10">
        <v>58</v>
      </c>
      <c r="F535" s="8">
        <f t="shared" si="194"/>
        <v>2374.5</v>
      </c>
      <c r="G535" s="8">
        <f t="shared" si="195"/>
        <v>2138.16</v>
      </c>
      <c r="H535" s="8">
        <f t="shared" si="196"/>
        <v>0</v>
      </c>
      <c r="I535" s="8">
        <f t="shared" si="197"/>
        <v>3.2741809263825417E-11</v>
      </c>
      <c r="J535" s="8">
        <f t="shared" si="198"/>
        <v>4512.6600000000326</v>
      </c>
      <c r="K535" s="8">
        <f t="shared" si="199"/>
        <v>0</v>
      </c>
      <c r="L535" s="8">
        <f t="shared" si="200"/>
        <v>4512.6600000000326</v>
      </c>
      <c r="M535" s="8">
        <f t="shared" si="201"/>
        <v>77.804482758621248</v>
      </c>
      <c r="N535" s="8">
        <f t="shared" si="202"/>
        <v>1740</v>
      </c>
      <c r="O535" s="8">
        <f t="shared" si="203"/>
        <v>0</v>
      </c>
      <c r="P535" s="8">
        <f t="shared" si="204"/>
        <v>147</v>
      </c>
      <c r="Q535" s="8">
        <f t="shared" si="205"/>
        <v>480.5</v>
      </c>
      <c r="R535" s="8">
        <f t="shared" si="206"/>
        <v>7</v>
      </c>
      <c r="S535" s="8">
        <f t="shared" si="207"/>
        <v>0</v>
      </c>
      <c r="T535" s="8">
        <f t="shared" si="208"/>
        <v>2138.16</v>
      </c>
      <c r="U535" s="8">
        <f t="shared" si="209"/>
        <v>0</v>
      </c>
      <c r="V535" s="8">
        <f t="shared" si="210"/>
        <v>0</v>
      </c>
      <c r="W535" s="8">
        <f t="shared" si="211"/>
        <v>0</v>
      </c>
      <c r="X535" s="8">
        <f t="shared" si="212"/>
        <v>4512.6600000000326</v>
      </c>
      <c r="Y535" s="10">
        <v>404098</v>
      </c>
      <c r="Z535" s="10">
        <v>0</v>
      </c>
      <c r="AA535" s="10">
        <v>34186</v>
      </c>
      <c r="AB535" s="10">
        <v>95466</v>
      </c>
      <c r="AC535" s="10">
        <v>1893</v>
      </c>
      <c r="AD535" s="10">
        <v>0</v>
      </c>
      <c r="AE535" s="10">
        <v>0</v>
      </c>
      <c r="AF535" s="10">
        <v>0</v>
      </c>
      <c r="AG535" s="10">
        <v>8140</v>
      </c>
      <c r="AH535" s="10">
        <f t="shared" si="213"/>
        <v>20563.579999999958</v>
      </c>
      <c r="AI535" s="10">
        <v>564346.57999999996</v>
      </c>
      <c r="AJ535" s="10">
        <v>405838</v>
      </c>
      <c r="AK535" s="10">
        <v>0</v>
      </c>
      <c r="AL535" s="10">
        <v>34333</v>
      </c>
      <c r="AM535" s="10">
        <v>95946.5</v>
      </c>
      <c r="AN535" s="10">
        <v>1900</v>
      </c>
      <c r="AO535" s="10">
        <v>0</v>
      </c>
      <c r="AP535" s="10">
        <v>2138.16</v>
      </c>
      <c r="AQ535" s="10">
        <v>0</v>
      </c>
      <c r="AR535" s="10">
        <v>8140</v>
      </c>
      <c r="AS535" s="10">
        <f t="shared" si="193"/>
        <v>20563.579999999958</v>
      </c>
      <c r="AT535" s="10">
        <v>568859.24</v>
      </c>
      <c r="AU535" s="12">
        <v>0</v>
      </c>
      <c r="AV535" s="12">
        <v>0</v>
      </c>
      <c r="AW535" s="12">
        <v>0</v>
      </c>
      <c r="AX535" s="12">
        <f t="shared" si="214"/>
        <v>0</v>
      </c>
      <c r="AY535" s="12">
        <v>0</v>
      </c>
      <c r="AZ535" s="12">
        <v>0</v>
      </c>
      <c r="BA535" s="12">
        <v>0</v>
      </c>
      <c r="BB535" s="12">
        <f t="shared" si="215"/>
        <v>0</v>
      </c>
      <c r="BC535" s="12">
        <v>0</v>
      </c>
      <c r="BD535" s="12">
        <v>0</v>
      </c>
      <c r="BE535" s="12">
        <v>0</v>
      </c>
      <c r="BF535" s="12">
        <v>0</v>
      </c>
    </row>
    <row r="536" spans="1:58" x14ac:dyDescent="0.25">
      <c r="A536" s="7">
        <v>4208</v>
      </c>
      <c r="B536" s="7">
        <v>7</v>
      </c>
      <c r="C536" s="7" t="s">
        <v>537</v>
      </c>
      <c r="D536" s="4">
        <v>7</v>
      </c>
      <c r="E536" s="10">
        <v>155</v>
      </c>
      <c r="F536" s="8">
        <f t="shared" si="194"/>
        <v>4814.75</v>
      </c>
      <c r="G536" s="8">
        <f t="shared" si="195"/>
        <v>3832.3799999999997</v>
      </c>
      <c r="H536" s="8">
        <f t="shared" si="196"/>
        <v>0</v>
      </c>
      <c r="I536" s="8">
        <f t="shared" si="197"/>
        <v>-1.1141310096718371E-10</v>
      </c>
      <c r="J536" s="8">
        <f t="shared" si="198"/>
        <v>8647.1299999998882</v>
      </c>
      <c r="K536" s="8">
        <f t="shared" si="199"/>
        <v>703.60000000000036</v>
      </c>
      <c r="L536" s="8">
        <f t="shared" si="200"/>
        <v>9350.7299999998886</v>
      </c>
      <c r="M536" s="8">
        <f t="shared" si="201"/>
        <v>55.78793548387025</v>
      </c>
      <c r="N536" s="8">
        <f t="shared" si="202"/>
        <v>3564</v>
      </c>
      <c r="O536" s="8">
        <f t="shared" si="203"/>
        <v>0</v>
      </c>
      <c r="P536" s="8">
        <f t="shared" si="204"/>
        <v>0</v>
      </c>
      <c r="Q536" s="8">
        <f t="shared" si="205"/>
        <v>1235.75</v>
      </c>
      <c r="R536" s="8">
        <f t="shared" si="206"/>
        <v>15</v>
      </c>
      <c r="S536" s="8">
        <f t="shared" si="207"/>
        <v>0</v>
      </c>
      <c r="T536" s="8">
        <f t="shared" si="208"/>
        <v>3832.3799999999997</v>
      </c>
      <c r="U536" s="8">
        <f t="shared" si="209"/>
        <v>0</v>
      </c>
      <c r="V536" s="8">
        <f t="shared" si="210"/>
        <v>0</v>
      </c>
      <c r="W536" s="8">
        <f t="shared" si="211"/>
        <v>0</v>
      </c>
      <c r="X536" s="8">
        <f t="shared" si="212"/>
        <v>8647.1299999998882</v>
      </c>
      <c r="Y536" s="10">
        <v>827645</v>
      </c>
      <c r="Z536" s="10">
        <v>0</v>
      </c>
      <c r="AA536" s="10">
        <v>37</v>
      </c>
      <c r="AB536" s="10">
        <v>245519</v>
      </c>
      <c r="AC536" s="10">
        <v>3876</v>
      </c>
      <c r="AD536" s="10">
        <v>0</v>
      </c>
      <c r="AE536" s="10">
        <v>0</v>
      </c>
      <c r="AF536" s="10">
        <v>0</v>
      </c>
      <c r="AG536" s="10">
        <v>16672</v>
      </c>
      <c r="AH536" s="10">
        <f t="shared" si="213"/>
        <v>47707.314000000013</v>
      </c>
      <c r="AI536" s="10">
        <v>1141456.314</v>
      </c>
      <c r="AJ536" s="10">
        <v>831209</v>
      </c>
      <c r="AK536" s="10">
        <v>0</v>
      </c>
      <c r="AL536" s="10">
        <v>37</v>
      </c>
      <c r="AM536" s="10">
        <v>246754.75</v>
      </c>
      <c r="AN536" s="10">
        <v>3891</v>
      </c>
      <c r="AO536" s="10">
        <v>0</v>
      </c>
      <c r="AP536" s="10">
        <v>3832.3799999999997</v>
      </c>
      <c r="AQ536" s="10">
        <v>0</v>
      </c>
      <c r="AR536" s="10">
        <v>16672</v>
      </c>
      <c r="AS536" s="10">
        <f t="shared" si="193"/>
        <v>47707.314000000013</v>
      </c>
      <c r="AT536" s="10">
        <v>1150103.4439999999</v>
      </c>
      <c r="AU536" s="12">
        <v>0</v>
      </c>
      <c r="AV536" s="12">
        <v>0</v>
      </c>
      <c r="AW536" s="12">
        <v>1266.5</v>
      </c>
      <c r="AX536" s="12">
        <f t="shared" si="214"/>
        <v>1266.5</v>
      </c>
      <c r="AY536" s="12">
        <v>0</v>
      </c>
      <c r="AZ536" s="12">
        <v>0</v>
      </c>
      <c r="BA536" s="12">
        <v>1970.1</v>
      </c>
      <c r="BB536" s="12">
        <f t="shared" si="215"/>
        <v>1970.1</v>
      </c>
      <c r="BC536" s="12">
        <v>0</v>
      </c>
      <c r="BD536" s="12">
        <v>0</v>
      </c>
      <c r="BE536" s="12">
        <v>703.60000000000036</v>
      </c>
      <c r="BF536" s="12">
        <v>703.60000000000036</v>
      </c>
    </row>
    <row r="537" spans="1:58" x14ac:dyDescent="0.25">
      <c r="A537" s="7">
        <v>4209</v>
      </c>
      <c r="B537" s="7">
        <v>7</v>
      </c>
      <c r="C537" s="7" t="s">
        <v>538</v>
      </c>
      <c r="D537" s="4">
        <v>7</v>
      </c>
      <c r="E537" s="10">
        <v>300</v>
      </c>
      <c r="F537" s="8">
        <f t="shared" si="194"/>
        <v>9404</v>
      </c>
      <c r="G537" s="8">
        <f t="shared" si="195"/>
        <v>0</v>
      </c>
      <c r="H537" s="8">
        <f t="shared" si="196"/>
        <v>0</v>
      </c>
      <c r="I537" s="8">
        <f t="shared" si="197"/>
        <v>2</v>
      </c>
      <c r="J537" s="8">
        <f t="shared" si="198"/>
        <v>9406</v>
      </c>
      <c r="K537" s="8">
        <f t="shared" si="199"/>
        <v>139.59999999999854</v>
      </c>
      <c r="L537" s="8">
        <f t="shared" si="200"/>
        <v>9545.5999999999985</v>
      </c>
      <c r="M537" s="8">
        <f t="shared" si="201"/>
        <v>31.353333333333332</v>
      </c>
      <c r="N537" s="8">
        <f t="shared" si="202"/>
        <v>6825</v>
      </c>
      <c r="O537" s="8">
        <f t="shared" si="203"/>
        <v>0</v>
      </c>
      <c r="P537" s="8">
        <f t="shared" si="204"/>
        <v>0</v>
      </c>
      <c r="Q537" s="8">
        <f t="shared" si="205"/>
        <v>2550</v>
      </c>
      <c r="R537" s="8">
        <f t="shared" si="206"/>
        <v>29</v>
      </c>
      <c r="S537" s="8">
        <f t="shared" si="207"/>
        <v>0</v>
      </c>
      <c r="T537" s="8">
        <f t="shared" si="208"/>
        <v>0</v>
      </c>
      <c r="U537" s="8">
        <f t="shared" si="209"/>
        <v>0</v>
      </c>
      <c r="V537" s="8">
        <f t="shared" si="210"/>
        <v>2</v>
      </c>
      <c r="W537" s="8">
        <f t="shared" si="211"/>
        <v>0</v>
      </c>
      <c r="X537" s="8">
        <f t="shared" si="212"/>
        <v>9406</v>
      </c>
      <c r="Y537" s="10">
        <v>1585038</v>
      </c>
      <c r="Z537" s="10">
        <v>0</v>
      </c>
      <c r="AA537" s="10">
        <v>71</v>
      </c>
      <c r="AB537" s="10">
        <v>506634</v>
      </c>
      <c r="AC537" s="10">
        <v>7424</v>
      </c>
      <c r="AD537" s="10">
        <v>0</v>
      </c>
      <c r="AE537" s="10">
        <v>49750</v>
      </c>
      <c r="AF537" s="10">
        <v>0</v>
      </c>
      <c r="AG537" s="10">
        <v>31928</v>
      </c>
      <c r="AH537" s="10">
        <f t="shared" si="213"/>
        <v>1098145.92</v>
      </c>
      <c r="AI537" s="10">
        <v>3278990.92</v>
      </c>
      <c r="AJ537" s="10">
        <v>1591863</v>
      </c>
      <c r="AK537" s="10">
        <v>0</v>
      </c>
      <c r="AL537" s="10">
        <v>71</v>
      </c>
      <c r="AM537" s="10">
        <v>509184</v>
      </c>
      <c r="AN537" s="10">
        <v>7453</v>
      </c>
      <c r="AO537" s="10">
        <v>0</v>
      </c>
      <c r="AP537" s="10">
        <v>49750</v>
      </c>
      <c r="AQ537" s="10">
        <v>0</v>
      </c>
      <c r="AR537" s="10">
        <v>31930</v>
      </c>
      <c r="AS537" s="10">
        <f t="shared" si="193"/>
        <v>1098145.92</v>
      </c>
      <c r="AT537" s="10">
        <v>3288396.92</v>
      </c>
      <c r="AU537" s="12">
        <v>0</v>
      </c>
      <c r="AV537" s="12">
        <v>0</v>
      </c>
      <c r="AW537" s="12">
        <v>2257.875</v>
      </c>
      <c r="AX537" s="12">
        <f t="shared" si="214"/>
        <v>2257.875</v>
      </c>
      <c r="AY537" s="12">
        <v>0</v>
      </c>
      <c r="AZ537" s="12">
        <v>0</v>
      </c>
      <c r="BA537" s="12">
        <v>2397.4749999999999</v>
      </c>
      <c r="BB537" s="12">
        <f t="shared" si="215"/>
        <v>2397.4749999999999</v>
      </c>
      <c r="BC537" s="12">
        <v>0</v>
      </c>
      <c r="BD537" s="12">
        <v>0</v>
      </c>
      <c r="BE537" s="12">
        <v>139.59999999999854</v>
      </c>
      <c r="BF537" s="12">
        <v>139.59999999999854</v>
      </c>
    </row>
    <row r="538" spans="1:58" x14ac:dyDescent="0.25">
      <c r="A538" s="7">
        <v>4210</v>
      </c>
      <c r="B538" s="7">
        <v>7</v>
      </c>
      <c r="C538" s="7" t="s">
        <v>539</v>
      </c>
      <c r="D538" s="4">
        <v>7</v>
      </c>
      <c r="E538" s="10">
        <v>174</v>
      </c>
      <c r="F538" s="8">
        <f t="shared" si="194"/>
        <v>4761</v>
      </c>
      <c r="G538" s="8">
        <f t="shared" si="195"/>
        <v>0</v>
      </c>
      <c r="H538" s="8">
        <f t="shared" si="196"/>
        <v>0</v>
      </c>
      <c r="I538" s="8">
        <f t="shared" si="197"/>
        <v>1</v>
      </c>
      <c r="J538" s="8">
        <f t="shared" si="198"/>
        <v>4762</v>
      </c>
      <c r="K538" s="8">
        <f t="shared" si="199"/>
        <v>0</v>
      </c>
      <c r="L538" s="8">
        <f t="shared" si="200"/>
        <v>4762</v>
      </c>
      <c r="M538" s="8">
        <f t="shared" si="201"/>
        <v>27.367816091954023</v>
      </c>
      <c r="N538" s="8">
        <f t="shared" si="202"/>
        <v>4550</v>
      </c>
      <c r="O538" s="8">
        <f t="shared" si="203"/>
        <v>0</v>
      </c>
      <c r="P538" s="8">
        <f t="shared" si="204"/>
        <v>0</v>
      </c>
      <c r="Q538" s="8">
        <f t="shared" si="205"/>
        <v>192</v>
      </c>
      <c r="R538" s="8">
        <f t="shared" si="206"/>
        <v>19</v>
      </c>
      <c r="S538" s="8">
        <f t="shared" si="207"/>
        <v>0</v>
      </c>
      <c r="T538" s="8">
        <f t="shared" si="208"/>
        <v>0</v>
      </c>
      <c r="U538" s="8">
        <f t="shared" si="209"/>
        <v>0</v>
      </c>
      <c r="V538" s="8">
        <f t="shared" si="210"/>
        <v>1</v>
      </c>
      <c r="W538" s="8">
        <f t="shared" si="211"/>
        <v>0</v>
      </c>
      <c r="X538" s="8">
        <f t="shared" si="212"/>
        <v>4762</v>
      </c>
      <c r="Y538" s="10">
        <v>1056692</v>
      </c>
      <c r="Z538" s="10">
        <v>0</v>
      </c>
      <c r="AA538" s="10">
        <v>0</v>
      </c>
      <c r="AB538" s="10">
        <v>38147</v>
      </c>
      <c r="AC538" s="10">
        <v>4949</v>
      </c>
      <c r="AD538" s="10">
        <v>0</v>
      </c>
      <c r="AE538" s="10">
        <v>42500</v>
      </c>
      <c r="AF538" s="10">
        <v>0</v>
      </c>
      <c r="AG538" s="10">
        <v>21285</v>
      </c>
      <c r="AH538" s="10">
        <f t="shared" si="213"/>
        <v>54431.75</v>
      </c>
      <c r="AI538" s="10">
        <v>1218004.75</v>
      </c>
      <c r="AJ538" s="10">
        <v>1061242</v>
      </c>
      <c r="AK538" s="10">
        <v>0</v>
      </c>
      <c r="AL538" s="10">
        <v>0</v>
      </c>
      <c r="AM538" s="10">
        <v>38339</v>
      </c>
      <c r="AN538" s="10">
        <v>4968</v>
      </c>
      <c r="AO538" s="10">
        <v>0</v>
      </c>
      <c r="AP538" s="10">
        <v>42500</v>
      </c>
      <c r="AQ538" s="10">
        <v>0</v>
      </c>
      <c r="AR538" s="10">
        <v>21286</v>
      </c>
      <c r="AS538" s="10">
        <f t="shared" si="193"/>
        <v>54431.75</v>
      </c>
      <c r="AT538" s="10">
        <v>1222766.75</v>
      </c>
      <c r="AU538" s="12">
        <v>0</v>
      </c>
      <c r="AV538" s="12">
        <v>0</v>
      </c>
      <c r="AW538" s="12">
        <v>0</v>
      </c>
      <c r="AX538" s="12">
        <f t="shared" si="214"/>
        <v>0</v>
      </c>
      <c r="AY538" s="12">
        <v>0</v>
      </c>
      <c r="AZ538" s="12">
        <v>0</v>
      </c>
      <c r="BA538" s="12">
        <v>0</v>
      </c>
      <c r="BB538" s="12">
        <f t="shared" si="215"/>
        <v>0</v>
      </c>
      <c r="BC538" s="12">
        <v>0</v>
      </c>
      <c r="BD538" s="12">
        <v>0</v>
      </c>
      <c r="BE538" s="12">
        <v>0</v>
      </c>
      <c r="BF538" s="12">
        <v>0</v>
      </c>
    </row>
    <row r="539" spans="1:58" x14ac:dyDescent="0.25">
      <c r="A539" s="7">
        <v>4211</v>
      </c>
      <c r="B539" s="7">
        <v>7</v>
      </c>
      <c r="C539" s="7" t="s">
        <v>540</v>
      </c>
      <c r="D539" s="4">
        <v>7</v>
      </c>
      <c r="E539" s="10">
        <v>67</v>
      </c>
      <c r="F539" s="8">
        <f t="shared" si="194"/>
        <v>2026</v>
      </c>
      <c r="G539" s="8">
        <f t="shared" si="195"/>
        <v>1057</v>
      </c>
      <c r="H539" s="8">
        <f t="shared" si="196"/>
        <v>0</v>
      </c>
      <c r="I539" s="8">
        <f t="shared" si="197"/>
        <v>0</v>
      </c>
      <c r="J539" s="8">
        <f t="shared" si="198"/>
        <v>3083</v>
      </c>
      <c r="K539" s="8">
        <f t="shared" si="199"/>
        <v>0</v>
      </c>
      <c r="L539" s="8">
        <f t="shared" si="200"/>
        <v>3083</v>
      </c>
      <c r="M539" s="8">
        <f t="shared" si="201"/>
        <v>46.014925373134325</v>
      </c>
      <c r="N539" s="8">
        <f t="shared" si="202"/>
        <v>1225</v>
      </c>
      <c r="O539" s="8">
        <f t="shared" si="203"/>
        <v>0</v>
      </c>
      <c r="P539" s="8">
        <f t="shared" si="204"/>
        <v>0</v>
      </c>
      <c r="Q539" s="8">
        <f t="shared" si="205"/>
        <v>795</v>
      </c>
      <c r="R539" s="8">
        <f t="shared" si="206"/>
        <v>6</v>
      </c>
      <c r="S539" s="8">
        <f t="shared" si="207"/>
        <v>0</v>
      </c>
      <c r="T539" s="8">
        <f t="shared" si="208"/>
        <v>1057</v>
      </c>
      <c r="U539" s="8">
        <f t="shared" si="209"/>
        <v>0</v>
      </c>
      <c r="V539" s="8">
        <f t="shared" si="210"/>
        <v>0</v>
      </c>
      <c r="W539" s="8">
        <f t="shared" si="211"/>
        <v>0</v>
      </c>
      <c r="X539" s="8">
        <f t="shared" si="212"/>
        <v>3083</v>
      </c>
      <c r="Y539" s="10">
        <v>284494</v>
      </c>
      <c r="Z539" s="10">
        <v>0</v>
      </c>
      <c r="AA539" s="10">
        <v>13</v>
      </c>
      <c r="AB539" s="10">
        <v>157951</v>
      </c>
      <c r="AC539" s="10">
        <v>1332</v>
      </c>
      <c r="AD539" s="10">
        <v>0</v>
      </c>
      <c r="AE539" s="10">
        <v>0</v>
      </c>
      <c r="AF539" s="10">
        <v>0</v>
      </c>
      <c r="AG539" s="10">
        <v>5731</v>
      </c>
      <c r="AH539" s="10">
        <f t="shared" si="213"/>
        <v>15249.799999999988</v>
      </c>
      <c r="AI539" s="10">
        <v>464770.8</v>
      </c>
      <c r="AJ539" s="10">
        <v>285719</v>
      </c>
      <c r="AK539" s="10">
        <v>0</v>
      </c>
      <c r="AL539" s="10">
        <v>13</v>
      </c>
      <c r="AM539" s="10">
        <v>158746</v>
      </c>
      <c r="AN539" s="10">
        <v>1338</v>
      </c>
      <c r="AO539" s="10">
        <v>0</v>
      </c>
      <c r="AP539" s="10">
        <v>1057</v>
      </c>
      <c r="AQ539" s="10">
        <v>0</v>
      </c>
      <c r="AR539" s="10">
        <v>5731</v>
      </c>
      <c r="AS539" s="10">
        <f t="shared" si="193"/>
        <v>15249.799999999988</v>
      </c>
      <c r="AT539" s="10">
        <v>467853.8</v>
      </c>
      <c r="AU539" s="12">
        <v>0</v>
      </c>
      <c r="AV539" s="12">
        <v>0</v>
      </c>
      <c r="AW539" s="12">
        <v>0</v>
      </c>
      <c r="AX539" s="12">
        <f t="shared" si="214"/>
        <v>0</v>
      </c>
      <c r="AY539" s="12">
        <v>0</v>
      </c>
      <c r="AZ539" s="12">
        <v>0</v>
      </c>
      <c r="BA539" s="12">
        <v>0</v>
      </c>
      <c r="BB539" s="12">
        <f t="shared" si="215"/>
        <v>0</v>
      </c>
      <c r="BC539" s="12">
        <v>0</v>
      </c>
      <c r="BD539" s="12">
        <v>0</v>
      </c>
      <c r="BE539" s="12">
        <v>0</v>
      </c>
      <c r="BF539" s="12">
        <v>0</v>
      </c>
    </row>
    <row r="540" spans="1:58" x14ac:dyDescent="0.25">
      <c r="A540" s="7">
        <v>4212</v>
      </c>
      <c r="B540" s="7">
        <v>7</v>
      </c>
      <c r="C540" s="7" t="s">
        <v>541</v>
      </c>
      <c r="D540" s="4">
        <v>7</v>
      </c>
      <c r="E540" s="10">
        <v>96</v>
      </c>
      <c r="F540" s="8">
        <f t="shared" si="194"/>
        <v>3842.5</v>
      </c>
      <c r="G540" s="8">
        <f t="shared" si="195"/>
        <v>2123.06</v>
      </c>
      <c r="H540" s="8">
        <f t="shared" si="196"/>
        <v>0</v>
      </c>
      <c r="I540" s="8">
        <f t="shared" si="197"/>
        <v>5.5933924159035087E-11</v>
      </c>
      <c r="J540" s="8">
        <f t="shared" si="198"/>
        <v>5965.5600000000559</v>
      </c>
      <c r="K540" s="8">
        <f t="shared" si="199"/>
        <v>0</v>
      </c>
      <c r="L540" s="8">
        <f t="shared" si="200"/>
        <v>5965.5600000000559</v>
      </c>
      <c r="M540" s="8">
        <f t="shared" si="201"/>
        <v>62.141250000000582</v>
      </c>
      <c r="N540" s="8">
        <f t="shared" si="202"/>
        <v>2400</v>
      </c>
      <c r="O540" s="8">
        <f t="shared" si="203"/>
        <v>0</v>
      </c>
      <c r="P540" s="8">
        <f t="shared" si="204"/>
        <v>0</v>
      </c>
      <c r="Q540" s="8">
        <f t="shared" si="205"/>
        <v>1432.5</v>
      </c>
      <c r="R540" s="8">
        <f t="shared" si="206"/>
        <v>10</v>
      </c>
      <c r="S540" s="8">
        <f t="shared" si="207"/>
        <v>0</v>
      </c>
      <c r="T540" s="8">
        <f t="shared" si="208"/>
        <v>2123.06</v>
      </c>
      <c r="U540" s="8">
        <f t="shared" si="209"/>
        <v>0</v>
      </c>
      <c r="V540" s="8">
        <f t="shared" si="210"/>
        <v>0</v>
      </c>
      <c r="W540" s="8">
        <f t="shared" si="211"/>
        <v>0</v>
      </c>
      <c r="X540" s="8">
        <f t="shared" si="212"/>
        <v>5965.5600000000559</v>
      </c>
      <c r="Y540" s="10">
        <v>557376</v>
      </c>
      <c r="Z540" s="10">
        <v>0</v>
      </c>
      <c r="AA540" s="10">
        <v>25</v>
      </c>
      <c r="AB540" s="10">
        <v>284609</v>
      </c>
      <c r="AC540" s="10">
        <v>2611</v>
      </c>
      <c r="AD540" s="10">
        <v>0</v>
      </c>
      <c r="AE540" s="10">
        <v>0</v>
      </c>
      <c r="AF540" s="10">
        <v>0</v>
      </c>
      <c r="AG540" s="10">
        <v>11228</v>
      </c>
      <c r="AH540" s="10">
        <f t="shared" si="213"/>
        <v>28835.589999999967</v>
      </c>
      <c r="AI540" s="10">
        <v>884684.59</v>
      </c>
      <c r="AJ540" s="10">
        <v>559776</v>
      </c>
      <c r="AK540" s="10">
        <v>0</v>
      </c>
      <c r="AL540" s="10">
        <v>25</v>
      </c>
      <c r="AM540" s="10">
        <v>286041.5</v>
      </c>
      <c r="AN540" s="10">
        <v>2621</v>
      </c>
      <c r="AO540" s="10">
        <v>0</v>
      </c>
      <c r="AP540" s="10">
        <v>2123.06</v>
      </c>
      <c r="AQ540" s="10">
        <v>0</v>
      </c>
      <c r="AR540" s="10">
        <v>11228</v>
      </c>
      <c r="AS540" s="10">
        <f t="shared" si="193"/>
        <v>28835.589999999967</v>
      </c>
      <c r="AT540" s="10">
        <v>890650.15</v>
      </c>
      <c r="AU540" s="12">
        <v>0</v>
      </c>
      <c r="AV540" s="12">
        <v>0</v>
      </c>
      <c r="AW540" s="12">
        <v>0</v>
      </c>
      <c r="AX540" s="12">
        <f t="shared" si="214"/>
        <v>0</v>
      </c>
      <c r="AY540" s="12">
        <v>0</v>
      </c>
      <c r="AZ540" s="12">
        <v>0</v>
      </c>
      <c r="BA540" s="12">
        <v>0</v>
      </c>
      <c r="BB540" s="12">
        <f t="shared" si="215"/>
        <v>0</v>
      </c>
      <c r="BC540" s="12">
        <v>0</v>
      </c>
      <c r="BD540" s="12">
        <v>0</v>
      </c>
      <c r="BE540" s="12">
        <v>0</v>
      </c>
      <c r="BF540" s="12">
        <v>0</v>
      </c>
    </row>
    <row r="541" spans="1:58" x14ac:dyDescent="0.25">
      <c r="A541" s="7">
        <v>4213</v>
      </c>
      <c r="B541" s="7">
        <v>7</v>
      </c>
      <c r="C541" s="7" t="s">
        <v>542</v>
      </c>
      <c r="D541" s="4">
        <v>7</v>
      </c>
      <c r="E541" s="10">
        <v>63</v>
      </c>
      <c r="F541" s="8">
        <f t="shared" si="194"/>
        <v>1815</v>
      </c>
      <c r="G541" s="8">
        <f t="shared" si="195"/>
        <v>1087.2</v>
      </c>
      <c r="H541" s="8">
        <f t="shared" si="196"/>
        <v>0</v>
      </c>
      <c r="I541" s="8">
        <f t="shared" si="197"/>
        <v>1.0000000000115961</v>
      </c>
      <c r="J541" s="8">
        <f t="shared" si="198"/>
        <v>2903.2000000000116</v>
      </c>
      <c r="K541" s="8">
        <f t="shared" si="199"/>
        <v>0</v>
      </c>
      <c r="L541" s="8">
        <f t="shared" si="200"/>
        <v>2903.2000000000116</v>
      </c>
      <c r="M541" s="8">
        <f t="shared" si="201"/>
        <v>46.082539682539867</v>
      </c>
      <c r="N541" s="8">
        <f t="shared" si="202"/>
        <v>866</v>
      </c>
      <c r="O541" s="8">
        <f t="shared" si="203"/>
        <v>0</v>
      </c>
      <c r="P541" s="8">
        <f t="shared" si="204"/>
        <v>0</v>
      </c>
      <c r="Q541" s="8">
        <f t="shared" si="205"/>
        <v>945</v>
      </c>
      <c r="R541" s="8">
        <f t="shared" si="206"/>
        <v>4</v>
      </c>
      <c r="S541" s="8">
        <f t="shared" si="207"/>
        <v>0</v>
      </c>
      <c r="T541" s="8">
        <f t="shared" si="208"/>
        <v>1087.2</v>
      </c>
      <c r="U541" s="8">
        <f t="shared" si="209"/>
        <v>0</v>
      </c>
      <c r="V541" s="8">
        <f t="shared" si="210"/>
        <v>1</v>
      </c>
      <c r="W541" s="8">
        <f t="shared" si="211"/>
        <v>0</v>
      </c>
      <c r="X541" s="8">
        <f t="shared" si="212"/>
        <v>2903.2000000000116</v>
      </c>
      <c r="Y541" s="10">
        <v>201178</v>
      </c>
      <c r="Z541" s="10">
        <v>0</v>
      </c>
      <c r="AA541" s="10">
        <v>9</v>
      </c>
      <c r="AB541" s="10">
        <v>187753</v>
      </c>
      <c r="AC541" s="10">
        <v>942</v>
      </c>
      <c r="AD541" s="10">
        <v>0</v>
      </c>
      <c r="AE541" s="10">
        <v>0</v>
      </c>
      <c r="AF541" s="10">
        <v>0</v>
      </c>
      <c r="AG541" s="10">
        <v>4052</v>
      </c>
      <c r="AH541" s="10">
        <f t="shared" si="213"/>
        <v>11245.479999999981</v>
      </c>
      <c r="AI541" s="10">
        <v>405179.48</v>
      </c>
      <c r="AJ541" s="10">
        <v>202044</v>
      </c>
      <c r="AK541" s="10">
        <v>0</v>
      </c>
      <c r="AL541" s="10">
        <v>9</v>
      </c>
      <c r="AM541" s="10">
        <v>188698</v>
      </c>
      <c r="AN541" s="10">
        <v>946</v>
      </c>
      <c r="AO541" s="10">
        <v>0</v>
      </c>
      <c r="AP541" s="10">
        <v>1087.2</v>
      </c>
      <c r="AQ541" s="10">
        <v>0</v>
      </c>
      <c r="AR541" s="10">
        <v>4053</v>
      </c>
      <c r="AS541" s="10">
        <f t="shared" si="193"/>
        <v>11245.479999999981</v>
      </c>
      <c r="AT541" s="10">
        <v>408082.68</v>
      </c>
      <c r="AU541" s="12">
        <v>0</v>
      </c>
      <c r="AV541" s="12">
        <v>0</v>
      </c>
      <c r="AW541" s="12">
        <v>0</v>
      </c>
      <c r="AX541" s="12">
        <f t="shared" si="214"/>
        <v>0</v>
      </c>
      <c r="AY541" s="12">
        <v>0</v>
      </c>
      <c r="AZ541" s="12">
        <v>0</v>
      </c>
      <c r="BA541" s="12">
        <v>0</v>
      </c>
      <c r="BB541" s="12">
        <f t="shared" si="215"/>
        <v>0</v>
      </c>
      <c r="BC541" s="12">
        <v>0</v>
      </c>
      <c r="BD541" s="12">
        <v>0</v>
      </c>
      <c r="BE541" s="12">
        <v>0</v>
      </c>
      <c r="BF541" s="12">
        <v>0</v>
      </c>
    </row>
    <row r="542" spans="1:58" x14ac:dyDescent="0.25">
      <c r="A542" s="7">
        <v>4214</v>
      </c>
      <c r="B542" s="7">
        <v>7</v>
      </c>
      <c r="C542" s="7" t="s">
        <v>543</v>
      </c>
      <c r="D542" s="4">
        <v>7</v>
      </c>
      <c r="E542" s="10">
        <v>39</v>
      </c>
      <c r="F542" s="8">
        <f t="shared" si="194"/>
        <v>929.75</v>
      </c>
      <c r="G542" s="8">
        <f t="shared" si="195"/>
        <v>1510</v>
      </c>
      <c r="H542" s="8">
        <f t="shared" si="196"/>
        <v>0</v>
      </c>
      <c r="I542" s="8">
        <f t="shared" si="197"/>
        <v>-62</v>
      </c>
      <c r="J542" s="8">
        <f t="shared" si="198"/>
        <v>2377.75</v>
      </c>
      <c r="K542" s="8">
        <f t="shared" si="199"/>
        <v>0</v>
      </c>
      <c r="L542" s="8">
        <f t="shared" si="200"/>
        <v>2377.75</v>
      </c>
      <c r="M542" s="8">
        <f t="shared" si="201"/>
        <v>60.967948717948715</v>
      </c>
      <c r="N542" s="8">
        <f t="shared" si="202"/>
        <v>852</v>
      </c>
      <c r="O542" s="8">
        <f t="shared" si="203"/>
        <v>0</v>
      </c>
      <c r="P542" s="8">
        <f t="shared" si="204"/>
        <v>23</v>
      </c>
      <c r="Q542" s="8">
        <f t="shared" si="205"/>
        <v>50.75</v>
      </c>
      <c r="R542" s="8">
        <f t="shared" si="206"/>
        <v>4</v>
      </c>
      <c r="S542" s="8">
        <f t="shared" si="207"/>
        <v>0</v>
      </c>
      <c r="T542" s="8">
        <f t="shared" si="208"/>
        <v>1510</v>
      </c>
      <c r="U542" s="8">
        <f t="shared" si="209"/>
        <v>0</v>
      </c>
      <c r="V542" s="8">
        <f t="shared" si="210"/>
        <v>0</v>
      </c>
      <c r="W542" s="8">
        <f t="shared" si="211"/>
        <v>-62</v>
      </c>
      <c r="X542" s="8">
        <f t="shared" si="212"/>
        <v>2377.75</v>
      </c>
      <c r="Y542" s="10">
        <v>197694</v>
      </c>
      <c r="Z542" s="10">
        <v>0</v>
      </c>
      <c r="AA542" s="10">
        <v>5248</v>
      </c>
      <c r="AB542" s="10">
        <v>10083</v>
      </c>
      <c r="AC542" s="10">
        <v>926</v>
      </c>
      <c r="AD542" s="10">
        <v>0</v>
      </c>
      <c r="AE542" s="10">
        <v>0</v>
      </c>
      <c r="AF542" s="10">
        <v>0</v>
      </c>
      <c r="AG542" s="10">
        <v>3982</v>
      </c>
      <c r="AH542" s="10">
        <f t="shared" si="213"/>
        <v>-4086.4200000000128</v>
      </c>
      <c r="AI542" s="10">
        <v>213846.58</v>
      </c>
      <c r="AJ542" s="10">
        <v>198546</v>
      </c>
      <c r="AK542" s="10">
        <v>0</v>
      </c>
      <c r="AL542" s="10">
        <v>5271</v>
      </c>
      <c r="AM542" s="10">
        <v>10133.75</v>
      </c>
      <c r="AN542" s="10">
        <v>930</v>
      </c>
      <c r="AO542" s="10">
        <v>0</v>
      </c>
      <c r="AP542" s="10">
        <v>1510</v>
      </c>
      <c r="AQ542" s="10">
        <v>0</v>
      </c>
      <c r="AR542" s="10">
        <v>3982</v>
      </c>
      <c r="AS542" s="10">
        <f t="shared" si="193"/>
        <v>-4148.4200000000128</v>
      </c>
      <c r="AT542" s="10">
        <v>216224.33</v>
      </c>
      <c r="AU542" s="12">
        <v>0</v>
      </c>
      <c r="AV542" s="12">
        <v>0</v>
      </c>
      <c r="AW542" s="12">
        <v>0</v>
      </c>
      <c r="AX542" s="12">
        <f t="shared" si="214"/>
        <v>0</v>
      </c>
      <c r="AY542" s="12">
        <v>0</v>
      </c>
      <c r="AZ542" s="12">
        <v>0</v>
      </c>
      <c r="BA542" s="12">
        <v>0</v>
      </c>
      <c r="BB542" s="12">
        <f t="shared" si="215"/>
        <v>0</v>
      </c>
      <c r="BC542" s="12">
        <v>0</v>
      </c>
      <c r="BD542" s="12">
        <v>0</v>
      </c>
      <c r="BE542" s="12">
        <v>0</v>
      </c>
      <c r="BF542" s="12">
        <v>0</v>
      </c>
    </row>
    <row r="543" spans="1:58" x14ac:dyDescent="0.25">
      <c r="A543" s="7">
        <v>4218</v>
      </c>
      <c r="B543" s="7">
        <v>7</v>
      </c>
      <c r="C543" s="7" t="s">
        <v>544</v>
      </c>
      <c r="D543" s="4">
        <v>7</v>
      </c>
      <c r="E543" s="10">
        <v>112</v>
      </c>
      <c r="F543" s="8">
        <f t="shared" si="194"/>
        <v>4661.5</v>
      </c>
      <c r="G543" s="8">
        <f t="shared" si="195"/>
        <v>2114</v>
      </c>
      <c r="H543" s="8">
        <f t="shared" si="196"/>
        <v>0</v>
      </c>
      <c r="I543" s="8">
        <f t="shared" si="197"/>
        <v>1</v>
      </c>
      <c r="J543" s="8">
        <f t="shared" si="198"/>
        <v>6776.5</v>
      </c>
      <c r="K543" s="8">
        <f t="shared" si="199"/>
        <v>0</v>
      </c>
      <c r="L543" s="8">
        <f t="shared" si="200"/>
        <v>6776.5</v>
      </c>
      <c r="M543" s="8">
        <f t="shared" si="201"/>
        <v>60.504464285714285</v>
      </c>
      <c r="N543" s="8">
        <f t="shared" si="202"/>
        <v>3035</v>
      </c>
      <c r="O543" s="8">
        <f t="shared" si="203"/>
        <v>0</v>
      </c>
      <c r="P543" s="8">
        <f t="shared" si="204"/>
        <v>1</v>
      </c>
      <c r="Q543" s="8">
        <f t="shared" si="205"/>
        <v>1612.5</v>
      </c>
      <c r="R543" s="8">
        <f t="shared" si="206"/>
        <v>13</v>
      </c>
      <c r="S543" s="8">
        <f t="shared" si="207"/>
        <v>0</v>
      </c>
      <c r="T543" s="8">
        <f t="shared" si="208"/>
        <v>2114</v>
      </c>
      <c r="U543" s="8">
        <f t="shared" si="209"/>
        <v>0</v>
      </c>
      <c r="V543" s="8">
        <f t="shared" si="210"/>
        <v>1</v>
      </c>
      <c r="W543" s="8">
        <f t="shared" si="211"/>
        <v>0</v>
      </c>
      <c r="X543" s="8">
        <f t="shared" si="212"/>
        <v>6776.5</v>
      </c>
      <c r="Y543" s="10">
        <v>704848</v>
      </c>
      <c r="Z543" s="10">
        <v>0</v>
      </c>
      <c r="AA543" s="10">
        <v>31</v>
      </c>
      <c r="AB543" s="10">
        <v>320372</v>
      </c>
      <c r="AC543" s="10">
        <v>3301</v>
      </c>
      <c r="AD543" s="10">
        <v>0</v>
      </c>
      <c r="AE543" s="10">
        <v>0</v>
      </c>
      <c r="AF543" s="10">
        <v>0</v>
      </c>
      <c r="AG543" s="10">
        <v>14198</v>
      </c>
      <c r="AH543" s="10">
        <f t="shared" si="213"/>
        <v>36186.850000000093</v>
      </c>
      <c r="AI543" s="10">
        <v>1078936.8500000001</v>
      </c>
      <c r="AJ543" s="10">
        <v>707883</v>
      </c>
      <c r="AK543" s="10">
        <v>0</v>
      </c>
      <c r="AL543" s="10">
        <v>32</v>
      </c>
      <c r="AM543" s="10">
        <v>321984.5</v>
      </c>
      <c r="AN543" s="10">
        <v>3314</v>
      </c>
      <c r="AO543" s="10">
        <v>0</v>
      </c>
      <c r="AP543" s="10">
        <v>2114</v>
      </c>
      <c r="AQ543" s="10">
        <v>0</v>
      </c>
      <c r="AR543" s="10">
        <v>14199</v>
      </c>
      <c r="AS543" s="10">
        <f t="shared" si="193"/>
        <v>36186.850000000093</v>
      </c>
      <c r="AT543" s="10">
        <v>1085713.3500000001</v>
      </c>
      <c r="AU543" s="12">
        <v>0</v>
      </c>
      <c r="AV543" s="12">
        <v>0</v>
      </c>
      <c r="AW543" s="12">
        <v>0</v>
      </c>
      <c r="AX543" s="12">
        <f t="shared" si="214"/>
        <v>0</v>
      </c>
      <c r="AY543" s="12">
        <v>0</v>
      </c>
      <c r="AZ543" s="12">
        <v>0</v>
      </c>
      <c r="BA543" s="12">
        <v>0</v>
      </c>
      <c r="BB543" s="12">
        <f t="shared" si="215"/>
        <v>0</v>
      </c>
      <c r="BC543" s="12">
        <v>0</v>
      </c>
      <c r="BD543" s="12">
        <v>0</v>
      </c>
      <c r="BE543" s="12">
        <v>0</v>
      </c>
      <c r="BF543" s="12">
        <v>0</v>
      </c>
    </row>
    <row r="544" spans="1:58" x14ac:dyDescent="0.25">
      <c r="A544" s="7">
        <v>4999</v>
      </c>
      <c r="B544" s="7">
        <v>7</v>
      </c>
      <c r="C544" s="7" t="s">
        <v>545</v>
      </c>
      <c r="D544" s="4">
        <v>7</v>
      </c>
      <c r="E544" s="10">
        <v>2234.7399999999998</v>
      </c>
      <c r="F544" s="8">
        <f t="shared" si="194"/>
        <v>91714.679999999935</v>
      </c>
      <c r="G544" s="8">
        <f t="shared" si="195"/>
        <v>0</v>
      </c>
      <c r="H544" s="8">
        <f t="shared" si="196"/>
        <v>4462</v>
      </c>
      <c r="I544" s="8">
        <f t="shared" si="197"/>
        <v>38752.999999999767</v>
      </c>
      <c r="J544" s="8">
        <f t="shared" si="198"/>
        <v>134929.6799999997</v>
      </c>
      <c r="K544" s="8">
        <f t="shared" si="199"/>
        <v>0</v>
      </c>
      <c r="L544" s="8">
        <f t="shared" si="200"/>
        <v>134929.6799999997</v>
      </c>
      <c r="M544" s="8">
        <f t="shared" si="201"/>
        <v>60.378245343977248</v>
      </c>
      <c r="N544" s="8">
        <f t="shared" si="202"/>
        <v>85304</v>
      </c>
      <c r="O544" s="8">
        <f t="shared" si="203"/>
        <v>0</v>
      </c>
      <c r="P544" s="8">
        <f t="shared" si="204"/>
        <v>-73</v>
      </c>
      <c r="Q544" s="8">
        <f t="shared" si="205"/>
        <v>6165.6799999999348</v>
      </c>
      <c r="R544" s="8">
        <f t="shared" si="206"/>
        <v>318</v>
      </c>
      <c r="S544" s="8">
        <f t="shared" si="207"/>
        <v>0</v>
      </c>
      <c r="T544" s="8">
        <f t="shared" si="208"/>
        <v>0</v>
      </c>
      <c r="U544" s="8">
        <f t="shared" si="209"/>
        <v>4462</v>
      </c>
      <c r="V544" s="8">
        <f t="shared" si="210"/>
        <v>38715</v>
      </c>
      <c r="W544" s="8">
        <f t="shared" si="211"/>
        <v>38</v>
      </c>
      <c r="X544" s="8">
        <f t="shared" si="212"/>
        <v>134929.6799999997</v>
      </c>
      <c r="Y544" s="10">
        <v>19810943</v>
      </c>
      <c r="Z544" s="10">
        <v>0</v>
      </c>
      <c r="AA544" s="10">
        <v>-18588</v>
      </c>
      <c r="AB544" s="10">
        <v>1224998</v>
      </c>
      <c r="AC544" s="10">
        <v>84159</v>
      </c>
      <c r="AD544" s="10">
        <v>0</v>
      </c>
      <c r="AE544" s="10">
        <v>103808</v>
      </c>
      <c r="AF544" s="10">
        <v>641640</v>
      </c>
      <c r="AG544" s="10">
        <v>321273</v>
      </c>
      <c r="AH544" s="10">
        <f t="shared" si="213"/>
        <v>1263797</v>
      </c>
      <c r="AI544" s="10">
        <v>23432030</v>
      </c>
      <c r="AJ544" s="10">
        <v>19896247</v>
      </c>
      <c r="AK544" s="10">
        <v>0</v>
      </c>
      <c r="AL544" s="10">
        <v>-18661</v>
      </c>
      <c r="AM544" s="10">
        <v>1231163.68</v>
      </c>
      <c r="AN544" s="10">
        <v>84477</v>
      </c>
      <c r="AO544" s="10">
        <v>0</v>
      </c>
      <c r="AP544" s="10">
        <v>103808</v>
      </c>
      <c r="AQ544" s="10">
        <v>646102</v>
      </c>
      <c r="AR544" s="10">
        <v>359988</v>
      </c>
      <c r="AS544" s="10">
        <f t="shared" si="193"/>
        <v>1263835</v>
      </c>
      <c r="AT544" s="10">
        <v>23566959.68</v>
      </c>
      <c r="AU544" s="12">
        <v>0</v>
      </c>
      <c r="AV544" s="12">
        <v>0</v>
      </c>
      <c r="AW544" s="12">
        <v>0</v>
      </c>
      <c r="AX544" s="12">
        <f t="shared" si="214"/>
        <v>0</v>
      </c>
      <c r="AY544" s="12">
        <v>0</v>
      </c>
      <c r="AZ544" s="12">
        <v>0</v>
      </c>
      <c r="BA544" s="12">
        <v>0</v>
      </c>
      <c r="BB544" s="12">
        <f t="shared" si="215"/>
        <v>0</v>
      </c>
      <c r="BC544" s="12">
        <v>0</v>
      </c>
      <c r="BD544" s="12">
        <v>0</v>
      </c>
      <c r="BE544" s="12">
        <v>0</v>
      </c>
      <c r="BF544" s="12">
        <v>0</v>
      </c>
    </row>
    <row r="545" spans="1:58" x14ac:dyDescent="0.25">
      <c r="A545" s="7">
        <v>5000</v>
      </c>
      <c r="B545" s="7">
        <v>70</v>
      </c>
      <c r="C545" s="7" t="s">
        <v>546</v>
      </c>
      <c r="D545" s="4">
        <v>0</v>
      </c>
      <c r="E545" s="10">
        <v>0</v>
      </c>
      <c r="F545" s="8">
        <f t="shared" si="194"/>
        <v>1457.5</v>
      </c>
      <c r="G545" s="8">
        <f t="shared" si="195"/>
        <v>15311.400000000001</v>
      </c>
      <c r="H545" s="8">
        <f t="shared" si="196"/>
        <v>0</v>
      </c>
      <c r="I545" s="8">
        <f t="shared" si="197"/>
        <v>4321.9999999999054</v>
      </c>
      <c r="J545" s="8">
        <f t="shared" si="198"/>
        <v>21090.899999999907</v>
      </c>
      <c r="K545" s="8">
        <f t="shared" si="199"/>
        <v>0</v>
      </c>
      <c r="L545" s="8">
        <f t="shared" si="200"/>
        <v>21090.899999999907</v>
      </c>
      <c r="M545" s="8">
        <f t="shared" si="201"/>
        <v>0</v>
      </c>
      <c r="N545" s="8">
        <f t="shared" si="202"/>
        <v>0</v>
      </c>
      <c r="O545" s="8">
        <f t="shared" si="203"/>
        <v>0</v>
      </c>
      <c r="P545" s="8">
        <f t="shared" si="204"/>
        <v>0</v>
      </c>
      <c r="Q545" s="8">
        <f t="shared" si="205"/>
        <v>1457.5</v>
      </c>
      <c r="R545" s="8">
        <f t="shared" si="206"/>
        <v>0</v>
      </c>
      <c r="S545" s="8">
        <f t="shared" si="207"/>
        <v>0</v>
      </c>
      <c r="T545" s="8">
        <f t="shared" si="208"/>
        <v>15311.400000000001</v>
      </c>
      <c r="U545" s="8">
        <f t="shared" si="209"/>
        <v>0</v>
      </c>
      <c r="V545" s="8">
        <f t="shared" si="210"/>
        <v>0</v>
      </c>
      <c r="W545" s="8">
        <f t="shared" si="211"/>
        <v>4321.9999999998836</v>
      </c>
      <c r="X545" s="8">
        <f t="shared" si="212"/>
        <v>21090.899999999907</v>
      </c>
      <c r="Y545" s="10">
        <v>0</v>
      </c>
      <c r="Z545" s="10">
        <v>0</v>
      </c>
      <c r="AA545" s="10">
        <v>0</v>
      </c>
      <c r="AB545" s="10">
        <v>289576</v>
      </c>
      <c r="AC545" s="10">
        <v>0</v>
      </c>
      <c r="AD545" s="10">
        <v>0</v>
      </c>
      <c r="AE545" s="10">
        <v>0</v>
      </c>
      <c r="AF545" s="10">
        <v>0</v>
      </c>
      <c r="AG545" s="10">
        <v>0</v>
      </c>
      <c r="AH545" s="10">
        <f t="shared" si="213"/>
        <v>1003567</v>
      </c>
      <c r="AI545" s="10">
        <v>1293143</v>
      </c>
      <c r="AJ545" s="10">
        <v>0</v>
      </c>
      <c r="AK545" s="10">
        <v>0</v>
      </c>
      <c r="AL545" s="10">
        <v>0</v>
      </c>
      <c r="AM545" s="10">
        <v>291033.5</v>
      </c>
      <c r="AN545" s="10">
        <v>0</v>
      </c>
      <c r="AO545" s="10">
        <v>0</v>
      </c>
      <c r="AP545" s="10">
        <v>15311.400000000001</v>
      </c>
      <c r="AQ545" s="10">
        <v>0</v>
      </c>
      <c r="AR545" s="10">
        <v>0</v>
      </c>
      <c r="AS545" s="10">
        <f t="shared" si="193"/>
        <v>1007888.9999999999</v>
      </c>
      <c r="AT545" s="10">
        <v>1314233.8999999999</v>
      </c>
      <c r="AU545" s="12">
        <v>0</v>
      </c>
      <c r="AV545" s="12">
        <v>0</v>
      </c>
      <c r="AW545" s="12">
        <v>0</v>
      </c>
      <c r="AX545" s="12">
        <f t="shared" si="214"/>
        <v>0</v>
      </c>
      <c r="AY545" s="12">
        <v>0</v>
      </c>
      <c r="AZ545" s="12">
        <v>0</v>
      </c>
      <c r="BA545" s="12">
        <v>0</v>
      </c>
      <c r="BB545" s="12">
        <f t="shared" si="215"/>
        <v>0</v>
      </c>
      <c r="BC545" s="12">
        <v>0</v>
      </c>
      <c r="BD545" s="12">
        <v>0</v>
      </c>
      <c r="BE545" s="12">
        <v>0</v>
      </c>
      <c r="BF545" s="12">
        <v>0</v>
      </c>
    </row>
    <row r="546" spans="1:58" x14ac:dyDescent="0.25">
      <c r="A546" s="7">
        <v>6000</v>
      </c>
      <c r="B546" s="7">
        <v>60</v>
      </c>
      <c r="C546" s="7" t="s">
        <v>547</v>
      </c>
      <c r="D546" s="4">
        <v>0</v>
      </c>
      <c r="E546" s="10">
        <v>0</v>
      </c>
      <c r="F546" s="8">
        <f t="shared" si="194"/>
        <v>35240.5</v>
      </c>
      <c r="G546" s="8">
        <f t="shared" si="195"/>
        <v>200081.04000000004</v>
      </c>
      <c r="H546" s="8">
        <f t="shared" si="196"/>
        <v>0</v>
      </c>
      <c r="I546" s="8">
        <f t="shared" si="197"/>
        <v>0</v>
      </c>
      <c r="J546" s="8">
        <f t="shared" si="198"/>
        <v>235321.54000000004</v>
      </c>
      <c r="K546" s="8">
        <f t="shared" si="199"/>
        <v>0</v>
      </c>
      <c r="L546" s="8">
        <f t="shared" si="200"/>
        <v>235321.54000000004</v>
      </c>
      <c r="M546" s="8">
        <f t="shared" si="201"/>
        <v>0</v>
      </c>
      <c r="N546" s="8">
        <f t="shared" si="202"/>
        <v>0</v>
      </c>
      <c r="O546" s="8">
        <f t="shared" si="203"/>
        <v>0</v>
      </c>
      <c r="P546" s="8">
        <f t="shared" si="204"/>
        <v>0</v>
      </c>
      <c r="Q546" s="8">
        <f t="shared" si="205"/>
        <v>35240.5</v>
      </c>
      <c r="R546" s="8">
        <f t="shared" si="206"/>
        <v>0</v>
      </c>
      <c r="S546" s="8">
        <f t="shared" si="207"/>
        <v>0</v>
      </c>
      <c r="T546" s="8">
        <f t="shared" si="208"/>
        <v>200081.04000000004</v>
      </c>
      <c r="U546" s="8">
        <f t="shared" si="209"/>
        <v>0</v>
      </c>
      <c r="V546" s="8">
        <f t="shared" si="210"/>
        <v>0</v>
      </c>
      <c r="W546" s="8">
        <f t="shared" si="211"/>
        <v>0</v>
      </c>
      <c r="X546" s="8">
        <f t="shared" si="212"/>
        <v>235321.54000000004</v>
      </c>
      <c r="Y546" s="10">
        <v>0</v>
      </c>
      <c r="Z546" s="10">
        <v>0</v>
      </c>
      <c r="AA546" s="10">
        <v>0</v>
      </c>
      <c r="AB546" s="10">
        <v>7001583</v>
      </c>
      <c r="AC546" s="10">
        <v>0</v>
      </c>
      <c r="AD546" s="10">
        <v>0</v>
      </c>
      <c r="AE546" s="10">
        <v>0</v>
      </c>
      <c r="AF546" s="10">
        <v>0</v>
      </c>
      <c r="AG546" s="10">
        <v>0</v>
      </c>
      <c r="AH546" s="10">
        <f t="shared" si="213"/>
        <v>0</v>
      </c>
      <c r="AI546" s="10">
        <v>7001583</v>
      </c>
      <c r="AJ546" s="10">
        <v>0</v>
      </c>
      <c r="AK546" s="10">
        <v>0</v>
      </c>
      <c r="AL546" s="10">
        <v>0</v>
      </c>
      <c r="AM546" s="10">
        <v>7036823.5</v>
      </c>
      <c r="AN546" s="10">
        <v>0</v>
      </c>
      <c r="AO546" s="10">
        <v>0</v>
      </c>
      <c r="AP546" s="10">
        <v>200081.04000000004</v>
      </c>
      <c r="AQ546" s="10">
        <v>0</v>
      </c>
      <c r="AR546" s="10">
        <v>0</v>
      </c>
      <c r="AS546" s="10">
        <f t="shared" si="193"/>
        <v>0</v>
      </c>
      <c r="AT546" s="10">
        <v>7236904.54</v>
      </c>
      <c r="AU546" s="12">
        <v>0</v>
      </c>
      <c r="AV546" s="12">
        <v>0</v>
      </c>
      <c r="AW546" s="12">
        <v>0</v>
      </c>
      <c r="AX546" s="12">
        <f t="shared" si="214"/>
        <v>0</v>
      </c>
      <c r="AY546" s="12">
        <v>0</v>
      </c>
      <c r="AZ546" s="12">
        <v>0</v>
      </c>
      <c r="BA546" s="12">
        <v>0</v>
      </c>
      <c r="BB546" s="12">
        <f t="shared" si="215"/>
        <v>0</v>
      </c>
      <c r="BC546" s="12">
        <v>0</v>
      </c>
      <c r="BD546" s="12">
        <v>0</v>
      </c>
      <c r="BE546" s="12">
        <v>0</v>
      </c>
      <c r="BF546" s="12">
        <v>0</v>
      </c>
    </row>
    <row r="547" spans="1:58" x14ac:dyDescent="0.25">
      <c r="A547" s="9">
        <v>9001</v>
      </c>
      <c r="B547" s="9">
        <v>1</v>
      </c>
      <c r="C547" s="9" t="s">
        <v>548</v>
      </c>
      <c r="D547" s="4">
        <v>1</v>
      </c>
      <c r="E547" s="10">
        <f>SUMIF($D$16:$D$546,$D547,E$16:E$546)</f>
        <v>73700</v>
      </c>
      <c r="F547" s="8">
        <f t="shared" si="194"/>
        <v>2634788.5</v>
      </c>
      <c r="G547" s="8">
        <f t="shared" si="195"/>
        <v>993386.71999999986</v>
      </c>
      <c r="H547" s="8">
        <f t="shared" si="196"/>
        <v>1284008</v>
      </c>
      <c r="I547" s="8">
        <f t="shared" si="197"/>
        <v>320.000000028871</v>
      </c>
      <c r="J547" s="8">
        <f t="shared" si="198"/>
        <v>4912503.2200000286</v>
      </c>
      <c r="K547" s="8">
        <f t="shared" si="199"/>
        <v>1278779.7426182297</v>
      </c>
      <c r="L547" s="8">
        <f t="shared" si="200"/>
        <v>6191282.9626182579</v>
      </c>
      <c r="M547" s="8">
        <f t="shared" si="201"/>
        <v>66.655403256445439</v>
      </c>
      <c r="N547" s="10">
        <f t="shared" ref="N547:AU554" si="216">SUMIF($D$16:$D$546,$D547,N$16:N$546)</f>
        <v>1990735</v>
      </c>
      <c r="O547" s="10">
        <f t="shared" si="216"/>
        <v>66</v>
      </c>
      <c r="P547" s="10">
        <f t="shared" si="216"/>
        <v>0</v>
      </c>
      <c r="Q547" s="10">
        <f t="shared" si="216"/>
        <v>643987.5</v>
      </c>
      <c r="R547" s="10">
        <f t="shared" si="216"/>
        <v>0</v>
      </c>
      <c r="S547" s="10">
        <f t="shared" si="216"/>
        <v>0</v>
      </c>
      <c r="T547" s="10">
        <f t="shared" si="216"/>
        <v>993386.71999999986</v>
      </c>
      <c r="U547" s="10">
        <f t="shared" si="216"/>
        <v>1284008</v>
      </c>
      <c r="V547" s="10">
        <f t="shared" si="216"/>
        <v>0</v>
      </c>
      <c r="W547" s="10">
        <f t="shared" si="216"/>
        <v>320</v>
      </c>
      <c r="X547" s="10">
        <f t="shared" si="216"/>
        <v>4912503.2200000286</v>
      </c>
      <c r="Y547" s="10">
        <f t="shared" si="216"/>
        <v>462328296</v>
      </c>
      <c r="Z547" s="10">
        <f t="shared" si="216"/>
        <v>15281</v>
      </c>
      <c r="AA547" s="10">
        <f t="shared" si="216"/>
        <v>0</v>
      </c>
      <c r="AB547" s="10">
        <f t="shared" si="216"/>
        <v>127947437</v>
      </c>
      <c r="AC547" s="10">
        <f t="shared" si="216"/>
        <v>0</v>
      </c>
      <c r="AD547" s="10">
        <f t="shared" si="216"/>
        <v>0</v>
      </c>
      <c r="AE547" s="10">
        <f t="shared" si="216"/>
        <v>9433320</v>
      </c>
      <c r="AF547" s="10">
        <f t="shared" si="216"/>
        <v>12507894</v>
      </c>
      <c r="AG547" s="10">
        <f t="shared" si="216"/>
        <v>3981470</v>
      </c>
      <c r="AH547" s="10">
        <f t="shared" si="216"/>
        <v>177748262.55000001</v>
      </c>
      <c r="AI547" s="10">
        <f t="shared" si="216"/>
        <v>793961960.54999995</v>
      </c>
      <c r="AJ547" s="10">
        <f t="shared" si="216"/>
        <v>464319031</v>
      </c>
      <c r="AK547" s="10">
        <f t="shared" si="216"/>
        <v>15347</v>
      </c>
      <c r="AL547" s="10">
        <f t="shared" si="216"/>
        <v>0</v>
      </c>
      <c r="AM547" s="10">
        <f t="shared" si="216"/>
        <v>128591424.5</v>
      </c>
      <c r="AN547" s="10">
        <f t="shared" si="216"/>
        <v>0</v>
      </c>
      <c r="AO547" s="10">
        <f t="shared" si="216"/>
        <v>0</v>
      </c>
      <c r="AP547" s="10">
        <f t="shared" si="216"/>
        <v>10426706.720000001</v>
      </c>
      <c r="AQ547" s="10">
        <f t="shared" si="216"/>
        <v>13791902</v>
      </c>
      <c r="AR547" s="10">
        <f t="shared" si="216"/>
        <v>3981470</v>
      </c>
      <c r="AS547" s="10">
        <f t="shared" si="216"/>
        <v>177748582.55000001</v>
      </c>
      <c r="AT547" s="10">
        <f t="shared" si="216"/>
        <v>798874463.76999998</v>
      </c>
      <c r="AU547" s="10">
        <f t="shared" si="216"/>
        <v>6193560</v>
      </c>
      <c r="AV547" s="10">
        <f t="shared" ref="AU547:BF554" si="217">SUMIF($D$16:$D$546,$D547,AV$16:AV$546)</f>
        <v>1532176.0630880138</v>
      </c>
      <c r="AW547" s="10">
        <f t="shared" si="217"/>
        <v>1067559.5</v>
      </c>
      <c r="AX547" s="12">
        <f t="shared" si="214"/>
        <v>8793295.5630880147</v>
      </c>
      <c r="AY547" s="10">
        <f t="shared" si="217"/>
        <v>6921974.2690000003</v>
      </c>
      <c r="AZ547" s="10">
        <f t="shared" si="217"/>
        <v>1835727.5367062436</v>
      </c>
      <c r="BA547" s="10">
        <f t="shared" si="217"/>
        <v>1314373.5</v>
      </c>
      <c r="BB547" s="12">
        <f t="shared" si="215"/>
        <v>10072075.305706244</v>
      </c>
      <c r="BC547" s="10">
        <f t="shared" si="217"/>
        <v>728414.26900000032</v>
      </c>
      <c r="BD547" s="10">
        <f t="shared" si="217"/>
        <v>303551.47361822973</v>
      </c>
      <c r="BE547" s="10">
        <f t="shared" si="217"/>
        <v>246813.99999999953</v>
      </c>
      <c r="BF547" s="10">
        <f t="shared" si="217"/>
        <v>1278779.7426182297</v>
      </c>
    </row>
    <row r="548" spans="1:58" x14ac:dyDescent="0.25">
      <c r="A548" s="9">
        <v>9002</v>
      </c>
      <c r="B548" s="9">
        <v>2</v>
      </c>
      <c r="C548" s="9" t="s">
        <v>549</v>
      </c>
      <c r="D548" s="4">
        <v>2</v>
      </c>
      <c r="E548" s="10">
        <f t="shared" ref="E548:AB554" si="218">SUMIF($D$16:$D$546,$D548,E$16:E$546)</f>
        <v>87641</v>
      </c>
      <c r="F548" s="8">
        <f t="shared" si="194"/>
        <v>2664331.5</v>
      </c>
      <c r="G548" s="8">
        <f t="shared" si="195"/>
        <v>448605.9</v>
      </c>
      <c r="H548" s="8">
        <f t="shared" si="196"/>
        <v>837897</v>
      </c>
      <c r="I548" s="8">
        <f t="shared" si="197"/>
        <v>937.00000000221189</v>
      </c>
      <c r="J548" s="8">
        <f t="shared" si="198"/>
        <v>3951771.4000000022</v>
      </c>
      <c r="K548" s="8">
        <f t="shared" si="199"/>
        <v>1114238.5397410132</v>
      </c>
      <c r="L548" s="8">
        <f t="shared" si="200"/>
        <v>5066009.9397410154</v>
      </c>
      <c r="M548" s="8">
        <f t="shared" si="201"/>
        <v>45.090441688250955</v>
      </c>
      <c r="N548" s="10">
        <f t="shared" si="218"/>
        <v>2385150</v>
      </c>
      <c r="O548" s="10">
        <f t="shared" si="218"/>
        <v>643</v>
      </c>
      <c r="P548" s="10">
        <f t="shared" si="218"/>
        <v>28</v>
      </c>
      <c r="Q548" s="10">
        <f t="shared" si="218"/>
        <v>278510.5</v>
      </c>
      <c r="R548" s="10">
        <f t="shared" si="218"/>
        <v>0</v>
      </c>
      <c r="S548" s="10">
        <f t="shared" si="218"/>
        <v>0</v>
      </c>
      <c r="T548" s="10">
        <f t="shared" si="218"/>
        <v>448605.9</v>
      </c>
      <c r="U548" s="10">
        <f t="shared" si="218"/>
        <v>837897</v>
      </c>
      <c r="V548" s="10">
        <f t="shared" si="218"/>
        <v>0</v>
      </c>
      <c r="W548" s="10">
        <f t="shared" si="218"/>
        <v>937</v>
      </c>
      <c r="X548" s="10">
        <f t="shared" si="218"/>
        <v>3951771.4000000022</v>
      </c>
      <c r="Y548" s="10">
        <f t="shared" si="218"/>
        <v>553927526</v>
      </c>
      <c r="Z548" s="10">
        <f t="shared" si="218"/>
        <v>149563</v>
      </c>
      <c r="AA548" s="10">
        <f t="shared" si="218"/>
        <v>6542</v>
      </c>
      <c r="AB548" s="10">
        <f t="shared" si="218"/>
        <v>55334464</v>
      </c>
      <c r="AC548" s="10">
        <f t="shared" si="216"/>
        <v>0</v>
      </c>
      <c r="AD548" s="10">
        <f t="shared" si="216"/>
        <v>0</v>
      </c>
      <c r="AE548" s="10">
        <f t="shared" si="216"/>
        <v>16020784</v>
      </c>
      <c r="AF548" s="10">
        <f t="shared" si="216"/>
        <v>5508624</v>
      </c>
      <c r="AG548" s="10">
        <f t="shared" si="216"/>
        <v>10839933</v>
      </c>
      <c r="AH548" s="10">
        <f t="shared" si="216"/>
        <v>183203217.85999998</v>
      </c>
      <c r="AI548" s="10">
        <f t="shared" si="216"/>
        <v>824990653.86000001</v>
      </c>
      <c r="AJ548" s="10">
        <f t="shared" si="216"/>
        <v>556312676</v>
      </c>
      <c r="AK548" s="10">
        <f t="shared" si="216"/>
        <v>150206</v>
      </c>
      <c r="AL548" s="10">
        <f t="shared" si="216"/>
        <v>6570</v>
      </c>
      <c r="AM548" s="10">
        <f t="shared" si="216"/>
        <v>55612974.5</v>
      </c>
      <c r="AN548" s="10">
        <f t="shared" si="216"/>
        <v>0</v>
      </c>
      <c r="AO548" s="10">
        <f t="shared" si="216"/>
        <v>0</v>
      </c>
      <c r="AP548" s="10">
        <f t="shared" si="216"/>
        <v>16469389.9</v>
      </c>
      <c r="AQ548" s="10">
        <f t="shared" si="216"/>
        <v>6346521</v>
      </c>
      <c r="AR548" s="10">
        <f t="shared" si="216"/>
        <v>10839933</v>
      </c>
      <c r="AS548" s="10">
        <f t="shared" si="216"/>
        <v>183204154.85999998</v>
      </c>
      <c r="AT548" s="10">
        <f t="shared" si="216"/>
        <v>828942425.25999999</v>
      </c>
      <c r="AU548" s="10">
        <f t="shared" si="217"/>
        <v>4915080</v>
      </c>
      <c r="AV548" s="10">
        <f t="shared" si="217"/>
        <v>1140776.2519102644</v>
      </c>
      <c r="AW548" s="10">
        <f t="shared" si="217"/>
        <v>1126670.125</v>
      </c>
      <c r="AX548" s="12">
        <f t="shared" si="214"/>
        <v>7182526.3769102646</v>
      </c>
      <c r="AY548" s="10">
        <f t="shared" si="217"/>
        <v>5493134.3670000006</v>
      </c>
      <c r="AZ548" s="10">
        <f t="shared" si="217"/>
        <v>1366784.424651278</v>
      </c>
      <c r="BA548" s="10">
        <f t="shared" si="217"/>
        <v>1436846.125</v>
      </c>
      <c r="BB548" s="12">
        <f t="shared" si="215"/>
        <v>8296764.9166512787</v>
      </c>
      <c r="BC548" s="10">
        <f t="shared" si="217"/>
        <v>578054.36699999985</v>
      </c>
      <c r="BD548" s="10">
        <f t="shared" si="217"/>
        <v>226008.17274101338</v>
      </c>
      <c r="BE548" s="10">
        <f t="shared" si="217"/>
        <v>310175.99999999983</v>
      </c>
      <c r="BF548" s="10">
        <f t="shared" si="217"/>
        <v>1114238.5397410132</v>
      </c>
    </row>
    <row r="549" spans="1:58" x14ac:dyDescent="0.25">
      <c r="A549" s="9">
        <v>9003</v>
      </c>
      <c r="B549" s="9">
        <v>3</v>
      </c>
      <c r="C549" s="9" t="s">
        <v>550</v>
      </c>
      <c r="D549" s="4">
        <v>3</v>
      </c>
      <c r="E549" s="10">
        <f t="shared" si="218"/>
        <v>264063</v>
      </c>
      <c r="F549" s="8">
        <f t="shared" si="194"/>
        <v>7616955.75</v>
      </c>
      <c r="G549" s="8">
        <f t="shared" si="195"/>
        <v>1332753.18</v>
      </c>
      <c r="H549" s="8">
        <f t="shared" si="196"/>
        <v>1495046</v>
      </c>
      <c r="I549" s="8">
        <f t="shared" si="197"/>
        <v>2982.9999999792781</v>
      </c>
      <c r="J549" s="8">
        <f t="shared" si="198"/>
        <v>10447737.929999979</v>
      </c>
      <c r="K549" s="8">
        <f t="shared" si="199"/>
        <v>2954969.506394349</v>
      </c>
      <c r="L549" s="8">
        <f t="shared" si="200"/>
        <v>13402707.436394328</v>
      </c>
      <c r="M549" s="8">
        <f t="shared" si="201"/>
        <v>39.565323161518194</v>
      </c>
      <c r="N549" s="10">
        <f t="shared" si="216"/>
        <v>7198383</v>
      </c>
      <c r="O549" s="10">
        <f t="shared" si="216"/>
        <v>3625</v>
      </c>
      <c r="P549" s="10">
        <f t="shared" si="216"/>
        <v>18034</v>
      </c>
      <c r="Q549" s="10">
        <f t="shared" si="216"/>
        <v>396913.75</v>
      </c>
      <c r="R549" s="10">
        <f t="shared" si="216"/>
        <v>0</v>
      </c>
      <c r="S549" s="10">
        <f t="shared" si="216"/>
        <v>0</v>
      </c>
      <c r="T549" s="10">
        <f t="shared" si="216"/>
        <v>1332753.18</v>
      </c>
      <c r="U549" s="10">
        <f t="shared" si="216"/>
        <v>1495046</v>
      </c>
      <c r="V549" s="10">
        <f t="shared" si="216"/>
        <v>138</v>
      </c>
      <c r="W549" s="10">
        <f t="shared" si="216"/>
        <v>2844.9999999925494</v>
      </c>
      <c r="X549" s="10">
        <f t="shared" si="216"/>
        <v>10447737.929999979</v>
      </c>
      <c r="Y549" s="10">
        <f t="shared" si="216"/>
        <v>1671752063</v>
      </c>
      <c r="Z549" s="10">
        <f t="shared" si="216"/>
        <v>842021</v>
      </c>
      <c r="AA549" s="10">
        <f t="shared" si="216"/>
        <v>4188748</v>
      </c>
      <c r="AB549" s="10">
        <f t="shared" si="216"/>
        <v>78858824</v>
      </c>
      <c r="AC549" s="10">
        <f t="shared" si="216"/>
        <v>0</v>
      </c>
      <c r="AD549" s="10">
        <f t="shared" si="216"/>
        <v>115244</v>
      </c>
      <c r="AE549" s="10">
        <f t="shared" si="216"/>
        <v>52754780</v>
      </c>
      <c r="AF549" s="10">
        <f t="shared" si="216"/>
        <v>9004200</v>
      </c>
      <c r="AG549" s="10">
        <f t="shared" si="216"/>
        <v>35111183.25</v>
      </c>
      <c r="AH549" s="10">
        <f t="shared" si="216"/>
        <v>504631885.33999997</v>
      </c>
      <c r="AI549" s="10">
        <f t="shared" si="216"/>
        <v>2357258948.5900002</v>
      </c>
      <c r="AJ549" s="10">
        <f t="shared" si="216"/>
        <v>1678950446</v>
      </c>
      <c r="AK549" s="10">
        <f t="shared" si="216"/>
        <v>845646</v>
      </c>
      <c r="AL549" s="10">
        <f t="shared" si="216"/>
        <v>4206782</v>
      </c>
      <c r="AM549" s="10">
        <f t="shared" si="216"/>
        <v>79255737.75</v>
      </c>
      <c r="AN549" s="10">
        <f t="shared" si="216"/>
        <v>0</v>
      </c>
      <c r="AO549" s="10">
        <f t="shared" si="216"/>
        <v>115244</v>
      </c>
      <c r="AP549" s="10">
        <f t="shared" si="216"/>
        <v>54087533.179999985</v>
      </c>
      <c r="AQ549" s="10">
        <f t="shared" si="216"/>
        <v>10499246</v>
      </c>
      <c r="AR549" s="10">
        <f t="shared" si="216"/>
        <v>35111321.25</v>
      </c>
      <c r="AS549" s="10">
        <f t="shared" si="216"/>
        <v>504634730.33999997</v>
      </c>
      <c r="AT549" s="10">
        <f t="shared" si="216"/>
        <v>2367706686.5200009</v>
      </c>
      <c r="AU549" s="10">
        <f t="shared" si="217"/>
        <v>13646520</v>
      </c>
      <c r="AV549" s="10">
        <f t="shared" si="217"/>
        <v>2754720.7400579853</v>
      </c>
      <c r="AW549" s="10">
        <f t="shared" si="217"/>
        <v>3444689.125</v>
      </c>
      <c r="AX549" s="12">
        <f t="shared" si="214"/>
        <v>19845929.865057986</v>
      </c>
      <c r="AY549" s="10">
        <f t="shared" si="217"/>
        <v>15251464.473000001</v>
      </c>
      <c r="AZ549" s="10">
        <f t="shared" si="217"/>
        <v>3300480.1734523354</v>
      </c>
      <c r="BA549" s="10">
        <f t="shared" si="217"/>
        <v>4248954.7250000006</v>
      </c>
      <c r="BB549" s="12">
        <f t="shared" si="215"/>
        <v>22800899.371452339</v>
      </c>
      <c r="BC549" s="10">
        <f t="shared" si="217"/>
        <v>1604944.4729999998</v>
      </c>
      <c r="BD549" s="10">
        <f t="shared" si="217"/>
        <v>545759.43339435081</v>
      </c>
      <c r="BE549" s="10">
        <f t="shared" si="217"/>
        <v>804265.6</v>
      </c>
      <c r="BF549" s="10">
        <f t="shared" si="217"/>
        <v>2954969.506394349</v>
      </c>
    </row>
    <row r="550" spans="1:58" x14ac:dyDescent="0.25">
      <c r="A550" s="9">
        <v>9004</v>
      </c>
      <c r="B550" s="9">
        <v>4</v>
      </c>
      <c r="C550" s="9" t="s">
        <v>551</v>
      </c>
      <c r="D550" s="4">
        <v>4</v>
      </c>
      <c r="E550" s="10">
        <f t="shared" si="218"/>
        <v>183950</v>
      </c>
      <c r="F550" s="8">
        <f t="shared" si="194"/>
        <v>5629737.0999999996</v>
      </c>
      <c r="G550" s="8">
        <f t="shared" si="195"/>
        <v>3373983.2600000002</v>
      </c>
      <c r="H550" s="8">
        <f t="shared" si="196"/>
        <v>642220</v>
      </c>
      <c r="I550" s="8">
        <f t="shared" si="197"/>
        <v>5691.9999999846332</v>
      </c>
      <c r="J550" s="8">
        <f t="shared" si="198"/>
        <v>9651632.3599999845</v>
      </c>
      <c r="K550" s="8">
        <f t="shared" si="199"/>
        <v>2433388.6762725068</v>
      </c>
      <c r="L550" s="8">
        <f t="shared" si="200"/>
        <v>12085021.036272492</v>
      </c>
      <c r="M550" s="8">
        <f t="shared" si="201"/>
        <v>52.468781516716412</v>
      </c>
      <c r="N550" s="10">
        <f t="shared" si="216"/>
        <v>4999972</v>
      </c>
      <c r="O550" s="10">
        <f t="shared" si="216"/>
        <v>4656</v>
      </c>
      <c r="P550" s="10">
        <f t="shared" si="216"/>
        <v>69330</v>
      </c>
      <c r="Q550" s="10">
        <f t="shared" si="216"/>
        <v>482651.5</v>
      </c>
      <c r="R550" s="10">
        <f t="shared" si="216"/>
        <v>2691</v>
      </c>
      <c r="S550" s="10">
        <f t="shared" si="216"/>
        <v>70436.600000000006</v>
      </c>
      <c r="T550" s="10">
        <f t="shared" si="216"/>
        <v>3373983.2600000002</v>
      </c>
      <c r="U550" s="10">
        <f t="shared" si="216"/>
        <v>642220</v>
      </c>
      <c r="V550" s="10">
        <f t="shared" si="216"/>
        <v>1255</v>
      </c>
      <c r="W550" s="10">
        <f t="shared" si="216"/>
        <v>4436.9999999906868</v>
      </c>
      <c r="X550" s="10">
        <f t="shared" si="216"/>
        <v>9651632.3599999845</v>
      </c>
      <c r="Y550" s="10">
        <f t="shared" si="216"/>
        <v>1161193615</v>
      </c>
      <c r="Z550" s="10">
        <f t="shared" si="216"/>
        <v>1081401</v>
      </c>
      <c r="AA550" s="10">
        <f t="shared" si="216"/>
        <v>16101281</v>
      </c>
      <c r="AB550" s="10">
        <f t="shared" si="216"/>
        <v>95893201</v>
      </c>
      <c r="AC550" s="10">
        <f t="shared" si="216"/>
        <v>567844</v>
      </c>
      <c r="AD550" s="10">
        <f t="shared" si="216"/>
        <v>0</v>
      </c>
      <c r="AE550" s="10">
        <f t="shared" si="216"/>
        <v>8678540</v>
      </c>
      <c r="AF550" s="10">
        <f t="shared" si="216"/>
        <v>5724766</v>
      </c>
      <c r="AG550" s="10">
        <f t="shared" si="216"/>
        <v>26236675</v>
      </c>
      <c r="AH550" s="10">
        <f t="shared" si="216"/>
        <v>220627653.77000004</v>
      </c>
      <c r="AI550" s="10">
        <f t="shared" si="216"/>
        <v>1536104976.77</v>
      </c>
      <c r="AJ550" s="10">
        <f t="shared" si="216"/>
        <v>1166193587</v>
      </c>
      <c r="AK550" s="10">
        <f t="shared" si="216"/>
        <v>1086057</v>
      </c>
      <c r="AL550" s="10">
        <f t="shared" si="216"/>
        <v>16170611</v>
      </c>
      <c r="AM550" s="10">
        <f t="shared" si="216"/>
        <v>96375852.5</v>
      </c>
      <c r="AN550" s="10">
        <f t="shared" si="216"/>
        <v>570535</v>
      </c>
      <c r="AO550" s="10">
        <f t="shared" si="216"/>
        <v>70436.600000000006</v>
      </c>
      <c r="AP550" s="10">
        <f t="shared" si="216"/>
        <v>12052523.26</v>
      </c>
      <c r="AQ550" s="10">
        <f t="shared" si="216"/>
        <v>6366986</v>
      </c>
      <c r="AR550" s="10">
        <f t="shared" si="216"/>
        <v>26237930</v>
      </c>
      <c r="AS550" s="10">
        <f t="shared" si="216"/>
        <v>220632090.77000004</v>
      </c>
      <c r="AT550" s="10">
        <f t="shared" si="216"/>
        <v>1545756609.1300004</v>
      </c>
      <c r="AU550" s="10">
        <f t="shared" si="217"/>
        <v>10435680</v>
      </c>
      <c r="AV550" s="10">
        <f t="shared" si="217"/>
        <v>2400521.0632154797</v>
      </c>
      <c r="AW550" s="10">
        <f t="shared" si="217"/>
        <v>2536009.375</v>
      </c>
      <c r="AX550" s="12">
        <f t="shared" si="214"/>
        <v>15372210.438215479</v>
      </c>
      <c r="AY550" s="10">
        <f t="shared" si="217"/>
        <v>11663002.932</v>
      </c>
      <c r="AZ550" s="10">
        <f t="shared" si="217"/>
        <v>2876107.2074879864</v>
      </c>
      <c r="BA550" s="10">
        <f t="shared" si="217"/>
        <v>3266488.9750000001</v>
      </c>
      <c r="BB550" s="12">
        <f t="shared" si="215"/>
        <v>17805599.114487987</v>
      </c>
      <c r="BC550" s="10">
        <f t="shared" si="217"/>
        <v>1227322.9320000003</v>
      </c>
      <c r="BD550" s="10">
        <f t="shared" si="217"/>
        <v>475586.14427250717</v>
      </c>
      <c r="BE550" s="10">
        <f t="shared" si="217"/>
        <v>730479.6</v>
      </c>
      <c r="BF550" s="10">
        <f t="shared" si="217"/>
        <v>2433388.6762725068</v>
      </c>
    </row>
    <row r="551" spans="1:58" x14ac:dyDescent="0.25">
      <c r="A551" s="9">
        <v>9005</v>
      </c>
      <c r="B551" s="9">
        <v>5</v>
      </c>
      <c r="C551" s="9" t="s">
        <v>552</v>
      </c>
      <c r="D551" s="4">
        <v>5</v>
      </c>
      <c r="E551" s="10">
        <f t="shared" si="218"/>
        <v>94919</v>
      </c>
      <c r="F551" s="8">
        <f t="shared" si="194"/>
        <v>3209164.21</v>
      </c>
      <c r="G551" s="8">
        <f t="shared" si="195"/>
        <v>1838428.0199999996</v>
      </c>
      <c r="H551" s="8">
        <f t="shared" si="196"/>
        <v>230184</v>
      </c>
      <c r="I551" s="8">
        <f t="shared" si="197"/>
        <v>1413.0000000037253</v>
      </c>
      <c r="J551" s="8">
        <f t="shared" si="198"/>
        <v>5279189.2300000032</v>
      </c>
      <c r="K551" s="8">
        <f t="shared" si="199"/>
        <v>1222011.7844814607</v>
      </c>
      <c r="L551" s="8">
        <f t="shared" si="200"/>
        <v>6501201.0144814644</v>
      </c>
      <c r="M551" s="8">
        <f t="shared" si="201"/>
        <v>55.617834469389727</v>
      </c>
      <c r="N551" s="10">
        <f t="shared" si="216"/>
        <v>2568758</v>
      </c>
      <c r="O551" s="10">
        <f t="shared" si="216"/>
        <v>4039</v>
      </c>
      <c r="P551" s="10">
        <f t="shared" si="216"/>
        <v>76735</v>
      </c>
      <c r="Q551" s="10">
        <f t="shared" si="216"/>
        <v>231286.5</v>
      </c>
      <c r="R551" s="10">
        <f t="shared" si="216"/>
        <v>3416</v>
      </c>
      <c r="S551" s="10">
        <f t="shared" si="216"/>
        <v>324929.71000000002</v>
      </c>
      <c r="T551" s="10">
        <f t="shared" si="216"/>
        <v>1838428.0199999996</v>
      </c>
      <c r="U551" s="10">
        <f t="shared" si="216"/>
        <v>230184</v>
      </c>
      <c r="V551" s="10">
        <f t="shared" si="216"/>
        <v>1081</v>
      </c>
      <c r="W551" s="10">
        <f t="shared" si="216"/>
        <v>332.00000000465661</v>
      </c>
      <c r="X551" s="10">
        <f t="shared" si="216"/>
        <v>5279189.2300000032</v>
      </c>
      <c r="Y551" s="10">
        <f t="shared" si="216"/>
        <v>596567950</v>
      </c>
      <c r="Z551" s="10">
        <f t="shared" si="216"/>
        <v>937445</v>
      </c>
      <c r="AA551" s="10">
        <f t="shared" si="216"/>
        <v>17821185</v>
      </c>
      <c r="AB551" s="10">
        <f t="shared" si="216"/>
        <v>45951999</v>
      </c>
      <c r="AC551" s="10">
        <f t="shared" si="216"/>
        <v>3947733.76</v>
      </c>
      <c r="AD551" s="10">
        <f t="shared" si="216"/>
        <v>198858.94</v>
      </c>
      <c r="AE551" s="10">
        <f t="shared" si="216"/>
        <v>4328740</v>
      </c>
      <c r="AF551" s="10">
        <f t="shared" si="216"/>
        <v>1368871</v>
      </c>
      <c r="AG551" s="10">
        <f t="shared" si="216"/>
        <v>13391491.226967841</v>
      </c>
      <c r="AH551" s="10">
        <f t="shared" si="216"/>
        <v>100009834.66000003</v>
      </c>
      <c r="AI551" s="10">
        <f t="shared" si="216"/>
        <v>784524108.58696795</v>
      </c>
      <c r="AJ551" s="10">
        <f t="shared" si="216"/>
        <v>599136708</v>
      </c>
      <c r="AK551" s="10">
        <f t="shared" si="216"/>
        <v>941484</v>
      </c>
      <c r="AL551" s="10">
        <f t="shared" si="216"/>
        <v>17897920</v>
      </c>
      <c r="AM551" s="10">
        <f t="shared" si="216"/>
        <v>46183285.5</v>
      </c>
      <c r="AN551" s="10">
        <f t="shared" si="216"/>
        <v>3951149.76</v>
      </c>
      <c r="AO551" s="10">
        <f t="shared" si="216"/>
        <v>523788.65</v>
      </c>
      <c r="AP551" s="10">
        <f t="shared" si="216"/>
        <v>6167168.0199999996</v>
      </c>
      <c r="AQ551" s="10">
        <f t="shared" si="216"/>
        <v>1599055</v>
      </c>
      <c r="AR551" s="10">
        <f t="shared" si="216"/>
        <v>13392572.226967841</v>
      </c>
      <c r="AS551" s="10">
        <f t="shared" si="216"/>
        <v>100010166.66000003</v>
      </c>
      <c r="AT551" s="10">
        <f t="shared" si="216"/>
        <v>789803297.81696761</v>
      </c>
      <c r="AU551" s="10">
        <f t="shared" si="217"/>
        <v>4547160</v>
      </c>
      <c r="AV551" s="10">
        <f t="shared" si="217"/>
        <v>1161820.8074926736</v>
      </c>
      <c r="AW551" s="10">
        <f t="shared" si="217"/>
        <v>1398843.875</v>
      </c>
      <c r="AX551" s="12">
        <f t="shared" si="214"/>
        <v>7107824.6824926734</v>
      </c>
      <c r="AY551" s="10">
        <f t="shared" si="217"/>
        <v>5081943.9089999981</v>
      </c>
      <c r="AZ551" s="10">
        <f t="shared" si="217"/>
        <v>1391998.2829741342</v>
      </c>
      <c r="BA551" s="10">
        <f t="shared" si="217"/>
        <v>1855894.2749999999</v>
      </c>
      <c r="BB551" s="12">
        <f t="shared" si="215"/>
        <v>8329836.4669741318</v>
      </c>
      <c r="BC551" s="10">
        <f t="shared" si="217"/>
        <v>534783.90899999999</v>
      </c>
      <c r="BD551" s="10">
        <f t="shared" si="217"/>
        <v>230177.47548146089</v>
      </c>
      <c r="BE551" s="10">
        <f t="shared" si="217"/>
        <v>457050.4</v>
      </c>
      <c r="BF551" s="10">
        <f t="shared" si="217"/>
        <v>1222011.7844814607</v>
      </c>
    </row>
    <row r="552" spans="1:58" x14ac:dyDescent="0.25">
      <c r="A552" s="9">
        <v>9006</v>
      </c>
      <c r="B552" s="9">
        <v>6</v>
      </c>
      <c r="C552" s="9" t="s">
        <v>553</v>
      </c>
      <c r="D552" s="4">
        <v>6</v>
      </c>
      <c r="E552" s="10">
        <f t="shared" si="218"/>
        <v>85764</v>
      </c>
      <c r="F552" s="8">
        <f t="shared" si="194"/>
        <v>2766300</v>
      </c>
      <c r="G552" s="8">
        <f t="shared" si="195"/>
        <v>2014282.6199999996</v>
      </c>
      <c r="H552" s="8">
        <f t="shared" si="196"/>
        <v>163998</v>
      </c>
      <c r="I552" s="8">
        <f t="shared" si="197"/>
        <v>1946.9999999920838</v>
      </c>
      <c r="J552" s="8">
        <f t="shared" si="198"/>
        <v>4946527.6199999917</v>
      </c>
      <c r="K552" s="8">
        <f t="shared" si="199"/>
        <v>1278202.3874089336</v>
      </c>
      <c r="L552" s="8">
        <f t="shared" si="200"/>
        <v>6224730.0074089253</v>
      </c>
      <c r="M552" s="8">
        <f t="shared" si="201"/>
        <v>57.676036798656682</v>
      </c>
      <c r="N552" s="10">
        <f t="shared" si="216"/>
        <v>2317751</v>
      </c>
      <c r="O552" s="10">
        <f t="shared" si="216"/>
        <v>7353</v>
      </c>
      <c r="P552" s="10">
        <f t="shared" si="216"/>
        <v>102721</v>
      </c>
      <c r="Q552" s="10">
        <f t="shared" si="216"/>
        <v>254160</v>
      </c>
      <c r="R552" s="10">
        <f t="shared" si="216"/>
        <v>84315</v>
      </c>
      <c r="S552" s="10">
        <f t="shared" si="216"/>
        <v>0</v>
      </c>
      <c r="T552" s="10">
        <f t="shared" si="216"/>
        <v>2014282.6199999996</v>
      </c>
      <c r="U552" s="10">
        <f t="shared" si="216"/>
        <v>163998</v>
      </c>
      <c r="V552" s="10">
        <f t="shared" si="216"/>
        <v>1579</v>
      </c>
      <c r="W552" s="10">
        <f t="shared" si="216"/>
        <v>367.99999999767169</v>
      </c>
      <c r="X552" s="10">
        <f t="shared" si="216"/>
        <v>4946527.6199999917</v>
      </c>
      <c r="Y552" s="10">
        <f t="shared" si="216"/>
        <v>538275431</v>
      </c>
      <c r="Z552" s="10">
        <f t="shared" si="216"/>
        <v>1705579</v>
      </c>
      <c r="AA552" s="10">
        <f t="shared" si="216"/>
        <v>23853154</v>
      </c>
      <c r="AB552" s="10">
        <f t="shared" si="216"/>
        <v>50496511</v>
      </c>
      <c r="AC552" s="10">
        <f t="shared" si="216"/>
        <v>18828339.119999997</v>
      </c>
      <c r="AD552" s="10">
        <f t="shared" si="216"/>
        <v>15673986</v>
      </c>
      <c r="AE552" s="10">
        <f t="shared" si="216"/>
        <v>2421926</v>
      </c>
      <c r="AF552" s="10">
        <f t="shared" si="216"/>
        <v>2196600</v>
      </c>
      <c r="AG552" s="10">
        <f t="shared" si="216"/>
        <v>10835398.506919987</v>
      </c>
      <c r="AH552" s="10">
        <f t="shared" si="216"/>
        <v>112111727.29999997</v>
      </c>
      <c r="AI552" s="10">
        <f t="shared" si="216"/>
        <v>776398651.92691982</v>
      </c>
      <c r="AJ552" s="10">
        <f t="shared" si="216"/>
        <v>540593182</v>
      </c>
      <c r="AK552" s="10">
        <f t="shared" si="216"/>
        <v>1712932</v>
      </c>
      <c r="AL552" s="10">
        <f t="shared" si="216"/>
        <v>23955875</v>
      </c>
      <c r="AM552" s="10">
        <f t="shared" si="216"/>
        <v>50750671</v>
      </c>
      <c r="AN552" s="10">
        <f t="shared" si="216"/>
        <v>18912654.119999997</v>
      </c>
      <c r="AO552" s="10">
        <f t="shared" si="216"/>
        <v>15673986</v>
      </c>
      <c r="AP552" s="10">
        <f t="shared" si="216"/>
        <v>4436208.620000001</v>
      </c>
      <c r="AQ552" s="10">
        <f t="shared" si="216"/>
        <v>2360598</v>
      </c>
      <c r="AR552" s="10">
        <f t="shared" si="216"/>
        <v>10836977.506919987</v>
      </c>
      <c r="AS552" s="10">
        <f t="shared" si="216"/>
        <v>112112095.29999997</v>
      </c>
      <c r="AT552" s="10">
        <f t="shared" si="216"/>
        <v>781345179.54692006</v>
      </c>
      <c r="AU552" s="10">
        <f t="shared" si="217"/>
        <v>4320720</v>
      </c>
      <c r="AV552" s="10">
        <f t="shared" si="217"/>
        <v>1102909.5872415912</v>
      </c>
      <c r="AW552" s="10">
        <f t="shared" si="217"/>
        <v>1403757.25</v>
      </c>
      <c r="AX552" s="12">
        <f t="shared" si="214"/>
        <v>6827386.837241591</v>
      </c>
      <c r="AY552" s="10">
        <f t="shared" si="217"/>
        <v>4828872.678000005</v>
      </c>
      <c r="AZ552" s="10">
        <f t="shared" si="217"/>
        <v>1321415.6966505242</v>
      </c>
      <c r="BA552" s="10">
        <f t="shared" si="217"/>
        <v>1955300.8499999992</v>
      </c>
      <c r="BB552" s="12">
        <f t="shared" si="215"/>
        <v>8105589.2246505283</v>
      </c>
      <c r="BC552" s="10">
        <f t="shared" si="217"/>
        <v>508152.67800000095</v>
      </c>
      <c r="BD552" s="10">
        <f t="shared" si="217"/>
        <v>218506.10940893338</v>
      </c>
      <c r="BE552" s="10">
        <f t="shared" si="217"/>
        <v>551543.60000000021</v>
      </c>
      <c r="BF552" s="10">
        <f t="shared" si="217"/>
        <v>1278202.3874089336</v>
      </c>
    </row>
    <row r="553" spans="1:58" x14ac:dyDescent="0.25">
      <c r="A553" s="9">
        <v>9007</v>
      </c>
      <c r="B553" s="9">
        <v>0</v>
      </c>
      <c r="C553" s="9" t="s">
        <v>554</v>
      </c>
      <c r="D553" s="4">
        <v>0</v>
      </c>
      <c r="E553" s="10">
        <f>SUM(E16:E349)</f>
        <v>792667.53</v>
      </c>
      <c r="F553" s="8">
        <f t="shared" si="194"/>
        <v>24423952.059999999</v>
      </c>
      <c r="G553" s="8">
        <f t="shared" si="195"/>
        <v>9377079.6999999899</v>
      </c>
      <c r="H553" s="8">
        <f t="shared" si="196"/>
        <v>4652274</v>
      </c>
      <c r="I553" s="8">
        <f t="shared" si="197"/>
        <v>9238.9999999944121</v>
      </c>
      <c r="J553" s="8">
        <f t="shared" si="198"/>
        <v>38462544.759999983</v>
      </c>
      <c r="K553" s="8">
        <f t="shared" si="199"/>
        <v>10413205.036916493</v>
      </c>
      <c r="L553" s="8">
        <f t="shared" si="200"/>
        <v>48875749.796916477</v>
      </c>
      <c r="M553" s="8">
        <f t="shared" si="201"/>
        <v>48.522922037692119</v>
      </c>
      <c r="N553" s="10">
        <f t="shared" ref="N553:AT553" si="219">SUM(N16:N349)</f>
        <v>21595481</v>
      </c>
      <c r="O553" s="10">
        <f t="shared" si="219"/>
        <v>17209</v>
      </c>
      <c r="P553" s="10">
        <f t="shared" si="219"/>
        <v>264632</v>
      </c>
      <c r="Q553" s="10">
        <f t="shared" si="219"/>
        <v>2287509.75</v>
      </c>
      <c r="R553" s="10">
        <f t="shared" si="219"/>
        <v>90436</v>
      </c>
      <c r="S553" s="10">
        <f t="shared" si="219"/>
        <v>168684.31000000006</v>
      </c>
      <c r="T553" s="10">
        <f t="shared" si="219"/>
        <v>9377079.6999999899</v>
      </c>
      <c r="U553" s="10">
        <f t="shared" si="219"/>
        <v>4652274</v>
      </c>
      <c r="V553" s="10">
        <f t="shared" si="219"/>
        <v>0</v>
      </c>
      <c r="W553" s="10">
        <f t="shared" si="219"/>
        <v>9238.9999999855645</v>
      </c>
      <c r="X553" s="10">
        <f t="shared" si="219"/>
        <v>38462544.759999983</v>
      </c>
      <c r="Y553" s="10">
        <f t="shared" si="219"/>
        <v>5015333371</v>
      </c>
      <c r="Z553" s="10">
        <f t="shared" si="219"/>
        <v>3996264</v>
      </c>
      <c r="AA553" s="10">
        <f t="shared" si="219"/>
        <v>61460615</v>
      </c>
      <c r="AB553" s="10">
        <f t="shared" si="219"/>
        <v>454482436</v>
      </c>
      <c r="AC553" s="10">
        <f t="shared" si="219"/>
        <v>23346785.879999999</v>
      </c>
      <c r="AD553" s="10">
        <f t="shared" si="219"/>
        <v>15885224.939999999</v>
      </c>
      <c r="AE553" s="10">
        <f t="shared" si="219"/>
        <v>103333963</v>
      </c>
      <c r="AF553" s="10">
        <f t="shared" si="219"/>
        <v>36305956</v>
      </c>
      <c r="AG553" s="10">
        <f t="shared" si="219"/>
        <v>100379542.98388784</v>
      </c>
      <c r="AH553" s="10">
        <f t="shared" si="219"/>
        <v>1334639297.6599996</v>
      </c>
      <c r="AI553" s="10">
        <f t="shared" si="219"/>
        <v>7149163456.4638901</v>
      </c>
      <c r="AJ553" s="10">
        <f t="shared" si="219"/>
        <v>5036928852</v>
      </c>
      <c r="AK553" s="10">
        <f t="shared" si="219"/>
        <v>4013473</v>
      </c>
      <c r="AL553" s="10">
        <f t="shared" si="219"/>
        <v>61725247</v>
      </c>
      <c r="AM553" s="10">
        <f t="shared" si="219"/>
        <v>456769945.75</v>
      </c>
      <c r="AN553" s="10">
        <f t="shared" si="219"/>
        <v>23437221.879999999</v>
      </c>
      <c r="AO553" s="10">
        <f t="shared" si="219"/>
        <v>16053909.25</v>
      </c>
      <c r="AP553" s="10">
        <f t="shared" si="219"/>
        <v>112711042.6999999</v>
      </c>
      <c r="AQ553" s="10">
        <f t="shared" si="219"/>
        <v>40958230</v>
      </c>
      <c r="AR553" s="10">
        <f t="shared" si="219"/>
        <v>100379542.98388784</v>
      </c>
      <c r="AS553" s="10">
        <f t="shared" si="219"/>
        <v>1334648536.6599996</v>
      </c>
      <c r="AT553" s="10">
        <f t="shared" si="219"/>
        <v>7187626001.2238817</v>
      </c>
      <c r="AU553" s="10">
        <f t="shared" ref="AU553:BF553" si="220">SUM(AU16:AU349)</f>
        <v>44058720</v>
      </c>
      <c r="AV553" s="10">
        <f t="shared" si="220"/>
        <v>10092924.513006005</v>
      </c>
      <c r="AW553" s="10">
        <f t="shared" si="220"/>
        <v>11599847</v>
      </c>
      <c r="AX553" s="12">
        <f t="shared" si="214"/>
        <v>65751491.513006002</v>
      </c>
      <c r="AY553" s="10">
        <f t="shared" si="220"/>
        <v>49240392.628000066</v>
      </c>
      <c r="AZ553" s="10">
        <f t="shared" si="220"/>
        <v>12092513.3219225</v>
      </c>
      <c r="BA553" s="10">
        <f t="shared" si="220"/>
        <v>14831790.599999994</v>
      </c>
      <c r="BB553" s="12">
        <f t="shared" si="215"/>
        <v>76164696.549922556</v>
      </c>
      <c r="BC553" s="10">
        <f t="shared" si="220"/>
        <v>5181672.628000007</v>
      </c>
      <c r="BD553" s="10">
        <f t="shared" si="220"/>
        <v>1999588.8089164959</v>
      </c>
      <c r="BE553" s="10">
        <f t="shared" si="220"/>
        <v>3231943.600000002</v>
      </c>
      <c r="BF553" s="10">
        <f t="shared" si="220"/>
        <v>10413205.036916493</v>
      </c>
    </row>
    <row r="554" spans="1:58" x14ac:dyDescent="0.25">
      <c r="A554" s="9">
        <v>9008</v>
      </c>
      <c r="B554" s="9">
        <v>7</v>
      </c>
      <c r="C554" s="9" t="s">
        <v>555</v>
      </c>
      <c r="D554" s="4">
        <v>7</v>
      </c>
      <c r="E554" s="10">
        <f t="shared" si="218"/>
        <v>48273.74</v>
      </c>
      <c r="F554" s="8">
        <f t="shared" si="194"/>
        <v>1607985.18</v>
      </c>
      <c r="G554" s="8">
        <f t="shared" si="195"/>
        <v>407527.86000000016</v>
      </c>
      <c r="H554" s="8">
        <f t="shared" si="196"/>
        <v>792215</v>
      </c>
      <c r="I554" s="8">
        <f t="shared" si="197"/>
        <v>25927.999999998603</v>
      </c>
      <c r="J554" s="8">
        <f t="shared" si="198"/>
        <v>2833656.0399999986</v>
      </c>
      <c r="K554" s="8">
        <f t="shared" si="199"/>
        <v>117252.4</v>
      </c>
      <c r="L554" s="8">
        <f t="shared" si="200"/>
        <v>2950908.4399999985</v>
      </c>
      <c r="M554" s="8">
        <f t="shared" si="201"/>
        <v>58.699741101476675</v>
      </c>
      <c r="N554" s="10">
        <f t="shared" si="216"/>
        <v>1297016</v>
      </c>
      <c r="O554" s="10">
        <f t="shared" si="216"/>
        <v>3523</v>
      </c>
      <c r="P554" s="10">
        <f t="shared" si="216"/>
        <v>5471</v>
      </c>
      <c r="Q554" s="10">
        <f t="shared" si="216"/>
        <v>296547.17999999993</v>
      </c>
      <c r="R554" s="10">
        <f t="shared" si="216"/>
        <v>5428</v>
      </c>
      <c r="S554" s="10">
        <f t="shared" si="216"/>
        <v>0</v>
      </c>
      <c r="T554" s="10">
        <f t="shared" si="216"/>
        <v>407527.86000000016</v>
      </c>
      <c r="U554" s="10">
        <f t="shared" si="216"/>
        <v>792215</v>
      </c>
      <c r="V554" s="10">
        <f t="shared" si="216"/>
        <v>38950</v>
      </c>
      <c r="W554" s="10">
        <f t="shared" si="216"/>
        <v>-13022.00000000131</v>
      </c>
      <c r="X554" s="10">
        <f t="shared" si="216"/>
        <v>2833656.0399999986</v>
      </c>
      <c r="Y554" s="10">
        <f t="shared" si="216"/>
        <v>301218479</v>
      </c>
      <c r="Z554" s="10">
        <f t="shared" si="216"/>
        <v>817636</v>
      </c>
      <c r="AA554" s="10">
        <f t="shared" si="216"/>
        <v>1270303</v>
      </c>
      <c r="AB554" s="10">
        <f t="shared" si="216"/>
        <v>58917998</v>
      </c>
      <c r="AC554" s="10">
        <f t="shared" si="216"/>
        <v>1402195</v>
      </c>
      <c r="AD554" s="10">
        <f t="shared" si="216"/>
        <v>0</v>
      </c>
      <c r="AE554" s="10">
        <f t="shared" si="216"/>
        <v>6591808</v>
      </c>
      <c r="AF554" s="10">
        <f t="shared" si="216"/>
        <v>7579186</v>
      </c>
      <c r="AG554" s="10">
        <f t="shared" si="216"/>
        <v>5989800</v>
      </c>
      <c r="AH554" s="10">
        <f t="shared" si="216"/>
        <v>19126227.520059999</v>
      </c>
      <c r="AI554" s="10">
        <f t="shared" si="216"/>
        <v>402913632.52006024</v>
      </c>
      <c r="AJ554" s="10">
        <f t="shared" si="216"/>
        <v>302515495</v>
      </c>
      <c r="AK554" s="10">
        <f t="shared" si="216"/>
        <v>821159</v>
      </c>
      <c r="AL554" s="10">
        <f t="shared" si="216"/>
        <v>1275774</v>
      </c>
      <c r="AM554" s="10">
        <f t="shared" si="216"/>
        <v>59214545.18</v>
      </c>
      <c r="AN554" s="10">
        <f t="shared" si="216"/>
        <v>1407623</v>
      </c>
      <c r="AO554" s="10">
        <f t="shared" si="216"/>
        <v>0</v>
      </c>
      <c r="AP554" s="10">
        <f t="shared" si="216"/>
        <v>6999335.8599999994</v>
      </c>
      <c r="AQ554" s="10">
        <f t="shared" si="216"/>
        <v>8371401</v>
      </c>
      <c r="AR554" s="10">
        <f t="shared" si="216"/>
        <v>6028750</v>
      </c>
      <c r="AS554" s="10">
        <f t="shared" si="216"/>
        <v>19113205.520059999</v>
      </c>
      <c r="AT554" s="10">
        <f t="shared" si="216"/>
        <v>405747288.56005991</v>
      </c>
      <c r="AU554" s="10">
        <f t="shared" si="217"/>
        <v>0</v>
      </c>
      <c r="AV554" s="10">
        <f t="shared" si="217"/>
        <v>0</v>
      </c>
      <c r="AW554" s="10">
        <f t="shared" si="217"/>
        <v>455709.5</v>
      </c>
      <c r="AX554" s="12">
        <f t="shared" si="214"/>
        <v>455709.5</v>
      </c>
      <c r="AY554" s="10">
        <f t="shared" si="217"/>
        <v>0</v>
      </c>
      <c r="AZ554" s="10">
        <f t="shared" si="217"/>
        <v>0</v>
      </c>
      <c r="BA554" s="10">
        <f t="shared" si="217"/>
        <v>572961.90000000014</v>
      </c>
      <c r="BB554" s="12">
        <f t="shared" si="215"/>
        <v>572961.90000000014</v>
      </c>
      <c r="BC554" s="10">
        <f t="shared" si="217"/>
        <v>0</v>
      </c>
      <c r="BD554" s="10">
        <f t="shared" si="217"/>
        <v>0</v>
      </c>
      <c r="BE554" s="10">
        <f t="shared" si="217"/>
        <v>117252.4</v>
      </c>
      <c r="BF554" s="10">
        <f t="shared" si="217"/>
        <v>117252.4</v>
      </c>
    </row>
    <row r="555" spans="1:58" x14ac:dyDescent="0.25">
      <c r="A555" s="9">
        <v>9999</v>
      </c>
      <c r="B555" s="9">
        <v>0</v>
      </c>
      <c r="C555" s="9" t="s">
        <v>556</v>
      </c>
      <c r="D555" s="4">
        <v>0</v>
      </c>
      <c r="E555" s="10">
        <f>SUM(E16:E546)</f>
        <v>840941.27</v>
      </c>
      <c r="F555" s="10">
        <f t="shared" ref="F555:M555" si="221">SUM(F16:F546)</f>
        <v>26068635.240000002</v>
      </c>
      <c r="G555" s="10">
        <f t="shared" si="221"/>
        <v>10000000</v>
      </c>
      <c r="H555" s="10">
        <f t="shared" si="221"/>
        <v>5444489</v>
      </c>
      <c r="I555" s="10">
        <f t="shared" si="221"/>
        <v>39488.99999998905</v>
      </c>
      <c r="J555" s="10">
        <f t="shared" si="221"/>
        <v>41552613.239999987</v>
      </c>
      <c r="K555" s="10">
        <f t="shared" si="221"/>
        <v>10530457.436916491</v>
      </c>
      <c r="L555" s="10">
        <f t="shared" si="221"/>
        <v>52083070.676916428</v>
      </c>
      <c r="M555" s="10">
        <f t="shared" si="221"/>
        <v>28362.554152459546</v>
      </c>
      <c r="N555" s="10">
        <f t="shared" ref="N555:AT555" si="222">SUM(N16:N546)</f>
        <v>22892497</v>
      </c>
      <c r="O555" s="10">
        <f t="shared" si="222"/>
        <v>20732</v>
      </c>
      <c r="P555" s="10">
        <f t="shared" si="222"/>
        <v>270103</v>
      </c>
      <c r="Q555" s="10">
        <f t="shared" si="222"/>
        <v>2620754.9299999997</v>
      </c>
      <c r="R555" s="10">
        <f t="shared" si="222"/>
        <v>95864</v>
      </c>
      <c r="S555" s="10">
        <f t="shared" si="222"/>
        <v>168684.31000000006</v>
      </c>
      <c r="T555" s="10">
        <f t="shared" si="222"/>
        <v>10000000</v>
      </c>
      <c r="U555" s="10">
        <f t="shared" si="222"/>
        <v>5444489</v>
      </c>
      <c r="V555" s="10">
        <f t="shared" si="222"/>
        <v>38950</v>
      </c>
      <c r="W555" s="10">
        <f t="shared" si="222"/>
        <v>538.99999998413841</v>
      </c>
      <c r="X555" s="10">
        <f t="shared" si="222"/>
        <v>41552613.239999987</v>
      </c>
      <c r="Y555" s="10">
        <f t="shared" si="222"/>
        <v>5316551850</v>
      </c>
      <c r="Z555" s="10">
        <f t="shared" si="222"/>
        <v>4813900</v>
      </c>
      <c r="AA555" s="10">
        <f t="shared" si="222"/>
        <v>62730918</v>
      </c>
      <c r="AB555" s="10">
        <f t="shared" si="222"/>
        <v>520691593</v>
      </c>
      <c r="AC555" s="10">
        <f t="shared" si="222"/>
        <v>24748980.879999999</v>
      </c>
      <c r="AD555" s="10">
        <f t="shared" si="222"/>
        <v>15885224.939999999</v>
      </c>
      <c r="AE555" s="10">
        <f t="shared" si="222"/>
        <v>109925771</v>
      </c>
      <c r="AF555" s="10">
        <f t="shared" si="222"/>
        <v>43885142</v>
      </c>
      <c r="AG555" s="10">
        <f t="shared" si="222"/>
        <v>106369342.98388784</v>
      </c>
      <c r="AH555" s="10">
        <f t="shared" si="222"/>
        <v>1354769092.1800587</v>
      </c>
      <c r="AI555" s="10">
        <f t="shared" si="222"/>
        <v>7560371814.9839478</v>
      </c>
      <c r="AJ555" s="10">
        <f t="shared" si="222"/>
        <v>5339444347</v>
      </c>
      <c r="AK555" s="10">
        <f t="shared" si="222"/>
        <v>4834632</v>
      </c>
      <c r="AL555" s="10">
        <f t="shared" si="222"/>
        <v>63001021</v>
      </c>
      <c r="AM555" s="10">
        <f t="shared" si="222"/>
        <v>523312347.93000001</v>
      </c>
      <c r="AN555" s="10">
        <f t="shared" si="222"/>
        <v>24844844.879999999</v>
      </c>
      <c r="AO555" s="10">
        <f t="shared" si="222"/>
        <v>16053909.25</v>
      </c>
      <c r="AP555" s="10">
        <f t="shared" si="222"/>
        <v>119925770.99999987</v>
      </c>
      <c r="AQ555" s="10">
        <f t="shared" si="222"/>
        <v>49329631</v>
      </c>
      <c r="AR555" s="10">
        <f t="shared" si="222"/>
        <v>106408292.98388784</v>
      </c>
      <c r="AS555" s="10">
        <f t="shared" si="222"/>
        <v>1354769631.1800587</v>
      </c>
      <c r="AT555" s="10">
        <f t="shared" si="222"/>
        <v>7601924428.2239389</v>
      </c>
      <c r="AU555" s="10">
        <f t="shared" ref="AU555:BF555" si="223">SUM(AU16:AU546)</f>
        <v>44058720</v>
      </c>
      <c r="AV555" s="10">
        <f t="shared" si="223"/>
        <v>10092924.513006005</v>
      </c>
      <c r="AW555" s="10">
        <f t="shared" si="223"/>
        <v>12055556.5</v>
      </c>
      <c r="AX555" s="10">
        <f t="shared" si="223"/>
        <v>66207201.013006017</v>
      </c>
      <c r="AY555" s="10">
        <f t="shared" si="223"/>
        <v>49240392.628000066</v>
      </c>
      <c r="AZ555" s="10">
        <f t="shared" si="223"/>
        <v>12092513.3219225</v>
      </c>
      <c r="BA555" s="10">
        <f t="shared" si="223"/>
        <v>15404752.499999993</v>
      </c>
      <c r="BB555" s="10">
        <f t="shared" si="223"/>
        <v>76737658.449922442</v>
      </c>
      <c r="BC555" s="10">
        <f t="shared" si="223"/>
        <v>5181672.628000007</v>
      </c>
      <c r="BD555" s="10">
        <f t="shared" si="223"/>
        <v>1999588.8089164959</v>
      </c>
      <c r="BE555" s="10">
        <f t="shared" si="223"/>
        <v>3349196.0000000023</v>
      </c>
      <c r="BF555" s="10">
        <f t="shared" si="223"/>
        <v>10530457.436916491</v>
      </c>
    </row>
    <row r="556" spans="1:58" x14ac:dyDescent="0.25">
      <c r="A556" t="s">
        <v>1131</v>
      </c>
    </row>
    <row r="557" spans="1:58" hidden="1" x14ac:dyDescent="0.25">
      <c r="A557" s="7"/>
      <c r="B557" s="7"/>
      <c r="C557" s="7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AJ557" s="12"/>
    </row>
    <row r="558" spans="1:58" hidden="1" x14ac:dyDescent="0.25">
      <c r="A558" s="7"/>
      <c r="B558" s="7"/>
      <c r="C558" s="7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58" hidden="1" x14ac:dyDescent="0.25">
      <c r="A559" s="7"/>
      <c r="B559" s="7"/>
      <c r="C559" s="7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58" hidden="1" x14ac:dyDescent="0.25">
      <c r="A560" s="7"/>
      <c r="B560" s="7"/>
      <c r="C560" s="7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spans="1:46" hidden="1" x14ac:dyDescent="0.25">
      <c r="A561" s="7"/>
      <c r="B561" s="7"/>
      <c r="C561" s="7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46" hidden="1" x14ac:dyDescent="0.25">
      <c r="A562" s="7"/>
      <c r="B562" s="7"/>
      <c r="C562" s="7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spans="1:46" hidden="1" x14ac:dyDescent="0.25">
      <c r="A563" s="7"/>
      <c r="B563" s="7"/>
      <c r="C563" s="7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46" hidden="1" x14ac:dyDescent="0.25">
      <c r="A564" s="7"/>
      <c r="B564" s="7"/>
      <c r="C564" s="7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46" hidden="1" x14ac:dyDescent="0.25">
      <c r="A565" s="7"/>
      <c r="B565" s="7"/>
      <c r="C565" s="7"/>
      <c r="D565" s="4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 spans="1:46" hidden="1" x14ac:dyDescent="0.25">
      <c r="A566" s="7"/>
      <c r="B566" s="7"/>
      <c r="C566" s="7"/>
      <c r="D566" s="4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 spans="1:46" hidden="1" x14ac:dyDescent="0.25">
      <c r="A567" s="7"/>
      <c r="B567" s="7"/>
      <c r="C567" s="7"/>
      <c r="D567" s="4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</row>
    <row r="568" spans="1:46" hidden="1" x14ac:dyDescent="0.25">
      <c r="A568" s="7"/>
      <c r="B568" s="7"/>
      <c r="C568" s="7"/>
      <c r="D568" s="4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</row>
    <row r="569" spans="1:46" hidden="1" x14ac:dyDescent="0.25">
      <c r="A569" s="7"/>
      <c r="B569" s="7"/>
      <c r="C569" s="7"/>
      <c r="D569" s="4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</row>
    <row r="570" spans="1:46" hidden="1" x14ac:dyDescent="0.25">
      <c r="A570" s="7"/>
      <c r="B570" s="7"/>
      <c r="C570" s="7"/>
      <c r="D570" s="4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</row>
    <row r="571" spans="1:46" hidden="1" x14ac:dyDescent="0.25">
      <c r="A571" s="7"/>
      <c r="B571" s="7"/>
      <c r="C571" s="7"/>
      <c r="D571" s="4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</row>
    <row r="572" spans="1:46" hidden="1" x14ac:dyDescent="0.25">
      <c r="A572" s="7"/>
      <c r="B572" s="7"/>
      <c r="C572" s="7"/>
      <c r="D572" s="4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</row>
    <row r="573" spans="1:46" hidden="1" x14ac:dyDescent="0.25">
      <c r="A573" s="7"/>
      <c r="B573" s="7"/>
      <c r="C573" s="7"/>
      <c r="D573" s="4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</row>
    <row r="574" spans="1:46" hidden="1" x14ac:dyDescent="0.25">
      <c r="A574" s="7"/>
      <c r="B574" s="7"/>
      <c r="C574" s="7"/>
      <c r="D574" s="4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</row>
    <row r="575" spans="1:46" hidden="1" x14ac:dyDescent="0.25">
      <c r="A575" s="7"/>
      <c r="B575" s="7"/>
      <c r="C575" s="7"/>
      <c r="D575" s="4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</row>
    <row r="576" spans="1:46" hidden="1" x14ac:dyDescent="0.25">
      <c r="A576" s="7"/>
      <c r="B576" s="7"/>
      <c r="C576" s="7"/>
      <c r="D576" s="4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 spans="1:24" hidden="1" x14ac:dyDescent="0.25">
      <c r="A577" s="7"/>
      <c r="B577" s="7"/>
      <c r="C577" s="7"/>
      <c r="D577" s="4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 spans="1:24" hidden="1" x14ac:dyDescent="0.25">
      <c r="A578" s="7"/>
      <c r="B578" s="7"/>
      <c r="C578" s="7"/>
      <c r="D578" s="4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 spans="1:24" hidden="1" x14ac:dyDescent="0.25">
      <c r="A579" s="7"/>
      <c r="B579" s="7"/>
      <c r="C579" s="7"/>
      <c r="D579" s="4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 spans="1:24" hidden="1" x14ac:dyDescent="0.25">
      <c r="A580" s="7"/>
      <c r="B580" s="7"/>
      <c r="C580" s="7"/>
      <c r="D580" s="4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 spans="1:24" hidden="1" x14ac:dyDescent="0.25">
      <c r="A581" s="7"/>
      <c r="B581" s="7"/>
      <c r="C581" s="7"/>
      <c r="D581" s="4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 spans="1:24" hidden="1" x14ac:dyDescent="0.25">
      <c r="A582" s="7"/>
      <c r="B582" s="7"/>
      <c r="C582" s="7"/>
      <c r="D582" s="4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 spans="1:24" hidden="1" x14ac:dyDescent="0.25">
      <c r="A583" s="7"/>
      <c r="B583" s="7"/>
      <c r="C583" s="7"/>
      <c r="D583" s="4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 spans="1:24" hidden="1" x14ac:dyDescent="0.25">
      <c r="A584" s="7"/>
      <c r="B584" s="7"/>
      <c r="C584" s="7"/>
      <c r="D584" s="4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 spans="1:24" hidden="1" x14ac:dyDescent="0.25">
      <c r="A585" s="7"/>
      <c r="B585" s="7"/>
      <c r="C585" s="7"/>
      <c r="D585" s="4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 spans="1:24" hidden="1" x14ac:dyDescent="0.25">
      <c r="A586" s="7"/>
      <c r="B586" s="7"/>
      <c r="C586" s="7"/>
      <c r="D586" s="4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 spans="1:24" hidden="1" x14ac:dyDescent="0.25">
      <c r="A587" s="7"/>
      <c r="B587" s="7"/>
      <c r="C587" s="7"/>
      <c r="D587" s="4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 spans="1:24" hidden="1" x14ac:dyDescent="0.25">
      <c r="A588" s="7"/>
      <c r="B588" s="7"/>
      <c r="C588" s="7"/>
      <c r="D588" s="4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 spans="1:24" hidden="1" x14ac:dyDescent="0.25">
      <c r="A589" s="7"/>
      <c r="B589" s="7"/>
      <c r="C589" s="7"/>
      <c r="D589" s="4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 spans="1:24" hidden="1" x14ac:dyDescent="0.25">
      <c r="A590" s="7"/>
      <c r="B590" s="7"/>
      <c r="C590" s="7"/>
      <c r="D590" s="4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 spans="1:24" hidden="1" x14ac:dyDescent="0.25">
      <c r="A591" s="7"/>
      <c r="B591" s="7"/>
      <c r="C591" s="7"/>
      <c r="D591" s="4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 spans="1:24" hidden="1" x14ac:dyDescent="0.25">
      <c r="A592" s="7"/>
      <c r="B592" s="7"/>
      <c r="C592" s="7"/>
      <c r="D592" s="4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 spans="1:24" hidden="1" x14ac:dyDescent="0.25">
      <c r="A593" s="7"/>
      <c r="B593" s="7"/>
      <c r="C593" s="7"/>
      <c r="D593" s="4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 spans="1:24" hidden="1" x14ac:dyDescent="0.25">
      <c r="A594" s="7"/>
      <c r="B594" s="7"/>
      <c r="C594" s="7"/>
      <c r="D594" s="4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 spans="1:24" hidden="1" x14ac:dyDescent="0.25">
      <c r="A595" s="7"/>
      <c r="B595" s="7"/>
      <c r="C595" s="7"/>
      <c r="D595" s="4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 spans="1:24" hidden="1" x14ac:dyDescent="0.25">
      <c r="A596" s="7"/>
      <c r="B596" s="7"/>
      <c r="C596" s="7"/>
      <c r="D596" s="4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 spans="1:24" hidden="1" x14ac:dyDescent="0.25">
      <c r="A597" s="7"/>
      <c r="B597" s="7"/>
      <c r="C597" s="7"/>
      <c r="D597" s="4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 spans="1:24" hidden="1" x14ac:dyDescent="0.25">
      <c r="A598" s="7"/>
      <c r="B598" s="7"/>
      <c r="C598" s="7"/>
      <c r="D598" s="4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 spans="1:24" hidden="1" x14ac:dyDescent="0.25">
      <c r="A599" s="7"/>
      <c r="B599" s="7"/>
      <c r="C599" s="7"/>
      <c r="D599" s="4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 spans="1:24" hidden="1" x14ac:dyDescent="0.25">
      <c r="A600" s="7"/>
      <c r="B600" s="7"/>
      <c r="C600" s="7"/>
      <c r="D600" s="4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 spans="1:24" hidden="1" x14ac:dyDescent="0.25">
      <c r="A601" s="7"/>
      <c r="B601" s="7"/>
      <c r="C601" s="7"/>
      <c r="D601" s="4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 spans="1:24" hidden="1" x14ac:dyDescent="0.25">
      <c r="A602" s="7"/>
      <c r="B602" s="7"/>
      <c r="C602" s="7"/>
      <c r="D602" s="4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 spans="1:24" hidden="1" x14ac:dyDescent="0.25">
      <c r="A603" s="7"/>
      <c r="B603" s="7"/>
      <c r="C603" s="7"/>
      <c r="D603" s="4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 spans="1:24" hidden="1" x14ac:dyDescent="0.25">
      <c r="A604" s="7"/>
      <c r="B604" s="7"/>
      <c r="C604" s="7"/>
      <c r="D604" s="4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 spans="1:24" hidden="1" x14ac:dyDescent="0.25">
      <c r="A605" s="7"/>
      <c r="B605" s="7"/>
      <c r="C605" s="7"/>
      <c r="D605" s="4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 spans="1:24" hidden="1" x14ac:dyDescent="0.25">
      <c r="A606" s="7"/>
      <c r="B606" s="7"/>
      <c r="C606" s="7"/>
      <c r="D606" s="4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 spans="1:24" hidden="1" x14ac:dyDescent="0.25">
      <c r="A607" s="7"/>
      <c r="B607" s="7"/>
      <c r="C607" s="7"/>
      <c r="D607" s="4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 spans="1:24" hidden="1" x14ac:dyDescent="0.25">
      <c r="A608" s="7"/>
      <c r="B608" s="7"/>
      <c r="C608" s="7"/>
      <c r="D608" s="4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 spans="1:24" hidden="1" x14ac:dyDescent="0.25">
      <c r="A609" s="7"/>
      <c r="B609" s="7"/>
      <c r="C609" s="7"/>
      <c r="D609" s="4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 spans="1:24" hidden="1" x14ac:dyDescent="0.25">
      <c r="A610" s="7"/>
      <c r="B610" s="7"/>
      <c r="C610" s="7"/>
      <c r="D610" s="4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 spans="1:24" hidden="1" x14ac:dyDescent="0.25">
      <c r="A611" s="7"/>
      <c r="B611" s="7"/>
      <c r="C611" s="7"/>
      <c r="D611" s="4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 spans="1:24" hidden="1" x14ac:dyDescent="0.25">
      <c r="A612" s="7"/>
      <c r="B612" s="7"/>
      <c r="C612" s="7"/>
      <c r="D612" s="4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 spans="1:24" hidden="1" x14ac:dyDescent="0.25">
      <c r="A613" s="7"/>
      <c r="B613" s="7"/>
      <c r="C613" s="7"/>
      <c r="D613" s="4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 spans="1:24" hidden="1" x14ac:dyDescent="0.25">
      <c r="A614" s="7"/>
      <c r="B614" s="7"/>
      <c r="C614" s="7"/>
      <c r="D614" s="4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 spans="1:24" hidden="1" x14ac:dyDescent="0.25">
      <c r="A615" s="7"/>
      <c r="B615" s="7"/>
      <c r="C615" s="7"/>
      <c r="D615" s="4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 spans="1:24" hidden="1" x14ac:dyDescent="0.25">
      <c r="A616" s="7"/>
      <c r="B616" s="7"/>
      <c r="C616" s="7"/>
      <c r="D616" s="4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 spans="1:24" hidden="1" x14ac:dyDescent="0.25">
      <c r="A617" s="7"/>
      <c r="B617" s="7"/>
      <c r="C617" s="7"/>
      <c r="D617" s="4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 spans="1:24" hidden="1" x14ac:dyDescent="0.25">
      <c r="A618" s="7"/>
      <c r="B618" s="7"/>
      <c r="C618" s="7"/>
      <c r="D618" s="4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 spans="1:24" hidden="1" x14ac:dyDescent="0.25">
      <c r="A619" s="7"/>
      <c r="B619" s="7"/>
      <c r="C619" s="7"/>
      <c r="D619" s="4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 spans="1:24" hidden="1" x14ac:dyDescent="0.25">
      <c r="A620" s="7"/>
      <c r="B620" s="7"/>
      <c r="C620" s="7"/>
      <c r="D620" s="4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 spans="1:24" hidden="1" x14ac:dyDescent="0.25">
      <c r="A621" s="7"/>
      <c r="B621" s="7"/>
      <c r="C621" s="7"/>
      <c r="D621" s="4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 spans="1:24" hidden="1" x14ac:dyDescent="0.25">
      <c r="A622" s="7"/>
      <c r="B622" s="7"/>
      <c r="C622" s="7"/>
      <c r="D622" s="4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 spans="1:24" hidden="1" x14ac:dyDescent="0.25">
      <c r="A623" s="7"/>
      <c r="B623" s="7"/>
      <c r="C623" s="7"/>
      <c r="D623" s="4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 spans="1:24" hidden="1" x14ac:dyDescent="0.25">
      <c r="A624" s="7"/>
      <c r="B624" s="7"/>
      <c r="C624" s="7"/>
      <c r="D624" s="4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 spans="1:24" hidden="1" x14ac:dyDescent="0.25">
      <c r="A625" s="7"/>
      <c r="B625" s="7"/>
      <c r="C625" s="7"/>
      <c r="D625" s="4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 spans="1:24" hidden="1" x14ac:dyDescent="0.25">
      <c r="A626" s="7"/>
      <c r="B626" s="7"/>
      <c r="C626" s="7"/>
      <c r="D626" s="4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 spans="1:24" hidden="1" x14ac:dyDescent="0.25">
      <c r="A627" s="7"/>
      <c r="B627" s="7"/>
      <c r="C627" s="7"/>
      <c r="D627" s="4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 spans="1:24" hidden="1" x14ac:dyDescent="0.25">
      <c r="A628" s="7"/>
      <c r="B628" s="7"/>
      <c r="C628" s="7"/>
      <c r="D628" s="4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 spans="1:24" hidden="1" x14ac:dyDescent="0.25">
      <c r="A629" s="7"/>
      <c r="B629" s="7"/>
      <c r="C629" s="7"/>
      <c r="D629" s="4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 spans="1:24" hidden="1" x14ac:dyDescent="0.25">
      <c r="A630" s="7"/>
      <c r="B630" s="7"/>
      <c r="C630" s="7"/>
      <c r="D630" s="4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 spans="1:24" hidden="1" x14ac:dyDescent="0.25">
      <c r="A631" s="7"/>
      <c r="B631" s="7"/>
      <c r="C631" s="7"/>
      <c r="D631" s="4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 spans="1:24" hidden="1" x14ac:dyDescent="0.25">
      <c r="A632" s="7"/>
      <c r="B632" s="7"/>
      <c r="C632" s="7"/>
      <c r="D632" s="4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 spans="1:24" hidden="1" x14ac:dyDescent="0.25">
      <c r="A633" s="7"/>
      <c r="B633" s="7"/>
      <c r="C633" s="7"/>
      <c r="D633" s="4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 spans="1:24" hidden="1" x14ac:dyDescent="0.25">
      <c r="A634" s="7"/>
      <c r="B634" s="7"/>
      <c r="C634" s="7"/>
      <c r="D634" s="4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 spans="1:24" hidden="1" x14ac:dyDescent="0.25">
      <c r="A635" s="7"/>
      <c r="B635" s="7"/>
      <c r="C635" s="7"/>
      <c r="D635" s="4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 spans="1:24" hidden="1" x14ac:dyDescent="0.25">
      <c r="A636" s="7"/>
      <c r="B636" s="7"/>
      <c r="C636" s="7"/>
      <c r="D636" s="4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 spans="1:24" hidden="1" x14ac:dyDescent="0.25">
      <c r="A637" s="7"/>
      <c r="B637" s="7"/>
      <c r="C637" s="7"/>
      <c r="D637" s="4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 spans="1:24" hidden="1" x14ac:dyDescent="0.25">
      <c r="A638" s="7"/>
      <c r="B638" s="7"/>
      <c r="C638" s="7"/>
      <c r="D638" s="4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 spans="1:24" hidden="1" x14ac:dyDescent="0.25">
      <c r="A639" s="7"/>
      <c r="B639" s="7"/>
      <c r="C639" s="7"/>
      <c r="D639" s="4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 spans="1:24" hidden="1" x14ac:dyDescent="0.25">
      <c r="A640" s="7"/>
      <c r="B640" s="7"/>
      <c r="C640" s="7"/>
      <c r="D640" s="4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 spans="1:24" hidden="1" x14ac:dyDescent="0.25">
      <c r="A641" s="7"/>
      <c r="B641" s="7"/>
      <c r="C641" s="7"/>
      <c r="D641" s="4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 spans="1:24" hidden="1" x14ac:dyDescent="0.25">
      <c r="A642" s="7"/>
      <c r="B642" s="7"/>
      <c r="C642" s="7"/>
      <c r="D642" s="4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 spans="1:24" hidden="1" x14ac:dyDescent="0.25">
      <c r="A643" s="7"/>
      <c r="B643" s="7"/>
      <c r="C643" s="7"/>
      <c r="D643" s="4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 spans="1:24" hidden="1" x14ac:dyDescent="0.25">
      <c r="A644" s="7"/>
      <c r="B644" s="7"/>
      <c r="C644" s="7"/>
      <c r="D644" s="4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 spans="1:24" hidden="1" x14ac:dyDescent="0.25">
      <c r="A645" s="7"/>
      <c r="B645" s="7"/>
      <c r="C645" s="7"/>
      <c r="D645" s="4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 spans="1:24" hidden="1" x14ac:dyDescent="0.25">
      <c r="A646" s="7"/>
      <c r="B646" s="7"/>
      <c r="C646" s="7"/>
      <c r="D646" s="4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 spans="1:24" hidden="1" x14ac:dyDescent="0.25">
      <c r="A647" s="7"/>
      <c r="B647" s="7"/>
      <c r="C647" s="7"/>
      <c r="D647" s="4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 spans="1:24" hidden="1" x14ac:dyDescent="0.25">
      <c r="A648" s="7"/>
      <c r="B648" s="7"/>
      <c r="C648" s="7"/>
      <c r="D648" s="4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 spans="1:24" hidden="1" x14ac:dyDescent="0.25">
      <c r="A649" s="7"/>
      <c r="B649" s="7"/>
      <c r="C649" s="7"/>
      <c r="D649" s="4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 spans="1:24" hidden="1" x14ac:dyDescent="0.25">
      <c r="A650" s="7"/>
      <c r="B650" s="7"/>
      <c r="C650" s="7"/>
      <c r="D650" s="4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 spans="1:24" hidden="1" x14ac:dyDescent="0.25">
      <c r="A651" s="7"/>
      <c r="B651" s="7"/>
      <c r="C651" s="7"/>
      <c r="D651" s="4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 spans="1:24" hidden="1" x14ac:dyDescent="0.25">
      <c r="A652" s="7"/>
      <c r="B652" s="7"/>
      <c r="C652" s="7"/>
      <c r="D652" s="4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 spans="1:24" hidden="1" x14ac:dyDescent="0.25">
      <c r="A653" s="7"/>
      <c r="B653" s="7"/>
      <c r="C653" s="7"/>
      <c r="D653" s="4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 spans="1:24" hidden="1" x14ac:dyDescent="0.25">
      <c r="A654" s="7"/>
      <c r="B654" s="7"/>
      <c r="C654" s="7"/>
      <c r="D654" s="4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 spans="1:24" hidden="1" x14ac:dyDescent="0.25">
      <c r="A655" s="7"/>
      <c r="B655" s="7"/>
      <c r="C655" s="7"/>
      <c r="D655" s="4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 spans="1:24" hidden="1" x14ac:dyDescent="0.25">
      <c r="A656" s="7"/>
      <c r="B656" s="7"/>
      <c r="C656" s="7"/>
      <c r="D656" s="4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 spans="1:24" hidden="1" x14ac:dyDescent="0.25">
      <c r="A657" s="7"/>
      <c r="B657" s="7"/>
      <c r="C657" s="7"/>
      <c r="D657" s="4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 spans="1:24" hidden="1" x14ac:dyDescent="0.25">
      <c r="A658" s="7"/>
      <c r="B658" s="7"/>
      <c r="C658" s="7"/>
      <c r="D658" s="4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 spans="1:24" hidden="1" x14ac:dyDescent="0.25">
      <c r="A659" s="7"/>
      <c r="B659" s="7"/>
      <c r="C659" s="7"/>
      <c r="D659" s="4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 spans="1:24" hidden="1" x14ac:dyDescent="0.25">
      <c r="A660" s="7"/>
      <c r="B660" s="7"/>
      <c r="C660" s="7"/>
      <c r="D660" s="4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 spans="1:24" hidden="1" x14ac:dyDescent="0.25">
      <c r="A661" s="7"/>
      <c r="B661" s="7"/>
      <c r="C661" s="7"/>
      <c r="D661" s="4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 spans="1:24" hidden="1" x14ac:dyDescent="0.25">
      <c r="A662" s="7"/>
      <c r="B662" s="7"/>
      <c r="C662" s="7"/>
      <c r="D662" s="4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 spans="1:24" hidden="1" x14ac:dyDescent="0.25">
      <c r="A663" s="7"/>
      <c r="B663" s="7"/>
      <c r="C663" s="7"/>
      <c r="D663" s="4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 spans="1:24" hidden="1" x14ac:dyDescent="0.25">
      <c r="A664" s="7"/>
      <c r="B664" s="7"/>
      <c r="C664" s="7"/>
      <c r="D664" s="4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 spans="1:24" hidden="1" x14ac:dyDescent="0.25">
      <c r="A665" s="7"/>
      <c r="B665" s="7"/>
      <c r="C665" s="7"/>
      <c r="D665" s="4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 spans="1:24" hidden="1" x14ac:dyDescent="0.25">
      <c r="A666" s="7"/>
      <c r="B666" s="7"/>
      <c r="C666" s="7"/>
      <c r="D666" s="4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 spans="1:24" hidden="1" x14ac:dyDescent="0.25">
      <c r="A667" s="7"/>
      <c r="B667" s="7"/>
      <c r="C667" s="7"/>
      <c r="D667" s="4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 spans="1:24" hidden="1" x14ac:dyDescent="0.25">
      <c r="A668" s="7"/>
      <c r="B668" s="7"/>
      <c r="C668" s="7"/>
      <c r="D668" s="4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 spans="1:24" hidden="1" x14ac:dyDescent="0.25">
      <c r="A669" s="7"/>
      <c r="B669" s="7"/>
      <c r="C669" s="7"/>
      <c r="D669" s="4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 spans="1:24" hidden="1" x14ac:dyDescent="0.25">
      <c r="A670" s="7"/>
      <c r="B670" s="7"/>
      <c r="C670" s="7"/>
      <c r="D670" s="4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 spans="1:24" hidden="1" x14ac:dyDescent="0.25">
      <c r="A671" s="7"/>
      <c r="B671" s="7"/>
      <c r="C671" s="7"/>
      <c r="D671" s="4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 spans="1:24" hidden="1" x14ac:dyDescent="0.25">
      <c r="A672" s="7"/>
      <c r="B672" s="7"/>
      <c r="C672" s="7"/>
      <c r="D672" s="4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 spans="1:24" hidden="1" x14ac:dyDescent="0.25">
      <c r="A673" s="7"/>
      <c r="B673" s="7"/>
      <c r="C673" s="7"/>
      <c r="D673" s="4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 spans="1:24" hidden="1" x14ac:dyDescent="0.25">
      <c r="A674" s="7"/>
      <c r="B674" s="7"/>
      <c r="C674" s="7"/>
      <c r="D674" s="4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 spans="1:24" hidden="1" x14ac:dyDescent="0.25">
      <c r="A675" s="7"/>
      <c r="B675" s="7"/>
      <c r="C675" s="7"/>
      <c r="D675" s="4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 spans="1:24" hidden="1" x14ac:dyDescent="0.25">
      <c r="A676" s="7"/>
      <c r="B676" s="7"/>
      <c r="C676" s="7"/>
      <c r="D676" s="4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 spans="1:24" hidden="1" x14ac:dyDescent="0.25">
      <c r="A677" s="7"/>
      <c r="B677" s="7"/>
      <c r="C677" s="7"/>
      <c r="D677" s="4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 spans="1:24" hidden="1" x14ac:dyDescent="0.25">
      <c r="A678" s="7"/>
      <c r="B678" s="7"/>
      <c r="C678" s="7"/>
      <c r="D678" s="4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 spans="1:24" hidden="1" x14ac:dyDescent="0.25">
      <c r="A679" s="7"/>
      <c r="B679" s="7"/>
      <c r="C679" s="7"/>
      <c r="D679" s="4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 spans="1:24" hidden="1" x14ac:dyDescent="0.25">
      <c r="A680" s="7"/>
      <c r="B680" s="7"/>
      <c r="C680" s="7"/>
      <c r="D680" s="4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 spans="1:24" hidden="1" x14ac:dyDescent="0.25">
      <c r="A681" s="7"/>
      <c r="B681" s="7"/>
      <c r="C681" s="7"/>
      <c r="D681" s="4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 spans="1:24" hidden="1" x14ac:dyDescent="0.25">
      <c r="A682" s="7"/>
      <c r="B682" s="7"/>
      <c r="C682" s="7"/>
      <c r="D682" s="4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 spans="1:24" hidden="1" x14ac:dyDescent="0.25">
      <c r="A683" s="7"/>
      <c r="B683" s="7"/>
      <c r="C683" s="7"/>
      <c r="D683" s="4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 spans="1:24" hidden="1" x14ac:dyDescent="0.25">
      <c r="A684" s="7"/>
      <c r="B684" s="7"/>
      <c r="C684" s="7"/>
      <c r="D684" s="4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 spans="1:24" hidden="1" x14ac:dyDescent="0.25">
      <c r="A685" s="7"/>
      <c r="B685" s="7"/>
      <c r="C685" s="7"/>
      <c r="D685" s="4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 spans="1:24" hidden="1" x14ac:dyDescent="0.25">
      <c r="A686" s="7"/>
      <c r="B686" s="7"/>
      <c r="C686" s="7"/>
      <c r="D686" s="4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 spans="1:24" hidden="1" x14ac:dyDescent="0.25">
      <c r="A687" s="7"/>
      <c r="B687" s="7"/>
      <c r="C687" s="7"/>
      <c r="D687" s="4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 spans="1:24" hidden="1" x14ac:dyDescent="0.25">
      <c r="A688" s="7"/>
      <c r="B688" s="7"/>
      <c r="C688" s="7"/>
      <c r="D688" s="4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 spans="1:24" hidden="1" x14ac:dyDescent="0.25">
      <c r="A689" s="7"/>
      <c r="B689" s="7"/>
      <c r="C689" s="7"/>
      <c r="D689" s="4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 spans="1:24" hidden="1" x14ac:dyDescent="0.25">
      <c r="A690" s="7"/>
      <c r="B690" s="7"/>
      <c r="C690" s="7"/>
      <c r="D690" s="4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 spans="1:24" hidden="1" x14ac:dyDescent="0.25">
      <c r="A691" s="7"/>
      <c r="B691" s="7"/>
      <c r="C691" s="7"/>
      <c r="D691" s="4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 spans="1:24" hidden="1" x14ac:dyDescent="0.25">
      <c r="A692" s="7"/>
      <c r="B692" s="7"/>
      <c r="C692" s="7"/>
      <c r="D692" s="4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 spans="1:24" hidden="1" x14ac:dyDescent="0.25">
      <c r="A693" s="7"/>
      <c r="B693" s="7"/>
      <c r="C693" s="7"/>
      <c r="D693" s="4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 spans="1:24" hidden="1" x14ac:dyDescent="0.25">
      <c r="A694" s="7"/>
      <c r="B694" s="7"/>
      <c r="C694" s="7"/>
      <c r="D694" s="4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 spans="1:24" hidden="1" x14ac:dyDescent="0.25">
      <c r="A695" s="7"/>
      <c r="B695" s="7"/>
      <c r="C695" s="7"/>
      <c r="D695" s="4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 spans="1:24" hidden="1" x14ac:dyDescent="0.25">
      <c r="A696" s="7"/>
      <c r="B696" s="7"/>
      <c r="C696" s="7"/>
      <c r="D696" s="4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 spans="1:24" hidden="1" x14ac:dyDescent="0.25">
      <c r="A697" s="7"/>
      <c r="B697" s="7"/>
      <c r="C697" s="7"/>
      <c r="D697" s="4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 spans="1:24" hidden="1" x14ac:dyDescent="0.25">
      <c r="A698" s="7"/>
      <c r="B698" s="7"/>
      <c r="C698" s="7"/>
      <c r="D698" s="4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 spans="1:24" hidden="1" x14ac:dyDescent="0.25">
      <c r="A699" s="7"/>
      <c r="B699" s="7"/>
      <c r="C699" s="7"/>
      <c r="D699" s="4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 spans="1:24" hidden="1" x14ac:dyDescent="0.25">
      <c r="A700" s="7"/>
      <c r="B700" s="7"/>
      <c r="C700" s="7"/>
      <c r="D700" s="4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 spans="1:24" hidden="1" x14ac:dyDescent="0.25">
      <c r="A701" s="7"/>
      <c r="B701" s="7"/>
      <c r="C701" s="7"/>
      <c r="D701" s="4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 spans="1:24" hidden="1" x14ac:dyDescent="0.25">
      <c r="A702" s="7"/>
      <c r="B702" s="7"/>
      <c r="C702" s="7"/>
      <c r="D702" s="4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 spans="1:24" hidden="1" x14ac:dyDescent="0.25">
      <c r="A703" s="7"/>
      <c r="B703" s="7"/>
      <c r="C703" s="7"/>
      <c r="D703" s="4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 spans="1:24" hidden="1" x14ac:dyDescent="0.25">
      <c r="A704" s="7"/>
      <c r="B704" s="7"/>
      <c r="C704" s="7"/>
      <c r="D704" s="4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 spans="1:24" hidden="1" x14ac:dyDescent="0.25">
      <c r="A705" s="7"/>
      <c r="B705" s="7"/>
      <c r="C705" s="7"/>
      <c r="D705" s="4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 spans="1:24" hidden="1" x14ac:dyDescent="0.25">
      <c r="A706" s="7"/>
      <c r="B706" s="7"/>
      <c r="C706" s="7"/>
      <c r="D706" s="4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 spans="1:24" hidden="1" x14ac:dyDescent="0.25">
      <c r="A707" s="7"/>
      <c r="B707" s="7"/>
      <c r="C707" s="7"/>
      <c r="D707" s="4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 spans="1:24" hidden="1" x14ac:dyDescent="0.25">
      <c r="A708" s="7"/>
      <c r="B708" s="7"/>
      <c r="C708" s="7"/>
      <c r="D708" s="4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 spans="1:24" hidden="1" x14ac:dyDescent="0.25">
      <c r="A709" s="7"/>
      <c r="B709" s="7"/>
      <c r="C709" s="7"/>
      <c r="D709" s="4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 spans="1:24" hidden="1" x14ac:dyDescent="0.25">
      <c r="A710" s="7"/>
      <c r="B710" s="7"/>
      <c r="C710" s="7"/>
      <c r="D710" s="4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 spans="1:24" hidden="1" x14ac:dyDescent="0.25">
      <c r="A711" s="7"/>
      <c r="B711" s="7"/>
      <c r="C711" s="7"/>
      <c r="D711" s="4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 spans="1:24" hidden="1" x14ac:dyDescent="0.25">
      <c r="A712" s="7"/>
      <c r="B712" s="7"/>
      <c r="C712" s="7"/>
      <c r="D712" s="4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 spans="1:24" hidden="1" x14ac:dyDescent="0.25">
      <c r="A713" s="7"/>
      <c r="B713" s="7"/>
      <c r="C713" s="7"/>
      <c r="D713" s="4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 spans="1:24" hidden="1" x14ac:dyDescent="0.25">
      <c r="A714" s="7"/>
      <c r="B714" s="7"/>
      <c r="C714" s="7"/>
      <c r="D714" s="4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 spans="1:24" hidden="1" x14ac:dyDescent="0.25">
      <c r="A715" s="7"/>
      <c r="B715" s="7"/>
      <c r="C715" s="7"/>
      <c r="D715" s="4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 spans="1:24" hidden="1" x14ac:dyDescent="0.25">
      <c r="A716" s="7"/>
      <c r="B716" s="7"/>
      <c r="C716" s="7"/>
      <c r="D716" s="4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 spans="1:24" hidden="1" x14ac:dyDescent="0.25">
      <c r="A717" s="7"/>
      <c r="B717" s="7"/>
      <c r="C717" s="7"/>
      <c r="D717" s="4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 spans="1:24" hidden="1" x14ac:dyDescent="0.25">
      <c r="A718" s="7"/>
      <c r="B718" s="7"/>
      <c r="C718" s="7"/>
      <c r="D718" s="4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 spans="1:24" hidden="1" x14ac:dyDescent="0.25">
      <c r="A719" s="7"/>
      <c r="B719" s="7"/>
      <c r="C719" s="7"/>
      <c r="D719" s="4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 spans="1:24" hidden="1" x14ac:dyDescent="0.25">
      <c r="A720" s="7"/>
      <c r="B720" s="7"/>
      <c r="C720" s="7"/>
      <c r="D720" s="4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 spans="1:24" hidden="1" x14ac:dyDescent="0.25">
      <c r="A721" s="7"/>
      <c r="B721" s="7"/>
      <c r="C721" s="7"/>
      <c r="D721" s="4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 spans="1:24" hidden="1" x14ac:dyDescent="0.25">
      <c r="A722" s="7"/>
      <c r="B722" s="7"/>
      <c r="C722" s="7"/>
      <c r="D722" s="4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 spans="1:24" hidden="1" x14ac:dyDescent="0.25">
      <c r="A723" s="7"/>
      <c r="B723" s="7"/>
      <c r="C723" s="7"/>
      <c r="D723" s="4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 spans="1:24" hidden="1" x14ac:dyDescent="0.25">
      <c r="A724" s="7"/>
      <c r="B724" s="7"/>
      <c r="C724" s="7"/>
      <c r="D724" s="4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 spans="1:24" hidden="1" x14ac:dyDescent="0.25">
      <c r="A725" s="7"/>
      <c r="B725" s="7"/>
      <c r="C725" s="7"/>
      <c r="D725" s="4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 spans="1:24" hidden="1" x14ac:dyDescent="0.25">
      <c r="A726" s="7"/>
      <c r="B726" s="7"/>
      <c r="C726" s="7"/>
      <c r="D726" s="4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 spans="1:24" hidden="1" x14ac:dyDescent="0.25">
      <c r="A727" s="7"/>
      <c r="B727" s="7"/>
      <c r="C727" s="7"/>
      <c r="D727" s="4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 spans="1:24" hidden="1" x14ac:dyDescent="0.25">
      <c r="A728" s="7"/>
      <c r="B728" s="7"/>
      <c r="C728" s="7"/>
      <c r="D728" s="4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 spans="1:24" hidden="1" x14ac:dyDescent="0.25">
      <c r="A729" s="7"/>
      <c r="B729" s="7"/>
      <c r="C729" s="7"/>
      <c r="D729" s="4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 spans="1:24" hidden="1" x14ac:dyDescent="0.25">
      <c r="A730" s="7"/>
      <c r="B730" s="7"/>
      <c r="C730" s="7"/>
      <c r="D730" s="4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 spans="1:24" hidden="1" x14ac:dyDescent="0.25">
      <c r="A731" s="7"/>
      <c r="B731" s="7"/>
      <c r="C731" s="7"/>
      <c r="D731" s="4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 spans="1:24" hidden="1" x14ac:dyDescent="0.25">
      <c r="A732" s="7"/>
      <c r="B732" s="7"/>
      <c r="C732" s="7"/>
      <c r="D732" s="4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 spans="1:24" hidden="1" x14ac:dyDescent="0.25">
      <c r="A733" s="7"/>
      <c r="B733" s="7"/>
      <c r="C733" s="7"/>
      <c r="D733" s="4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 spans="1:24" hidden="1" x14ac:dyDescent="0.25">
      <c r="A734" s="7"/>
      <c r="B734" s="7"/>
      <c r="C734" s="7"/>
      <c r="D734" s="4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 spans="1:24" hidden="1" x14ac:dyDescent="0.25">
      <c r="A735" s="7"/>
      <c r="B735" s="7"/>
      <c r="C735" s="7"/>
      <c r="D735" s="4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 spans="1:24" hidden="1" x14ac:dyDescent="0.25">
      <c r="A736" s="7"/>
      <c r="B736" s="7"/>
      <c r="C736" s="7"/>
      <c r="D736" s="4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 spans="1:24" hidden="1" x14ac:dyDescent="0.25">
      <c r="A737" s="7"/>
      <c r="B737" s="7"/>
      <c r="C737" s="7"/>
      <c r="D737" s="4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 spans="1:24" hidden="1" x14ac:dyDescent="0.25">
      <c r="A738" s="7"/>
      <c r="B738" s="7"/>
      <c r="C738" s="7"/>
      <c r="D738" s="4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 spans="1:24" hidden="1" x14ac:dyDescent="0.25">
      <c r="A739" s="7"/>
      <c r="B739" s="7"/>
      <c r="C739" s="7"/>
      <c r="D739" s="4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 spans="1:24" hidden="1" x14ac:dyDescent="0.25">
      <c r="A740" s="7"/>
      <c r="B740" s="7"/>
      <c r="C740" s="7"/>
      <c r="D740" s="4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 spans="1:24" hidden="1" x14ac:dyDescent="0.25">
      <c r="A741" s="7"/>
      <c r="B741" s="7"/>
      <c r="C741" s="7"/>
      <c r="D741" s="4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 spans="1:24" hidden="1" x14ac:dyDescent="0.25">
      <c r="A742" s="7"/>
      <c r="B742" s="7"/>
      <c r="C742" s="7"/>
      <c r="D742" s="4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 spans="1:24" hidden="1" x14ac:dyDescent="0.25">
      <c r="A743" s="7"/>
      <c r="B743" s="7"/>
      <c r="C743" s="7"/>
      <c r="D743" s="4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 spans="1:24" hidden="1" x14ac:dyDescent="0.25">
      <c r="A744" s="7"/>
      <c r="B744" s="7"/>
      <c r="C744" s="7"/>
      <c r="D744" s="4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 spans="1:24" hidden="1" x14ac:dyDescent="0.25">
      <c r="A745" s="7"/>
      <c r="B745" s="7"/>
      <c r="C745" s="7"/>
      <c r="D745" s="4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 spans="1:24" hidden="1" x14ac:dyDescent="0.25">
      <c r="A746" s="7"/>
      <c r="B746" s="7"/>
      <c r="C746" s="7"/>
      <c r="D746" s="4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 spans="1:24" hidden="1" x14ac:dyDescent="0.25">
      <c r="A747" s="7"/>
      <c r="B747" s="7"/>
      <c r="C747" s="7"/>
      <c r="D747" s="4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 spans="1:24" hidden="1" x14ac:dyDescent="0.25">
      <c r="A748" s="7"/>
      <c r="B748" s="7"/>
      <c r="C748" s="7"/>
      <c r="D748" s="4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 spans="1:24" hidden="1" x14ac:dyDescent="0.25">
      <c r="A749" s="7"/>
      <c r="B749" s="7"/>
      <c r="C749" s="7"/>
      <c r="D749" s="4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 spans="1:24" hidden="1" x14ac:dyDescent="0.25">
      <c r="A750" s="7"/>
      <c r="B750" s="7"/>
      <c r="C750" s="7"/>
      <c r="D750" s="4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 spans="1:24" hidden="1" x14ac:dyDescent="0.25">
      <c r="A751" s="7"/>
      <c r="B751" s="7"/>
      <c r="C751" s="7"/>
      <c r="D751" s="4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 spans="1:24" hidden="1" x14ac:dyDescent="0.25">
      <c r="A752" s="7"/>
      <c r="B752" s="7"/>
      <c r="C752" s="7"/>
      <c r="D752" s="4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 spans="1:24" hidden="1" x14ac:dyDescent="0.25">
      <c r="A753" s="7"/>
      <c r="B753" s="7"/>
      <c r="C753" s="7"/>
      <c r="D753" s="4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 spans="1:24" hidden="1" x14ac:dyDescent="0.25">
      <c r="A754" s="7"/>
      <c r="B754" s="7"/>
      <c r="C754" s="7"/>
      <c r="D754" s="4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 spans="1:24" hidden="1" x14ac:dyDescent="0.25">
      <c r="A755" s="7"/>
      <c r="B755" s="7"/>
      <c r="C755" s="7"/>
      <c r="D755" s="4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 spans="1:24" hidden="1" x14ac:dyDescent="0.25">
      <c r="A756" s="7"/>
      <c r="B756" s="7"/>
      <c r="C756" s="7"/>
      <c r="D756" s="4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 spans="1:24" hidden="1" x14ac:dyDescent="0.25">
      <c r="A757" s="7"/>
      <c r="B757" s="7"/>
      <c r="C757" s="7"/>
      <c r="D757" s="4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 spans="1:24" hidden="1" x14ac:dyDescent="0.25">
      <c r="A758" s="7"/>
      <c r="B758" s="7"/>
      <c r="C758" s="7"/>
      <c r="D758" s="4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 spans="1:24" hidden="1" x14ac:dyDescent="0.25">
      <c r="A759" s="7"/>
      <c r="B759" s="7"/>
      <c r="C759" s="7"/>
      <c r="D759" s="4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 spans="1:24" hidden="1" x14ac:dyDescent="0.25">
      <c r="A760" s="7"/>
      <c r="B760" s="7"/>
      <c r="C760" s="7"/>
      <c r="D760" s="4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 spans="1:24" hidden="1" x14ac:dyDescent="0.25">
      <c r="A761" s="7"/>
      <c r="B761" s="7"/>
      <c r="C761" s="7"/>
      <c r="D761" s="4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 spans="1:24" hidden="1" x14ac:dyDescent="0.25">
      <c r="A762" s="7"/>
      <c r="B762" s="7"/>
      <c r="C762" s="7"/>
      <c r="D762" s="4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 spans="1:24" hidden="1" x14ac:dyDescent="0.25">
      <c r="A763" s="7"/>
      <c r="B763" s="7"/>
      <c r="C763" s="7"/>
      <c r="D763" s="4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 spans="1:24" hidden="1" x14ac:dyDescent="0.25">
      <c r="A764" s="7"/>
      <c r="B764" s="7"/>
      <c r="C764" s="7"/>
      <c r="D764" s="4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 spans="1:24" hidden="1" x14ac:dyDescent="0.25">
      <c r="A765" s="7"/>
      <c r="B765" s="7"/>
      <c r="C765" s="7"/>
      <c r="D765" s="4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 spans="1:24" hidden="1" x14ac:dyDescent="0.25">
      <c r="A766" s="7"/>
      <c r="B766" s="7"/>
      <c r="C766" s="7"/>
      <c r="D766" s="4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 spans="1:24" hidden="1" x14ac:dyDescent="0.25">
      <c r="A767" s="7"/>
      <c r="B767" s="7"/>
      <c r="C767" s="7"/>
      <c r="D767" s="4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 spans="1:24" hidden="1" x14ac:dyDescent="0.25">
      <c r="A768" s="7"/>
      <c r="B768" s="7"/>
      <c r="C768" s="7"/>
      <c r="D768" s="4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 spans="1:24" hidden="1" x14ac:dyDescent="0.25">
      <c r="A769" s="7"/>
      <c r="B769" s="7"/>
      <c r="C769" s="7"/>
      <c r="D769" s="4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 spans="1:24" hidden="1" x14ac:dyDescent="0.25">
      <c r="A770" s="7"/>
      <c r="B770" s="7"/>
      <c r="C770" s="7"/>
      <c r="D770" s="4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 spans="1:24" hidden="1" x14ac:dyDescent="0.25">
      <c r="A771" s="7"/>
      <c r="B771" s="7"/>
      <c r="C771" s="7"/>
      <c r="D771" s="4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 spans="1:24" hidden="1" x14ac:dyDescent="0.25">
      <c r="A772" s="7"/>
      <c r="B772" s="7"/>
      <c r="C772" s="7"/>
      <c r="D772" s="4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 spans="1:24" hidden="1" x14ac:dyDescent="0.25">
      <c r="A773" s="7"/>
      <c r="B773" s="7"/>
      <c r="C773" s="7"/>
      <c r="D773" s="4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 spans="1:24" hidden="1" x14ac:dyDescent="0.25">
      <c r="A774" s="7"/>
      <c r="B774" s="7"/>
      <c r="C774" s="7"/>
      <c r="D774" s="4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 spans="1:24" hidden="1" x14ac:dyDescent="0.25">
      <c r="A775" s="7"/>
      <c r="B775" s="7"/>
      <c r="C775" s="7"/>
      <c r="D775" s="4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 spans="1:24" hidden="1" x14ac:dyDescent="0.25">
      <c r="A776" s="7"/>
      <c r="B776" s="7"/>
      <c r="C776" s="7"/>
      <c r="D776" s="4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 spans="1:24" hidden="1" x14ac:dyDescent="0.25">
      <c r="A777" s="7"/>
      <c r="B777" s="7"/>
      <c r="C777" s="7"/>
      <c r="D777" s="4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 spans="1:24" hidden="1" x14ac:dyDescent="0.25">
      <c r="A778" s="7"/>
      <c r="B778" s="7"/>
      <c r="C778" s="7"/>
      <c r="D778" s="4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 spans="1:24" hidden="1" x14ac:dyDescent="0.25">
      <c r="A779" s="7"/>
      <c r="B779" s="7"/>
      <c r="C779" s="7"/>
      <c r="D779" s="4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 spans="1:24" hidden="1" x14ac:dyDescent="0.25">
      <c r="A780" s="7"/>
      <c r="B780" s="7"/>
      <c r="C780" s="7"/>
      <c r="D780" s="4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 spans="1:24" hidden="1" x14ac:dyDescent="0.25">
      <c r="A781" s="7"/>
      <c r="B781" s="7"/>
      <c r="C781" s="7"/>
      <c r="D781" s="4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 spans="1:24" hidden="1" x14ac:dyDescent="0.25">
      <c r="A782" s="7"/>
      <c r="B782" s="7"/>
      <c r="C782" s="7"/>
      <c r="D782" s="4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 spans="1:24" hidden="1" x14ac:dyDescent="0.25">
      <c r="A783" s="7"/>
      <c r="B783" s="7"/>
      <c r="C783" s="7"/>
      <c r="D783" s="4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 spans="1:24" hidden="1" x14ac:dyDescent="0.25">
      <c r="A784" s="7"/>
      <c r="B784" s="7"/>
      <c r="C784" s="7"/>
      <c r="D784" s="4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 spans="1:24" hidden="1" x14ac:dyDescent="0.25">
      <c r="A785" s="7"/>
      <c r="B785" s="7"/>
      <c r="C785" s="7"/>
      <c r="D785" s="4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 spans="1:24" hidden="1" x14ac:dyDescent="0.25">
      <c r="A786" s="7"/>
      <c r="B786" s="7"/>
      <c r="C786" s="7"/>
      <c r="D786" s="4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 spans="1:24" hidden="1" x14ac:dyDescent="0.25">
      <c r="A787" s="7"/>
      <c r="B787" s="7"/>
      <c r="C787" s="7"/>
      <c r="D787" s="4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 spans="1:24" hidden="1" x14ac:dyDescent="0.25">
      <c r="A788" s="7"/>
      <c r="B788" s="7"/>
      <c r="C788" s="7"/>
      <c r="D788" s="4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 spans="1:24" hidden="1" x14ac:dyDescent="0.25">
      <c r="A789" s="7"/>
      <c r="B789" s="7"/>
      <c r="C789" s="7"/>
      <c r="D789" s="4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 spans="1:24" hidden="1" x14ac:dyDescent="0.25">
      <c r="A790" s="7"/>
      <c r="B790" s="7"/>
      <c r="C790" s="7"/>
      <c r="D790" s="4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 spans="1:24" hidden="1" x14ac:dyDescent="0.25">
      <c r="A791" s="7"/>
      <c r="B791" s="7"/>
      <c r="C791" s="7"/>
      <c r="D791" s="4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 spans="1:24" hidden="1" x14ac:dyDescent="0.25">
      <c r="A792" s="7"/>
      <c r="B792" s="7"/>
      <c r="C792" s="7"/>
      <c r="D792" s="4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 spans="1:24" hidden="1" x14ac:dyDescent="0.25">
      <c r="A793" s="7"/>
      <c r="B793" s="7"/>
      <c r="C793" s="7"/>
      <c r="D793" s="4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 spans="1:24" hidden="1" x14ac:dyDescent="0.25">
      <c r="A794" s="7"/>
      <c r="B794" s="7"/>
      <c r="C794" s="7"/>
      <c r="D794" s="4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 spans="1:24" hidden="1" x14ac:dyDescent="0.25">
      <c r="A795" s="7"/>
      <c r="B795" s="7"/>
      <c r="C795" s="7"/>
      <c r="D795" s="4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 spans="1:24" hidden="1" x14ac:dyDescent="0.25">
      <c r="A796" s="7"/>
      <c r="B796" s="7"/>
      <c r="C796" s="7"/>
      <c r="D796" s="4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 spans="1:24" hidden="1" x14ac:dyDescent="0.25">
      <c r="A797" s="7"/>
      <c r="B797" s="7"/>
      <c r="C797" s="7"/>
      <c r="D797" s="4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 spans="1:24" hidden="1" x14ac:dyDescent="0.25">
      <c r="A798" s="7"/>
      <c r="B798" s="7"/>
      <c r="C798" s="7"/>
      <c r="D798" s="4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 spans="1:24" hidden="1" x14ac:dyDescent="0.25">
      <c r="A799" s="7"/>
      <c r="B799" s="7"/>
      <c r="C799" s="7"/>
      <c r="D799" s="4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 spans="1:24" hidden="1" x14ac:dyDescent="0.25">
      <c r="A800" s="7"/>
      <c r="B800" s="7"/>
      <c r="C800" s="7"/>
      <c r="D800" s="4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 spans="1:24" hidden="1" x14ac:dyDescent="0.25">
      <c r="A801" s="7"/>
      <c r="B801" s="7"/>
      <c r="C801" s="7"/>
      <c r="D801" s="4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 spans="1:24" hidden="1" x14ac:dyDescent="0.25">
      <c r="A802" s="7"/>
      <c r="B802" s="7"/>
      <c r="C802" s="7"/>
      <c r="D802" s="4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 spans="1:24" hidden="1" x14ac:dyDescent="0.25">
      <c r="A803" s="7"/>
      <c r="B803" s="7"/>
      <c r="C803" s="7"/>
      <c r="D803" s="4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 spans="1:24" hidden="1" x14ac:dyDescent="0.25">
      <c r="A804" s="7"/>
      <c r="B804" s="7"/>
      <c r="C804" s="7"/>
      <c r="D804" s="4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 spans="1:24" hidden="1" x14ac:dyDescent="0.25">
      <c r="A805" s="7"/>
      <c r="B805" s="7"/>
      <c r="C805" s="7"/>
      <c r="D805" s="4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 spans="1:24" hidden="1" x14ac:dyDescent="0.25">
      <c r="A806" s="7"/>
      <c r="B806" s="7"/>
      <c r="C806" s="7"/>
      <c r="D806" s="4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 spans="1:24" hidden="1" x14ac:dyDescent="0.25">
      <c r="A807" s="7"/>
      <c r="B807" s="7"/>
      <c r="C807" s="7"/>
      <c r="D807" s="4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 spans="1:24" hidden="1" x14ac:dyDescent="0.25">
      <c r="A808" s="7"/>
      <c r="B808" s="7"/>
      <c r="C808" s="7"/>
      <c r="D808" s="4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 spans="1:24" hidden="1" x14ac:dyDescent="0.25">
      <c r="A809" s="7"/>
      <c r="B809" s="7"/>
      <c r="C809" s="7"/>
      <c r="D809" s="4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 spans="1:24" hidden="1" x14ac:dyDescent="0.25">
      <c r="A810" s="7"/>
      <c r="B810" s="7"/>
      <c r="C810" s="7"/>
      <c r="D810" s="4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 spans="1:24" hidden="1" x14ac:dyDescent="0.25">
      <c r="A811" s="7"/>
      <c r="B811" s="7"/>
      <c r="C811" s="7"/>
      <c r="D811" s="4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 spans="1:24" hidden="1" x14ac:dyDescent="0.25">
      <c r="A812" s="7"/>
      <c r="B812" s="7"/>
      <c r="C812" s="7"/>
      <c r="D812" s="4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 spans="1:24" hidden="1" x14ac:dyDescent="0.25">
      <c r="A813" s="7"/>
      <c r="B813" s="7"/>
      <c r="C813" s="7"/>
      <c r="D813" s="4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 spans="1:24" hidden="1" x14ac:dyDescent="0.25">
      <c r="A814" s="7"/>
      <c r="B814" s="7"/>
      <c r="C814" s="7"/>
      <c r="D814" s="4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 spans="1:24" hidden="1" x14ac:dyDescent="0.25">
      <c r="A815" s="7"/>
      <c r="B815" s="7"/>
      <c r="C815" s="7"/>
      <c r="D815" s="4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 spans="1:24" hidden="1" x14ac:dyDescent="0.25">
      <c r="A816" s="7"/>
      <c r="B816" s="7"/>
      <c r="C816" s="7"/>
      <c r="D816" s="4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 spans="1:24" hidden="1" x14ac:dyDescent="0.25">
      <c r="A817" s="7"/>
      <c r="B817" s="7"/>
      <c r="C817" s="7"/>
      <c r="D817" s="4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 spans="1:24" hidden="1" x14ac:dyDescent="0.25">
      <c r="A818" s="7"/>
      <c r="B818" s="7"/>
      <c r="C818" s="7"/>
      <c r="D818" s="4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 spans="1:24" hidden="1" x14ac:dyDescent="0.25">
      <c r="A819" s="7"/>
      <c r="B819" s="7"/>
      <c r="C819" s="7"/>
      <c r="D819" s="4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 spans="1:24" hidden="1" x14ac:dyDescent="0.25">
      <c r="A820" s="7"/>
      <c r="B820" s="7"/>
      <c r="C820" s="7"/>
      <c r="D820" s="4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 spans="1:24" hidden="1" x14ac:dyDescent="0.25">
      <c r="A821" s="7"/>
      <c r="B821" s="7"/>
      <c r="C821" s="7"/>
      <c r="D821" s="4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 spans="1:24" hidden="1" x14ac:dyDescent="0.25">
      <c r="A822" s="7"/>
      <c r="B822" s="7"/>
      <c r="C822" s="7"/>
      <c r="D822" s="4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 spans="1:24" hidden="1" x14ac:dyDescent="0.25">
      <c r="A823" s="7"/>
      <c r="B823" s="7"/>
      <c r="C823" s="7"/>
      <c r="D823" s="4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 spans="1:24" hidden="1" x14ac:dyDescent="0.25">
      <c r="A824" s="7"/>
      <c r="B824" s="7"/>
      <c r="C824" s="7"/>
      <c r="D824" s="4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 spans="1:24" hidden="1" x14ac:dyDescent="0.25">
      <c r="A825" s="7"/>
      <c r="B825" s="7"/>
      <c r="C825" s="7"/>
      <c r="D825" s="4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 spans="1:24" hidden="1" x14ac:dyDescent="0.25">
      <c r="A826" s="7"/>
      <c r="B826" s="7"/>
      <c r="C826" s="7"/>
      <c r="D826" s="4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 spans="1:24" hidden="1" x14ac:dyDescent="0.25">
      <c r="A827" s="7"/>
      <c r="B827" s="7"/>
      <c r="C827" s="7"/>
      <c r="D827" s="4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 spans="1:24" hidden="1" x14ac:dyDescent="0.25">
      <c r="A828" s="7"/>
      <c r="B828" s="7"/>
      <c r="C828" s="7"/>
      <c r="D828" s="4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 spans="1:24" hidden="1" x14ac:dyDescent="0.25">
      <c r="A829" s="7"/>
      <c r="B829" s="7"/>
      <c r="C829" s="7"/>
      <c r="D829" s="4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 spans="1:24" hidden="1" x14ac:dyDescent="0.25">
      <c r="A830" s="7"/>
      <c r="B830" s="7"/>
      <c r="C830" s="7"/>
      <c r="D830" s="4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 spans="1:24" hidden="1" x14ac:dyDescent="0.25">
      <c r="A831" s="7"/>
      <c r="B831" s="7"/>
      <c r="C831" s="7"/>
      <c r="D831" s="4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 spans="1:24" hidden="1" x14ac:dyDescent="0.25">
      <c r="A832" s="7"/>
      <c r="B832" s="7"/>
      <c r="C832" s="7"/>
      <c r="D832" s="4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 spans="1:24" hidden="1" x14ac:dyDescent="0.25">
      <c r="A833" s="7"/>
      <c r="B833" s="7"/>
      <c r="C833" s="7"/>
      <c r="D833" s="4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 spans="1:24" hidden="1" x14ac:dyDescent="0.25">
      <c r="A834" s="7"/>
      <c r="B834" s="7"/>
      <c r="C834" s="7"/>
      <c r="D834" s="4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 spans="1:24" hidden="1" x14ac:dyDescent="0.25">
      <c r="A835" s="7"/>
      <c r="B835" s="7"/>
      <c r="C835" s="7"/>
      <c r="D835" s="4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 spans="1:24" hidden="1" x14ac:dyDescent="0.25">
      <c r="A836" s="7"/>
      <c r="B836" s="7"/>
      <c r="C836" s="7"/>
      <c r="D836" s="4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 spans="1:24" hidden="1" x14ac:dyDescent="0.25">
      <c r="A837" s="7"/>
      <c r="B837" s="7"/>
      <c r="C837" s="7"/>
      <c r="D837" s="4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 spans="1:24" hidden="1" x14ac:dyDescent="0.25">
      <c r="A838" s="7"/>
      <c r="B838" s="7"/>
      <c r="C838" s="7"/>
      <c r="D838" s="4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 spans="1:24" hidden="1" x14ac:dyDescent="0.25">
      <c r="A839" s="7"/>
      <c r="B839" s="7"/>
      <c r="C839" s="7"/>
      <c r="D839" s="4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 spans="1:24" hidden="1" x14ac:dyDescent="0.25">
      <c r="A840" s="7"/>
      <c r="B840" s="7"/>
      <c r="C840" s="7"/>
      <c r="D840" s="4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 spans="1:24" hidden="1" x14ac:dyDescent="0.25">
      <c r="A841" s="7"/>
      <c r="B841" s="7"/>
      <c r="C841" s="7"/>
      <c r="D841" s="4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 spans="1:24" hidden="1" x14ac:dyDescent="0.25">
      <c r="A842" s="7"/>
      <c r="B842" s="7"/>
      <c r="C842" s="7"/>
      <c r="D842" s="4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 spans="1:24" hidden="1" x14ac:dyDescent="0.25">
      <c r="A843" s="7"/>
      <c r="B843" s="7"/>
      <c r="C843" s="7"/>
      <c r="D843" s="4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 spans="1:24" hidden="1" x14ac:dyDescent="0.25">
      <c r="A844" s="7"/>
      <c r="B844" s="7"/>
      <c r="C844" s="7"/>
      <c r="D844" s="4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 spans="1:24" hidden="1" x14ac:dyDescent="0.25">
      <c r="A845" s="7"/>
      <c r="B845" s="7"/>
      <c r="C845" s="7"/>
      <c r="D845" s="4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 spans="1:24" hidden="1" x14ac:dyDescent="0.25">
      <c r="A846" s="7"/>
      <c r="B846" s="7"/>
      <c r="C846" s="7"/>
      <c r="D846" s="4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 spans="1:24" hidden="1" x14ac:dyDescent="0.25">
      <c r="A847" s="7"/>
      <c r="B847" s="7"/>
      <c r="C847" s="7"/>
      <c r="D847" s="4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 spans="1:24" hidden="1" x14ac:dyDescent="0.25">
      <c r="A848" s="7"/>
      <c r="B848" s="7"/>
      <c r="C848" s="7"/>
      <c r="D848" s="4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 spans="1:24" hidden="1" x14ac:dyDescent="0.25">
      <c r="A849" s="7"/>
      <c r="B849" s="7"/>
      <c r="C849" s="7"/>
      <c r="D849" s="4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 spans="1:24" hidden="1" x14ac:dyDescent="0.25">
      <c r="A850" s="7"/>
      <c r="B850" s="7"/>
      <c r="C850" s="7"/>
      <c r="D850" s="4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 spans="1:24" hidden="1" x14ac:dyDescent="0.25">
      <c r="A851" s="7"/>
      <c r="B851" s="7"/>
      <c r="C851" s="7"/>
      <c r="D851" s="4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 spans="1:24" hidden="1" x14ac:dyDescent="0.25">
      <c r="A852" s="7"/>
      <c r="B852" s="7"/>
      <c r="C852" s="7"/>
      <c r="D852" s="4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 spans="1:24" hidden="1" x14ac:dyDescent="0.25">
      <c r="A853" s="7"/>
      <c r="B853" s="7"/>
      <c r="C853" s="7"/>
      <c r="D853" s="4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 spans="1:24" hidden="1" x14ac:dyDescent="0.25">
      <c r="A854" s="7"/>
      <c r="B854" s="7"/>
      <c r="C854" s="7"/>
      <c r="D854" s="4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 spans="1:24" hidden="1" x14ac:dyDescent="0.25">
      <c r="A855" s="7"/>
      <c r="B855" s="7"/>
      <c r="C855" s="7"/>
      <c r="D855" s="4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 spans="1:24" hidden="1" x14ac:dyDescent="0.25">
      <c r="A856" s="7"/>
      <c r="B856" s="7"/>
      <c r="C856" s="7"/>
      <c r="D856" s="4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 spans="1:24" hidden="1" x14ac:dyDescent="0.25">
      <c r="A857" s="7"/>
      <c r="B857" s="7"/>
      <c r="C857" s="7"/>
      <c r="D857" s="4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 spans="1:24" hidden="1" x14ac:dyDescent="0.25">
      <c r="A858" s="7"/>
      <c r="B858" s="7"/>
      <c r="C858" s="7"/>
      <c r="D858" s="4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 spans="1:24" hidden="1" x14ac:dyDescent="0.25">
      <c r="A859" s="7"/>
      <c r="B859" s="7"/>
      <c r="C859" s="7"/>
      <c r="D859" s="4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 spans="1:24" hidden="1" x14ac:dyDescent="0.25">
      <c r="A860" s="7"/>
      <c r="B860" s="7"/>
      <c r="C860" s="7"/>
      <c r="D860" s="4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 spans="1:24" hidden="1" x14ac:dyDescent="0.25">
      <c r="A861" s="7"/>
      <c r="B861" s="7"/>
      <c r="C861" s="7"/>
      <c r="D861" s="4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 spans="1:24" hidden="1" x14ac:dyDescent="0.25">
      <c r="A862" s="7"/>
      <c r="B862" s="7"/>
      <c r="C862" s="7"/>
      <c r="D862" s="4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 spans="1:24" hidden="1" x14ac:dyDescent="0.25">
      <c r="A863" s="7"/>
      <c r="B863" s="7"/>
      <c r="C863" s="7"/>
      <c r="D863" s="4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 spans="1:24" hidden="1" x14ac:dyDescent="0.25">
      <c r="A864" s="7"/>
      <c r="B864" s="7"/>
      <c r="C864" s="7"/>
      <c r="D864" s="4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 spans="1:24" hidden="1" x14ac:dyDescent="0.25">
      <c r="A865" s="7"/>
      <c r="B865" s="7"/>
      <c r="C865" s="7"/>
      <c r="D865" s="4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 spans="1:24" hidden="1" x14ac:dyDescent="0.25">
      <c r="A866" s="7"/>
      <c r="B866" s="7"/>
      <c r="C866" s="7"/>
      <c r="D866" s="4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 spans="1:24" hidden="1" x14ac:dyDescent="0.25">
      <c r="A867" s="7"/>
      <c r="B867" s="7"/>
      <c r="C867" s="7"/>
      <c r="D867" s="4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 spans="1:24" hidden="1" x14ac:dyDescent="0.25">
      <c r="A868" s="7"/>
      <c r="B868" s="7"/>
      <c r="C868" s="7"/>
      <c r="D868" s="4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 spans="1:24" hidden="1" x14ac:dyDescent="0.25">
      <c r="A869" s="7"/>
      <c r="B869" s="7"/>
      <c r="C869" s="7"/>
      <c r="D869" s="4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 spans="1:24" hidden="1" x14ac:dyDescent="0.25">
      <c r="A870" s="7"/>
      <c r="B870" s="7"/>
      <c r="C870" s="7"/>
      <c r="D870" s="4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 spans="1:24" hidden="1" x14ac:dyDescent="0.25">
      <c r="A871" s="7"/>
      <c r="B871" s="7"/>
      <c r="C871" s="7"/>
      <c r="D871" s="4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 spans="1:24" hidden="1" x14ac:dyDescent="0.25">
      <c r="A872" s="7"/>
      <c r="B872" s="7"/>
      <c r="C872" s="7"/>
      <c r="D872" s="4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 spans="1:24" hidden="1" x14ac:dyDescent="0.25">
      <c r="A873" s="7"/>
      <c r="B873" s="7"/>
      <c r="C873" s="7"/>
      <c r="D873" s="4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 spans="1:24" hidden="1" x14ac:dyDescent="0.25">
      <c r="A874" s="7"/>
      <c r="B874" s="7"/>
      <c r="C874" s="7"/>
      <c r="D874" s="4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 spans="1:24" hidden="1" x14ac:dyDescent="0.25">
      <c r="A875" s="7"/>
      <c r="B875" s="7"/>
      <c r="C875" s="7"/>
      <c r="D875" s="4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 spans="1:24" hidden="1" x14ac:dyDescent="0.25">
      <c r="A876" s="7"/>
      <c r="B876" s="7"/>
      <c r="C876" s="7"/>
      <c r="D876" s="4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 spans="1:24" hidden="1" x14ac:dyDescent="0.25">
      <c r="A877" s="7"/>
      <c r="B877" s="7"/>
      <c r="C877" s="7"/>
      <c r="D877" s="4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 spans="1:24" hidden="1" x14ac:dyDescent="0.25">
      <c r="A878" s="7"/>
      <c r="B878" s="7"/>
      <c r="C878" s="7"/>
      <c r="D878" s="4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 spans="1:24" hidden="1" x14ac:dyDescent="0.25">
      <c r="A879" s="7"/>
      <c r="B879" s="7"/>
      <c r="C879" s="7"/>
      <c r="D879" s="4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 spans="1:24" hidden="1" x14ac:dyDescent="0.25">
      <c r="A880" s="7"/>
      <c r="B880" s="7"/>
      <c r="C880" s="7"/>
      <c r="D880" s="4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 spans="1:24" hidden="1" x14ac:dyDescent="0.25">
      <c r="A881" s="7"/>
      <c r="B881" s="7"/>
      <c r="C881" s="7"/>
      <c r="D881" s="4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 spans="1:24" hidden="1" x14ac:dyDescent="0.25">
      <c r="A882" s="7"/>
      <c r="B882" s="7"/>
      <c r="C882" s="7"/>
      <c r="D882" s="4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 spans="1:24" hidden="1" x14ac:dyDescent="0.25">
      <c r="A883" s="7"/>
      <c r="B883" s="7"/>
      <c r="C883" s="7"/>
      <c r="D883" s="4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 spans="1:24" hidden="1" x14ac:dyDescent="0.25">
      <c r="A884" s="7"/>
      <c r="B884" s="7"/>
      <c r="C884" s="7"/>
      <c r="D884" s="4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 spans="1:24" hidden="1" x14ac:dyDescent="0.25">
      <c r="A885" s="7"/>
      <c r="B885" s="7"/>
      <c r="C885" s="7"/>
      <c r="D885" s="4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 spans="1:24" hidden="1" x14ac:dyDescent="0.25">
      <c r="A886" s="7"/>
      <c r="B886" s="7"/>
      <c r="C886" s="7"/>
      <c r="D886" s="4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 spans="1:24" hidden="1" x14ac:dyDescent="0.25">
      <c r="A887" s="7"/>
      <c r="B887" s="7"/>
      <c r="C887" s="7"/>
      <c r="D887" s="4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 spans="1:24" hidden="1" x14ac:dyDescent="0.25">
      <c r="A888" s="7"/>
      <c r="B888" s="7"/>
      <c r="C888" s="7"/>
      <c r="D888" s="4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 spans="1:24" hidden="1" x14ac:dyDescent="0.25">
      <c r="A889" s="7"/>
      <c r="B889" s="7"/>
      <c r="C889" s="7"/>
      <c r="D889" s="4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 spans="1:24" hidden="1" x14ac:dyDescent="0.25">
      <c r="A890" s="7"/>
      <c r="B890" s="7"/>
      <c r="C890" s="7"/>
      <c r="D890" s="4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 spans="1:24" hidden="1" x14ac:dyDescent="0.25">
      <c r="A891" s="7"/>
      <c r="B891" s="7"/>
      <c r="C891" s="7"/>
      <c r="D891" s="4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 spans="1:24" hidden="1" x14ac:dyDescent="0.25">
      <c r="A892" s="7"/>
      <c r="B892" s="7"/>
      <c r="C892" s="7"/>
      <c r="D892" s="4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 spans="1:24" hidden="1" x14ac:dyDescent="0.25">
      <c r="A893" s="7"/>
      <c r="B893" s="7"/>
      <c r="C893" s="7"/>
      <c r="D893" s="4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 spans="1:24" hidden="1" x14ac:dyDescent="0.25">
      <c r="A894" s="7"/>
      <c r="B894" s="7"/>
      <c r="C894" s="7"/>
      <c r="D894" s="4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 spans="1:24" hidden="1" x14ac:dyDescent="0.25">
      <c r="A895" s="7"/>
      <c r="B895" s="7"/>
      <c r="C895" s="7"/>
      <c r="D895" s="4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 spans="1:24" hidden="1" x14ac:dyDescent="0.25">
      <c r="A896" s="7"/>
      <c r="B896" s="7"/>
      <c r="C896" s="7"/>
      <c r="D896" s="4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 spans="1:24" hidden="1" x14ac:dyDescent="0.25">
      <c r="A897" s="7"/>
      <c r="B897" s="7"/>
      <c r="C897" s="7"/>
      <c r="D897" s="4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 spans="1:24" hidden="1" x14ac:dyDescent="0.25">
      <c r="A898" s="7"/>
      <c r="B898" s="7"/>
      <c r="C898" s="7"/>
      <c r="D898" s="4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 spans="1:24" hidden="1" x14ac:dyDescent="0.25">
      <c r="A899" s="7"/>
      <c r="B899" s="7"/>
      <c r="C899" s="7"/>
      <c r="D899" s="4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 spans="1:24" hidden="1" x14ac:dyDescent="0.25">
      <c r="A900" s="7"/>
      <c r="B900" s="7"/>
      <c r="C900" s="7"/>
      <c r="D900" s="4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 spans="1:24" hidden="1" x14ac:dyDescent="0.25">
      <c r="A901" s="7"/>
      <c r="B901" s="7"/>
      <c r="C901" s="7"/>
      <c r="D901" s="4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 spans="1:24" hidden="1" x14ac:dyDescent="0.25">
      <c r="A902" s="7"/>
      <c r="B902" s="7"/>
      <c r="C902" s="7"/>
      <c r="D902" s="4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 spans="1:24" hidden="1" x14ac:dyDescent="0.25">
      <c r="A903" s="7"/>
      <c r="B903" s="7"/>
      <c r="C903" s="7"/>
      <c r="D903" s="4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 spans="1:24" hidden="1" x14ac:dyDescent="0.25">
      <c r="A904" s="7"/>
      <c r="B904" s="7"/>
      <c r="C904" s="7"/>
      <c r="D904" s="4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 spans="1:24" hidden="1" x14ac:dyDescent="0.25">
      <c r="A905" s="7"/>
      <c r="B905" s="7"/>
      <c r="C905" s="7"/>
      <c r="D905" s="4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 spans="1:24" hidden="1" x14ac:dyDescent="0.25">
      <c r="A906" s="7"/>
      <c r="B906" s="7"/>
      <c r="C906" s="7"/>
      <c r="D906" s="4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 spans="1:24" hidden="1" x14ac:dyDescent="0.25">
      <c r="A907" s="7"/>
      <c r="B907" s="7"/>
      <c r="C907" s="7"/>
      <c r="D907" s="4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 spans="1:24" hidden="1" x14ac:dyDescent="0.25">
      <c r="A908" s="7"/>
      <c r="B908" s="7"/>
      <c r="C908" s="7"/>
      <c r="D908" s="4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 spans="1:24" hidden="1" x14ac:dyDescent="0.25">
      <c r="A909" s="7"/>
      <c r="B909" s="7"/>
      <c r="C909" s="7"/>
      <c r="D909" s="4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 spans="1:24" hidden="1" x14ac:dyDescent="0.25">
      <c r="A910" s="7"/>
      <c r="B910" s="7"/>
      <c r="C910" s="7"/>
      <c r="D910" s="4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 spans="1:24" hidden="1" x14ac:dyDescent="0.25">
      <c r="A911" s="7"/>
      <c r="B911" s="7"/>
      <c r="C911" s="7"/>
      <c r="D911" s="4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 spans="1:24" hidden="1" x14ac:dyDescent="0.25">
      <c r="A912" s="7"/>
      <c r="B912" s="7"/>
      <c r="C912" s="7"/>
      <c r="D912" s="4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 spans="1:24" hidden="1" x14ac:dyDescent="0.25">
      <c r="A913" s="7"/>
      <c r="B913" s="7"/>
      <c r="C913" s="7"/>
      <c r="D913" s="4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 spans="1:24" hidden="1" x14ac:dyDescent="0.25">
      <c r="A914" s="7"/>
      <c r="B914" s="7"/>
      <c r="C914" s="7"/>
      <c r="D914" s="4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 spans="1:24" hidden="1" x14ac:dyDescent="0.25">
      <c r="A915" s="7"/>
      <c r="B915" s="7"/>
      <c r="C915" s="7"/>
      <c r="D915" s="4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 spans="1:24" hidden="1" x14ac:dyDescent="0.25">
      <c r="A916" s="7"/>
      <c r="B916" s="7"/>
      <c r="C916" s="7"/>
      <c r="D916" s="4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 spans="1:24" hidden="1" x14ac:dyDescent="0.25">
      <c r="A917" s="7"/>
      <c r="B917" s="7"/>
      <c r="C917" s="7"/>
      <c r="D917" s="4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 spans="1:24" hidden="1" x14ac:dyDescent="0.25">
      <c r="A918" s="7"/>
      <c r="B918" s="7"/>
      <c r="C918" s="7"/>
      <c r="D918" s="4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 spans="1:24" hidden="1" x14ac:dyDescent="0.25">
      <c r="A919" s="7"/>
      <c r="B919" s="7"/>
      <c r="C919" s="7"/>
      <c r="D919" s="4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 spans="1:24" hidden="1" x14ac:dyDescent="0.25">
      <c r="A920" s="7"/>
      <c r="B920" s="7"/>
      <c r="C920" s="7"/>
      <c r="D920" s="4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 spans="1:24" hidden="1" x14ac:dyDescent="0.25">
      <c r="A921" s="7"/>
      <c r="B921" s="7"/>
      <c r="C921" s="7"/>
      <c r="D921" s="4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 spans="1:24" hidden="1" x14ac:dyDescent="0.25">
      <c r="A922" s="7"/>
      <c r="B922" s="7"/>
      <c r="C922" s="7"/>
      <c r="D922" s="4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 spans="1:24" hidden="1" x14ac:dyDescent="0.25">
      <c r="A923" s="7"/>
      <c r="B923" s="7"/>
      <c r="C923" s="7"/>
      <c r="D923" s="4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 spans="1:24" hidden="1" x14ac:dyDescent="0.25">
      <c r="A924" s="7"/>
      <c r="B924" s="7"/>
      <c r="C924" s="7"/>
      <c r="D924" s="4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 spans="1:24" hidden="1" x14ac:dyDescent="0.25">
      <c r="A925" s="7"/>
      <c r="B925" s="7"/>
      <c r="C925" s="7"/>
      <c r="D925" s="4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 spans="1:24" hidden="1" x14ac:dyDescent="0.25">
      <c r="A926" s="7"/>
      <c r="B926" s="7"/>
      <c r="C926" s="7"/>
      <c r="D926" s="4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 spans="1:24" hidden="1" x14ac:dyDescent="0.25">
      <c r="A927" s="7"/>
      <c r="B927" s="7"/>
      <c r="C927" s="7"/>
      <c r="D927" s="4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 spans="1:24" hidden="1" x14ac:dyDescent="0.25">
      <c r="A928" s="7"/>
      <c r="B928" s="7"/>
      <c r="C928" s="7"/>
      <c r="D928" s="4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 spans="1:24" hidden="1" x14ac:dyDescent="0.25">
      <c r="A929" s="7"/>
      <c r="B929" s="7"/>
      <c r="C929" s="7"/>
      <c r="D929" s="4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 spans="1:24" hidden="1" x14ac:dyDescent="0.25">
      <c r="A930" s="7"/>
      <c r="B930" s="7"/>
      <c r="C930" s="7"/>
      <c r="D930" s="4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 spans="1:24" hidden="1" x14ac:dyDescent="0.25">
      <c r="A931" s="7"/>
      <c r="B931" s="7"/>
      <c r="C931" s="7"/>
      <c r="D931" s="4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 spans="1:24" hidden="1" x14ac:dyDescent="0.25">
      <c r="A932" s="7"/>
      <c r="B932" s="7"/>
      <c r="C932" s="7"/>
      <c r="D932" s="4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 spans="1:24" hidden="1" x14ac:dyDescent="0.25">
      <c r="A933" s="7"/>
      <c r="B933" s="7"/>
      <c r="C933" s="7"/>
      <c r="D933" s="4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 spans="1:24" hidden="1" x14ac:dyDescent="0.25">
      <c r="A934" s="7"/>
      <c r="B934" s="7"/>
      <c r="C934" s="7"/>
      <c r="D934" s="4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 spans="1:24" hidden="1" x14ac:dyDescent="0.25">
      <c r="A935" s="7"/>
      <c r="B935" s="7"/>
      <c r="C935" s="7"/>
      <c r="D935" s="4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 spans="1:24" hidden="1" x14ac:dyDescent="0.25">
      <c r="A936" s="7"/>
      <c r="B936" s="7"/>
      <c r="C936" s="7"/>
      <c r="D936" s="4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 spans="1:24" hidden="1" x14ac:dyDescent="0.25">
      <c r="A937" s="7"/>
      <c r="B937" s="7"/>
      <c r="C937" s="7"/>
      <c r="D937" s="4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 spans="1:24" hidden="1" x14ac:dyDescent="0.25">
      <c r="A938" s="7"/>
      <c r="B938" s="7"/>
      <c r="C938" s="7"/>
      <c r="D938" s="4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 spans="1:24" hidden="1" x14ac:dyDescent="0.25">
      <c r="A939" s="7"/>
      <c r="B939" s="7"/>
      <c r="C939" s="7"/>
      <c r="D939" s="4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 spans="1:24" hidden="1" x14ac:dyDescent="0.25">
      <c r="A940" s="7"/>
      <c r="B940" s="7"/>
      <c r="C940" s="7"/>
      <c r="D940" s="4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 spans="1:24" hidden="1" x14ac:dyDescent="0.25">
      <c r="A941" s="7"/>
      <c r="B941" s="7"/>
      <c r="C941" s="7"/>
      <c r="D941" s="4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 spans="1:24" hidden="1" x14ac:dyDescent="0.25">
      <c r="A942" s="7"/>
      <c r="B942" s="7"/>
      <c r="C942" s="7"/>
      <c r="D942" s="4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 spans="1:24" hidden="1" x14ac:dyDescent="0.25">
      <c r="A943" s="7"/>
      <c r="B943" s="7"/>
      <c r="C943" s="7"/>
      <c r="D943" s="4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 spans="1:24" hidden="1" x14ac:dyDescent="0.25">
      <c r="A944" s="7"/>
      <c r="B944" s="7"/>
      <c r="C944" s="7"/>
      <c r="D944" s="4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 spans="1:24" hidden="1" x14ac:dyDescent="0.25">
      <c r="A945" s="7"/>
      <c r="B945" s="7"/>
      <c r="C945" s="7"/>
      <c r="D945" s="4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 spans="1:24" hidden="1" x14ac:dyDescent="0.25">
      <c r="A946" s="7"/>
      <c r="B946" s="7"/>
      <c r="C946" s="7"/>
      <c r="D946" s="4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 spans="1:24" hidden="1" x14ac:dyDescent="0.25">
      <c r="A947" s="7"/>
      <c r="B947" s="7"/>
      <c r="C947" s="7"/>
      <c r="D947" s="4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 spans="1:24" hidden="1" x14ac:dyDescent="0.25">
      <c r="A948" s="7"/>
      <c r="B948" s="7"/>
      <c r="C948" s="7"/>
      <c r="D948" s="4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 spans="1:24" hidden="1" x14ac:dyDescent="0.25">
      <c r="A949" s="7"/>
      <c r="B949" s="7"/>
      <c r="C949" s="7"/>
      <c r="D949" s="4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 spans="1:24" hidden="1" x14ac:dyDescent="0.25">
      <c r="A950" s="7"/>
      <c r="B950" s="7"/>
      <c r="C950" s="7"/>
      <c r="D950" s="4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 spans="1:24" hidden="1" x14ac:dyDescent="0.25">
      <c r="A951" s="7"/>
      <c r="B951" s="7"/>
      <c r="C951" s="7"/>
      <c r="D951" s="4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 spans="1:24" hidden="1" x14ac:dyDescent="0.25">
      <c r="A952" s="7"/>
      <c r="B952" s="7"/>
      <c r="C952" s="7"/>
      <c r="D952" s="4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 spans="1:24" hidden="1" x14ac:dyDescent="0.25">
      <c r="A953" s="7"/>
      <c r="B953" s="7"/>
      <c r="C953" s="7"/>
      <c r="D953" s="4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 spans="1:24" hidden="1" x14ac:dyDescent="0.25">
      <c r="A954" s="7"/>
      <c r="B954" s="7"/>
      <c r="C954" s="7"/>
      <c r="D954" s="4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 spans="1:24" hidden="1" x14ac:dyDescent="0.25">
      <c r="A955" s="7"/>
      <c r="B955" s="7"/>
      <c r="C955" s="7"/>
      <c r="D955" s="4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 spans="1:24" hidden="1" x14ac:dyDescent="0.25">
      <c r="A956" s="7"/>
      <c r="B956" s="7"/>
      <c r="C956" s="7"/>
      <c r="D956" s="4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 spans="1:24" hidden="1" x14ac:dyDescent="0.25">
      <c r="A957" s="7"/>
      <c r="B957" s="7"/>
      <c r="C957" s="7"/>
      <c r="D957" s="4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 spans="1:24" hidden="1" x14ac:dyDescent="0.25">
      <c r="A958" s="7"/>
      <c r="B958" s="7"/>
      <c r="C958" s="7"/>
      <c r="D958" s="4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 spans="1:24" hidden="1" x14ac:dyDescent="0.25">
      <c r="A959" s="7"/>
      <c r="B959" s="7"/>
      <c r="C959" s="7"/>
      <c r="D959" s="4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 spans="1:24" hidden="1" x14ac:dyDescent="0.25">
      <c r="A960" s="7"/>
      <c r="B960" s="7"/>
      <c r="C960" s="7"/>
      <c r="D960" s="4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 spans="1:24" hidden="1" x14ac:dyDescent="0.25">
      <c r="A961" s="7"/>
      <c r="B961" s="7"/>
      <c r="C961" s="7"/>
      <c r="D961" s="4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 spans="1:24" hidden="1" x14ac:dyDescent="0.25">
      <c r="A962" s="7"/>
      <c r="B962" s="7"/>
      <c r="C962" s="7"/>
      <c r="D962" s="4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 spans="1:24" hidden="1" x14ac:dyDescent="0.25">
      <c r="A963" s="7"/>
      <c r="B963" s="7"/>
      <c r="C963" s="7"/>
      <c r="D963" s="4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 spans="1:24" hidden="1" x14ac:dyDescent="0.25">
      <c r="A964" s="7"/>
      <c r="B964" s="7"/>
      <c r="C964" s="7"/>
      <c r="D964" s="4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 spans="1:24" hidden="1" x14ac:dyDescent="0.25">
      <c r="A965" s="7"/>
      <c r="B965" s="7"/>
      <c r="C965" s="7"/>
      <c r="D965" s="4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 spans="1:24" hidden="1" x14ac:dyDescent="0.25">
      <c r="A966" s="7"/>
      <c r="B966" s="7"/>
      <c r="C966" s="7"/>
      <c r="D966" s="4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 spans="1:24" hidden="1" x14ac:dyDescent="0.25">
      <c r="A967" s="7"/>
      <c r="B967" s="7"/>
      <c r="C967" s="7"/>
      <c r="D967" s="4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 spans="1:24" hidden="1" x14ac:dyDescent="0.25">
      <c r="A968" s="7"/>
      <c r="B968" s="7"/>
      <c r="C968" s="7"/>
      <c r="D968" s="4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 spans="1:24" hidden="1" x14ac:dyDescent="0.25">
      <c r="A969" s="7"/>
      <c r="B969" s="7"/>
      <c r="C969" s="7"/>
      <c r="D969" s="4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 spans="1:24" hidden="1" x14ac:dyDescent="0.25">
      <c r="A970" s="7"/>
      <c r="B970" s="7"/>
      <c r="C970" s="7"/>
      <c r="D970" s="4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 spans="1:24" hidden="1" x14ac:dyDescent="0.25">
      <c r="A971" s="7"/>
      <c r="B971" s="7"/>
      <c r="C971" s="7"/>
      <c r="D971" s="4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 spans="1:24" hidden="1" x14ac:dyDescent="0.25">
      <c r="A972" s="7"/>
      <c r="B972" s="7"/>
      <c r="C972" s="7"/>
      <c r="D972" s="4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 spans="1:24" hidden="1" x14ac:dyDescent="0.25">
      <c r="A973" s="7"/>
      <c r="B973" s="7"/>
      <c r="C973" s="7"/>
      <c r="D973" s="4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 spans="1:24" hidden="1" x14ac:dyDescent="0.25">
      <c r="A974" s="7"/>
      <c r="B974" s="7"/>
      <c r="C974" s="7"/>
      <c r="D974" s="4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 spans="1:24" hidden="1" x14ac:dyDescent="0.25">
      <c r="A975" s="7"/>
      <c r="B975" s="7"/>
      <c r="C975" s="7"/>
      <c r="D975" s="4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 spans="1:24" hidden="1" x14ac:dyDescent="0.25">
      <c r="A976" s="7"/>
      <c r="B976" s="7"/>
      <c r="C976" s="7"/>
      <c r="D976" s="4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 spans="1:24" hidden="1" x14ac:dyDescent="0.25">
      <c r="A977" s="7"/>
      <c r="B977" s="7"/>
      <c r="C977" s="7"/>
      <c r="D977" s="4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 spans="1:24" hidden="1" x14ac:dyDescent="0.25">
      <c r="A978" s="7"/>
      <c r="B978" s="7"/>
      <c r="C978" s="7"/>
      <c r="D978" s="4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 spans="1:24" hidden="1" x14ac:dyDescent="0.25">
      <c r="A979" s="7"/>
      <c r="B979" s="7"/>
      <c r="C979" s="7"/>
      <c r="D979" s="4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 spans="1:24" hidden="1" x14ac:dyDescent="0.25">
      <c r="A980" s="7"/>
      <c r="B980" s="7"/>
      <c r="C980" s="7"/>
      <c r="D980" s="4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 spans="1:24" hidden="1" x14ac:dyDescent="0.25">
      <c r="A981" s="7"/>
      <c r="B981" s="7"/>
      <c r="C981" s="7"/>
      <c r="D981" s="4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 spans="1:24" hidden="1" x14ac:dyDescent="0.25">
      <c r="A982" s="7"/>
      <c r="B982" s="7"/>
      <c r="C982" s="7"/>
      <c r="D982" s="4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 spans="1:24" hidden="1" x14ac:dyDescent="0.25">
      <c r="A983" s="7"/>
      <c r="B983" s="7"/>
      <c r="C983" s="7"/>
      <c r="D983" s="4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 spans="1:24" hidden="1" x14ac:dyDescent="0.25">
      <c r="A984" s="7"/>
      <c r="B984" s="7"/>
      <c r="C984" s="7"/>
      <c r="D984" s="4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 spans="1:24" hidden="1" x14ac:dyDescent="0.25">
      <c r="A985" s="7"/>
      <c r="B985" s="7"/>
      <c r="C985" s="7"/>
      <c r="D985" s="4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 spans="1:24" hidden="1" x14ac:dyDescent="0.25">
      <c r="A986" s="7"/>
      <c r="B986" s="7"/>
      <c r="C986" s="7"/>
      <c r="D986" s="4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 spans="1:24" hidden="1" x14ac:dyDescent="0.25">
      <c r="A987" s="7"/>
      <c r="B987" s="7"/>
      <c r="C987" s="7"/>
      <c r="D987" s="4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 spans="1:24" hidden="1" x14ac:dyDescent="0.25">
      <c r="A988" s="7"/>
      <c r="B988" s="7"/>
      <c r="C988" s="7"/>
      <c r="D988" s="4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 spans="1:24" hidden="1" x14ac:dyDescent="0.25">
      <c r="A989" s="7"/>
      <c r="B989" s="7"/>
      <c r="C989" s="7"/>
      <c r="D989" s="4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 spans="1:24" hidden="1" x14ac:dyDescent="0.25">
      <c r="A990" s="7"/>
      <c r="B990" s="7"/>
      <c r="C990" s="7"/>
      <c r="D990" s="4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 spans="1:24" hidden="1" x14ac:dyDescent="0.25">
      <c r="A991" s="7"/>
      <c r="B991" s="7"/>
      <c r="C991" s="7"/>
      <c r="D991" s="4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 spans="1:24" hidden="1" x14ac:dyDescent="0.25">
      <c r="A992" s="7"/>
      <c r="B992" s="7"/>
      <c r="C992" s="7"/>
      <c r="D992" s="4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 spans="1:24" hidden="1" x14ac:dyDescent="0.25">
      <c r="A993" s="7"/>
      <c r="B993" s="7"/>
      <c r="C993" s="7"/>
      <c r="D993" s="4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 spans="1:24" hidden="1" x14ac:dyDescent="0.25">
      <c r="A994" s="7"/>
      <c r="B994" s="7"/>
      <c r="C994" s="7"/>
      <c r="D994" s="4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 spans="1:24" hidden="1" x14ac:dyDescent="0.25">
      <c r="A995" s="7"/>
      <c r="B995" s="7"/>
      <c r="C995" s="7"/>
      <c r="D995" s="4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 spans="1:24" hidden="1" x14ac:dyDescent="0.25">
      <c r="A996" s="7"/>
      <c r="B996" s="7"/>
      <c r="C996" s="7"/>
      <c r="D996" s="4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 spans="1:24" hidden="1" x14ac:dyDescent="0.25">
      <c r="A997" s="7"/>
      <c r="B997" s="7"/>
      <c r="C997" s="7"/>
      <c r="D997" s="4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 spans="1:24" hidden="1" x14ac:dyDescent="0.25">
      <c r="A998" s="7"/>
      <c r="B998" s="7"/>
      <c r="C998" s="7"/>
      <c r="D998" s="4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 spans="1:24" hidden="1" x14ac:dyDescent="0.25">
      <c r="A999" s="7"/>
      <c r="B999" s="7"/>
      <c r="C999" s="7"/>
      <c r="D999" s="4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 spans="1:24" hidden="1" x14ac:dyDescent="0.25">
      <c r="A1000" s="7"/>
      <c r="B1000" s="7"/>
      <c r="C1000" s="7"/>
      <c r="D1000" s="4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 spans="1:24" hidden="1" x14ac:dyDescent="0.25">
      <c r="A1001" s="7"/>
      <c r="B1001" s="7"/>
      <c r="C1001" s="7"/>
      <c r="D1001" s="4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 spans="1:24" hidden="1" x14ac:dyDescent="0.25">
      <c r="A1002" s="7"/>
      <c r="B1002" s="7"/>
      <c r="C1002" s="7"/>
      <c r="D1002" s="4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 spans="1:24" hidden="1" x14ac:dyDescent="0.25">
      <c r="A1003" s="7"/>
      <c r="B1003" s="7"/>
      <c r="C1003" s="7"/>
      <c r="D1003" s="4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 spans="1:24" hidden="1" x14ac:dyDescent="0.25">
      <c r="A1004" s="7"/>
      <c r="B1004" s="7"/>
      <c r="C1004" s="7"/>
      <c r="D1004" s="4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 spans="1:24" hidden="1" x14ac:dyDescent="0.25">
      <c r="A1005" s="7"/>
      <c r="B1005" s="7"/>
      <c r="C1005" s="7"/>
      <c r="D1005" s="4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 spans="1:24" hidden="1" x14ac:dyDescent="0.25">
      <c r="A1006" s="7"/>
      <c r="B1006" s="7"/>
      <c r="C1006" s="7"/>
      <c r="D1006" s="4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 spans="1:24" hidden="1" x14ac:dyDescent="0.25">
      <c r="A1007" s="7"/>
      <c r="B1007" s="7"/>
      <c r="C1007" s="7"/>
      <c r="D1007" s="4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 spans="1:24" hidden="1" x14ac:dyDescent="0.25">
      <c r="A1008" s="7"/>
      <c r="B1008" s="7"/>
      <c r="C1008" s="7"/>
      <c r="D1008" s="4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 spans="1:24" hidden="1" x14ac:dyDescent="0.25">
      <c r="A1009" s="7"/>
      <c r="B1009" s="7"/>
      <c r="C1009" s="7"/>
      <c r="D1009" s="4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 spans="1:24" hidden="1" x14ac:dyDescent="0.25">
      <c r="A1010" s="7"/>
      <c r="B1010" s="7"/>
      <c r="C1010" s="7"/>
      <c r="D1010" s="4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 spans="1:24" hidden="1" x14ac:dyDescent="0.25">
      <c r="A1011" s="7"/>
      <c r="B1011" s="7"/>
      <c r="C1011" s="7"/>
      <c r="D1011" s="4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 spans="1:24" hidden="1" x14ac:dyDescent="0.25">
      <c r="A1012" s="7"/>
      <c r="B1012" s="7"/>
      <c r="C1012" s="7"/>
      <c r="D1012" s="4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 spans="1:24" hidden="1" x14ac:dyDescent="0.25">
      <c r="A1013" s="7"/>
      <c r="B1013" s="7"/>
      <c r="C1013" s="7"/>
      <c r="D1013" s="4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 spans="1:24" hidden="1" x14ac:dyDescent="0.25">
      <c r="A1014" s="7"/>
      <c r="B1014" s="7"/>
      <c r="C1014" s="7"/>
      <c r="D1014" s="4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 spans="1:24" hidden="1" x14ac:dyDescent="0.25">
      <c r="A1015" s="7"/>
      <c r="B1015" s="7"/>
      <c r="C1015" s="7"/>
      <c r="D1015" s="4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 spans="1:24" hidden="1" x14ac:dyDescent="0.25">
      <c r="A1016" s="7"/>
      <c r="B1016" s="7"/>
      <c r="C1016" s="7"/>
      <c r="D1016" s="4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 spans="1:24" hidden="1" x14ac:dyDescent="0.25">
      <c r="A1017" s="7"/>
      <c r="B1017" s="7"/>
      <c r="C1017" s="7"/>
      <c r="D1017" s="4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 spans="1:24" hidden="1" x14ac:dyDescent="0.25">
      <c r="A1018" s="7"/>
      <c r="B1018" s="7"/>
      <c r="C1018" s="7"/>
      <c r="D1018" s="4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 spans="1:24" hidden="1" x14ac:dyDescent="0.25">
      <c r="A1019" s="7"/>
      <c r="B1019" s="7"/>
      <c r="C1019" s="7"/>
      <c r="D1019" s="4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 spans="1:24" hidden="1" x14ac:dyDescent="0.25">
      <c r="A1020" s="7"/>
      <c r="B1020" s="7"/>
      <c r="C1020" s="7"/>
      <c r="D1020" s="4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 spans="1:24" hidden="1" x14ac:dyDescent="0.25">
      <c r="A1021" s="7"/>
      <c r="B1021" s="7"/>
      <c r="C1021" s="7"/>
      <c r="D1021" s="4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 spans="1:24" hidden="1" x14ac:dyDescent="0.25">
      <c r="A1022" s="7"/>
      <c r="B1022" s="7"/>
      <c r="C1022" s="7"/>
      <c r="D1022" s="4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 spans="1:24" hidden="1" x14ac:dyDescent="0.25">
      <c r="A1023" s="7"/>
      <c r="B1023" s="7"/>
      <c r="C1023" s="7"/>
      <c r="D1023" s="4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 spans="1:24" hidden="1" x14ac:dyDescent="0.25">
      <c r="A1024" s="7"/>
      <c r="B1024" s="7"/>
      <c r="C1024" s="7"/>
      <c r="D1024" s="4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 spans="1:24" hidden="1" x14ac:dyDescent="0.25">
      <c r="A1025" s="7"/>
      <c r="B1025" s="7"/>
      <c r="C1025" s="7"/>
      <c r="D1025" s="4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 spans="1:24" hidden="1" x14ac:dyDescent="0.25">
      <c r="A1026" s="7"/>
      <c r="B1026" s="7"/>
      <c r="C1026" s="7"/>
      <c r="D1026" s="4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 spans="1:24" hidden="1" x14ac:dyDescent="0.25">
      <c r="A1027" s="7"/>
      <c r="B1027" s="7"/>
      <c r="C1027" s="7"/>
      <c r="D1027" s="4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 spans="1:24" hidden="1" x14ac:dyDescent="0.25">
      <c r="A1028" s="7"/>
      <c r="B1028" s="7"/>
      <c r="C1028" s="7"/>
      <c r="D1028" s="4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 spans="1:24" hidden="1" x14ac:dyDescent="0.25">
      <c r="A1029" s="7"/>
      <c r="B1029" s="7"/>
      <c r="C1029" s="7"/>
      <c r="D1029" s="4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 spans="1:24" hidden="1" x14ac:dyDescent="0.25">
      <c r="A1030" s="7"/>
      <c r="B1030" s="7"/>
      <c r="C1030" s="7"/>
      <c r="D1030" s="4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 spans="1:24" hidden="1" x14ac:dyDescent="0.25">
      <c r="A1031" s="7"/>
      <c r="B1031" s="7"/>
      <c r="C1031" s="7"/>
      <c r="D1031" s="4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 spans="1:24" hidden="1" x14ac:dyDescent="0.25">
      <c r="A1032" s="7"/>
      <c r="B1032" s="7"/>
      <c r="C1032" s="7"/>
      <c r="D1032" s="4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 spans="1:24" hidden="1" x14ac:dyDescent="0.25">
      <c r="A1033" s="7"/>
      <c r="B1033" s="7"/>
      <c r="C1033" s="7"/>
      <c r="D1033" s="4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 spans="1:24" hidden="1" x14ac:dyDescent="0.25">
      <c r="A1034" s="7"/>
      <c r="B1034" s="7"/>
      <c r="C1034" s="7"/>
      <c r="D1034" s="4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 spans="1:24" hidden="1" x14ac:dyDescent="0.25">
      <c r="A1035" s="7"/>
      <c r="B1035" s="7"/>
      <c r="C1035" s="7"/>
      <c r="D1035" s="4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 spans="1:24" hidden="1" x14ac:dyDescent="0.25">
      <c r="A1036" s="7"/>
      <c r="B1036" s="7"/>
      <c r="C1036" s="7"/>
      <c r="D1036" s="4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 spans="1:24" hidden="1" x14ac:dyDescent="0.25">
      <c r="A1037" s="7"/>
      <c r="B1037" s="7"/>
      <c r="C1037" s="7"/>
      <c r="D1037" s="4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 spans="1:24" hidden="1" x14ac:dyDescent="0.25">
      <c r="A1038" s="7"/>
      <c r="B1038" s="7"/>
      <c r="C1038" s="7"/>
      <c r="D1038" s="4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 spans="1:24" hidden="1" x14ac:dyDescent="0.25">
      <c r="A1039" s="7"/>
      <c r="B1039" s="7"/>
      <c r="C1039" s="7"/>
      <c r="D1039" s="4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 spans="1:24" hidden="1" x14ac:dyDescent="0.25">
      <c r="A1040" s="7"/>
      <c r="B1040" s="7"/>
      <c r="C1040" s="7"/>
      <c r="D1040" s="4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 spans="1:24" hidden="1" x14ac:dyDescent="0.25">
      <c r="A1041" s="7"/>
      <c r="B1041" s="7"/>
      <c r="C1041" s="7"/>
      <c r="D1041" s="4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 spans="1:24" hidden="1" x14ac:dyDescent="0.25">
      <c r="A1042" s="7"/>
      <c r="B1042" s="7"/>
      <c r="C1042" s="7"/>
      <c r="D1042" s="4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 spans="1:24" hidden="1" x14ac:dyDescent="0.25">
      <c r="A1043" s="7"/>
      <c r="B1043" s="7"/>
      <c r="C1043" s="7"/>
      <c r="D1043" s="4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 spans="1:24" hidden="1" x14ac:dyDescent="0.25">
      <c r="A1044" s="7"/>
      <c r="B1044" s="7"/>
      <c r="C1044" s="7"/>
      <c r="D1044" s="4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 spans="1:24" hidden="1" x14ac:dyDescent="0.25">
      <c r="A1045" s="7"/>
      <c r="B1045" s="7"/>
      <c r="C1045" s="7"/>
      <c r="D1045" s="4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 spans="1:24" hidden="1" x14ac:dyDescent="0.25">
      <c r="A1046" s="7"/>
      <c r="B1046" s="7"/>
      <c r="C1046" s="7"/>
      <c r="D1046" s="4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 spans="1:24" hidden="1" x14ac:dyDescent="0.25">
      <c r="A1047" s="7"/>
      <c r="B1047" s="7"/>
      <c r="C1047" s="7"/>
      <c r="D1047" s="4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 spans="1:24" hidden="1" x14ac:dyDescent="0.25">
      <c r="A1048" s="7"/>
      <c r="B1048" s="7"/>
      <c r="C1048" s="7"/>
      <c r="D1048" s="4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 spans="1:24" hidden="1" x14ac:dyDescent="0.25">
      <c r="A1049" s="7"/>
      <c r="B1049" s="7"/>
      <c r="C1049" s="7"/>
      <c r="D1049" s="4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 spans="1:24" hidden="1" x14ac:dyDescent="0.25">
      <c r="A1050" s="7"/>
      <c r="B1050" s="7"/>
      <c r="C1050" s="7"/>
      <c r="D1050" s="4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 spans="1:24" hidden="1" x14ac:dyDescent="0.25">
      <c r="A1051" s="7"/>
      <c r="B1051" s="7"/>
      <c r="C1051" s="7"/>
      <c r="D1051" s="4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 spans="1:24" hidden="1" x14ac:dyDescent="0.25">
      <c r="A1052" s="7"/>
      <c r="B1052" s="7"/>
      <c r="C1052" s="7"/>
      <c r="D1052" s="4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 spans="1:24" hidden="1" x14ac:dyDescent="0.25">
      <c r="A1053" s="7"/>
      <c r="B1053" s="7"/>
      <c r="C1053" s="7"/>
      <c r="D1053" s="4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 spans="1:24" hidden="1" x14ac:dyDescent="0.25">
      <c r="A1054" s="7"/>
      <c r="B1054" s="7"/>
      <c r="C1054" s="7"/>
      <c r="D1054" s="4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 spans="1:24" hidden="1" x14ac:dyDescent="0.25">
      <c r="A1055" s="7"/>
      <c r="B1055" s="7"/>
      <c r="C1055" s="7"/>
      <c r="D1055" s="4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 spans="1:24" hidden="1" x14ac:dyDescent="0.25">
      <c r="A1056" s="7"/>
      <c r="B1056" s="7"/>
      <c r="C1056" s="7"/>
      <c r="D1056" s="4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 spans="1:24" hidden="1" x14ac:dyDescent="0.25">
      <c r="A1057" s="7"/>
      <c r="B1057" s="7"/>
      <c r="C1057" s="7"/>
      <c r="D1057" s="4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 spans="1:24" hidden="1" x14ac:dyDescent="0.25">
      <c r="A1058" s="7"/>
      <c r="B1058" s="7"/>
      <c r="C1058" s="7"/>
      <c r="D1058" s="4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 spans="1:24" hidden="1" x14ac:dyDescent="0.25">
      <c r="A1059" s="7"/>
      <c r="B1059" s="7"/>
      <c r="C1059" s="7"/>
      <c r="D1059" s="4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 spans="1:24" hidden="1" x14ac:dyDescent="0.25">
      <c r="A1060" s="7"/>
      <c r="B1060" s="7"/>
      <c r="C1060" s="7"/>
      <c r="D1060" s="4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 spans="1:24" hidden="1" x14ac:dyDescent="0.25">
      <c r="A1061" s="7"/>
      <c r="B1061" s="7"/>
      <c r="C1061" s="7"/>
      <c r="D1061" s="4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 spans="1:24" hidden="1" x14ac:dyDescent="0.25">
      <c r="A1062" s="7"/>
      <c r="B1062" s="7"/>
      <c r="C1062" s="7"/>
      <c r="D1062" s="4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 spans="1:24" hidden="1" x14ac:dyDescent="0.25">
      <c r="A1063" s="7"/>
      <c r="B1063" s="7"/>
      <c r="C1063" s="7"/>
      <c r="D1063" s="4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 spans="1:24" hidden="1" x14ac:dyDescent="0.25">
      <c r="A1064" s="7"/>
      <c r="B1064" s="7"/>
      <c r="C1064" s="7"/>
      <c r="D1064" s="4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 spans="1:24" hidden="1" x14ac:dyDescent="0.25">
      <c r="A1065" s="7"/>
      <c r="B1065" s="7"/>
      <c r="C1065" s="7"/>
      <c r="D1065" s="4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 spans="1:24" hidden="1" x14ac:dyDescent="0.25">
      <c r="A1066" s="7"/>
      <c r="B1066" s="7"/>
      <c r="C1066" s="7"/>
      <c r="D1066" s="4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 spans="1:24" hidden="1" x14ac:dyDescent="0.25">
      <c r="A1067" s="7"/>
      <c r="B1067" s="7"/>
      <c r="C1067" s="7"/>
      <c r="D1067" s="4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 spans="1:24" hidden="1" x14ac:dyDescent="0.25">
      <c r="A1068" s="7"/>
      <c r="B1068" s="7"/>
      <c r="C1068" s="7"/>
      <c r="D1068" s="4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 spans="1:24" hidden="1" x14ac:dyDescent="0.25">
      <c r="A1069" s="7"/>
      <c r="B1069" s="7"/>
      <c r="C1069" s="7"/>
      <c r="D1069" s="4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 spans="1:24" hidden="1" x14ac:dyDescent="0.25">
      <c r="A1070" s="7"/>
      <c r="B1070" s="7"/>
      <c r="C1070" s="7"/>
      <c r="D1070" s="4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 spans="1:24" hidden="1" x14ac:dyDescent="0.25">
      <c r="A1071" s="7"/>
      <c r="B1071" s="7"/>
      <c r="C1071" s="7"/>
      <c r="D1071" s="4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 spans="1:24" hidden="1" x14ac:dyDescent="0.25">
      <c r="A1072" s="7"/>
      <c r="B1072" s="7"/>
      <c r="C1072" s="7"/>
      <c r="D1072" s="4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 spans="1:24" hidden="1" x14ac:dyDescent="0.25">
      <c r="A1073" s="7"/>
      <c r="B1073" s="7"/>
      <c r="C1073" s="7"/>
      <c r="D1073" s="4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 spans="1:24" hidden="1" x14ac:dyDescent="0.25">
      <c r="A1074" s="7"/>
      <c r="B1074" s="7"/>
      <c r="C1074" s="7"/>
      <c r="D1074" s="4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 spans="1:24" hidden="1" x14ac:dyDescent="0.25">
      <c r="A1075" s="7"/>
      <c r="B1075" s="7"/>
      <c r="C1075" s="7"/>
      <c r="D1075" s="4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 spans="1:24" hidden="1" x14ac:dyDescent="0.25">
      <c r="A1076" s="7"/>
      <c r="B1076" s="7"/>
      <c r="C1076" s="7"/>
      <c r="D1076" s="4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 spans="1:24" hidden="1" x14ac:dyDescent="0.25">
      <c r="A1077" s="7"/>
      <c r="B1077" s="7"/>
      <c r="C1077" s="7"/>
      <c r="D1077" s="4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 spans="1:24" hidden="1" x14ac:dyDescent="0.25">
      <c r="A1078" s="7"/>
      <c r="B1078" s="7"/>
      <c r="C1078" s="7"/>
      <c r="D1078" s="4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 spans="1:24" hidden="1" x14ac:dyDescent="0.25">
      <c r="A1079" s="7"/>
      <c r="B1079" s="7"/>
      <c r="C1079" s="7"/>
      <c r="D1079" s="4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 spans="1:24" hidden="1" x14ac:dyDescent="0.25">
      <c r="A1080" s="7"/>
      <c r="B1080" s="7"/>
      <c r="C1080" s="7"/>
      <c r="D1080" s="4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 spans="1:24" hidden="1" x14ac:dyDescent="0.25">
      <c r="A1081" s="7"/>
      <c r="B1081" s="7"/>
      <c r="C1081" s="7"/>
      <c r="D1081" s="4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 spans="1:24" hidden="1" x14ac:dyDescent="0.25">
      <c r="A1082" s="7"/>
      <c r="B1082" s="7"/>
      <c r="C1082" s="7"/>
      <c r="D1082" s="4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 spans="1:24" hidden="1" x14ac:dyDescent="0.25">
      <c r="A1083" s="7"/>
      <c r="B1083" s="7"/>
      <c r="C1083" s="7"/>
      <c r="D1083" s="4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 spans="1:24" hidden="1" x14ac:dyDescent="0.25">
      <c r="A1084" s="7"/>
      <c r="B1084" s="7"/>
      <c r="C1084" s="7"/>
      <c r="D1084" s="4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 spans="1:24" hidden="1" x14ac:dyDescent="0.25">
      <c r="A1085" s="7"/>
      <c r="B1085" s="7"/>
      <c r="C1085" s="7"/>
      <c r="D1085" s="4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 spans="1:24" hidden="1" x14ac:dyDescent="0.25">
      <c r="A1086" s="7"/>
      <c r="B1086" s="7"/>
      <c r="C1086" s="7"/>
      <c r="D1086" s="4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 spans="1:24" hidden="1" x14ac:dyDescent="0.25">
      <c r="A1087" s="7"/>
      <c r="B1087" s="7"/>
      <c r="C1087" s="7"/>
      <c r="D1087" s="4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 spans="1:24" hidden="1" x14ac:dyDescent="0.25">
      <c r="A1088" s="9"/>
      <c r="B1088" s="9"/>
      <c r="C1088" s="9"/>
      <c r="D1088" s="4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 spans="1:24" hidden="1" x14ac:dyDescent="0.25">
      <c r="A1089" s="9"/>
      <c r="B1089" s="9"/>
      <c r="C1089" s="9"/>
      <c r="D1089" s="4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 spans="1:24" hidden="1" x14ac:dyDescent="0.25">
      <c r="A1090" s="9"/>
      <c r="B1090" s="9"/>
      <c r="C1090" s="9"/>
      <c r="D1090" s="4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 spans="1:24" hidden="1" x14ac:dyDescent="0.25">
      <c r="A1091" s="9"/>
      <c r="B1091" s="9"/>
      <c r="C1091" s="9"/>
      <c r="D1091" s="4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 spans="1:24" hidden="1" x14ac:dyDescent="0.25">
      <c r="A1092" s="9"/>
      <c r="B1092" s="9"/>
      <c r="C1092" s="9"/>
      <c r="D1092" s="4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 spans="1:24" hidden="1" x14ac:dyDescent="0.25">
      <c r="A1093" s="9"/>
      <c r="B1093" s="9"/>
      <c r="C1093" s="9"/>
      <c r="D1093" s="4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 spans="1:24" hidden="1" x14ac:dyDescent="0.25">
      <c r="A1094" s="9"/>
      <c r="B1094" s="9"/>
      <c r="C1094" s="9"/>
      <c r="D1094" s="4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 spans="1:24" hidden="1" x14ac:dyDescent="0.25">
      <c r="A1095" s="9"/>
      <c r="B1095" s="9"/>
      <c r="C1095" s="9"/>
      <c r="D1095" s="4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 spans="1:24" hidden="1" x14ac:dyDescent="0.25">
      <c r="A1096" s="9"/>
      <c r="B1096" s="9"/>
      <c r="C1096" s="9"/>
      <c r="D1096" s="4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 spans="1:24" hidden="1" x14ac:dyDescent="0.25"/>
    <row r="1098" spans="1:24" hidden="1" x14ac:dyDescent="0.25"/>
    <row r="1099" spans="1:24" hidden="1" x14ac:dyDescent="0.25"/>
    <row r="1100" spans="1:24" hidden="1" x14ac:dyDescent="0.25"/>
    <row r="1101" spans="1:24" hidden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2"/>
  <sheetViews>
    <sheetView zoomScale="75" zoomScaleNormal="75" workbookViewId="0"/>
  </sheetViews>
  <sheetFormatPr defaultColWidth="0" defaultRowHeight="15" zeroHeight="1" x14ac:dyDescent="0.25"/>
  <cols>
    <col min="1" max="1" width="5.42578125" customWidth="1"/>
    <col min="2" max="2" width="21.85546875" customWidth="1"/>
    <col min="3" max="14" width="14.7109375" customWidth="1"/>
    <col min="15" max="15" width="9.140625" customWidth="1"/>
    <col min="16" max="16" width="5.7109375" customWidth="1"/>
    <col min="17" max="17" width="3.42578125" customWidth="1"/>
    <col min="18" max="18" width="12.7109375" customWidth="1"/>
    <col min="19" max="30" width="14.7109375" style="12" customWidth="1"/>
    <col min="31" max="34" width="14.7109375" style="12" hidden="1"/>
    <col min="36" max="16384" width="9.140625" hidden="1"/>
  </cols>
  <sheetData>
    <row r="1" spans="1:35" ht="19.5" x14ac:dyDescent="0.3">
      <c r="A1" s="31" t="s">
        <v>579</v>
      </c>
      <c r="C1" s="19"/>
      <c r="D1" s="35" t="s">
        <v>1133</v>
      </c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35" ht="17.25" x14ac:dyDescent="0.3">
      <c r="A2" s="32" t="s">
        <v>580</v>
      </c>
      <c r="C2" s="19"/>
      <c r="D2" s="35" t="s">
        <v>1133</v>
      </c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35" x14ac:dyDescent="0.25">
      <c r="A3" s="33" t="s">
        <v>581</v>
      </c>
      <c r="C3" s="19"/>
      <c r="D3" s="35" t="s">
        <v>1133</v>
      </c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35" x14ac:dyDescent="0.25">
      <c r="A4" s="34" t="s">
        <v>1128</v>
      </c>
      <c r="B4" s="34" t="s">
        <v>1128</v>
      </c>
      <c r="C4" s="34" t="s">
        <v>1128</v>
      </c>
      <c r="D4" s="34" t="s">
        <v>1128</v>
      </c>
      <c r="E4" s="34" t="s">
        <v>1128</v>
      </c>
      <c r="F4" s="34" t="s">
        <v>1128</v>
      </c>
      <c r="G4" s="34" t="s">
        <v>1128</v>
      </c>
      <c r="H4" s="34" t="s">
        <v>1128</v>
      </c>
      <c r="I4" s="34" t="s">
        <v>1128</v>
      </c>
      <c r="J4" s="34" t="s">
        <v>1128</v>
      </c>
      <c r="K4" s="34" t="s">
        <v>1128</v>
      </c>
      <c r="L4" s="34" t="s">
        <v>1128</v>
      </c>
      <c r="M4" s="34" t="s">
        <v>1128</v>
      </c>
      <c r="N4" s="34" t="s">
        <v>1128</v>
      </c>
      <c r="O4" s="34" t="s">
        <v>1132</v>
      </c>
      <c r="P4" s="34" t="s">
        <v>1128</v>
      </c>
      <c r="Q4" s="34" t="s">
        <v>1128</v>
      </c>
      <c r="R4" s="34" t="s">
        <v>1128</v>
      </c>
      <c r="S4" s="15" t="s">
        <v>558</v>
      </c>
      <c r="T4" s="15" t="s">
        <v>558</v>
      </c>
      <c r="U4" s="15" t="s">
        <v>558</v>
      </c>
      <c r="V4" s="15" t="s">
        <v>558</v>
      </c>
      <c r="W4" s="15" t="s">
        <v>561</v>
      </c>
      <c r="X4" s="15" t="s">
        <v>561</v>
      </c>
      <c r="Y4" s="15" t="s">
        <v>561</v>
      </c>
      <c r="Z4" s="15" t="s">
        <v>561</v>
      </c>
      <c r="AA4" s="15" t="s">
        <v>0</v>
      </c>
      <c r="AB4" s="15" t="s">
        <v>0</v>
      </c>
      <c r="AC4" s="15" t="s">
        <v>0</v>
      </c>
      <c r="AD4" s="15" t="s">
        <v>0</v>
      </c>
    </row>
    <row r="5" spans="1:35" x14ac:dyDescent="0.25">
      <c r="A5" s="34" t="s">
        <v>1128</v>
      </c>
      <c r="B5" s="34" t="s">
        <v>1128</v>
      </c>
      <c r="C5" s="34" t="s">
        <v>1128</v>
      </c>
      <c r="D5" s="20" t="s">
        <v>582</v>
      </c>
      <c r="E5" s="34" t="s">
        <v>1128</v>
      </c>
      <c r="F5" s="34" t="s">
        <v>1128</v>
      </c>
      <c r="G5" s="34" t="s">
        <v>1128</v>
      </c>
      <c r="H5" s="20" t="s">
        <v>582</v>
      </c>
      <c r="I5" s="34" t="s">
        <v>1128</v>
      </c>
      <c r="J5" s="34" t="s">
        <v>1128</v>
      </c>
      <c r="K5" s="34" t="s">
        <v>1128</v>
      </c>
      <c r="L5" s="20" t="s">
        <v>582</v>
      </c>
      <c r="M5" s="34" t="s">
        <v>1128</v>
      </c>
      <c r="N5" s="34" t="s">
        <v>1128</v>
      </c>
      <c r="P5" s="34" t="s">
        <v>1128</v>
      </c>
      <c r="Q5" s="34" t="s">
        <v>1128</v>
      </c>
      <c r="R5" s="34" t="s">
        <v>1128</v>
      </c>
      <c r="S5" s="34" t="s">
        <v>1128</v>
      </c>
      <c r="T5" s="34" t="s">
        <v>1128</v>
      </c>
      <c r="U5" s="34" t="s">
        <v>1128</v>
      </c>
      <c r="V5" s="34" t="s">
        <v>1128</v>
      </c>
      <c r="W5" s="34" t="s">
        <v>1128</v>
      </c>
      <c r="X5" s="34" t="s">
        <v>1128</v>
      </c>
      <c r="Y5" s="34" t="s">
        <v>1128</v>
      </c>
      <c r="Z5" s="34" t="s">
        <v>1128</v>
      </c>
      <c r="AA5" s="34" t="s">
        <v>1128</v>
      </c>
      <c r="AB5" s="34" t="s">
        <v>1128</v>
      </c>
      <c r="AC5" s="34" t="s">
        <v>1128</v>
      </c>
      <c r="AD5" s="34" t="s">
        <v>1128</v>
      </c>
    </row>
    <row r="6" spans="1:35" x14ac:dyDescent="0.25">
      <c r="A6" t="s">
        <v>583</v>
      </c>
      <c r="C6" s="20" t="s">
        <v>584</v>
      </c>
      <c r="D6" s="20" t="s">
        <v>585</v>
      </c>
      <c r="E6" s="20" t="s">
        <v>586</v>
      </c>
      <c r="F6" s="20"/>
      <c r="G6" s="20" t="s">
        <v>584</v>
      </c>
      <c r="H6" s="20" t="s">
        <v>585</v>
      </c>
      <c r="I6" s="20" t="s">
        <v>586</v>
      </c>
      <c r="J6" s="20" t="s">
        <v>587</v>
      </c>
      <c r="K6" s="20" t="s">
        <v>584</v>
      </c>
      <c r="L6" s="20" t="s">
        <v>585</v>
      </c>
      <c r="M6" s="20" t="s">
        <v>586</v>
      </c>
      <c r="N6" s="20" t="s">
        <v>588</v>
      </c>
      <c r="P6" s="34" t="s">
        <v>1128</v>
      </c>
      <c r="Q6" s="34" t="s">
        <v>1128</v>
      </c>
      <c r="R6" s="34" t="s">
        <v>1128</v>
      </c>
      <c r="S6" s="34" t="s">
        <v>1128</v>
      </c>
      <c r="T6" s="21" t="s">
        <v>582</v>
      </c>
      <c r="U6" s="22" t="s">
        <v>582</v>
      </c>
      <c r="V6" s="15" t="s">
        <v>1093</v>
      </c>
      <c r="W6" s="34" t="s">
        <v>1128</v>
      </c>
      <c r="X6" s="21" t="s">
        <v>582</v>
      </c>
      <c r="Y6" s="22" t="s">
        <v>582</v>
      </c>
      <c r="Z6" s="15" t="s">
        <v>1093</v>
      </c>
      <c r="AA6" s="34" t="s">
        <v>1128</v>
      </c>
      <c r="AB6" s="21" t="s">
        <v>582</v>
      </c>
      <c r="AC6" s="22" t="s">
        <v>582</v>
      </c>
      <c r="AD6" s="15" t="s">
        <v>1093</v>
      </c>
    </row>
    <row r="7" spans="1:35" x14ac:dyDescent="0.25">
      <c r="A7" t="s">
        <v>589</v>
      </c>
      <c r="B7" t="s">
        <v>590</v>
      </c>
      <c r="C7" s="20" t="s">
        <v>591</v>
      </c>
      <c r="D7" s="20" t="s">
        <v>591</v>
      </c>
      <c r="E7" s="20" t="s">
        <v>591</v>
      </c>
      <c r="F7" s="20" t="s">
        <v>592</v>
      </c>
      <c r="G7" s="20" t="s">
        <v>593</v>
      </c>
      <c r="H7" s="20" t="s">
        <v>594</v>
      </c>
      <c r="I7" s="20" t="s">
        <v>595</v>
      </c>
      <c r="J7" s="20" t="s">
        <v>7</v>
      </c>
      <c r="K7" s="20" t="s">
        <v>588</v>
      </c>
      <c r="L7" s="20" t="s">
        <v>596</v>
      </c>
      <c r="M7" s="20" t="s">
        <v>596</v>
      </c>
      <c r="N7" s="20" t="s">
        <v>7</v>
      </c>
      <c r="P7" s="34" t="s">
        <v>1128</v>
      </c>
      <c r="Q7" s="34" t="s">
        <v>1128</v>
      </c>
      <c r="R7" s="34" t="s">
        <v>1128</v>
      </c>
      <c r="S7" s="21" t="s">
        <v>584</v>
      </c>
      <c r="T7" s="21" t="s">
        <v>585</v>
      </c>
      <c r="U7" s="21" t="s">
        <v>1094</v>
      </c>
      <c r="V7" s="15" t="s">
        <v>7</v>
      </c>
      <c r="W7" s="21" t="s">
        <v>584</v>
      </c>
      <c r="X7" s="21" t="s">
        <v>585</v>
      </c>
      <c r="Y7" s="21" t="s">
        <v>1094</v>
      </c>
      <c r="Z7" s="15" t="s">
        <v>7</v>
      </c>
      <c r="AA7" s="21" t="s">
        <v>584</v>
      </c>
      <c r="AB7" s="21" t="s">
        <v>585</v>
      </c>
      <c r="AC7" s="21" t="s">
        <v>1094</v>
      </c>
      <c r="AD7" s="15" t="s">
        <v>7</v>
      </c>
    </row>
    <row r="8" spans="1:35" x14ac:dyDescent="0.25">
      <c r="A8" s="34" t="s">
        <v>1128</v>
      </c>
      <c r="B8" t="s">
        <v>597</v>
      </c>
      <c r="C8" s="19">
        <v>44058720</v>
      </c>
      <c r="D8" s="19">
        <v>10092924.513006005</v>
      </c>
      <c r="E8" s="19">
        <v>96444452</v>
      </c>
      <c r="F8" s="19">
        <v>150596096.51300609</v>
      </c>
      <c r="G8" s="19">
        <v>5181672.628000007</v>
      </c>
      <c r="H8" s="19">
        <v>1999588.8089164959</v>
      </c>
      <c r="I8" s="19">
        <v>3349196.0000000023</v>
      </c>
      <c r="J8" s="19">
        <v>10530457.436916491</v>
      </c>
      <c r="K8" s="19">
        <v>49240392.628000066</v>
      </c>
      <c r="L8" s="19">
        <v>12092513.3219225</v>
      </c>
      <c r="M8" s="19">
        <v>99793648.000000089</v>
      </c>
      <c r="N8" s="19">
        <v>161126553.94992259</v>
      </c>
      <c r="P8" s="34" t="s">
        <v>1128</v>
      </c>
      <c r="Q8" s="34" t="s">
        <v>1128</v>
      </c>
      <c r="R8" s="34" t="s">
        <v>1128</v>
      </c>
      <c r="S8" s="12">
        <f>SUM(S10:S540)</f>
        <v>44058720</v>
      </c>
      <c r="T8" s="12">
        <f t="shared" ref="T8:AD8" si="0">SUM(T10:T540)</f>
        <v>10092924.513006005</v>
      </c>
      <c r="U8" s="12">
        <f t="shared" si="0"/>
        <v>96444452</v>
      </c>
      <c r="V8" s="12">
        <f t="shared" si="0"/>
        <v>150596096.51300609</v>
      </c>
      <c r="W8" s="12">
        <f>SUM(W10:W540)</f>
        <v>49240392.628000066</v>
      </c>
      <c r="X8" s="12">
        <f>SUM(X10:X540)</f>
        <v>12092513.3219225</v>
      </c>
      <c r="Y8" s="12">
        <f>SUM(Y10:Y540)</f>
        <v>99793648.000000089</v>
      </c>
      <c r="Z8" s="12">
        <f>SUM(Z10:Z540)</f>
        <v>161126553.94992259</v>
      </c>
      <c r="AA8" s="12">
        <f t="shared" si="0"/>
        <v>5181672.628000007</v>
      </c>
      <c r="AB8" s="12">
        <f t="shared" si="0"/>
        <v>1999588.8089164959</v>
      </c>
      <c r="AC8" s="12">
        <f t="shared" si="0"/>
        <v>3349196.0000000023</v>
      </c>
      <c r="AD8" s="12">
        <f t="shared" si="0"/>
        <v>10530457.436916491</v>
      </c>
    </row>
    <row r="9" spans="1:35" x14ac:dyDescent="0.25">
      <c r="A9" s="34" t="s">
        <v>1130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P9" s="34"/>
      <c r="Q9" s="34"/>
    </row>
    <row r="10" spans="1:35" x14ac:dyDescent="0.25">
      <c r="A10">
        <v>1</v>
      </c>
      <c r="B10" t="s">
        <v>598</v>
      </c>
      <c r="C10" s="19">
        <v>54960</v>
      </c>
      <c r="D10" s="19">
        <v>15440.136677709355</v>
      </c>
      <c r="E10" s="19">
        <v>174044</v>
      </c>
      <c r="F10" s="19">
        <v>244444.13667770935</v>
      </c>
      <c r="G10" s="19">
        <v>6463.7540000000008</v>
      </c>
      <c r="H10" s="19">
        <v>3058.9671476392996</v>
      </c>
      <c r="I10" s="19">
        <v>7452.7999999999884</v>
      </c>
      <c r="J10" s="19">
        <v>16975.521147639287</v>
      </c>
      <c r="K10" s="19">
        <v>61423.754000000001</v>
      </c>
      <c r="L10" s="19">
        <v>18499.103825348655</v>
      </c>
      <c r="M10" s="19">
        <v>181496.8</v>
      </c>
      <c r="N10" s="19">
        <v>261419.65782534864</v>
      </c>
      <c r="P10">
        <v>1</v>
      </c>
      <c r="Q10">
        <v>1</v>
      </c>
      <c r="R10" t="s">
        <v>17</v>
      </c>
      <c r="S10" s="12">
        <v>54960</v>
      </c>
      <c r="T10" s="12">
        <v>15440.136677709355</v>
      </c>
      <c r="U10" s="12">
        <v>174044</v>
      </c>
      <c r="V10" s="12">
        <v>244444.13667770935</v>
      </c>
      <c r="W10" s="12">
        <v>61423.754000000001</v>
      </c>
      <c r="X10" s="12">
        <v>18499.103825348655</v>
      </c>
      <c r="Y10" s="12">
        <v>181496.8</v>
      </c>
      <c r="Z10" s="12">
        <v>261419.65782534864</v>
      </c>
      <c r="AA10" s="12">
        <v>6463.7540000000008</v>
      </c>
      <c r="AB10" s="12">
        <v>3058.9671476392996</v>
      </c>
      <c r="AC10" s="12">
        <v>7452.7999999999884</v>
      </c>
      <c r="AD10" s="12">
        <v>16975.521147639287</v>
      </c>
      <c r="AI10" s="12"/>
    </row>
    <row r="11" spans="1:35" x14ac:dyDescent="0.25">
      <c r="A11">
        <v>1.2</v>
      </c>
      <c r="B11" t="s">
        <v>599</v>
      </c>
      <c r="C11" s="19">
        <v>3288000</v>
      </c>
      <c r="D11" s="19">
        <v>754971.71965747257</v>
      </c>
      <c r="E11" s="19">
        <v>3573686</v>
      </c>
      <c r="F11" s="19">
        <v>7616657.7196574723</v>
      </c>
      <c r="G11" s="19">
        <v>386696.20000000019</v>
      </c>
      <c r="H11" s="19">
        <v>149573.39666319429</v>
      </c>
      <c r="I11" s="19">
        <v>92768.399999999907</v>
      </c>
      <c r="J11" s="19">
        <v>629037.99666319438</v>
      </c>
      <c r="K11" s="19">
        <v>3674696.2</v>
      </c>
      <c r="L11" s="19">
        <v>904545.11632066686</v>
      </c>
      <c r="M11" s="19">
        <v>3666454.4</v>
      </c>
      <c r="N11" s="19">
        <v>8245695.7163206674</v>
      </c>
      <c r="P11">
        <v>1.2</v>
      </c>
      <c r="Q11">
        <v>3</v>
      </c>
      <c r="R11" t="s">
        <v>18</v>
      </c>
      <c r="S11" s="12">
        <v>3288000</v>
      </c>
      <c r="T11" s="12">
        <v>754971.71965747257</v>
      </c>
      <c r="U11" s="12">
        <v>3573686</v>
      </c>
      <c r="V11" s="12">
        <v>7616657.7196574723</v>
      </c>
      <c r="W11" s="12">
        <v>3674696.2</v>
      </c>
      <c r="X11" s="12">
        <v>904545.11632066686</v>
      </c>
      <c r="Y11" s="12">
        <v>3666454.4</v>
      </c>
      <c r="Z11" s="12">
        <v>8245695.7163206674</v>
      </c>
      <c r="AA11" s="12">
        <v>386696.20000000019</v>
      </c>
      <c r="AB11" s="12">
        <v>149573.39666319429</v>
      </c>
      <c r="AC11" s="12">
        <v>92768.399999999907</v>
      </c>
      <c r="AD11" s="12">
        <v>629037.99666319438</v>
      </c>
      <c r="AI11" s="12"/>
    </row>
    <row r="12" spans="1:35" x14ac:dyDescent="0.25">
      <c r="A12">
        <v>2</v>
      </c>
      <c r="B12" t="s">
        <v>600</v>
      </c>
      <c r="C12" s="19">
        <v>18000</v>
      </c>
      <c r="D12" s="19">
        <v>4552.0407279709098</v>
      </c>
      <c r="E12" s="19">
        <v>32307</v>
      </c>
      <c r="F12" s="19">
        <v>54859.040727970911</v>
      </c>
      <c r="G12" s="19">
        <v>2116.9500000000007</v>
      </c>
      <c r="H12" s="19">
        <v>901.84065933054171</v>
      </c>
      <c r="I12" s="19">
        <v>1400.4000000000015</v>
      </c>
      <c r="J12" s="19">
        <v>4419.1906593305439</v>
      </c>
      <c r="K12" s="19">
        <v>20116.95</v>
      </c>
      <c r="L12" s="19">
        <v>5453.8813873014515</v>
      </c>
      <c r="M12" s="19">
        <v>33707.4</v>
      </c>
      <c r="N12" s="19">
        <v>59278.23138730145</v>
      </c>
      <c r="P12">
        <v>2</v>
      </c>
      <c r="Q12">
        <v>1</v>
      </c>
      <c r="R12" t="s">
        <v>19</v>
      </c>
      <c r="S12" s="12">
        <v>18000</v>
      </c>
      <c r="T12" s="12">
        <v>4552.0407279709098</v>
      </c>
      <c r="U12" s="12">
        <v>32307</v>
      </c>
      <c r="V12" s="12">
        <v>54859.040727970911</v>
      </c>
      <c r="W12" s="12">
        <v>20116.95</v>
      </c>
      <c r="X12" s="12">
        <v>5453.8813873014515</v>
      </c>
      <c r="Y12" s="12">
        <v>33707.4</v>
      </c>
      <c r="Z12" s="12">
        <v>59278.23138730145</v>
      </c>
      <c r="AA12" s="12">
        <v>2116.9500000000007</v>
      </c>
      <c r="AB12" s="12">
        <v>901.84065933054171</v>
      </c>
      <c r="AC12" s="12">
        <v>1400.4000000000015</v>
      </c>
      <c r="AD12" s="12">
        <v>4419.1906593305439</v>
      </c>
      <c r="AI12" s="12"/>
    </row>
    <row r="13" spans="1:35" x14ac:dyDescent="0.25">
      <c r="A13">
        <v>4</v>
      </c>
      <c r="B13" t="s">
        <v>601</v>
      </c>
      <c r="C13" s="19">
        <v>18000</v>
      </c>
      <c r="D13" s="19">
        <v>6559.4995283256349</v>
      </c>
      <c r="E13" s="19">
        <v>51816</v>
      </c>
      <c r="F13" s="19">
        <v>76375.499528325628</v>
      </c>
      <c r="G13" s="19">
        <v>2116.9500000000007</v>
      </c>
      <c r="H13" s="19">
        <v>1299.5541413225628</v>
      </c>
      <c r="I13" s="19">
        <v>2404.4000000000015</v>
      </c>
      <c r="J13" s="19">
        <v>5820.904141322565</v>
      </c>
      <c r="K13" s="19">
        <v>20116.95</v>
      </c>
      <c r="L13" s="19">
        <v>7859.0536696481977</v>
      </c>
      <c r="M13" s="19">
        <v>54220.4</v>
      </c>
      <c r="N13" s="19">
        <v>82196.403669648193</v>
      </c>
      <c r="P13">
        <v>4</v>
      </c>
      <c r="Q13">
        <v>1</v>
      </c>
      <c r="R13" t="s">
        <v>20</v>
      </c>
      <c r="S13" s="12">
        <v>18000</v>
      </c>
      <c r="T13" s="12">
        <v>6559.4995283256349</v>
      </c>
      <c r="U13" s="12">
        <v>51816</v>
      </c>
      <c r="V13" s="12">
        <v>76375.499528325628</v>
      </c>
      <c r="W13" s="12">
        <v>20116.95</v>
      </c>
      <c r="X13" s="12">
        <v>7859.0536696481977</v>
      </c>
      <c r="Y13" s="12">
        <v>54220.4</v>
      </c>
      <c r="Z13" s="12">
        <v>82196.403669648193</v>
      </c>
      <c r="AA13" s="12">
        <v>2116.9500000000007</v>
      </c>
      <c r="AB13" s="12">
        <v>1299.5541413225628</v>
      </c>
      <c r="AC13" s="12">
        <v>2404.4000000000015</v>
      </c>
      <c r="AD13" s="12">
        <v>5820.904141322565</v>
      </c>
      <c r="AI13" s="12"/>
    </row>
    <row r="14" spans="1:35" x14ac:dyDescent="0.25">
      <c r="A14">
        <v>6</v>
      </c>
      <c r="B14" t="s">
        <v>602</v>
      </c>
      <c r="C14" s="19">
        <v>172200</v>
      </c>
      <c r="D14" s="19">
        <v>46014.727063122729</v>
      </c>
      <c r="E14" s="19">
        <v>425973</v>
      </c>
      <c r="F14" s="19">
        <v>644187.72706312267</v>
      </c>
      <c r="G14" s="19">
        <v>20252.154999999999</v>
      </c>
      <c r="H14" s="19">
        <v>9116.3401809059433</v>
      </c>
      <c r="I14" s="19">
        <v>18058</v>
      </c>
      <c r="J14" s="19">
        <v>47426.495180905942</v>
      </c>
      <c r="K14" s="19">
        <v>192452.155</v>
      </c>
      <c r="L14" s="19">
        <v>55131.067244028673</v>
      </c>
      <c r="M14" s="19">
        <v>444031</v>
      </c>
      <c r="N14" s="19">
        <v>691614.2222440287</v>
      </c>
      <c r="P14">
        <v>6</v>
      </c>
      <c r="Q14">
        <v>3</v>
      </c>
      <c r="R14" t="s">
        <v>21</v>
      </c>
      <c r="S14" s="12">
        <v>172200</v>
      </c>
      <c r="T14" s="12">
        <v>46014.727063122729</v>
      </c>
      <c r="U14" s="12">
        <v>425973</v>
      </c>
      <c r="V14" s="12">
        <v>644187.72706312267</v>
      </c>
      <c r="W14" s="12">
        <v>192452.155</v>
      </c>
      <c r="X14" s="12">
        <v>55131.067244028673</v>
      </c>
      <c r="Y14" s="12">
        <v>444031</v>
      </c>
      <c r="Z14" s="12">
        <v>691614.2222440287</v>
      </c>
      <c r="AA14" s="12">
        <v>20252.154999999999</v>
      </c>
      <c r="AB14" s="12">
        <v>9116.3401809059433</v>
      </c>
      <c r="AC14" s="12">
        <v>18058</v>
      </c>
      <c r="AD14" s="12">
        <v>47426.495180905942</v>
      </c>
      <c r="AI14" s="12"/>
    </row>
    <row r="15" spans="1:35" x14ac:dyDescent="0.25">
      <c r="A15">
        <v>11</v>
      </c>
      <c r="B15" t="s">
        <v>603</v>
      </c>
      <c r="C15" s="19">
        <v>1906560</v>
      </c>
      <c r="D15" s="19">
        <v>426057.97005716886</v>
      </c>
      <c r="E15" s="19">
        <v>4233578</v>
      </c>
      <c r="F15" s="19">
        <v>6566195.970057169</v>
      </c>
      <c r="G15" s="19">
        <v>224227.34400000004</v>
      </c>
      <c r="H15" s="19">
        <v>84409.701843916555</v>
      </c>
      <c r="I15" s="19">
        <v>157738</v>
      </c>
      <c r="J15" s="19">
        <v>466375.0458439166</v>
      </c>
      <c r="K15" s="19">
        <v>2130787.344</v>
      </c>
      <c r="L15" s="19">
        <v>510467.67190108541</v>
      </c>
      <c r="M15" s="19">
        <v>4391316</v>
      </c>
      <c r="N15" s="19">
        <v>7032571.015901085</v>
      </c>
      <c r="P15">
        <v>11</v>
      </c>
      <c r="Q15">
        <v>1</v>
      </c>
      <c r="R15" t="s">
        <v>22</v>
      </c>
      <c r="S15" s="12">
        <v>1906560</v>
      </c>
      <c r="T15" s="12">
        <v>426057.97005716886</v>
      </c>
      <c r="U15" s="12">
        <v>4233578</v>
      </c>
      <c r="V15" s="12">
        <v>6566195.970057169</v>
      </c>
      <c r="W15" s="12">
        <v>2130787.344</v>
      </c>
      <c r="X15" s="12">
        <v>510467.67190108541</v>
      </c>
      <c r="Y15" s="12">
        <v>4391316</v>
      </c>
      <c r="Z15" s="12">
        <v>7032571.015901085</v>
      </c>
      <c r="AA15" s="12">
        <v>224227.34400000004</v>
      </c>
      <c r="AB15" s="12">
        <v>84409.701843916555</v>
      </c>
      <c r="AC15" s="12">
        <v>157738</v>
      </c>
      <c r="AD15" s="12">
        <v>466375.0458439166</v>
      </c>
      <c r="AI15" s="12"/>
    </row>
    <row r="16" spans="1:35" x14ac:dyDescent="0.25">
      <c r="A16">
        <v>12</v>
      </c>
      <c r="B16" t="s">
        <v>604</v>
      </c>
      <c r="C16" s="19">
        <v>283200</v>
      </c>
      <c r="D16" s="19">
        <v>52613.312416081993</v>
      </c>
      <c r="E16" s="19">
        <v>645188</v>
      </c>
      <c r="F16" s="19">
        <v>981001.31241608202</v>
      </c>
      <c r="G16" s="19">
        <v>33306.679999999993</v>
      </c>
      <c r="H16" s="19">
        <v>10423.637922948394</v>
      </c>
      <c r="I16" s="19">
        <v>14546.800000000047</v>
      </c>
      <c r="J16" s="19">
        <v>58277.117922948433</v>
      </c>
      <c r="K16" s="19">
        <v>316506.68</v>
      </c>
      <c r="L16" s="19">
        <v>63036.950339030387</v>
      </c>
      <c r="M16" s="19">
        <v>659734.80000000005</v>
      </c>
      <c r="N16" s="19">
        <v>1039278.4303390305</v>
      </c>
      <c r="P16">
        <v>12</v>
      </c>
      <c r="Q16">
        <v>1</v>
      </c>
      <c r="R16" t="s">
        <v>23</v>
      </c>
      <c r="S16" s="12">
        <v>283200</v>
      </c>
      <c r="T16" s="12">
        <v>52613.312416081993</v>
      </c>
      <c r="U16" s="12">
        <v>645188</v>
      </c>
      <c r="V16" s="12">
        <v>981001.31241608202</v>
      </c>
      <c r="W16" s="12">
        <v>316506.68</v>
      </c>
      <c r="X16" s="12">
        <v>63036.950339030387</v>
      </c>
      <c r="Y16" s="12">
        <v>659734.80000000005</v>
      </c>
      <c r="Z16" s="12">
        <v>1039278.4303390305</v>
      </c>
      <c r="AA16" s="12">
        <v>33306.679999999993</v>
      </c>
      <c r="AB16" s="12">
        <v>10423.637922948394</v>
      </c>
      <c r="AC16" s="12">
        <v>14546.800000000047</v>
      </c>
      <c r="AD16" s="12">
        <v>58277.117922948433</v>
      </c>
      <c r="AI16" s="12"/>
    </row>
    <row r="17" spans="1:35" x14ac:dyDescent="0.25">
      <c r="A17">
        <v>13</v>
      </c>
      <c r="B17" t="s">
        <v>605</v>
      </c>
      <c r="C17" s="19">
        <v>233400</v>
      </c>
      <c r="D17" s="19">
        <v>68793.225065345527</v>
      </c>
      <c r="E17" s="19">
        <v>403497</v>
      </c>
      <c r="F17" s="19">
        <v>705690.22506534553</v>
      </c>
      <c r="G17" s="19">
        <v>27449.785000000003</v>
      </c>
      <c r="H17" s="19">
        <v>13629.16791784954</v>
      </c>
      <c r="I17" s="19">
        <v>12851.200000000012</v>
      </c>
      <c r="J17" s="19">
        <v>53930.152917849555</v>
      </c>
      <c r="K17" s="19">
        <v>260849.785</v>
      </c>
      <c r="L17" s="19">
        <v>82422.392983195066</v>
      </c>
      <c r="M17" s="19">
        <v>416348.2</v>
      </c>
      <c r="N17" s="19">
        <v>759620.37798319501</v>
      </c>
      <c r="P17">
        <v>13</v>
      </c>
      <c r="Q17">
        <v>1</v>
      </c>
      <c r="R17" t="s">
        <v>24</v>
      </c>
      <c r="S17" s="12">
        <v>233400</v>
      </c>
      <c r="T17" s="12">
        <v>68793.225065345527</v>
      </c>
      <c r="U17" s="12">
        <v>403497</v>
      </c>
      <c r="V17" s="12">
        <v>705690.22506534553</v>
      </c>
      <c r="W17" s="12">
        <v>260849.785</v>
      </c>
      <c r="X17" s="12">
        <v>82422.392983195066</v>
      </c>
      <c r="Y17" s="12">
        <v>416348.2</v>
      </c>
      <c r="Z17" s="12">
        <v>759620.37798319501</v>
      </c>
      <c r="AA17" s="12">
        <v>27449.785000000003</v>
      </c>
      <c r="AB17" s="12">
        <v>13629.16791784954</v>
      </c>
      <c r="AC17" s="12">
        <v>12851.200000000012</v>
      </c>
      <c r="AD17" s="12">
        <v>53930.152917849555</v>
      </c>
      <c r="AI17" s="12"/>
    </row>
    <row r="18" spans="1:35" x14ac:dyDescent="0.25">
      <c r="A18">
        <v>14</v>
      </c>
      <c r="B18" t="s">
        <v>606</v>
      </c>
      <c r="C18" s="19">
        <v>133200</v>
      </c>
      <c r="D18" s="19">
        <v>44608.862746620274</v>
      </c>
      <c r="E18" s="19">
        <v>329143</v>
      </c>
      <c r="F18" s="19">
        <v>506951.86274662026</v>
      </c>
      <c r="G18" s="19">
        <v>15665.429999999993</v>
      </c>
      <c r="H18" s="19">
        <v>8837.8133227578583</v>
      </c>
      <c r="I18" s="19">
        <v>13430.799999999988</v>
      </c>
      <c r="J18" s="19">
        <v>37934.04332275784</v>
      </c>
      <c r="K18" s="19">
        <v>148865.43</v>
      </c>
      <c r="L18" s="19">
        <v>53446.676069378133</v>
      </c>
      <c r="M18" s="19">
        <v>342573.8</v>
      </c>
      <c r="N18" s="19">
        <v>544885.90606937814</v>
      </c>
      <c r="P18">
        <v>14</v>
      </c>
      <c r="Q18">
        <v>1</v>
      </c>
      <c r="R18" t="s">
        <v>25</v>
      </c>
      <c r="S18" s="12">
        <v>133200</v>
      </c>
      <c r="T18" s="12">
        <v>44608.862746620274</v>
      </c>
      <c r="U18" s="12">
        <v>329143</v>
      </c>
      <c r="V18" s="12">
        <v>506951.86274662026</v>
      </c>
      <c r="W18" s="12">
        <v>148865.43</v>
      </c>
      <c r="X18" s="12">
        <v>53446.676069378133</v>
      </c>
      <c r="Y18" s="12">
        <v>342573.8</v>
      </c>
      <c r="Z18" s="12">
        <v>544885.90606937814</v>
      </c>
      <c r="AA18" s="12">
        <v>15665.429999999993</v>
      </c>
      <c r="AB18" s="12">
        <v>8837.8133227578583</v>
      </c>
      <c r="AC18" s="12">
        <v>13430.799999999988</v>
      </c>
      <c r="AD18" s="12">
        <v>37934.04332275784</v>
      </c>
      <c r="AI18" s="12"/>
    </row>
    <row r="19" spans="1:35" x14ac:dyDescent="0.25">
      <c r="A19">
        <v>15</v>
      </c>
      <c r="B19" t="s">
        <v>607</v>
      </c>
      <c r="C19" s="19">
        <v>256800</v>
      </c>
      <c r="D19" s="19">
        <v>53954.161442102923</v>
      </c>
      <c r="E19" s="19">
        <v>638701</v>
      </c>
      <c r="F19" s="19">
        <v>949455.16144210286</v>
      </c>
      <c r="G19" s="19">
        <v>30201.820000000007</v>
      </c>
      <c r="H19" s="19">
        <v>10689.284089569672</v>
      </c>
      <c r="I19" s="19">
        <v>27450.400000000023</v>
      </c>
      <c r="J19" s="19">
        <v>68341.504089569702</v>
      </c>
      <c r="K19" s="19">
        <v>287001.82</v>
      </c>
      <c r="L19" s="19">
        <v>64643.445531672594</v>
      </c>
      <c r="M19" s="19">
        <v>666151.4</v>
      </c>
      <c r="N19" s="19">
        <v>1017796.6655316727</v>
      </c>
      <c r="P19">
        <v>15</v>
      </c>
      <c r="Q19">
        <v>1</v>
      </c>
      <c r="R19" t="s">
        <v>26</v>
      </c>
      <c r="S19" s="12">
        <v>256800</v>
      </c>
      <c r="T19" s="12">
        <v>53954.161442102923</v>
      </c>
      <c r="U19" s="12">
        <v>638701</v>
      </c>
      <c r="V19" s="12">
        <v>949455.16144210286</v>
      </c>
      <c r="W19" s="12">
        <v>287001.82</v>
      </c>
      <c r="X19" s="12">
        <v>64643.445531672594</v>
      </c>
      <c r="Y19" s="12">
        <v>666151.4</v>
      </c>
      <c r="Z19" s="12">
        <v>1017796.6655316727</v>
      </c>
      <c r="AA19" s="12">
        <v>30201.820000000007</v>
      </c>
      <c r="AB19" s="12">
        <v>10689.284089569672</v>
      </c>
      <c r="AC19" s="12">
        <v>27450.400000000023</v>
      </c>
      <c r="AD19" s="12">
        <v>68341.504089569702</v>
      </c>
      <c r="AI19" s="12"/>
    </row>
    <row r="20" spans="1:35" x14ac:dyDescent="0.25">
      <c r="A20">
        <v>16</v>
      </c>
      <c r="B20" t="s">
        <v>608</v>
      </c>
      <c r="C20" s="19">
        <v>248520</v>
      </c>
      <c r="D20" s="19">
        <v>68151.135524743906</v>
      </c>
      <c r="E20" s="19">
        <v>584944</v>
      </c>
      <c r="F20" s="19">
        <v>901615.13552474394</v>
      </c>
      <c r="G20" s="19">
        <v>29228.022999999986</v>
      </c>
      <c r="H20" s="19">
        <v>13501.958499206317</v>
      </c>
      <c r="I20" s="19">
        <v>20621.199999999953</v>
      </c>
      <c r="J20" s="19">
        <v>63351.181499206257</v>
      </c>
      <c r="K20" s="19">
        <v>277748.02299999999</v>
      </c>
      <c r="L20" s="19">
        <v>81653.094023950223</v>
      </c>
      <c r="M20" s="19">
        <v>605565.19999999995</v>
      </c>
      <c r="N20" s="19">
        <v>964966.31702395016</v>
      </c>
      <c r="P20">
        <v>16</v>
      </c>
      <c r="Q20">
        <v>1</v>
      </c>
      <c r="R20" t="s">
        <v>27</v>
      </c>
      <c r="S20" s="12">
        <v>248520</v>
      </c>
      <c r="T20" s="12">
        <v>68151.135524743906</v>
      </c>
      <c r="U20" s="12">
        <v>584944</v>
      </c>
      <c r="V20" s="12">
        <v>901615.13552474394</v>
      </c>
      <c r="W20" s="12">
        <v>277748.02299999999</v>
      </c>
      <c r="X20" s="12">
        <v>81653.094023950223</v>
      </c>
      <c r="Y20" s="12">
        <v>605565.19999999995</v>
      </c>
      <c r="Z20" s="12">
        <v>964966.31702395016</v>
      </c>
      <c r="AA20" s="12">
        <v>29228.022999999986</v>
      </c>
      <c r="AB20" s="12">
        <v>13501.958499206317</v>
      </c>
      <c r="AC20" s="12">
        <v>20621.199999999953</v>
      </c>
      <c r="AD20" s="12">
        <v>63351.181499206257</v>
      </c>
      <c r="AI20" s="12"/>
    </row>
    <row r="21" spans="1:35" x14ac:dyDescent="0.25">
      <c r="A21">
        <v>22</v>
      </c>
      <c r="B21" t="s">
        <v>609</v>
      </c>
      <c r="C21" s="19">
        <v>127200</v>
      </c>
      <c r="D21" s="19">
        <v>35211.888306114175</v>
      </c>
      <c r="E21" s="19">
        <v>347396</v>
      </c>
      <c r="F21" s="19">
        <v>509807.88830611418</v>
      </c>
      <c r="G21" s="19">
        <v>14959.779999999999</v>
      </c>
      <c r="H21" s="19">
        <v>6976.1046668874042</v>
      </c>
      <c r="I21" s="19">
        <v>15597.200000000012</v>
      </c>
      <c r="J21" s="19">
        <v>37533.084666887415</v>
      </c>
      <c r="K21" s="19">
        <v>142159.78</v>
      </c>
      <c r="L21" s="19">
        <v>42187.992973001579</v>
      </c>
      <c r="M21" s="19">
        <v>362993.2</v>
      </c>
      <c r="N21" s="19">
        <v>547340.97297300166</v>
      </c>
      <c r="P21">
        <v>22</v>
      </c>
      <c r="Q21">
        <v>1</v>
      </c>
      <c r="R21" t="s">
        <v>28</v>
      </c>
      <c r="S21" s="12">
        <v>127200</v>
      </c>
      <c r="T21" s="12">
        <v>35211.888306114175</v>
      </c>
      <c r="U21" s="12">
        <v>347396</v>
      </c>
      <c r="V21" s="12">
        <v>509807.88830611418</v>
      </c>
      <c r="W21" s="12">
        <v>142159.78</v>
      </c>
      <c r="X21" s="12">
        <v>42187.992973001579</v>
      </c>
      <c r="Y21" s="12">
        <v>362993.2</v>
      </c>
      <c r="Z21" s="12">
        <v>547340.97297300166</v>
      </c>
      <c r="AA21" s="12">
        <v>14959.779999999999</v>
      </c>
      <c r="AB21" s="12">
        <v>6976.1046668874042</v>
      </c>
      <c r="AC21" s="12">
        <v>15597.200000000012</v>
      </c>
      <c r="AD21" s="12">
        <v>37533.084666887415</v>
      </c>
      <c r="AI21" s="12"/>
    </row>
    <row r="22" spans="1:35" x14ac:dyDescent="0.25">
      <c r="A22">
        <v>23</v>
      </c>
      <c r="B22" t="s">
        <v>610</v>
      </c>
      <c r="C22" s="19">
        <v>51000</v>
      </c>
      <c r="D22" s="19">
        <v>13635.874655538062</v>
      </c>
      <c r="E22" s="19">
        <v>119333</v>
      </c>
      <c r="F22" s="19">
        <v>183968.87465553806</v>
      </c>
      <c r="G22" s="19">
        <v>5998.0250000000015</v>
      </c>
      <c r="H22" s="19">
        <v>2701.5105805919884</v>
      </c>
      <c r="I22" s="19">
        <v>8068.3999999999942</v>
      </c>
      <c r="J22" s="19">
        <v>16767.935580591984</v>
      </c>
      <c r="K22" s="19">
        <v>56998.025000000001</v>
      </c>
      <c r="L22" s="19">
        <v>16337.385236130051</v>
      </c>
      <c r="M22" s="19">
        <v>127401.4</v>
      </c>
      <c r="N22" s="19">
        <v>200736.81023613003</v>
      </c>
      <c r="P22">
        <v>23</v>
      </c>
      <c r="Q22">
        <v>1</v>
      </c>
      <c r="R22" t="s">
        <v>29</v>
      </c>
      <c r="S22" s="12">
        <v>51000</v>
      </c>
      <c r="T22" s="12">
        <v>13635.874655538062</v>
      </c>
      <c r="U22" s="12">
        <v>119333</v>
      </c>
      <c r="V22" s="12">
        <v>183968.87465553806</v>
      </c>
      <c r="W22" s="12">
        <v>56998.025000000001</v>
      </c>
      <c r="X22" s="12">
        <v>16337.385236130051</v>
      </c>
      <c r="Y22" s="12">
        <v>127401.4</v>
      </c>
      <c r="Z22" s="12">
        <v>200736.81023613003</v>
      </c>
      <c r="AA22" s="12">
        <v>5998.0250000000015</v>
      </c>
      <c r="AB22" s="12">
        <v>2701.5105805919884</v>
      </c>
      <c r="AC22" s="12">
        <v>8068.3999999999942</v>
      </c>
      <c r="AD22" s="12">
        <v>16767.935580591984</v>
      </c>
      <c r="AI22" s="12"/>
    </row>
    <row r="23" spans="1:35" x14ac:dyDescent="0.25">
      <c r="A23">
        <v>25</v>
      </c>
      <c r="B23" t="s">
        <v>611</v>
      </c>
      <c r="C23" s="19">
        <v>0</v>
      </c>
      <c r="D23" s="19">
        <v>1887.5660488947626</v>
      </c>
      <c r="E23" s="19">
        <v>8272</v>
      </c>
      <c r="F23" s="19">
        <v>10159.566048894763</v>
      </c>
      <c r="G23" s="19">
        <v>0</v>
      </c>
      <c r="H23" s="19">
        <v>373.960584228779</v>
      </c>
      <c r="I23" s="19">
        <v>0</v>
      </c>
      <c r="J23" s="19">
        <v>373.960584228779</v>
      </c>
      <c r="K23" s="19">
        <v>0</v>
      </c>
      <c r="L23" s="19">
        <v>2261.5266331235416</v>
      </c>
      <c r="M23" s="19">
        <v>8272</v>
      </c>
      <c r="N23" s="19">
        <v>10533.526633123542</v>
      </c>
      <c r="P23">
        <v>25</v>
      </c>
      <c r="Q23">
        <v>1</v>
      </c>
      <c r="R23" t="s">
        <v>30</v>
      </c>
      <c r="S23" s="12">
        <v>0</v>
      </c>
      <c r="T23" s="12">
        <v>1887.5660488947626</v>
      </c>
      <c r="U23" s="12">
        <v>8272</v>
      </c>
      <c r="V23" s="12">
        <v>10159.566048894763</v>
      </c>
      <c r="W23" s="12">
        <v>0</v>
      </c>
      <c r="X23" s="12">
        <v>2261.5266331235416</v>
      </c>
      <c r="Y23" s="12">
        <v>8272</v>
      </c>
      <c r="Z23" s="12">
        <v>10533.526633123542</v>
      </c>
      <c r="AA23" s="12">
        <v>0</v>
      </c>
      <c r="AB23" s="12">
        <v>373.960584228779</v>
      </c>
      <c r="AC23" s="12">
        <v>0</v>
      </c>
      <c r="AD23" s="12">
        <v>373.960584228779</v>
      </c>
      <c r="AI23" s="12"/>
    </row>
    <row r="24" spans="1:35" x14ac:dyDescent="0.25">
      <c r="A24">
        <v>31</v>
      </c>
      <c r="B24" t="s">
        <v>612</v>
      </c>
      <c r="C24" s="19">
        <v>446400</v>
      </c>
      <c r="D24" s="19">
        <v>98117.384125555574</v>
      </c>
      <c r="E24" s="19">
        <v>665951</v>
      </c>
      <c r="F24" s="19">
        <v>1210468.3841255556</v>
      </c>
      <c r="G24" s="19">
        <v>52500.359999999986</v>
      </c>
      <c r="H24" s="19">
        <v>19438.808147707896</v>
      </c>
      <c r="I24" s="19">
        <v>31102.400000000023</v>
      </c>
      <c r="J24" s="19">
        <v>103041.56814770791</v>
      </c>
      <c r="K24" s="19">
        <v>498900.36</v>
      </c>
      <c r="L24" s="19">
        <v>117556.19227326347</v>
      </c>
      <c r="M24" s="19">
        <v>697053.4</v>
      </c>
      <c r="N24" s="19">
        <v>1313509.9522732636</v>
      </c>
      <c r="P24">
        <v>31</v>
      </c>
      <c r="Q24">
        <v>1</v>
      </c>
      <c r="R24" t="s">
        <v>31</v>
      </c>
      <c r="S24" s="12">
        <v>446400</v>
      </c>
      <c r="T24" s="12">
        <v>98117.384125555574</v>
      </c>
      <c r="U24" s="12">
        <v>665951</v>
      </c>
      <c r="V24" s="12">
        <v>1210468.3841255556</v>
      </c>
      <c r="W24" s="12">
        <v>498900.36</v>
      </c>
      <c r="X24" s="12">
        <v>117556.19227326347</v>
      </c>
      <c r="Y24" s="12">
        <v>697053.4</v>
      </c>
      <c r="Z24" s="12">
        <v>1313509.9522732636</v>
      </c>
      <c r="AA24" s="12">
        <v>52500.359999999986</v>
      </c>
      <c r="AB24" s="12">
        <v>19438.808147707896</v>
      </c>
      <c r="AC24" s="12">
        <v>31102.400000000023</v>
      </c>
      <c r="AD24" s="12">
        <v>103041.56814770791</v>
      </c>
      <c r="AI24" s="12"/>
    </row>
    <row r="25" spans="1:35" x14ac:dyDescent="0.25">
      <c r="A25">
        <v>32</v>
      </c>
      <c r="B25" t="s">
        <v>613</v>
      </c>
      <c r="C25" s="19">
        <v>28320</v>
      </c>
      <c r="D25" s="19">
        <v>10317.047505931067</v>
      </c>
      <c r="E25" s="19">
        <v>62988</v>
      </c>
      <c r="F25" s="19">
        <v>101625.04750593107</v>
      </c>
      <c r="G25" s="19">
        <v>3330.6680000000015</v>
      </c>
      <c r="H25" s="19">
        <v>2043.9915811651445</v>
      </c>
      <c r="I25" s="19">
        <v>4243.6000000000058</v>
      </c>
      <c r="J25" s="19">
        <v>9618.2595811651518</v>
      </c>
      <c r="K25" s="19">
        <v>31650.668000000001</v>
      </c>
      <c r="L25" s="19">
        <v>12361.039087096211</v>
      </c>
      <c r="M25" s="19">
        <v>67231.600000000006</v>
      </c>
      <c r="N25" s="19">
        <v>111243.30708709621</v>
      </c>
      <c r="P25">
        <v>32</v>
      </c>
      <c r="Q25">
        <v>1</v>
      </c>
      <c r="R25" t="s">
        <v>32</v>
      </c>
      <c r="S25" s="12">
        <v>28320</v>
      </c>
      <c r="T25" s="12">
        <v>10317.047505931067</v>
      </c>
      <c r="U25" s="12">
        <v>62988</v>
      </c>
      <c r="V25" s="12">
        <v>101625.04750593107</v>
      </c>
      <c r="W25" s="12">
        <v>31650.668000000001</v>
      </c>
      <c r="X25" s="12">
        <v>12361.039087096211</v>
      </c>
      <c r="Y25" s="12">
        <v>67231.600000000006</v>
      </c>
      <c r="Z25" s="12">
        <v>111243.30708709621</v>
      </c>
      <c r="AA25" s="12">
        <v>3330.6680000000015</v>
      </c>
      <c r="AB25" s="12">
        <v>2043.9915811651445</v>
      </c>
      <c r="AC25" s="12">
        <v>4243.6000000000058</v>
      </c>
      <c r="AD25" s="12">
        <v>9618.2595811651518</v>
      </c>
      <c r="AI25" s="12"/>
    </row>
    <row r="26" spans="1:35" x14ac:dyDescent="0.25">
      <c r="A26">
        <v>36</v>
      </c>
      <c r="B26" t="s">
        <v>614</v>
      </c>
      <c r="C26" s="19">
        <v>18000</v>
      </c>
      <c r="D26" s="19">
        <v>3896.8004547098699</v>
      </c>
      <c r="E26" s="19">
        <v>35605</v>
      </c>
      <c r="F26" s="19">
        <v>57501.800454709868</v>
      </c>
      <c r="G26" s="19">
        <v>2116.9500000000007</v>
      </c>
      <c r="H26" s="19">
        <v>772.02584541057331</v>
      </c>
      <c r="I26" s="19">
        <v>2663.1999999999971</v>
      </c>
      <c r="J26" s="19">
        <v>5552.1758454105711</v>
      </c>
      <c r="K26" s="19">
        <v>20116.95</v>
      </c>
      <c r="L26" s="19">
        <v>4668.8263001204432</v>
      </c>
      <c r="M26" s="19">
        <v>38268.199999999997</v>
      </c>
      <c r="N26" s="19">
        <v>63053.976300120441</v>
      </c>
      <c r="P26">
        <v>36</v>
      </c>
      <c r="Q26">
        <v>1</v>
      </c>
      <c r="R26" t="s">
        <v>33</v>
      </c>
      <c r="S26" s="12">
        <v>18000</v>
      </c>
      <c r="T26" s="12">
        <v>3896.8004547098699</v>
      </c>
      <c r="U26" s="12">
        <v>35605</v>
      </c>
      <c r="V26" s="12">
        <v>57501.800454709868</v>
      </c>
      <c r="W26" s="12">
        <v>20116.95</v>
      </c>
      <c r="X26" s="12">
        <v>4668.8263001204432</v>
      </c>
      <c r="Y26" s="12">
        <v>38268.199999999997</v>
      </c>
      <c r="Z26" s="12">
        <v>63053.976300120441</v>
      </c>
      <c r="AA26" s="12">
        <v>2116.9500000000007</v>
      </c>
      <c r="AB26" s="12">
        <v>772.02584541057331</v>
      </c>
      <c r="AC26" s="12">
        <v>2663.1999999999971</v>
      </c>
      <c r="AD26" s="12">
        <v>5552.1758454105711</v>
      </c>
      <c r="AI26" s="12"/>
    </row>
    <row r="27" spans="1:35" x14ac:dyDescent="0.25">
      <c r="A27">
        <v>38</v>
      </c>
      <c r="B27" t="s">
        <v>615</v>
      </c>
      <c r="C27" s="19">
        <v>108360</v>
      </c>
      <c r="D27" s="19">
        <v>30310.645395979642</v>
      </c>
      <c r="E27" s="19">
        <v>175973</v>
      </c>
      <c r="F27" s="19">
        <v>314643.64539597963</v>
      </c>
      <c r="G27" s="19">
        <v>12744.039000000004</v>
      </c>
      <c r="H27" s="19">
        <v>6005.080811486805</v>
      </c>
      <c r="I27" s="19">
        <v>1332.3999999999942</v>
      </c>
      <c r="J27" s="19">
        <v>20081.519811486804</v>
      </c>
      <c r="K27" s="19">
        <v>121104.039</v>
      </c>
      <c r="L27" s="19">
        <v>36315.726207466447</v>
      </c>
      <c r="M27" s="19">
        <v>177305.4</v>
      </c>
      <c r="N27" s="19">
        <v>334725.16520746646</v>
      </c>
      <c r="P27">
        <v>38</v>
      </c>
      <c r="Q27">
        <v>1</v>
      </c>
      <c r="R27" t="s">
        <v>34</v>
      </c>
      <c r="S27" s="12">
        <v>108360</v>
      </c>
      <c r="T27" s="12">
        <v>30310.645395979642</v>
      </c>
      <c r="U27" s="12">
        <v>175973</v>
      </c>
      <c r="V27" s="12">
        <v>314643.64539597963</v>
      </c>
      <c r="W27" s="12">
        <v>121104.039</v>
      </c>
      <c r="X27" s="12">
        <v>36315.726207466447</v>
      </c>
      <c r="Y27" s="12">
        <v>177305.4</v>
      </c>
      <c r="Z27" s="12">
        <v>334725.16520746646</v>
      </c>
      <c r="AA27" s="12">
        <v>12744.039000000004</v>
      </c>
      <c r="AB27" s="12">
        <v>6005.080811486805</v>
      </c>
      <c r="AC27" s="12">
        <v>1332.3999999999942</v>
      </c>
      <c r="AD27" s="12">
        <v>20081.519811486804</v>
      </c>
      <c r="AI27" s="12"/>
    </row>
    <row r="28" spans="1:35" x14ac:dyDescent="0.25">
      <c r="A28">
        <v>47</v>
      </c>
      <c r="B28" t="s">
        <v>616</v>
      </c>
      <c r="C28" s="19">
        <v>252000</v>
      </c>
      <c r="D28" s="19">
        <v>51761.977786479052</v>
      </c>
      <c r="E28" s="19">
        <v>451603</v>
      </c>
      <c r="F28" s="19">
        <v>755364.97778647905</v>
      </c>
      <c r="G28" s="19">
        <v>29637.299999999988</v>
      </c>
      <c r="H28" s="19">
        <v>10254.973310842804</v>
      </c>
      <c r="I28" s="19">
        <v>19801.599999999977</v>
      </c>
      <c r="J28" s="19">
        <v>59693.87331084277</v>
      </c>
      <c r="K28" s="19">
        <v>281637.3</v>
      </c>
      <c r="L28" s="19">
        <v>62016.951097321857</v>
      </c>
      <c r="M28" s="19">
        <v>471404.6</v>
      </c>
      <c r="N28" s="19">
        <v>815058.85109732184</v>
      </c>
      <c r="P28">
        <v>47</v>
      </c>
      <c r="Q28">
        <v>1</v>
      </c>
      <c r="R28" t="s">
        <v>35</v>
      </c>
      <c r="S28" s="12">
        <v>252000</v>
      </c>
      <c r="T28" s="12">
        <v>51761.977786479052</v>
      </c>
      <c r="U28" s="12">
        <v>451603</v>
      </c>
      <c r="V28" s="12">
        <v>755364.97778647905</v>
      </c>
      <c r="W28" s="12">
        <v>281637.3</v>
      </c>
      <c r="X28" s="12">
        <v>62016.951097321857</v>
      </c>
      <c r="Y28" s="12">
        <v>471404.6</v>
      </c>
      <c r="Z28" s="12">
        <v>815058.85109732184</v>
      </c>
      <c r="AA28" s="12">
        <v>29637.299999999988</v>
      </c>
      <c r="AB28" s="12">
        <v>10254.973310842804</v>
      </c>
      <c r="AC28" s="12">
        <v>19801.599999999977</v>
      </c>
      <c r="AD28" s="12">
        <v>59693.87331084277</v>
      </c>
      <c r="AI28" s="12"/>
    </row>
    <row r="29" spans="1:35" x14ac:dyDescent="0.25">
      <c r="A29">
        <v>51</v>
      </c>
      <c r="B29" t="s">
        <v>617</v>
      </c>
      <c r="C29" s="19">
        <v>91800</v>
      </c>
      <c r="D29" s="19">
        <v>19951.504788384893</v>
      </c>
      <c r="E29" s="19">
        <v>246220</v>
      </c>
      <c r="F29" s="19">
        <v>357971.50478838489</v>
      </c>
      <c r="G29" s="19">
        <v>10796.444999999992</v>
      </c>
      <c r="H29" s="19">
        <v>3952.7498342515901</v>
      </c>
      <c r="I29" s="19">
        <v>10211.600000000006</v>
      </c>
      <c r="J29" s="19">
        <v>24960.794834251588</v>
      </c>
      <c r="K29" s="19">
        <v>102596.44499999999</v>
      </c>
      <c r="L29" s="19">
        <v>23904.254622636483</v>
      </c>
      <c r="M29" s="19">
        <v>256431.6</v>
      </c>
      <c r="N29" s="19">
        <v>382932.29962263646</v>
      </c>
      <c r="P29">
        <v>51</v>
      </c>
      <c r="Q29">
        <v>1</v>
      </c>
      <c r="R29" t="s">
        <v>36</v>
      </c>
      <c r="S29" s="12">
        <v>91800</v>
      </c>
      <c r="T29" s="12">
        <v>19951.504788384893</v>
      </c>
      <c r="U29" s="12">
        <v>246220</v>
      </c>
      <c r="V29" s="12">
        <v>357971.50478838489</v>
      </c>
      <c r="W29" s="12">
        <v>102596.44499999999</v>
      </c>
      <c r="X29" s="12">
        <v>23904.254622636483</v>
      </c>
      <c r="Y29" s="12">
        <v>256431.6</v>
      </c>
      <c r="Z29" s="12">
        <v>382932.29962263646</v>
      </c>
      <c r="AA29" s="12">
        <v>10796.444999999992</v>
      </c>
      <c r="AB29" s="12">
        <v>3952.7498342515901</v>
      </c>
      <c r="AC29" s="12">
        <v>10211.600000000006</v>
      </c>
      <c r="AD29" s="12">
        <v>24960.794834251588</v>
      </c>
      <c r="AI29" s="12"/>
    </row>
    <row r="30" spans="1:35" x14ac:dyDescent="0.25">
      <c r="A30">
        <v>75</v>
      </c>
      <c r="B30" t="s">
        <v>618</v>
      </c>
      <c r="C30" s="19">
        <v>18000</v>
      </c>
      <c r="D30" s="19">
        <v>3876.9080474272787</v>
      </c>
      <c r="E30" s="19">
        <v>81616</v>
      </c>
      <c r="F30" s="19">
        <v>103492.90804742728</v>
      </c>
      <c r="G30" s="19">
        <v>2116.9500000000007</v>
      </c>
      <c r="H30" s="19">
        <v>768.08480384889117</v>
      </c>
      <c r="I30" s="19">
        <v>2950.3999999999942</v>
      </c>
      <c r="J30" s="19">
        <v>5835.4348038488861</v>
      </c>
      <c r="K30" s="19">
        <v>20116.95</v>
      </c>
      <c r="L30" s="19">
        <v>4644.9928512761699</v>
      </c>
      <c r="M30" s="19">
        <v>84566.399999999994</v>
      </c>
      <c r="N30" s="19">
        <v>109328.34285127616</v>
      </c>
      <c r="P30">
        <v>75</v>
      </c>
      <c r="Q30">
        <v>1</v>
      </c>
      <c r="R30" t="s">
        <v>37</v>
      </c>
      <c r="S30" s="12">
        <v>18000</v>
      </c>
      <c r="T30" s="12">
        <v>3876.9080474272787</v>
      </c>
      <c r="U30" s="12">
        <v>81616</v>
      </c>
      <c r="V30" s="12">
        <v>103492.90804742728</v>
      </c>
      <c r="W30" s="12">
        <v>20116.95</v>
      </c>
      <c r="X30" s="12">
        <v>4644.9928512761699</v>
      </c>
      <c r="Y30" s="12">
        <v>84566.399999999994</v>
      </c>
      <c r="Z30" s="12">
        <v>109328.34285127616</v>
      </c>
      <c r="AA30" s="12">
        <v>2116.9500000000007</v>
      </c>
      <c r="AB30" s="12">
        <v>768.08480384889117</v>
      </c>
      <c r="AC30" s="12">
        <v>2950.3999999999942</v>
      </c>
      <c r="AD30" s="12">
        <v>5835.4348038488861</v>
      </c>
      <c r="AI30" s="12"/>
    </row>
    <row r="31" spans="1:35" x14ac:dyDescent="0.25">
      <c r="A31">
        <v>77</v>
      </c>
      <c r="B31" t="s">
        <v>619</v>
      </c>
      <c r="C31" s="19">
        <v>385800</v>
      </c>
      <c r="D31" s="19">
        <v>94274.218208001868</v>
      </c>
      <c r="E31" s="19">
        <v>951123</v>
      </c>
      <c r="F31" s="19">
        <v>1431197.2182080019</v>
      </c>
      <c r="G31" s="19">
        <v>45373.294999999984</v>
      </c>
      <c r="H31" s="19">
        <v>18677.408263100922</v>
      </c>
      <c r="I31" s="19">
        <v>28585.199999999953</v>
      </c>
      <c r="J31" s="19">
        <v>92635.903263100859</v>
      </c>
      <c r="K31" s="19">
        <v>431173.29499999998</v>
      </c>
      <c r="L31" s="19">
        <v>112951.62647110279</v>
      </c>
      <c r="M31" s="19">
        <v>979708.2</v>
      </c>
      <c r="N31" s="19">
        <v>1523833.1214711028</v>
      </c>
      <c r="P31">
        <v>77</v>
      </c>
      <c r="Q31">
        <v>1</v>
      </c>
      <c r="R31" t="s">
        <v>38</v>
      </c>
      <c r="S31" s="12">
        <v>385800</v>
      </c>
      <c r="T31" s="12">
        <v>94274.218208001868</v>
      </c>
      <c r="U31" s="12">
        <v>951123</v>
      </c>
      <c r="V31" s="12">
        <v>1431197.2182080019</v>
      </c>
      <c r="W31" s="12">
        <v>431173.29499999998</v>
      </c>
      <c r="X31" s="12">
        <v>112951.62647110279</v>
      </c>
      <c r="Y31" s="12">
        <v>979708.2</v>
      </c>
      <c r="Z31" s="12">
        <v>1523833.1214711028</v>
      </c>
      <c r="AA31" s="12">
        <v>45373.294999999984</v>
      </c>
      <c r="AB31" s="12">
        <v>18677.408263100922</v>
      </c>
      <c r="AC31" s="12">
        <v>28585.199999999953</v>
      </c>
      <c r="AD31" s="12">
        <v>92635.903263100859</v>
      </c>
      <c r="AI31" s="12"/>
    </row>
    <row r="32" spans="1:35" x14ac:dyDescent="0.25">
      <c r="A32">
        <v>81</v>
      </c>
      <c r="B32" t="s">
        <v>620</v>
      </c>
      <c r="C32" s="19">
        <v>18000</v>
      </c>
      <c r="D32" s="19">
        <v>1668.915877079698</v>
      </c>
      <c r="E32" s="19">
        <v>25657</v>
      </c>
      <c r="F32" s="19">
        <v>45325.915877079693</v>
      </c>
      <c r="G32" s="19">
        <v>2116.9500000000007</v>
      </c>
      <c r="H32" s="19">
        <v>330.6420756968198</v>
      </c>
      <c r="I32" s="19">
        <v>1375.5999999999985</v>
      </c>
      <c r="J32" s="19">
        <v>3823.1920756968193</v>
      </c>
      <c r="K32" s="19">
        <v>20116.95</v>
      </c>
      <c r="L32" s="19">
        <v>1999.5579527765178</v>
      </c>
      <c r="M32" s="19">
        <v>27032.6</v>
      </c>
      <c r="N32" s="19">
        <v>49149.107952776518</v>
      </c>
      <c r="P32">
        <v>81</v>
      </c>
      <c r="Q32">
        <v>1</v>
      </c>
      <c r="R32" t="s">
        <v>39</v>
      </c>
      <c r="S32" s="12">
        <v>18000</v>
      </c>
      <c r="T32" s="12">
        <v>1668.915877079698</v>
      </c>
      <c r="U32" s="12">
        <v>25657</v>
      </c>
      <c r="V32" s="12">
        <v>45325.915877079693</v>
      </c>
      <c r="W32" s="12">
        <v>20116.95</v>
      </c>
      <c r="X32" s="12">
        <v>1999.5579527765178</v>
      </c>
      <c r="Y32" s="12">
        <v>27032.6</v>
      </c>
      <c r="Z32" s="12">
        <v>49149.107952776518</v>
      </c>
      <c r="AA32" s="12">
        <v>2116.9500000000007</v>
      </c>
      <c r="AB32" s="12">
        <v>330.6420756968198</v>
      </c>
      <c r="AC32" s="12">
        <v>1375.5999999999985</v>
      </c>
      <c r="AD32" s="12">
        <v>3823.1920756968193</v>
      </c>
      <c r="AI32" s="12"/>
    </row>
    <row r="33" spans="1:35" x14ac:dyDescent="0.25">
      <c r="A33">
        <v>84</v>
      </c>
      <c r="B33" t="s">
        <v>621</v>
      </c>
      <c r="C33" s="19">
        <v>43680</v>
      </c>
      <c r="D33" s="19">
        <v>10396.800321733768</v>
      </c>
      <c r="E33" s="19">
        <v>73216</v>
      </c>
      <c r="F33" s="19">
        <v>127292.80032173377</v>
      </c>
      <c r="G33" s="19">
        <v>5137.1319999999978</v>
      </c>
      <c r="H33" s="19">
        <v>2059.7920399670675</v>
      </c>
      <c r="I33" s="19">
        <v>4715.1999999999971</v>
      </c>
      <c r="J33" s="19">
        <v>11912.124039967062</v>
      </c>
      <c r="K33" s="19">
        <v>48817.131999999998</v>
      </c>
      <c r="L33" s="19">
        <v>12456.592361700836</v>
      </c>
      <c r="M33" s="19">
        <v>77931.199999999997</v>
      </c>
      <c r="N33" s="19">
        <v>139204.92436170083</v>
      </c>
      <c r="P33">
        <v>84</v>
      </c>
      <c r="Q33">
        <v>1</v>
      </c>
      <c r="R33" t="s">
        <v>40</v>
      </c>
      <c r="S33" s="12">
        <v>43680</v>
      </c>
      <c r="T33" s="12">
        <v>10396.800321733768</v>
      </c>
      <c r="U33" s="12">
        <v>73216</v>
      </c>
      <c r="V33" s="12">
        <v>127292.80032173377</v>
      </c>
      <c r="W33" s="12">
        <v>48817.131999999998</v>
      </c>
      <c r="X33" s="12">
        <v>12456.592361700836</v>
      </c>
      <c r="Y33" s="12">
        <v>77931.199999999997</v>
      </c>
      <c r="Z33" s="12">
        <v>139204.92436170083</v>
      </c>
      <c r="AA33" s="12">
        <v>5137.1319999999978</v>
      </c>
      <c r="AB33" s="12">
        <v>2059.7920399670675</v>
      </c>
      <c r="AC33" s="12">
        <v>4715.1999999999971</v>
      </c>
      <c r="AD33" s="12">
        <v>11912.124039967062</v>
      </c>
      <c r="AI33" s="12"/>
    </row>
    <row r="34" spans="1:35" x14ac:dyDescent="0.25">
      <c r="A34">
        <v>85</v>
      </c>
      <c r="B34" t="s">
        <v>622</v>
      </c>
      <c r="C34" s="19">
        <v>19560</v>
      </c>
      <c r="D34" s="19">
        <v>6423.4431410498864</v>
      </c>
      <c r="E34" s="19">
        <v>91383</v>
      </c>
      <c r="F34" s="19">
        <v>117366.44314104988</v>
      </c>
      <c r="G34" s="19">
        <v>2300.4190000000017</v>
      </c>
      <c r="H34" s="19">
        <v>1272.5989382961643</v>
      </c>
      <c r="I34" s="19">
        <v>3366.3999999999942</v>
      </c>
      <c r="J34" s="19">
        <v>6939.4179382961602</v>
      </c>
      <c r="K34" s="19">
        <v>21860.419000000002</v>
      </c>
      <c r="L34" s="19">
        <v>7696.0420793460507</v>
      </c>
      <c r="M34" s="19">
        <v>94749.4</v>
      </c>
      <c r="N34" s="19">
        <v>124305.86107934604</v>
      </c>
      <c r="P34">
        <v>85</v>
      </c>
      <c r="Q34">
        <v>1</v>
      </c>
      <c r="R34" t="s">
        <v>41</v>
      </c>
      <c r="S34" s="12">
        <v>19560</v>
      </c>
      <c r="T34" s="12">
        <v>6423.4431410498864</v>
      </c>
      <c r="U34" s="12">
        <v>91383</v>
      </c>
      <c r="V34" s="12">
        <v>117366.44314104988</v>
      </c>
      <c r="W34" s="12">
        <v>21860.419000000002</v>
      </c>
      <c r="X34" s="12">
        <v>7696.0420793460507</v>
      </c>
      <c r="Y34" s="12">
        <v>94749.4</v>
      </c>
      <c r="Z34" s="12">
        <v>124305.86107934604</v>
      </c>
      <c r="AA34" s="12">
        <v>2300.4190000000017</v>
      </c>
      <c r="AB34" s="12">
        <v>1272.5989382961643</v>
      </c>
      <c r="AC34" s="12">
        <v>3366.3999999999942</v>
      </c>
      <c r="AD34" s="12">
        <v>6939.4179382961602</v>
      </c>
      <c r="AI34" s="12"/>
    </row>
    <row r="35" spans="1:35" x14ac:dyDescent="0.25">
      <c r="A35">
        <v>88</v>
      </c>
      <c r="B35" t="s">
        <v>623</v>
      </c>
      <c r="C35" s="19">
        <v>124440</v>
      </c>
      <c r="D35" s="19">
        <v>29274.952284452233</v>
      </c>
      <c r="E35" s="19">
        <v>197344</v>
      </c>
      <c r="F35" s="19">
        <v>351058.95228445227</v>
      </c>
      <c r="G35" s="19">
        <v>14635.181000000011</v>
      </c>
      <c r="H35" s="19">
        <v>5799.8914877567549</v>
      </c>
      <c r="I35" s="19">
        <v>6421.2000000000116</v>
      </c>
      <c r="J35" s="19">
        <v>26856.272487756778</v>
      </c>
      <c r="K35" s="19">
        <v>139075.18100000001</v>
      </c>
      <c r="L35" s="19">
        <v>35074.843772208988</v>
      </c>
      <c r="M35" s="19">
        <v>203765.2</v>
      </c>
      <c r="N35" s="19">
        <v>377915.22477220901</v>
      </c>
      <c r="P35">
        <v>88</v>
      </c>
      <c r="Q35">
        <v>1</v>
      </c>
      <c r="R35" t="s">
        <v>42</v>
      </c>
      <c r="S35" s="12">
        <v>124440</v>
      </c>
      <c r="T35" s="12">
        <v>29274.952284452233</v>
      </c>
      <c r="U35" s="12">
        <v>197344</v>
      </c>
      <c r="V35" s="12">
        <v>351058.95228445227</v>
      </c>
      <c r="W35" s="12">
        <v>139075.18100000001</v>
      </c>
      <c r="X35" s="12">
        <v>35074.843772208988</v>
      </c>
      <c r="Y35" s="12">
        <v>203765.2</v>
      </c>
      <c r="Z35" s="12">
        <v>377915.22477220901</v>
      </c>
      <c r="AA35" s="12">
        <v>14635.181000000011</v>
      </c>
      <c r="AB35" s="12">
        <v>5799.8914877567549</v>
      </c>
      <c r="AC35" s="12">
        <v>6421.2000000000116</v>
      </c>
      <c r="AD35" s="12">
        <v>26856.272487756778</v>
      </c>
      <c r="AI35" s="12"/>
    </row>
    <row r="36" spans="1:35" x14ac:dyDescent="0.25">
      <c r="A36">
        <v>91</v>
      </c>
      <c r="B36" t="s">
        <v>624</v>
      </c>
      <c r="C36" s="19">
        <v>36720</v>
      </c>
      <c r="D36" s="19">
        <v>9100.8853661131307</v>
      </c>
      <c r="E36" s="19">
        <v>95429</v>
      </c>
      <c r="F36" s="19">
        <v>141249.88536611313</v>
      </c>
      <c r="G36" s="19">
        <v>4318.5780000000013</v>
      </c>
      <c r="H36" s="19">
        <v>1803.0481161194912</v>
      </c>
      <c r="I36" s="19">
        <v>4232.8000000000029</v>
      </c>
      <c r="J36" s="19">
        <v>10354.426116119495</v>
      </c>
      <c r="K36" s="19">
        <v>41038.578000000001</v>
      </c>
      <c r="L36" s="19">
        <v>10903.933482232622</v>
      </c>
      <c r="M36" s="19">
        <v>99661.8</v>
      </c>
      <c r="N36" s="19">
        <v>151604.31148223262</v>
      </c>
      <c r="P36">
        <v>91</v>
      </c>
      <c r="Q36">
        <v>1</v>
      </c>
      <c r="R36" t="s">
        <v>43</v>
      </c>
      <c r="S36" s="12">
        <v>36720</v>
      </c>
      <c r="T36" s="12">
        <v>9100.8853661131307</v>
      </c>
      <c r="U36" s="12">
        <v>95429</v>
      </c>
      <c r="V36" s="12">
        <v>141249.88536611313</v>
      </c>
      <c r="W36" s="12">
        <v>41038.578000000001</v>
      </c>
      <c r="X36" s="12">
        <v>10903.933482232622</v>
      </c>
      <c r="Y36" s="12">
        <v>99661.8</v>
      </c>
      <c r="Z36" s="12">
        <v>151604.31148223262</v>
      </c>
      <c r="AA36" s="12">
        <v>4318.5780000000013</v>
      </c>
      <c r="AB36" s="12">
        <v>1803.0481161194912</v>
      </c>
      <c r="AC36" s="12">
        <v>4232.8000000000029</v>
      </c>
      <c r="AD36" s="12">
        <v>10354.426116119495</v>
      </c>
      <c r="AI36" s="12"/>
    </row>
    <row r="37" spans="1:35" x14ac:dyDescent="0.25">
      <c r="A37">
        <v>93</v>
      </c>
      <c r="B37" t="s">
        <v>625</v>
      </c>
      <c r="C37" s="19">
        <v>23880</v>
      </c>
      <c r="D37" s="19">
        <v>5713.1422201380683</v>
      </c>
      <c r="E37" s="19">
        <v>45723</v>
      </c>
      <c r="F37" s="19">
        <v>75316.142220138077</v>
      </c>
      <c r="G37" s="19">
        <v>2808.487000000001</v>
      </c>
      <c r="H37" s="19">
        <v>1131.8756255845601</v>
      </c>
      <c r="I37" s="19">
        <v>1711.1999999999971</v>
      </c>
      <c r="J37" s="19">
        <v>5651.5626255845582</v>
      </c>
      <c r="K37" s="19">
        <v>26688.487000000001</v>
      </c>
      <c r="L37" s="19">
        <v>6845.0178457226284</v>
      </c>
      <c r="M37" s="19">
        <v>47434.2</v>
      </c>
      <c r="N37" s="19">
        <v>80967.704845722619</v>
      </c>
      <c r="P37">
        <v>93</v>
      </c>
      <c r="Q37">
        <v>1</v>
      </c>
      <c r="R37" t="s">
        <v>44</v>
      </c>
      <c r="S37" s="12">
        <v>23880</v>
      </c>
      <c r="T37" s="12">
        <v>5713.1422201380683</v>
      </c>
      <c r="U37" s="12">
        <v>45723</v>
      </c>
      <c r="V37" s="12">
        <v>75316.142220138077</v>
      </c>
      <c r="W37" s="12">
        <v>26688.487000000001</v>
      </c>
      <c r="X37" s="12">
        <v>6845.0178457226284</v>
      </c>
      <c r="Y37" s="12">
        <v>47434.2</v>
      </c>
      <c r="Z37" s="12">
        <v>80967.704845722619</v>
      </c>
      <c r="AA37" s="12">
        <v>2808.487000000001</v>
      </c>
      <c r="AB37" s="12">
        <v>1131.8756255845601</v>
      </c>
      <c r="AC37" s="12">
        <v>1711.1999999999971</v>
      </c>
      <c r="AD37" s="12">
        <v>5651.5626255845582</v>
      </c>
      <c r="AI37" s="12"/>
    </row>
    <row r="38" spans="1:35" x14ac:dyDescent="0.25">
      <c r="A38">
        <v>94</v>
      </c>
      <c r="B38" t="s">
        <v>626</v>
      </c>
      <c r="C38" s="19">
        <v>153000</v>
      </c>
      <c r="D38" s="19">
        <v>36250.433638630799</v>
      </c>
      <c r="E38" s="19">
        <v>256136</v>
      </c>
      <c r="F38" s="19">
        <v>445386.43363863078</v>
      </c>
      <c r="G38" s="19">
        <v>17994.075000000012</v>
      </c>
      <c r="H38" s="19">
        <v>7181.8590665935189</v>
      </c>
      <c r="I38" s="19">
        <v>12712.400000000023</v>
      </c>
      <c r="J38" s="19">
        <v>37888.334066593554</v>
      </c>
      <c r="K38" s="19">
        <v>170994.07500000001</v>
      </c>
      <c r="L38" s="19">
        <v>43432.292705224318</v>
      </c>
      <c r="M38" s="19">
        <v>268848.40000000002</v>
      </c>
      <c r="N38" s="19">
        <v>483274.76770522434</v>
      </c>
      <c r="P38">
        <v>94</v>
      </c>
      <c r="Q38">
        <v>1</v>
      </c>
      <c r="R38" t="s">
        <v>45</v>
      </c>
      <c r="S38" s="12">
        <v>153000</v>
      </c>
      <c r="T38" s="12">
        <v>36250.433638630799</v>
      </c>
      <c r="U38" s="12">
        <v>256136</v>
      </c>
      <c r="V38" s="12">
        <v>445386.43363863078</v>
      </c>
      <c r="W38" s="12">
        <v>170994.07500000001</v>
      </c>
      <c r="X38" s="12">
        <v>43432.292705224318</v>
      </c>
      <c r="Y38" s="12">
        <v>268848.40000000002</v>
      </c>
      <c r="Z38" s="12">
        <v>483274.76770522434</v>
      </c>
      <c r="AA38" s="12">
        <v>17994.075000000012</v>
      </c>
      <c r="AB38" s="12">
        <v>7181.8590665935189</v>
      </c>
      <c r="AC38" s="12">
        <v>12712.400000000023</v>
      </c>
      <c r="AD38" s="12">
        <v>37888.334066593554</v>
      </c>
      <c r="AI38" s="12"/>
    </row>
    <row r="39" spans="1:35" x14ac:dyDescent="0.25">
      <c r="A39">
        <v>95</v>
      </c>
      <c r="B39" t="s">
        <v>627</v>
      </c>
      <c r="C39" s="19">
        <v>18000</v>
      </c>
      <c r="D39" s="19">
        <v>3624.3325590662962</v>
      </c>
      <c r="E39" s="19">
        <v>40400</v>
      </c>
      <c r="F39" s="19">
        <v>62024.332559066301</v>
      </c>
      <c r="G39" s="19">
        <v>2116.9500000000007</v>
      </c>
      <c r="H39" s="19">
        <v>718.04508351982076</v>
      </c>
      <c r="I39" s="19">
        <v>2940</v>
      </c>
      <c r="J39" s="19">
        <v>5774.9950835198215</v>
      </c>
      <c r="K39" s="19">
        <v>20116.95</v>
      </c>
      <c r="L39" s="19">
        <v>4342.377642586117</v>
      </c>
      <c r="M39" s="19">
        <v>43340</v>
      </c>
      <c r="N39" s="19">
        <v>67799.327642586111</v>
      </c>
      <c r="P39">
        <v>95</v>
      </c>
      <c r="Q39">
        <v>1</v>
      </c>
      <c r="R39" t="s">
        <v>46</v>
      </c>
      <c r="S39" s="12">
        <v>18000</v>
      </c>
      <c r="T39" s="12">
        <v>3624.3325590662962</v>
      </c>
      <c r="U39" s="12">
        <v>40400</v>
      </c>
      <c r="V39" s="12">
        <v>62024.332559066301</v>
      </c>
      <c r="W39" s="12">
        <v>20116.95</v>
      </c>
      <c r="X39" s="12">
        <v>4342.377642586117</v>
      </c>
      <c r="Y39" s="12">
        <v>43340</v>
      </c>
      <c r="Z39" s="12">
        <v>67799.327642586111</v>
      </c>
      <c r="AA39" s="12">
        <v>2116.9500000000007</v>
      </c>
      <c r="AB39" s="12">
        <v>718.04508351982076</v>
      </c>
      <c r="AC39" s="12">
        <v>2940</v>
      </c>
      <c r="AD39" s="12">
        <v>5774.9950835198215</v>
      </c>
      <c r="AI39" s="12"/>
    </row>
    <row r="40" spans="1:35" x14ac:dyDescent="0.25">
      <c r="A40">
        <v>97</v>
      </c>
      <c r="B40" t="s">
        <v>628</v>
      </c>
      <c r="C40" s="19">
        <v>31200</v>
      </c>
      <c r="D40" s="19">
        <v>7499.6425615792305</v>
      </c>
      <c r="E40" s="19">
        <v>76359</v>
      </c>
      <c r="F40" s="19">
        <v>115058.64256157924</v>
      </c>
      <c r="G40" s="19">
        <v>3669.3799999999974</v>
      </c>
      <c r="H40" s="19">
        <v>1485.8132860979167</v>
      </c>
      <c r="I40" s="19">
        <v>3108.3999999999942</v>
      </c>
      <c r="J40" s="19">
        <v>8263.5932860979083</v>
      </c>
      <c r="K40" s="19">
        <v>34869.379999999997</v>
      </c>
      <c r="L40" s="19">
        <v>8985.4558476771472</v>
      </c>
      <c r="M40" s="19">
        <v>79467.399999999994</v>
      </c>
      <c r="N40" s="19">
        <v>123322.23584767713</v>
      </c>
      <c r="P40">
        <v>97</v>
      </c>
      <c r="Q40">
        <v>1</v>
      </c>
      <c r="R40" t="s">
        <v>47</v>
      </c>
      <c r="S40" s="12">
        <v>31200</v>
      </c>
      <c r="T40" s="12">
        <v>7499.6425615792305</v>
      </c>
      <c r="U40" s="12">
        <v>76359</v>
      </c>
      <c r="V40" s="12">
        <v>115058.64256157924</v>
      </c>
      <c r="W40" s="12">
        <v>34869.379999999997</v>
      </c>
      <c r="X40" s="12">
        <v>8985.4558476771472</v>
      </c>
      <c r="Y40" s="12">
        <v>79467.399999999994</v>
      </c>
      <c r="Z40" s="12">
        <v>123322.23584767713</v>
      </c>
      <c r="AA40" s="12">
        <v>3669.3799999999974</v>
      </c>
      <c r="AB40" s="12">
        <v>1485.8132860979167</v>
      </c>
      <c r="AC40" s="12">
        <v>3108.3999999999942</v>
      </c>
      <c r="AD40" s="12">
        <v>8263.5932860979083</v>
      </c>
      <c r="AI40" s="12"/>
    </row>
    <row r="41" spans="1:35" x14ac:dyDescent="0.25">
      <c r="A41">
        <v>99</v>
      </c>
      <c r="B41" t="s">
        <v>629</v>
      </c>
      <c r="C41" s="19">
        <v>48960</v>
      </c>
      <c r="D41" s="19">
        <v>7865.5410611967573</v>
      </c>
      <c r="E41" s="19">
        <v>89973</v>
      </c>
      <c r="F41" s="19">
        <v>146798.54106119677</v>
      </c>
      <c r="G41" s="19">
        <v>5758.1039999999994</v>
      </c>
      <c r="H41" s="19">
        <v>1558.3043211880658</v>
      </c>
      <c r="I41" s="19">
        <v>2460.8000000000029</v>
      </c>
      <c r="J41" s="19">
        <v>9777.2083211880672</v>
      </c>
      <c r="K41" s="19">
        <v>54718.103999999999</v>
      </c>
      <c r="L41" s="19">
        <v>9423.8453823848231</v>
      </c>
      <c r="M41" s="19">
        <v>92433.8</v>
      </c>
      <c r="N41" s="19">
        <v>156575.74938238482</v>
      </c>
      <c r="P41">
        <v>99</v>
      </c>
      <c r="Q41">
        <v>1</v>
      </c>
      <c r="R41" t="s">
        <v>48</v>
      </c>
      <c r="S41" s="12">
        <v>48960</v>
      </c>
      <c r="T41" s="12">
        <v>7865.5410611967573</v>
      </c>
      <c r="U41" s="12">
        <v>89973</v>
      </c>
      <c r="V41" s="12">
        <v>146798.54106119677</v>
      </c>
      <c r="W41" s="12">
        <v>54718.103999999999</v>
      </c>
      <c r="X41" s="12">
        <v>9423.8453823848231</v>
      </c>
      <c r="Y41" s="12">
        <v>92433.8</v>
      </c>
      <c r="Z41" s="12">
        <v>156575.74938238482</v>
      </c>
      <c r="AA41" s="12">
        <v>5758.1039999999994</v>
      </c>
      <c r="AB41" s="12">
        <v>1558.3043211880658</v>
      </c>
      <c r="AC41" s="12">
        <v>2460.8000000000029</v>
      </c>
      <c r="AD41" s="12">
        <v>9777.2083211880672</v>
      </c>
      <c r="AI41" s="12"/>
    </row>
    <row r="42" spans="1:35" x14ac:dyDescent="0.25">
      <c r="A42">
        <v>100</v>
      </c>
      <c r="B42" t="s">
        <v>630</v>
      </c>
      <c r="C42" s="19">
        <v>18000</v>
      </c>
      <c r="D42" s="19">
        <v>3709.5897517961876</v>
      </c>
      <c r="E42" s="19">
        <v>32148</v>
      </c>
      <c r="F42" s="19">
        <v>53857.589751796186</v>
      </c>
      <c r="G42" s="19">
        <v>2116.9500000000007</v>
      </c>
      <c r="H42" s="19">
        <v>734.93605781004226</v>
      </c>
      <c r="I42" s="19">
        <v>1625.5999999999985</v>
      </c>
      <c r="J42" s="19">
        <v>4477.4860578100415</v>
      </c>
      <c r="K42" s="19">
        <v>20116.95</v>
      </c>
      <c r="L42" s="19">
        <v>4444.5258096062298</v>
      </c>
      <c r="M42" s="19">
        <v>33773.599999999999</v>
      </c>
      <c r="N42" s="19">
        <v>58335.075809606227</v>
      </c>
      <c r="P42">
        <v>100</v>
      </c>
      <c r="Q42">
        <v>1</v>
      </c>
      <c r="R42" t="s">
        <v>49</v>
      </c>
      <c r="S42" s="12">
        <v>18000</v>
      </c>
      <c r="T42" s="12">
        <v>3709.5897517961876</v>
      </c>
      <c r="U42" s="12">
        <v>32148</v>
      </c>
      <c r="V42" s="12">
        <v>53857.589751796186</v>
      </c>
      <c r="W42" s="12">
        <v>20116.95</v>
      </c>
      <c r="X42" s="12">
        <v>4444.5258096062298</v>
      </c>
      <c r="Y42" s="12">
        <v>33773.599999999999</v>
      </c>
      <c r="Z42" s="12">
        <v>58335.075809606227</v>
      </c>
      <c r="AA42" s="12">
        <v>2116.9500000000007</v>
      </c>
      <c r="AB42" s="12">
        <v>734.93605781004226</v>
      </c>
      <c r="AC42" s="12">
        <v>1625.5999999999985</v>
      </c>
      <c r="AD42" s="12">
        <v>4477.4860578100415</v>
      </c>
      <c r="AI42" s="12"/>
    </row>
    <row r="43" spans="1:35" x14ac:dyDescent="0.25">
      <c r="A43">
        <v>108</v>
      </c>
      <c r="B43" t="s">
        <v>631</v>
      </c>
      <c r="C43" s="19">
        <v>62160</v>
      </c>
      <c r="D43" s="19">
        <v>11671.579946249549</v>
      </c>
      <c r="E43" s="19">
        <v>118163</v>
      </c>
      <c r="F43" s="19">
        <v>191994.57994624955</v>
      </c>
      <c r="G43" s="19">
        <v>7310.5339999999997</v>
      </c>
      <c r="H43" s="19">
        <v>2312.3486768201183</v>
      </c>
      <c r="I43" s="19">
        <v>2548.3999999999942</v>
      </c>
      <c r="J43" s="19">
        <v>12171.282676820112</v>
      </c>
      <c r="K43" s="19">
        <v>69470.534</v>
      </c>
      <c r="L43" s="19">
        <v>13983.928623069667</v>
      </c>
      <c r="M43" s="19">
        <v>120711.4</v>
      </c>
      <c r="N43" s="19">
        <v>204165.86262306967</v>
      </c>
      <c r="P43">
        <v>108</v>
      </c>
      <c r="Q43">
        <v>1</v>
      </c>
      <c r="R43" t="s">
        <v>50</v>
      </c>
      <c r="S43" s="12">
        <v>62160</v>
      </c>
      <c r="T43" s="12">
        <v>11671.579946249549</v>
      </c>
      <c r="U43" s="12">
        <v>118163</v>
      </c>
      <c r="V43" s="12">
        <v>191994.57994624955</v>
      </c>
      <c r="W43" s="12">
        <v>69470.534</v>
      </c>
      <c r="X43" s="12">
        <v>13983.928623069667</v>
      </c>
      <c r="Y43" s="12">
        <v>120711.4</v>
      </c>
      <c r="Z43" s="12">
        <v>204165.86262306967</v>
      </c>
      <c r="AA43" s="12">
        <v>7310.5339999999997</v>
      </c>
      <c r="AB43" s="12">
        <v>2312.3486768201183</v>
      </c>
      <c r="AC43" s="12">
        <v>2548.3999999999942</v>
      </c>
      <c r="AD43" s="12">
        <v>12171.282676820112</v>
      </c>
      <c r="AI43" s="12"/>
    </row>
    <row r="44" spans="1:35" x14ac:dyDescent="0.25">
      <c r="A44">
        <v>110</v>
      </c>
      <c r="B44" t="s">
        <v>632</v>
      </c>
      <c r="C44" s="19">
        <v>208800</v>
      </c>
      <c r="D44" s="19">
        <v>31728.5950818653</v>
      </c>
      <c r="E44" s="19">
        <v>407315</v>
      </c>
      <c r="F44" s="19">
        <v>647843.59508186532</v>
      </c>
      <c r="G44" s="19">
        <v>24556.619999999995</v>
      </c>
      <c r="H44" s="19">
        <v>6286.0019973977833</v>
      </c>
      <c r="I44" s="19">
        <v>8001.5999999999767</v>
      </c>
      <c r="J44" s="19">
        <v>38844.221997397755</v>
      </c>
      <c r="K44" s="19">
        <v>233356.62</v>
      </c>
      <c r="L44" s="19">
        <v>38014.597079263083</v>
      </c>
      <c r="M44" s="19">
        <v>415316.6</v>
      </c>
      <c r="N44" s="19">
        <v>686687.81707926304</v>
      </c>
      <c r="P44">
        <v>110</v>
      </c>
      <c r="Q44">
        <v>1</v>
      </c>
      <c r="R44" t="s">
        <v>51</v>
      </c>
      <c r="S44" s="12">
        <v>208800</v>
      </c>
      <c r="T44" s="12">
        <v>31728.5950818653</v>
      </c>
      <c r="U44" s="12">
        <v>407315</v>
      </c>
      <c r="V44" s="12">
        <v>647843.59508186532</v>
      </c>
      <c r="W44" s="12">
        <v>233356.62</v>
      </c>
      <c r="X44" s="12">
        <v>38014.597079263083</v>
      </c>
      <c r="Y44" s="12">
        <v>415316.6</v>
      </c>
      <c r="Z44" s="12">
        <v>686687.81707926304</v>
      </c>
      <c r="AA44" s="12">
        <v>24556.619999999995</v>
      </c>
      <c r="AB44" s="12">
        <v>6286.0019973977833</v>
      </c>
      <c r="AC44" s="12">
        <v>8001.5999999999767</v>
      </c>
      <c r="AD44" s="12">
        <v>38844.221997397755</v>
      </c>
      <c r="AI44" s="12"/>
    </row>
    <row r="45" spans="1:35" x14ac:dyDescent="0.25">
      <c r="A45">
        <v>111</v>
      </c>
      <c r="B45" t="s">
        <v>633</v>
      </c>
      <c r="C45" s="19">
        <v>91680</v>
      </c>
      <c r="D45" s="19">
        <v>18309.766927101657</v>
      </c>
      <c r="E45" s="19">
        <v>176848</v>
      </c>
      <c r="F45" s="19">
        <v>286837.76692710165</v>
      </c>
      <c r="G45" s="19">
        <v>10782.331999999995</v>
      </c>
      <c r="H45" s="19">
        <v>3627.4922094307403</v>
      </c>
      <c r="I45" s="19">
        <v>7605.6000000000058</v>
      </c>
      <c r="J45" s="19">
        <v>22015.424209430741</v>
      </c>
      <c r="K45" s="19">
        <v>102462.33199999999</v>
      </c>
      <c r="L45" s="19">
        <v>21937.259136532397</v>
      </c>
      <c r="M45" s="19">
        <v>184453.6</v>
      </c>
      <c r="N45" s="19">
        <v>308853.1911365324</v>
      </c>
      <c r="P45">
        <v>111</v>
      </c>
      <c r="Q45">
        <v>1</v>
      </c>
      <c r="R45" t="s">
        <v>52</v>
      </c>
      <c r="S45" s="12">
        <v>91680</v>
      </c>
      <c r="T45" s="12">
        <v>18309.766927101657</v>
      </c>
      <c r="U45" s="12">
        <v>176848</v>
      </c>
      <c r="V45" s="12">
        <v>286837.76692710165</v>
      </c>
      <c r="W45" s="12">
        <v>102462.33199999999</v>
      </c>
      <c r="X45" s="12">
        <v>21937.259136532397</v>
      </c>
      <c r="Y45" s="12">
        <v>184453.6</v>
      </c>
      <c r="Z45" s="12">
        <v>308853.1911365324</v>
      </c>
      <c r="AA45" s="12">
        <v>10782.331999999995</v>
      </c>
      <c r="AB45" s="12">
        <v>3627.4922094307403</v>
      </c>
      <c r="AC45" s="12">
        <v>7605.6000000000058</v>
      </c>
      <c r="AD45" s="12">
        <v>22015.424209430741</v>
      </c>
      <c r="AI45" s="12"/>
    </row>
    <row r="46" spans="1:35" x14ac:dyDescent="0.25">
      <c r="A46">
        <v>112</v>
      </c>
      <c r="B46" t="s">
        <v>634</v>
      </c>
      <c r="C46" s="19">
        <v>538800</v>
      </c>
      <c r="D46" s="19">
        <v>89204.608517338915</v>
      </c>
      <c r="E46" s="19">
        <v>1055734</v>
      </c>
      <c r="F46" s="19">
        <v>1683738.608517339</v>
      </c>
      <c r="G46" s="19">
        <v>63367.369999999995</v>
      </c>
      <c r="H46" s="19">
        <v>17673.027938056257</v>
      </c>
      <c r="I46" s="19">
        <v>21244</v>
      </c>
      <c r="J46" s="19">
        <v>102284.39793805625</v>
      </c>
      <c r="K46" s="19">
        <v>602167.37</v>
      </c>
      <c r="L46" s="19">
        <v>106877.63645539517</v>
      </c>
      <c r="M46" s="19">
        <v>1076978</v>
      </c>
      <c r="N46" s="19">
        <v>1786023.0064553951</v>
      </c>
      <c r="P46">
        <v>112</v>
      </c>
      <c r="Q46">
        <v>1</v>
      </c>
      <c r="R46" t="s">
        <v>53</v>
      </c>
      <c r="S46" s="12">
        <v>538800</v>
      </c>
      <c r="T46" s="12">
        <v>89204.608517338915</v>
      </c>
      <c r="U46" s="12">
        <v>1055734</v>
      </c>
      <c r="V46" s="12">
        <v>1683738.608517339</v>
      </c>
      <c r="W46" s="12">
        <v>602167.37</v>
      </c>
      <c r="X46" s="12">
        <v>106877.63645539517</v>
      </c>
      <c r="Y46" s="12">
        <v>1076978</v>
      </c>
      <c r="Z46" s="12">
        <v>1786023.0064553951</v>
      </c>
      <c r="AA46" s="12">
        <v>63367.369999999995</v>
      </c>
      <c r="AB46" s="12">
        <v>17673.027938056257</v>
      </c>
      <c r="AC46" s="12">
        <v>21244</v>
      </c>
      <c r="AD46" s="12">
        <v>102284.39793805625</v>
      </c>
      <c r="AI46" s="12"/>
    </row>
    <row r="47" spans="1:35" x14ac:dyDescent="0.25">
      <c r="A47">
        <v>113</v>
      </c>
      <c r="B47" t="s">
        <v>635</v>
      </c>
      <c r="C47" s="19">
        <v>38880</v>
      </c>
      <c r="D47" s="19">
        <v>10804.791923014976</v>
      </c>
      <c r="E47" s="19">
        <v>81012</v>
      </c>
      <c r="F47" s="19">
        <v>130696.79192301497</v>
      </c>
      <c r="G47" s="19">
        <v>4572.612000000001</v>
      </c>
      <c r="H47" s="19">
        <v>2140.6224711272862</v>
      </c>
      <c r="I47" s="19">
        <v>3444.8000000000029</v>
      </c>
      <c r="J47" s="19">
        <v>10158.03447112729</v>
      </c>
      <c r="K47" s="19">
        <v>43452.612000000001</v>
      </c>
      <c r="L47" s="19">
        <v>12945.414394142263</v>
      </c>
      <c r="M47" s="19">
        <v>84456.8</v>
      </c>
      <c r="N47" s="19">
        <v>140854.82639414226</v>
      </c>
      <c r="P47">
        <v>113</v>
      </c>
      <c r="Q47">
        <v>1</v>
      </c>
      <c r="R47" t="s">
        <v>54</v>
      </c>
      <c r="S47" s="12">
        <v>38880</v>
      </c>
      <c r="T47" s="12">
        <v>10804.791923014976</v>
      </c>
      <c r="U47" s="12">
        <v>81012</v>
      </c>
      <c r="V47" s="12">
        <v>130696.79192301497</v>
      </c>
      <c r="W47" s="12">
        <v>43452.612000000001</v>
      </c>
      <c r="X47" s="12">
        <v>12945.414394142263</v>
      </c>
      <c r="Y47" s="12">
        <v>84456.8</v>
      </c>
      <c r="Z47" s="12">
        <v>140854.82639414226</v>
      </c>
      <c r="AA47" s="12">
        <v>4572.612000000001</v>
      </c>
      <c r="AB47" s="12">
        <v>2140.6224711272862</v>
      </c>
      <c r="AC47" s="12">
        <v>3444.8000000000029</v>
      </c>
      <c r="AD47" s="12">
        <v>10158.03447112729</v>
      </c>
      <c r="AI47" s="12"/>
    </row>
    <row r="48" spans="1:35" x14ac:dyDescent="0.25">
      <c r="A48">
        <v>115</v>
      </c>
      <c r="B48" t="s">
        <v>636</v>
      </c>
      <c r="C48" s="19">
        <v>65400</v>
      </c>
      <c r="D48" s="19">
        <v>23705.31836839722</v>
      </c>
      <c r="E48" s="19">
        <v>146424</v>
      </c>
      <c r="F48" s="19">
        <v>235529.31836839722</v>
      </c>
      <c r="G48" s="19">
        <v>7691.5850000000064</v>
      </c>
      <c r="H48" s="19">
        <v>4696.4474231594322</v>
      </c>
      <c r="I48" s="19">
        <v>2597.6000000000058</v>
      </c>
      <c r="J48" s="19">
        <v>14985.632423159444</v>
      </c>
      <c r="K48" s="19">
        <v>73091.585000000006</v>
      </c>
      <c r="L48" s="19">
        <v>28401.765791556652</v>
      </c>
      <c r="M48" s="19">
        <v>149021.6</v>
      </c>
      <c r="N48" s="19">
        <v>250514.95079155668</v>
      </c>
      <c r="P48">
        <v>115</v>
      </c>
      <c r="Q48">
        <v>1</v>
      </c>
      <c r="R48" t="s">
        <v>55</v>
      </c>
      <c r="S48" s="12">
        <v>65400</v>
      </c>
      <c r="T48" s="12">
        <v>23705.31836839722</v>
      </c>
      <c r="U48" s="12">
        <v>146424</v>
      </c>
      <c r="V48" s="12">
        <v>235529.31836839722</v>
      </c>
      <c r="W48" s="12">
        <v>73091.585000000006</v>
      </c>
      <c r="X48" s="12">
        <v>28401.765791556652</v>
      </c>
      <c r="Y48" s="12">
        <v>149021.6</v>
      </c>
      <c r="Z48" s="12">
        <v>250514.95079155668</v>
      </c>
      <c r="AA48" s="12">
        <v>7691.5850000000064</v>
      </c>
      <c r="AB48" s="12">
        <v>4696.4474231594322</v>
      </c>
      <c r="AC48" s="12">
        <v>2597.6000000000058</v>
      </c>
      <c r="AD48" s="12">
        <v>14985.632423159444</v>
      </c>
      <c r="AI48" s="12"/>
    </row>
    <row r="49" spans="1:35" x14ac:dyDescent="0.25">
      <c r="A49">
        <v>116</v>
      </c>
      <c r="B49" t="s">
        <v>637</v>
      </c>
      <c r="C49" s="19">
        <v>42360</v>
      </c>
      <c r="D49" s="19">
        <v>13198.041630269818</v>
      </c>
      <c r="E49" s="19">
        <v>111469</v>
      </c>
      <c r="F49" s="19">
        <v>167027.04163026981</v>
      </c>
      <c r="G49" s="19">
        <v>4981.8890000000029</v>
      </c>
      <c r="H49" s="19">
        <v>2614.7680297711377</v>
      </c>
      <c r="I49" s="19">
        <v>8225.6000000000058</v>
      </c>
      <c r="J49" s="19">
        <v>15822.257029771146</v>
      </c>
      <c r="K49" s="19">
        <v>47341.889000000003</v>
      </c>
      <c r="L49" s="19">
        <v>15812.809660040955</v>
      </c>
      <c r="M49" s="19">
        <v>119694.6</v>
      </c>
      <c r="N49" s="19">
        <v>182849.29866004095</v>
      </c>
      <c r="P49">
        <v>116</v>
      </c>
      <c r="Q49">
        <v>1</v>
      </c>
      <c r="R49" t="s">
        <v>56</v>
      </c>
      <c r="S49" s="12">
        <v>42360</v>
      </c>
      <c r="T49" s="12">
        <v>13198.041630269818</v>
      </c>
      <c r="U49" s="12">
        <v>111469</v>
      </c>
      <c r="V49" s="12">
        <v>167027.04163026981</v>
      </c>
      <c r="W49" s="12">
        <v>47341.889000000003</v>
      </c>
      <c r="X49" s="12">
        <v>15812.809660040955</v>
      </c>
      <c r="Y49" s="12">
        <v>119694.6</v>
      </c>
      <c r="Z49" s="12">
        <v>182849.29866004095</v>
      </c>
      <c r="AA49" s="12">
        <v>4981.8890000000029</v>
      </c>
      <c r="AB49" s="12">
        <v>2614.7680297711377</v>
      </c>
      <c r="AC49" s="12">
        <v>8225.6000000000058</v>
      </c>
      <c r="AD49" s="12">
        <v>15822.257029771146</v>
      </c>
      <c r="AI49" s="12"/>
    </row>
    <row r="50" spans="1:35" x14ac:dyDescent="0.25">
      <c r="A50">
        <v>118</v>
      </c>
      <c r="B50" t="s">
        <v>638</v>
      </c>
      <c r="C50" s="19">
        <v>21480</v>
      </c>
      <c r="D50" s="19">
        <v>6843.8696066800749</v>
      </c>
      <c r="E50" s="19">
        <v>43468</v>
      </c>
      <c r="F50" s="19">
        <v>71791.869606680077</v>
      </c>
      <c r="G50" s="19">
        <v>2526.226999999999</v>
      </c>
      <c r="H50" s="19">
        <v>1355.8929384210151</v>
      </c>
      <c r="I50" s="19">
        <v>1136</v>
      </c>
      <c r="J50" s="19">
        <v>5018.119938421014</v>
      </c>
      <c r="K50" s="19">
        <v>24006.226999999999</v>
      </c>
      <c r="L50" s="19">
        <v>8199.7625451010899</v>
      </c>
      <c r="M50" s="19">
        <v>44604</v>
      </c>
      <c r="N50" s="19">
        <v>76809.989545101096</v>
      </c>
      <c r="P50">
        <v>118</v>
      </c>
      <c r="Q50">
        <v>1</v>
      </c>
      <c r="R50" t="s">
        <v>57</v>
      </c>
      <c r="S50" s="12">
        <v>21480</v>
      </c>
      <c r="T50" s="12">
        <v>6843.8696066800749</v>
      </c>
      <c r="U50" s="12">
        <v>43468</v>
      </c>
      <c r="V50" s="12">
        <v>71791.869606680077</v>
      </c>
      <c r="W50" s="12">
        <v>24006.226999999999</v>
      </c>
      <c r="X50" s="12">
        <v>8199.7625451010899</v>
      </c>
      <c r="Y50" s="12">
        <v>44604</v>
      </c>
      <c r="Z50" s="12">
        <v>76809.989545101096</v>
      </c>
      <c r="AA50" s="12">
        <v>2526.226999999999</v>
      </c>
      <c r="AB50" s="12">
        <v>1355.8929384210151</v>
      </c>
      <c r="AC50" s="12">
        <v>1136</v>
      </c>
      <c r="AD50" s="12">
        <v>5018.119938421014</v>
      </c>
      <c r="AI50" s="12"/>
    </row>
    <row r="51" spans="1:35" x14ac:dyDescent="0.25">
      <c r="A51">
        <v>129</v>
      </c>
      <c r="B51" t="s">
        <v>639</v>
      </c>
      <c r="C51" s="19">
        <v>60240</v>
      </c>
      <c r="D51" s="19">
        <v>16280.101806239543</v>
      </c>
      <c r="E51" s="19">
        <v>183905</v>
      </c>
      <c r="F51" s="19">
        <v>260425.10180623955</v>
      </c>
      <c r="G51" s="19">
        <v>7084.7259999999951</v>
      </c>
      <c r="H51" s="19">
        <v>3225.3792582941151</v>
      </c>
      <c r="I51" s="19">
        <v>9071.2000000000116</v>
      </c>
      <c r="J51" s="19">
        <v>19381.305258294124</v>
      </c>
      <c r="K51" s="19">
        <v>67324.725999999995</v>
      </c>
      <c r="L51" s="19">
        <v>19505.481064533658</v>
      </c>
      <c r="M51" s="19">
        <v>192976.2</v>
      </c>
      <c r="N51" s="19">
        <v>279806.40706453368</v>
      </c>
      <c r="P51">
        <v>129</v>
      </c>
      <c r="Q51">
        <v>1</v>
      </c>
      <c r="R51" t="s">
        <v>58</v>
      </c>
      <c r="S51" s="12">
        <v>60240</v>
      </c>
      <c r="T51" s="12">
        <v>16280.101806239543</v>
      </c>
      <c r="U51" s="12">
        <v>183905</v>
      </c>
      <c r="V51" s="12">
        <v>260425.10180623955</v>
      </c>
      <c r="W51" s="12">
        <v>67324.725999999995</v>
      </c>
      <c r="X51" s="12">
        <v>19505.481064533658</v>
      </c>
      <c r="Y51" s="12">
        <v>192976.2</v>
      </c>
      <c r="Z51" s="12">
        <v>279806.40706453368</v>
      </c>
      <c r="AA51" s="12">
        <v>7084.7259999999951</v>
      </c>
      <c r="AB51" s="12">
        <v>3225.3792582941151</v>
      </c>
      <c r="AC51" s="12">
        <v>9071.2000000000116</v>
      </c>
      <c r="AD51" s="12">
        <v>19381.305258294124</v>
      </c>
      <c r="AI51" s="12"/>
    </row>
    <row r="52" spans="1:35" x14ac:dyDescent="0.25">
      <c r="A52">
        <v>138</v>
      </c>
      <c r="B52" t="s">
        <v>640</v>
      </c>
      <c r="C52" s="19">
        <v>171600</v>
      </c>
      <c r="D52" s="19">
        <v>35755.586799705357</v>
      </c>
      <c r="E52" s="19">
        <v>244143</v>
      </c>
      <c r="F52" s="19">
        <v>451498.58679970534</v>
      </c>
      <c r="G52" s="19">
        <v>20181.589999999997</v>
      </c>
      <c r="H52" s="19">
        <v>7083.8210598722872</v>
      </c>
      <c r="I52" s="19">
        <v>13137.600000000006</v>
      </c>
      <c r="J52" s="19">
        <v>40403.011059872289</v>
      </c>
      <c r="K52" s="19">
        <v>191781.59</v>
      </c>
      <c r="L52" s="19">
        <v>42839.407859577645</v>
      </c>
      <c r="M52" s="19">
        <v>257280.6</v>
      </c>
      <c r="N52" s="19">
        <v>491901.59785957763</v>
      </c>
      <c r="P52">
        <v>138</v>
      </c>
      <c r="Q52">
        <v>1</v>
      </c>
      <c r="R52" t="s">
        <v>59</v>
      </c>
      <c r="S52" s="12">
        <v>171600</v>
      </c>
      <c r="T52" s="12">
        <v>35755.586799705357</v>
      </c>
      <c r="U52" s="12">
        <v>244143</v>
      </c>
      <c r="V52" s="12">
        <v>451498.58679970534</v>
      </c>
      <c r="W52" s="12">
        <v>191781.59</v>
      </c>
      <c r="X52" s="12">
        <v>42839.407859577645</v>
      </c>
      <c r="Y52" s="12">
        <v>257280.6</v>
      </c>
      <c r="Z52" s="12">
        <v>491901.59785957763</v>
      </c>
      <c r="AA52" s="12">
        <v>20181.589999999997</v>
      </c>
      <c r="AB52" s="12">
        <v>7083.8210598722872</v>
      </c>
      <c r="AC52" s="12">
        <v>13137.600000000006</v>
      </c>
      <c r="AD52" s="12">
        <v>40403.011059872289</v>
      </c>
      <c r="AI52" s="12"/>
    </row>
    <row r="53" spans="1:35" x14ac:dyDescent="0.25">
      <c r="A53">
        <v>139</v>
      </c>
      <c r="B53" t="s">
        <v>641</v>
      </c>
      <c r="C53" s="19">
        <v>40800</v>
      </c>
      <c r="D53" s="19">
        <v>10652.216778831365</v>
      </c>
      <c r="E53" s="19">
        <v>90614</v>
      </c>
      <c r="F53" s="19">
        <v>142066.21677883138</v>
      </c>
      <c r="G53" s="19">
        <v>4798.4199999999983</v>
      </c>
      <c r="H53" s="19">
        <v>2110.3946069997746</v>
      </c>
      <c r="I53" s="19">
        <v>4394.3999999999942</v>
      </c>
      <c r="J53" s="19">
        <v>11303.214606999767</v>
      </c>
      <c r="K53" s="19">
        <v>45598.42</v>
      </c>
      <c r="L53" s="19">
        <v>12762.61138583114</v>
      </c>
      <c r="M53" s="19">
        <v>95008.4</v>
      </c>
      <c r="N53" s="19">
        <v>153369.43138583115</v>
      </c>
      <c r="P53">
        <v>139</v>
      </c>
      <c r="Q53">
        <v>1</v>
      </c>
      <c r="R53" t="s">
        <v>60</v>
      </c>
      <c r="S53" s="12">
        <v>40800</v>
      </c>
      <c r="T53" s="12">
        <v>10652.216778831365</v>
      </c>
      <c r="U53" s="12">
        <v>90614</v>
      </c>
      <c r="V53" s="12">
        <v>142066.21677883138</v>
      </c>
      <c r="W53" s="12">
        <v>45598.42</v>
      </c>
      <c r="X53" s="12">
        <v>12762.61138583114</v>
      </c>
      <c r="Y53" s="12">
        <v>95008.4</v>
      </c>
      <c r="Z53" s="12">
        <v>153369.43138583115</v>
      </c>
      <c r="AA53" s="12">
        <v>4798.4199999999983</v>
      </c>
      <c r="AB53" s="12">
        <v>2110.3946069997746</v>
      </c>
      <c r="AC53" s="12">
        <v>4394.3999999999942</v>
      </c>
      <c r="AD53" s="12">
        <v>11303.214606999767</v>
      </c>
      <c r="AI53" s="12"/>
    </row>
    <row r="54" spans="1:35" x14ac:dyDescent="0.25">
      <c r="A54">
        <v>146</v>
      </c>
      <c r="B54" t="s">
        <v>642</v>
      </c>
      <c r="C54" s="19">
        <v>27840</v>
      </c>
      <c r="D54" s="19">
        <v>6638.1869808521078</v>
      </c>
      <c r="E54" s="19">
        <v>105744</v>
      </c>
      <c r="F54" s="19">
        <v>140222.1869808521</v>
      </c>
      <c r="G54" s="19">
        <v>3274.2160000000003</v>
      </c>
      <c r="H54" s="19">
        <v>1315.1435326106212</v>
      </c>
      <c r="I54" s="19">
        <v>3476.8000000000029</v>
      </c>
      <c r="J54" s="19">
        <v>8066.1595326106244</v>
      </c>
      <c r="K54" s="19">
        <v>31114.216</v>
      </c>
      <c r="L54" s="19">
        <v>7953.330513462729</v>
      </c>
      <c r="M54" s="19">
        <v>109220.8</v>
      </c>
      <c r="N54" s="19">
        <v>148288.34651346272</v>
      </c>
      <c r="P54">
        <v>146</v>
      </c>
      <c r="Q54">
        <v>1</v>
      </c>
      <c r="R54" t="s">
        <v>61</v>
      </c>
      <c r="S54" s="12">
        <v>27840</v>
      </c>
      <c r="T54" s="12">
        <v>6638.1869808521078</v>
      </c>
      <c r="U54" s="12">
        <v>105744</v>
      </c>
      <c r="V54" s="12">
        <v>140222.1869808521</v>
      </c>
      <c r="W54" s="12">
        <v>31114.216</v>
      </c>
      <c r="X54" s="12">
        <v>7953.330513462729</v>
      </c>
      <c r="Y54" s="12">
        <v>109220.8</v>
      </c>
      <c r="Z54" s="12">
        <v>148288.34651346272</v>
      </c>
      <c r="AA54" s="12">
        <v>3274.2160000000003</v>
      </c>
      <c r="AB54" s="12">
        <v>1315.1435326106212</v>
      </c>
      <c r="AC54" s="12">
        <v>3476.8000000000029</v>
      </c>
      <c r="AD54" s="12">
        <v>8066.1595326106244</v>
      </c>
      <c r="AI54" s="12"/>
    </row>
    <row r="55" spans="1:35" x14ac:dyDescent="0.25">
      <c r="A55">
        <v>150</v>
      </c>
      <c r="B55" t="s">
        <v>643</v>
      </c>
      <c r="C55" s="19">
        <v>29400</v>
      </c>
      <c r="D55" s="19">
        <v>6452.396762306731</v>
      </c>
      <c r="E55" s="19">
        <v>124833</v>
      </c>
      <c r="F55" s="19">
        <v>160685.39676230674</v>
      </c>
      <c r="G55" s="19">
        <v>3457.6849999999977</v>
      </c>
      <c r="H55" s="19">
        <v>1278.3351683619085</v>
      </c>
      <c r="I55" s="19">
        <v>3134</v>
      </c>
      <c r="J55" s="19">
        <v>7870.0201683619061</v>
      </c>
      <c r="K55" s="19">
        <v>32857.684999999998</v>
      </c>
      <c r="L55" s="19">
        <v>7730.7319306686395</v>
      </c>
      <c r="M55" s="19">
        <v>127967</v>
      </c>
      <c r="N55" s="19">
        <v>168555.41693066864</v>
      </c>
      <c r="P55">
        <v>150</v>
      </c>
      <c r="Q55">
        <v>1</v>
      </c>
      <c r="R55" t="s">
        <v>62</v>
      </c>
      <c r="S55" s="12">
        <v>29400</v>
      </c>
      <c r="T55" s="12">
        <v>6452.396762306731</v>
      </c>
      <c r="U55" s="12">
        <v>124833</v>
      </c>
      <c r="V55" s="12">
        <v>160685.39676230674</v>
      </c>
      <c r="W55" s="12">
        <v>32857.684999999998</v>
      </c>
      <c r="X55" s="12">
        <v>7730.7319306686395</v>
      </c>
      <c r="Y55" s="12">
        <v>127967</v>
      </c>
      <c r="Z55" s="12">
        <v>168555.41693066864</v>
      </c>
      <c r="AA55" s="12">
        <v>3457.6849999999977</v>
      </c>
      <c r="AB55" s="12">
        <v>1278.3351683619085</v>
      </c>
      <c r="AC55" s="12">
        <v>3134</v>
      </c>
      <c r="AD55" s="12">
        <v>7870.0201683619061</v>
      </c>
      <c r="AI55" s="12"/>
    </row>
    <row r="56" spans="1:35" x14ac:dyDescent="0.25">
      <c r="A56">
        <v>152</v>
      </c>
      <c r="B56" t="s">
        <v>644</v>
      </c>
      <c r="C56" s="19">
        <v>266400</v>
      </c>
      <c r="D56" s="19">
        <v>68530.351065314317</v>
      </c>
      <c r="E56" s="19">
        <v>605754</v>
      </c>
      <c r="F56" s="19">
        <v>940684.35106531437</v>
      </c>
      <c r="G56" s="19">
        <v>31330.859999999986</v>
      </c>
      <c r="H56" s="19">
        <v>13577.087878219783</v>
      </c>
      <c r="I56" s="19">
        <v>16093.599999999977</v>
      </c>
      <c r="J56" s="19">
        <v>61001.547878219746</v>
      </c>
      <c r="K56" s="19">
        <v>297730.86</v>
      </c>
      <c r="L56" s="19">
        <v>82107.4389435341</v>
      </c>
      <c r="M56" s="19">
        <v>621847.6</v>
      </c>
      <c r="N56" s="19">
        <v>1001685.8989435341</v>
      </c>
      <c r="P56">
        <v>152</v>
      </c>
      <c r="Q56">
        <v>1</v>
      </c>
      <c r="R56" t="s">
        <v>63</v>
      </c>
      <c r="S56" s="12">
        <v>266400</v>
      </c>
      <c r="T56" s="12">
        <v>68530.351065314317</v>
      </c>
      <c r="U56" s="12">
        <v>605754</v>
      </c>
      <c r="V56" s="12">
        <v>940684.35106531437</v>
      </c>
      <c r="W56" s="12">
        <v>297730.86</v>
      </c>
      <c r="X56" s="12">
        <v>82107.4389435341</v>
      </c>
      <c r="Y56" s="12">
        <v>621847.6</v>
      </c>
      <c r="Z56" s="12">
        <v>1001685.8989435341</v>
      </c>
      <c r="AA56" s="12">
        <v>31330.859999999986</v>
      </c>
      <c r="AB56" s="12">
        <v>13577.087878219783</v>
      </c>
      <c r="AC56" s="12">
        <v>16093.599999999977</v>
      </c>
      <c r="AD56" s="12">
        <v>61001.547878219746</v>
      </c>
      <c r="AI56" s="12"/>
    </row>
    <row r="57" spans="1:35" x14ac:dyDescent="0.25">
      <c r="A57">
        <v>5000</v>
      </c>
      <c r="B57" t="s">
        <v>645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P57">
        <v>162</v>
      </c>
      <c r="Q57">
        <v>1</v>
      </c>
      <c r="R57" t="s">
        <v>64</v>
      </c>
      <c r="S57" s="12">
        <v>54360</v>
      </c>
      <c r="T57" s="12">
        <v>16854.701460967688</v>
      </c>
      <c r="U57" s="12">
        <v>125986</v>
      </c>
      <c r="V57" s="12">
        <v>197200.70146096768</v>
      </c>
      <c r="W57" s="12">
        <v>60753.188999999998</v>
      </c>
      <c r="X57" s="12">
        <v>20193.919184784962</v>
      </c>
      <c r="Y57" s="12">
        <v>131402.79999999999</v>
      </c>
      <c r="Z57" s="12">
        <v>212349.90818478493</v>
      </c>
      <c r="AA57" s="12">
        <v>6393.1889999999985</v>
      </c>
      <c r="AB57" s="12">
        <v>3339.2177238172735</v>
      </c>
      <c r="AC57" s="12">
        <v>5416.7999999999884</v>
      </c>
      <c r="AD57" s="12">
        <v>15149.20672381726</v>
      </c>
      <c r="AI57" s="12"/>
    </row>
    <row r="58" spans="1:35" x14ac:dyDescent="0.25">
      <c r="A58">
        <v>5000</v>
      </c>
      <c r="B58" t="s">
        <v>646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P58">
        <v>166</v>
      </c>
      <c r="Q58">
        <v>1</v>
      </c>
      <c r="R58" t="s">
        <v>65</v>
      </c>
      <c r="S58" s="12">
        <v>23880</v>
      </c>
      <c r="T58" s="12">
        <v>6116.3396866762414</v>
      </c>
      <c r="U58" s="12">
        <v>36104</v>
      </c>
      <c r="V58" s="12">
        <v>66100.339686676249</v>
      </c>
      <c r="W58" s="12">
        <v>26688.487000000001</v>
      </c>
      <c r="X58" s="12">
        <v>7328.0959396086328</v>
      </c>
      <c r="Y58" s="12">
        <v>37823.199999999997</v>
      </c>
      <c r="Z58" s="12">
        <v>71839.782939608631</v>
      </c>
      <c r="AA58" s="12">
        <v>2808.487000000001</v>
      </c>
      <c r="AB58" s="12">
        <v>1211.7562529323914</v>
      </c>
      <c r="AC58" s="12">
        <v>1719.1999999999971</v>
      </c>
      <c r="AD58" s="12">
        <v>5739.4432529323894</v>
      </c>
      <c r="AI58" s="12"/>
    </row>
    <row r="59" spans="1:35" x14ac:dyDescent="0.25">
      <c r="A59">
        <v>162</v>
      </c>
      <c r="B59" t="s">
        <v>647</v>
      </c>
      <c r="C59" s="19">
        <v>54360</v>
      </c>
      <c r="D59" s="19">
        <v>16854.701460967688</v>
      </c>
      <c r="E59" s="19">
        <v>125986</v>
      </c>
      <c r="F59" s="19">
        <v>197200.70146096768</v>
      </c>
      <c r="G59" s="19">
        <v>6393.1889999999985</v>
      </c>
      <c r="H59" s="19">
        <v>3339.2177238172735</v>
      </c>
      <c r="I59" s="19">
        <v>5416.7999999999884</v>
      </c>
      <c r="J59" s="19">
        <v>15149.20672381726</v>
      </c>
      <c r="K59" s="19">
        <v>60753.188999999998</v>
      </c>
      <c r="L59" s="19">
        <v>20193.919184784962</v>
      </c>
      <c r="M59" s="19">
        <v>131402.79999999999</v>
      </c>
      <c r="N59" s="19">
        <v>212349.90818478493</v>
      </c>
      <c r="P59">
        <v>173</v>
      </c>
      <c r="Q59">
        <v>1</v>
      </c>
      <c r="R59" t="s">
        <v>66</v>
      </c>
      <c r="S59" s="12">
        <v>29400</v>
      </c>
      <c r="T59" s="12">
        <v>7517.9369239474763</v>
      </c>
      <c r="U59" s="12">
        <v>66195</v>
      </c>
      <c r="V59" s="12">
        <v>103112.93692394748</v>
      </c>
      <c r="W59" s="12">
        <v>32857.684999999998</v>
      </c>
      <c r="X59" s="12">
        <v>9007.3746503362781</v>
      </c>
      <c r="Y59" s="12">
        <v>70533</v>
      </c>
      <c r="Z59" s="12">
        <v>112398.05965033628</v>
      </c>
      <c r="AA59" s="12">
        <v>3457.6849999999977</v>
      </c>
      <c r="AB59" s="12">
        <v>1489.4377263888018</v>
      </c>
      <c r="AC59" s="12">
        <v>4338</v>
      </c>
      <c r="AD59" s="12">
        <v>9285.1227263887995</v>
      </c>
      <c r="AI59" s="12"/>
    </row>
    <row r="60" spans="1:35" x14ac:dyDescent="0.25">
      <c r="A60">
        <v>166</v>
      </c>
      <c r="B60" t="s">
        <v>648</v>
      </c>
      <c r="C60" s="19">
        <v>23880</v>
      </c>
      <c r="D60" s="19">
        <v>6116.3396866762414</v>
      </c>
      <c r="E60" s="19">
        <v>36104</v>
      </c>
      <c r="F60" s="19">
        <v>66100.339686676249</v>
      </c>
      <c r="G60" s="19">
        <v>2808.487000000001</v>
      </c>
      <c r="H60" s="19">
        <v>1211.7562529323914</v>
      </c>
      <c r="I60" s="19">
        <v>1719.1999999999971</v>
      </c>
      <c r="J60" s="19">
        <v>5739.4432529323894</v>
      </c>
      <c r="K60" s="19">
        <v>26688.487000000001</v>
      </c>
      <c r="L60" s="19">
        <v>7328.0959396086328</v>
      </c>
      <c r="M60" s="19">
        <v>37823.199999999997</v>
      </c>
      <c r="N60" s="19">
        <v>71839.782939608631</v>
      </c>
      <c r="P60">
        <v>177</v>
      </c>
      <c r="Q60">
        <v>1</v>
      </c>
      <c r="R60" t="s">
        <v>67</v>
      </c>
      <c r="S60" s="12">
        <v>44040</v>
      </c>
      <c r="T60" s="12">
        <v>13114.204921908233</v>
      </c>
      <c r="U60" s="12">
        <v>131890</v>
      </c>
      <c r="V60" s="12">
        <v>189044.20492190824</v>
      </c>
      <c r="W60" s="12">
        <v>49219.470999999998</v>
      </c>
      <c r="X60" s="12">
        <v>15712.363400740969</v>
      </c>
      <c r="Y60" s="12">
        <v>138952</v>
      </c>
      <c r="Z60" s="12">
        <v>203883.83440074098</v>
      </c>
      <c r="AA60" s="12">
        <v>5179.4709999999977</v>
      </c>
      <c r="AB60" s="12">
        <v>2598.1584788327364</v>
      </c>
      <c r="AC60" s="12">
        <v>7062</v>
      </c>
      <c r="AD60" s="12">
        <v>14839.629478832734</v>
      </c>
      <c r="AI60" s="12"/>
    </row>
    <row r="61" spans="1:35" x14ac:dyDescent="0.25">
      <c r="A61">
        <v>173</v>
      </c>
      <c r="B61" t="s">
        <v>649</v>
      </c>
      <c r="C61" s="19">
        <v>29400</v>
      </c>
      <c r="D61" s="19">
        <v>7517.9369239474763</v>
      </c>
      <c r="E61" s="19">
        <v>66195</v>
      </c>
      <c r="F61" s="19">
        <v>103112.93692394748</v>
      </c>
      <c r="G61" s="19">
        <v>3457.6849999999977</v>
      </c>
      <c r="H61" s="19">
        <v>1489.4377263888018</v>
      </c>
      <c r="I61" s="19">
        <v>4338</v>
      </c>
      <c r="J61" s="19">
        <v>9285.1227263887995</v>
      </c>
      <c r="K61" s="19">
        <v>32857.684999999998</v>
      </c>
      <c r="L61" s="19">
        <v>9007.3746503362781</v>
      </c>
      <c r="M61" s="19">
        <v>70533</v>
      </c>
      <c r="N61" s="19">
        <v>112398.05965033628</v>
      </c>
      <c r="P61">
        <v>181</v>
      </c>
      <c r="Q61">
        <v>1</v>
      </c>
      <c r="R61" t="s">
        <v>68</v>
      </c>
      <c r="S61" s="12">
        <v>373560</v>
      </c>
      <c r="T61" s="12">
        <v>95010.631781433913</v>
      </c>
      <c r="U61" s="12">
        <v>773778</v>
      </c>
      <c r="V61" s="12">
        <v>1242348.6317814339</v>
      </c>
      <c r="W61" s="12">
        <v>417493.76899999997</v>
      </c>
      <c r="X61" s="12">
        <v>113833.93674060854</v>
      </c>
      <c r="Y61" s="12">
        <v>813348.4</v>
      </c>
      <c r="Z61" s="12">
        <v>1344676.1057406086</v>
      </c>
      <c r="AA61" s="12">
        <v>43933.768999999971</v>
      </c>
      <c r="AB61" s="12">
        <v>18823.304959174624</v>
      </c>
      <c r="AC61" s="12">
        <v>39570.400000000023</v>
      </c>
      <c r="AD61" s="12">
        <v>102327.47395917462</v>
      </c>
      <c r="AI61" s="12"/>
    </row>
    <row r="62" spans="1:35" x14ac:dyDescent="0.25">
      <c r="A62">
        <v>177</v>
      </c>
      <c r="B62" t="s">
        <v>650</v>
      </c>
      <c r="C62" s="19">
        <v>44040</v>
      </c>
      <c r="D62" s="19">
        <v>13114.204921908233</v>
      </c>
      <c r="E62" s="19">
        <v>131890</v>
      </c>
      <c r="F62" s="19">
        <v>189044.20492190824</v>
      </c>
      <c r="G62" s="19">
        <v>5179.4709999999977</v>
      </c>
      <c r="H62" s="19">
        <v>2598.1584788327364</v>
      </c>
      <c r="I62" s="19">
        <v>7062</v>
      </c>
      <c r="J62" s="19">
        <v>14839.629478832734</v>
      </c>
      <c r="K62" s="19">
        <v>49219.470999999998</v>
      </c>
      <c r="L62" s="19">
        <v>15712.363400740969</v>
      </c>
      <c r="M62" s="19">
        <v>138952</v>
      </c>
      <c r="N62" s="19">
        <v>203883.83440074098</v>
      </c>
      <c r="P62">
        <v>182</v>
      </c>
      <c r="Q62">
        <v>1</v>
      </c>
      <c r="R62" t="s">
        <v>69</v>
      </c>
      <c r="S62" s="12">
        <v>49200</v>
      </c>
      <c r="T62" s="12">
        <v>15543.155551169379</v>
      </c>
      <c r="U62" s="12">
        <v>146617</v>
      </c>
      <c r="V62" s="12">
        <v>211360.15555116939</v>
      </c>
      <c r="W62" s="12">
        <v>54986.33</v>
      </c>
      <c r="X62" s="12">
        <v>18622.532579632851</v>
      </c>
      <c r="Y62" s="12">
        <v>154849</v>
      </c>
      <c r="Z62" s="12">
        <v>228457.86257963284</v>
      </c>
      <c r="AA62" s="12">
        <v>5786.3300000000017</v>
      </c>
      <c r="AB62" s="12">
        <v>3079.377028463472</v>
      </c>
      <c r="AC62" s="12">
        <v>8232</v>
      </c>
      <c r="AD62" s="12">
        <v>17097.707028463476</v>
      </c>
      <c r="AI62" s="12"/>
    </row>
    <row r="63" spans="1:35" x14ac:dyDescent="0.25">
      <c r="A63">
        <v>181</v>
      </c>
      <c r="B63" t="s">
        <v>651</v>
      </c>
      <c r="C63" s="19">
        <v>373560</v>
      </c>
      <c r="D63" s="19">
        <v>95010.631781433913</v>
      </c>
      <c r="E63" s="19">
        <v>773778</v>
      </c>
      <c r="F63" s="19">
        <v>1242348.6317814339</v>
      </c>
      <c r="G63" s="19">
        <v>43933.768999999971</v>
      </c>
      <c r="H63" s="19">
        <v>18823.304959174624</v>
      </c>
      <c r="I63" s="19">
        <v>39570.400000000023</v>
      </c>
      <c r="J63" s="19">
        <v>102327.47395917462</v>
      </c>
      <c r="K63" s="19">
        <v>417493.76899999997</v>
      </c>
      <c r="L63" s="19">
        <v>113833.93674060854</v>
      </c>
      <c r="M63" s="19">
        <v>813348.4</v>
      </c>
      <c r="N63" s="19">
        <v>1344676.1057406086</v>
      </c>
      <c r="P63">
        <v>186</v>
      </c>
      <c r="Q63">
        <v>1</v>
      </c>
      <c r="R63" t="s">
        <v>70</v>
      </c>
      <c r="S63" s="12">
        <v>81600</v>
      </c>
      <c r="T63" s="12">
        <v>17760.919177675365</v>
      </c>
      <c r="U63" s="12">
        <v>185577</v>
      </c>
      <c r="V63" s="12">
        <v>284937.91917767539</v>
      </c>
      <c r="W63" s="12">
        <v>91196.84</v>
      </c>
      <c r="X63" s="12">
        <v>21279.674834470883</v>
      </c>
      <c r="Y63" s="12">
        <v>194397.4</v>
      </c>
      <c r="Z63" s="12">
        <v>306873.91483447084</v>
      </c>
      <c r="AA63" s="12">
        <v>9596.8399999999965</v>
      </c>
      <c r="AB63" s="12">
        <v>3518.755656795518</v>
      </c>
      <c r="AC63" s="12">
        <v>8820.3999999999942</v>
      </c>
      <c r="AD63" s="12">
        <v>21935.995656795509</v>
      </c>
      <c r="AI63" s="12"/>
    </row>
    <row r="64" spans="1:35" x14ac:dyDescent="0.25">
      <c r="A64">
        <v>182</v>
      </c>
      <c r="B64" t="s">
        <v>652</v>
      </c>
      <c r="C64" s="19">
        <v>49200</v>
      </c>
      <c r="D64" s="19">
        <v>15543.155551169379</v>
      </c>
      <c r="E64" s="19">
        <v>146617</v>
      </c>
      <c r="F64" s="19">
        <v>211360.15555116939</v>
      </c>
      <c r="G64" s="19">
        <v>5786.3300000000017</v>
      </c>
      <c r="H64" s="19">
        <v>3079.377028463472</v>
      </c>
      <c r="I64" s="19">
        <v>8232</v>
      </c>
      <c r="J64" s="19">
        <v>17097.707028463476</v>
      </c>
      <c r="K64" s="19">
        <v>54986.33</v>
      </c>
      <c r="L64" s="19">
        <v>18622.532579632851</v>
      </c>
      <c r="M64" s="19">
        <v>154849</v>
      </c>
      <c r="N64" s="19">
        <v>228457.86257963284</v>
      </c>
      <c r="P64">
        <v>191</v>
      </c>
      <c r="Q64">
        <v>1</v>
      </c>
      <c r="R64" t="s">
        <v>71</v>
      </c>
      <c r="S64" s="12">
        <v>466800</v>
      </c>
      <c r="T64" s="12">
        <v>125825.357164733</v>
      </c>
      <c r="U64" s="12">
        <v>1074606</v>
      </c>
      <c r="V64" s="12">
        <v>1667231.3571647331</v>
      </c>
      <c r="W64" s="12">
        <v>521699.57</v>
      </c>
      <c r="X64" s="12">
        <v>150753.61019390248</v>
      </c>
      <c r="Y64" s="12">
        <v>1112784.8</v>
      </c>
      <c r="Z64" s="12">
        <v>1785237.9801939025</v>
      </c>
      <c r="AA64" s="12">
        <v>54899.570000000007</v>
      </c>
      <c r="AB64" s="12">
        <v>24928.253029169486</v>
      </c>
      <c r="AC64" s="12">
        <v>38178.800000000047</v>
      </c>
      <c r="AD64" s="12">
        <v>118006.62302916954</v>
      </c>
      <c r="AI64" s="12"/>
    </row>
    <row r="65" spans="1:35" x14ac:dyDescent="0.25">
      <c r="A65">
        <v>186</v>
      </c>
      <c r="B65" t="s">
        <v>653</v>
      </c>
      <c r="C65" s="19">
        <v>81600</v>
      </c>
      <c r="D65" s="19">
        <v>17760.919177675365</v>
      </c>
      <c r="E65" s="19">
        <v>185577</v>
      </c>
      <c r="F65" s="19">
        <v>284937.91917767539</v>
      </c>
      <c r="G65" s="19">
        <v>9596.8399999999965</v>
      </c>
      <c r="H65" s="19">
        <v>3518.755656795518</v>
      </c>
      <c r="I65" s="19">
        <v>8820.3999999999942</v>
      </c>
      <c r="J65" s="19">
        <v>21935.995656795509</v>
      </c>
      <c r="K65" s="19">
        <v>91196.84</v>
      </c>
      <c r="L65" s="19">
        <v>21279.674834470883</v>
      </c>
      <c r="M65" s="19">
        <v>194397.4</v>
      </c>
      <c r="N65" s="19">
        <v>306873.91483447084</v>
      </c>
      <c r="P65">
        <v>192</v>
      </c>
      <c r="Q65">
        <v>1</v>
      </c>
      <c r="R65" t="s">
        <v>72</v>
      </c>
      <c r="S65" s="12">
        <v>396000</v>
      </c>
      <c r="T65" s="12">
        <v>64965.357485382621</v>
      </c>
      <c r="U65" s="12">
        <v>694319</v>
      </c>
      <c r="V65" s="12">
        <v>1155284.3574853826</v>
      </c>
      <c r="W65" s="12">
        <v>442572.9</v>
      </c>
      <c r="X65" s="12">
        <v>77836.156392838326</v>
      </c>
      <c r="Y65" s="12">
        <v>711999</v>
      </c>
      <c r="Z65" s="12">
        <v>1232408.0563928382</v>
      </c>
      <c r="AA65" s="12">
        <v>46572.900000000023</v>
      </c>
      <c r="AB65" s="12">
        <v>12870.798907455704</v>
      </c>
      <c r="AC65" s="12">
        <v>17680</v>
      </c>
      <c r="AD65" s="12">
        <v>77123.69890745572</v>
      </c>
      <c r="AI65" s="12"/>
    </row>
    <row r="66" spans="1:35" x14ac:dyDescent="0.25">
      <c r="A66">
        <v>191</v>
      </c>
      <c r="B66" t="s">
        <v>654</v>
      </c>
      <c r="C66" s="19">
        <v>466800</v>
      </c>
      <c r="D66" s="19">
        <v>125825.357164733</v>
      </c>
      <c r="E66" s="19">
        <v>1074606</v>
      </c>
      <c r="F66" s="19">
        <v>1667231.3571647331</v>
      </c>
      <c r="G66" s="19">
        <v>54899.570000000007</v>
      </c>
      <c r="H66" s="19">
        <v>24928.253029169486</v>
      </c>
      <c r="I66" s="19">
        <v>38178.800000000047</v>
      </c>
      <c r="J66" s="19">
        <v>118006.62302916954</v>
      </c>
      <c r="K66" s="19">
        <v>521699.57</v>
      </c>
      <c r="L66" s="19">
        <v>150753.61019390248</v>
      </c>
      <c r="M66" s="19">
        <v>1112784.8</v>
      </c>
      <c r="N66" s="19">
        <v>1785237.9801939025</v>
      </c>
      <c r="P66">
        <v>194</v>
      </c>
      <c r="Q66">
        <v>1</v>
      </c>
      <c r="R66" t="s">
        <v>73</v>
      </c>
      <c r="S66" s="12">
        <v>462000</v>
      </c>
      <c r="T66" s="12">
        <v>77246.882887274551</v>
      </c>
      <c r="U66" s="12">
        <v>1046289</v>
      </c>
      <c r="V66" s="12">
        <v>1585535.8828872745</v>
      </c>
      <c r="W66" s="12">
        <v>516335.05</v>
      </c>
      <c r="X66" s="12">
        <v>92550.871572222459</v>
      </c>
      <c r="Y66" s="12">
        <v>1062604.2</v>
      </c>
      <c r="Z66" s="12">
        <v>1671490.1215722226</v>
      </c>
      <c r="AA66" s="12">
        <v>54335.049999999988</v>
      </c>
      <c r="AB66" s="12">
        <v>15303.988684947908</v>
      </c>
      <c r="AC66" s="12">
        <v>16315.199999999953</v>
      </c>
      <c r="AD66" s="12">
        <v>85954.23868494785</v>
      </c>
      <c r="AI66" s="12"/>
    </row>
    <row r="67" spans="1:35" x14ac:dyDescent="0.25">
      <c r="A67">
        <v>192</v>
      </c>
      <c r="B67" t="s">
        <v>655</v>
      </c>
      <c r="C67" s="19">
        <v>396000</v>
      </c>
      <c r="D67" s="19">
        <v>64965.357485382621</v>
      </c>
      <c r="E67" s="19">
        <v>694319</v>
      </c>
      <c r="F67" s="19">
        <v>1155284.3574853826</v>
      </c>
      <c r="G67" s="19">
        <v>46572.900000000023</v>
      </c>
      <c r="H67" s="19">
        <v>12870.798907455704</v>
      </c>
      <c r="I67" s="19">
        <v>17680</v>
      </c>
      <c r="J67" s="19">
        <v>77123.69890745572</v>
      </c>
      <c r="K67" s="19">
        <v>442572.9</v>
      </c>
      <c r="L67" s="19">
        <v>77836.156392838326</v>
      </c>
      <c r="M67" s="19">
        <v>711999</v>
      </c>
      <c r="N67" s="19">
        <v>1232408.0563928382</v>
      </c>
      <c r="P67">
        <v>195</v>
      </c>
      <c r="Q67">
        <v>1</v>
      </c>
      <c r="R67" t="s">
        <v>74</v>
      </c>
      <c r="S67" s="12">
        <v>18000</v>
      </c>
      <c r="T67" s="12">
        <v>4633.5691492339965</v>
      </c>
      <c r="U67" s="12">
        <v>67122</v>
      </c>
      <c r="V67" s="12">
        <v>89755.569149233997</v>
      </c>
      <c r="W67" s="12">
        <v>20116.95</v>
      </c>
      <c r="X67" s="12">
        <v>5551.5620465562351</v>
      </c>
      <c r="Y67" s="12">
        <v>69136.399999999994</v>
      </c>
      <c r="Z67" s="12">
        <v>94804.91204655623</v>
      </c>
      <c r="AA67" s="12">
        <v>2116.9500000000007</v>
      </c>
      <c r="AB67" s="12">
        <v>917.9928973222386</v>
      </c>
      <c r="AC67" s="12">
        <v>2014.3999999999942</v>
      </c>
      <c r="AD67" s="12">
        <v>5049.3428973222335</v>
      </c>
      <c r="AI67" s="12"/>
    </row>
    <row r="68" spans="1:35" x14ac:dyDescent="0.25">
      <c r="A68">
        <v>194</v>
      </c>
      <c r="B68" t="s">
        <v>656</v>
      </c>
      <c r="C68" s="19">
        <v>462000</v>
      </c>
      <c r="D68" s="19">
        <v>77246.882887274551</v>
      </c>
      <c r="E68" s="19">
        <v>1046289</v>
      </c>
      <c r="F68" s="19">
        <v>1585535.8828872745</v>
      </c>
      <c r="G68" s="19">
        <v>54335.049999999988</v>
      </c>
      <c r="H68" s="19">
        <v>15303.988684947908</v>
      </c>
      <c r="I68" s="19">
        <v>16315.199999999953</v>
      </c>
      <c r="J68" s="19">
        <v>85954.23868494785</v>
      </c>
      <c r="K68" s="19">
        <v>516335.05</v>
      </c>
      <c r="L68" s="19">
        <v>92550.871572222459</v>
      </c>
      <c r="M68" s="19">
        <v>1062604.2</v>
      </c>
      <c r="N68" s="19">
        <v>1671490.1215722226</v>
      </c>
      <c r="P68">
        <v>196</v>
      </c>
      <c r="Q68">
        <v>1</v>
      </c>
      <c r="R68" t="s">
        <v>75</v>
      </c>
      <c r="S68" s="12">
        <v>1276800</v>
      </c>
      <c r="T68" s="12">
        <v>260256.07074510102</v>
      </c>
      <c r="U68" s="12">
        <v>2415697</v>
      </c>
      <c r="V68" s="12">
        <v>3952753.0707451012</v>
      </c>
      <c r="W68" s="12">
        <v>1426962.32</v>
      </c>
      <c r="X68" s="12">
        <v>311817.45177434344</v>
      </c>
      <c r="Y68" s="12">
        <v>2484415</v>
      </c>
      <c r="Z68" s="12">
        <v>4223194.7717743432</v>
      </c>
      <c r="AA68" s="12">
        <v>150162.32000000007</v>
      </c>
      <c r="AB68" s="12">
        <v>51561.381029242417</v>
      </c>
      <c r="AC68" s="12">
        <v>68718</v>
      </c>
      <c r="AD68" s="12">
        <v>270441.70102924248</v>
      </c>
      <c r="AI68" s="12"/>
    </row>
    <row r="69" spans="1:35" x14ac:dyDescent="0.25">
      <c r="A69">
        <v>195</v>
      </c>
      <c r="B69" t="s">
        <v>657</v>
      </c>
      <c r="C69" s="19">
        <v>18000</v>
      </c>
      <c r="D69" s="19">
        <v>4633.5691492339965</v>
      </c>
      <c r="E69" s="19">
        <v>67122</v>
      </c>
      <c r="F69" s="19">
        <v>89755.569149233997</v>
      </c>
      <c r="G69" s="19">
        <v>2116.9500000000007</v>
      </c>
      <c r="H69" s="19">
        <v>917.9928973222386</v>
      </c>
      <c r="I69" s="19">
        <v>2014.3999999999942</v>
      </c>
      <c r="J69" s="19">
        <v>5049.3428973222335</v>
      </c>
      <c r="K69" s="19">
        <v>20116.95</v>
      </c>
      <c r="L69" s="19">
        <v>5551.5620465562351</v>
      </c>
      <c r="M69" s="19">
        <v>69136.399999999994</v>
      </c>
      <c r="N69" s="19">
        <v>94804.91204655623</v>
      </c>
      <c r="P69">
        <v>197</v>
      </c>
      <c r="Q69">
        <v>1</v>
      </c>
      <c r="R69" t="s">
        <v>76</v>
      </c>
      <c r="S69" s="12">
        <v>345600</v>
      </c>
      <c r="T69" s="12">
        <v>73096.607889220904</v>
      </c>
      <c r="U69" s="12">
        <v>626052</v>
      </c>
      <c r="V69" s="12">
        <v>1044748.6078892209</v>
      </c>
      <c r="W69" s="12">
        <v>386245.44</v>
      </c>
      <c r="X69" s="12">
        <v>87578.352889561851</v>
      </c>
      <c r="Y69" s="12">
        <v>648795.6</v>
      </c>
      <c r="Z69" s="12">
        <v>1122619.3928895618</v>
      </c>
      <c r="AA69" s="12">
        <v>40645.440000000002</v>
      </c>
      <c r="AB69" s="12">
        <v>14481.745000340947</v>
      </c>
      <c r="AC69" s="12">
        <v>22743.599999999977</v>
      </c>
      <c r="AD69" s="12">
        <v>77870.785000340926</v>
      </c>
      <c r="AI69" s="12"/>
    </row>
    <row r="70" spans="1:35" x14ac:dyDescent="0.25">
      <c r="A70">
        <v>196</v>
      </c>
      <c r="B70" t="s">
        <v>658</v>
      </c>
      <c r="C70" s="19">
        <v>1276800</v>
      </c>
      <c r="D70" s="19">
        <v>260256.07074510102</v>
      </c>
      <c r="E70" s="19">
        <v>2415697</v>
      </c>
      <c r="F70" s="19">
        <v>3952753.0707451012</v>
      </c>
      <c r="G70" s="19">
        <v>150162.32000000007</v>
      </c>
      <c r="H70" s="19">
        <v>51561.381029242417</v>
      </c>
      <c r="I70" s="19">
        <v>68718</v>
      </c>
      <c r="J70" s="19">
        <v>270441.70102924248</v>
      </c>
      <c r="K70" s="19">
        <v>1426962.32</v>
      </c>
      <c r="L70" s="19">
        <v>311817.45177434344</v>
      </c>
      <c r="M70" s="19">
        <v>2484415</v>
      </c>
      <c r="N70" s="19">
        <v>4223194.7717743432</v>
      </c>
      <c r="P70">
        <v>199</v>
      </c>
      <c r="Q70">
        <v>1</v>
      </c>
      <c r="R70" t="s">
        <v>77</v>
      </c>
      <c r="S70" s="12">
        <v>232200</v>
      </c>
      <c r="T70" s="12">
        <v>50367.305410503308</v>
      </c>
      <c r="U70" s="12">
        <v>425972</v>
      </c>
      <c r="V70" s="12">
        <v>708539.30541050329</v>
      </c>
      <c r="W70" s="12">
        <v>259508.655</v>
      </c>
      <c r="X70" s="12">
        <v>60345.969186729824</v>
      </c>
      <c r="Y70" s="12">
        <v>438685.6</v>
      </c>
      <c r="Z70" s="12">
        <v>758540.22418672987</v>
      </c>
      <c r="AA70" s="12">
        <v>27308.654999999999</v>
      </c>
      <c r="AB70" s="12">
        <v>9978.6637762265163</v>
      </c>
      <c r="AC70" s="12">
        <v>12713.599999999977</v>
      </c>
      <c r="AD70" s="12">
        <v>50000.918776226492</v>
      </c>
      <c r="AI70" s="12"/>
    </row>
    <row r="71" spans="1:35" x14ac:dyDescent="0.25">
      <c r="A71">
        <v>197</v>
      </c>
      <c r="B71" t="s">
        <v>659</v>
      </c>
      <c r="C71" s="19">
        <v>345600</v>
      </c>
      <c r="D71" s="19">
        <v>73096.607889220904</v>
      </c>
      <c r="E71" s="19">
        <v>626052</v>
      </c>
      <c r="F71" s="19">
        <v>1044748.6078892209</v>
      </c>
      <c r="G71" s="19">
        <v>40645.440000000002</v>
      </c>
      <c r="H71" s="19">
        <v>14481.745000340947</v>
      </c>
      <c r="I71" s="19">
        <v>22743.599999999977</v>
      </c>
      <c r="J71" s="19">
        <v>77870.785000340926</v>
      </c>
      <c r="K71" s="19">
        <v>386245.44</v>
      </c>
      <c r="L71" s="19">
        <v>87578.352889561851</v>
      </c>
      <c r="M71" s="19">
        <v>648795.6</v>
      </c>
      <c r="N71" s="19">
        <v>1122619.3928895618</v>
      </c>
      <c r="P71">
        <v>200</v>
      </c>
      <c r="Q71">
        <v>1</v>
      </c>
      <c r="R71" t="s">
        <v>78</v>
      </c>
      <c r="S71" s="12">
        <v>241200</v>
      </c>
      <c r="T71" s="12">
        <v>45825.568820328932</v>
      </c>
      <c r="U71" s="12">
        <v>531449</v>
      </c>
      <c r="V71" s="12">
        <v>818474.56882032892</v>
      </c>
      <c r="W71" s="12">
        <v>269567.13</v>
      </c>
      <c r="X71" s="12">
        <v>54904.433371161809</v>
      </c>
      <c r="Y71" s="12">
        <v>547315</v>
      </c>
      <c r="Z71" s="12">
        <v>871786.56337116181</v>
      </c>
      <c r="AA71" s="12">
        <v>28367.130000000005</v>
      </c>
      <c r="AB71" s="12">
        <v>9078.8645508328773</v>
      </c>
      <c r="AC71" s="12">
        <v>15866</v>
      </c>
      <c r="AD71" s="12">
        <v>53311.994550832882</v>
      </c>
      <c r="AI71" s="12"/>
    </row>
    <row r="72" spans="1:35" x14ac:dyDescent="0.25">
      <c r="A72">
        <v>199</v>
      </c>
      <c r="B72" t="s">
        <v>660</v>
      </c>
      <c r="C72" s="19">
        <v>232200</v>
      </c>
      <c r="D72" s="19">
        <v>50367.305410503308</v>
      </c>
      <c r="E72" s="19">
        <v>425972</v>
      </c>
      <c r="F72" s="19">
        <v>708539.30541050329</v>
      </c>
      <c r="G72" s="19">
        <v>27308.654999999999</v>
      </c>
      <c r="H72" s="19">
        <v>9978.6637762265163</v>
      </c>
      <c r="I72" s="19">
        <v>12713.599999999977</v>
      </c>
      <c r="J72" s="19">
        <v>50000.918776226492</v>
      </c>
      <c r="K72" s="19">
        <v>259508.655</v>
      </c>
      <c r="L72" s="19">
        <v>60345.969186729824</v>
      </c>
      <c r="M72" s="19">
        <v>438685.6</v>
      </c>
      <c r="N72" s="19">
        <v>758540.22418672987</v>
      </c>
      <c r="P72">
        <v>203</v>
      </c>
      <c r="Q72">
        <v>1</v>
      </c>
      <c r="R72" t="s">
        <v>79</v>
      </c>
      <c r="S72" s="12">
        <v>31560</v>
      </c>
      <c r="T72" s="12">
        <v>8088.0975650246646</v>
      </c>
      <c r="U72" s="12">
        <v>96482</v>
      </c>
      <c r="V72" s="12">
        <v>136130.09756502465</v>
      </c>
      <c r="W72" s="12">
        <v>35271.718999999997</v>
      </c>
      <c r="X72" s="12">
        <v>9690.494308962192</v>
      </c>
      <c r="Y72" s="12">
        <v>98517.2</v>
      </c>
      <c r="Z72" s="12">
        <v>143479.41330896219</v>
      </c>
      <c r="AA72" s="12">
        <v>3711.7189999999973</v>
      </c>
      <c r="AB72" s="12">
        <v>1602.3967439375274</v>
      </c>
      <c r="AC72" s="12">
        <v>2035.1999999999971</v>
      </c>
      <c r="AD72" s="12">
        <v>7349.3157439375218</v>
      </c>
      <c r="AI72" s="12"/>
    </row>
    <row r="73" spans="1:35" x14ac:dyDescent="0.25">
      <c r="A73">
        <v>200</v>
      </c>
      <c r="B73" t="s">
        <v>661</v>
      </c>
      <c r="C73" s="19">
        <v>241200</v>
      </c>
      <c r="D73" s="19">
        <v>45825.568820328932</v>
      </c>
      <c r="E73" s="19">
        <v>531449</v>
      </c>
      <c r="F73" s="19">
        <v>818474.56882032892</v>
      </c>
      <c r="G73" s="19">
        <v>28367.130000000005</v>
      </c>
      <c r="H73" s="19">
        <v>9078.8645508328773</v>
      </c>
      <c r="I73" s="19">
        <v>15866</v>
      </c>
      <c r="J73" s="19">
        <v>53311.994550832882</v>
      </c>
      <c r="K73" s="19">
        <v>269567.13</v>
      </c>
      <c r="L73" s="19">
        <v>54904.433371161809</v>
      </c>
      <c r="M73" s="19">
        <v>547315</v>
      </c>
      <c r="N73" s="19">
        <v>871786.56337116181</v>
      </c>
      <c r="P73">
        <v>204</v>
      </c>
      <c r="Q73">
        <v>1</v>
      </c>
      <c r="R73" t="s">
        <v>80</v>
      </c>
      <c r="S73" s="12">
        <v>97800</v>
      </c>
      <c r="T73" s="12">
        <v>17469.269116933356</v>
      </c>
      <c r="U73" s="12">
        <v>218427</v>
      </c>
      <c r="V73" s="12">
        <v>333696.26911693334</v>
      </c>
      <c r="W73" s="12">
        <v>109302.095</v>
      </c>
      <c r="X73" s="12">
        <v>20930.243681952346</v>
      </c>
      <c r="Y73" s="12">
        <v>223411.4</v>
      </c>
      <c r="Z73" s="12">
        <v>353643.73868195235</v>
      </c>
      <c r="AA73" s="12">
        <v>11502.095000000001</v>
      </c>
      <c r="AB73" s="12">
        <v>3460.9745650189907</v>
      </c>
      <c r="AC73" s="12">
        <v>4984.3999999999942</v>
      </c>
      <c r="AD73" s="12">
        <v>19947.469565018986</v>
      </c>
      <c r="AI73" s="12"/>
    </row>
    <row r="74" spans="1:35" x14ac:dyDescent="0.25">
      <c r="A74">
        <v>203</v>
      </c>
      <c r="B74" t="s">
        <v>662</v>
      </c>
      <c r="C74" s="19">
        <v>31560</v>
      </c>
      <c r="D74" s="19">
        <v>8088.0975650246646</v>
      </c>
      <c r="E74" s="19">
        <v>96482</v>
      </c>
      <c r="F74" s="19">
        <v>136130.09756502465</v>
      </c>
      <c r="G74" s="19">
        <v>3711.7189999999973</v>
      </c>
      <c r="H74" s="19">
        <v>1602.3967439375274</v>
      </c>
      <c r="I74" s="19">
        <v>2035.1999999999971</v>
      </c>
      <c r="J74" s="19">
        <v>7349.3157439375218</v>
      </c>
      <c r="K74" s="19">
        <v>35271.718999999997</v>
      </c>
      <c r="L74" s="19">
        <v>9690.494308962192</v>
      </c>
      <c r="M74" s="19">
        <v>98517.2</v>
      </c>
      <c r="N74" s="19">
        <v>143479.41330896219</v>
      </c>
      <c r="P74">
        <v>206</v>
      </c>
      <c r="Q74">
        <v>1</v>
      </c>
      <c r="R74" t="s">
        <v>81</v>
      </c>
      <c r="S74" s="12">
        <v>165720</v>
      </c>
      <c r="T74" s="12">
        <v>43932.137647288597</v>
      </c>
      <c r="U74" s="12">
        <v>536343</v>
      </c>
      <c r="V74" s="12">
        <v>745995.13764728862</v>
      </c>
      <c r="W74" s="12">
        <v>185210.05299999999</v>
      </c>
      <c r="X74" s="12">
        <v>52635.879627930219</v>
      </c>
      <c r="Y74" s="12">
        <v>555127</v>
      </c>
      <c r="Z74" s="12">
        <v>792972.93262793019</v>
      </c>
      <c r="AA74" s="12">
        <v>19490.052999999985</v>
      </c>
      <c r="AB74" s="12">
        <v>8703.7419806416219</v>
      </c>
      <c r="AC74" s="12">
        <v>18784</v>
      </c>
      <c r="AD74" s="12">
        <v>46977.794980641607</v>
      </c>
      <c r="AI74" s="12"/>
    </row>
    <row r="75" spans="1:35" x14ac:dyDescent="0.25">
      <c r="A75">
        <v>204</v>
      </c>
      <c r="B75" t="s">
        <v>663</v>
      </c>
      <c r="C75" s="19">
        <v>97800</v>
      </c>
      <c r="D75" s="19">
        <v>17469.269116933356</v>
      </c>
      <c r="E75" s="19">
        <v>218427</v>
      </c>
      <c r="F75" s="19">
        <v>333696.26911693334</v>
      </c>
      <c r="G75" s="19">
        <v>11502.095000000001</v>
      </c>
      <c r="H75" s="19">
        <v>3460.9745650189907</v>
      </c>
      <c r="I75" s="19">
        <v>4984.3999999999942</v>
      </c>
      <c r="J75" s="19">
        <v>19947.469565018986</v>
      </c>
      <c r="K75" s="19">
        <v>109302.095</v>
      </c>
      <c r="L75" s="19">
        <v>20930.243681952346</v>
      </c>
      <c r="M75" s="19">
        <v>223411.4</v>
      </c>
      <c r="N75" s="19">
        <v>353643.73868195235</v>
      </c>
      <c r="P75">
        <v>213</v>
      </c>
      <c r="Q75">
        <v>1</v>
      </c>
      <c r="R75" t="s">
        <v>82</v>
      </c>
      <c r="S75" s="12">
        <v>30960</v>
      </c>
      <c r="T75" s="12">
        <v>9993.4252946495581</v>
      </c>
      <c r="U75" s="12">
        <v>111474</v>
      </c>
      <c r="V75" s="12">
        <v>152427.42529464955</v>
      </c>
      <c r="W75" s="12">
        <v>34601.154000000002</v>
      </c>
      <c r="X75" s="12">
        <v>11973.301529349817</v>
      </c>
      <c r="Y75" s="12">
        <v>118193.60000000001</v>
      </c>
      <c r="Z75" s="12">
        <v>164768.05552934983</v>
      </c>
      <c r="AA75" s="12">
        <v>3641.1540000000023</v>
      </c>
      <c r="AB75" s="12">
        <v>1979.8762347002594</v>
      </c>
      <c r="AC75" s="12">
        <v>6719.6000000000058</v>
      </c>
      <c r="AD75" s="12">
        <v>12340.630234700267</v>
      </c>
      <c r="AI75" s="12"/>
    </row>
    <row r="76" spans="1:35" x14ac:dyDescent="0.25">
      <c r="A76">
        <v>206</v>
      </c>
      <c r="B76" t="s">
        <v>664</v>
      </c>
      <c r="C76" s="19">
        <v>165720</v>
      </c>
      <c r="D76" s="19">
        <v>43932.137647288597</v>
      </c>
      <c r="E76" s="19">
        <v>536343</v>
      </c>
      <c r="F76" s="19">
        <v>745995.13764728862</v>
      </c>
      <c r="G76" s="19">
        <v>19490.052999999985</v>
      </c>
      <c r="H76" s="19">
        <v>8703.7419806416219</v>
      </c>
      <c r="I76" s="19">
        <v>18784</v>
      </c>
      <c r="J76" s="19">
        <v>46977.794980641607</v>
      </c>
      <c r="K76" s="19">
        <v>185210.05299999999</v>
      </c>
      <c r="L76" s="19">
        <v>52635.879627930219</v>
      </c>
      <c r="M76" s="19">
        <v>555127</v>
      </c>
      <c r="N76" s="19">
        <v>792972.93262793019</v>
      </c>
      <c r="P76">
        <v>227</v>
      </c>
      <c r="Q76">
        <v>1</v>
      </c>
      <c r="R76" t="s">
        <v>83</v>
      </c>
      <c r="S76" s="12">
        <v>43920</v>
      </c>
      <c r="T76" s="12">
        <v>8525.7530297468693</v>
      </c>
      <c r="U76" s="12">
        <v>91956</v>
      </c>
      <c r="V76" s="12">
        <v>144401.75302974688</v>
      </c>
      <c r="W76" s="12">
        <v>49085.358</v>
      </c>
      <c r="X76" s="12">
        <v>10214.85714658627</v>
      </c>
      <c r="Y76" s="12">
        <v>95247.6</v>
      </c>
      <c r="Z76" s="12">
        <v>154547.81514658628</v>
      </c>
      <c r="AA76" s="12">
        <v>5165.3580000000002</v>
      </c>
      <c r="AB76" s="12">
        <v>1689.1041168394004</v>
      </c>
      <c r="AC76" s="12">
        <v>3291.6000000000058</v>
      </c>
      <c r="AD76" s="12">
        <v>10146.062116839406</v>
      </c>
      <c r="AI76" s="12"/>
    </row>
    <row r="77" spans="1:35" x14ac:dyDescent="0.25">
      <c r="A77">
        <v>213</v>
      </c>
      <c r="B77" t="s">
        <v>665</v>
      </c>
      <c r="C77" s="19">
        <v>30960</v>
      </c>
      <c r="D77" s="19">
        <v>9993.4252946495581</v>
      </c>
      <c r="E77" s="19">
        <v>111474</v>
      </c>
      <c r="F77" s="19">
        <v>152427.42529464955</v>
      </c>
      <c r="G77" s="19">
        <v>3641.1540000000023</v>
      </c>
      <c r="H77" s="19">
        <v>1979.8762347002594</v>
      </c>
      <c r="I77" s="19">
        <v>6719.6000000000058</v>
      </c>
      <c r="J77" s="19">
        <v>12340.630234700267</v>
      </c>
      <c r="K77" s="19">
        <v>34601.154000000002</v>
      </c>
      <c r="L77" s="19">
        <v>11973.301529349817</v>
      </c>
      <c r="M77" s="19">
        <v>118193.60000000001</v>
      </c>
      <c r="N77" s="19">
        <v>164768.05552934983</v>
      </c>
      <c r="P77">
        <v>229</v>
      </c>
      <c r="Q77">
        <v>1</v>
      </c>
      <c r="R77" t="s">
        <v>84</v>
      </c>
      <c r="S77" s="12">
        <v>18000</v>
      </c>
      <c r="T77" s="12">
        <v>3708.701949065995</v>
      </c>
      <c r="U77" s="12">
        <v>45221</v>
      </c>
      <c r="V77" s="12">
        <v>66929.701949065988</v>
      </c>
      <c r="W77" s="12">
        <v>20116.95</v>
      </c>
      <c r="X77" s="12">
        <v>4443.4621172811503</v>
      </c>
      <c r="Y77" s="12">
        <v>48017</v>
      </c>
      <c r="Z77" s="12">
        <v>72577.412117281143</v>
      </c>
      <c r="AA77" s="12">
        <v>2116.9500000000007</v>
      </c>
      <c r="AB77" s="12">
        <v>734.76016821515532</v>
      </c>
      <c r="AC77" s="12">
        <v>2796</v>
      </c>
      <c r="AD77" s="12">
        <v>5647.710168215156</v>
      </c>
      <c r="AI77" s="12"/>
    </row>
    <row r="78" spans="1:35" x14ac:dyDescent="0.25">
      <c r="A78">
        <v>227</v>
      </c>
      <c r="B78" t="s">
        <v>666</v>
      </c>
      <c r="C78" s="19">
        <v>43920</v>
      </c>
      <c r="D78" s="19">
        <v>8525.7530297468693</v>
      </c>
      <c r="E78" s="19">
        <v>91956</v>
      </c>
      <c r="F78" s="19">
        <v>144401.75302974688</v>
      </c>
      <c r="G78" s="19">
        <v>5165.3580000000002</v>
      </c>
      <c r="H78" s="19">
        <v>1689.1041168394004</v>
      </c>
      <c r="I78" s="19">
        <v>3291.6000000000058</v>
      </c>
      <c r="J78" s="19">
        <v>10146.062116839406</v>
      </c>
      <c r="K78" s="19">
        <v>49085.358</v>
      </c>
      <c r="L78" s="19">
        <v>10214.85714658627</v>
      </c>
      <c r="M78" s="19">
        <v>95247.6</v>
      </c>
      <c r="N78" s="19">
        <v>154547.81514658628</v>
      </c>
      <c r="P78">
        <v>238</v>
      </c>
      <c r="Q78">
        <v>1</v>
      </c>
      <c r="R78" t="s">
        <v>85</v>
      </c>
      <c r="S78" s="12">
        <v>18000</v>
      </c>
      <c r="T78" s="12">
        <v>3588.8091976060336</v>
      </c>
      <c r="U78" s="12">
        <v>32254</v>
      </c>
      <c r="V78" s="12">
        <v>53842.809197606039</v>
      </c>
      <c r="W78" s="12">
        <v>20116.95</v>
      </c>
      <c r="X78" s="12">
        <v>4299.8164680579475</v>
      </c>
      <c r="Y78" s="12">
        <v>33968</v>
      </c>
      <c r="Z78" s="12">
        <v>58384.766468057947</v>
      </c>
      <c r="AA78" s="12">
        <v>2116.9500000000007</v>
      </c>
      <c r="AB78" s="12">
        <v>711.00727045191388</v>
      </c>
      <c r="AC78" s="12">
        <v>1714</v>
      </c>
      <c r="AD78" s="12">
        <v>4541.9572704519142</v>
      </c>
      <c r="AI78" s="12"/>
    </row>
    <row r="79" spans="1:35" x14ac:dyDescent="0.25">
      <c r="A79">
        <v>229</v>
      </c>
      <c r="B79" t="s">
        <v>667</v>
      </c>
      <c r="C79" s="19">
        <v>18000</v>
      </c>
      <c r="D79" s="19">
        <v>3708.701949065995</v>
      </c>
      <c r="E79" s="19">
        <v>45221</v>
      </c>
      <c r="F79" s="19">
        <v>66929.701949065988</v>
      </c>
      <c r="G79" s="19">
        <v>2116.9500000000007</v>
      </c>
      <c r="H79" s="19">
        <v>734.76016821515532</v>
      </c>
      <c r="I79" s="19">
        <v>2796</v>
      </c>
      <c r="J79" s="19">
        <v>5647.710168215156</v>
      </c>
      <c r="K79" s="19">
        <v>20116.95</v>
      </c>
      <c r="L79" s="19">
        <v>4443.4621172811503</v>
      </c>
      <c r="M79" s="19">
        <v>48017</v>
      </c>
      <c r="N79" s="19">
        <v>72577.412117281143</v>
      </c>
      <c r="P79">
        <v>239</v>
      </c>
      <c r="Q79">
        <v>1</v>
      </c>
      <c r="R79" t="s">
        <v>86</v>
      </c>
      <c r="S79" s="12">
        <v>31200</v>
      </c>
      <c r="T79" s="12">
        <v>8005.8589015774251</v>
      </c>
      <c r="U79" s="12">
        <v>88756</v>
      </c>
      <c r="V79" s="12">
        <v>127961.85890157742</v>
      </c>
      <c r="W79" s="12">
        <v>34869.379999999997</v>
      </c>
      <c r="X79" s="12">
        <v>9591.9626958473455</v>
      </c>
      <c r="Y79" s="12">
        <v>95571.6</v>
      </c>
      <c r="Z79" s="12">
        <v>140032.94269584736</v>
      </c>
      <c r="AA79" s="12">
        <v>3669.3799999999974</v>
      </c>
      <c r="AB79" s="12">
        <v>1586.1037942699204</v>
      </c>
      <c r="AC79" s="12">
        <v>6815.6000000000058</v>
      </c>
      <c r="AD79" s="12">
        <v>12071.083794269924</v>
      </c>
      <c r="AI79" s="12"/>
    </row>
    <row r="80" spans="1:35" x14ac:dyDescent="0.25">
      <c r="A80">
        <v>238</v>
      </c>
      <c r="B80" t="s">
        <v>668</v>
      </c>
      <c r="C80" s="19">
        <v>18000</v>
      </c>
      <c r="D80" s="19">
        <v>3588.8091976060336</v>
      </c>
      <c r="E80" s="19">
        <v>32254</v>
      </c>
      <c r="F80" s="19">
        <v>53842.809197606039</v>
      </c>
      <c r="G80" s="19">
        <v>2116.9500000000007</v>
      </c>
      <c r="H80" s="19">
        <v>711.00727045191388</v>
      </c>
      <c r="I80" s="19">
        <v>1714</v>
      </c>
      <c r="J80" s="19">
        <v>4541.9572704519142</v>
      </c>
      <c r="K80" s="19">
        <v>20116.95</v>
      </c>
      <c r="L80" s="19">
        <v>4299.8164680579475</v>
      </c>
      <c r="M80" s="19">
        <v>33968</v>
      </c>
      <c r="N80" s="19">
        <v>58384.766468057947</v>
      </c>
      <c r="P80">
        <v>241</v>
      </c>
      <c r="Q80">
        <v>1</v>
      </c>
      <c r="R80" t="s">
        <v>87</v>
      </c>
      <c r="S80" s="12">
        <v>146520</v>
      </c>
      <c r="T80" s="12">
        <v>44436.927876792193</v>
      </c>
      <c r="U80" s="12">
        <v>387753</v>
      </c>
      <c r="V80" s="12">
        <v>578709.92787679215</v>
      </c>
      <c r="W80" s="12">
        <v>163751.973</v>
      </c>
      <c r="X80" s="12">
        <v>53240.677827617787</v>
      </c>
      <c r="Y80" s="12">
        <v>404232.2</v>
      </c>
      <c r="Z80" s="12">
        <v>621224.8508276178</v>
      </c>
      <c r="AA80" s="12">
        <v>17231.972999999998</v>
      </c>
      <c r="AB80" s="12">
        <v>8803.7499508255933</v>
      </c>
      <c r="AC80" s="12">
        <v>16479.200000000012</v>
      </c>
      <c r="AD80" s="12">
        <v>42514.922950825603</v>
      </c>
      <c r="AI80" s="12"/>
    </row>
    <row r="81" spans="1:35" x14ac:dyDescent="0.25">
      <c r="A81">
        <v>239</v>
      </c>
      <c r="B81" t="s">
        <v>669</v>
      </c>
      <c r="C81" s="19">
        <v>31200</v>
      </c>
      <c r="D81" s="19">
        <v>8005.8589015774251</v>
      </c>
      <c r="E81" s="19">
        <v>88756</v>
      </c>
      <c r="F81" s="19">
        <v>127961.85890157742</v>
      </c>
      <c r="G81" s="19">
        <v>3669.3799999999974</v>
      </c>
      <c r="H81" s="19">
        <v>1586.1037942699204</v>
      </c>
      <c r="I81" s="19">
        <v>6815.6000000000058</v>
      </c>
      <c r="J81" s="19">
        <v>12071.083794269924</v>
      </c>
      <c r="K81" s="19">
        <v>34869.379999999997</v>
      </c>
      <c r="L81" s="19">
        <v>9591.9626958473455</v>
      </c>
      <c r="M81" s="19">
        <v>95571.6</v>
      </c>
      <c r="N81" s="19">
        <v>140032.94269584736</v>
      </c>
      <c r="P81">
        <v>242</v>
      </c>
      <c r="Q81">
        <v>1</v>
      </c>
      <c r="R81" t="s">
        <v>88</v>
      </c>
      <c r="S81" s="12">
        <v>18000</v>
      </c>
      <c r="T81" s="12">
        <v>4755.0599456083028</v>
      </c>
      <c r="U81" s="12">
        <v>64653</v>
      </c>
      <c r="V81" s="12">
        <v>87408.0599456083</v>
      </c>
      <c r="W81" s="12">
        <v>20116.95</v>
      </c>
      <c r="X81" s="12">
        <v>5697.1223419645794</v>
      </c>
      <c r="Y81" s="12">
        <v>67683.8</v>
      </c>
      <c r="Z81" s="12">
        <v>93497.872341964583</v>
      </c>
      <c r="AA81" s="12">
        <v>2116.9500000000007</v>
      </c>
      <c r="AB81" s="12">
        <v>942.06239635627662</v>
      </c>
      <c r="AC81" s="12">
        <v>3030.8000000000029</v>
      </c>
      <c r="AD81" s="12">
        <v>6089.8123963562803</v>
      </c>
      <c r="AI81" s="12"/>
    </row>
    <row r="82" spans="1:35" x14ac:dyDescent="0.25">
      <c r="A82">
        <v>241</v>
      </c>
      <c r="B82" t="s">
        <v>670</v>
      </c>
      <c r="C82" s="19">
        <v>146520</v>
      </c>
      <c r="D82" s="19">
        <v>44436.927876792193</v>
      </c>
      <c r="E82" s="19">
        <v>387753</v>
      </c>
      <c r="F82" s="19">
        <v>578709.92787679215</v>
      </c>
      <c r="G82" s="19">
        <v>17231.972999999998</v>
      </c>
      <c r="H82" s="19">
        <v>8803.7499508255933</v>
      </c>
      <c r="I82" s="19">
        <v>16479.200000000012</v>
      </c>
      <c r="J82" s="19">
        <v>42514.922950825603</v>
      </c>
      <c r="K82" s="19">
        <v>163751.973</v>
      </c>
      <c r="L82" s="19">
        <v>53240.677827617787</v>
      </c>
      <c r="M82" s="19">
        <v>404232.2</v>
      </c>
      <c r="N82" s="19">
        <v>621224.8508276178</v>
      </c>
      <c r="P82">
        <v>252</v>
      </c>
      <c r="Q82">
        <v>1</v>
      </c>
      <c r="R82" t="s">
        <v>89</v>
      </c>
      <c r="S82" s="12">
        <v>57840</v>
      </c>
      <c r="T82" s="12">
        <v>11287.387084263775</v>
      </c>
      <c r="U82" s="12">
        <v>155105</v>
      </c>
      <c r="V82" s="12">
        <v>224232.38708426378</v>
      </c>
      <c r="W82" s="12">
        <v>64642.466</v>
      </c>
      <c r="X82" s="12">
        <v>13523.620285702858</v>
      </c>
      <c r="Y82" s="12">
        <v>158811.4</v>
      </c>
      <c r="Z82" s="12">
        <v>236977.48628570285</v>
      </c>
      <c r="AA82" s="12">
        <v>6802.4660000000003</v>
      </c>
      <c r="AB82" s="12">
        <v>2236.2332014390831</v>
      </c>
      <c r="AC82" s="12">
        <v>3706.3999999999942</v>
      </c>
      <c r="AD82" s="12">
        <v>12745.099201439078</v>
      </c>
      <c r="AI82" s="12"/>
    </row>
    <row r="83" spans="1:35" x14ac:dyDescent="0.25">
      <c r="A83">
        <v>242</v>
      </c>
      <c r="B83" t="s">
        <v>671</v>
      </c>
      <c r="C83" s="19">
        <v>18000</v>
      </c>
      <c r="D83" s="19">
        <v>4755.0599456083028</v>
      </c>
      <c r="E83" s="19">
        <v>64653</v>
      </c>
      <c r="F83" s="19">
        <v>87408.0599456083</v>
      </c>
      <c r="G83" s="19">
        <v>2116.9500000000007</v>
      </c>
      <c r="H83" s="19">
        <v>942.06239635627662</v>
      </c>
      <c r="I83" s="19">
        <v>3030.8000000000029</v>
      </c>
      <c r="J83" s="19">
        <v>6089.8123963562803</v>
      </c>
      <c r="K83" s="19">
        <v>20116.95</v>
      </c>
      <c r="L83" s="19">
        <v>5697.1223419645794</v>
      </c>
      <c r="M83" s="19">
        <v>67683.8</v>
      </c>
      <c r="N83" s="19">
        <v>93497.872341964583</v>
      </c>
      <c r="P83">
        <v>253</v>
      </c>
      <c r="Q83">
        <v>1</v>
      </c>
      <c r="R83" t="s">
        <v>90</v>
      </c>
      <c r="S83" s="12">
        <v>33600</v>
      </c>
      <c r="T83" s="12">
        <v>6132.1482013999512</v>
      </c>
      <c r="U83" s="12">
        <v>87780</v>
      </c>
      <c r="V83" s="12">
        <v>127512.14820139995</v>
      </c>
      <c r="W83" s="12">
        <v>37551.64</v>
      </c>
      <c r="X83" s="12">
        <v>7347.0364037575446</v>
      </c>
      <c r="Y83" s="12">
        <v>89515.6</v>
      </c>
      <c r="Z83" s="12">
        <v>134414.27640375754</v>
      </c>
      <c r="AA83" s="12">
        <v>3951.6399999999994</v>
      </c>
      <c r="AB83" s="12">
        <v>1214.8882023575934</v>
      </c>
      <c r="AC83" s="12">
        <v>1735.6000000000058</v>
      </c>
      <c r="AD83" s="12">
        <v>6902.1282023575986</v>
      </c>
      <c r="AI83" s="12"/>
    </row>
    <row r="84" spans="1:35" x14ac:dyDescent="0.25">
      <c r="A84">
        <v>252</v>
      </c>
      <c r="B84" t="s">
        <v>672</v>
      </c>
      <c r="C84" s="19">
        <v>57840</v>
      </c>
      <c r="D84" s="19">
        <v>11287.387084263775</v>
      </c>
      <c r="E84" s="19">
        <v>155105</v>
      </c>
      <c r="F84" s="19">
        <v>224232.38708426378</v>
      </c>
      <c r="G84" s="19">
        <v>6802.4660000000003</v>
      </c>
      <c r="H84" s="19">
        <v>2236.2332014390831</v>
      </c>
      <c r="I84" s="19">
        <v>3706.3999999999942</v>
      </c>
      <c r="J84" s="19">
        <v>12745.099201439078</v>
      </c>
      <c r="K84" s="19">
        <v>64642.466</v>
      </c>
      <c r="L84" s="19">
        <v>13523.620285702858</v>
      </c>
      <c r="M84" s="19">
        <v>158811.4</v>
      </c>
      <c r="N84" s="19">
        <v>236977.48628570285</v>
      </c>
      <c r="P84">
        <v>255</v>
      </c>
      <c r="Q84">
        <v>1</v>
      </c>
      <c r="R84" t="s">
        <v>91</v>
      </c>
      <c r="S84" s="12">
        <v>49080</v>
      </c>
      <c r="T84" s="12">
        <v>10563.585935726747</v>
      </c>
      <c r="U84" s="12">
        <v>125221</v>
      </c>
      <c r="V84" s="12">
        <v>184864.58593572676</v>
      </c>
      <c r="W84" s="12">
        <v>54852.216999999997</v>
      </c>
      <c r="X84" s="12">
        <v>12656.421187975731</v>
      </c>
      <c r="Y84" s="12">
        <v>128280.6</v>
      </c>
      <c r="Z84" s="12">
        <v>195789.23818797572</v>
      </c>
      <c r="AA84" s="12">
        <v>5772.2169999999969</v>
      </c>
      <c r="AB84" s="12">
        <v>2092.835252248984</v>
      </c>
      <c r="AC84" s="12">
        <v>3059.6000000000058</v>
      </c>
      <c r="AD84" s="12">
        <v>10924.652252248987</v>
      </c>
      <c r="AI84" s="12"/>
    </row>
    <row r="85" spans="1:35" x14ac:dyDescent="0.25">
      <c r="A85">
        <v>253</v>
      </c>
      <c r="B85" t="s">
        <v>673</v>
      </c>
      <c r="C85" s="19">
        <v>33600</v>
      </c>
      <c r="D85" s="19">
        <v>6132.1482013999512</v>
      </c>
      <c r="E85" s="19">
        <v>87780</v>
      </c>
      <c r="F85" s="19">
        <v>127512.14820139995</v>
      </c>
      <c r="G85" s="19">
        <v>3951.6399999999994</v>
      </c>
      <c r="H85" s="19">
        <v>1214.8882023575934</v>
      </c>
      <c r="I85" s="19">
        <v>1735.6000000000058</v>
      </c>
      <c r="J85" s="19">
        <v>6902.1282023575986</v>
      </c>
      <c r="K85" s="19">
        <v>37551.64</v>
      </c>
      <c r="L85" s="19">
        <v>7347.0364037575446</v>
      </c>
      <c r="M85" s="19">
        <v>89515.6</v>
      </c>
      <c r="N85" s="19">
        <v>134414.27640375754</v>
      </c>
      <c r="P85">
        <v>256</v>
      </c>
      <c r="Q85">
        <v>1</v>
      </c>
      <c r="R85" t="s">
        <v>92</v>
      </c>
      <c r="S85" s="12">
        <v>140400</v>
      </c>
      <c r="T85" s="12">
        <v>32187.557812112107</v>
      </c>
      <c r="U85" s="12">
        <v>275240</v>
      </c>
      <c r="V85" s="12">
        <v>447827.55781211209</v>
      </c>
      <c r="W85" s="12">
        <v>156912.21</v>
      </c>
      <c r="X85" s="12">
        <v>38564.488532689051</v>
      </c>
      <c r="Y85" s="12">
        <v>283415.59999999998</v>
      </c>
      <c r="Z85" s="12">
        <v>478892.29853268899</v>
      </c>
      <c r="AA85" s="12">
        <v>16512.209999999992</v>
      </c>
      <c r="AB85" s="12">
        <v>6376.9307205769437</v>
      </c>
      <c r="AC85" s="12">
        <v>8175.5999999999767</v>
      </c>
      <c r="AD85" s="12">
        <v>31064.740720576912</v>
      </c>
      <c r="AI85" s="12"/>
    </row>
    <row r="86" spans="1:35" x14ac:dyDescent="0.25">
      <c r="A86">
        <v>255</v>
      </c>
      <c r="B86" t="s">
        <v>674</v>
      </c>
      <c r="C86" s="19">
        <v>49080</v>
      </c>
      <c r="D86" s="19">
        <v>10563.585935726747</v>
      </c>
      <c r="E86" s="19">
        <v>125221</v>
      </c>
      <c r="F86" s="19">
        <v>184864.58593572676</v>
      </c>
      <c r="G86" s="19">
        <v>5772.2169999999969</v>
      </c>
      <c r="H86" s="19">
        <v>2092.835252248984</v>
      </c>
      <c r="I86" s="19">
        <v>3059.6000000000058</v>
      </c>
      <c r="J86" s="19">
        <v>10924.652252248987</v>
      </c>
      <c r="K86" s="19">
        <v>54852.216999999997</v>
      </c>
      <c r="L86" s="19">
        <v>12656.421187975731</v>
      </c>
      <c r="M86" s="19">
        <v>128280.6</v>
      </c>
      <c r="N86" s="19">
        <v>195789.23818797572</v>
      </c>
      <c r="P86">
        <v>261</v>
      </c>
      <c r="Q86">
        <v>1</v>
      </c>
      <c r="R86" t="s">
        <v>93</v>
      </c>
      <c r="S86" s="12">
        <v>18000</v>
      </c>
      <c r="T86" s="12">
        <v>2865.895851799196</v>
      </c>
      <c r="U86" s="12">
        <v>37739</v>
      </c>
      <c r="V86" s="12">
        <v>58604.8958517992</v>
      </c>
      <c r="W86" s="12">
        <v>20116.95</v>
      </c>
      <c r="X86" s="12">
        <v>3433.6810626558963</v>
      </c>
      <c r="Y86" s="12">
        <v>39739</v>
      </c>
      <c r="Z86" s="12">
        <v>63289.631062655899</v>
      </c>
      <c r="AA86" s="12">
        <v>2116.9500000000007</v>
      </c>
      <c r="AB86" s="12">
        <v>567.78521085670036</v>
      </c>
      <c r="AC86" s="12">
        <v>2000</v>
      </c>
      <c r="AD86" s="12">
        <v>4684.7352108567011</v>
      </c>
      <c r="AI86" s="12"/>
    </row>
    <row r="87" spans="1:35" x14ac:dyDescent="0.25">
      <c r="A87">
        <v>256</v>
      </c>
      <c r="B87" t="s">
        <v>675</v>
      </c>
      <c r="C87" s="19">
        <v>140400</v>
      </c>
      <c r="D87" s="19">
        <v>32187.557812112107</v>
      </c>
      <c r="E87" s="19">
        <v>275240</v>
      </c>
      <c r="F87" s="19">
        <v>447827.55781211209</v>
      </c>
      <c r="G87" s="19">
        <v>16512.209999999992</v>
      </c>
      <c r="H87" s="19">
        <v>6376.9307205769437</v>
      </c>
      <c r="I87" s="19">
        <v>8175.5999999999767</v>
      </c>
      <c r="J87" s="19">
        <v>31064.740720576912</v>
      </c>
      <c r="K87" s="19">
        <v>156912.21</v>
      </c>
      <c r="L87" s="19">
        <v>38564.488532689051</v>
      </c>
      <c r="M87" s="19">
        <v>283415.59999999998</v>
      </c>
      <c r="N87" s="19">
        <v>478892.29853268899</v>
      </c>
      <c r="P87">
        <v>264</v>
      </c>
      <c r="Q87">
        <v>1</v>
      </c>
      <c r="R87" t="s">
        <v>94</v>
      </c>
      <c r="S87" s="12">
        <v>18000</v>
      </c>
      <c r="T87" s="12">
        <v>1297.157879442907</v>
      </c>
      <c r="U87" s="12">
        <v>14244</v>
      </c>
      <c r="V87" s="12">
        <v>33541.157879442908</v>
      </c>
      <c r="W87" s="12">
        <v>20116.95</v>
      </c>
      <c r="X87" s="12">
        <v>1554.1480487233243</v>
      </c>
      <c r="Y87" s="12">
        <v>14696.8</v>
      </c>
      <c r="Z87" s="12">
        <v>36367.89804872332</v>
      </c>
      <c r="AA87" s="12">
        <v>2116.9500000000007</v>
      </c>
      <c r="AB87" s="12">
        <v>256.99016928041738</v>
      </c>
      <c r="AC87" s="12">
        <v>452.79999999999927</v>
      </c>
      <c r="AD87" s="12">
        <v>2826.7401692804174</v>
      </c>
      <c r="AI87" s="12"/>
    </row>
    <row r="88" spans="1:35" x14ac:dyDescent="0.25">
      <c r="A88">
        <v>261</v>
      </c>
      <c r="B88" t="s">
        <v>676</v>
      </c>
      <c r="C88" s="19">
        <v>18000</v>
      </c>
      <c r="D88" s="19">
        <v>2865.895851799196</v>
      </c>
      <c r="E88" s="19">
        <v>37739</v>
      </c>
      <c r="F88" s="19">
        <v>58604.8958517992</v>
      </c>
      <c r="G88" s="19">
        <v>2116.9500000000007</v>
      </c>
      <c r="H88" s="19">
        <v>567.78521085670036</v>
      </c>
      <c r="I88" s="19">
        <v>2000</v>
      </c>
      <c r="J88" s="19">
        <v>4684.7352108567011</v>
      </c>
      <c r="K88" s="19">
        <v>20116.95</v>
      </c>
      <c r="L88" s="19">
        <v>3433.6810626558963</v>
      </c>
      <c r="M88" s="19">
        <v>39739</v>
      </c>
      <c r="N88" s="19">
        <v>63289.631062655899</v>
      </c>
      <c r="P88">
        <v>270</v>
      </c>
      <c r="Q88">
        <v>1</v>
      </c>
      <c r="R88" t="s">
        <v>95</v>
      </c>
      <c r="S88" s="12">
        <v>373440</v>
      </c>
      <c r="T88" s="12">
        <v>84681.504532245948</v>
      </c>
      <c r="U88" s="12">
        <v>687771</v>
      </c>
      <c r="V88" s="12">
        <v>1145892.5045322459</v>
      </c>
      <c r="W88" s="12">
        <v>417359.65600000002</v>
      </c>
      <c r="X88" s="12">
        <v>101458.42469712876</v>
      </c>
      <c r="Y88" s="12">
        <v>710426.2</v>
      </c>
      <c r="Z88" s="12">
        <v>1229244.2806971287</v>
      </c>
      <c r="AA88" s="12">
        <v>43919.656000000017</v>
      </c>
      <c r="AB88" s="12">
        <v>16776.920164882817</v>
      </c>
      <c r="AC88" s="12">
        <v>22655.199999999953</v>
      </c>
      <c r="AD88" s="12">
        <v>83351.776164882787</v>
      </c>
      <c r="AI88" s="12"/>
    </row>
    <row r="89" spans="1:35" x14ac:dyDescent="0.25">
      <c r="A89">
        <v>264</v>
      </c>
      <c r="B89" t="s">
        <v>677</v>
      </c>
      <c r="C89" s="19">
        <v>18000</v>
      </c>
      <c r="D89" s="19">
        <v>1297.157879442907</v>
      </c>
      <c r="E89" s="19">
        <v>14244</v>
      </c>
      <c r="F89" s="19">
        <v>33541.157879442908</v>
      </c>
      <c r="G89" s="19">
        <v>2116.9500000000007</v>
      </c>
      <c r="H89" s="19">
        <v>256.99016928041738</v>
      </c>
      <c r="I89" s="19">
        <v>452.79999999999927</v>
      </c>
      <c r="J89" s="19">
        <v>2826.7401692804174</v>
      </c>
      <c r="K89" s="19">
        <v>20116.95</v>
      </c>
      <c r="L89" s="19">
        <v>1554.1480487233243</v>
      </c>
      <c r="M89" s="19">
        <v>14696.8</v>
      </c>
      <c r="N89" s="19">
        <v>36367.89804872332</v>
      </c>
      <c r="P89">
        <v>271</v>
      </c>
      <c r="Q89">
        <v>1</v>
      </c>
      <c r="R89" t="s">
        <v>96</v>
      </c>
      <c r="S89" s="12">
        <v>562320</v>
      </c>
      <c r="T89" s="12">
        <v>136188.41535659318</v>
      </c>
      <c r="U89" s="12">
        <v>1071112</v>
      </c>
      <c r="V89" s="12">
        <v>1769620.4153565932</v>
      </c>
      <c r="W89" s="12">
        <v>628453.51800000004</v>
      </c>
      <c r="X89" s="12">
        <v>163169.77550648781</v>
      </c>
      <c r="Y89" s="12">
        <v>1113443.2</v>
      </c>
      <c r="Z89" s="12">
        <v>1905066.4935064879</v>
      </c>
      <c r="AA89" s="12">
        <v>66133.51800000004</v>
      </c>
      <c r="AB89" s="12">
        <v>26981.360149894637</v>
      </c>
      <c r="AC89" s="12">
        <v>42331.199999999953</v>
      </c>
      <c r="AD89" s="12">
        <v>135446.07814989463</v>
      </c>
      <c r="AI89" s="12"/>
    </row>
    <row r="90" spans="1:35" x14ac:dyDescent="0.25">
      <c r="A90">
        <v>270</v>
      </c>
      <c r="B90" t="s">
        <v>678</v>
      </c>
      <c r="C90" s="19">
        <v>373440</v>
      </c>
      <c r="D90" s="19">
        <v>84681.504532245948</v>
      </c>
      <c r="E90" s="19">
        <v>687771</v>
      </c>
      <c r="F90" s="19">
        <v>1145892.5045322459</v>
      </c>
      <c r="G90" s="19">
        <v>43919.656000000017</v>
      </c>
      <c r="H90" s="19">
        <v>16776.920164882817</v>
      </c>
      <c r="I90" s="19">
        <v>22655.199999999953</v>
      </c>
      <c r="J90" s="19">
        <v>83351.776164882787</v>
      </c>
      <c r="K90" s="19">
        <v>417359.65600000002</v>
      </c>
      <c r="L90" s="19">
        <v>101458.42469712876</v>
      </c>
      <c r="M90" s="19">
        <v>710426.2</v>
      </c>
      <c r="N90" s="19">
        <v>1229244.2806971287</v>
      </c>
      <c r="P90">
        <v>272</v>
      </c>
      <c r="Q90">
        <v>1</v>
      </c>
      <c r="R90" t="s">
        <v>97</v>
      </c>
      <c r="S90" s="12">
        <v>546600</v>
      </c>
      <c r="T90" s="12">
        <v>90976.898388970716</v>
      </c>
      <c r="U90" s="12">
        <v>833667</v>
      </c>
      <c r="V90" s="12">
        <v>1471243.8983889706</v>
      </c>
      <c r="W90" s="12">
        <v>610884.71499999997</v>
      </c>
      <c r="X90" s="12">
        <v>109001.04863938592</v>
      </c>
      <c r="Y90" s="12">
        <v>848578.2</v>
      </c>
      <c r="Z90" s="12">
        <v>1568463.963639386</v>
      </c>
      <c r="AA90" s="12">
        <v>64284.714999999967</v>
      </c>
      <c r="AB90" s="12">
        <v>18024.150250415201</v>
      </c>
      <c r="AC90" s="12">
        <v>14911.199999999953</v>
      </c>
      <c r="AD90" s="12">
        <v>97220.065250415122</v>
      </c>
      <c r="AI90" s="12"/>
    </row>
    <row r="91" spans="1:35" x14ac:dyDescent="0.25">
      <c r="A91">
        <v>271</v>
      </c>
      <c r="B91" t="s">
        <v>679</v>
      </c>
      <c r="C91" s="19">
        <v>562320</v>
      </c>
      <c r="D91" s="19">
        <v>136188.41535659318</v>
      </c>
      <c r="E91" s="19">
        <v>1071112</v>
      </c>
      <c r="F91" s="19">
        <v>1769620.4153565932</v>
      </c>
      <c r="G91" s="19">
        <v>66133.51800000004</v>
      </c>
      <c r="H91" s="19">
        <v>26981.360149894637</v>
      </c>
      <c r="I91" s="19">
        <v>42331.199999999953</v>
      </c>
      <c r="J91" s="19">
        <v>135446.07814989463</v>
      </c>
      <c r="K91" s="19">
        <v>628453.51800000004</v>
      </c>
      <c r="L91" s="19">
        <v>163169.77550648781</v>
      </c>
      <c r="M91" s="19">
        <v>1113443.2</v>
      </c>
      <c r="N91" s="19">
        <v>1905066.4935064879</v>
      </c>
      <c r="P91">
        <v>273</v>
      </c>
      <c r="Q91">
        <v>1</v>
      </c>
      <c r="R91" t="s">
        <v>98</v>
      </c>
      <c r="S91" s="12">
        <v>355800</v>
      </c>
      <c r="T91" s="12">
        <v>51258.791228016111</v>
      </c>
      <c r="U91" s="12">
        <v>460759</v>
      </c>
      <c r="V91" s="12">
        <v>867817.79122801614</v>
      </c>
      <c r="W91" s="12">
        <v>397645.04499999998</v>
      </c>
      <c r="X91" s="12">
        <v>61414.074284581962</v>
      </c>
      <c r="Y91" s="12">
        <v>466892.2</v>
      </c>
      <c r="Z91" s="12">
        <v>925951.31928458204</v>
      </c>
      <c r="AA91" s="12">
        <v>41845.044999999984</v>
      </c>
      <c r="AB91" s="12">
        <v>10155.283056565851</v>
      </c>
      <c r="AC91" s="12">
        <v>6133.2000000000116</v>
      </c>
      <c r="AD91" s="12">
        <v>58133.528056565847</v>
      </c>
      <c r="AI91" s="12"/>
    </row>
    <row r="92" spans="1:35" x14ac:dyDescent="0.25">
      <c r="A92">
        <v>272</v>
      </c>
      <c r="B92" t="s">
        <v>680</v>
      </c>
      <c r="C92" s="19">
        <v>546600</v>
      </c>
      <c r="D92" s="19">
        <v>90976.898388970716</v>
      </c>
      <c r="E92" s="19">
        <v>833667</v>
      </c>
      <c r="F92" s="19">
        <v>1471243.8983889706</v>
      </c>
      <c r="G92" s="19">
        <v>64284.714999999967</v>
      </c>
      <c r="H92" s="19">
        <v>18024.150250415201</v>
      </c>
      <c r="I92" s="19">
        <v>14911.199999999953</v>
      </c>
      <c r="J92" s="19">
        <v>97220.065250415122</v>
      </c>
      <c r="K92" s="19">
        <v>610884.71499999997</v>
      </c>
      <c r="L92" s="19">
        <v>109001.04863938592</v>
      </c>
      <c r="M92" s="19">
        <v>848578.2</v>
      </c>
      <c r="N92" s="19">
        <v>1568463.963639386</v>
      </c>
      <c r="P92">
        <v>276</v>
      </c>
      <c r="Q92">
        <v>1</v>
      </c>
      <c r="R92" t="s">
        <v>99</v>
      </c>
      <c r="S92" s="12">
        <v>288000</v>
      </c>
      <c r="T92" s="12">
        <v>43601.241079745821</v>
      </c>
      <c r="U92" s="12">
        <v>888613</v>
      </c>
      <c r="V92" s="12">
        <v>1220214.2410797458</v>
      </c>
      <c r="W92" s="12">
        <v>321871.2</v>
      </c>
      <c r="X92" s="12">
        <v>52239.426533880709</v>
      </c>
      <c r="Y92" s="12">
        <v>897719.8</v>
      </c>
      <c r="Z92" s="12">
        <v>1271830.4265338806</v>
      </c>
      <c r="AA92" s="12">
        <v>33871.200000000012</v>
      </c>
      <c r="AB92" s="12">
        <v>8638.1854541348876</v>
      </c>
      <c r="AC92" s="12">
        <v>9106.8000000000466</v>
      </c>
      <c r="AD92" s="12">
        <v>51616.185454134946</v>
      </c>
      <c r="AI92" s="12"/>
    </row>
    <row r="93" spans="1:35" x14ac:dyDescent="0.25">
      <c r="A93">
        <v>273</v>
      </c>
      <c r="B93" t="s">
        <v>681</v>
      </c>
      <c r="C93" s="19">
        <v>355800</v>
      </c>
      <c r="D93" s="19">
        <v>51258.791228016111</v>
      </c>
      <c r="E93" s="19">
        <v>460759</v>
      </c>
      <c r="F93" s="19">
        <v>867817.79122801614</v>
      </c>
      <c r="G93" s="19">
        <v>41845.044999999984</v>
      </c>
      <c r="H93" s="19">
        <v>10155.283056565851</v>
      </c>
      <c r="I93" s="19">
        <v>6133.2000000000116</v>
      </c>
      <c r="J93" s="19">
        <v>58133.528056565847</v>
      </c>
      <c r="K93" s="19">
        <v>397645.04499999998</v>
      </c>
      <c r="L93" s="19">
        <v>61414.074284581962</v>
      </c>
      <c r="M93" s="19">
        <v>466892.2</v>
      </c>
      <c r="N93" s="19">
        <v>925951.31928458204</v>
      </c>
      <c r="P93">
        <v>277</v>
      </c>
      <c r="Q93">
        <v>1</v>
      </c>
      <c r="R93" t="s">
        <v>100</v>
      </c>
      <c r="S93" s="12">
        <v>122280</v>
      </c>
      <c r="T93" s="12">
        <v>23260.033426321665</v>
      </c>
      <c r="U93" s="12">
        <v>243483</v>
      </c>
      <c r="V93" s="12">
        <v>389023.03342632169</v>
      </c>
      <c r="W93" s="12">
        <v>136661.147</v>
      </c>
      <c r="X93" s="12">
        <v>27868.261940699413</v>
      </c>
      <c r="Y93" s="12">
        <v>250795.4</v>
      </c>
      <c r="Z93" s="12">
        <v>415324.80894069944</v>
      </c>
      <c r="AA93" s="12">
        <v>14381.146999999997</v>
      </c>
      <c r="AB93" s="12">
        <v>4608.2285143777481</v>
      </c>
      <c r="AC93" s="12">
        <v>7312.3999999999942</v>
      </c>
      <c r="AD93" s="12">
        <v>26301.775514377739</v>
      </c>
      <c r="AI93" s="12"/>
    </row>
    <row r="94" spans="1:35" x14ac:dyDescent="0.25">
      <c r="A94">
        <v>276</v>
      </c>
      <c r="B94" t="s">
        <v>682</v>
      </c>
      <c r="C94" s="19">
        <v>288000</v>
      </c>
      <c r="D94" s="19">
        <v>43601.241079745821</v>
      </c>
      <c r="E94" s="19">
        <v>888613</v>
      </c>
      <c r="F94" s="19">
        <v>1220214.2410797458</v>
      </c>
      <c r="G94" s="19">
        <v>33871.200000000012</v>
      </c>
      <c r="H94" s="19">
        <v>8638.1854541348876</v>
      </c>
      <c r="I94" s="19">
        <v>9106.8000000000466</v>
      </c>
      <c r="J94" s="19">
        <v>51616.185454134946</v>
      </c>
      <c r="K94" s="19">
        <v>321871.2</v>
      </c>
      <c r="L94" s="19">
        <v>52239.426533880709</v>
      </c>
      <c r="M94" s="19">
        <v>897719.8</v>
      </c>
      <c r="N94" s="19">
        <v>1271830.4265338806</v>
      </c>
      <c r="P94">
        <v>278</v>
      </c>
      <c r="Q94">
        <v>1</v>
      </c>
      <c r="R94" t="s">
        <v>101</v>
      </c>
      <c r="S94" s="12">
        <v>79800</v>
      </c>
      <c r="T94" s="12">
        <v>12699.288459331532</v>
      </c>
      <c r="U94" s="12">
        <v>254590</v>
      </c>
      <c r="V94" s="12">
        <v>347089.2884593315</v>
      </c>
      <c r="W94" s="12">
        <v>89185.145000000004</v>
      </c>
      <c r="X94" s="12">
        <v>15215.244568163931</v>
      </c>
      <c r="Y94" s="12">
        <v>257454.8</v>
      </c>
      <c r="Z94" s="12">
        <v>361855.18956816394</v>
      </c>
      <c r="AA94" s="12">
        <v>9385.1450000000041</v>
      </c>
      <c r="AB94" s="12">
        <v>2515.956108832399</v>
      </c>
      <c r="AC94" s="12">
        <v>2864.7999999999884</v>
      </c>
      <c r="AD94" s="12">
        <v>14765.901108832391</v>
      </c>
      <c r="AI94" s="12"/>
    </row>
    <row r="95" spans="1:35" x14ac:dyDescent="0.25">
      <c r="A95">
        <v>277</v>
      </c>
      <c r="B95" t="s">
        <v>683</v>
      </c>
      <c r="C95" s="19">
        <v>122280</v>
      </c>
      <c r="D95" s="19">
        <v>23260.033426321665</v>
      </c>
      <c r="E95" s="19">
        <v>243483</v>
      </c>
      <c r="F95" s="19">
        <v>389023.03342632169</v>
      </c>
      <c r="G95" s="19">
        <v>14381.146999999997</v>
      </c>
      <c r="H95" s="19">
        <v>4608.2285143777481</v>
      </c>
      <c r="I95" s="19">
        <v>7312.3999999999942</v>
      </c>
      <c r="J95" s="19">
        <v>26301.775514377739</v>
      </c>
      <c r="K95" s="19">
        <v>136661.147</v>
      </c>
      <c r="L95" s="19">
        <v>27868.261940699413</v>
      </c>
      <c r="M95" s="19">
        <v>250795.4</v>
      </c>
      <c r="N95" s="19">
        <v>415324.80894069944</v>
      </c>
      <c r="P95">
        <v>279</v>
      </c>
      <c r="Q95">
        <v>1</v>
      </c>
      <c r="R95" t="s">
        <v>102</v>
      </c>
      <c r="S95" s="12">
        <v>1335960</v>
      </c>
      <c r="T95" s="12">
        <v>293410.22811182647</v>
      </c>
      <c r="U95" s="12">
        <v>2464510</v>
      </c>
      <c r="V95" s="12">
        <v>4093880.2281118263</v>
      </c>
      <c r="W95" s="12">
        <v>1493080.0290000001</v>
      </c>
      <c r="X95" s="12">
        <v>351540.04051634879</v>
      </c>
      <c r="Y95" s="12">
        <v>2548947.6</v>
      </c>
      <c r="Z95" s="12">
        <v>4393567.6695163492</v>
      </c>
      <c r="AA95" s="12">
        <v>157120.0290000001</v>
      </c>
      <c r="AB95" s="12">
        <v>58129.812404522323</v>
      </c>
      <c r="AC95" s="12">
        <v>84437.600000000093</v>
      </c>
      <c r="AD95" s="12">
        <v>299687.44140452251</v>
      </c>
      <c r="AI95" s="12"/>
    </row>
    <row r="96" spans="1:35" x14ac:dyDescent="0.25">
      <c r="A96">
        <v>278</v>
      </c>
      <c r="B96" t="s">
        <v>684</v>
      </c>
      <c r="C96" s="19">
        <v>79800</v>
      </c>
      <c r="D96" s="19">
        <v>12699.288459331532</v>
      </c>
      <c r="E96" s="19">
        <v>254590</v>
      </c>
      <c r="F96" s="19">
        <v>347089.2884593315</v>
      </c>
      <c r="G96" s="19">
        <v>9385.1450000000041</v>
      </c>
      <c r="H96" s="19">
        <v>2515.956108832399</v>
      </c>
      <c r="I96" s="19">
        <v>2864.7999999999884</v>
      </c>
      <c r="J96" s="19">
        <v>14765.901108832391</v>
      </c>
      <c r="K96" s="19">
        <v>89185.145000000004</v>
      </c>
      <c r="L96" s="19">
        <v>15215.244568163931</v>
      </c>
      <c r="M96" s="19">
        <v>257454.8</v>
      </c>
      <c r="N96" s="19">
        <v>361855.18956816394</v>
      </c>
      <c r="P96">
        <v>280</v>
      </c>
      <c r="Q96">
        <v>1</v>
      </c>
      <c r="R96" t="s">
        <v>103</v>
      </c>
      <c r="S96" s="12">
        <v>272880</v>
      </c>
      <c r="T96" s="12">
        <v>75283.631036757055</v>
      </c>
      <c r="U96" s="12">
        <v>473638</v>
      </c>
      <c r="V96" s="12">
        <v>821801.63103675703</v>
      </c>
      <c r="W96" s="12">
        <v>304972.962</v>
      </c>
      <c r="X96" s="12">
        <v>90198.664426902091</v>
      </c>
      <c r="Y96" s="12">
        <v>491365.2</v>
      </c>
      <c r="Z96" s="12">
        <v>886536.82642690209</v>
      </c>
      <c r="AA96" s="12">
        <v>32092.962</v>
      </c>
      <c r="AB96" s="12">
        <v>14915.033390145036</v>
      </c>
      <c r="AC96" s="12">
        <v>17727.200000000012</v>
      </c>
      <c r="AD96" s="12">
        <v>64735.195390145047</v>
      </c>
      <c r="AI96" s="12"/>
    </row>
    <row r="97" spans="1:35" x14ac:dyDescent="0.25">
      <c r="A97">
        <v>279</v>
      </c>
      <c r="B97" t="s">
        <v>685</v>
      </c>
      <c r="C97" s="19">
        <v>1335960</v>
      </c>
      <c r="D97" s="19">
        <v>293410.22811182647</v>
      </c>
      <c r="E97" s="19">
        <v>2464510</v>
      </c>
      <c r="F97" s="19">
        <v>4093880.2281118263</v>
      </c>
      <c r="G97" s="19">
        <v>157120.0290000001</v>
      </c>
      <c r="H97" s="19">
        <v>58129.812404522323</v>
      </c>
      <c r="I97" s="19">
        <v>84437.600000000093</v>
      </c>
      <c r="J97" s="19">
        <v>299687.44140452251</v>
      </c>
      <c r="K97" s="19">
        <v>1493080.0290000001</v>
      </c>
      <c r="L97" s="19">
        <v>351540.04051634879</v>
      </c>
      <c r="M97" s="19">
        <v>2548947.6</v>
      </c>
      <c r="N97" s="19">
        <v>4393567.6695163492</v>
      </c>
      <c r="P97">
        <v>281</v>
      </c>
      <c r="Q97">
        <v>1</v>
      </c>
      <c r="R97" t="s">
        <v>104</v>
      </c>
      <c r="S97" s="12">
        <v>833760</v>
      </c>
      <c r="T97" s="12">
        <v>204635.11290021826</v>
      </c>
      <c r="U97" s="12">
        <v>1402971</v>
      </c>
      <c r="V97" s="12">
        <v>2441366.112900218</v>
      </c>
      <c r="W97" s="12">
        <v>931817.12399999995</v>
      </c>
      <c r="X97" s="12">
        <v>245176.98766994948</v>
      </c>
      <c r="Y97" s="12">
        <v>1452814.2</v>
      </c>
      <c r="Z97" s="12">
        <v>2629808.3116699494</v>
      </c>
      <c r="AA97" s="12">
        <v>98057.123999999953</v>
      </c>
      <c r="AB97" s="12">
        <v>40541.874769731221</v>
      </c>
      <c r="AC97" s="12">
        <v>49843.199999999953</v>
      </c>
      <c r="AD97" s="12">
        <v>188442.19876973113</v>
      </c>
      <c r="AI97" s="12"/>
    </row>
    <row r="98" spans="1:35" x14ac:dyDescent="0.25">
      <c r="A98">
        <v>280</v>
      </c>
      <c r="B98" t="s">
        <v>686</v>
      </c>
      <c r="C98" s="19">
        <v>272880</v>
      </c>
      <c r="D98" s="19">
        <v>75283.631036757055</v>
      </c>
      <c r="E98" s="19">
        <v>473638</v>
      </c>
      <c r="F98" s="19">
        <v>821801.63103675703</v>
      </c>
      <c r="G98" s="19">
        <v>32092.962</v>
      </c>
      <c r="H98" s="19">
        <v>14915.033390145036</v>
      </c>
      <c r="I98" s="19">
        <v>17727.200000000012</v>
      </c>
      <c r="J98" s="19">
        <v>64735.195390145047</v>
      </c>
      <c r="K98" s="19">
        <v>304972.962</v>
      </c>
      <c r="L98" s="19">
        <v>90198.664426902091</v>
      </c>
      <c r="M98" s="19">
        <v>491365.2</v>
      </c>
      <c r="N98" s="19">
        <v>886536.82642690209</v>
      </c>
      <c r="P98">
        <v>282</v>
      </c>
      <c r="Q98">
        <v>1</v>
      </c>
      <c r="R98" t="s">
        <v>105</v>
      </c>
      <c r="S98" s="12">
        <v>49200</v>
      </c>
      <c r="T98" s="12">
        <v>11662.163611183218</v>
      </c>
      <c r="U98" s="12">
        <v>172092</v>
      </c>
      <c r="V98" s="12">
        <v>232954.16361118323</v>
      </c>
      <c r="W98" s="12">
        <v>54986.33</v>
      </c>
      <c r="X98" s="12">
        <v>13972.64674366132</v>
      </c>
      <c r="Y98" s="12">
        <v>177066</v>
      </c>
      <c r="Z98" s="12">
        <v>246024.97674366133</v>
      </c>
      <c r="AA98" s="12">
        <v>5786.3300000000017</v>
      </c>
      <c r="AB98" s="12">
        <v>2310.4831324781026</v>
      </c>
      <c r="AC98" s="12">
        <v>4974</v>
      </c>
      <c r="AD98" s="12">
        <v>13070.813132478104</v>
      </c>
      <c r="AI98" s="12"/>
    </row>
    <row r="99" spans="1:35" x14ac:dyDescent="0.25">
      <c r="A99">
        <v>281</v>
      </c>
      <c r="B99" t="s">
        <v>687</v>
      </c>
      <c r="C99" s="19">
        <v>833760</v>
      </c>
      <c r="D99" s="19">
        <v>204635.11290021826</v>
      </c>
      <c r="E99" s="19">
        <v>1402971</v>
      </c>
      <c r="F99" s="19">
        <v>2441366.112900218</v>
      </c>
      <c r="G99" s="19">
        <v>98057.123999999953</v>
      </c>
      <c r="H99" s="19">
        <v>40541.874769731221</v>
      </c>
      <c r="I99" s="19">
        <v>49843.199999999953</v>
      </c>
      <c r="J99" s="19">
        <v>188442.19876973113</v>
      </c>
      <c r="K99" s="19">
        <v>931817.12399999995</v>
      </c>
      <c r="L99" s="19">
        <v>245176.98766994948</v>
      </c>
      <c r="M99" s="19">
        <v>1452814.2</v>
      </c>
      <c r="N99" s="19">
        <v>2629808.3116699494</v>
      </c>
      <c r="P99">
        <v>283</v>
      </c>
      <c r="Q99">
        <v>1</v>
      </c>
      <c r="R99" t="s">
        <v>106</v>
      </c>
      <c r="S99" s="12">
        <v>400920</v>
      </c>
      <c r="T99" s="12">
        <v>72961.089809709563</v>
      </c>
      <c r="U99" s="12">
        <v>391806</v>
      </c>
      <c r="V99" s="12">
        <v>865687.08980970958</v>
      </c>
      <c r="W99" s="12">
        <v>448071.533</v>
      </c>
      <c r="X99" s="12">
        <v>87415.986255417258</v>
      </c>
      <c r="Y99" s="12">
        <v>403721.6</v>
      </c>
      <c r="Z99" s="12">
        <v>939209.11925541726</v>
      </c>
      <c r="AA99" s="12">
        <v>47151.532999999996</v>
      </c>
      <c r="AB99" s="12">
        <v>14454.896445707695</v>
      </c>
      <c r="AC99" s="12">
        <v>11915.599999999977</v>
      </c>
      <c r="AD99" s="12">
        <v>73522.029445707667</v>
      </c>
      <c r="AI99" s="12"/>
    </row>
    <row r="100" spans="1:35" x14ac:dyDescent="0.25">
      <c r="A100">
        <v>282</v>
      </c>
      <c r="B100" t="s">
        <v>688</v>
      </c>
      <c r="C100" s="19">
        <v>49200</v>
      </c>
      <c r="D100" s="19">
        <v>11662.163611183218</v>
      </c>
      <c r="E100" s="19">
        <v>172092</v>
      </c>
      <c r="F100" s="19">
        <v>232954.16361118323</v>
      </c>
      <c r="G100" s="19">
        <v>5786.3300000000017</v>
      </c>
      <c r="H100" s="19">
        <v>2310.4831324781026</v>
      </c>
      <c r="I100" s="19">
        <v>4974</v>
      </c>
      <c r="J100" s="19">
        <v>13070.813132478104</v>
      </c>
      <c r="K100" s="19">
        <v>54986.33</v>
      </c>
      <c r="L100" s="19">
        <v>13972.64674366132</v>
      </c>
      <c r="M100" s="19">
        <v>177066</v>
      </c>
      <c r="N100" s="19">
        <v>246024.97674366133</v>
      </c>
      <c r="P100">
        <v>284</v>
      </c>
      <c r="Q100">
        <v>1</v>
      </c>
      <c r="R100" t="s">
        <v>107</v>
      </c>
      <c r="S100" s="12">
        <v>422400</v>
      </c>
      <c r="T100" s="12">
        <v>74078.145034206624</v>
      </c>
      <c r="U100" s="12">
        <v>999115</v>
      </c>
      <c r="V100" s="12">
        <v>1495593.1450342066</v>
      </c>
      <c r="W100" s="12">
        <v>472077.76</v>
      </c>
      <c r="X100" s="12">
        <v>88754.350092989509</v>
      </c>
      <c r="Y100" s="12">
        <v>1015434.6</v>
      </c>
      <c r="Z100" s="12">
        <v>1576266.7100929895</v>
      </c>
      <c r="AA100" s="12">
        <v>49677.760000000009</v>
      </c>
      <c r="AB100" s="12">
        <v>14676.205058782885</v>
      </c>
      <c r="AC100" s="12">
        <v>16319.599999999977</v>
      </c>
      <c r="AD100" s="12">
        <v>80673.565058782871</v>
      </c>
      <c r="AI100" s="12"/>
    </row>
    <row r="101" spans="1:35" x14ac:dyDescent="0.25">
      <c r="A101">
        <v>283</v>
      </c>
      <c r="B101" t="s">
        <v>689</v>
      </c>
      <c r="C101" s="19">
        <v>400920</v>
      </c>
      <c r="D101" s="19">
        <v>72961.089809709563</v>
      </c>
      <c r="E101" s="19">
        <v>391806</v>
      </c>
      <c r="F101" s="19">
        <v>865687.08980970958</v>
      </c>
      <c r="G101" s="19">
        <v>47151.532999999996</v>
      </c>
      <c r="H101" s="19">
        <v>14454.896445707695</v>
      </c>
      <c r="I101" s="19">
        <v>11915.599999999977</v>
      </c>
      <c r="J101" s="19">
        <v>73522.029445707667</v>
      </c>
      <c r="K101" s="19">
        <v>448071.533</v>
      </c>
      <c r="L101" s="19">
        <v>87415.986255417258</v>
      </c>
      <c r="M101" s="19">
        <v>403721.6</v>
      </c>
      <c r="N101" s="19">
        <v>939209.11925541726</v>
      </c>
      <c r="P101">
        <v>286</v>
      </c>
      <c r="Q101">
        <v>1</v>
      </c>
      <c r="R101" t="s">
        <v>108</v>
      </c>
      <c r="S101" s="12">
        <v>108000</v>
      </c>
      <c r="T101" s="12">
        <v>40313.481399569224</v>
      </c>
      <c r="U101" s="12">
        <v>266053</v>
      </c>
      <c r="V101" s="12">
        <v>414366.48139956919</v>
      </c>
      <c r="W101" s="12">
        <v>120701.7</v>
      </c>
      <c r="X101" s="12">
        <v>48300.30287546209</v>
      </c>
      <c r="Y101" s="12">
        <v>279789</v>
      </c>
      <c r="Z101" s="12">
        <v>448791.00287546206</v>
      </c>
      <c r="AA101" s="12">
        <v>12701.699999999997</v>
      </c>
      <c r="AB101" s="12">
        <v>7986.8214758928661</v>
      </c>
      <c r="AC101" s="12">
        <v>13736</v>
      </c>
      <c r="AD101" s="12">
        <v>34424.521475892863</v>
      </c>
      <c r="AI101" s="12"/>
    </row>
    <row r="102" spans="1:35" x14ac:dyDescent="0.25">
      <c r="A102">
        <v>284</v>
      </c>
      <c r="B102" t="s">
        <v>690</v>
      </c>
      <c r="C102" s="19">
        <v>422400</v>
      </c>
      <c r="D102" s="19">
        <v>74078.145034206624</v>
      </c>
      <c r="E102" s="19">
        <v>999115</v>
      </c>
      <c r="F102" s="19">
        <v>1495593.1450342066</v>
      </c>
      <c r="G102" s="19">
        <v>49677.760000000009</v>
      </c>
      <c r="H102" s="19">
        <v>14676.205058782885</v>
      </c>
      <c r="I102" s="19">
        <v>16319.599999999977</v>
      </c>
      <c r="J102" s="19">
        <v>80673.565058782871</v>
      </c>
      <c r="K102" s="19">
        <v>472077.76</v>
      </c>
      <c r="L102" s="19">
        <v>88754.350092989509</v>
      </c>
      <c r="M102" s="19">
        <v>1015434.6</v>
      </c>
      <c r="N102" s="19">
        <v>1576266.7100929895</v>
      </c>
      <c r="P102">
        <v>294</v>
      </c>
      <c r="Q102">
        <v>1</v>
      </c>
      <c r="R102" t="s">
        <v>109</v>
      </c>
      <c r="S102" s="12">
        <v>18000</v>
      </c>
      <c r="T102" s="12">
        <v>14456.474432297473</v>
      </c>
      <c r="U102" s="12">
        <v>55241</v>
      </c>
      <c r="V102" s="12">
        <v>87697.474432297473</v>
      </c>
      <c r="W102" s="12">
        <v>20116.95</v>
      </c>
      <c r="X102" s="12">
        <v>17320.560501103311</v>
      </c>
      <c r="Y102" s="12">
        <v>58036.2</v>
      </c>
      <c r="Z102" s="12">
        <v>95473.710501103313</v>
      </c>
      <c r="AA102" s="12">
        <v>2116.9500000000007</v>
      </c>
      <c r="AB102" s="12">
        <v>2864.0860688058383</v>
      </c>
      <c r="AC102" s="12">
        <v>2795.1999999999971</v>
      </c>
      <c r="AD102" s="12">
        <v>7776.2360688058361</v>
      </c>
      <c r="AI102" s="12"/>
    </row>
    <row r="103" spans="1:35" x14ac:dyDescent="0.25">
      <c r="A103">
        <v>286</v>
      </c>
      <c r="B103" t="s">
        <v>691</v>
      </c>
      <c r="C103" s="19">
        <v>108000</v>
      </c>
      <c r="D103" s="19">
        <v>40313.481399569224</v>
      </c>
      <c r="E103" s="19">
        <v>266053</v>
      </c>
      <c r="F103" s="19">
        <v>414366.48139956919</v>
      </c>
      <c r="G103" s="19">
        <v>12701.699999999997</v>
      </c>
      <c r="H103" s="19">
        <v>7986.8214758928661</v>
      </c>
      <c r="I103" s="19">
        <v>13736</v>
      </c>
      <c r="J103" s="19">
        <v>34424.521475892863</v>
      </c>
      <c r="K103" s="19">
        <v>120701.7</v>
      </c>
      <c r="L103" s="19">
        <v>48300.30287546209</v>
      </c>
      <c r="M103" s="19">
        <v>279789</v>
      </c>
      <c r="N103" s="19">
        <v>448791.00287546206</v>
      </c>
      <c r="P103">
        <v>297</v>
      </c>
      <c r="Q103">
        <v>1</v>
      </c>
      <c r="R103" t="s">
        <v>110</v>
      </c>
      <c r="S103" s="12">
        <v>18000</v>
      </c>
      <c r="T103" s="12">
        <v>3118.8264612522548</v>
      </c>
      <c r="U103" s="12">
        <v>49119</v>
      </c>
      <c r="V103" s="12">
        <v>70237.826461252262</v>
      </c>
      <c r="W103" s="12">
        <v>20116.95</v>
      </c>
      <c r="X103" s="12">
        <v>3736.7217482759806</v>
      </c>
      <c r="Y103" s="12">
        <v>51561.4</v>
      </c>
      <c r="Z103" s="12">
        <v>75415.071748275979</v>
      </c>
      <c r="AA103" s="12">
        <v>2116.9500000000007</v>
      </c>
      <c r="AB103" s="12">
        <v>617.89528702372581</v>
      </c>
      <c r="AC103" s="12">
        <v>2442.4000000000015</v>
      </c>
      <c r="AD103" s="12">
        <v>5177.2452870237285</v>
      </c>
      <c r="AI103" s="12"/>
    </row>
    <row r="104" spans="1:35" x14ac:dyDescent="0.25">
      <c r="A104">
        <v>294</v>
      </c>
      <c r="B104" t="s">
        <v>692</v>
      </c>
      <c r="C104" s="19">
        <v>18000</v>
      </c>
      <c r="D104" s="19">
        <v>14456.474432297473</v>
      </c>
      <c r="E104" s="19">
        <v>55241</v>
      </c>
      <c r="F104" s="19">
        <v>87697.474432297473</v>
      </c>
      <c r="G104" s="19">
        <v>2116.9500000000007</v>
      </c>
      <c r="H104" s="19">
        <v>2864.0860688058383</v>
      </c>
      <c r="I104" s="19">
        <v>2795.1999999999971</v>
      </c>
      <c r="J104" s="19">
        <v>7776.2360688058361</v>
      </c>
      <c r="K104" s="19">
        <v>20116.95</v>
      </c>
      <c r="L104" s="19">
        <v>17320.560501103311</v>
      </c>
      <c r="M104" s="19">
        <v>58036.2</v>
      </c>
      <c r="N104" s="19">
        <v>95473.710501103313</v>
      </c>
      <c r="P104">
        <v>299</v>
      </c>
      <c r="Q104">
        <v>1</v>
      </c>
      <c r="R104" t="s">
        <v>111</v>
      </c>
      <c r="S104" s="12">
        <v>48600</v>
      </c>
      <c r="T104" s="12">
        <v>8760.0341557396059</v>
      </c>
      <c r="U104" s="12">
        <v>110404</v>
      </c>
      <c r="V104" s="12">
        <v>167764.03415573959</v>
      </c>
      <c r="W104" s="12">
        <v>54315.764999999999</v>
      </c>
      <c r="X104" s="12">
        <v>10495.553552617192</v>
      </c>
      <c r="Y104" s="12">
        <v>114867.6</v>
      </c>
      <c r="Z104" s="12">
        <v>179678.91855261719</v>
      </c>
      <c r="AA104" s="12">
        <v>5715.7649999999994</v>
      </c>
      <c r="AB104" s="12">
        <v>1735.5193968775857</v>
      </c>
      <c r="AC104" s="12">
        <v>4463.6000000000058</v>
      </c>
      <c r="AD104" s="12">
        <v>11914.884396877591</v>
      </c>
      <c r="AI104" s="12"/>
    </row>
    <row r="105" spans="1:35" x14ac:dyDescent="0.25">
      <c r="A105">
        <v>297</v>
      </c>
      <c r="B105" t="s">
        <v>693</v>
      </c>
      <c r="C105" s="19">
        <v>18000</v>
      </c>
      <c r="D105" s="19">
        <v>3118.8264612522548</v>
      </c>
      <c r="E105" s="19">
        <v>49119</v>
      </c>
      <c r="F105" s="19">
        <v>70237.826461252262</v>
      </c>
      <c r="G105" s="19">
        <v>2116.9500000000007</v>
      </c>
      <c r="H105" s="19">
        <v>617.89528702372581</v>
      </c>
      <c r="I105" s="19">
        <v>2442.4000000000015</v>
      </c>
      <c r="J105" s="19">
        <v>5177.2452870237285</v>
      </c>
      <c r="K105" s="19">
        <v>20116.95</v>
      </c>
      <c r="L105" s="19">
        <v>3736.7217482759806</v>
      </c>
      <c r="M105" s="19">
        <v>51561.4</v>
      </c>
      <c r="N105" s="19">
        <v>75415.071748275979</v>
      </c>
      <c r="P105">
        <v>300</v>
      </c>
      <c r="Q105">
        <v>1</v>
      </c>
      <c r="R105" t="s">
        <v>112</v>
      </c>
      <c r="S105" s="12">
        <v>62880</v>
      </c>
      <c r="T105" s="12">
        <v>11134.989500626201</v>
      </c>
      <c r="U105" s="12">
        <v>136949</v>
      </c>
      <c r="V105" s="12">
        <v>210963.98950062619</v>
      </c>
      <c r="W105" s="12">
        <v>70275.212</v>
      </c>
      <c r="X105" s="12">
        <v>13341.030015856752</v>
      </c>
      <c r="Y105" s="12">
        <v>140891</v>
      </c>
      <c r="Z105" s="12">
        <v>224507.24201585675</v>
      </c>
      <c r="AA105" s="12">
        <v>7395.2119999999995</v>
      </c>
      <c r="AB105" s="12">
        <v>2206.0405152305502</v>
      </c>
      <c r="AC105" s="12">
        <v>3942</v>
      </c>
      <c r="AD105" s="12">
        <v>13543.25251523055</v>
      </c>
      <c r="AI105" s="12"/>
    </row>
    <row r="106" spans="1:35" x14ac:dyDescent="0.25">
      <c r="A106">
        <v>299</v>
      </c>
      <c r="B106" t="s">
        <v>694</v>
      </c>
      <c r="C106" s="19">
        <v>48600</v>
      </c>
      <c r="D106" s="19">
        <v>8760.0341557396059</v>
      </c>
      <c r="E106" s="19">
        <v>110404</v>
      </c>
      <c r="F106" s="19">
        <v>167764.03415573959</v>
      </c>
      <c r="G106" s="19">
        <v>5715.7649999999994</v>
      </c>
      <c r="H106" s="19">
        <v>1735.5193968775857</v>
      </c>
      <c r="I106" s="19">
        <v>4463.6000000000058</v>
      </c>
      <c r="J106" s="19">
        <v>11914.884396877591</v>
      </c>
      <c r="K106" s="19">
        <v>54315.764999999999</v>
      </c>
      <c r="L106" s="19">
        <v>10495.553552617192</v>
      </c>
      <c r="M106" s="19">
        <v>114867.6</v>
      </c>
      <c r="N106" s="19">
        <v>179678.91855261719</v>
      </c>
      <c r="P106">
        <v>306</v>
      </c>
      <c r="Q106">
        <v>1</v>
      </c>
      <c r="R106" t="s">
        <v>113</v>
      </c>
      <c r="S106" s="12">
        <v>18000</v>
      </c>
      <c r="T106" s="12">
        <v>4907.2799686998378</v>
      </c>
      <c r="U106" s="12">
        <v>39438</v>
      </c>
      <c r="V106" s="12">
        <v>62345.279968699833</v>
      </c>
      <c r="W106" s="12">
        <v>20116.95</v>
      </c>
      <c r="X106" s="12">
        <v>5879.4998733456705</v>
      </c>
      <c r="Y106" s="12">
        <v>42149.599999999999</v>
      </c>
      <c r="Z106" s="12">
        <v>68146.049873345677</v>
      </c>
      <c r="AA106" s="12">
        <v>2116.9500000000007</v>
      </c>
      <c r="AB106" s="12">
        <v>972.21990464583268</v>
      </c>
      <c r="AC106" s="12">
        <v>2711.5999999999985</v>
      </c>
      <c r="AD106" s="12">
        <v>5800.769904645832</v>
      </c>
      <c r="AI106" s="12"/>
    </row>
    <row r="107" spans="1:35" x14ac:dyDescent="0.25">
      <c r="A107">
        <v>300</v>
      </c>
      <c r="B107" t="s">
        <v>695</v>
      </c>
      <c r="C107" s="19">
        <v>62880</v>
      </c>
      <c r="D107" s="19">
        <v>11134.989500626201</v>
      </c>
      <c r="E107" s="19">
        <v>136949</v>
      </c>
      <c r="F107" s="19">
        <v>210963.98950062619</v>
      </c>
      <c r="G107" s="19">
        <v>7395.2119999999995</v>
      </c>
      <c r="H107" s="19">
        <v>2206.0405152305502</v>
      </c>
      <c r="I107" s="19">
        <v>3942</v>
      </c>
      <c r="J107" s="19">
        <v>13543.25251523055</v>
      </c>
      <c r="K107" s="19">
        <v>70275.212</v>
      </c>
      <c r="L107" s="19">
        <v>13341.030015856752</v>
      </c>
      <c r="M107" s="19">
        <v>140891</v>
      </c>
      <c r="N107" s="19">
        <v>224507.24201585675</v>
      </c>
      <c r="P107">
        <v>308</v>
      </c>
      <c r="Q107">
        <v>1</v>
      </c>
      <c r="R107" t="s">
        <v>114</v>
      </c>
      <c r="S107" s="12">
        <v>18000</v>
      </c>
      <c r="T107" s="12">
        <v>6694.6681128711916</v>
      </c>
      <c r="U107" s="12">
        <v>63466</v>
      </c>
      <c r="V107" s="12">
        <v>88160.668112871193</v>
      </c>
      <c r="W107" s="12">
        <v>20116.95</v>
      </c>
      <c r="X107" s="12">
        <v>8021.001567625266</v>
      </c>
      <c r="Y107" s="12">
        <v>66750.8</v>
      </c>
      <c r="Z107" s="12">
        <v>94888.751567625266</v>
      </c>
      <c r="AA107" s="12">
        <v>2116.9500000000007</v>
      </c>
      <c r="AB107" s="12">
        <v>1326.3334547540744</v>
      </c>
      <c r="AC107" s="12">
        <v>3284.8000000000029</v>
      </c>
      <c r="AD107" s="12">
        <v>6728.083454754078</v>
      </c>
      <c r="AI107" s="12"/>
    </row>
    <row r="108" spans="1:35" x14ac:dyDescent="0.25">
      <c r="A108">
        <v>306</v>
      </c>
      <c r="B108" t="s">
        <v>696</v>
      </c>
      <c r="C108" s="19">
        <v>18000</v>
      </c>
      <c r="D108" s="19">
        <v>4907.2799686998378</v>
      </c>
      <c r="E108" s="19">
        <v>39438</v>
      </c>
      <c r="F108" s="19">
        <v>62345.279968699833</v>
      </c>
      <c r="G108" s="19">
        <v>2116.9500000000007</v>
      </c>
      <c r="H108" s="19">
        <v>972.21990464583268</v>
      </c>
      <c r="I108" s="19">
        <v>2711.5999999999985</v>
      </c>
      <c r="J108" s="19">
        <v>5800.769904645832</v>
      </c>
      <c r="K108" s="19">
        <v>20116.95</v>
      </c>
      <c r="L108" s="19">
        <v>5879.4998733456705</v>
      </c>
      <c r="M108" s="19">
        <v>42149.599999999999</v>
      </c>
      <c r="N108" s="19">
        <v>68146.049873345677</v>
      </c>
      <c r="P108">
        <v>309</v>
      </c>
      <c r="Q108">
        <v>1</v>
      </c>
      <c r="R108" t="s">
        <v>115</v>
      </c>
      <c r="S108" s="12">
        <v>81600</v>
      </c>
      <c r="T108" s="12">
        <v>21895.019287660623</v>
      </c>
      <c r="U108" s="12">
        <v>172112</v>
      </c>
      <c r="V108" s="12">
        <v>275607.0192876606</v>
      </c>
      <c r="W108" s="12">
        <v>91196.84</v>
      </c>
      <c r="X108" s="12">
        <v>26232.814094527512</v>
      </c>
      <c r="Y108" s="12">
        <v>179197.2</v>
      </c>
      <c r="Z108" s="12">
        <v>296626.85409452755</v>
      </c>
      <c r="AA108" s="12">
        <v>9596.8399999999965</v>
      </c>
      <c r="AB108" s="12">
        <v>4337.7948068668884</v>
      </c>
      <c r="AC108" s="12">
        <v>7085.2000000000116</v>
      </c>
      <c r="AD108" s="12">
        <v>21019.834806866897</v>
      </c>
      <c r="AI108" s="12"/>
    </row>
    <row r="109" spans="1:35" x14ac:dyDescent="0.25">
      <c r="A109">
        <v>308</v>
      </c>
      <c r="B109" t="s">
        <v>697</v>
      </c>
      <c r="C109" s="19">
        <v>18000</v>
      </c>
      <c r="D109" s="19">
        <v>6694.6681128711916</v>
      </c>
      <c r="E109" s="19">
        <v>63466</v>
      </c>
      <c r="F109" s="19">
        <v>88160.668112871193</v>
      </c>
      <c r="G109" s="19">
        <v>2116.9500000000007</v>
      </c>
      <c r="H109" s="19">
        <v>1326.3334547540744</v>
      </c>
      <c r="I109" s="19">
        <v>3284.8000000000029</v>
      </c>
      <c r="J109" s="19">
        <v>6728.083454754078</v>
      </c>
      <c r="K109" s="19">
        <v>20116.95</v>
      </c>
      <c r="L109" s="19">
        <v>8021.001567625266</v>
      </c>
      <c r="M109" s="19">
        <v>66750.8</v>
      </c>
      <c r="N109" s="19">
        <v>94888.751567625266</v>
      </c>
      <c r="P109">
        <v>314</v>
      </c>
      <c r="Q109">
        <v>1</v>
      </c>
      <c r="R109" t="s">
        <v>116</v>
      </c>
      <c r="S109" s="12">
        <v>38400</v>
      </c>
      <c r="T109" s="12">
        <v>11311.008263013171</v>
      </c>
      <c r="U109" s="12">
        <v>93390</v>
      </c>
      <c r="V109" s="12">
        <v>143101.00826301318</v>
      </c>
      <c r="W109" s="12">
        <v>42916.160000000003</v>
      </c>
      <c r="X109" s="12">
        <v>13551.921242312463</v>
      </c>
      <c r="Y109" s="12">
        <v>96707.199999999997</v>
      </c>
      <c r="Z109" s="12">
        <v>153175.28124231246</v>
      </c>
      <c r="AA109" s="12">
        <v>4516.1600000000035</v>
      </c>
      <c r="AB109" s="12">
        <v>2240.9129792992917</v>
      </c>
      <c r="AC109" s="12">
        <v>3317.1999999999971</v>
      </c>
      <c r="AD109" s="12">
        <v>10074.272979299292</v>
      </c>
      <c r="AI109" s="12"/>
    </row>
    <row r="110" spans="1:35" x14ac:dyDescent="0.25">
      <c r="A110">
        <v>309</v>
      </c>
      <c r="B110" t="s">
        <v>698</v>
      </c>
      <c r="C110" s="19">
        <v>81600</v>
      </c>
      <c r="D110" s="19">
        <v>21895.019287660623</v>
      </c>
      <c r="E110" s="19">
        <v>172112</v>
      </c>
      <c r="F110" s="19">
        <v>275607.0192876606</v>
      </c>
      <c r="G110" s="19">
        <v>9596.8399999999965</v>
      </c>
      <c r="H110" s="19">
        <v>4337.7948068668884</v>
      </c>
      <c r="I110" s="19">
        <v>7085.2000000000116</v>
      </c>
      <c r="J110" s="19">
        <v>21019.834806866897</v>
      </c>
      <c r="K110" s="19">
        <v>91196.84</v>
      </c>
      <c r="L110" s="19">
        <v>26232.814094527512</v>
      </c>
      <c r="M110" s="19">
        <v>179197.2</v>
      </c>
      <c r="N110" s="19">
        <v>296626.85409452755</v>
      </c>
      <c r="P110">
        <v>316</v>
      </c>
      <c r="Q110">
        <v>1</v>
      </c>
      <c r="R110" t="s">
        <v>117</v>
      </c>
      <c r="S110" s="12">
        <v>59400</v>
      </c>
      <c r="T110" s="12">
        <v>15894.488459885462</v>
      </c>
      <c r="U110" s="12">
        <v>119345</v>
      </c>
      <c r="V110" s="12">
        <v>194639.48845988547</v>
      </c>
      <c r="W110" s="12">
        <v>66385.934999999998</v>
      </c>
      <c r="X110" s="12">
        <v>19043.470819446724</v>
      </c>
      <c r="Y110" s="12">
        <v>126145</v>
      </c>
      <c r="Z110" s="12">
        <v>211574.40581944672</v>
      </c>
      <c r="AA110" s="12">
        <v>6985.9349999999977</v>
      </c>
      <c r="AB110" s="12">
        <v>3148.9823595612615</v>
      </c>
      <c r="AC110" s="12">
        <v>6800</v>
      </c>
      <c r="AD110" s="12">
        <v>16934.917359561259</v>
      </c>
      <c r="AI110" s="12"/>
    </row>
    <row r="111" spans="1:35" x14ac:dyDescent="0.25">
      <c r="A111">
        <v>314</v>
      </c>
      <c r="B111" t="s">
        <v>699</v>
      </c>
      <c r="C111" s="19">
        <v>38400</v>
      </c>
      <c r="D111" s="19">
        <v>11311.008263013171</v>
      </c>
      <c r="E111" s="19">
        <v>93390</v>
      </c>
      <c r="F111" s="19">
        <v>143101.00826301318</v>
      </c>
      <c r="G111" s="19">
        <v>4516.1600000000035</v>
      </c>
      <c r="H111" s="19">
        <v>2240.9129792992917</v>
      </c>
      <c r="I111" s="19">
        <v>3317.1999999999971</v>
      </c>
      <c r="J111" s="19">
        <v>10074.272979299292</v>
      </c>
      <c r="K111" s="19">
        <v>42916.160000000003</v>
      </c>
      <c r="L111" s="19">
        <v>13551.921242312463</v>
      </c>
      <c r="M111" s="19">
        <v>96707.199999999997</v>
      </c>
      <c r="N111" s="19">
        <v>153175.28124231246</v>
      </c>
      <c r="P111">
        <v>317</v>
      </c>
      <c r="Q111">
        <v>1</v>
      </c>
      <c r="R111" t="s">
        <v>118</v>
      </c>
      <c r="S111" s="12">
        <v>56400</v>
      </c>
      <c r="T111" s="12">
        <v>16823.439552612344</v>
      </c>
      <c r="U111" s="12">
        <v>111335</v>
      </c>
      <c r="V111" s="12">
        <v>184558.43955261234</v>
      </c>
      <c r="W111" s="12">
        <v>63033.11</v>
      </c>
      <c r="X111" s="12">
        <v>20156.463733417168</v>
      </c>
      <c r="Y111" s="12">
        <v>114261</v>
      </c>
      <c r="Z111" s="12">
        <v>197450.57373341717</v>
      </c>
      <c r="AA111" s="12">
        <v>6633.1100000000006</v>
      </c>
      <c r="AB111" s="12">
        <v>3333.0241808048231</v>
      </c>
      <c r="AC111" s="12">
        <v>2926</v>
      </c>
      <c r="AD111" s="12">
        <v>12892.134180804824</v>
      </c>
      <c r="AI111" s="12"/>
    </row>
    <row r="112" spans="1:35" x14ac:dyDescent="0.25">
      <c r="A112">
        <v>316</v>
      </c>
      <c r="B112" t="s">
        <v>700</v>
      </c>
      <c r="C112" s="19">
        <v>59400</v>
      </c>
      <c r="D112" s="19">
        <v>15894.488459885462</v>
      </c>
      <c r="E112" s="19">
        <v>119345</v>
      </c>
      <c r="F112" s="19">
        <v>194639.48845988547</v>
      </c>
      <c r="G112" s="19">
        <v>6985.9349999999977</v>
      </c>
      <c r="H112" s="19">
        <v>3148.9823595612615</v>
      </c>
      <c r="I112" s="19">
        <v>6800</v>
      </c>
      <c r="J112" s="19">
        <v>16934.917359561259</v>
      </c>
      <c r="K112" s="19">
        <v>66385.934999999998</v>
      </c>
      <c r="L112" s="19">
        <v>19043.470819446724</v>
      </c>
      <c r="M112" s="19">
        <v>126145</v>
      </c>
      <c r="N112" s="19">
        <v>211574.40581944672</v>
      </c>
      <c r="P112">
        <v>318</v>
      </c>
      <c r="Q112">
        <v>1</v>
      </c>
      <c r="R112" t="s">
        <v>119</v>
      </c>
      <c r="S112" s="12">
        <v>197400</v>
      </c>
      <c r="T112" s="12">
        <v>50647.585970172571</v>
      </c>
      <c r="U112" s="12">
        <v>378445</v>
      </c>
      <c r="V112" s="12">
        <v>626492.58597017254</v>
      </c>
      <c r="W112" s="12">
        <v>220615.88500000001</v>
      </c>
      <c r="X112" s="12">
        <v>60681.778336724841</v>
      </c>
      <c r="Y112" s="12">
        <v>394914.6</v>
      </c>
      <c r="Z112" s="12">
        <v>676212.26333672483</v>
      </c>
      <c r="AA112" s="12">
        <v>23215.885000000009</v>
      </c>
      <c r="AB112" s="12">
        <v>10034.19236655227</v>
      </c>
      <c r="AC112" s="12">
        <v>16469.599999999977</v>
      </c>
      <c r="AD112" s="12">
        <v>49719.677366552256</v>
      </c>
      <c r="AI112" s="12"/>
    </row>
    <row r="113" spans="1:35" x14ac:dyDescent="0.25">
      <c r="A113">
        <v>317</v>
      </c>
      <c r="B113" t="s">
        <v>701</v>
      </c>
      <c r="C113" s="19">
        <v>56400</v>
      </c>
      <c r="D113" s="19">
        <v>16823.439552612344</v>
      </c>
      <c r="E113" s="19">
        <v>111335</v>
      </c>
      <c r="F113" s="19">
        <v>184558.43955261234</v>
      </c>
      <c r="G113" s="19">
        <v>6633.1100000000006</v>
      </c>
      <c r="H113" s="19">
        <v>3333.0241808048231</v>
      </c>
      <c r="I113" s="19">
        <v>2926</v>
      </c>
      <c r="J113" s="19">
        <v>12892.134180804824</v>
      </c>
      <c r="K113" s="19">
        <v>63033.11</v>
      </c>
      <c r="L113" s="19">
        <v>20156.463733417168</v>
      </c>
      <c r="M113" s="19">
        <v>114261</v>
      </c>
      <c r="N113" s="19">
        <v>197450.57373341717</v>
      </c>
      <c r="P113">
        <v>319</v>
      </c>
      <c r="Q113">
        <v>1</v>
      </c>
      <c r="R113" t="s">
        <v>120</v>
      </c>
      <c r="S113" s="12">
        <v>26400</v>
      </c>
      <c r="T113" s="12">
        <v>7838.540605946333</v>
      </c>
      <c r="U113" s="12">
        <v>69180</v>
      </c>
      <c r="V113" s="12">
        <v>103418.54060594633</v>
      </c>
      <c r="W113" s="12">
        <v>29504.86</v>
      </c>
      <c r="X113" s="12">
        <v>9391.4956541774045</v>
      </c>
      <c r="Y113" s="12">
        <v>71104</v>
      </c>
      <c r="Z113" s="12">
        <v>110000.3556541774</v>
      </c>
      <c r="AA113" s="12">
        <v>3104.8600000000006</v>
      </c>
      <c r="AB113" s="12">
        <v>1552.9550482310715</v>
      </c>
      <c r="AC113" s="12">
        <v>1924</v>
      </c>
      <c r="AD113" s="12">
        <v>6581.8150482310721</v>
      </c>
      <c r="AI113" s="12"/>
    </row>
    <row r="114" spans="1:35" x14ac:dyDescent="0.25">
      <c r="A114">
        <v>318</v>
      </c>
      <c r="B114" t="s">
        <v>702</v>
      </c>
      <c r="C114" s="19">
        <v>197400</v>
      </c>
      <c r="D114" s="19">
        <v>50647.585970172571</v>
      </c>
      <c r="E114" s="19">
        <v>378445</v>
      </c>
      <c r="F114" s="19">
        <v>626492.58597017254</v>
      </c>
      <c r="G114" s="19">
        <v>23215.885000000009</v>
      </c>
      <c r="H114" s="19">
        <v>10034.19236655227</v>
      </c>
      <c r="I114" s="19">
        <v>16469.599999999977</v>
      </c>
      <c r="J114" s="19">
        <v>49719.677366552256</v>
      </c>
      <c r="K114" s="19">
        <v>220615.88500000001</v>
      </c>
      <c r="L114" s="19">
        <v>60681.778336724841</v>
      </c>
      <c r="M114" s="19">
        <v>394914.6</v>
      </c>
      <c r="N114" s="19">
        <v>676212.26333672483</v>
      </c>
      <c r="P114">
        <v>323</v>
      </c>
      <c r="Q114">
        <v>2</v>
      </c>
      <c r="R114" t="s">
        <v>121</v>
      </c>
      <c r="S114" s="12">
        <v>0</v>
      </c>
      <c r="T114" s="12">
        <v>336.58975726860496</v>
      </c>
      <c r="U114" s="12">
        <v>0</v>
      </c>
      <c r="V114" s="12">
        <v>336.58975726860496</v>
      </c>
      <c r="W114" s="12">
        <v>0</v>
      </c>
      <c r="X114" s="12">
        <v>403.2742064550547</v>
      </c>
      <c r="Y114" s="12">
        <v>0</v>
      </c>
      <c r="Z114" s="12">
        <v>403.2742064550547</v>
      </c>
      <c r="AA114" s="12">
        <v>0</v>
      </c>
      <c r="AB114" s="12">
        <v>66.68444918644974</v>
      </c>
      <c r="AC114" s="12">
        <v>0</v>
      </c>
      <c r="AD114" s="12">
        <v>66.68444918644974</v>
      </c>
      <c r="AI114" s="12"/>
    </row>
    <row r="115" spans="1:35" x14ac:dyDescent="0.25">
      <c r="A115">
        <v>319</v>
      </c>
      <c r="B115" t="s">
        <v>703</v>
      </c>
      <c r="C115" s="19">
        <v>26400</v>
      </c>
      <c r="D115" s="19">
        <v>7838.540605946333</v>
      </c>
      <c r="E115" s="19">
        <v>69180</v>
      </c>
      <c r="F115" s="19">
        <v>103418.54060594633</v>
      </c>
      <c r="G115" s="19">
        <v>3104.8600000000006</v>
      </c>
      <c r="H115" s="19">
        <v>1552.9550482310715</v>
      </c>
      <c r="I115" s="19">
        <v>1924</v>
      </c>
      <c r="J115" s="19">
        <v>6581.8150482310721</v>
      </c>
      <c r="K115" s="19">
        <v>29504.86</v>
      </c>
      <c r="L115" s="19">
        <v>9391.4956541774045</v>
      </c>
      <c r="M115" s="19">
        <v>71104</v>
      </c>
      <c r="N115" s="19">
        <v>110000.3556541774</v>
      </c>
      <c r="P115">
        <v>330</v>
      </c>
      <c r="Q115">
        <v>1</v>
      </c>
      <c r="R115" t="s">
        <v>122</v>
      </c>
      <c r="S115" s="12">
        <v>18000</v>
      </c>
      <c r="T115" s="12">
        <v>3202.8407301598772</v>
      </c>
      <c r="U115" s="12">
        <v>48463</v>
      </c>
      <c r="V115" s="12">
        <v>69665.840730159878</v>
      </c>
      <c r="W115" s="12">
        <v>20116.95</v>
      </c>
      <c r="X115" s="12">
        <v>3837.3807460409821</v>
      </c>
      <c r="Y115" s="12">
        <v>51624.6</v>
      </c>
      <c r="Z115" s="12">
        <v>75578.930746040976</v>
      </c>
      <c r="AA115" s="12">
        <v>2116.9500000000007</v>
      </c>
      <c r="AB115" s="12">
        <v>634.54001588110486</v>
      </c>
      <c r="AC115" s="12">
        <v>3161.5999999999985</v>
      </c>
      <c r="AD115" s="12">
        <v>5913.0900158811037</v>
      </c>
      <c r="AI115" s="12"/>
    </row>
    <row r="116" spans="1:35" x14ac:dyDescent="0.25">
      <c r="A116">
        <v>323</v>
      </c>
      <c r="B116" t="s">
        <v>704</v>
      </c>
      <c r="C116" s="19">
        <v>0</v>
      </c>
      <c r="D116" s="19">
        <v>336.58975726860496</v>
      </c>
      <c r="E116" s="19">
        <v>0</v>
      </c>
      <c r="F116" s="19">
        <v>336.58975726860496</v>
      </c>
      <c r="G116" s="19">
        <v>0</v>
      </c>
      <c r="H116" s="19">
        <v>66.68444918644974</v>
      </c>
      <c r="I116" s="19">
        <v>0</v>
      </c>
      <c r="J116" s="19">
        <v>66.68444918644974</v>
      </c>
      <c r="K116" s="19">
        <v>0</v>
      </c>
      <c r="L116" s="19">
        <v>403.2742064550547</v>
      </c>
      <c r="M116" s="19">
        <v>0</v>
      </c>
      <c r="N116" s="19">
        <v>403.2742064550547</v>
      </c>
      <c r="P116">
        <v>332</v>
      </c>
      <c r="Q116">
        <v>1</v>
      </c>
      <c r="R116" t="s">
        <v>123</v>
      </c>
      <c r="S116" s="12">
        <v>85200</v>
      </c>
      <c r="T116" s="12">
        <v>22180.809850383368</v>
      </c>
      <c r="U116" s="12">
        <v>183402</v>
      </c>
      <c r="V116" s="12">
        <v>290782.80985038338</v>
      </c>
      <c r="W116" s="12">
        <v>95220.23</v>
      </c>
      <c r="X116" s="12">
        <v>26575.22487770053</v>
      </c>
      <c r="Y116" s="12">
        <v>191546.8</v>
      </c>
      <c r="Z116" s="12">
        <v>313342.25487770053</v>
      </c>
      <c r="AA116" s="12">
        <v>10020.229999999996</v>
      </c>
      <c r="AB116" s="12">
        <v>4394.4150273171617</v>
      </c>
      <c r="AC116" s="12">
        <v>8144.7999999999884</v>
      </c>
      <c r="AD116" s="12">
        <v>22559.445027317146</v>
      </c>
      <c r="AI116" s="12"/>
    </row>
    <row r="117" spans="1:35" x14ac:dyDescent="0.25">
      <c r="A117">
        <v>330</v>
      </c>
      <c r="B117" t="s">
        <v>705</v>
      </c>
      <c r="C117" s="19">
        <v>18000</v>
      </c>
      <c r="D117" s="19">
        <v>3202.8407301598772</v>
      </c>
      <c r="E117" s="19">
        <v>48463</v>
      </c>
      <c r="F117" s="19">
        <v>69665.840730159878</v>
      </c>
      <c r="G117" s="19">
        <v>2116.9500000000007</v>
      </c>
      <c r="H117" s="19">
        <v>634.54001588110486</v>
      </c>
      <c r="I117" s="19">
        <v>3161.5999999999985</v>
      </c>
      <c r="J117" s="19">
        <v>5913.0900158811037</v>
      </c>
      <c r="K117" s="19">
        <v>20116.95</v>
      </c>
      <c r="L117" s="19">
        <v>3837.3807460409821</v>
      </c>
      <c r="M117" s="19">
        <v>51624.6</v>
      </c>
      <c r="N117" s="19">
        <v>75578.930746040976</v>
      </c>
      <c r="P117">
        <v>333</v>
      </c>
      <c r="Q117">
        <v>1</v>
      </c>
      <c r="R117" t="s">
        <v>124</v>
      </c>
      <c r="S117" s="12">
        <v>24360</v>
      </c>
      <c r="T117" s="12">
        <v>9320.0682195663103</v>
      </c>
      <c r="U117" s="12">
        <v>53485</v>
      </c>
      <c r="V117" s="12">
        <v>87165.06821956631</v>
      </c>
      <c r="W117" s="12">
        <v>27224.938999999998</v>
      </c>
      <c r="X117" s="12">
        <v>11166.540377974694</v>
      </c>
      <c r="Y117" s="12">
        <v>56583</v>
      </c>
      <c r="Z117" s="12">
        <v>94974.479377974698</v>
      </c>
      <c r="AA117" s="12">
        <v>2864.9389999999985</v>
      </c>
      <c r="AB117" s="12">
        <v>1846.4721584083836</v>
      </c>
      <c r="AC117" s="12">
        <v>3098</v>
      </c>
      <c r="AD117" s="12">
        <v>7809.4111584083821</v>
      </c>
      <c r="AI117" s="12"/>
    </row>
    <row r="118" spans="1:35" x14ac:dyDescent="0.25">
      <c r="A118">
        <v>332</v>
      </c>
      <c r="B118" t="s">
        <v>706</v>
      </c>
      <c r="C118" s="19">
        <v>85200</v>
      </c>
      <c r="D118" s="19">
        <v>22180.809850383368</v>
      </c>
      <c r="E118" s="19">
        <v>183402</v>
      </c>
      <c r="F118" s="19">
        <v>290782.80985038338</v>
      </c>
      <c r="G118" s="19">
        <v>10020.229999999996</v>
      </c>
      <c r="H118" s="19">
        <v>4394.4150273171617</v>
      </c>
      <c r="I118" s="19">
        <v>8144.7999999999884</v>
      </c>
      <c r="J118" s="19">
        <v>22559.445027317146</v>
      </c>
      <c r="K118" s="19">
        <v>95220.23</v>
      </c>
      <c r="L118" s="19">
        <v>26575.22487770053</v>
      </c>
      <c r="M118" s="19">
        <v>191546.8</v>
      </c>
      <c r="N118" s="19">
        <v>313342.25487770053</v>
      </c>
      <c r="P118">
        <v>345</v>
      </c>
      <c r="Q118">
        <v>1</v>
      </c>
      <c r="R118" t="s">
        <v>125</v>
      </c>
      <c r="S118" s="12">
        <v>60960</v>
      </c>
      <c r="T118" s="12">
        <v>13682.057275886924</v>
      </c>
      <c r="U118" s="12">
        <v>183213</v>
      </c>
      <c r="V118" s="12">
        <v>257855.05727588694</v>
      </c>
      <c r="W118" s="12">
        <v>68129.403999999995</v>
      </c>
      <c r="X118" s="12">
        <v>16392.717459321677</v>
      </c>
      <c r="Y118" s="12">
        <v>190262.6</v>
      </c>
      <c r="Z118" s="12">
        <v>274784.72145932168</v>
      </c>
      <c r="AA118" s="12">
        <v>7169.403999999995</v>
      </c>
      <c r="AB118" s="12">
        <v>2710.660183434753</v>
      </c>
      <c r="AC118" s="12">
        <v>7049.6000000000058</v>
      </c>
      <c r="AD118" s="12">
        <v>16929.664183434754</v>
      </c>
      <c r="AI118" s="12"/>
    </row>
    <row r="119" spans="1:35" x14ac:dyDescent="0.25">
      <c r="A119">
        <v>333</v>
      </c>
      <c r="B119" t="s">
        <v>707</v>
      </c>
      <c r="C119" s="19">
        <v>24360</v>
      </c>
      <c r="D119" s="19">
        <v>9320.0682195663103</v>
      </c>
      <c r="E119" s="19">
        <v>53485</v>
      </c>
      <c r="F119" s="19">
        <v>87165.06821956631</v>
      </c>
      <c r="G119" s="19">
        <v>2864.9389999999985</v>
      </c>
      <c r="H119" s="19">
        <v>1846.4721584083836</v>
      </c>
      <c r="I119" s="19">
        <v>3098</v>
      </c>
      <c r="J119" s="19">
        <v>7809.4111584083821</v>
      </c>
      <c r="K119" s="19">
        <v>27224.938999999998</v>
      </c>
      <c r="L119" s="19">
        <v>11166.540377974694</v>
      </c>
      <c r="M119" s="19">
        <v>56583</v>
      </c>
      <c r="N119" s="19">
        <v>94974.479377974698</v>
      </c>
      <c r="P119">
        <v>347</v>
      </c>
      <c r="Q119">
        <v>1</v>
      </c>
      <c r="R119" t="s">
        <v>126</v>
      </c>
      <c r="S119" s="12">
        <v>228000</v>
      </c>
      <c r="T119" s="12">
        <v>65234.434852272578</v>
      </c>
      <c r="U119" s="12">
        <v>580131</v>
      </c>
      <c r="V119" s="12">
        <v>873365.4348522725</v>
      </c>
      <c r="W119" s="12">
        <v>254814.7</v>
      </c>
      <c r="X119" s="12">
        <v>78158.542797249815</v>
      </c>
      <c r="Y119" s="12">
        <v>596446.19999999995</v>
      </c>
      <c r="Z119" s="12">
        <v>929419.44279724977</v>
      </c>
      <c r="AA119" s="12">
        <v>26814.700000000012</v>
      </c>
      <c r="AB119" s="12">
        <v>12924.107944977237</v>
      </c>
      <c r="AC119" s="12">
        <v>16315.199999999953</v>
      </c>
      <c r="AD119" s="12">
        <v>56054.007944977202</v>
      </c>
      <c r="AI119" s="12"/>
    </row>
    <row r="120" spans="1:35" x14ac:dyDescent="0.25">
      <c r="A120">
        <v>345</v>
      </c>
      <c r="B120" t="s">
        <v>708</v>
      </c>
      <c r="C120" s="19">
        <v>60960</v>
      </c>
      <c r="D120" s="19">
        <v>13682.057275886924</v>
      </c>
      <c r="E120" s="19">
        <v>183213</v>
      </c>
      <c r="F120" s="19">
        <v>257855.05727588694</v>
      </c>
      <c r="G120" s="19">
        <v>7169.403999999995</v>
      </c>
      <c r="H120" s="19">
        <v>2710.660183434753</v>
      </c>
      <c r="I120" s="19">
        <v>7049.6000000000058</v>
      </c>
      <c r="J120" s="19">
        <v>16929.664183434754</v>
      </c>
      <c r="K120" s="19">
        <v>68129.403999999995</v>
      </c>
      <c r="L120" s="19">
        <v>16392.717459321677</v>
      </c>
      <c r="M120" s="19">
        <v>190262.6</v>
      </c>
      <c r="N120" s="19">
        <v>274784.72145932168</v>
      </c>
      <c r="P120">
        <v>356</v>
      </c>
      <c r="Q120">
        <v>1</v>
      </c>
      <c r="R120" t="s">
        <v>127</v>
      </c>
      <c r="S120" s="12">
        <v>18000</v>
      </c>
      <c r="T120" s="12">
        <v>1971.5803178023848</v>
      </c>
      <c r="U120" s="12">
        <v>23616</v>
      </c>
      <c r="V120" s="12">
        <v>43587.580317802385</v>
      </c>
      <c r="W120" s="12">
        <v>20116.95</v>
      </c>
      <c r="X120" s="12">
        <v>2362.1856308885435</v>
      </c>
      <c r="Y120" s="12">
        <v>25080</v>
      </c>
      <c r="Z120" s="12">
        <v>47559.135630888544</v>
      </c>
      <c r="AA120" s="12">
        <v>2116.9500000000007</v>
      </c>
      <c r="AB120" s="12">
        <v>390.60531308615873</v>
      </c>
      <c r="AC120" s="12">
        <v>1464</v>
      </c>
      <c r="AD120" s="12">
        <v>3971.5553130861595</v>
      </c>
      <c r="AI120" s="12"/>
    </row>
    <row r="121" spans="1:35" x14ac:dyDescent="0.25">
      <c r="A121">
        <v>347</v>
      </c>
      <c r="B121" t="s">
        <v>709</v>
      </c>
      <c r="C121" s="19">
        <v>228000</v>
      </c>
      <c r="D121" s="19">
        <v>65234.434852272578</v>
      </c>
      <c r="E121" s="19">
        <v>580131</v>
      </c>
      <c r="F121" s="19">
        <v>873365.4348522725</v>
      </c>
      <c r="G121" s="19">
        <v>26814.700000000012</v>
      </c>
      <c r="H121" s="19">
        <v>12924.107944977237</v>
      </c>
      <c r="I121" s="19">
        <v>16315.199999999953</v>
      </c>
      <c r="J121" s="19">
        <v>56054.007944977202</v>
      </c>
      <c r="K121" s="19">
        <v>254814.7</v>
      </c>
      <c r="L121" s="19">
        <v>78158.542797249815</v>
      </c>
      <c r="M121" s="19">
        <v>596446.19999999995</v>
      </c>
      <c r="N121" s="19">
        <v>929419.44279724977</v>
      </c>
      <c r="P121">
        <v>361</v>
      </c>
      <c r="Q121">
        <v>1</v>
      </c>
      <c r="R121" t="s">
        <v>128</v>
      </c>
      <c r="S121" s="12">
        <v>46320</v>
      </c>
      <c r="T121" s="12">
        <v>13465.360270078283</v>
      </c>
      <c r="U121" s="12">
        <v>106460</v>
      </c>
      <c r="V121" s="12">
        <v>166245.36027007829</v>
      </c>
      <c r="W121" s="12">
        <v>51767.618000000002</v>
      </c>
      <c r="X121" s="12">
        <v>16133.08890208983</v>
      </c>
      <c r="Y121" s="12">
        <v>110240.4</v>
      </c>
      <c r="Z121" s="12">
        <v>178141.10690208984</v>
      </c>
      <c r="AA121" s="12">
        <v>5447.6180000000022</v>
      </c>
      <c r="AB121" s="12">
        <v>2667.7286320115472</v>
      </c>
      <c r="AC121" s="12">
        <v>3780.3999999999942</v>
      </c>
      <c r="AD121" s="12">
        <v>11895.746632011544</v>
      </c>
      <c r="AI121" s="12"/>
    </row>
    <row r="122" spans="1:35" x14ac:dyDescent="0.25">
      <c r="A122">
        <v>356</v>
      </c>
      <c r="B122" t="s">
        <v>710</v>
      </c>
      <c r="C122" s="19">
        <v>18000</v>
      </c>
      <c r="D122" s="19">
        <v>1971.5803178023848</v>
      </c>
      <c r="E122" s="19">
        <v>23616</v>
      </c>
      <c r="F122" s="19">
        <v>43587.580317802385</v>
      </c>
      <c r="G122" s="19">
        <v>2116.9500000000007</v>
      </c>
      <c r="H122" s="19">
        <v>390.60531308615873</v>
      </c>
      <c r="I122" s="19">
        <v>1464</v>
      </c>
      <c r="J122" s="19">
        <v>3971.5553130861595</v>
      </c>
      <c r="K122" s="19">
        <v>20116.95</v>
      </c>
      <c r="L122" s="19">
        <v>2362.1856308885435</v>
      </c>
      <c r="M122" s="19">
        <v>25080</v>
      </c>
      <c r="N122" s="19">
        <v>47559.135630888544</v>
      </c>
      <c r="P122">
        <v>362</v>
      </c>
      <c r="Q122">
        <v>1</v>
      </c>
      <c r="R122" t="s">
        <v>129</v>
      </c>
      <c r="S122" s="12">
        <v>18000</v>
      </c>
      <c r="T122" s="12">
        <v>4146.8900954263163</v>
      </c>
      <c r="U122" s="12">
        <v>38964</v>
      </c>
      <c r="V122" s="12">
        <v>61110.890095426315</v>
      </c>
      <c r="W122" s="12">
        <v>20116.95</v>
      </c>
      <c r="X122" s="12">
        <v>4968.4631703002769</v>
      </c>
      <c r="Y122" s="12">
        <v>40681.199999999997</v>
      </c>
      <c r="Z122" s="12">
        <v>65766.613170300276</v>
      </c>
      <c r="AA122" s="12">
        <v>2116.9500000000007</v>
      </c>
      <c r="AB122" s="12">
        <v>821.57307487396065</v>
      </c>
      <c r="AC122" s="12">
        <v>1717.1999999999971</v>
      </c>
      <c r="AD122" s="12">
        <v>4655.7230748739585</v>
      </c>
      <c r="AI122" s="12"/>
    </row>
    <row r="123" spans="1:35" x14ac:dyDescent="0.25">
      <c r="A123">
        <v>361</v>
      </c>
      <c r="B123" t="s">
        <v>711</v>
      </c>
      <c r="C123" s="19">
        <v>46320</v>
      </c>
      <c r="D123" s="19">
        <v>13465.360270078283</v>
      </c>
      <c r="E123" s="19">
        <v>106460</v>
      </c>
      <c r="F123" s="19">
        <v>166245.36027007829</v>
      </c>
      <c r="G123" s="19">
        <v>5447.6180000000022</v>
      </c>
      <c r="H123" s="19">
        <v>2667.7286320115472</v>
      </c>
      <c r="I123" s="19">
        <v>3780.3999999999942</v>
      </c>
      <c r="J123" s="19">
        <v>11895.746632011544</v>
      </c>
      <c r="K123" s="19">
        <v>51767.618000000002</v>
      </c>
      <c r="L123" s="19">
        <v>16133.08890208983</v>
      </c>
      <c r="M123" s="19">
        <v>110240.4</v>
      </c>
      <c r="N123" s="19">
        <v>178141.10690208984</v>
      </c>
      <c r="P123">
        <v>363</v>
      </c>
      <c r="Q123">
        <v>1</v>
      </c>
      <c r="R123" t="s">
        <v>130</v>
      </c>
      <c r="S123" s="12">
        <v>18000</v>
      </c>
      <c r="T123" s="12">
        <v>4166.6049421628686</v>
      </c>
      <c r="U123" s="12">
        <v>53047</v>
      </c>
      <c r="V123" s="12">
        <v>75213.60494216287</v>
      </c>
      <c r="W123" s="12">
        <v>20116.95</v>
      </c>
      <c r="X123" s="12">
        <v>4992.0838806795346</v>
      </c>
      <c r="Y123" s="12">
        <v>55005.8</v>
      </c>
      <c r="Z123" s="12">
        <v>80114.833880679536</v>
      </c>
      <c r="AA123" s="12">
        <v>2116.9500000000007</v>
      </c>
      <c r="AB123" s="12">
        <v>825.47893851666595</v>
      </c>
      <c r="AC123" s="12">
        <v>1958.8000000000029</v>
      </c>
      <c r="AD123" s="12">
        <v>4901.2289385166696</v>
      </c>
      <c r="AI123" s="12"/>
    </row>
    <row r="124" spans="1:35" x14ac:dyDescent="0.25">
      <c r="A124">
        <v>362</v>
      </c>
      <c r="B124" t="s">
        <v>712</v>
      </c>
      <c r="C124" s="19">
        <v>18000</v>
      </c>
      <c r="D124" s="19">
        <v>4146.8900954263163</v>
      </c>
      <c r="E124" s="19">
        <v>38964</v>
      </c>
      <c r="F124" s="19">
        <v>61110.890095426315</v>
      </c>
      <c r="G124" s="19">
        <v>2116.9500000000007</v>
      </c>
      <c r="H124" s="19">
        <v>821.57307487396065</v>
      </c>
      <c r="I124" s="19">
        <v>1717.1999999999971</v>
      </c>
      <c r="J124" s="19">
        <v>4655.7230748739585</v>
      </c>
      <c r="K124" s="19">
        <v>20116.95</v>
      </c>
      <c r="L124" s="19">
        <v>4968.4631703002769</v>
      </c>
      <c r="M124" s="19">
        <v>40681.199999999997</v>
      </c>
      <c r="N124" s="19">
        <v>65766.613170300276</v>
      </c>
      <c r="P124">
        <v>378</v>
      </c>
      <c r="Q124">
        <v>1</v>
      </c>
      <c r="R124" t="s">
        <v>131</v>
      </c>
      <c r="S124" s="12">
        <v>18000</v>
      </c>
      <c r="T124" s="12">
        <v>6051.507582867056</v>
      </c>
      <c r="U124" s="12">
        <v>59894</v>
      </c>
      <c r="V124" s="12">
        <v>83945.507582867052</v>
      </c>
      <c r="W124" s="12">
        <v>20116.95</v>
      </c>
      <c r="X124" s="12">
        <v>7250.4194368278404</v>
      </c>
      <c r="Y124" s="12">
        <v>62484</v>
      </c>
      <c r="Z124" s="12">
        <v>89851.369436827837</v>
      </c>
      <c r="AA124" s="12">
        <v>2116.9500000000007</v>
      </c>
      <c r="AB124" s="12">
        <v>1198.9118539607844</v>
      </c>
      <c r="AC124" s="12">
        <v>2590</v>
      </c>
      <c r="AD124" s="12">
        <v>5905.8618539607851</v>
      </c>
      <c r="AI124" s="12"/>
    </row>
    <row r="125" spans="1:35" x14ac:dyDescent="0.25">
      <c r="A125">
        <v>363</v>
      </c>
      <c r="B125" t="s">
        <v>713</v>
      </c>
      <c r="C125" s="19">
        <v>18000</v>
      </c>
      <c r="D125" s="19">
        <v>4166.6049421628686</v>
      </c>
      <c r="E125" s="19">
        <v>53047</v>
      </c>
      <c r="F125" s="19">
        <v>75213.60494216287</v>
      </c>
      <c r="G125" s="19">
        <v>2116.9500000000007</v>
      </c>
      <c r="H125" s="19">
        <v>825.47893851666595</v>
      </c>
      <c r="I125" s="19">
        <v>1958.8000000000029</v>
      </c>
      <c r="J125" s="19">
        <v>4901.2289385166696</v>
      </c>
      <c r="K125" s="19">
        <v>20116.95</v>
      </c>
      <c r="L125" s="19">
        <v>4992.0838806795346</v>
      </c>
      <c r="M125" s="19">
        <v>55005.8</v>
      </c>
      <c r="N125" s="19">
        <v>80114.833880679536</v>
      </c>
      <c r="P125">
        <v>381</v>
      </c>
      <c r="Q125">
        <v>1</v>
      </c>
      <c r="R125" t="s">
        <v>132</v>
      </c>
      <c r="S125" s="12">
        <v>82080</v>
      </c>
      <c r="T125" s="12">
        <v>17103.370617315828</v>
      </c>
      <c r="U125" s="12">
        <v>127306</v>
      </c>
      <c r="V125" s="12">
        <v>226489.37061731581</v>
      </c>
      <c r="W125" s="12">
        <v>91733.292000000001</v>
      </c>
      <c r="X125" s="12">
        <v>20491.85414724467</v>
      </c>
      <c r="Y125" s="12">
        <v>131682</v>
      </c>
      <c r="Z125" s="12">
        <v>243907.14614724467</v>
      </c>
      <c r="AA125" s="12">
        <v>9653.2920000000013</v>
      </c>
      <c r="AB125" s="12">
        <v>3388.4835299288425</v>
      </c>
      <c r="AC125" s="12">
        <v>4376</v>
      </c>
      <c r="AD125" s="12">
        <v>17417.775529928844</v>
      </c>
      <c r="AI125" s="12"/>
    </row>
    <row r="126" spans="1:35" x14ac:dyDescent="0.25">
      <c r="A126">
        <v>378</v>
      </c>
      <c r="B126" t="s">
        <v>714</v>
      </c>
      <c r="C126" s="19">
        <v>18000</v>
      </c>
      <c r="D126" s="19">
        <v>6051.507582867056</v>
      </c>
      <c r="E126" s="19">
        <v>59894</v>
      </c>
      <c r="F126" s="19">
        <v>83945.507582867052</v>
      </c>
      <c r="G126" s="19">
        <v>2116.9500000000007</v>
      </c>
      <c r="H126" s="19">
        <v>1198.9118539607844</v>
      </c>
      <c r="I126" s="19">
        <v>2590</v>
      </c>
      <c r="J126" s="19">
        <v>5905.8618539607851</v>
      </c>
      <c r="K126" s="19">
        <v>20116.95</v>
      </c>
      <c r="L126" s="19">
        <v>7250.4194368278404</v>
      </c>
      <c r="M126" s="19">
        <v>62484</v>
      </c>
      <c r="N126" s="19">
        <v>89851.369436827837</v>
      </c>
      <c r="P126">
        <v>390</v>
      </c>
      <c r="Q126">
        <v>1</v>
      </c>
      <c r="R126" t="s">
        <v>133</v>
      </c>
      <c r="S126" s="12">
        <v>24600</v>
      </c>
      <c r="T126" s="12">
        <v>6927.8838755876977</v>
      </c>
      <c r="U126" s="12">
        <v>65850</v>
      </c>
      <c r="V126" s="12">
        <v>97377.883875587693</v>
      </c>
      <c r="W126" s="12">
        <v>27493.165000000001</v>
      </c>
      <c r="X126" s="12">
        <v>8300.4215428660937</v>
      </c>
      <c r="Y126" s="12">
        <v>69937.600000000006</v>
      </c>
      <c r="Z126" s="12">
        <v>105731.1865428661</v>
      </c>
      <c r="AA126" s="12">
        <v>2893.1650000000009</v>
      </c>
      <c r="AB126" s="12">
        <v>1372.5376672783959</v>
      </c>
      <c r="AC126" s="12">
        <v>4087.6000000000058</v>
      </c>
      <c r="AD126" s="12">
        <v>8353.3026672784035</v>
      </c>
      <c r="AI126" s="12"/>
    </row>
    <row r="127" spans="1:35" x14ac:dyDescent="0.25">
      <c r="A127">
        <v>381</v>
      </c>
      <c r="B127" t="s">
        <v>715</v>
      </c>
      <c r="C127" s="19">
        <v>82080</v>
      </c>
      <c r="D127" s="19">
        <v>17103.370617315828</v>
      </c>
      <c r="E127" s="19">
        <v>127306</v>
      </c>
      <c r="F127" s="19">
        <v>226489.37061731581</v>
      </c>
      <c r="G127" s="19">
        <v>9653.2920000000013</v>
      </c>
      <c r="H127" s="19">
        <v>3388.4835299288425</v>
      </c>
      <c r="I127" s="19">
        <v>4376</v>
      </c>
      <c r="J127" s="19">
        <v>17417.775529928844</v>
      </c>
      <c r="K127" s="19">
        <v>91733.292000000001</v>
      </c>
      <c r="L127" s="19">
        <v>20491.85414724467</v>
      </c>
      <c r="M127" s="19">
        <v>131682</v>
      </c>
      <c r="N127" s="19">
        <v>243907.14614724467</v>
      </c>
      <c r="P127">
        <v>391</v>
      </c>
      <c r="Q127">
        <v>1</v>
      </c>
      <c r="R127" t="s">
        <v>134</v>
      </c>
      <c r="S127" s="12">
        <v>18000</v>
      </c>
      <c r="T127" s="12">
        <v>3304.2615587055543</v>
      </c>
      <c r="U127" s="12">
        <v>60665</v>
      </c>
      <c r="V127" s="12">
        <v>81969.261558705562</v>
      </c>
      <c r="W127" s="12">
        <v>20116.95</v>
      </c>
      <c r="X127" s="12">
        <v>3958.8948541400378</v>
      </c>
      <c r="Y127" s="12">
        <v>62596.2</v>
      </c>
      <c r="Z127" s="12">
        <v>86672.04485414004</v>
      </c>
      <c r="AA127" s="12">
        <v>2116.9500000000007</v>
      </c>
      <c r="AB127" s="12">
        <v>654.63329543448344</v>
      </c>
      <c r="AC127" s="12">
        <v>1931.1999999999971</v>
      </c>
      <c r="AD127" s="12">
        <v>4702.7832954344813</v>
      </c>
      <c r="AI127" s="12"/>
    </row>
    <row r="128" spans="1:35" x14ac:dyDescent="0.25">
      <c r="A128">
        <v>390</v>
      </c>
      <c r="B128" t="s">
        <v>716</v>
      </c>
      <c r="C128" s="19">
        <v>24600</v>
      </c>
      <c r="D128" s="19">
        <v>6927.8838755876977</v>
      </c>
      <c r="E128" s="19">
        <v>65850</v>
      </c>
      <c r="F128" s="19">
        <v>97377.883875587693</v>
      </c>
      <c r="G128" s="19">
        <v>2893.1650000000009</v>
      </c>
      <c r="H128" s="19">
        <v>1372.5376672783959</v>
      </c>
      <c r="I128" s="19">
        <v>4087.6000000000058</v>
      </c>
      <c r="J128" s="19">
        <v>8353.3026672784035</v>
      </c>
      <c r="K128" s="19">
        <v>27493.165000000001</v>
      </c>
      <c r="L128" s="19">
        <v>8300.4215428660937</v>
      </c>
      <c r="M128" s="19">
        <v>69937.600000000006</v>
      </c>
      <c r="N128" s="19">
        <v>105731.1865428661</v>
      </c>
      <c r="P128">
        <v>402</v>
      </c>
      <c r="Q128">
        <v>1</v>
      </c>
      <c r="R128" t="s">
        <v>135</v>
      </c>
      <c r="S128" s="12">
        <v>18000</v>
      </c>
      <c r="T128" s="12">
        <v>1920.9586838025655</v>
      </c>
      <c r="U128" s="12">
        <v>14494</v>
      </c>
      <c r="V128" s="12">
        <v>34414.958683802564</v>
      </c>
      <c r="W128" s="12">
        <v>20116.95</v>
      </c>
      <c r="X128" s="12">
        <v>2301.5349460715233</v>
      </c>
      <c r="Y128" s="12">
        <v>15836</v>
      </c>
      <c r="Z128" s="12">
        <v>38254.48494607152</v>
      </c>
      <c r="AA128" s="12">
        <v>2116.9500000000007</v>
      </c>
      <c r="AB128" s="12">
        <v>380.57626226895786</v>
      </c>
      <c r="AC128" s="12">
        <v>1342</v>
      </c>
      <c r="AD128" s="12">
        <v>3839.5262622689588</v>
      </c>
      <c r="AI128" s="12"/>
    </row>
    <row r="129" spans="1:35" x14ac:dyDescent="0.25">
      <c r="A129">
        <v>391</v>
      </c>
      <c r="B129" t="s">
        <v>717</v>
      </c>
      <c r="C129" s="19">
        <v>18000</v>
      </c>
      <c r="D129" s="19">
        <v>3304.2615587055543</v>
      </c>
      <c r="E129" s="19">
        <v>60665</v>
      </c>
      <c r="F129" s="19">
        <v>81969.261558705562</v>
      </c>
      <c r="G129" s="19">
        <v>2116.9500000000007</v>
      </c>
      <c r="H129" s="19">
        <v>654.63329543448344</v>
      </c>
      <c r="I129" s="19">
        <v>1931.1999999999971</v>
      </c>
      <c r="J129" s="19">
        <v>4702.7832954344813</v>
      </c>
      <c r="K129" s="19">
        <v>20116.95</v>
      </c>
      <c r="L129" s="19">
        <v>3958.8948541400378</v>
      </c>
      <c r="M129" s="19">
        <v>62596.2</v>
      </c>
      <c r="N129" s="19">
        <v>86672.04485414004</v>
      </c>
      <c r="P129">
        <v>403</v>
      </c>
      <c r="Q129">
        <v>1</v>
      </c>
      <c r="R129" t="s">
        <v>136</v>
      </c>
      <c r="S129" s="12">
        <v>18000</v>
      </c>
      <c r="T129" s="12">
        <v>2207.4594887094659</v>
      </c>
      <c r="U129" s="12">
        <v>28589</v>
      </c>
      <c r="V129" s="12">
        <v>48796.459488709464</v>
      </c>
      <c r="W129" s="12">
        <v>20116.95</v>
      </c>
      <c r="X129" s="12">
        <v>2644.7966831046051</v>
      </c>
      <c r="Y129" s="12">
        <v>30695</v>
      </c>
      <c r="Z129" s="12">
        <v>53456.746683104604</v>
      </c>
      <c r="AA129" s="12">
        <v>2116.9500000000007</v>
      </c>
      <c r="AB129" s="12">
        <v>437.33719439513925</v>
      </c>
      <c r="AC129" s="12">
        <v>2106</v>
      </c>
      <c r="AD129" s="12">
        <v>4660.2871943951395</v>
      </c>
      <c r="AI129" s="12"/>
    </row>
    <row r="130" spans="1:35" x14ac:dyDescent="0.25">
      <c r="A130">
        <v>402</v>
      </c>
      <c r="B130" t="s">
        <v>718</v>
      </c>
      <c r="C130" s="19">
        <v>18000</v>
      </c>
      <c r="D130" s="19">
        <v>1920.9586838025655</v>
      </c>
      <c r="E130" s="19">
        <v>14494</v>
      </c>
      <c r="F130" s="19">
        <v>34414.958683802564</v>
      </c>
      <c r="G130" s="19">
        <v>2116.9500000000007</v>
      </c>
      <c r="H130" s="19">
        <v>380.57626226895786</v>
      </c>
      <c r="I130" s="19">
        <v>1342</v>
      </c>
      <c r="J130" s="19">
        <v>3839.5262622689588</v>
      </c>
      <c r="K130" s="19">
        <v>20116.95</v>
      </c>
      <c r="L130" s="19">
        <v>2301.5349460715233</v>
      </c>
      <c r="M130" s="19">
        <v>15836</v>
      </c>
      <c r="N130" s="19">
        <v>38254.48494607152</v>
      </c>
      <c r="P130">
        <v>404</v>
      </c>
      <c r="Q130">
        <v>1</v>
      </c>
      <c r="R130" t="s">
        <v>137</v>
      </c>
      <c r="S130" s="12">
        <v>18000</v>
      </c>
      <c r="T130" s="12">
        <v>2156.1276125254931</v>
      </c>
      <c r="U130" s="12">
        <v>16871</v>
      </c>
      <c r="V130" s="12">
        <v>37027.127612525495</v>
      </c>
      <c r="W130" s="12">
        <v>20116.95</v>
      </c>
      <c r="X130" s="12">
        <v>2583.2950444275225</v>
      </c>
      <c r="Y130" s="12">
        <v>17675.400000000001</v>
      </c>
      <c r="Z130" s="12">
        <v>40375.645044427525</v>
      </c>
      <c r="AA130" s="12">
        <v>2116.9500000000007</v>
      </c>
      <c r="AB130" s="12">
        <v>427.16743190202942</v>
      </c>
      <c r="AC130" s="12">
        <v>804.40000000000146</v>
      </c>
      <c r="AD130" s="12">
        <v>3348.5174319020316</v>
      </c>
      <c r="AI130" s="12"/>
    </row>
    <row r="131" spans="1:35" x14ac:dyDescent="0.25">
      <c r="A131">
        <v>403</v>
      </c>
      <c r="B131" t="s">
        <v>719</v>
      </c>
      <c r="C131" s="19">
        <v>18000</v>
      </c>
      <c r="D131" s="19">
        <v>2207.4594887094659</v>
      </c>
      <c r="E131" s="19">
        <v>28589</v>
      </c>
      <c r="F131" s="19">
        <v>48796.459488709464</v>
      </c>
      <c r="G131" s="19">
        <v>2116.9500000000007</v>
      </c>
      <c r="H131" s="19">
        <v>437.33719439513925</v>
      </c>
      <c r="I131" s="19">
        <v>2106</v>
      </c>
      <c r="J131" s="19">
        <v>4660.2871943951395</v>
      </c>
      <c r="K131" s="19">
        <v>20116.95</v>
      </c>
      <c r="L131" s="19">
        <v>2644.7966831046051</v>
      </c>
      <c r="M131" s="19">
        <v>30695</v>
      </c>
      <c r="N131" s="19">
        <v>53456.746683104604</v>
      </c>
      <c r="P131">
        <v>413</v>
      </c>
      <c r="Q131">
        <v>1</v>
      </c>
      <c r="R131" t="s">
        <v>138</v>
      </c>
      <c r="S131" s="12">
        <v>103800</v>
      </c>
      <c r="T131" s="12">
        <v>29389.867714496817</v>
      </c>
      <c r="U131" s="12">
        <v>294759</v>
      </c>
      <c r="V131" s="12">
        <v>427948.8677144968</v>
      </c>
      <c r="W131" s="12">
        <v>116007.745</v>
      </c>
      <c r="X131" s="12">
        <v>35212.526003649233</v>
      </c>
      <c r="Y131" s="12">
        <v>305219.40000000002</v>
      </c>
      <c r="Z131" s="12">
        <v>456439.67100364924</v>
      </c>
      <c r="AA131" s="12">
        <v>12207.744999999995</v>
      </c>
      <c r="AB131" s="12">
        <v>5822.6582891524158</v>
      </c>
      <c r="AC131" s="12">
        <v>10460.400000000023</v>
      </c>
      <c r="AD131" s="12">
        <v>28490.803289152434</v>
      </c>
      <c r="AI131" s="12"/>
    </row>
    <row r="132" spans="1:35" x14ac:dyDescent="0.25">
      <c r="A132">
        <v>404</v>
      </c>
      <c r="B132" t="s">
        <v>720</v>
      </c>
      <c r="C132" s="19">
        <v>18000</v>
      </c>
      <c r="D132" s="19">
        <v>2156.1276125254931</v>
      </c>
      <c r="E132" s="19">
        <v>16871</v>
      </c>
      <c r="F132" s="19">
        <v>37027.127612525495</v>
      </c>
      <c r="G132" s="19">
        <v>2116.9500000000007</v>
      </c>
      <c r="H132" s="19">
        <v>427.16743190202942</v>
      </c>
      <c r="I132" s="19">
        <v>804.40000000000146</v>
      </c>
      <c r="J132" s="19">
        <v>3348.5174319020316</v>
      </c>
      <c r="K132" s="19">
        <v>20116.95</v>
      </c>
      <c r="L132" s="19">
        <v>2583.2950444275225</v>
      </c>
      <c r="M132" s="19">
        <v>17675.400000000001</v>
      </c>
      <c r="N132" s="19">
        <v>40375.645044427525</v>
      </c>
      <c r="P132">
        <v>414</v>
      </c>
      <c r="Q132">
        <v>1</v>
      </c>
      <c r="R132" t="s">
        <v>139</v>
      </c>
      <c r="S132" s="12">
        <v>18000</v>
      </c>
      <c r="T132" s="12">
        <v>4770.3357786938977</v>
      </c>
      <c r="U132" s="12">
        <v>61520</v>
      </c>
      <c r="V132" s="12">
        <v>84290.335778693901</v>
      </c>
      <c r="W132" s="12">
        <v>20116.95</v>
      </c>
      <c r="X132" s="12">
        <v>5715.4245907184441</v>
      </c>
      <c r="Y132" s="12">
        <v>63745.599999999999</v>
      </c>
      <c r="Z132" s="12">
        <v>89577.974590718441</v>
      </c>
      <c r="AA132" s="12">
        <v>2116.9500000000007</v>
      </c>
      <c r="AB132" s="12">
        <v>945.08881202454631</v>
      </c>
      <c r="AC132" s="12">
        <v>2225.5999999999985</v>
      </c>
      <c r="AD132" s="12">
        <v>5287.6388120245456</v>
      </c>
      <c r="AI132" s="12"/>
    </row>
    <row r="133" spans="1:35" x14ac:dyDescent="0.25">
      <c r="A133">
        <v>413</v>
      </c>
      <c r="B133" t="s">
        <v>721</v>
      </c>
      <c r="C133" s="19">
        <v>103800</v>
      </c>
      <c r="D133" s="19">
        <v>29389.867714496817</v>
      </c>
      <c r="E133" s="19">
        <v>294759</v>
      </c>
      <c r="F133" s="19">
        <v>427948.8677144968</v>
      </c>
      <c r="G133" s="19">
        <v>12207.744999999995</v>
      </c>
      <c r="H133" s="19">
        <v>5822.6582891524158</v>
      </c>
      <c r="I133" s="19">
        <v>10460.400000000023</v>
      </c>
      <c r="J133" s="19">
        <v>28490.803289152434</v>
      </c>
      <c r="K133" s="19">
        <v>116007.745</v>
      </c>
      <c r="L133" s="19">
        <v>35212.526003649233</v>
      </c>
      <c r="M133" s="19">
        <v>305219.40000000002</v>
      </c>
      <c r="N133" s="19">
        <v>456439.67100364924</v>
      </c>
      <c r="P133">
        <v>415</v>
      </c>
      <c r="Q133">
        <v>1</v>
      </c>
      <c r="R133" t="s">
        <v>140</v>
      </c>
      <c r="S133" s="12">
        <v>18000</v>
      </c>
      <c r="T133" s="12">
        <v>2478.1517788926567</v>
      </c>
      <c r="U133" s="12">
        <v>20314</v>
      </c>
      <c r="V133" s="12">
        <v>40792.151778892658</v>
      </c>
      <c r="W133" s="12">
        <v>20116.95</v>
      </c>
      <c r="X133" s="12">
        <v>2969.1179559887751</v>
      </c>
      <c r="Y133" s="12">
        <v>21066.400000000001</v>
      </c>
      <c r="Z133" s="12">
        <v>44152.467955988774</v>
      </c>
      <c r="AA133" s="12">
        <v>2116.9500000000007</v>
      </c>
      <c r="AB133" s="12">
        <v>490.96617709611837</v>
      </c>
      <c r="AC133" s="12">
        <v>752.40000000000146</v>
      </c>
      <c r="AD133" s="12">
        <v>3360.3161770961206</v>
      </c>
      <c r="AI133" s="12"/>
    </row>
    <row r="134" spans="1:35" x14ac:dyDescent="0.25">
      <c r="A134">
        <v>414</v>
      </c>
      <c r="B134" t="s">
        <v>722</v>
      </c>
      <c r="C134" s="19">
        <v>18000</v>
      </c>
      <c r="D134" s="19">
        <v>4770.3357786938977</v>
      </c>
      <c r="E134" s="19">
        <v>61520</v>
      </c>
      <c r="F134" s="19">
        <v>84290.335778693901</v>
      </c>
      <c r="G134" s="19">
        <v>2116.9500000000007</v>
      </c>
      <c r="H134" s="19">
        <v>945.08881202454631</v>
      </c>
      <c r="I134" s="19">
        <v>2225.5999999999985</v>
      </c>
      <c r="J134" s="19">
        <v>5287.6388120245456</v>
      </c>
      <c r="K134" s="19">
        <v>20116.95</v>
      </c>
      <c r="L134" s="19">
        <v>5715.4245907184441</v>
      </c>
      <c r="M134" s="19">
        <v>63745.599999999999</v>
      </c>
      <c r="N134" s="19">
        <v>89577.974590718441</v>
      </c>
      <c r="P134">
        <v>423</v>
      </c>
      <c r="Q134">
        <v>1</v>
      </c>
      <c r="R134" t="s">
        <v>141</v>
      </c>
      <c r="S134" s="12">
        <v>161400</v>
      </c>
      <c r="T134" s="12">
        <v>32282.586461000399</v>
      </c>
      <c r="U134" s="12">
        <v>364645</v>
      </c>
      <c r="V134" s="12">
        <v>558327.58646100038</v>
      </c>
      <c r="W134" s="12">
        <v>180381.98499999999</v>
      </c>
      <c r="X134" s="12">
        <v>38678.344056047536</v>
      </c>
      <c r="Y134" s="12">
        <v>375539</v>
      </c>
      <c r="Z134" s="12">
        <v>594599.32905604749</v>
      </c>
      <c r="AA134" s="12">
        <v>18981.984999999986</v>
      </c>
      <c r="AB134" s="12">
        <v>6395.7575950471364</v>
      </c>
      <c r="AC134" s="12">
        <v>10894</v>
      </c>
      <c r="AD134" s="12">
        <v>36271.742595047122</v>
      </c>
      <c r="AI134" s="12"/>
    </row>
    <row r="135" spans="1:35" x14ac:dyDescent="0.25">
      <c r="A135">
        <v>415</v>
      </c>
      <c r="B135" t="s">
        <v>723</v>
      </c>
      <c r="C135" s="19">
        <v>18000</v>
      </c>
      <c r="D135" s="19">
        <v>2478.1517788926567</v>
      </c>
      <c r="E135" s="19">
        <v>20314</v>
      </c>
      <c r="F135" s="19">
        <v>40792.151778892658</v>
      </c>
      <c r="G135" s="19">
        <v>2116.9500000000007</v>
      </c>
      <c r="H135" s="19">
        <v>490.96617709611837</v>
      </c>
      <c r="I135" s="19">
        <v>752.40000000000146</v>
      </c>
      <c r="J135" s="19">
        <v>3360.3161770961206</v>
      </c>
      <c r="K135" s="19">
        <v>20116.95</v>
      </c>
      <c r="L135" s="19">
        <v>2969.1179559887751</v>
      </c>
      <c r="M135" s="19">
        <v>21066.400000000001</v>
      </c>
      <c r="N135" s="19">
        <v>44152.467955988774</v>
      </c>
      <c r="P135">
        <v>424</v>
      </c>
      <c r="Q135">
        <v>1</v>
      </c>
      <c r="R135" t="s">
        <v>142</v>
      </c>
      <c r="S135" s="12">
        <v>18480</v>
      </c>
      <c r="T135" s="12">
        <v>5055.0609781404146</v>
      </c>
      <c r="U135" s="12">
        <v>59136</v>
      </c>
      <c r="V135" s="12">
        <v>82671.06097814042</v>
      </c>
      <c r="W135" s="12">
        <v>20653.401999999998</v>
      </c>
      <c r="X135" s="12">
        <v>6056.5589431013686</v>
      </c>
      <c r="Y135" s="12">
        <v>60932.800000000003</v>
      </c>
      <c r="Z135" s="12">
        <v>87642.76094310137</v>
      </c>
      <c r="AA135" s="12">
        <v>2173.4019999999982</v>
      </c>
      <c r="AB135" s="12">
        <v>1001.4979649609541</v>
      </c>
      <c r="AC135" s="12">
        <v>1796.8000000000029</v>
      </c>
      <c r="AD135" s="12">
        <v>4971.6999649609552</v>
      </c>
      <c r="AI135" s="12"/>
    </row>
    <row r="136" spans="1:35" x14ac:dyDescent="0.25">
      <c r="A136">
        <v>423</v>
      </c>
      <c r="B136" t="s">
        <v>724</v>
      </c>
      <c r="C136" s="19">
        <v>161400</v>
      </c>
      <c r="D136" s="19">
        <v>32282.586461000399</v>
      </c>
      <c r="E136" s="19">
        <v>364645</v>
      </c>
      <c r="F136" s="19">
        <v>558327.58646100038</v>
      </c>
      <c r="G136" s="19">
        <v>18981.984999999986</v>
      </c>
      <c r="H136" s="19">
        <v>6395.7575950471364</v>
      </c>
      <c r="I136" s="19">
        <v>10894</v>
      </c>
      <c r="J136" s="19">
        <v>36271.742595047122</v>
      </c>
      <c r="K136" s="19">
        <v>180381.98499999999</v>
      </c>
      <c r="L136" s="19">
        <v>38678.344056047536</v>
      </c>
      <c r="M136" s="19">
        <v>375539</v>
      </c>
      <c r="N136" s="19">
        <v>594599.32905604749</v>
      </c>
      <c r="P136">
        <v>432</v>
      </c>
      <c r="Q136">
        <v>1</v>
      </c>
      <c r="R136" t="s">
        <v>143</v>
      </c>
      <c r="S136" s="12">
        <v>38040</v>
      </c>
      <c r="T136" s="12">
        <v>12036.762577556623</v>
      </c>
      <c r="U136" s="12">
        <v>75161</v>
      </c>
      <c r="V136" s="12">
        <v>125237.76257755663</v>
      </c>
      <c r="W136" s="12">
        <v>42513.820999999996</v>
      </c>
      <c r="X136" s="12">
        <v>14421.460463154766</v>
      </c>
      <c r="Y136" s="12">
        <v>77245</v>
      </c>
      <c r="Z136" s="12">
        <v>134180.28146315477</v>
      </c>
      <c r="AA136" s="12">
        <v>4473.8209999999963</v>
      </c>
      <c r="AB136" s="12">
        <v>2384.6978855981433</v>
      </c>
      <c r="AC136" s="12">
        <v>2084</v>
      </c>
      <c r="AD136" s="12">
        <v>8942.5188855981396</v>
      </c>
      <c r="AI136" s="12"/>
    </row>
    <row r="137" spans="1:35" x14ac:dyDescent="0.25">
      <c r="A137">
        <v>424</v>
      </c>
      <c r="B137" t="s">
        <v>725</v>
      </c>
      <c r="C137" s="19">
        <v>18480</v>
      </c>
      <c r="D137" s="19">
        <v>5055.0609781404146</v>
      </c>
      <c r="E137" s="19">
        <v>59136</v>
      </c>
      <c r="F137" s="19">
        <v>82671.06097814042</v>
      </c>
      <c r="G137" s="19">
        <v>2173.4019999999982</v>
      </c>
      <c r="H137" s="19">
        <v>1001.4979649609541</v>
      </c>
      <c r="I137" s="19">
        <v>1796.8000000000029</v>
      </c>
      <c r="J137" s="19">
        <v>4971.6999649609552</v>
      </c>
      <c r="K137" s="19">
        <v>20653.401999999998</v>
      </c>
      <c r="L137" s="19">
        <v>6056.5589431013686</v>
      </c>
      <c r="M137" s="19">
        <v>60932.800000000003</v>
      </c>
      <c r="N137" s="19">
        <v>87642.76094310137</v>
      </c>
      <c r="P137">
        <v>435</v>
      </c>
      <c r="Q137">
        <v>1</v>
      </c>
      <c r="R137" t="s">
        <v>144</v>
      </c>
      <c r="S137" s="12">
        <v>23400</v>
      </c>
      <c r="T137" s="12">
        <v>9879.569601754898</v>
      </c>
      <c r="U137" s="12">
        <v>77919</v>
      </c>
      <c r="V137" s="12">
        <v>111198.56960175489</v>
      </c>
      <c r="W137" s="12">
        <v>26152.035</v>
      </c>
      <c r="X137" s="12">
        <v>11836.888987937147</v>
      </c>
      <c r="Y137" s="12">
        <v>80980.600000000006</v>
      </c>
      <c r="Z137" s="12">
        <v>118969.52398793715</v>
      </c>
      <c r="AA137" s="12">
        <v>2752.0349999999999</v>
      </c>
      <c r="AB137" s="12">
        <v>1957.3193861822492</v>
      </c>
      <c r="AC137" s="12">
        <v>3061.6000000000058</v>
      </c>
      <c r="AD137" s="12">
        <v>7770.9543861822549</v>
      </c>
      <c r="AI137" s="12"/>
    </row>
    <row r="138" spans="1:35" x14ac:dyDescent="0.25">
      <c r="A138">
        <v>432</v>
      </c>
      <c r="B138" t="s">
        <v>726</v>
      </c>
      <c r="C138" s="19">
        <v>38040</v>
      </c>
      <c r="D138" s="19">
        <v>12036.762577556623</v>
      </c>
      <c r="E138" s="19">
        <v>75161</v>
      </c>
      <c r="F138" s="19">
        <v>125237.76257755663</v>
      </c>
      <c r="G138" s="19">
        <v>4473.8209999999963</v>
      </c>
      <c r="H138" s="19">
        <v>2384.6978855981433</v>
      </c>
      <c r="I138" s="19">
        <v>2084</v>
      </c>
      <c r="J138" s="19">
        <v>8942.5188855981396</v>
      </c>
      <c r="K138" s="19">
        <v>42513.820999999996</v>
      </c>
      <c r="L138" s="19">
        <v>14421.460463154766</v>
      </c>
      <c r="M138" s="19">
        <v>77245</v>
      </c>
      <c r="N138" s="19">
        <v>134180.28146315477</v>
      </c>
      <c r="P138">
        <v>441</v>
      </c>
      <c r="Q138">
        <v>1</v>
      </c>
      <c r="R138" t="s">
        <v>145</v>
      </c>
      <c r="S138" s="12">
        <v>18000</v>
      </c>
      <c r="T138" s="12">
        <v>5241.0287572318302</v>
      </c>
      <c r="U138" s="12">
        <v>54674</v>
      </c>
      <c r="V138" s="12">
        <v>77915.028757231834</v>
      </c>
      <c r="W138" s="12">
        <v>20116.95</v>
      </c>
      <c r="X138" s="12">
        <v>6279.3702643604738</v>
      </c>
      <c r="Y138" s="12">
        <v>57922.8</v>
      </c>
      <c r="Z138" s="12">
        <v>84319.120264360477</v>
      </c>
      <c r="AA138" s="12">
        <v>2116.9500000000007</v>
      </c>
      <c r="AB138" s="12">
        <v>1038.3415071286436</v>
      </c>
      <c r="AC138" s="12">
        <v>3248.8000000000029</v>
      </c>
      <c r="AD138" s="12">
        <v>6404.0915071286472</v>
      </c>
      <c r="AI138" s="12"/>
    </row>
    <row r="139" spans="1:35" x14ac:dyDescent="0.25">
      <c r="A139">
        <v>435</v>
      </c>
      <c r="B139" t="s">
        <v>727</v>
      </c>
      <c r="C139" s="19">
        <v>23400</v>
      </c>
      <c r="D139" s="19">
        <v>9879.569601754898</v>
      </c>
      <c r="E139" s="19">
        <v>77919</v>
      </c>
      <c r="F139" s="19">
        <v>111198.56960175489</v>
      </c>
      <c r="G139" s="19">
        <v>2752.0349999999999</v>
      </c>
      <c r="H139" s="19">
        <v>1957.3193861822492</v>
      </c>
      <c r="I139" s="19">
        <v>3061.6000000000058</v>
      </c>
      <c r="J139" s="19">
        <v>7770.9543861822549</v>
      </c>
      <c r="K139" s="19">
        <v>26152.035</v>
      </c>
      <c r="L139" s="19">
        <v>11836.888987937147</v>
      </c>
      <c r="M139" s="19">
        <v>80980.600000000006</v>
      </c>
      <c r="N139" s="19">
        <v>118969.52398793715</v>
      </c>
      <c r="P139">
        <v>447</v>
      </c>
      <c r="Q139">
        <v>1</v>
      </c>
      <c r="R139" t="s">
        <v>146</v>
      </c>
      <c r="S139" s="12">
        <v>18000</v>
      </c>
      <c r="T139" s="12">
        <v>2292.7166814393563</v>
      </c>
      <c r="U139" s="12">
        <v>24635</v>
      </c>
      <c r="V139" s="12">
        <v>44927.716681439357</v>
      </c>
      <c r="W139" s="12">
        <v>20116.95</v>
      </c>
      <c r="X139" s="12">
        <v>2746.9448501247166</v>
      </c>
      <c r="Y139" s="12">
        <v>27103.4</v>
      </c>
      <c r="Z139" s="12">
        <v>49967.294850124716</v>
      </c>
      <c r="AA139" s="12">
        <v>2116.9500000000007</v>
      </c>
      <c r="AB139" s="12">
        <v>454.22816868536029</v>
      </c>
      <c r="AC139" s="12">
        <v>2468.4000000000015</v>
      </c>
      <c r="AD139" s="12">
        <v>5039.5781686853625</v>
      </c>
      <c r="AI139" s="12"/>
    </row>
    <row r="140" spans="1:35" x14ac:dyDescent="0.25">
      <c r="A140">
        <v>441</v>
      </c>
      <c r="B140" t="s">
        <v>728</v>
      </c>
      <c r="C140" s="19">
        <v>18000</v>
      </c>
      <c r="D140" s="19">
        <v>5241.0287572318302</v>
      </c>
      <c r="E140" s="19">
        <v>54674</v>
      </c>
      <c r="F140" s="19">
        <v>77915.028757231834</v>
      </c>
      <c r="G140" s="19">
        <v>2116.9500000000007</v>
      </c>
      <c r="H140" s="19">
        <v>1038.3415071286436</v>
      </c>
      <c r="I140" s="19">
        <v>3248.8000000000029</v>
      </c>
      <c r="J140" s="19">
        <v>6404.0915071286472</v>
      </c>
      <c r="K140" s="19">
        <v>20116.95</v>
      </c>
      <c r="L140" s="19">
        <v>6279.3702643604738</v>
      </c>
      <c r="M140" s="19">
        <v>57922.8</v>
      </c>
      <c r="N140" s="19">
        <v>84319.120264360477</v>
      </c>
      <c r="P140">
        <v>458</v>
      </c>
      <c r="Q140">
        <v>1</v>
      </c>
      <c r="R140" t="s">
        <v>147</v>
      </c>
      <c r="S140" s="12">
        <v>18480</v>
      </c>
      <c r="T140" s="12">
        <v>3757.1928565133553</v>
      </c>
      <c r="U140" s="12">
        <v>36201</v>
      </c>
      <c r="V140" s="12">
        <v>58438.192856513357</v>
      </c>
      <c r="W140" s="12">
        <v>20653.401999999998</v>
      </c>
      <c r="X140" s="12">
        <v>4501.5599405179828</v>
      </c>
      <c r="Y140" s="12">
        <v>38283</v>
      </c>
      <c r="Z140" s="12">
        <v>63437.961940517984</v>
      </c>
      <c r="AA140" s="12">
        <v>2173.4019999999982</v>
      </c>
      <c r="AB140" s="12">
        <v>744.36708400462749</v>
      </c>
      <c r="AC140" s="12">
        <v>2082</v>
      </c>
      <c r="AD140" s="12">
        <v>4999.7690840046253</v>
      </c>
      <c r="AI140" s="12"/>
    </row>
    <row r="141" spans="1:35" x14ac:dyDescent="0.25">
      <c r="A141">
        <v>447</v>
      </c>
      <c r="B141" t="s">
        <v>729</v>
      </c>
      <c r="C141" s="19">
        <v>18000</v>
      </c>
      <c r="D141" s="19">
        <v>2292.7166814393563</v>
      </c>
      <c r="E141" s="19">
        <v>24635</v>
      </c>
      <c r="F141" s="19">
        <v>44927.716681439357</v>
      </c>
      <c r="G141" s="19">
        <v>2116.9500000000007</v>
      </c>
      <c r="H141" s="19">
        <v>454.22816868536029</v>
      </c>
      <c r="I141" s="19">
        <v>2468.4000000000015</v>
      </c>
      <c r="J141" s="19">
        <v>5039.5781686853625</v>
      </c>
      <c r="K141" s="19">
        <v>20116.95</v>
      </c>
      <c r="L141" s="19">
        <v>2746.9448501247166</v>
      </c>
      <c r="M141" s="19">
        <v>27103.4</v>
      </c>
      <c r="N141" s="19">
        <v>49967.294850124716</v>
      </c>
      <c r="P141">
        <v>463</v>
      </c>
      <c r="Q141">
        <v>1</v>
      </c>
      <c r="R141" t="s">
        <v>148</v>
      </c>
      <c r="S141" s="12">
        <v>33000</v>
      </c>
      <c r="T141" s="12">
        <v>11563.051069736039</v>
      </c>
      <c r="U141" s="12">
        <v>132971</v>
      </c>
      <c r="V141" s="12">
        <v>177534.05106973604</v>
      </c>
      <c r="W141" s="12">
        <v>36881.074999999997</v>
      </c>
      <c r="X141" s="12">
        <v>13853.898235607468</v>
      </c>
      <c r="Y141" s="12">
        <v>141256.20000000001</v>
      </c>
      <c r="Z141" s="12">
        <v>191991.17323560748</v>
      </c>
      <c r="AA141" s="12">
        <v>3881.0749999999971</v>
      </c>
      <c r="AB141" s="12">
        <v>2290.8471658714298</v>
      </c>
      <c r="AC141" s="12">
        <v>8285.2000000000116</v>
      </c>
      <c r="AD141" s="12">
        <v>14457.122165871438</v>
      </c>
      <c r="AI141" s="12"/>
    </row>
    <row r="142" spans="1:35" x14ac:dyDescent="0.25">
      <c r="A142">
        <v>458</v>
      </c>
      <c r="B142" t="s">
        <v>730</v>
      </c>
      <c r="C142" s="19">
        <v>18480</v>
      </c>
      <c r="D142" s="19">
        <v>3757.1928565133553</v>
      </c>
      <c r="E142" s="19">
        <v>36201</v>
      </c>
      <c r="F142" s="19">
        <v>58438.192856513357</v>
      </c>
      <c r="G142" s="19">
        <v>2173.4019999999982</v>
      </c>
      <c r="H142" s="19">
        <v>744.36708400462749</v>
      </c>
      <c r="I142" s="19">
        <v>2082</v>
      </c>
      <c r="J142" s="19">
        <v>4999.7690840046253</v>
      </c>
      <c r="K142" s="19">
        <v>20653.401999999998</v>
      </c>
      <c r="L142" s="19">
        <v>4501.5599405179828</v>
      </c>
      <c r="M142" s="19">
        <v>38283</v>
      </c>
      <c r="N142" s="19">
        <v>63437.961940517984</v>
      </c>
      <c r="P142">
        <v>465</v>
      </c>
      <c r="Q142">
        <v>1</v>
      </c>
      <c r="R142" t="s">
        <v>149</v>
      </c>
      <c r="S142" s="12">
        <v>96000</v>
      </c>
      <c r="T142" s="12">
        <v>21873.883956555765</v>
      </c>
      <c r="U142" s="12">
        <v>213235</v>
      </c>
      <c r="V142" s="12">
        <v>331108.88395655574</v>
      </c>
      <c r="W142" s="12">
        <v>107290.4</v>
      </c>
      <c r="X142" s="12">
        <v>26207.491476428131</v>
      </c>
      <c r="Y142" s="12">
        <v>221604.2</v>
      </c>
      <c r="Z142" s="12">
        <v>355102.09147642815</v>
      </c>
      <c r="AA142" s="12">
        <v>11290.399999999994</v>
      </c>
      <c r="AB142" s="12">
        <v>4333.6075198723665</v>
      </c>
      <c r="AC142" s="12">
        <v>8369.2000000000116</v>
      </c>
      <c r="AD142" s="12">
        <v>23993.207519872372</v>
      </c>
      <c r="AI142" s="12"/>
    </row>
    <row r="143" spans="1:35" x14ac:dyDescent="0.25">
      <c r="A143">
        <v>463</v>
      </c>
      <c r="B143" t="s">
        <v>731</v>
      </c>
      <c r="C143" s="19">
        <v>33000</v>
      </c>
      <c r="D143" s="19">
        <v>11563.051069736039</v>
      </c>
      <c r="E143" s="19">
        <v>132971</v>
      </c>
      <c r="F143" s="19">
        <v>177534.05106973604</v>
      </c>
      <c r="G143" s="19">
        <v>3881.0749999999971</v>
      </c>
      <c r="H143" s="19">
        <v>2290.8471658714298</v>
      </c>
      <c r="I143" s="19">
        <v>8285.2000000000116</v>
      </c>
      <c r="J143" s="19">
        <v>14457.122165871438</v>
      </c>
      <c r="K143" s="19">
        <v>36881.074999999997</v>
      </c>
      <c r="L143" s="19">
        <v>13853.898235607468</v>
      </c>
      <c r="M143" s="19">
        <v>141256.20000000001</v>
      </c>
      <c r="N143" s="19">
        <v>191991.17323560748</v>
      </c>
      <c r="P143">
        <v>466</v>
      </c>
      <c r="Q143">
        <v>1</v>
      </c>
      <c r="R143" t="s">
        <v>150</v>
      </c>
      <c r="S143" s="12">
        <v>92400</v>
      </c>
      <c r="T143" s="12">
        <v>23171.219396544708</v>
      </c>
      <c r="U143" s="12">
        <v>247310</v>
      </c>
      <c r="V143" s="12">
        <v>362881.21939654474</v>
      </c>
      <c r="W143" s="12">
        <v>103267.01</v>
      </c>
      <c r="X143" s="12">
        <v>27761.852263616471</v>
      </c>
      <c r="Y143" s="12">
        <v>258694</v>
      </c>
      <c r="Z143" s="12">
        <v>389722.86226361647</v>
      </c>
      <c r="AA143" s="12">
        <v>10867.009999999995</v>
      </c>
      <c r="AB143" s="12">
        <v>4590.632867071763</v>
      </c>
      <c r="AC143" s="12">
        <v>11384</v>
      </c>
      <c r="AD143" s="12">
        <v>26841.642867071758</v>
      </c>
      <c r="AI143" s="12"/>
    </row>
    <row r="144" spans="1:35" x14ac:dyDescent="0.25">
      <c r="A144">
        <v>465</v>
      </c>
      <c r="B144" t="s">
        <v>732</v>
      </c>
      <c r="C144" s="19">
        <v>96000</v>
      </c>
      <c r="D144" s="19">
        <v>21873.883956555765</v>
      </c>
      <c r="E144" s="19">
        <v>213235</v>
      </c>
      <c r="F144" s="19">
        <v>331108.88395655574</v>
      </c>
      <c r="G144" s="19">
        <v>11290.399999999994</v>
      </c>
      <c r="H144" s="19">
        <v>4333.6075198723665</v>
      </c>
      <c r="I144" s="19">
        <v>8369.2000000000116</v>
      </c>
      <c r="J144" s="19">
        <v>23993.207519872372</v>
      </c>
      <c r="K144" s="19">
        <v>107290.4</v>
      </c>
      <c r="L144" s="19">
        <v>26207.491476428131</v>
      </c>
      <c r="M144" s="19">
        <v>221604.2</v>
      </c>
      <c r="N144" s="19">
        <v>355102.09147642815</v>
      </c>
      <c r="P144">
        <v>473</v>
      </c>
      <c r="Q144">
        <v>1</v>
      </c>
      <c r="R144" t="s">
        <v>151</v>
      </c>
      <c r="S144" s="12">
        <v>18000</v>
      </c>
      <c r="T144" s="12">
        <v>6035.6990681433463</v>
      </c>
      <c r="U144" s="12">
        <v>65620</v>
      </c>
      <c r="V144" s="12">
        <v>89655.699068143353</v>
      </c>
      <c r="W144" s="12">
        <v>20116.95</v>
      </c>
      <c r="X144" s="12">
        <v>7231.4789726789277</v>
      </c>
      <c r="Y144" s="12">
        <v>69104</v>
      </c>
      <c r="Z144" s="12">
        <v>96452.428972678928</v>
      </c>
      <c r="AA144" s="12">
        <v>2116.9500000000007</v>
      </c>
      <c r="AB144" s="12">
        <v>1195.7799045355814</v>
      </c>
      <c r="AC144" s="12">
        <v>3484</v>
      </c>
      <c r="AD144" s="12">
        <v>6796.7299045355821</v>
      </c>
      <c r="AI144" s="12"/>
    </row>
    <row r="145" spans="1:35" x14ac:dyDescent="0.25">
      <c r="A145">
        <v>466</v>
      </c>
      <c r="B145" t="s">
        <v>733</v>
      </c>
      <c r="C145" s="19">
        <v>92400</v>
      </c>
      <c r="D145" s="19">
        <v>23171.219396544708</v>
      </c>
      <c r="E145" s="19">
        <v>247310</v>
      </c>
      <c r="F145" s="19">
        <v>362881.21939654474</v>
      </c>
      <c r="G145" s="19">
        <v>10867.009999999995</v>
      </c>
      <c r="H145" s="19">
        <v>4590.632867071763</v>
      </c>
      <c r="I145" s="19">
        <v>11384</v>
      </c>
      <c r="J145" s="19">
        <v>26841.642867071758</v>
      </c>
      <c r="K145" s="19">
        <v>103267.01</v>
      </c>
      <c r="L145" s="19">
        <v>27761.852263616471</v>
      </c>
      <c r="M145" s="19">
        <v>258694</v>
      </c>
      <c r="N145" s="19">
        <v>389722.86226361647</v>
      </c>
      <c r="P145">
        <v>477</v>
      </c>
      <c r="Q145">
        <v>1</v>
      </c>
      <c r="R145" t="s">
        <v>152</v>
      </c>
      <c r="S145" s="12">
        <v>175800</v>
      </c>
      <c r="T145" s="12">
        <v>36665.533287879836</v>
      </c>
      <c r="U145" s="12">
        <v>411243</v>
      </c>
      <c r="V145" s="12">
        <v>623708.53328787978</v>
      </c>
      <c r="W145" s="12">
        <v>196475.54500000001</v>
      </c>
      <c r="X145" s="12">
        <v>43929.631017028893</v>
      </c>
      <c r="Y145" s="12">
        <v>425323.8</v>
      </c>
      <c r="Z145" s="12">
        <v>665728.97601702891</v>
      </c>
      <c r="AA145" s="12">
        <v>20675.545000000013</v>
      </c>
      <c r="AB145" s="12">
        <v>7264.0977291490562</v>
      </c>
      <c r="AC145" s="12">
        <v>14080.799999999988</v>
      </c>
      <c r="AD145" s="12">
        <v>42020.442729149057</v>
      </c>
      <c r="AI145" s="12"/>
    </row>
    <row r="146" spans="1:35" x14ac:dyDescent="0.25">
      <c r="A146">
        <v>473</v>
      </c>
      <c r="B146" t="s">
        <v>734</v>
      </c>
      <c r="C146" s="19">
        <v>18000</v>
      </c>
      <c r="D146" s="19">
        <v>6035.6990681433463</v>
      </c>
      <c r="E146" s="19">
        <v>65620</v>
      </c>
      <c r="F146" s="19">
        <v>89655.699068143353</v>
      </c>
      <c r="G146" s="19">
        <v>2116.9500000000007</v>
      </c>
      <c r="H146" s="19">
        <v>1195.7799045355814</v>
      </c>
      <c r="I146" s="19">
        <v>3484</v>
      </c>
      <c r="J146" s="19">
        <v>6796.7299045355821</v>
      </c>
      <c r="K146" s="19">
        <v>20116.95</v>
      </c>
      <c r="L146" s="19">
        <v>7231.4789726789277</v>
      </c>
      <c r="M146" s="19">
        <v>69104</v>
      </c>
      <c r="N146" s="19">
        <v>96452.428972678928</v>
      </c>
      <c r="P146">
        <v>480</v>
      </c>
      <c r="Q146">
        <v>1</v>
      </c>
      <c r="R146" t="s">
        <v>153</v>
      </c>
      <c r="S146" s="12">
        <v>48000</v>
      </c>
      <c r="T146" s="12">
        <v>13164.293874269937</v>
      </c>
      <c r="U146" s="12">
        <v>68745</v>
      </c>
      <c r="V146" s="12">
        <v>129909.29387426993</v>
      </c>
      <c r="W146" s="12">
        <v>53645.2</v>
      </c>
      <c r="X146" s="12">
        <v>15772.375870162941</v>
      </c>
      <c r="Y146" s="12">
        <v>72617.399999999994</v>
      </c>
      <c r="Z146" s="12">
        <v>142034.97587016295</v>
      </c>
      <c r="AA146" s="12">
        <v>5645.1999999999971</v>
      </c>
      <c r="AB146" s="12">
        <v>2608.0819958930042</v>
      </c>
      <c r="AC146" s="12">
        <v>3872.3999999999942</v>
      </c>
      <c r="AD146" s="12">
        <v>12125.681995892995</v>
      </c>
      <c r="AI146" s="12"/>
    </row>
    <row r="147" spans="1:35" x14ac:dyDescent="0.25">
      <c r="A147">
        <v>477</v>
      </c>
      <c r="B147" t="s">
        <v>735</v>
      </c>
      <c r="C147" s="19">
        <v>175800</v>
      </c>
      <c r="D147" s="19">
        <v>36665.533287879836</v>
      </c>
      <c r="E147" s="19">
        <v>411243</v>
      </c>
      <c r="F147" s="19">
        <v>623708.53328787978</v>
      </c>
      <c r="G147" s="19">
        <v>20675.545000000013</v>
      </c>
      <c r="H147" s="19">
        <v>7264.0977291490562</v>
      </c>
      <c r="I147" s="19">
        <v>14080.799999999988</v>
      </c>
      <c r="J147" s="19">
        <v>42020.442729149057</v>
      </c>
      <c r="K147" s="19">
        <v>196475.54500000001</v>
      </c>
      <c r="L147" s="19">
        <v>43929.631017028893</v>
      </c>
      <c r="M147" s="19">
        <v>425323.8</v>
      </c>
      <c r="N147" s="19">
        <v>665728.97601702891</v>
      </c>
      <c r="P147">
        <v>482</v>
      </c>
      <c r="Q147">
        <v>1</v>
      </c>
      <c r="R147" t="s">
        <v>154</v>
      </c>
      <c r="S147" s="12">
        <v>133200</v>
      </c>
      <c r="T147" s="12">
        <v>34518.283702656256</v>
      </c>
      <c r="U147" s="12">
        <v>270377</v>
      </c>
      <c r="V147" s="12">
        <v>438095.28370265628</v>
      </c>
      <c r="W147" s="12">
        <v>148865.43</v>
      </c>
      <c r="X147" s="12">
        <v>41356.972895852145</v>
      </c>
      <c r="Y147" s="12">
        <v>286062.2</v>
      </c>
      <c r="Z147" s="12">
        <v>476284.60289585218</v>
      </c>
      <c r="AA147" s="12">
        <v>15665.429999999993</v>
      </c>
      <c r="AB147" s="12">
        <v>6838.6891931958889</v>
      </c>
      <c r="AC147" s="12">
        <v>15685.200000000012</v>
      </c>
      <c r="AD147" s="12">
        <v>38189.319193195894</v>
      </c>
      <c r="AI147" s="12"/>
    </row>
    <row r="148" spans="1:35" x14ac:dyDescent="0.25">
      <c r="A148">
        <v>480</v>
      </c>
      <c r="B148" t="s">
        <v>736</v>
      </c>
      <c r="C148" s="19">
        <v>48000</v>
      </c>
      <c r="D148" s="19">
        <v>13164.293874269937</v>
      </c>
      <c r="E148" s="19">
        <v>68745</v>
      </c>
      <c r="F148" s="19">
        <v>129909.29387426993</v>
      </c>
      <c r="G148" s="19">
        <v>5645.1999999999971</v>
      </c>
      <c r="H148" s="19">
        <v>2608.0819958930042</v>
      </c>
      <c r="I148" s="19">
        <v>3872.3999999999942</v>
      </c>
      <c r="J148" s="19">
        <v>12125.681995892995</v>
      </c>
      <c r="K148" s="19">
        <v>53645.2</v>
      </c>
      <c r="L148" s="19">
        <v>15772.375870162941</v>
      </c>
      <c r="M148" s="19">
        <v>72617.399999999994</v>
      </c>
      <c r="N148" s="19">
        <v>142034.97587016295</v>
      </c>
      <c r="P148">
        <v>484</v>
      </c>
      <c r="Q148">
        <v>1</v>
      </c>
      <c r="R148" t="s">
        <v>155</v>
      </c>
      <c r="S148" s="12">
        <v>39600</v>
      </c>
      <c r="T148" s="12">
        <v>12709.231849909678</v>
      </c>
      <c r="U148" s="12">
        <v>154576</v>
      </c>
      <c r="V148" s="12">
        <v>206885.23184990967</v>
      </c>
      <c r="W148" s="12">
        <v>44257.29</v>
      </c>
      <c r="X148" s="12">
        <v>15227.157922204809</v>
      </c>
      <c r="Y148" s="12">
        <v>164166.79999999999</v>
      </c>
      <c r="Z148" s="12">
        <v>223651.24792220478</v>
      </c>
      <c r="AA148" s="12">
        <v>4657.2900000000009</v>
      </c>
      <c r="AB148" s="12">
        <v>2517.9260722951312</v>
      </c>
      <c r="AC148" s="12">
        <v>9590.7999999999884</v>
      </c>
      <c r="AD148" s="12">
        <v>16766.016072295119</v>
      </c>
      <c r="AI148" s="12"/>
    </row>
    <row r="149" spans="1:35" x14ac:dyDescent="0.25">
      <c r="A149">
        <v>482</v>
      </c>
      <c r="B149" t="s">
        <v>737</v>
      </c>
      <c r="C149" s="19">
        <v>133200</v>
      </c>
      <c r="D149" s="19">
        <v>34518.283702656256</v>
      </c>
      <c r="E149" s="19">
        <v>270377</v>
      </c>
      <c r="F149" s="19">
        <v>438095.28370265628</v>
      </c>
      <c r="G149" s="19">
        <v>15665.429999999993</v>
      </c>
      <c r="H149" s="19">
        <v>6838.6891931958889</v>
      </c>
      <c r="I149" s="19">
        <v>15685.200000000012</v>
      </c>
      <c r="J149" s="19">
        <v>38189.319193195894</v>
      </c>
      <c r="K149" s="19">
        <v>148865.43</v>
      </c>
      <c r="L149" s="19">
        <v>41356.972895852145</v>
      </c>
      <c r="M149" s="19">
        <v>286062.2</v>
      </c>
      <c r="N149" s="19">
        <v>476284.60289585218</v>
      </c>
      <c r="P149">
        <v>485</v>
      </c>
      <c r="Q149">
        <v>1</v>
      </c>
      <c r="R149" t="s">
        <v>156</v>
      </c>
      <c r="S149" s="12">
        <v>33000</v>
      </c>
      <c r="T149" s="12">
        <v>8511.5425599375048</v>
      </c>
      <c r="U149" s="12">
        <v>122942</v>
      </c>
      <c r="V149" s="12">
        <v>164453.54255993752</v>
      </c>
      <c r="W149" s="12">
        <v>36881.074999999997</v>
      </c>
      <c r="X149" s="12">
        <v>10197.831328622498</v>
      </c>
      <c r="Y149" s="12">
        <v>129356.8</v>
      </c>
      <c r="Z149" s="12">
        <v>176435.7063286225</v>
      </c>
      <c r="AA149" s="12">
        <v>3881.0749999999971</v>
      </c>
      <c r="AB149" s="12">
        <v>1686.2887686849936</v>
      </c>
      <c r="AC149" s="12">
        <v>6414.8000000000029</v>
      </c>
      <c r="AD149" s="12">
        <v>11982.163768684994</v>
      </c>
      <c r="AI149" s="12"/>
    </row>
    <row r="150" spans="1:35" x14ac:dyDescent="0.25">
      <c r="A150">
        <v>484</v>
      </c>
      <c r="B150" t="s">
        <v>738</v>
      </c>
      <c r="C150" s="19">
        <v>39600</v>
      </c>
      <c r="D150" s="19">
        <v>12709.231849909678</v>
      </c>
      <c r="E150" s="19">
        <v>154576</v>
      </c>
      <c r="F150" s="19">
        <v>206885.23184990967</v>
      </c>
      <c r="G150" s="19">
        <v>4657.2900000000009</v>
      </c>
      <c r="H150" s="19">
        <v>2517.9260722951312</v>
      </c>
      <c r="I150" s="19">
        <v>9590.7999999999884</v>
      </c>
      <c r="J150" s="19">
        <v>16766.016072295119</v>
      </c>
      <c r="K150" s="19">
        <v>44257.29</v>
      </c>
      <c r="L150" s="19">
        <v>15227.157922204809</v>
      </c>
      <c r="M150" s="19">
        <v>164166.79999999999</v>
      </c>
      <c r="N150" s="19">
        <v>223651.24792220478</v>
      </c>
      <c r="P150">
        <v>486</v>
      </c>
      <c r="Q150">
        <v>1</v>
      </c>
      <c r="R150" t="s">
        <v>157</v>
      </c>
      <c r="S150" s="12">
        <v>18000</v>
      </c>
      <c r="T150" s="12">
        <v>3505.6827314286029</v>
      </c>
      <c r="U150" s="12">
        <v>44746</v>
      </c>
      <c r="V150" s="12">
        <v>66251.682731428606</v>
      </c>
      <c r="W150" s="12">
        <v>20116.95</v>
      </c>
      <c r="X150" s="12">
        <v>4200.2211626180242</v>
      </c>
      <c r="Y150" s="12">
        <v>46831.6</v>
      </c>
      <c r="Z150" s="12">
        <v>71148.771162618024</v>
      </c>
      <c r="AA150" s="12">
        <v>2116.9500000000007</v>
      </c>
      <c r="AB150" s="12">
        <v>694.53843118942132</v>
      </c>
      <c r="AC150" s="12">
        <v>2085.5999999999985</v>
      </c>
      <c r="AD150" s="12">
        <v>4897.0884311894206</v>
      </c>
      <c r="AI150" s="12"/>
    </row>
    <row r="151" spans="1:35" x14ac:dyDescent="0.25">
      <c r="A151">
        <v>485</v>
      </c>
      <c r="B151" t="s">
        <v>739</v>
      </c>
      <c r="C151" s="19">
        <v>33000</v>
      </c>
      <c r="D151" s="19">
        <v>8511.5425599375048</v>
      </c>
      <c r="E151" s="19">
        <v>122942</v>
      </c>
      <c r="F151" s="19">
        <v>164453.54255993752</v>
      </c>
      <c r="G151" s="19">
        <v>3881.0749999999971</v>
      </c>
      <c r="H151" s="19">
        <v>1686.2887686849936</v>
      </c>
      <c r="I151" s="19">
        <v>6414.8000000000029</v>
      </c>
      <c r="J151" s="19">
        <v>11982.163768684994</v>
      </c>
      <c r="K151" s="19">
        <v>36881.074999999997</v>
      </c>
      <c r="L151" s="19">
        <v>10197.831328622498</v>
      </c>
      <c r="M151" s="19">
        <v>129356.8</v>
      </c>
      <c r="N151" s="19">
        <v>176435.7063286225</v>
      </c>
      <c r="P151">
        <v>487</v>
      </c>
      <c r="Q151">
        <v>1</v>
      </c>
      <c r="R151" t="s">
        <v>158</v>
      </c>
      <c r="S151" s="12">
        <v>18000</v>
      </c>
      <c r="T151" s="12">
        <v>3557.0146076125757</v>
      </c>
      <c r="U151" s="12">
        <v>52788</v>
      </c>
      <c r="V151" s="12">
        <v>74345.014607612567</v>
      </c>
      <c r="W151" s="12">
        <v>20116.95</v>
      </c>
      <c r="X151" s="12">
        <v>4261.7228012951073</v>
      </c>
      <c r="Y151" s="12">
        <v>56244</v>
      </c>
      <c r="Z151" s="12">
        <v>80622.672801295106</v>
      </c>
      <c r="AA151" s="12">
        <v>2116.9500000000007</v>
      </c>
      <c r="AB151" s="12">
        <v>704.7081936825316</v>
      </c>
      <c r="AC151" s="12">
        <v>3456</v>
      </c>
      <c r="AD151" s="12">
        <v>6277.6581936825323</v>
      </c>
      <c r="AI151" s="12"/>
    </row>
    <row r="152" spans="1:35" x14ac:dyDescent="0.25">
      <c r="A152">
        <v>486</v>
      </c>
      <c r="B152" t="s">
        <v>740</v>
      </c>
      <c r="C152" s="19">
        <v>18000</v>
      </c>
      <c r="D152" s="19">
        <v>3505.6827314286029</v>
      </c>
      <c r="E152" s="19">
        <v>44746</v>
      </c>
      <c r="F152" s="19">
        <v>66251.682731428606</v>
      </c>
      <c r="G152" s="19">
        <v>2116.9500000000007</v>
      </c>
      <c r="H152" s="19">
        <v>694.53843118942132</v>
      </c>
      <c r="I152" s="19">
        <v>2085.5999999999985</v>
      </c>
      <c r="J152" s="19">
        <v>4897.0884311894206</v>
      </c>
      <c r="K152" s="19">
        <v>20116.95</v>
      </c>
      <c r="L152" s="19">
        <v>4200.2211626180242</v>
      </c>
      <c r="M152" s="19">
        <v>46831.6</v>
      </c>
      <c r="N152" s="19">
        <v>71148.771162618024</v>
      </c>
      <c r="P152">
        <v>492</v>
      </c>
      <c r="Q152">
        <v>1</v>
      </c>
      <c r="R152" t="s">
        <v>159</v>
      </c>
      <c r="S152" s="12">
        <v>221040</v>
      </c>
      <c r="T152" s="12">
        <v>78309.920322891849</v>
      </c>
      <c r="U152" s="12">
        <v>567159</v>
      </c>
      <c r="V152" s="12">
        <v>866508.92032289179</v>
      </c>
      <c r="W152" s="12">
        <v>247036.14600000001</v>
      </c>
      <c r="X152" s="12">
        <v>93824.51573109231</v>
      </c>
      <c r="Y152" s="12">
        <v>592078.19999999995</v>
      </c>
      <c r="Z152" s="12">
        <v>932938.86173109221</v>
      </c>
      <c r="AA152" s="12">
        <v>25996.146000000008</v>
      </c>
      <c r="AB152" s="12">
        <v>15514.595408200461</v>
      </c>
      <c r="AC152" s="12">
        <v>24919.199999999953</v>
      </c>
      <c r="AD152" s="12">
        <v>66429.941408200422</v>
      </c>
      <c r="AI152" s="12"/>
    </row>
    <row r="153" spans="1:35" x14ac:dyDescent="0.25">
      <c r="A153">
        <v>487</v>
      </c>
      <c r="B153" t="s">
        <v>741</v>
      </c>
      <c r="C153" s="19">
        <v>18000</v>
      </c>
      <c r="D153" s="19">
        <v>3557.0146076125757</v>
      </c>
      <c r="E153" s="19">
        <v>52788</v>
      </c>
      <c r="F153" s="19">
        <v>74345.014607612567</v>
      </c>
      <c r="G153" s="19">
        <v>2116.9500000000007</v>
      </c>
      <c r="H153" s="19">
        <v>704.7081936825316</v>
      </c>
      <c r="I153" s="19">
        <v>3456</v>
      </c>
      <c r="J153" s="19">
        <v>6277.6581936825323</v>
      </c>
      <c r="K153" s="19">
        <v>20116.95</v>
      </c>
      <c r="L153" s="19">
        <v>4261.7228012951073</v>
      </c>
      <c r="M153" s="19">
        <v>56244</v>
      </c>
      <c r="N153" s="19">
        <v>80622.672801295106</v>
      </c>
      <c r="P153">
        <v>495</v>
      </c>
      <c r="Q153">
        <v>1</v>
      </c>
      <c r="R153" t="s">
        <v>160</v>
      </c>
      <c r="S153" s="12">
        <v>18000</v>
      </c>
      <c r="T153" s="12">
        <v>3708.3468279739191</v>
      </c>
      <c r="U153" s="12">
        <v>49025</v>
      </c>
      <c r="V153" s="12">
        <v>70733.346827973917</v>
      </c>
      <c r="W153" s="12">
        <v>20116.95</v>
      </c>
      <c r="X153" s="12">
        <v>4443.0366403511198</v>
      </c>
      <c r="Y153" s="12">
        <v>51218.6</v>
      </c>
      <c r="Z153" s="12">
        <v>75778.586640351117</v>
      </c>
      <c r="AA153" s="12">
        <v>2116.9500000000007</v>
      </c>
      <c r="AB153" s="12">
        <v>734.68981237720072</v>
      </c>
      <c r="AC153" s="12">
        <v>2193.5999999999985</v>
      </c>
      <c r="AD153" s="12">
        <v>5045.2398123772</v>
      </c>
      <c r="AI153" s="12"/>
    </row>
    <row r="154" spans="1:35" x14ac:dyDescent="0.25">
      <c r="A154">
        <v>492</v>
      </c>
      <c r="B154" t="s">
        <v>742</v>
      </c>
      <c r="C154" s="19">
        <v>221040</v>
      </c>
      <c r="D154" s="19">
        <v>78309.920322891849</v>
      </c>
      <c r="E154" s="19">
        <v>567159</v>
      </c>
      <c r="F154" s="19">
        <v>866508.92032289179</v>
      </c>
      <c r="G154" s="19">
        <v>25996.146000000008</v>
      </c>
      <c r="H154" s="19">
        <v>15514.595408200461</v>
      </c>
      <c r="I154" s="19">
        <v>24919.199999999953</v>
      </c>
      <c r="J154" s="19">
        <v>66429.941408200422</v>
      </c>
      <c r="K154" s="19">
        <v>247036.14600000001</v>
      </c>
      <c r="L154" s="19">
        <v>93824.51573109231</v>
      </c>
      <c r="M154" s="19">
        <v>592078.19999999995</v>
      </c>
      <c r="N154" s="19">
        <v>932938.86173109221</v>
      </c>
      <c r="P154">
        <v>497</v>
      </c>
      <c r="Q154">
        <v>1</v>
      </c>
      <c r="R154" t="s">
        <v>161</v>
      </c>
      <c r="S154" s="12">
        <v>18000</v>
      </c>
      <c r="T154" s="12">
        <v>3203.5509723440309</v>
      </c>
      <c r="U154" s="12">
        <v>27664</v>
      </c>
      <c r="V154" s="12">
        <v>48867.550972344034</v>
      </c>
      <c r="W154" s="12">
        <v>20116.95</v>
      </c>
      <c r="X154" s="12">
        <v>3838.2316999010454</v>
      </c>
      <c r="Y154" s="12">
        <v>29218.400000000001</v>
      </c>
      <c r="Z154" s="12">
        <v>53173.581699901049</v>
      </c>
      <c r="AA154" s="12">
        <v>2116.9500000000007</v>
      </c>
      <c r="AB154" s="12">
        <v>634.68072755701451</v>
      </c>
      <c r="AC154" s="12">
        <v>1554.4000000000015</v>
      </c>
      <c r="AD154" s="12">
        <v>4306.0307275570167</v>
      </c>
      <c r="AI154" s="12"/>
    </row>
    <row r="155" spans="1:35" x14ac:dyDescent="0.25">
      <c r="A155">
        <v>495</v>
      </c>
      <c r="B155" t="s">
        <v>743</v>
      </c>
      <c r="C155" s="19">
        <v>18000</v>
      </c>
      <c r="D155" s="19">
        <v>3708.3468279739191</v>
      </c>
      <c r="E155" s="19">
        <v>49025</v>
      </c>
      <c r="F155" s="19">
        <v>70733.346827973917</v>
      </c>
      <c r="G155" s="19">
        <v>2116.9500000000007</v>
      </c>
      <c r="H155" s="19">
        <v>734.68981237720072</v>
      </c>
      <c r="I155" s="19">
        <v>2193.5999999999985</v>
      </c>
      <c r="J155" s="19">
        <v>5045.2398123772</v>
      </c>
      <c r="K155" s="19">
        <v>20116.95</v>
      </c>
      <c r="L155" s="19">
        <v>4443.0366403511198</v>
      </c>
      <c r="M155" s="19">
        <v>51218.6</v>
      </c>
      <c r="N155" s="19">
        <v>75778.586640351117</v>
      </c>
      <c r="P155">
        <v>499</v>
      </c>
      <c r="Q155">
        <v>1</v>
      </c>
      <c r="R155" t="s">
        <v>162</v>
      </c>
      <c r="S155" s="12">
        <v>18000</v>
      </c>
      <c r="T155" s="12">
        <v>3303.7288770674395</v>
      </c>
      <c r="U155" s="12">
        <v>39767</v>
      </c>
      <c r="V155" s="12">
        <v>61070.728877067435</v>
      </c>
      <c r="W155" s="12">
        <v>20116.95</v>
      </c>
      <c r="X155" s="12">
        <v>3958.2566387449906</v>
      </c>
      <c r="Y155" s="12">
        <v>41050.6</v>
      </c>
      <c r="Z155" s="12">
        <v>65125.806638744994</v>
      </c>
      <c r="AA155" s="12">
        <v>2116.9500000000007</v>
      </c>
      <c r="AB155" s="12">
        <v>654.5277616775511</v>
      </c>
      <c r="AC155" s="12">
        <v>1283.5999999999985</v>
      </c>
      <c r="AD155" s="12">
        <v>4055.0777616775504</v>
      </c>
      <c r="AI155" s="12"/>
    </row>
    <row r="156" spans="1:35" x14ac:dyDescent="0.25">
      <c r="A156">
        <v>497</v>
      </c>
      <c r="B156" t="s">
        <v>744</v>
      </c>
      <c r="C156" s="19">
        <v>18000</v>
      </c>
      <c r="D156" s="19">
        <v>3203.5509723440309</v>
      </c>
      <c r="E156" s="19">
        <v>27664</v>
      </c>
      <c r="F156" s="19">
        <v>48867.550972344034</v>
      </c>
      <c r="G156" s="19">
        <v>2116.9500000000007</v>
      </c>
      <c r="H156" s="19">
        <v>634.68072755701451</v>
      </c>
      <c r="I156" s="19">
        <v>1554.4000000000015</v>
      </c>
      <c r="J156" s="19">
        <v>4306.0307275570167</v>
      </c>
      <c r="K156" s="19">
        <v>20116.95</v>
      </c>
      <c r="L156" s="19">
        <v>3838.2316999010454</v>
      </c>
      <c r="M156" s="19">
        <v>29218.400000000001</v>
      </c>
      <c r="N156" s="19">
        <v>53173.581699901049</v>
      </c>
      <c r="P156">
        <v>500</v>
      </c>
      <c r="Q156">
        <v>1</v>
      </c>
      <c r="R156" t="s">
        <v>163</v>
      </c>
      <c r="S156" s="12">
        <v>18240</v>
      </c>
      <c r="T156" s="12">
        <v>4902.6633945028425</v>
      </c>
      <c r="U156" s="12">
        <v>59304</v>
      </c>
      <c r="V156" s="12">
        <v>82446.663394502844</v>
      </c>
      <c r="W156" s="12">
        <v>20385.175999999999</v>
      </c>
      <c r="X156" s="12">
        <v>5873.9686732552636</v>
      </c>
      <c r="Y156" s="12">
        <v>61977.2</v>
      </c>
      <c r="Z156" s="12">
        <v>88236.344673255255</v>
      </c>
      <c r="AA156" s="12">
        <v>2145.1759999999995</v>
      </c>
      <c r="AB156" s="12">
        <v>971.30527875242115</v>
      </c>
      <c r="AC156" s="12">
        <v>2673.1999999999971</v>
      </c>
      <c r="AD156" s="12">
        <v>5789.6812787524177</v>
      </c>
      <c r="AI156" s="12"/>
    </row>
    <row r="157" spans="1:35" x14ac:dyDescent="0.25">
      <c r="A157">
        <v>499</v>
      </c>
      <c r="B157" t="s">
        <v>745</v>
      </c>
      <c r="C157" s="19">
        <v>18000</v>
      </c>
      <c r="D157" s="19">
        <v>3303.7288770674395</v>
      </c>
      <c r="E157" s="19">
        <v>39767</v>
      </c>
      <c r="F157" s="19">
        <v>61070.728877067435</v>
      </c>
      <c r="G157" s="19">
        <v>2116.9500000000007</v>
      </c>
      <c r="H157" s="19">
        <v>654.5277616775511</v>
      </c>
      <c r="I157" s="19">
        <v>1283.5999999999985</v>
      </c>
      <c r="J157" s="19">
        <v>4055.0777616775504</v>
      </c>
      <c r="K157" s="19">
        <v>20116.95</v>
      </c>
      <c r="L157" s="19">
        <v>3958.2566387449906</v>
      </c>
      <c r="M157" s="19">
        <v>41050.6</v>
      </c>
      <c r="N157" s="19">
        <v>65125.806638744994</v>
      </c>
      <c r="P157">
        <v>505</v>
      </c>
      <c r="Q157">
        <v>1</v>
      </c>
      <c r="R157" t="s">
        <v>164</v>
      </c>
      <c r="S157" s="12">
        <v>18000</v>
      </c>
      <c r="T157" s="12">
        <v>3724.8655848817816</v>
      </c>
      <c r="U157" s="12">
        <v>41687</v>
      </c>
      <c r="V157" s="12">
        <v>63411.86558488178</v>
      </c>
      <c r="W157" s="12">
        <v>20116.95</v>
      </c>
      <c r="X157" s="12">
        <v>4462.8280583600945</v>
      </c>
      <c r="Y157" s="12">
        <v>42747.4</v>
      </c>
      <c r="Z157" s="12">
        <v>67327.178058360092</v>
      </c>
      <c r="AA157" s="12">
        <v>2116.9500000000007</v>
      </c>
      <c r="AB157" s="12">
        <v>737.96247347831286</v>
      </c>
      <c r="AC157" s="12">
        <v>1060.4000000000015</v>
      </c>
      <c r="AD157" s="12">
        <v>3915.312473478315</v>
      </c>
      <c r="AI157" s="12"/>
    </row>
    <row r="158" spans="1:35" x14ac:dyDescent="0.25">
      <c r="A158">
        <v>500</v>
      </c>
      <c r="B158" t="s">
        <v>746</v>
      </c>
      <c r="C158" s="19">
        <v>18240</v>
      </c>
      <c r="D158" s="19">
        <v>4902.6633945028425</v>
      </c>
      <c r="E158" s="19">
        <v>59304</v>
      </c>
      <c r="F158" s="19">
        <v>82446.663394502844</v>
      </c>
      <c r="G158" s="19">
        <v>2145.1759999999995</v>
      </c>
      <c r="H158" s="19">
        <v>971.30527875242115</v>
      </c>
      <c r="I158" s="19">
        <v>2673.1999999999971</v>
      </c>
      <c r="J158" s="19">
        <v>5789.6812787524177</v>
      </c>
      <c r="K158" s="19">
        <v>20385.175999999999</v>
      </c>
      <c r="L158" s="19">
        <v>5873.9686732552636</v>
      </c>
      <c r="M158" s="19">
        <v>61977.2</v>
      </c>
      <c r="N158" s="19">
        <v>88236.344673255255</v>
      </c>
      <c r="P158">
        <v>507</v>
      </c>
      <c r="Q158">
        <v>1</v>
      </c>
      <c r="R158" t="s">
        <v>165</v>
      </c>
      <c r="S158" s="12">
        <v>18000</v>
      </c>
      <c r="T158" s="12">
        <v>1938.7203645326967</v>
      </c>
      <c r="U158" s="12">
        <v>40904</v>
      </c>
      <c r="V158" s="12">
        <v>60842.720364532695</v>
      </c>
      <c r="W158" s="12">
        <v>20116.95</v>
      </c>
      <c r="X158" s="12">
        <v>2322.8155333356085</v>
      </c>
      <c r="Y158" s="12">
        <v>41971.199999999997</v>
      </c>
      <c r="Z158" s="12">
        <v>64410.965533335606</v>
      </c>
      <c r="AA158" s="12">
        <v>2116.9500000000007</v>
      </c>
      <c r="AB158" s="12">
        <v>384.09516880291176</v>
      </c>
      <c r="AC158" s="12">
        <v>1067.1999999999971</v>
      </c>
      <c r="AD158" s="12">
        <v>3568.2451688029096</v>
      </c>
      <c r="AI158" s="12"/>
    </row>
    <row r="159" spans="1:35" x14ac:dyDescent="0.25">
      <c r="A159">
        <v>505</v>
      </c>
      <c r="B159" t="s">
        <v>747</v>
      </c>
      <c r="C159" s="19">
        <v>18000</v>
      </c>
      <c r="D159" s="19">
        <v>3724.8655848817816</v>
      </c>
      <c r="E159" s="19">
        <v>41687</v>
      </c>
      <c r="F159" s="19">
        <v>63411.86558488178</v>
      </c>
      <c r="G159" s="19">
        <v>2116.9500000000007</v>
      </c>
      <c r="H159" s="19">
        <v>737.96247347831286</v>
      </c>
      <c r="I159" s="19">
        <v>1060.4000000000015</v>
      </c>
      <c r="J159" s="19">
        <v>3915.312473478315</v>
      </c>
      <c r="K159" s="19">
        <v>20116.95</v>
      </c>
      <c r="L159" s="19">
        <v>4462.8280583600945</v>
      </c>
      <c r="M159" s="19">
        <v>42747.4</v>
      </c>
      <c r="N159" s="19">
        <v>67327.178058360092</v>
      </c>
      <c r="P159">
        <v>508</v>
      </c>
      <c r="Q159">
        <v>1</v>
      </c>
      <c r="R159" t="s">
        <v>166</v>
      </c>
      <c r="S159" s="12">
        <v>92160</v>
      </c>
      <c r="T159" s="12">
        <v>25953.456100528358</v>
      </c>
      <c r="U159" s="12">
        <v>210771</v>
      </c>
      <c r="V159" s="12">
        <v>328884.45610052836</v>
      </c>
      <c r="W159" s="12">
        <v>102998.784</v>
      </c>
      <c r="X159" s="12">
        <v>31095.299805437397</v>
      </c>
      <c r="Y159" s="12">
        <v>218520.2</v>
      </c>
      <c r="Z159" s="12">
        <v>352614.28380543739</v>
      </c>
      <c r="AA159" s="12">
        <v>10838.784</v>
      </c>
      <c r="AB159" s="12">
        <v>5141.8437049090389</v>
      </c>
      <c r="AC159" s="12">
        <v>7749.2000000000116</v>
      </c>
      <c r="AD159" s="12">
        <v>23729.82770490905</v>
      </c>
      <c r="AI159" s="12"/>
    </row>
    <row r="160" spans="1:35" x14ac:dyDescent="0.25">
      <c r="A160">
        <v>507</v>
      </c>
      <c r="B160" t="s">
        <v>748</v>
      </c>
      <c r="C160" s="19">
        <v>18000</v>
      </c>
      <c r="D160" s="19">
        <v>1938.7203645326967</v>
      </c>
      <c r="E160" s="19">
        <v>40904</v>
      </c>
      <c r="F160" s="19">
        <v>60842.720364532695</v>
      </c>
      <c r="G160" s="19">
        <v>2116.9500000000007</v>
      </c>
      <c r="H160" s="19">
        <v>384.09516880291176</v>
      </c>
      <c r="I160" s="19">
        <v>1067.1999999999971</v>
      </c>
      <c r="J160" s="19">
        <v>3568.2451688029096</v>
      </c>
      <c r="K160" s="19">
        <v>20116.95</v>
      </c>
      <c r="L160" s="19">
        <v>2322.8155333356085</v>
      </c>
      <c r="M160" s="19">
        <v>41971.199999999997</v>
      </c>
      <c r="N160" s="19">
        <v>64410.965533335606</v>
      </c>
      <c r="P160">
        <v>511</v>
      </c>
      <c r="Q160">
        <v>1</v>
      </c>
      <c r="R160" t="s">
        <v>167</v>
      </c>
      <c r="S160" s="12">
        <v>18000</v>
      </c>
      <c r="T160" s="12">
        <v>6203.7276059585911</v>
      </c>
      <c r="U160" s="12">
        <v>93402</v>
      </c>
      <c r="V160" s="12">
        <v>117605.72760595859</v>
      </c>
      <c r="W160" s="12">
        <v>20116.95</v>
      </c>
      <c r="X160" s="12">
        <v>7432.7969682089315</v>
      </c>
      <c r="Y160" s="12">
        <v>98499.6</v>
      </c>
      <c r="Z160" s="12">
        <v>126049.34696820893</v>
      </c>
      <c r="AA160" s="12">
        <v>2116.9500000000007</v>
      </c>
      <c r="AB160" s="12">
        <v>1229.0693622503404</v>
      </c>
      <c r="AC160" s="12">
        <v>5097.6000000000058</v>
      </c>
      <c r="AD160" s="12">
        <v>8443.619362250347</v>
      </c>
      <c r="AI160" s="12"/>
    </row>
    <row r="161" spans="1:35" x14ac:dyDescent="0.25">
      <c r="A161">
        <v>508</v>
      </c>
      <c r="B161" t="s">
        <v>749</v>
      </c>
      <c r="C161" s="19">
        <v>92160</v>
      </c>
      <c r="D161" s="19">
        <v>25953.456100528358</v>
      </c>
      <c r="E161" s="19">
        <v>210771</v>
      </c>
      <c r="F161" s="19">
        <v>328884.45610052836</v>
      </c>
      <c r="G161" s="19">
        <v>10838.784</v>
      </c>
      <c r="H161" s="19">
        <v>5141.8437049090389</v>
      </c>
      <c r="I161" s="19">
        <v>7749.2000000000116</v>
      </c>
      <c r="J161" s="19">
        <v>23729.82770490905</v>
      </c>
      <c r="K161" s="19">
        <v>102998.784</v>
      </c>
      <c r="L161" s="19">
        <v>31095.299805437397</v>
      </c>
      <c r="M161" s="19">
        <v>218520.2</v>
      </c>
      <c r="N161" s="19">
        <v>352614.28380543739</v>
      </c>
      <c r="P161">
        <v>514</v>
      </c>
      <c r="Q161">
        <v>1</v>
      </c>
      <c r="R161" t="s">
        <v>168</v>
      </c>
      <c r="S161" s="12">
        <v>18000</v>
      </c>
      <c r="T161" s="12">
        <v>1602.1306072640919</v>
      </c>
      <c r="U161" s="12">
        <v>23635</v>
      </c>
      <c r="V161" s="12">
        <v>43237.130607264087</v>
      </c>
      <c r="W161" s="12">
        <v>20116.95</v>
      </c>
      <c r="X161" s="12">
        <v>1919.5413268805537</v>
      </c>
      <c r="Y161" s="12">
        <v>24712.6</v>
      </c>
      <c r="Z161" s="12">
        <v>46749.091326880553</v>
      </c>
      <c r="AA161" s="12">
        <v>2116.9500000000007</v>
      </c>
      <c r="AB161" s="12">
        <v>317.41071961646185</v>
      </c>
      <c r="AC161" s="12">
        <v>1077.5999999999985</v>
      </c>
      <c r="AD161" s="12">
        <v>3511.9607196164611</v>
      </c>
      <c r="AI161" s="12"/>
    </row>
    <row r="162" spans="1:35" x14ac:dyDescent="0.25">
      <c r="A162">
        <v>511</v>
      </c>
      <c r="B162" t="s">
        <v>750</v>
      </c>
      <c r="C162" s="19">
        <v>18000</v>
      </c>
      <c r="D162" s="19">
        <v>6203.7276059585911</v>
      </c>
      <c r="E162" s="19">
        <v>93402</v>
      </c>
      <c r="F162" s="19">
        <v>117605.72760595859</v>
      </c>
      <c r="G162" s="19">
        <v>2116.9500000000007</v>
      </c>
      <c r="H162" s="19">
        <v>1229.0693622503404</v>
      </c>
      <c r="I162" s="19">
        <v>5097.6000000000058</v>
      </c>
      <c r="J162" s="19">
        <v>8443.619362250347</v>
      </c>
      <c r="K162" s="19">
        <v>20116.95</v>
      </c>
      <c r="L162" s="19">
        <v>7432.7969682089315</v>
      </c>
      <c r="M162" s="19">
        <v>98499.6</v>
      </c>
      <c r="N162" s="19">
        <v>126049.34696820893</v>
      </c>
      <c r="P162">
        <v>518</v>
      </c>
      <c r="Q162">
        <v>1</v>
      </c>
      <c r="R162" t="s">
        <v>169</v>
      </c>
      <c r="S162" s="12">
        <v>164880</v>
      </c>
      <c r="T162" s="12">
        <v>50960.90404365756</v>
      </c>
      <c r="U162" s="12">
        <v>389759</v>
      </c>
      <c r="V162" s="12">
        <v>605599.90404365759</v>
      </c>
      <c r="W162" s="12">
        <v>184271.26199999999</v>
      </c>
      <c r="X162" s="12">
        <v>61057.170322737809</v>
      </c>
      <c r="Y162" s="12">
        <v>404296.6</v>
      </c>
      <c r="Z162" s="12">
        <v>649625.03232273774</v>
      </c>
      <c r="AA162" s="12">
        <v>19391.261999999988</v>
      </c>
      <c r="AB162" s="12">
        <v>10096.26627908025</v>
      </c>
      <c r="AC162" s="12">
        <v>14537.599999999977</v>
      </c>
      <c r="AD162" s="12">
        <v>44025.128279080214</v>
      </c>
      <c r="AI162" s="12"/>
    </row>
    <row r="163" spans="1:35" x14ac:dyDescent="0.25">
      <c r="A163">
        <v>514</v>
      </c>
      <c r="B163" t="s">
        <v>751</v>
      </c>
      <c r="C163" s="19">
        <v>18000</v>
      </c>
      <c r="D163" s="19">
        <v>1602.1306072640919</v>
      </c>
      <c r="E163" s="19">
        <v>23635</v>
      </c>
      <c r="F163" s="19">
        <v>43237.130607264087</v>
      </c>
      <c r="G163" s="19">
        <v>2116.9500000000007</v>
      </c>
      <c r="H163" s="19">
        <v>317.41071961646185</v>
      </c>
      <c r="I163" s="19">
        <v>1077.5999999999985</v>
      </c>
      <c r="J163" s="19">
        <v>3511.9607196164611</v>
      </c>
      <c r="K163" s="19">
        <v>20116.95</v>
      </c>
      <c r="L163" s="19">
        <v>1919.5413268805537</v>
      </c>
      <c r="M163" s="19">
        <v>24712.6</v>
      </c>
      <c r="N163" s="19">
        <v>46749.091326880553</v>
      </c>
      <c r="P163">
        <v>531</v>
      </c>
      <c r="Q163">
        <v>1</v>
      </c>
      <c r="R163" t="s">
        <v>170</v>
      </c>
      <c r="S163" s="12">
        <v>67200</v>
      </c>
      <c r="T163" s="12">
        <v>12078.683744800564</v>
      </c>
      <c r="U163" s="12">
        <v>229842</v>
      </c>
      <c r="V163" s="12">
        <v>309120.68374480057</v>
      </c>
      <c r="W163" s="12">
        <v>75103.28</v>
      </c>
      <c r="X163" s="12">
        <v>14471.686963186017</v>
      </c>
      <c r="Y163" s="12">
        <v>235252</v>
      </c>
      <c r="Z163" s="12">
        <v>324826.96696318605</v>
      </c>
      <c r="AA163" s="12">
        <v>7903.2799999999988</v>
      </c>
      <c r="AB163" s="12">
        <v>2393.0032183854528</v>
      </c>
      <c r="AC163" s="12">
        <v>5410</v>
      </c>
      <c r="AD163" s="12">
        <v>15706.283218385452</v>
      </c>
      <c r="AI163" s="12"/>
    </row>
    <row r="164" spans="1:35" x14ac:dyDescent="0.25">
      <c r="A164">
        <v>518</v>
      </c>
      <c r="B164" t="s">
        <v>752</v>
      </c>
      <c r="C164" s="19">
        <v>164880</v>
      </c>
      <c r="D164" s="19">
        <v>50960.90404365756</v>
      </c>
      <c r="E164" s="19">
        <v>389759</v>
      </c>
      <c r="F164" s="19">
        <v>605599.90404365759</v>
      </c>
      <c r="G164" s="19">
        <v>19391.261999999988</v>
      </c>
      <c r="H164" s="19">
        <v>10096.26627908025</v>
      </c>
      <c r="I164" s="19">
        <v>14537.599999999977</v>
      </c>
      <c r="J164" s="19">
        <v>44025.128279080214</v>
      </c>
      <c r="K164" s="19">
        <v>184271.26199999999</v>
      </c>
      <c r="L164" s="19">
        <v>61057.170322737809</v>
      </c>
      <c r="M164" s="19">
        <v>404296.6</v>
      </c>
      <c r="N164" s="19">
        <v>649625.03232273774</v>
      </c>
      <c r="P164">
        <v>533</v>
      </c>
      <c r="Q164">
        <v>1</v>
      </c>
      <c r="R164" t="s">
        <v>171</v>
      </c>
      <c r="S164" s="12">
        <v>31800</v>
      </c>
      <c r="T164" s="12">
        <v>8172.2893944783245</v>
      </c>
      <c r="U164" s="12">
        <v>151585</v>
      </c>
      <c r="V164" s="12">
        <v>191557.28939447831</v>
      </c>
      <c r="W164" s="12">
        <v>35539.945</v>
      </c>
      <c r="X164" s="12">
        <v>9791.3660451922078</v>
      </c>
      <c r="Y164" s="12">
        <v>156099.4</v>
      </c>
      <c r="Z164" s="12">
        <v>201430.71104519221</v>
      </c>
      <c r="AA164" s="12">
        <v>3739.9449999999997</v>
      </c>
      <c r="AB164" s="12">
        <v>1619.0766507138833</v>
      </c>
      <c r="AC164" s="12">
        <v>4514.3999999999942</v>
      </c>
      <c r="AD164" s="12">
        <v>9873.4216507138772</v>
      </c>
      <c r="AI164" s="12"/>
    </row>
    <row r="165" spans="1:35" x14ac:dyDescent="0.25">
      <c r="A165">
        <v>531</v>
      </c>
      <c r="B165" t="s">
        <v>753</v>
      </c>
      <c r="C165" s="19">
        <v>67200</v>
      </c>
      <c r="D165" s="19">
        <v>12078.683744800564</v>
      </c>
      <c r="E165" s="19">
        <v>229842</v>
      </c>
      <c r="F165" s="19">
        <v>309120.68374480057</v>
      </c>
      <c r="G165" s="19">
        <v>7903.2799999999988</v>
      </c>
      <c r="H165" s="19">
        <v>2393.0032183854528</v>
      </c>
      <c r="I165" s="19">
        <v>5410</v>
      </c>
      <c r="J165" s="19">
        <v>15706.283218385452</v>
      </c>
      <c r="K165" s="19">
        <v>75103.28</v>
      </c>
      <c r="L165" s="19">
        <v>14471.686963186017</v>
      </c>
      <c r="M165" s="19">
        <v>235252</v>
      </c>
      <c r="N165" s="19">
        <v>324826.96696318605</v>
      </c>
      <c r="P165">
        <v>534</v>
      </c>
      <c r="Q165">
        <v>1</v>
      </c>
      <c r="R165" t="s">
        <v>172</v>
      </c>
      <c r="S165" s="12">
        <v>84480</v>
      </c>
      <c r="T165" s="12">
        <v>18197.864400213417</v>
      </c>
      <c r="U165" s="12">
        <v>218890</v>
      </c>
      <c r="V165" s="12">
        <v>321567.86440021341</v>
      </c>
      <c r="W165" s="12">
        <v>94415.551999999996</v>
      </c>
      <c r="X165" s="12">
        <v>21803.186718234898</v>
      </c>
      <c r="Y165" s="12">
        <v>226918.8</v>
      </c>
      <c r="Z165" s="12">
        <v>343137.53871823486</v>
      </c>
      <c r="AA165" s="12">
        <v>9935.551999999996</v>
      </c>
      <c r="AB165" s="12">
        <v>3605.3223180214809</v>
      </c>
      <c r="AC165" s="12">
        <v>8028.7999999999884</v>
      </c>
      <c r="AD165" s="12">
        <v>21569.674318021465</v>
      </c>
      <c r="AI165" s="12"/>
    </row>
    <row r="166" spans="1:35" x14ac:dyDescent="0.25">
      <c r="A166">
        <v>533</v>
      </c>
      <c r="B166" t="s">
        <v>754</v>
      </c>
      <c r="C166" s="19">
        <v>31800</v>
      </c>
      <c r="D166" s="19">
        <v>8172.2893944783245</v>
      </c>
      <c r="E166" s="19">
        <v>151585</v>
      </c>
      <c r="F166" s="19">
        <v>191557.28939447831</v>
      </c>
      <c r="G166" s="19">
        <v>3739.9449999999997</v>
      </c>
      <c r="H166" s="19">
        <v>1619.0766507138833</v>
      </c>
      <c r="I166" s="19">
        <v>4514.3999999999942</v>
      </c>
      <c r="J166" s="19">
        <v>9873.4216507138772</v>
      </c>
      <c r="K166" s="19">
        <v>35539.945</v>
      </c>
      <c r="L166" s="19">
        <v>9791.3660451922078</v>
      </c>
      <c r="M166" s="19">
        <v>156099.4</v>
      </c>
      <c r="N166" s="19">
        <v>201430.71104519221</v>
      </c>
      <c r="P166">
        <v>535</v>
      </c>
      <c r="Q166">
        <v>1</v>
      </c>
      <c r="R166" t="s">
        <v>173</v>
      </c>
      <c r="S166" s="12">
        <v>1030920</v>
      </c>
      <c r="T166" s="12">
        <v>221733.87256946339</v>
      </c>
      <c r="U166" s="12">
        <v>1561593</v>
      </c>
      <c r="V166" s="12">
        <v>2814246.8725694632</v>
      </c>
      <c r="W166" s="12">
        <v>1152164.7830000001</v>
      </c>
      <c r="X166" s="12">
        <v>265663.31735786627</v>
      </c>
      <c r="Y166" s="12">
        <v>1607762.2</v>
      </c>
      <c r="Z166" s="12">
        <v>3025590.3003578661</v>
      </c>
      <c r="AA166" s="12">
        <v>121244.78300000005</v>
      </c>
      <c r="AB166" s="12">
        <v>43929.444788402878</v>
      </c>
      <c r="AC166" s="12">
        <v>46169.199999999953</v>
      </c>
      <c r="AD166" s="12">
        <v>211343.42778840289</v>
      </c>
      <c r="AI166" s="12"/>
    </row>
    <row r="167" spans="1:35" x14ac:dyDescent="0.25">
      <c r="A167">
        <v>534</v>
      </c>
      <c r="B167" t="s">
        <v>755</v>
      </c>
      <c r="C167" s="19">
        <v>84480</v>
      </c>
      <c r="D167" s="19">
        <v>18197.864400213417</v>
      </c>
      <c r="E167" s="19">
        <v>218890</v>
      </c>
      <c r="F167" s="19">
        <v>321567.86440021341</v>
      </c>
      <c r="G167" s="19">
        <v>9935.551999999996</v>
      </c>
      <c r="H167" s="19">
        <v>3605.3223180214809</v>
      </c>
      <c r="I167" s="19">
        <v>8028.7999999999884</v>
      </c>
      <c r="J167" s="19">
        <v>21569.674318021465</v>
      </c>
      <c r="K167" s="19">
        <v>94415.551999999996</v>
      </c>
      <c r="L167" s="19">
        <v>21803.186718234898</v>
      </c>
      <c r="M167" s="19">
        <v>226918.8</v>
      </c>
      <c r="N167" s="19">
        <v>343137.53871823486</v>
      </c>
      <c r="P167">
        <v>542</v>
      </c>
      <c r="Q167">
        <v>1</v>
      </c>
      <c r="R167" t="s">
        <v>174</v>
      </c>
      <c r="S167" s="12">
        <v>18000</v>
      </c>
      <c r="T167" s="12">
        <v>5106.5704148704262</v>
      </c>
      <c r="U167" s="12">
        <v>66375</v>
      </c>
      <c r="V167" s="12">
        <v>89481.570414870424</v>
      </c>
      <c r="W167" s="12">
        <v>20116.95</v>
      </c>
      <c r="X167" s="12">
        <v>6118.2733202434674</v>
      </c>
      <c r="Y167" s="12">
        <v>69212.600000000006</v>
      </c>
      <c r="Z167" s="12">
        <v>95447.823320243479</v>
      </c>
      <c r="AA167" s="12">
        <v>2116.9500000000007</v>
      </c>
      <c r="AB167" s="12">
        <v>1011.7029053730412</v>
      </c>
      <c r="AC167" s="12">
        <v>2837.6000000000058</v>
      </c>
      <c r="AD167" s="12">
        <v>5966.2529053730477</v>
      </c>
      <c r="AI167" s="12"/>
    </row>
    <row r="168" spans="1:35" x14ac:dyDescent="0.25">
      <c r="A168">
        <v>535</v>
      </c>
      <c r="B168" t="s">
        <v>756</v>
      </c>
      <c r="C168" s="19">
        <v>1030920</v>
      </c>
      <c r="D168" s="19">
        <v>221733.87256946339</v>
      </c>
      <c r="E168" s="19">
        <v>1561593</v>
      </c>
      <c r="F168" s="19">
        <v>2814246.8725694632</v>
      </c>
      <c r="G168" s="19">
        <v>121244.78300000005</v>
      </c>
      <c r="H168" s="19">
        <v>43929.444788402878</v>
      </c>
      <c r="I168" s="19">
        <v>46169.199999999953</v>
      </c>
      <c r="J168" s="19">
        <v>211343.42778840289</v>
      </c>
      <c r="K168" s="19">
        <v>1152164.7830000001</v>
      </c>
      <c r="L168" s="19">
        <v>265663.31735786627</v>
      </c>
      <c r="M168" s="19">
        <v>1607762.2</v>
      </c>
      <c r="N168" s="19">
        <v>3025590.3003578661</v>
      </c>
      <c r="P168">
        <v>544</v>
      </c>
      <c r="Q168">
        <v>1</v>
      </c>
      <c r="R168" t="s">
        <v>175</v>
      </c>
      <c r="S168" s="12">
        <v>115560</v>
      </c>
      <c r="T168" s="12">
        <v>29287.026401582836</v>
      </c>
      <c r="U168" s="12">
        <v>227967</v>
      </c>
      <c r="V168" s="12">
        <v>372814.02640158287</v>
      </c>
      <c r="W168" s="12">
        <v>129150.819</v>
      </c>
      <c r="X168" s="12">
        <v>35089.309987830056</v>
      </c>
      <c r="Y168" s="12">
        <v>238063.8</v>
      </c>
      <c r="Z168" s="12">
        <v>402303.92898783006</v>
      </c>
      <c r="AA168" s="12">
        <v>13590.819000000003</v>
      </c>
      <c r="AB168" s="12">
        <v>5802.2835862472202</v>
      </c>
      <c r="AC168" s="12">
        <v>10096.799999999988</v>
      </c>
      <c r="AD168" s="12">
        <v>29489.902586247212</v>
      </c>
      <c r="AI168" s="12"/>
    </row>
    <row r="169" spans="1:35" x14ac:dyDescent="0.25">
      <c r="A169">
        <v>542</v>
      </c>
      <c r="B169" t="s">
        <v>757</v>
      </c>
      <c r="C169" s="19">
        <v>18000</v>
      </c>
      <c r="D169" s="19">
        <v>5106.5704148704262</v>
      </c>
      <c r="E169" s="19">
        <v>66375</v>
      </c>
      <c r="F169" s="19">
        <v>89481.570414870424</v>
      </c>
      <c r="G169" s="19">
        <v>2116.9500000000007</v>
      </c>
      <c r="H169" s="19">
        <v>1011.7029053730412</v>
      </c>
      <c r="I169" s="19">
        <v>2837.6000000000058</v>
      </c>
      <c r="J169" s="19">
        <v>5966.2529053730477</v>
      </c>
      <c r="K169" s="19">
        <v>20116.95</v>
      </c>
      <c r="L169" s="19">
        <v>6118.2733202434674</v>
      </c>
      <c r="M169" s="19">
        <v>69212.600000000006</v>
      </c>
      <c r="N169" s="19">
        <v>95447.823320243479</v>
      </c>
      <c r="P169">
        <v>545</v>
      </c>
      <c r="Q169">
        <v>1</v>
      </c>
      <c r="R169" t="s">
        <v>176</v>
      </c>
      <c r="S169" s="12">
        <v>18000</v>
      </c>
      <c r="T169" s="12">
        <v>3945.6464832493066</v>
      </c>
      <c r="U169" s="12">
        <v>50086</v>
      </c>
      <c r="V169" s="12">
        <v>72031.646483249307</v>
      </c>
      <c r="W169" s="12">
        <v>20116.95</v>
      </c>
      <c r="X169" s="12">
        <v>4727.3496002873071</v>
      </c>
      <c r="Y169" s="12">
        <v>53069.2</v>
      </c>
      <c r="Z169" s="12">
        <v>77913.499600287309</v>
      </c>
      <c r="AA169" s="12">
        <v>2116.9500000000007</v>
      </c>
      <c r="AB169" s="12">
        <v>781.70311703800053</v>
      </c>
      <c r="AC169" s="12">
        <v>2983.1999999999971</v>
      </c>
      <c r="AD169" s="12">
        <v>5881.8531170379983</v>
      </c>
      <c r="AI169" s="12"/>
    </row>
    <row r="170" spans="1:35" x14ac:dyDescent="0.25">
      <c r="A170">
        <v>544</v>
      </c>
      <c r="B170" t="s">
        <v>758</v>
      </c>
      <c r="C170" s="19">
        <v>115560</v>
      </c>
      <c r="D170" s="19">
        <v>29287.026401582836</v>
      </c>
      <c r="E170" s="19">
        <v>227967</v>
      </c>
      <c r="F170" s="19">
        <v>372814.02640158287</v>
      </c>
      <c r="G170" s="19">
        <v>13590.819000000003</v>
      </c>
      <c r="H170" s="19">
        <v>5802.2835862472202</v>
      </c>
      <c r="I170" s="19">
        <v>10096.799999999988</v>
      </c>
      <c r="J170" s="19">
        <v>29489.902586247212</v>
      </c>
      <c r="K170" s="19">
        <v>129150.819</v>
      </c>
      <c r="L170" s="19">
        <v>35089.309987830056</v>
      </c>
      <c r="M170" s="19">
        <v>238063.8</v>
      </c>
      <c r="N170" s="19">
        <v>402303.92898783006</v>
      </c>
      <c r="P170">
        <v>547</v>
      </c>
      <c r="Q170">
        <v>1</v>
      </c>
      <c r="R170" t="s">
        <v>177</v>
      </c>
      <c r="S170" s="12">
        <v>18000</v>
      </c>
      <c r="T170" s="12">
        <v>4417.5823856095067</v>
      </c>
      <c r="U170" s="12">
        <v>70868</v>
      </c>
      <c r="V170" s="12">
        <v>93285.582385609508</v>
      </c>
      <c r="W170" s="12">
        <v>20116.95</v>
      </c>
      <c r="X170" s="12">
        <v>5292.784443184446</v>
      </c>
      <c r="Y170" s="12">
        <v>74894.399999999994</v>
      </c>
      <c r="Z170" s="12">
        <v>100304.13444318445</v>
      </c>
      <c r="AA170" s="12">
        <v>2116.9500000000007</v>
      </c>
      <c r="AB170" s="12">
        <v>875.20205757493932</v>
      </c>
      <c r="AC170" s="12">
        <v>4026.3999999999942</v>
      </c>
      <c r="AD170" s="12">
        <v>7018.5520575749342</v>
      </c>
      <c r="AI170" s="12"/>
    </row>
    <row r="171" spans="1:35" x14ac:dyDescent="0.25">
      <c r="A171">
        <v>545</v>
      </c>
      <c r="B171" t="s">
        <v>759</v>
      </c>
      <c r="C171" s="19">
        <v>18000</v>
      </c>
      <c r="D171" s="19">
        <v>3945.6464832493066</v>
      </c>
      <c r="E171" s="19">
        <v>50086</v>
      </c>
      <c r="F171" s="19">
        <v>72031.646483249307</v>
      </c>
      <c r="G171" s="19">
        <v>2116.9500000000007</v>
      </c>
      <c r="H171" s="19">
        <v>781.70311703800053</v>
      </c>
      <c r="I171" s="19">
        <v>2983.1999999999971</v>
      </c>
      <c r="J171" s="19">
        <v>5881.8531170379983</v>
      </c>
      <c r="K171" s="19">
        <v>20116.95</v>
      </c>
      <c r="L171" s="19">
        <v>4727.3496002873071</v>
      </c>
      <c r="M171" s="19">
        <v>53069.2</v>
      </c>
      <c r="N171" s="19">
        <v>77913.499600287309</v>
      </c>
      <c r="P171">
        <v>548</v>
      </c>
      <c r="Q171">
        <v>1</v>
      </c>
      <c r="R171" t="s">
        <v>178</v>
      </c>
      <c r="S171" s="12">
        <v>39240</v>
      </c>
      <c r="T171" s="12">
        <v>12959.499051172163</v>
      </c>
      <c r="U171" s="12">
        <v>108480</v>
      </c>
      <c r="V171" s="12">
        <v>160679.49905117217</v>
      </c>
      <c r="W171" s="12">
        <v>43854.951000000001</v>
      </c>
      <c r="X171" s="12">
        <v>15527.00753084966</v>
      </c>
      <c r="Y171" s="12">
        <v>113594.8</v>
      </c>
      <c r="Z171" s="12">
        <v>172976.75853084965</v>
      </c>
      <c r="AA171" s="12">
        <v>4614.9510000000009</v>
      </c>
      <c r="AB171" s="12">
        <v>2567.5084796774972</v>
      </c>
      <c r="AC171" s="12">
        <v>5114.8000000000029</v>
      </c>
      <c r="AD171" s="12">
        <v>12297.259479677501</v>
      </c>
      <c r="AI171" s="12"/>
    </row>
    <row r="172" spans="1:35" x14ac:dyDescent="0.25">
      <c r="A172">
        <v>547</v>
      </c>
      <c r="B172" t="s">
        <v>760</v>
      </c>
      <c r="C172" s="19">
        <v>18000</v>
      </c>
      <c r="D172" s="19">
        <v>4417.5823856095067</v>
      </c>
      <c r="E172" s="19">
        <v>70868</v>
      </c>
      <c r="F172" s="19">
        <v>93285.582385609508</v>
      </c>
      <c r="G172" s="19">
        <v>2116.9500000000007</v>
      </c>
      <c r="H172" s="19">
        <v>875.20205757493932</v>
      </c>
      <c r="I172" s="19">
        <v>4026.3999999999942</v>
      </c>
      <c r="J172" s="19">
        <v>7018.5520575749342</v>
      </c>
      <c r="K172" s="19">
        <v>20116.95</v>
      </c>
      <c r="L172" s="19">
        <v>5292.784443184446</v>
      </c>
      <c r="M172" s="19">
        <v>74894.399999999994</v>
      </c>
      <c r="N172" s="19">
        <v>100304.13444318445</v>
      </c>
      <c r="P172">
        <v>549</v>
      </c>
      <c r="Q172">
        <v>1</v>
      </c>
      <c r="R172" t="s">
        <v>179</v>
      </c>
      <c r="S172" s="12">
        <v>51600</v>
      </c>
      <c r="T172" s="12">
        <v>13872.28650808326</v>
      </c>
      <c r="U172" s="12">
        <v>187918</v>
      </c>
      <c r="V172" s="12">
        <v>253390.28650808326</v>
      </c>
      <c r="W172" s="12">
        <v>57668.59</v>
      </c>
      <c r="X172" s="12">
        <v>16620.634503741163</v>
      </c>
      <c r="Y172" s="12">
        <v>196704.8</v>
      </c>
      <c r="Z172" s="12">
        <v>270994.02450374118</v>
      </c>
      <c r="AA172" s="12">
        <v>6068.5899999999965</v>
      </c>
      <c r="AB172" s="12">
        <v>2748.3479956579031</v>
      </c>
      <c r="AC172" s="12">
        <v>8786.7999999999884</v>
      </c>
      <c r="AD172" s="12">
        <v>17603.737995657888</v>
      </c>
      <c r="AI172" s="12"/>
    </row>
    <row r="173" spans="1:35" x14ac:dyDescent="0.25">
      <c r="A173">
        <v>548</v>
      </c>
      <c r="B173" t="s">
        <v>761</v>
      </c>
      <c r="C173" s="19">
        <v>39240</v>
      </c>
      <c r="D173" s="19">
        <v>12959.499051172163</v>
      </c>
      <c r="E173" s="19">
        <v>108480</v>
      </c>
      <c r="F173" s="19">
        <v>160679.49905117217</v>
      </c>
      <c r="G173" s="19">
        <v>4614.9510000000009</v>
      </c>
      <c r="H173" s="19">
        <v>2567.5084796774972</v>
      </c>
      <c r="I173" s="19">
        <v>5114.8000000000029</v>
      </c>
      <c r="J173" s="19">
        <v>12297.259479677501</v>
      </c>
      <c r="K173" s="19">
        <v>43854.951000000001</v>
      </c>
      <c r="L173" s="19">
        <v>15527.00753084966</v>
      </c>
      <c r="M173" s="19">
        <v>113594.8</v>
      </c>
      <c r="N173" s="19">
        <v>172976.75853084965</v>
      </c>
      <c r="P173">
        <v>550</v>
      </c>
      <c r="Q173">
        <v>1</v>
      </c>
      <c r="R173" t="s">
        <v>180</v>
      </c>
      <c r="S173" s="12">
        <v>18000</v>
      </c>
      <c r="T173" s="12">
        <v>5767.6701861507308</v>
      </c>
      <c r="U173" s="12">
        <v>87942</v>
      </c>
      <c r="V173" s="12">
        <v>111709.67018615073</v>
      </c>
      <c r="W173" s="12">
        <v>20116.95</v>
      </c>
      <c r="X173" s="12">
        <v>6910.3487767699944</v>
      </c>
      <c r="Y173" s="12">
        <v>94253.2</v>
      </c>
      <c r="Z173" s="12">
        <v>121280.49877676999</v>
      </c>
      <c r="AA173" s="12">
        <v>2116.9500000000007</v>
      </c>
      <c r="AB173" s="12">
        <v>1142.6785906192636</v>
      </c>
      <c r="AC173" s="12">
        <v>6311.1999999999971</v>
      </c>
      <c r="AD173" s="12">
        <v>9570.8285906192614</v>
      </c>
      <c r="AI173" s="12"/>
    </row>
    <row r="174" spans="1:35" x14ac:dyDescent="0.25">
      <c r="A174">
        <v>549</v>
      </c>
      <c r="B174" t="s">
        <v>762</v>
      </c>
      <c r="C174" s="19">
        <v>51600</v>
      </c>
      <c r="D174" s="19">
        <v>13872.28650808326</v>
      </c>
      <c r="E174" s="19">
        <v>187918</v>
      </c>
      <c r="F174" s="19">
        <v>253390.28650808326</v>
      </c>
      <c r="G174" s="19">
        <v>6068.5899999999965</v>
      </c>
      <c r="H174" s="19">
        <v>2748.3479956579031</v>
      </c>
      <c r="I174" s="19">
        <v>8786.7999999999884</v>
      </c>
      <c r="J174" s="19">
        <v>17603.737995657888</v>
      </c>
      <c r="K174" s="19">
        <v>57668.59</v>
      </c>
      <c r="L174" s="19">
        <v>16620.634503741163</v>
      </c>
      <c r="M174" s="19">
        <v>196704.8</v>
      </c>
      <c r="N174" s="19">
        <v>270994.02450374118</v>
      </c>
      <c r="P174">
        <v>553</v>
      </c>
      <c r="Q174">
        <v>1</v>
      </c>
      <c r="R174" t="s">
        <v>181</v>
      </c>
      <c r="S174" s="12">
        <v>23880</v>
      </c>
      <c r="T174" s="12">
        <v>8529.126680121597</v>
      </c>
      <c r="U174" s="12">
        <v>97112</v>
      </c>
      <c r="V174" s="12">
        <v>129521.1266801216</v>
      </c>
      <c r="W174" s="12">
        <v>26688.487000000001</v>
      </c>
      <c r="X174" s="12">
        <v>10218.899177421566</v>
      </c>
      <c r="Y174" s="12">
        <v>102523.2</v>
      </c>
      <c r="Z174" s="12">
        <v>139430.58617742156</v>
      </c>
      <c r="AA174" s="12">
        <v>2808.487000000001</v>
      </c>
      <c r="AB174" s="12">
        <v>1689.7724972999695</v>
      </c>
      <c r="AC174" s="12">
        <v>5411.1999999999971</v>
      </c>
      <c r="AD174" s="12">
        <v>9909.4594972999676</v>
      </c>
      <c r="AI174" s="12"/>
    </row>
    <row r="175" spans="1:35" x14ac:dyDescent="0.25">
      <c r="A175">
        <v>550</v>
      </c>
      <c r="B175" t="s">
        <v>763</v>
      </c>
      <c r="C175" s="19">
        <v>18000</v>
      </c>
      <c r="D175" s="19">
        <v>5767.6701861507308</v>
      </c>
      <c r="E175" s="19">
        <v>87942</v>
      </c>
      <c r="F175" s="19">
        <v>111709.67018615073</v>
      </c>
      <c r="G175" s="19">
        <v>2116.9500000000007</v>
      </c>
      <c r="H175" s="19">
        <v>1142.6785906192636</v>
      </c>
      <c r="I175" s="19">
        <v>6311.1999999999971</v>
      </c>
      <c r="J175" s="19">
        <v>9570.8285906192614</v>
      </c>
      <c r="K175" s="19">
        <v>20116.95</v>
      </c>
      <c r="L175" s="19">
        <v>6910.3487767699944</v>
      </c>
      <c r="M175" s="19">
        <v>94253.2</v>
      </c>
      <c r="N175" s="19">
        <v>121280.49877676999</v>
      </c>
      <c r="P175">
        <v>561</v>
      </c>
      <c r="Q175">
        <v>1</v>
      </c>
      <c r="R175" t="s">
        <v>182</v>
      </c>
      <c r="S175" s="12">
        <v>18000</v>
      </c>
      <c r="T175" s="12">
        <v>3285.78963579127</v>
      </c>
      <c r="U175" s="12">
        <v>28442</v>
      </c>
      <c r="V175" s="12">
        <v>49727.789635791269</v>
      </c>
      <c r="W175" s="12">
        <v>20116.95</v>
      </c>
      <c r="X175" s="12">
        <v>3936.7633130158902</v>
      </c>
      <c r="Y175" s="12">
        <v>29966.799999999999</v>
      </c>
      <c r="Z175" s="12">
        <v>54020.513313015894</v>
      </c>
      <c r="AA175" s="12">
        <v>2116.9500000000007</v>
      </c>
      <c r="AB175" s="12">
        <v>650.97367722462013</v>
      </c>
      <c r="AC175" s="12">
        <v>1524.7999999999993</v>
      </c>
      <c r="AD175" s="12">
        <v>4292.7236772246197</v>
      </c>
      <c r="AI175" s="12"/>
    </row>
    <row r="176" spans="1:35" x14ac:dyDescent="0.25">
      <c r="A176">
        <v>553</v>
      </c>
      <c r="B176" t="s">
        <v>764</v>
      </c>
      <c r="C176" s="19">
        <v>23880</v>
      </c>
      <c r="D176" s="19">
        <v>8529.126680121597</v>
      </c>
      <c r="E176" s="19">
        <v>97112</v>
      </c>
      <c r="F176" s="19">
        <v>129521.1266801216</v>
      </c>
      <c r="G176" s="19">
        <v>2808.487000000001</v>
      </c>
      <c r="H176" s="19">
        <v>1689.7724972999695</v>
      </c>
      <c r="I176" s="19">
        <v>5411.1999999999971</v>
      </c>
      <c r="J176" s="19">
        <v>9909.4594972999676</v>
      </c>
      <c r="K176" s="19">
        <v>26688.487000000001</v>
      </c>
      <c r="L176" s="19">
        <v>10218.899177421566</v>
      </c>
      <c r="M176" s="19">
        <v>102523.2</v>
      </c>
      <c r="N176" s="19">
        <v>139430.58617742156</v>
      </c>
      <c r="P176">
        <v>564</v>
      </c>
      <c r="Q176">
        <v>1</v>
      </c>
      <c r="R176" t="s">
        <v>183</v>
      </c>
      <c r="S176" s="12">
        <v>103800</v>
      </c>
      <c r="T176" s="12">
        <v>25292.711450340132</v>
      </c>
      <c r="U176" s="12">
        <v>212420</v>
      </c>
      <c r="V176" s="12">
        <v>341512.71145034011</v>
      </c>
      <c r="W176" s="12">
        <v>116007.745</v>
      </c>
      <c r="X176" s="12">
        <v>30303.649825840901</v>
      </c>
      <c r="Y176" s="12">
        <v>221670.8</v>
      </c>
      <c r="Z176" s="12">
        <v>367982.19482584088</v>
      </c>
      <c r="AA176" s="12">
        <v>12207.744999999995</v>
      </c>
      <c r="AB176" s="12">
        <v>5010.9383755007693</v>
      </c>
      <c r="AC176" s="12">
        <v>9250.7999999999884</v>
      </c>
      <c r="AD176" s="12">
        <v>26469.483375500753</v>
      </c>
      <c r="AI176" s="12"/>
    </row>
    <row r="177" spans="1:35" x14ac:dyDescent="0.25">
      <c r="A177">
        <v>561</v>
      </c>
      <c r="B177" t="s">
        <v>765</v>
      </c>
      <c r="C177" s="19">
        <v>18000</v>
      </c>
      <c r="D177" s="19">
        <v>3285.78963579127</v>
      </c>
      <c r="E177" s="19">
        <v>28442</v>
      </c>
      <c r="F177" s="19">
        <v>49727.789635791269</v>
      </c>
      <c r="G177" s="19">
        <v>2116.9500000000007</v>
      </c>
      <c r="H177" s="19">
        <v>650.97367722462013</v>
      </c>
      <c r="I177" s="19">
        <v>1524.7999999999993</v>
      </c>
      <c r="J177" s="19">
        <v>4292.7236772246197</v>
      </c>
      <c r="K177" s="19">
        <v>20116.95</v>
      </c>
      <c r="L177" s="19">
        <v>3936.7633130158902</v>
      </c>
      <c r="M177" s="19">
        <v>29966.799999999999</v>
      </c>
      <c r="N177" s="19">
        <v>54020.513313015894</v>
      </c>
      <c r="P177">
        <v>577</v>
      </c>
      <c r="Q177">
        <v>1</v>
      </c>
      <c r="R177" t="s">
        <v>184</v>
      </c>
      <c r="S177" s="12">
        <v>18000</v>
      </c>
      <c r="T177" s="12">
        <v>5377.7953866917323</v>
      </c>
      <c r="U177" s="12">
        <v>54142</v>
      </c>
      <c r="V177" s="12">
        <v>77519.795386691723</v>
      </c>
      <c r="W177" s="12">
        <v>20116.95</v>
      </c>
      <c r="X177" s="12">
        <v>6443.2328085226854</v>
      </c>
      <c r="Y177" s="12">
        <v>56049.2</v>
      </c>
      <c r="Z177" s="12">
        <v>82609.382808522685</v>
      </c>
      <c r="AA177" s="12">
        <v>2116.9500000000007</v>
      </c>
      <c r="AB177" s="12">
        <v>1065.4374218309531</v>
      </c>
      <c r="AC177" s="12">
        <v>1907.1999999999971</v>
      </c>
      <c r="AD177" s="12">
        <v>5089.5874218309509</v>
      </c>
      <c r="AI177" s="12"/>
    </row>
    <row r="178" spans="1:35" x14ac:dyDescent="0.25">
      <c r="A178">
        <v>564</v>
      </c>
      <c r="B178" t="s">
        <v>766</v>
      </c>
      <c r="C178" s="19">
        <v>103800</v>
      </c>
      <c r="D178" s="19">
        <v>25292.711450340132</v>
      </c>
      <c r="E178" s="19">
        <v>212420</v>
      </c>
      <c r="F178" s="19">
        <v>341512.71145034011</v>
      </c>
      <c r="G178" s="19">
        <v>12207.744999999995</v>
      </c>
      <c r="H178" s="19">
        <v>5010.9383755007693</v>
      </c>
      <c r="I178" s="19">
        <v>9250.7999999999884</v>
      </c>
      <c r="J178" s="19">
        <v>26469.483375500753</v>
      </c>
      <c r="K178" s="19">
        <v>116007.745</v>
      </c>
      <c r="L178" s="19">
        <v>30303.649825840901</v>
      </c>
      <c r="M178" s="19">
        <v>221670.8</v>
      </c>
      <c r="N178" s="19">
        <v>367982.19482584088</v>
      </c>
      <c r="P178">
        <v>578</v>
      </c>
      <c r="Q178">
        <v>1</v>
      </c>
      <c r="R178" t="s">
        <v>185</v>
      </c>
      <c r="S178" s="12">
        <v>80400</v>
      </c>
      <c r="T178" s="12">
        <v>21878.500530752761</v>
      </c>
      <c r="U178" s="12">
        <v>194227</v>
      </c>
      <c r="V178" s="12">
        <v>296505.50053075276</v>
      </c>
      <c r="W178" s="12">
        <v>89855.71</v>
      </c>
      <c r="X178" s="12">
        <v>26213.02267651854</v>
      </c>
      <c r="Y178" s="12">
        <v>201720.2</v>
      </c>
      <c r="Z178" s="12">
        <v>317788.93267651857</v>
      </c>
      <c r="AA178" s="12">
        <v>9455.7100000000064</v>
      </c>
      <c r="AB178" s="12">
        <v>4334.522145765779</v>
      </c>
      <c r="AC178" s="12">
        <v>7493.2000000000116</v>
      </c>
      <c r="AD178" s="12">
        <v>21283.432145765797</v>
      </c>
      <c r="AI178" s="12"/>
    </row>
    <row r="179" spans="1:35" x14ac:dyDescent="0.25">
      <c r="A179">
        <v>577</v>
      </c>
      <c r="B179" t="s">
        <v>767</v>
      </c>
      <c r="C179" s="19">
        <v>18000</v>
      </c>
      <c r="D179" s="19">
        <v>5377.7953866917323</v>
      </c>
      <c r="E179" s="19">
        <v>54142</v>
      </c>
      <c r="F179" s="19">
        <v>77519.795386691723</v>
      </c>
      <c r="G179" s="19">
        <v>2116.9500000000007</v>
      </c>
      <c r="H179" s="19">
        <v>1065.4374218309531</v>
      </c>
      <c r="I179" s="19">
        <v>1907.1999999999971</v>
      </c>
      <c r="J179" s="19">
        <v>5089.5874218309509</v>
      </c>
      <c r="K179" s="19">
        <v>20116.95</v>
      </c>
      <c r="L179" s="19">
        <v>6443.2328085226854</v>
      </c>
      <c r="M179" s="19">
        <v>56049.2</v>
      </c>
      <c r="N179" s="19">
        <v>82609.382808522685</v>
      </c>
      <c r="P179">
        <v>581</v>
      </c>
      <c r="Q179">
        <v>1</v>
      </c>
      <c r="R179" t="s">
        <v>186</v>
      </c>
      <c r="S179" s="12">
        <v>20040</v>
      </c>
      <c r="T179" s="12">
        <v>5780.4601715917897</v>
      </c>
      <c r="U179" s="12">
        <v>50709</v>
      </c>
      <c r="V179" s="12">
        <v>76529.460171591782</v>
      </c>
      <c r="W179" s="12">
        <v>22396.870999999999</v>
      </c>
      <c r="X179" s="12">
        <v>6925.6726870136408</v>
      </c>
      <c r="Y179" s="12">
        <v>53693.4</v>
      </c>
      <c r="Z179" s="12">
        <v>83015.943687013641</v>
      </c>
      <c r="AA179" s="12">
        <v>2356.8709999999992</v>
      </c>
      <c r="AB179" s="12">
        <v>1145.2125154218511</v>
      </c>
      <c r="AC179" s="12">
        <v>2984.4000000000015</v>
      </c>
      <c r="AD179" s="12">
        <v>6486.4835154218517</v>
      </c>
      <c r="AI179" s="12"/>
    </row>
    <row r="180" spans="1:35" x14ac:dyDescent="0.25">
      <c r="A180">
        <v>578</v>
      </c>
      <c r="B180" t="s">
        <v>768</v>
      </c>
      <c r="C180" s="19">
        <v>80400</v>
      </c>
      <c r="D180" s="19">
        <v>21878.500530752761</v>
      </c>
      <c r="E180" s="19">
        <v>194227</v>
      </c>
      <c r="F180" s="19">
        <v>296505.50053075276</v>
      </c>
      <c r="G180" s="19">
        <v>9455.7100000000064</v>
      </c>
      <c r="H180" s="19">
        <v>4334.522145765779</v>
      </c>
      <c r="I180" s="19">
        <v>7493.2000000000116</v>
      </c>
      <c r="J180" s="19">
        <v>21283.432145765797</v>
      </c>
      <c r="K180" s="19">
        <v>89855.71</v>
      </c>
      <c r="L180" s="19">
        <v>26213.02267651854</v>
      </c>
      <c r="M180" s="19">
        <v>201720.2</v>
      </c>
      <c r="N180" s="19">
        <v>317788.93267651857</v>
      </c>
      <c r="P180">
        <v>592</v>
      </c>
      <c r="Q180">
        <v>1</v>
      </c>
      <c r="R180" t="s">
        <v>187</v>
      </c>
      <c r="S180" s="12">
        <v>18000</v>
      </c>
      <c r="T180" s="12">
        <v>3017.938314344693</v>
      </c>
      <c r="U180" s="12">
        <v>26233</v>
      </c>
      <c r="V180" s="12">
        <v>47250.93831434469</v>
      </c>
      <c r="W180" s="12">
        <v>20116.95</v>
      </c>
      <c r="X180" s="12">
        <v>3615.8458555719726</v>
      </c>
      <c r="Y180" s="12">
        <v>27489.4</v>
      </c>
      <c r="Z180" s="12">
        <v>51222.195855571976</v>
      </c>
      <c r="AA180" s="12">
        <v>2116.9500000000007</v>
      </c>
      <c r="AB180" s="12">
        <v>597.90754122727958</v>
      </c>
      <c r="AC180" s="12">
        <v>1256.4000000000015</v>
      </c>
      <c r="AD180" s="12">
        <v>3971.2575412272818</v>
      </c>
      <c r="AI180" s="12"/>
    </row>
    <row r="181" spans="1:35" x14ac:dyDescent="0.25">
      <c r="A181">
        <v>581</v>
      </c>
      <c r="B181" t="s">
        <v>769</v>
      </c>
      <c r="C181" s="19">
        <v>20040</v>
      </c>
      <c r="D181" s="19">
        <v>5780.4601715917897</v>
      </c>
      <c r="E181" s="19">
        <v>50709</v>
      </c>
      <c r="F181" s="19">
        <v>76529.460171591782</v>
      </c>
      <c r="G181" s="19">
        <v>2356.8709999999992</v>
      </c>
      <c r="H181" s="19">
        <v>1145.2125154218511</v>
      </c>
      <c r="I181" s="19">
        <v>2984.4000000000015</v>
      </c>
      <c r="J181" s="19">
        <v>6486.4835154218517</v>
      </c>
      <c r="K181" s="19">
        <v>22396.870999999999</v>
      </c>
      <c r="L181" s="19">
        <v>6925.6726870136408</v>
      </c>
      <c r="M181" s="19">
        <v>53693.4</v>
      </c>
      <c r="N181" s="19">
        <v>83015.943687013641</v>
      </c>
      <c r="P181">
        <v>593</v>
      </c>
      <c r="Q181">
        <v>1</v>
      </c>
      <c r="R181" t="s">
        <v>188</v>
      </c>
      <c r="S181" s="12">
        <v>70200</v>
      </c>
      <c r="T181" s="12">
        <v>19886.31756348363</v>
      </c>
      <c r="U181" s="12">
        <v>154172</v>
      </c>
      <c r="V181" s="12">
        <v>244258.31756348364</v>
      </c>
      <c r="W181" s="12">
        <v>78456.104999999996</v>
      </c>
      <c r="X181" s="12">
        <v>23826.152642925656</v>
      </c>
      <c r="Y181" s="12">
        <v>159160</v>
      </c>
      <c r="Z181" s="12">
        <v>261442.25764292566</v>
      </c>
      <c r="AA181" s="12">
        <v>8256.1049999999959</v>
      </c>
      <c r="AB181" s="12">
        <v>3939.8350794420257</v>
      </c>
      <c r="AC181" s="12">
        <v>4988</v>
      </c>
      <c r="AD181" s="12">
        <v>17183.940079442022</v>
      </c>
      <c r="AI181" s="12"/>
    </row>
    <row r="182" spans="1:35" x14ac:dyDescent="0.25">
      <c r="A182">
        <v>592</v>
      </c>
      <c r="B182" t="s">
        <v>770</v>
      </c>
      <c r="C182" s="19">
        <v>18000</v>
      </c>
      <c r="D182" s="19">
        <v>3017.938314344693</v>
      </c>
      <c r="E182" s="19">
        <v>26233</v>
      </c>
      <c r="F182" s="19">
        <v>47250.93831434469</v>
      </c>
      <c r="G182" s="19">
        <v>2116.9500000000007</v>
      </c>
      <c r="H182" s="19">
        <v>597.90754122727958</v>
      </c>
      <c r="I182" s="19">
        <v>1256.4000000000015</v>
      </c>
      <c r="J182" s="19">
        <v>3971.2575412272818</v>
      </c>
      <c r="K182" s="19">
        <v>20116.95</v>
      </c>
      <c r="L182" s="19">
        <v>3615.8458555719726</v>
      </c>
      <c r="M182" s="19">
        <v>27489.4</v>
      </c>
      <c r="N182" s="19">
        <v>51222.195855571976</v>
      </c>
      <c r="P182">
        <v>595</v>
      </c>
      <c r="Q182">
        <v>1</v>
      </c>
      <c r="R182" t="s">
        <v>189</v>
      </c>
      <c r="S182" s="12">
        <v>85920</v>
      </c>
      <c r="T182" s="12">
        <v>18857.543687125413</v>
      </c>
      <c r="U182" s="12">
        <v>212273</v>
      </c>
      <c r="V182" s="12">
        <v>317050.54368712544</v>
      </c>
      <c r="W182" s="12">
        <v>96024.907999999996</v>
      </c>
      <c r="X182" s="12">
        <v>22593.560267041295</v>
      </c>
      <c r="Y182" s="12">
        <v>218878.6</v>
      </c>
      <c r="Z182" s="12">
        <v>337497.06826704129</v>
      </c>
      <c r="AA182" s="12">
        <v>10104.907999999996</v>
      </c>
      <c r="AB182" s="12">
        <v>3736.0165799158822</v>
      </c>
      <c r="AC182" s="12">
        <v>6605.6000000000058</v>
      </c>
      <c r="AD182" s="12">
        <v>20446.524579915884</v>
      </c>
      <c r="AI182" s="12"/>
    </row>
    <row r="183" spans="1:35" x14ac:dyDescent="0.25">
      <c r="A183">
        <v>593</v>
      </c>
      <c r="B183" t="s">
        <v>771</v>
      </c>
      <c r="C183" s="19">
        <v>70200</v>
      </c>
      <c r="D183" s="19">
        <v>19886.31756348363</v>
      </c>
      <c r="E183" s="19">
        <v>154172</v>
      </c>
      <c r="F183" s="19">
        <v>244258.31756348364</v>
      </c>
      <c r="G183" s="19">
        <v>8256.1049999999959</v>
      </c>
      <c r="H183" s="19">
        <v>3939.8350794420257</v>
      </c>
      <c r="I183" s="19">
        <v>4988</v>
      </c>
      <c r="J183" s="19">
        <v>17183.940079442022</v>
      </c>
      <c r="K183" s="19">
        <v>78456.104999999996</v>
      </c>
      <c r="L183" s="19">
        <v>23826.152642925656</v>
      </c>
      <c r="M183" s="19">
        <v>159160</v>
      </c>
      <c r="N183" s="19">
        <v>261442.25764292566</v>
      </c>
      <c r="P183">
        <v>599</v>
      </c>
      <c r="Q183">
        <v>1</v>
      </c>
      <c r="R183" t="s">
        <v>190</v>
      </c>
      <c r="S183" s="12">
        <v>18000</v>
      </c>
      <c r="T183" s="12">
        <v>4870.1585623252304</v>
      </c>
      <c r="U183" s="12">
        <v>58367</v>
      </c>
      <c r="V183" s="12">
        <v>81237.158562325232</v>
      </c>
      <c r="W183" s="12">
        <v>20116.95</v>
      </c>
      <c r="X183" s="12">
        <v>5835.0240526323587</v>
      </c>
      <c r="Y183" s="12">
        <v>61089.4</v>
      </c>
      <c r="Z183" s="12">
        <v>87041.374052632367</v>
      </c>
      <c r="AA183" s="12">
        <v>2116.9500000000007</v>
      </c>
      <c r="AB183" s="12">
        <v>964.86549030712831</v>
      </c>
      <c r="AC183" s="12">
        <v>2722.4000000000015</v>
      </c>
      <c r="AD183" s="12">
        <v>5804.2154903071305</v>
      </c>
      <c r="AI183" s="12"/>
    </row>
    <row r="184" spans="1:35" x14ac:dyDescent="0.25">
      <c r="A184">
        <v>595</v>
      </c>
      <c r="B184" t="s">
        <v>772</v>
      </c>
      <c r="C184" s="19">
        <v>85920</v>
      </c>
      <c r="D184" s="19">
        <v>18857.543687125413</v>
      </c>
      <c r="E184" s="19">
        <v>212273</v>
      </c>
      <c r="F184" s="19">
        <v>317050.54368712544</v>
      </c>
      <c r="G184" s="19">
        <v>10104.907999999996</v>
      </c>
      <c r="H184" s="19">
        <v>3736.0165799158822</v>
      </c>
      <c r="I184" s="19">
        <v>6605.6000000000058</v>
      </c>
      <c r="J184" s="19">
        <v>20446.524579915884</v>
      </c>
      <c r="K184" s="19">
        <v>96024.907999999996</v>
      </c>
      <c r="L184" s="19">
        <v>22593.560267041295</v>
      </c>
      <c r="M184" s="19">
        <v>218878.6</v>
      </c>
      <c r="N184" s="19">
        <v>337497.06826704129</v>
      </c>
      <c r="P184">
        <v>600</v>
      </c>
      <c r="Q184">
        <v>1</v>
      </c>
      <c r="R184" t="s">
        <v>191</v>
      </c>
      <c r="S184" s="12">
        <v>18000</v>
      </c>
      <c r="T184" s="12">
        <v>2511.7219743464975</v>
      </c>
      <c r="U184" s="12">
        <v>33162</v>
      </c>
      <c r="V184" s="12">
        <v>53673.721974346496</v>
      </c>
      <c r="W184" s="12">
        <v>20116.95</v>
      </c>
      <c r="X184" s="12">
        <v>3009.3390074017721</v>
      </c>
      <c r="Y184" s="12">
        <v>34428.400000000001</v>
      </c>
      <c r="Z184" s="12">
        <v>57554.689007401772</v>
      </c>
      <c r="AA184" s="12">
        <v>2116.9500000000007</v>
      </c>
      <c r="AB184" s="12">
        <v>497.61703305527453</v>
      </c>
      <c r="AC184" s="12">
        <v>1266.4000000000015</v>
      </c>
      <c r="AD184" s="12">
        <v>3880.9670330552767</v>
      </c>
      <c r="AI184" s="12"/>
    </row>
    <row r="185" spans="1:35" x14ac:dyDescent="0.25">
      <c r="A185">
        <v>599</v>
      </c>
      <c r="B185" t="s">
        <v>773</v>
      </c>
      <c r="C185" s="19">
        <v>18000</v>
      </c>
      <c r="D185" s="19">
        <v>4870.1585623252304</v>
      </c>
      <c r="E185" s="19">
        <v>58367</v>
      </c>
      <c r="F185" s="19">
        <v>81237.158562325232</v>
      </c>
      <c r="G185" s="19">
        <v>2116.9500000000007</v>
      </c>
      <c r="H185" s="19">
        <v>964.86549030712831</v>
      </c>
      <c r="I185" s="19">
        <v>2722.4000000000015</v>
      </c>
      <c r="J185" s="19">
        <v>5804.2154903071305</v>
      </c>
      <c r="K185" s="19">
        <v>20116.95</v>
      </c>
      <c r="L185" s="19">
        <v>5835.0240526323587</v>
      </c>
      <c r="M185" s="19">
        <v>61089.4</v>
      </c>
      <c r="N185" s="19">
        <v>87041.374052632367</v>
      </c>
      <c r="P185">
        <v>601</v>
      </c>
      <c r="Q185">
        <v>1</v>
      </c>
      <c r="R185" t="s">
        <v>192</v>
      </c>
      <c r="S185" s="12">
        <v>28200</v>
      </c>
      <c r="T185" s="12">
        <v>7770.5124123084588</v>
      </c>
      <c r="U185" s="12">
        <v>81514</v>
      </c>
      <c r="V185" s="12">
        <v>117484.51241230845</v>
      </c>
      <c r="W185" s="12">
        <v>31516.555</v>
      </c>
      <c r="X185" s="12">
        <v>9309.989859026331</v>
      </c>
      <c r="Y185" s="12">
        <v>85291.199999999997</v>
      </c>
      <c r="Z185" s="12">
        <v>126117.74485902634</v>
      </c>
      <c r="AA185" s="12">
        <v>3316.5550000000003</v>
      </c>
      <c r="AB185" s="12">
        <v>1539.4774467178722</v>
      </c>
      <c r="AC185" s="12">
        <v>3777.1999999999971</v>
      </c>
      <c r="AD185" s="12">
        <v>8633.2324467178696</v>
      </c>
      <c r="AI185" s="12"/>
    </row>
    <row r="186" spans="1:35" x14ac:dyDescent="0.25">
      <c r="A186">
        <v>600</v>
      </c>
      <c r="B186" t="s">
        <v>774</v>
      </c>
      <c r="C186" s="19">
        <v>18000</v>
      </c>
      <c r="D186" s="19">
        <v>2511.7219743464975</v>
      </c>
      <c r="E186" s="19">
        <v>33162</v>
      </c>
      <c r="F186" s="19">
        <v>53673.721974346496</v>
      </c>
      <c r="G186" s="19">
        <v>2116.9500000000007</v>
      </c>
      <c r="H186" s="19">
        <v>497.61703305527453</v>
      </c>
      <c r="I186" s="19">
        <v>1266.4000000000015</v>
      </c>
      <c r="J186" s="19">
        <v>3880.9670330552767</v>
      </c>
      <c r="K186" s="19">
        <v>20116.95</v>
      </c>
      <c r="L186" s="19">
        <v>3009.3390074017721</v>
      </c>
      <c r="M186" s="19">
        <v>34428.400000000001</v>
      </c>
      <c r="N186" s="19">
        <v>57554.689007401772</v>
      </c>
      <c r="P186">
        <v>621</v>
      </c>
      <c r="Q186">
        <v>1</v>
      </c>
      <c r="R186" t="s">
        <v>193</v>
      </c>
      <c r="S186" s="12">
        <v>654840</v>
      </c>
      <c r="T186" s="12">
        <v>130781.1449192591</v>
      </c>
      <c r="U186" s="12">
        <v>1027717</v>
      </c>
      <c r="V186" s="12">
        <v>1813338.144919259</v>
      </c>
      <c r="W186" s="12">
        <v>731854.64099999995</v>
      </c>
      <c r="X186" s="12">
        <v>156691.22811277254</v>
      </c>
      <c r="Y186" s="12">
        <v>1060059.3999999999</v>
      </c>
      <c r="Z186" s="12">
        <v>1948605.2691127723</v>
      </c>
      <c r="AA186" s="12">
        <v>77014.640999999945</v>
      </c>
      <c r="AB186" s="12">
        <v>25910.083193513448</v>
      </c>
      <c r="AC186" s="12">
        <v>32342.399999999907</v>
      </c>
      <c r="AD186" s="12">
        <v>135267.1241935133</v>
      </c>
      <c r="AI186" s="12"/>
    </row>
    <row r="187" spans="1:35" x14ac:dyDescent="0.25">
      <c r="A187">
        <v>601</v>
      </c>
      <c r="B187" t="s">
        <v>775</v>
      </c>
      <c r="C187" s="19">
        <v>28200</v>
      </c>
      <c r="D187" s="19">
        <v>7770.5124123084588</v>
      </c>
      <c r="E187" s="19">
        <v>81514</v>
      </c>
      <c r="F187" s="19">
        <v>117484.51241230845</v>
      </c>
      <c r="G187" s="19">
        <v>3316.5550000000003</v>
      </c>
      <c r="H187" s="19">
        <v>1539.4774467178722</v>
      </c>
      <c r="I187" s="19">
        <v>3777.1999999999971</v>
      </c>
      <c r="J187" s="19">
        <v>8633.2324467178696</v>
      </c>
      <c r="K187" s="19">
        <v>31516.555</v>
      </c>
      <c r="L187" s="19">
        <v>9309.989859026331</v>
      </c>
      <c r="M187" s="19">
        <v>85291.199999999997</v>
      </c>
      <c r="N187" s="19">
        <v>126117.74485902634</v>
      </c>
      <c r="P187">
        <v>622</v>
      </c>
      <c r="Q187">
        <v>1</v>
      </c>
      <c r="R187" t="s">
        <v>194</v>
      </c>
      <c r="S187" s="12">
        <v>452760</v>
      </c>
      <c r="T187" s="12">
        <v>148163.71385458903</v>
      </c>
      <c r="U187" s="12">
        <v>1292203</v>
      </c>
      <c r="V187" s="12">
        <v>1893126.713854589</v>
      </c>
      <c r="W187" s="12">
        <v>506008.34899999999</v>
      </c>
      <c r="X187" s="12">
        <v>177517.59475693456</v>
      </c>
      <c r="Y187" s="12">
        <v>1350811.8</v>
      </c>
      <c r="Z187" s="12">
        <v>2034337.7437569345</v>
      </c>
      <c r="AA187" s="12">
        <v>53248.348999999987</v>
      </c>
      <c r="AB187" s="12">
        <v>29353.880902345525</v>
      </c>
      <c r="AC187" s="12">
        <v>58608.800000000047</v>
      </c>
      <c r="AD187" s="12">
        <v>141211.02990234556</v>
      </c>
      <c r="AI187" s="12"/>
    </row>
    <row r="188" spans="1:35" x14ac:dyDescent="0.25">
      <c r="A188">
        <v>621</v>
      </c>
      <c r="B188" t="s">
        <v>776</v>
      </c>
      <c r="C188" s="19">
        <v>654840</v>
      </c>
      <c r="D188" s="19">
        <v>130781.1449192591</v>
      </c>
      <c r="E188" s="19">
        <v>1027717</v>
      </c>
      <c r="F188" s="19">
        <v>1813338.144919259</v>
      </c>
      <c r="G188" s="19">
        <v>77014.640999999945</v>
      </c>
      <c r="H188" s="19">
        <v>25910.083193513448</v>
      </c>
      <c r="I188" s="19">
        <v>32342.399999999907</v>
      </c>
      <c r="J188" s="19">
        <v>135267.1241935133</v>
      </c>
      <c r="K188" s="19">
        <v>731854.64099999995</v>
      </c>
      <c r="L188" s="19">
        <v>156691.22811277254</v>
      </c>
      <c r="M188" s="19">
        <v>1060059.3999999999</v>
      </c>
      <c r="N188" s="19">
        <v>1948605.2691127723</v>
      </c>
      <c r="P188">
        <v>623</v>
      </c>
      <c r="Q188">
        <v>1</v>
      </c>
      <c r="R188" t="s">
        <v>195</v>
      </c>
      <c r="S188" s="12">
        <v>340200</v>
      </c>
      <c r="T188" s="12">
        <v>93431.228924062729</v>
      </c>
      <c r="U188" s="12">
        <v>753382</v>
      </c>
      <c r="V188" s="12">
        <v>1187013.2289240628</v>
      </c>
      <c r="W188" s="12">
        <v>380210.35499999998</v>
      </c>
      <c r="X188" s="12">
        <v>111941.62593725001</v>
      </c>
      <c r="Y188" s="12">
        <v>782343.6</v>
      </c>
      <c r="Z188" s="12">
        <v>1274495.5809372501</v>
      </c>
      <c r="AA188" s="12">
        <v>40010.354999999981</v>
      </c>
      <c r="AB188" s="12">
        <v>18510.397013187277</v>
      </c>
      <c r="AC188" s="12">
        <v>28961.599999999977</v>
      </c>
      <c r="AD188" s="12">
        <v>87482.352013187236</v>
      </c>
      <c r="AI188" s="12"/>
    </row>
    <row r="189" spans="1:35" x14ac:dyDescent="0.25">
      <c r="A189">
        <v>622</v>
      </c>
      <c r="B189" t="s">
        <v>777</v>
      </c>
      <c r="C189" s="19">
        <v>452760</v>
      </c>
      <c r="D189" s="19">
        <v>148163.71385458903</v>
      </c>
      <c r="E189" s="19">
        <v>1292203</v>
      </c>
      <c r="F189" s="19">
        <v>1893126.713854589</v>
      </c>
      <c r="G189" s="19">
        <v>53248.348999999987</v>
      </c>
      <c r="H189" s="19">
        <v>29353.880902345525</v>
      </c>
      <c r="I189" s="19">
        <v>58608.800000000047</v>
      </c>
      <c r="J189" s="19">
        <v>141211.02990234556</v>
      </c>
      <c r="K189" s="19">
        <v>506008.34899999999</v>
      </c>
      <c r="L189" s="19">
        <v>177517.59475693456</v>
      </c>
      <c r="M189" s="19">
        <v>1350811.8</v>
      </c>
      <c r="N189" s="19">
        <v>2034337.7437569345</v>
      </c>
      <c r="P189">
        <v>624</v>
      </c>
      <c r="Q189">
        <v>1</v>
      </c>
      <c r="R189" t="s">
        <v>196</v>
      </c>
      <c r="S189" s="12">
        <v>451200</v>
      </c>
      <c r="T189" s="12">
        <v>90242.965037056885</v>
      </c>
      <c r="U189" s="12">
        <v>833223</v>
      </c>
      <c r="V189" s="12">
        <v>1374665.9650370569</v>
      </c>
      <c r="W189" s="12">
        <v>504264.88</v>
      </c>
      <c r="X189" s="12">
        <v>108121.70996762784</v>
      </c>
      <c r="Y189" s="12">
        <v>865538.6</v>
      </c>
      <c r="Z189" s="12">
        <v>1477925.1899676279</v>
      </c>
      <c r="AA189" s="12">
        <v>53064.880000000005</v>
      </c>
      <c r="AB189" s="12">
        <v>17878.74493057096</v>
      </c>
      <c r="AC189" s="12">
        <v>32315.599999999977</v>
      </c>
      <c r="AD189" s="12">
        <v>103259.22493057094</v>
      </c>
      <c r="AI189" s="12"/>
    </row>
    <row r="190" spans="1:35" x14ac:dyDescent="0.25">
      <c r="A190">
        <v>623</v>
      </c>
      <c r="B190" t="s">
        <v>778</v>
      </c>
      <c r="C190" s="19">
        <v>340200</v>
      </c>
      <c r="D190" s="19">
        <v>93431.228924062729</v>
      </c>
      <c r="E190" s="19">
        <v>753382</v>
      </c>
      <c r="F190" s="19">
        <v>1187013.2289240628</v>
      </c>
      <c r="G190" s="19">
        <v>40010.354999999981</v>
      </c>
      <c r="H190" s="19">
        <v>18510.397013187277</v>
      </c>
      <c r="I190" s="19">
        <v>28961.599999999977</v>
      </c>
      <c r="J190" s="19">
        <v>87482.352013187236</v>
      </c>
      <c r="K190" s="19">
        <v>380210.35499999998</v>
      </c>
      <c r="L190" s="19">
        <v>111941.62593725001</v>
      </c>
      <c r="M190" s="19">
        <v>782343.6</v>
      </c>
      <c r="N190" s="19">
        <v>1274495.5809372501</v>
      </c>
      <c r="P190">
        <v>625</v>
      </c>
      <c r="Q190">
        <v>1</v>
      </c>
      <c r="R190" t="s">
        <v>197</v>
      </c>
      <c r="S190" s="12">
        <v>2905560</v>
      </c>
      <c r="T190" s="12">
        <v>777204.34343054122</v>
      </c>
      <c r="U190" s="12">
        <v>4966790</v>
      </c>
      <c r="V190" s="12">
        <v>8649554.3434305415</v>
      </c>
      <c r="W190" s="12">
        <v>3247278.0690000001</v>
      </c>
      <c r="X190" s="12">
        <v>931182.42038557667</v>
      </c>
      <c r="Y190" s="12">
        <v>5120835.5999999996</v>
      </c>
      <c r="Z190" s="12">
        <v>9299296.0893855765</v>
      </c>
      <c r="AA190" s="12">
        <v>341718.06900000013</v>
      </c>
      <c r="AB190" s="12">
        <v>153978.07695503545</v>
      </c>
      <c r="AC190" s="12">
        <v>154045.59999999963</v>
      </c>
      <c r="AD190" s="12">
        <v>649741.74595503521</v>
      </c>
      <c r="AI190" s="12"/>
    </row>
    <row r="191" spans="1:35" x14ac:dyDescent="0.25">
      <c r="A191">
        <v>624</v>
      </c>
      <c r="B191" t="s">
        <v>779</v>
      </c>
      <c r="C191" s="19">
        <v>451200</v>
      </c>
      <c r="D191" s="19">
        <v>90242.965037056885</v>
      </c>
      <c r="E191" s="19">
        <v>833223</v>
      </c>
      <c r="F191" s="19">
        <v>1374665.9650370569</v>
      </c>
      <c r="G191" s="19">
        <v>53064.880000000005</v>
      </c>
      <c r="H191" s="19">
        <v>17878.74493057096</v>
      </c>
      <c r="I191" s="19">
        <v>32315.599999999977</v>
      </c>
      <c r="J191" s="19">
        <v>103259.22493057094</v>
      </c>
      <c r="K191" s="19">
        <v>504264.88</v>
      </c>
      <c r="L191" s="19">
        <v>108121.70996762784</v>
      </c>
      <c r="M191" s="19">
        <v>865538.6</v>
      </c>
      <c r="N191" s="19">
        <v>1477925.1899676279</v>
      </c>
      <c r="P191">
        <v>630</v>
      </c>
      <c r="Q191">
        <v>1</v>
      </c>
      <c r="R191" t="s">
        <v>198</v>
      </c>
      <c r="S191" s="12">
        <v>18000</v>
      </c>
      <c r="T191" s="12">
        <v>4060.9226605122722</v>
      </c>
      <c r="U191" s="12">
        <v>54186</v>
      </c>
      <c r="V191" s="12">
        <v>76246.922660512268</v>
      </c>
      <c r="W191" s="12">
        <v>20116.95</v>
      </c>
      <c r="X191" s="12">
        <v>4865.4640494201021</v>
      </c>
      <c r="Y191" s="12">
        <v>57246</v>
      </c>
      <c r="Z191" s="12">
        <v>82228.414049420098</v>
      </c>
      <c r="AA191" s="12">
        <v>2116.9500000000007</v>
      </c>
      <c r="AB191" s="12">
        <v>804.54138890782997</v>
      </c>
      <c r="AC191" s="12">
        <v>3060</v>
      </c>
      <c r="AD191" s="12">
        <v>5981.4913889078307</v>
      </c>
      <c r="AI191" s="12"/>
    </row>
    <row r="192" spans="1:35" x14ac:dyDescent="0.25">
      <c r="A192">
        <v>625</v>
      </c>
      <c r="B192" t="s">
        <v>780</v>
      </c>
      <c r="C192" s="19">
        <v>2905560</v>
      </c>
      <c r="D192" s="19">
        <v>777204.34343054122</v>
      </c>
      <c r="E192" s="19">
        <v>4966790</v>
      </c>
      <c r="F192" s="19">
        <v>8649554.3434305415</v>
      </c>
      <c r="G192" s="19">
        <v>341718.06900000013</v>
      </c>
      <c r="H192" s="19">
        <v>153978.07695503545</v>
      </c>
      <c r="I192" s="19">
        <v>154045.59999999963</v>
      </c>
      <c r="J192" s="19">
        <v>649741.74595503521</v>
      </c>
      <c r="K192" s="19">
        <v>3247278.0690000001</v>
      </c>
      <c r="L192" s="19">
        <v>931182.42038557667</v>
      </c>
      <c r="M192" s="19">
        <v>5120835.5999999996</v>
      </c>
      <c r="N192" s="19">
        <v>9299296.0893855765</v>
      </c>
      <c r="P192">
        <v>635</v>
      </c>
      <c r="Q192">
        <v>1</v>
      </c>
      <c r="R192" t="s">
        <v>199</v>
      </c>
      <c r="S192" s="12">
        <v>18000</v>
      </c>
      <c r="T192" s="12">
        <v>808.17053853672849</v>
      </c>
      <c r="U192" s="12">
        <v>11057</v>
      </c>
      <c r="V192" s="12">
        <v>29865.170538536728</v>
      </c>
      <c r="W192" s="12">
        <v>20116.95</v>
      </c>
      <c r="X192" s="12">
        <v>968.28357242216259</v>
      </c>
      <c r="Y192" s="12">
        <v>11803</v>
      </c>
      <c r="Z192" s="12">
        <v>32888.233572422163</v>
      </c>
      <c r="AA192" s="12">
        <v>2116.9500000000007</v>
      </c>
      <c r="AB192" s="12">
        <v>160.11303388543411</v>
      </c>
      <c r="AC192" s="12">
        <v>746</v>
      </c>
      <c r="AD192" s="12">
        <v>3023.0630338854348</v>
      </c>
      <c r="AI192" s="12"/>
    </row>
    <row r="193" spans="1:35" x14ac:dyDescent="0.25">
      <c r="A193">
        <v>630</v>
      </c>
      <c r="B193" t="s">
        <v>781</v>
      </c>
      <c r="C193" s="19">
        <v>18000</v>
      </c>
      <c r="D193" s="19">
        <v>4060.9226605122722</v>
      </c>
      <c r="E193" s="19">
        <v>54186</v>
      </c>
      <c r="F193" s="19">
        <v>76246.922660512268</v>
      </c>
      <c r="G193" s="19">
        <v>2116.9500000000007</v>
      </c>
      <c r="H193" s="19">
        <v>804.54138890782997</v>
      </c>
      <c r="I193" s="19">
        <v>3060</v>
      </c>
      <c r="J193" s="19">
        <v>5981.4913889078307</v>
      </c>
      <c r="K193" s="19">
        <v>20116.95</v>
      </c>
      <c r="L193" s="19">
        <v>4865.4640494201021</v>
      </c>
      <c r="M193" s="19">
        <v>57246</v>
      </c>
      <c r="N193" s="19">
        <v>82228.414049420098</v>
      </c>
      <c r="P193">
        <v>640</v>
      </c>
      <c r="Q193">
        <v>1</v>
      </c>
      <c r="R193" t="s">
        <v>200</v>
      </c>
      <c r="S193" s="12">
        <v>20400</v>
      </c>
      <c r="T193" s="12">
        <v>4482.4144894186911</v>
      </c>
      <c r="U193" s="12">
        <v>56216</v>
      </c>
      <c r="V193" s="12">
        <v>81098.41448941869</v>
      </c>
      <c r="W193" s="12">
        <v>22799.21</v>
      </c>
      <c r="X193" s="12">
        <v>5370.4609459652374</v>
      </c>
      <c r="Y193" s="12">
        <v>58908.800000000003</v>
      </c>
      <c r="Z193" s="12">
        <v>87078.470945965237</v>
      </c>
      <c r="AA193" s="12">
        <v>2399.2099999999991</v>
      </c>
      <c r="AB193" s="12">
        <v>888.04645654654632</v>
      </c>
      <c r="AC193" s="12">
        <v>2692.8000000000029</v>
      </c>
      <c r="AD193" s="12">
        <v>5980.0564565465484</v>
      </c>
      <c r="AI193" s="12"/>
    </row>
    <row r="194" spans="1:35" x14ac:dyDescent="0.25">
      <c r="A194">
        <v>635</v>
      </c>
      <c r="B194" t="s">
        <v>782</v>
      </c>
      <c r="C194" s="19">
        <v>18000</v>
      </c>
      <c r="D194" s="19">
        <v>808.17053853672849</v>
      </c>
      <c r="E194" s="19">
        <v>11057</v>
      </c>
      <c r="F194" s="19">
        <v>29865.170538536728</v>
      </c>
      <c r="G194" s="19">
        <v>2116.9500000000007</v>
      </c>
      <c r="H194" s="19">
        <v>160.11303388543411</v>
      </c>
      <c r="I194" s="19">
        <v>746</v>
      </c>
      <c r="J194" s="19">
        <v>3023.0630338854348</v>
      </c>
      <c r="K194" s="19">
        <v>20116.95</v>
      </c>
      <c r="L194" s="19">
        <v>968.28357242216259</v>
      </c>
      <c r="M194" s="19">
        <v>11803</v>
      </c>
      <c r="N194" s="19">
        <v>32888.233572422163</v>
      </c>
      <c r="P194">
        <v>656</v>
      </c>
      <c r="Q194">
        <v>1</v>
      </c>
      <c r="R194" t="s">
        <v>201</v>
      </c>
      <c r="S194" s="12">
        <v>210720</v>
      </c>
      <c r="T194" s="12">
        <v>62333.015639013101</v>
      </c>
      <c r="U194" s="12">
        <v>462632</v>
      </c>
      <c r="V194" s="12">
        <v>735685.01563901315</v>
      </c>
      <c r="W194" s="12">
        <v>235502.42799999999</v>
      </c>
      <c r="X194" s="12">
        <v>74682.30056006572</v>
      </c>
      <c r="Y194" s="12">
        <v>478993.2</v>
      </c>
      <c r="Z194" s="12">
        <v>789177.9285600658</v>
      </c>
      <c r="AA194" s="12">
        <v>24782.427999999985</v>
      </c>
      <c r="AB194" s="12">
        <v>12349.284921052618</v>
      </c>
      <c r="AC194" s="12">
        <v>16361.200000000012</v>
      </c>
      <c r="AD194" s="12">
        <v>53492.912921052615</v>
      </c>
      <c r="AI194" s="12"/>
    </row>
    <row r="195" spans="1:35" x14ac:dyDescent="0.25">
      <c r="A195">
        <v>640</v>
      </c>
      <c r="B195" t="s">
        <v>783</v>
      </c>
      <c r="C195" s="19">
        <v>20400</v>
      </c>
      <c r="D195" s="19">
        <v>4482.4144894186911</v>
      </c>
      <c r="E195" s="19">
        <v>56216</v>
      </c>
      <c r="F195" s="19">
        <v>81098.41448941869</v>
      </c>
      <c r="G195" s="19">
        <v>2399.2099999999991</v>
      </c>
      <c r="H195" s="19">
        <v>888.04645654654632</v>
      </c>
      <c r="I195" s="19">
        <v>2692.8000000000029</v>
      </c>
      <c r="J195" s="19">
        <v>5980.0564565465484</v>
      </c>
      <c r="K195" s="19">
        <v>22799.21</v>
      </c>
      <c r="L195" s="19">
        <v>5370.4609459652374</v>
      </c>
      <c r="M195" s="19">
        <v>58908.800000000003</v>
      </c>
      <c r="N195" s="19">
        <v>87078.470945965237</v>
      </c>
      <c r="P195">
        <v>659</v>
      </c>
      <c r="Q195">
        <v>1</v>
      </c>
      <c r="R195" t="s">
        <v>202</v>
      </c>
      <c r="S195" s="12">
        <v>196200</v>
      </c>
      <c r="T195" s="12">
        <v>39848.659171303159</v>
      </c>
      <c r="U195" s="12">
        <v>368598</v>
      </c>
      <c r="V195" s="12">
        <v>604646.65917130315</v>
      </c>
      <c r="W195" s="12">
        <v>219274.755</v>
      </c>
      <c r="X195" s="12">
        <v>47743.391052690611</v>
      </c>
      <c r="Y195" s="12">
        <v>379146.4</v>
      </c>
      <c r="Z195" s="12">
        <v>646164.5460526906</v>
      </c>
      <c r="AA195" s="12">
        <v>23074.755000000005</v>
      </c>
      <c r="AB195" s="12">
        <v>7894.7318813874517</v>
      </c>
      <c r="AC195" s="12">
        <v>10548.400000000023</v>
      </c>
      <c r="AD195" s="12">
        <v>41517.88688138748</v>
      </c>
      <c r="AI195" s="12"/>
    </row>
    <row r="196" spans="1:35" x14ac:dyDescent="0.25">
      <c r="A196">
        <v>656</v>
      </c>
      <c r="B196" t="s">
        <v>784</v>
      </c>
      <c r="C196" s="19">
        <v>210720</v>
      </c>
      <c r="D196" s="19">
        <v>62333.015639013101</v>
      </c>
      <c r="E196" s="19">
        <v>462632</v>
      </c>
      <c r="F196" s="19">
        <v>735685.01563901315</v>
      </c>
      <c r="G196" s="19">
        <v>24782.427999999985</v>
      </c>
      <c r="H196" s="19">
        <v>12349.284921052618</v>
      </c>
      <c r="I196" s="19">
        <v>16361.200000000012</v>
      </c>
      <c r="J196" s="19">
        <v>53492.912921052615</v>
      </c>
      <c r="K196" s="19">
        <v>235502.42799999999</v>
      </c>
      <c r="L196" s="19">
        <v>74682.30056006572</v>
      </c>
      <c r="M196" s="19">
        <v>478993.2</v>
      </c>
      <c r="N196" s="19">
        <v>789177.9285600658</v>
      </c>
      <c r="P196">
        <v>671</v>
      </c>
      <c r="Q196">
        <v>1</v>
      </c>
      <c r="R196" t="s">
        <v>203</v>
      </c>
      <c r="S196" s="12">
        <v>18000</v>
      </c>
      <c r="T196" s="12">
        <v>3790.940612513235</v>
      </c>
      <c r="U196" s="12">
        <v>48143</v>
      </c>
      <c r="V196" s="12">
        <v>69933.940612513237</v>
      </c>
      <c r="W196" s="12">
        <v>20116.95</v>
      </c>
      <c r="X196" s="12">
        <v>4541.993730395996</v>
      </c>
      <c r="Y196" s="12">
        <v>50675.4</v>
      </c>
      <c r="Z196" s="12">
        <v>75334.343730395994</v>
      </c>
      <c r="AA196" s="12">
        <v>2116.9500000000007</v>
      </c>
      <c r="AB196" s="12">
        <v>751.05311788276094</v>
      </c>
      <c r="AC196" s="12">
        <v>2532.4000000000015</v>
      </c>
      <c r="AD196" s="12">
        <v>5400.4031178827627</v>
      </c>
      <c r="AI196" s="12"/>
    </row>
    <row r="197" spans="1:35" x14ac:dyDescent="0.25">
      <c r="A197">
        <v>659</v>
      </c>
      <c r="B197" t="s">
        <v>785</v>
      </c>
      <c r="C197" s="19">
        <v>196200</v>
      </c>
      <c r="D197" s="19">
        <v>39848.659171303159</v>
      </c>
      <c r="E197" s="19">
        <v>368598</v>
      </c>
      <c r="F197" s="19">
        <v>604646.65917130315</v>
      </c>
      <c r="G197" s="19">
        <v>23074.755000000005</v>
      </c>
      <c r="H197" s="19">
        <v>7894.7318813874517</v>
      </c>
      <c r="I197" s="19">
        <v>10548.400000000023</v>
      </c>
      <c r="J197" s="19">
        <v>41517.88688138748</v>
      </c>
      <c r="K197" s="19">
        <v>219274.755</v>
      </c>
      <c r="L197" s="19">
        <v>47743.391052690611</v>
      </c>
      <c r="M197" s="19">
        <v>379146.4</v>
      </c>
      <c r="N197" s="19">
        <v>646164.5460526906</v>
      </c>
      <c r="P197">
        <v>676</v>
      </c>
      <c r="Q197">
        <v>1</v>
      </c>
      <c r="R197" t="s">
        <v>204</v>
      </c>
      <c r="S197" s="12">
        <v>18000</v>
      </c>
      <c r="T197" s="12">
        <v>3000.8868757987143</v>
      </c>
      <c r="U197" s="12">
        <v>36016</v>
      </c>
      <c r="V197" s="12">
        <v>57016.886875798715</v>
      </c>
      <c r="W197" s="12">
        <v>20116.95</v>
      </c>
      <c r="X197" s="12">
        <v>3595.4162221679494</v>
      </c>
      <c r="Y197" s="12">
        <v>39593.599999999999</v>
      </c>
      <c r="Z197" s="12">
        <v>63305.966222167946</v>
      </c>
      <c r="AA197" s="12">
        <v>2116.9500000000007</v>
      </c>
      <c r="AB197" s="12">
        <v>594.5293463692351</v>
      </c>
      <c r="AC197" s="12">
        <v>3577.5999999999985</v>
      </c>
      <c r="AD197" s="12">
        <v>6289.0793463692344</v>
      </c>
      <c r="AI197" s="12"/>
    </row>
    <row r="198" spans="1:35" x14ac:dyDescent="0.25">
      <c r="A198">
        <v>671</v>
      </c>
      <c r="B198" t="s">
        <v>786</v>
      </c>
      <c r="C198" s="19">
        <v>18000</v>
      </c>
      <c r="D198" s="19">
        <v>3790.940612513235</v>
      </c>
      <c r="E198" s="19">
        <v>48143</v>
      </c>
      <c r="F198" s="19">
        <v>69933.940612513237</v>
      </c>
      <c r="G198" s="19">
        <v>2116.9500000000007</v>
      </c>
      <c r="H198" s="19">
        <v>751.05311788276094</v>
      </c>
      <c r="I198" s="19">
        <v>2532.4000000000015</v>
      </c>
      <c r="J198" s="19">
        <v>5400.4031178827627</v>
      </c>
      <c r="K198" s="19">
        <v>20116.95</v>
      </c>
      <c r="L198" s="19">
        <v>4541.993730395996</v>
      </c>
      <c r="M198" s="19">
        <v>50675.4</v>
      </c>
      <c r="N198" s="19">
        <v>75334.343730395994</v>
      </c>
      <c r="P198">
        <v>682</v>
      </c>
      <c r="Q198">
        <v>1</v>
      </c>
      <c r="R198" t="s">
        <v>205</v>
      </c>
      <c r="S198" s="12">
        <v>49560</v>
      </c>
      <c r="T198" s="12">
        <v>10884.722299363719</v>
      </c>
      <c r="U198" s="12">
        <v>134261</v>
      </c>
      <c r="V198" s="12">
        <v>194705.72229936373</v>
      </c>
      <c r="W198" s="12">
        <v>55388.669000000002</v>
      </c>
      <c r="X198" s="12">
        <v>13041.180407211905</v>
      </c>
      <c r="Y198" s="12">
        <v>140189.4</v>
      </c>
      <c r="Z198" s="12">
        <v>208619.2494072119</v>
      </c>
      <c r="AA198" s="12">
        <v>5828.6690000000017</v>
      </c>
      <c r="AB198" s="12">
        <v>2156.458107848186</v>
      </c>
      <c r="AC198" s="12">
        <v>5928.3999999999942</v>
      </c>
      <c r="AD198" s="12">
        <v>13913.527107848182</v>
      </c>
      <c r="AI198" s="12"/>
    </row>
    <row r="199" spans="1:35" x14ac:dyDescent="0.25">
      <c r="A199">
        <v>676</v>
      </c>
      <c r="B199" t="s">
        <v>787</v>
      </c>
      <c r="C199" s="19">
        <v>18000</v>
      </c>
      <c r="D199" s="19">
        <v>3000.8868757987143</v>
      </c>
      <c r="E199" s="19">
        <v>36016</v>
      </c>
      <c r="F199" s="19">
        <v>57016.886875798715</v>
      </c>
      <c r="G199" s="19">
        <v>2116.9500000000007</v>
      </c>
      <c r="H199" s="19">
        <v>594.5293463692351</v>
      </c>
      <c r="I199" s="19">
        <v>3577.5999999999985</v>
      </c>
      <c r="J199" s="19">
        <v>6289.0793463692344</v>
      </c>
      <c r="K199" s="19">
        <v>20116.95</v>
      </c>
      <c r="L199" s="19">
        <v>3595.4162221679494</v>
      </c>
      <c r="M199" s="19">
        <v>39593.599999999999</v>
      </c>
      <c r="N199" s="19">
        <v>63305.966222167946</v>
      </c>
      <c r="P199">
        <v>690</v>
      </c>
      <c r="Q199">
        <v>1</v>
      </c>
      <c r="R199" t="s">
        <v>206</v>
      </c>
      <c r="S199" s="12">
        <v>46200</v>
      </c>
      <c r="T199" s="12">
        <v>12944.578339178646</v>
      </c>
      <c r="U199" s="12">
        <v>121162</v>
      </c>
      <c r="V199" s="12">
        <v>180306.57833917864</v>
      </c>
      <c r="W199" s="12">
        <v>51633.504999999997</v>
      </c>
      <c r="X199" s="12">
        <v>15509.130759025828</v>
      </c>
      <c r="Y199" s="12">
        <v>128467.6</v>
      </c>
      <c r="Z199" s="12">
        <v>195610.23575902585</v>
      </c>
      <c r="AA199" s="12">
        <v>5433.5049999999974</v>
      </c>
      <c r="AB199" s="12">
        <v>2564.5524198471812</v>
      </c>
      <c r="AC199" s="12">
        <v>7305.6000000000058</v>
      </c>
      <c r="AD199" s="12">
        <v>15303.657419847184</v>
      </c>
      <c r="AI199" s="12"/>
    </row>
    <row r="200" spans="1:35" x14ac:dyDescent="0.25">
      <c r="A200">
        <v>682</v>
      </c>
      <c r="B200" t="s">
        <v>788</v>
      </c>
      <c r="C200" s="19">
        <v>49560</v>
      </c>
      <c r="D200" s="19">
        <v>10884.722299363719</v>
      </c>
      <c r="E200" s="19">
        <v>134261</v>
      </c>
      <c r="F200" s="19">
        <v>194705.72229936373</v>
      </c>
      <c r="G200" s="19">
        <v>5828.6690000000017</v>
      </c>
      <c r="H200" s="19">
        <v>2156.458107848186</v>
      </c>
      <c r="I200" s="19">
        <v>5928.3999999999942</v>
      </c>
      <c r="J200" s="19">
        <v>13913.527107848182</v>
      </c>
      <c r="K200" s="19">
        <v>55388.669000000002</v>
      </c>
      <c r="L200" s="19">
        <v>13041.180407211905</v>
      </c>
      <c r="M200" s="19">
        <v>140189.4</v>
      </c>
      <c r="N200" s="19">
        <v>208619.2494072119</v>
      </c>
      <c r="P200">
        <v>695</v>
      </c>
      <c r="Q200">
        <v>1</v>
      </c>
      <c r="R200" t="s">
        <v>207</v>
      </c>
      <c r="S200" s="12">
        <v>47640</v>
      </c>
      <c r="T200" s="12">
        <v>10599.641978825124</v>
      </c>
      <c r="U200" s="12">
        <v>66525</v>
      </c>
      <c r="V200" s="12">
        <v>124764.64197882512</v>
      </c>
      <c r="W200" s="12">
        <v>53242.860999999997</v>
      </c>
      <c r="X200" s="12">
        <v>12699.620577898948</v>
      </c>
      <c r="Y200" s="12">
        <v>69617</v>
      </c>
      <c r="Z200" s="12">
        <v>135559.48157789896</v>
      </c>
      <c r="AA200" s="12">
        <v>5602.8609999999971</v>
      </c>
      <c r="AB200" s="12">
        <v>2099.9785990738237</v>
      </c>
      <c r="AC200" s="12">
        <v>3092</v>
      </c>
      <c r="AD200" s="12">
        <v>10794.839599073821</v>
      </c>
      <c r="AI200" s="12"/>
    </row>
    <row r="201" spans="1:35" x14ac:dyDescent="0.25">
      <c r="A201">
        <v>690</v>
      </c>
      <c r="B201" t="s">
        <v>789</v>
      </c>
      <c r="C201" s="19">
        <v>46200</v>
      </c>
      <c r="D201" s="19">
        <v>12944.578339178646</v>
      </c>
      <c r="E201" s="19">
        <v>121162</v>
      </c>
      <c r="F201" s="19">
        <v>180306.57833917864</v>
      </c>
      <c r="G201" s="19">
        <v>5433.5049999999974</v>
      </c>
      <c r="H201" s="19">
        <v>2564.5524198471812</v>
      </c>
      <c r="I201" s="19">
        <v>7305.6000000000058</v>
      </c>
      <c r="J201" s="19">
        <v>15303.657419847184</v>
      </c>
      <c r="K201" s="19">
        <v>51633.504999999997</v>
      </c>
      <c r="L201" s="19">
        <v>15509.130759025828</v>
      </c>
      <c r="M201" s="19">
        <v>128467.6</v>
      </c>
      <c r="N201" s="19">
        <v>195610.23575902585</v>
      </c>
      <c r="P201">
        <v>696</v>
      </c>
      <c r="Q201">
        <v>1</v>
      </c>
      <c r="R201" t="s">
        <v>208</v>
      </c>
      <c r="S201" s="12">
        <v>24600</v>
      </c>
      <c r="T201" s="12">
        <v>6303.5503895899237</v>
      </c>
      <c r="U201" s="12">
        <v>45909</v>
      </c>
      <c r="V201" s="12">
        <v>76812.550389589916</v>
      </c>
      <c r="W201" s="12">
        <v>27493.165000000001</v>
      </c>
      <c r="X201" s="12">
        <v>7552.3964301228461</v>
      </c>
      <c r="Y201" s="12">
        <v>48507.4</v>
      </c>
      <c r="Z201" s="12">
        <v>83552.961430122843</v>
      </c>
      <c r="AA201" s="12">
        <v>2893.1650000000009</v>
      </c>
      <c r="AB201" s="12">
        <v>1248.8460405329224</v>
      </c>
      <c r="AC201" s="12">
        <v>2598.4000000000015</v>
      </c>
      <c r="AD201" s="12">
        <v>6740.4110405329247</v>
      </c>
      <c r="AI201" s="12"/>
    </row>
    <row r="202" spans="1:35" x14ac:dyDescent="0.25">
      <c r="A202">
        <v>695</v>
      </c>
      <c r="B202" t="s">
        <v>790</v>
      </c>
      <c r="C202" s="19">
        <v>47640</v>
      </c>
      <c r="D202" s="19">
        <v>10599.641978825124</v>
      </c>
      <c r="E202" s="19">
        <v>66525</v>
      </c>
      <c r="F202" s="19">
        <v>124764.64197882512</v>
      </c>
      <c r="G202" s="19">
        <v>5602.8609999999971</v>
      </c>
      <c r="H202" s="19">
        <v>2099.9785990738237</v>
      </c>
      <c r="I202" s="19">
        <v>3092</v>
      </c>
      <c r="J202" s="19">
        <v>10794.839599073821</v>
      </c>
      <c r="K202" s="19">
        <v>53242.860999999997</v>
      </c>
      <c r="L202" s="19">
        <v>12699.620577898948</v>
      </c>
      <c r="M202" s="19">
        <v>69617</v>
      </c>
      <c r="N202" s="19">
        <v>135559.48157789896</v>
      </c>
      <c r="P202">
        <v>698</v>
      </c>
      <c r="Q202">
        <v>1</v>
      </c>
      <c r="R202" t="s">
        <v>209</v>
      </c>
      <c r="S202" s="12">
        <v>18000</v>
      </c>
      <c r="T202" s="12">
        <v>2663.5868763459562</v>
      </c>
      <c r="U202" s="12">
        <v>26277</v>
      </c>
      <c r="V202" s="12">
        <v>46940.586876345958</v>
      </c>
      <c r="W202" s="12">
        <v>20116.95</v>
      </c>
      <c r="X202" s="12">
        <v>3191.2910618528322</v>
      </c>
      <c r="Y202" s="12">
        <v>28267.4</v>
      </c>
      <c r="Z202" s="12">
        <v>51575.641061852832</v>
      </c>
      <c r="AA202" s="12">
        <v>2116.9500000000007</v>
      </c>
      <c r="AB202" s="12">
        <v>527.704185506876</v>
      </c>
      <c r="AC202" s="12">
        <v>1990.4000000000015</v>
      </c>
      <c r="AD202" s="12">
        <v>4635.0541855068786</v>
      </c>
      <c r="AI202" s="12"/>
    </row>
    <row r="203" spans="1:35" x14ac:dyDescent="0.25">
      <c r="A203">
        <v>696</v>
      </c>
      <c r="B203" t="s">
        <v>791</v>
      </c>
      <c r="C203" s="19">
        <v>24600</v>
      </c>
      <c r="D203" s="19">
        <v>6303.5503895899237</v>
      </c>
      <c r="E203" s="19">
        <v>45909</v>
      </c>
      <c r="F203" s="19">
        <v>76812.550389589916</v>
      </c>
      <c r="G203" s="19">
        <v>2893.1650000000009</v>
      </c>
      <c r="H203" s="19">
        <v>1248.8460405329224</v>
      </c>
      <c r="I203" s="19">
        <v>2598.4000000000015</v>
      </c>
      <c r="J203" s="19">
        <v>6740.4110405329247</v>
      </c>
      <c r="K203" s="19">
        <v>27493.165000000001</v>
      </c>
      <c r="L203" s="19">
        <v>7552.3964301228461</v>
      </c>
      <c r="M203" s="19">
        <v>48507.4</v>
      </c>
      <c r="N203" s="19">
        <v>83552.961430122843</v>
      </c>
      <c r="P203">
        <v>700</v>
      </c>
      <c r="Q203">
        <v>1</v>
      </c>
      <c r="R203" t="s">
        <v>210</v>
      </c>
      <c r="S203" s="12">
        <v>78720</v>
      </c>
      <c r="T203" s="12">
        <v>14218.115039872155</v>
      </c>
      <c r="U203" s="12">
        <v>161881</v>
      </c>
      <c r="V203" s="12">
        <v>254819.11503987215</v>
      </c>
      <c r="W203" s="12">
        <v>87978.127999999997</v>
      </c>
      <c r="X203" s="12">
        <v>17034.977851139545</v>
      </c>
      <c r="Y203" s="12">
        <v>164729</v>
      </c>
      <c r="Z203" s="12">
        <v>269742.10585113952</v>
      </c>
      <c r="AA203" s="12">
        <v>9258.127999999997</v>
      </c>
      <c r="AB203" s="12">
        <v>2816.8628112673905</v>
      </c>
      <c r="AC203" s="12">
        <v>2848</v>
      </c>
      <c r="AD203" s="12">
        <v>14922.990811267387</v>
      </c>
      <c r="AI203" s="12"/>
    </row>
    <row r="204" spans="1:35" x14ac:dyDescent="0.25">
      <c r="A204">
        <v>698</v>
      </c>
      <c r="B204" t="s">
        <v>792</v>
      </c>
      <c r="C204" s="19">
        <v>18000</v>
      </c>
      <c r="D204" s="19">
        <v>2663.5868763459562</v>
      </c>
      <c r="E204" s="19">
        <v>26277</v>
      </c>
      <c r="F204" s="19">
        <v>46940.586876345958</v>
      </c>
      <c r="G204" s="19">
        <v>2116.9500000000007</v>
      </c>
      <c r="H204" s="19">
        <v>527.704185506876</v>
      </c>
      <c r="I204" s="19">
        <v>1990.4000000000015</v>
      </c>
      <c r="J204" s="19">
        <v>4635.0541855068786</v>
      </c>
      <c r="K204" s="19">
        <v>20116.95</v>
      </c>
      <c r="L204" s="19">
        <v>3191.2910618528322</v>
      </c>
      <c r="M204" s="19">
        <v>28267.4</v>
      </c>
      <c r="N204" s="19">
        <v>51575.641061852832</v>
      </c>
      <c r="P204">
        <v>701</v>
      </c>
      <c r="Q204">
        <v>1</v>
      </c>
      <c r="R204" t="s">
        <v>211</v>
      </c>
      <c r="S204" s="12">
        <v>138000</v>
      </c>
      <c r="T204" s="12">
        <v>35242.439972285363</v>
      </c>
      <c r="U204" s="12">
        <v>249196</v>
      </c>
      <c r="V204" s="12">
        <v>422438.43997228536</v>
      </c>
      <c r="W204" s="12">
        <v>154229.95000000001</v>
      </c>
      <c r="X204" s="12">
        <v>42224.59747050931</v>
      </c>
      <c r="Y204" s="12">
        <v>260117.2</v>
      </c>
      <c r="Z204" s="12">
        <v>456571.74747050932</v>
      </c>
      <c r="AA204" s="12">
        <v>16229.950000000012</v>
      </c>
      <c r="AB204" s="12">
        <v>6982.1574982239472</v>
      </c>
      <c r="AC204" s="12">
        <v>10921.200000000012</v>
      </c>
      <c r="AD204" s="12">
        <v>34133.30749822397</v>
      </c>
      <c r="AI204" s="12"/>
    </row>
    <row r="205" spans="1:35" x14ac:dyDescent="0.25">
      <c r="A205">
        <v>700</v>
      </c>
      <c r="B205" t="s">
        <v>793</v>
      </c>
      <c r="C205" s="19">
        <v>78720</v>
      </c>
      <c r="D205" s="19">
        <v>14218.115039872155</v>
      </c>
      <c r="E205" s="19">
        <v>161881</v>
      </c>
      <c r="F205" s="19">
        <v>254819.11503987215</v>
      </c>
      <c r="G205" s="19">
        <v>9258.127999999997</v>
      </c>
      <c r="H205" s="19">
        <v>2816.8628112673905</v>
      </c>
      <c r="I205" s="19">
        <v>2848</v>
      </c>
      <c r="J205" s="19">
        <v>14922.990811267387</v>
      </c>
      <c r="K205" s="19">
        <v>87978.127999999997</v>
      </c>
      <c r="L205" s="19">
        <v>17034.977851139545</v>
      </c>
      <c r="M205" s="19">
        <v>164729</v>
      </c>
      <c r="N205" s="19">
        <v>269742.10585113952</v>
      </c>
      <c r="P205">
        <v>704</v>
      </c>
      <c r="Q205">
        <v>1</v>
      </c>
      <c r="R205" t="s">
        <v>212</v>
      </c>
      <c r="S205" s="12">
        <v>83160</v>
      </c>
      <c r="T205" s="12">
        <v>19346.531028031597</v>
      </c>
      <c r="U205" s="12">
        <v>172873</v>
      </c>
      <c r="V205" s="12">
        <v>275379.5310280316</v>
      </c>
      <c r="W205" s="12">
        <v>92940.308999999994</v>
      </c>
      <c r="X205" s="12">
        <v>23179.424743342464</v>
      </c>
      <c r="Y205" s="12">
        <v>178689</v>
      </c>
      <c r="Z205" s="12">
        <v>294808.73374334245</v>
      </c>
      <c r="AA205" s="12">
        <v>9780.3089999999938</v>
      </c>
      <c r="AB205" s="12">
        <v>3832.8937153108673</v>
      </c>
      <c r="AC205" s="12">
        <v>5816</v>
      </c>
      <c r="AD205" s="12">
        <v>19429.202715310861</v>
      </c>
      <c r="AI205" s="12"/>
    </row>
    <row r="206" spans="1:35" x14ac:dyDescent="0.25">
      <c r="A206">
        <v>701</v>
      </c>
      <c r="B206" t="s">
        <v>794</v>
      </c>
      <c r="C206" s="19">
        <v>138000</v>
      </c>
      <c r="D206" s="19">
        <v>35242.439972285363</v>
      </c>
      <c r="E206" s="19">
        <v>249196</v>
      </c>
      <c r="F206" s="19">
        <v>422438.43997228536</v>
      </c>
      <c r="G206" s="19">
        <v>16229.950000000012</v>
      </c>
      <c r="H206" s="19">
        <v>6982.1574982239472</v>
      </c>
      <c r="I206" s="19">
        <v>10921.200000000012</v>
      </c>
      <c r="J206" s="19">
        <v>34133.30749822397</v>
      </c>
      <c r="K206" s="19">
        <v>154229.95000000001</v>
      </c>
      <c r="L206" s="19">
        <v>42224.59747050931</v>
      </c>
      <c r="M206" s="19">
        <v>260117.2</v>
      </c>
      <c r="N206" s="19">
        <v>456571.74747050932</v>
      </c>
      <c r="P206">
        <v>706</v>
      </c>
      <c r="Q206">
        <v>1</v>
      </c>
      <c r="R206" t="s">
        <v>213</v>
      </c>
      <c r="S206" s="12">
        <v>81000</v>
      </c>
      <c r="T206" s="12">
        <v>21034.629070209732</v>
      </c>
      <c r="U206" s="12">
        <v>189658</v>
      </c>
      <c r="V206" s="12">
        <v>291692.62907020975</v>
      </c>
      <c r="W206" s="12">
        <v>90526.274999999994</v>
      </c>
      <c r="X206" s="12">
        <v>25201.965191103191</v>
      </c>
      <c r="Y206" s="12">
        <v>197260</v>
      </c>
      <c r="Z206" s="12">
        <v>312988.24019110319</v>
      </c>
      <c r="AA206" s="12">
        <v>9526.2749999999942</v>
      </c>
      <c r="AB206" s="12">
        <v>4167.3361208934584</v>
      </c>
      <c r="AC206" s="12">
        <v>7602</v>
      </c>
      <c r="AD206" s="12">
        <v>21295.611120893453</v>
      </c>
      <c r="AI206" s="12"/>
    </row>
    <row r="207" spans="1:35" x14ac:dyDescent="0.25">
      <c r="A207">
        <v>704</v>
      </c>
      <c r="B207" t="s">
        <v>795</v>
      </c>
      <c r="C207" s="19">
        <v>83160</v>
      </c>
      <c r="D207" s="19">
        <v>19346.531028031597</v>
      </c>
      <c r="E207" s="19">
        <v>172873</v>
      </c>
      <c r="F207" s="19">
        <v>275379.5310280316</v>
      </c>
      <c r="G207" s="19">
        <v>9780.3089999999938</v>
      </c>
      <c r="H207" s="19">
        <v>3832.8937153108673</v>
      </c>
      <c r="I207" s="19">
        <v>5816</v>
      </c>
      <c r="J207" s="19">
        <v>19429.202715310861</v>
      </c>
      <c r="K207" s="19">
        <v>92940.308999999994</v>
      </c>
      <c r="L207" s="19">
        <v>23179.424743342464</v>
      </c>
      <c r="M207" s="19">
        <v>178689</v>
      </c>
      <c r="N207" s="19">
        <v>294808.73374334245</v>
      </c>
      <c r="P207">
        <v>707</v>
      </c>
      <c r="Q207">
        <v>1</v>
      </c>
      <c r="R207" t="s">
        <v>214</v>
      </c>
      <c r="S207" s="12">
        <v>18000</v>
      </c>
      <c r="T207" s="12">
        <v>1938.1876828945819</v>
      </c>
      <c r="U207" s="12">
        <v>12129</v>
      </c>
      <c r="V207" s="12">
        <v>32067.187682894582</v>
      </c>
      <c r="W207" s="12">
        <v>20116.95</v>
      </c>
      <c r="X207" s="12">
        <v>2322.1773179405618</v>
      </c>
      <c r="Y207" s="12">
        <v>12496.2</v>
      </c>
      <c r="Z207" s="12">
        <v>34935.327317940566</v>
      </c>
      <c r="AA207" s="12">
        <v>2116.9500000000007</v>
      </c>
      <c r="AB207" s="12">
        <v>383.98963504597987</v>
      </c>
      <c r="AC207" s="12">
        <v>367.20000000000073</v>
      </c>
      <c r="AD207" s="12">
        <v>2868.1396350459813</v>
      </c>
      <c r="AI207" s="12"/>
    </row>
    <row r="208" spans="1:35" x14ac:dyDescent="0.25">
      <c r="A208">
        <v>706</v>
      </c>
      <c r="B208" t="s">
        <v>796</v>
      </c>
      <c r="C208" s="19">
        <v>81000</v>
      </c>
      <c r="D208" s="19">
        <v>21034.629070209732</v>
      </c>
      <c r="E208" s="19">
        <v>189658</v>
      </c>
      <c r="F208" s="19">
        <v>291692.62907020975</v>
      </c>
      <c r="G208" s="19">
        <v>9526.2749999999942</v>
      </c>
      <c r="H208" s="19">
        <v>4167.3361208934584</v>
      </c>
      <c r="I208" s="19">
        <v>7602</v>
      </c>
      <c r="J208" s="19">
        <v>21295.611120893453</v>
      </c>
      <c r="K208" s="19">
        <v>90526.274999999994</v>
      </c>
      <c r="L208" s="19">
        <v>25201.965191103191</v>
      </c>
      <c r="M208" s="19">
        <v>197260</v>
      </c>
      <c r="N208" s="19">
        <v>312988.24019110319</v>
      </c>
      <c r="P208">
        <v>709</v>
      </c>
      <c r="Q208">
        <v>1</v>
      </c>
      <c r="R208" t="s">
        <v>215</v>
      </c>
      <c r="S208" s="12">
        <v>650280</v>
      </c>
      <c r="T208" s="12">
        <v>146145.43511317857</v>
      </c>
      <c r="U208" s="12">
        <v>722137</v>
      </c>
      <c r="V208" s="12">
        <v>1518562.4351131786</v>
      </c>
      <c r="W208" s="12">
        <v>726758.34699999995</v>
      </c>
      <c r="X208" s="12">
        <v>175099.4589097469</v>
      </c>
      <c r="Y208" s="12">
        <v>744165</v>
      </c>
      <c r="Z208" s="12">
        <v>1646022.8059097468</v>
      </c>
      <c r="AA208" s="12">
        <v>76478.346999999951</v>
      </c>
      <c r="AB208" s="12">
        <v>28954.023796568334</v>
      </c>
      <c r="AC208" s="12">
        <v>22028</v>
      </c>
      <c r="AD208" s="12">
        <v>127460.37079656828</v>
      </c>
      <c r="AI208" s="12"/>
    </row>
    <row r="209" spans="1:35" x14ac:dyDescent="0.25">
      <c r="A209">
        <v>707</v>
      </c>
      <c r="B209" t="s">
        <v>797</v>
      </c>
      <c r="C209" s="19">
        <v>18000</v>
      </c>
      <c r="D209" s="19">
        <v>1938.1876828945819</v>
      </c>
      <c r="E209" s="19">
        <v>12129</v>
      </c>
      <c r="F209" s="19">
        <v>32067.187682894582</v>
      </c>
      <c r="G209" s="19">
        <v>2116.9500000000007</v>
      </c>
      <c r="H209" s="19">
        <v>383.98963504597987</v>
      </c>
      <c r="I209" s="19">
        <v>367.20000000000073</v>
      </c>
      <c r="J209" s="19">
        <v>2868.1396350459813</v>
      </c>
      <c r="K209" s="19">
        <v>20116.95</v>
      </c>
      <c r="L209" s="19">
        <v>2322.1773179405618</v>
      </c>
      <c r="M209" s="19">
        <v>12496.2</v>
      </c>
      <c r="N209" s="19">
        <v>34935.327317940566</v>
      </c>
      <c r="P209">
        <v>712</v>
      </c>
      <c r="Q209">
        <v>1</v>
      </c>
      <c r="R209" t="s">
        <v>216</v>
      </c>
      <c r="S209" s="12">
        <v>40560</v>
      </c>
      <c r="T209" s="12">
        <v>8846.8893933838426</v>
      </c>
      <c r="U209" s="12">
        <v>46195</v>
      </c>
      <c r="V209" s="12">
        <v>95601.889393383841</v>
      </c>
      <c r="W209" s="12">
        <v>45330.194000000003</v>
      </c>
      <c r="X209" s="12">
        <v>10599.616365822445</v>
      </c>
      <c r="Y209" s="12">
        <v>48388.6</v>
      </c>
      <c r="Z209" s="12">
        <v>104318.41036582245</v>
      </c>
      <c r="AA209" s="12">
        <v>4770.1940000000031</v>
      </c>
      <c r="AB209" s="12">
        <v>1752.7269724386024</v>
      </c>
      <c r="AC209" s="12">
        <v>2193.5999999999985</v>
      </c>
      <c r="AD209" s="12">
        <v>8716.5209724386041</v>
      </c>
      <c r="AI209" s="12"/>
    </row>
    <row r="210" spans="1:35" x14ac:dyDescent="0.25">
      <c r="A210">
        <v>709</v>
      </c>
      <c r="B210" t="s">
        <v>798</v>
      </c>
      <c r="C210" s="19">
        <v>650280</v>
      </c>
      <c r="D210" s="19">
        <v>146145.43511317857</v>
      </c>
      <c r="E210" s="19">
        <v>722137</v>
      </c>
      <c r="F210" s="19">
        <v>1518562.4351131786</v>
      </c>
      <c r="G210" s="19">
        <v>76478.346999999951</v>
      </c>
      <c r="H210" s="19">
        <v>28954.023796568334</v>
      </c>
      <c r="I210" s="19">
        <v>22028</v>
      </c>
      <c r="J210" s="19">
        <v>127460.37079656828</v>
      </c>
      <c r="K210" s="19">
        <v>726758.34699999995</v>
      </c>
      <c r="L210" s="19">
        <v>175099.4589097469</v>
      </c>
      <c r="M210" s="19">
        <v>744165</v>
      </c>
      <c r="N210" s="19">
        <v>1646022.8059097468</v>
      </c>
      <c r="P210">
        <v>716</v>
      </c>
      <c r="Q210">
        <v>1</v>
      </c>
      <c r="R210" t="s">
        <v>217</v>
      </c>
      <c r="S210" s="12">
        <v>109440</v>
      </c>
      <c r="T210" s="12">
        <v>19369.092469631061</v>
      </c>
      <c r="U210" s="12">
        <v>177023</v>
      </c>
      <c r="V210" s="12">
        <v>305832.09246963105</v>
      </c>
      <c r="W210" s="12">
        <v>122311.056</v>
      </c>
      <c r="X210" s="12">
        <v>23206.456009924488</v>
      </c>
      <c r="Y210" s="12">
        <v>182014.2</v>
      </c>
      <c r="Z210" s="12">
        <v>327531.71200992446</v>
      </c>
      <c r="AA210" s="12">
        <v>12871.055999999997</v>
      </c>
      <c r="AB210" s="12">
        <v>3837.3635402934269</v>
      </c>
      <c r="AC210" s="12">
        <v>4991.2000000000116</v>
      </c>
      <c r="AD210" s="12">
        <v>21699.619540293435</v>
      </c>
      <c r="AI210" s="12"/>
    </row>
    <row r="211" spans="1:35" x14ac:dyDescent="0.25">
      <c r="A211">
        <v>712</v>
      </c>
      <c r="B211" t="s">
        <v>799</v>
      </c>
      <c r="C211" s="19">
        <v>40560</v>
      </c>
      <c r="D211" s="19">
        <v>8846.8893933838426</v>
      </c>
      <c r="E211" s="19">
        <v>46195</v>
      </c>
      <c r="F211" s="19">
        <v>95601.889393383841</v>
      </c>
      <c r="G211" s="19">
        <v>4770.1940000000031</v>
      </c>
      <c r="H211" s="19">
        <v>1752.7269724386024</v>
      </c>
      <c r="I211" s="19">
        <v>2193.5999999999985</v>
      </c>
      <c r="J211" s="19">
        <v>8716.5209724386041</v>
      </c>
      <c r="K211" s="19">
        <v>45330.194000000003</v>
      </c>
      <c r="L211" s="19">
        <v>10599.616365822445</v>
      </c>
      <c r="M211" s="19">
        <v>48388.6</v>
      </c>
      <c r="N211" s="19">
        <v>104318.41036582245</v>
      </c>
      <c r="P211">
        <v>717</v>
      </c>
      <c r="Q211">
        <v>1</v>
      </c>
      <c r="R211" t="s">
        <v>218</v>
      </c>
      <c r="S211" s="12">
        <v>111000</v>
      </c>
      <c r="T211" s="12">
        <v>20890.760018908295</v>
      </c>
      <c r="U211" s="12">
        <v>203413</v>
      </c>
      <c r="V211" s="12">
        <v>335303.7600189083</v>
      </c>
      <c r="W211" s="12">
        <v>124054.52499999999</v>
      </c>
      <c r="X211" s="12">
        <v>25029.593108340352</v>
      </c>
      <c r="Y211" s="12">
        <v>209703.4</v>
      </c>
      <c r="Z211" s="12">
        <v>358787.51810834033</v>
      </c>
      <c r="AA211" s="12">
        <v>13054.524999999994</v>
      </c>
      <c r="AB211" s="12">
        <v>4138.833089432057</v>
      </c>
      <c r="AC211" s="12">
        <v>6290.3999999999942</v>
      </c>
      <c r="AD211" s="12">
        <v>23483.758089432045</v>
      </c>
      <c r="AI211" s="12"/>
    </row>
    <row r="212" spans="1:35" x14ac:dyDescent="0.25">
      <c r="A212">
        <v>716</v>
      </c>
      <c r="B212" t="s">
        <v>800</v>
      </c>
      <c r="C212" s="19">
        <v>109440</v>
      </c>
      <c r="D212" s="19">
        <v>19369.092469631061</v>
      </c>
      <c r="E212" s="19">
        <v>177023</v>
      </c>
      <c r="F212" s="19">
        <v>305832.09246963105</v>
      </c>
      <c r="G212" s="19">
        <v>12871.055999999997</v>
      </c>
      <c r="H212" s="19">
        <v>3837.3635402934269</v>
      </c>
      <c r="I212" s="19">
        <v>4991.2000000000116</v>
      </c>
      <c r="J212" s="19">
        <v>21699.619540293435</v>
      </c>
      <c r="K212" s="19">
        <v>122311.056</v>
      </c>
      <c r="L212" s="19">
        <v>23206.456009924488</v>
      </c>
      <c r="M212" s="19">
        <v>182014.2</v>
      </c>
      <c r="N212" s="19">
        <v>327531.71200992446</v>
      </c>
      <c r="P212">
        <v>719</v>
      </c>
      <c r="Q212">
        <v>1</v>
      </c>
      <c r="R212" t="s">
        <v>219</v>
      </c>
      <c r="S212" s="12">
        <v>408000</v>
      </c>
      <c r="T212" s="12">
        <v>68701.770131883197</v>
      </c>
      <c r="U212" s="12">
        <v>578670</v>
      </c>
      <c r="V212" s="12">
        <v>1055371.7701318832</v>
      </c>
      <c r="W212" s="12">
        <v>455984.2</v>
      </c>
      <c r="X212" s="12">
        <v>82312.819192186958</v>
      </c>
      <c r="Y212" s="12">
        <v>590253.6</v>
      </c>
      <c r="Z212" s="12">
        <v>1128550.619192187</v>
      </c>
      <c r="AA212" s="12">
        <v>47984.200000000012</v>
      </c>
      <c r="AB212" s="12">
        <v>13611.049060303762</v>
      </c>
      <c r="AC212" s="12">
        <v>11583.599999999977</v>
      </c>
      <c r="AD212" s="12">
        <v>73178.84906030375</v>
      </c>
      <c r="AI212" s="12"/>
    </row>
    <row r="213" spans="1:35" x14ac:dyDescent="0.25">
      <c r="A213">
        <v>717</v>
      </c>
      <c r="B213" t="s">
        <v>801</v>
      </c>
      <c r="C213" s="19">
        <v>111000</v>
      </c>
      <c r="D213" s="19">
        <v>20890.760018908295</v>
      </c>
      <c r="E213" s="19">
        <v>203413</v>
      </c>
      <c r="F213" s="19">
        <v>335303.7600189083</v>
      </c>
      <c r="G213" s="19">
        <v>13054.524999999994</v>
      </c>
      <c r="H213" s="19">
        <v>4138.833089432057</v>
      </c>
      <c r="I213" s="19">
        <v>6290.3999999999942</v>
      </c>
      <c r="J213" s="19">
        <v>23483.758089432045</v>
      </c>
      <c r="K213" s="19">
        <v>124054.52499999999</v>
      </c>
      <c r="L213" s="19">
        <v>25029.593108340352</v>
      </c>
      <c r="M213" s="19">
        <v>209703.4</v>
      </c>
      <c r="N213" s="19">
        <v>358787.51810834033</v>
      </c>
      <c r="P213">
        <v>720</v>
      </c>
      <c r="Q213">
        <v>1</v>
      </c>
      <c r="R213" t="s">
        <v>220</v>
      </c>
      <c r="S213" s="12">
        <v>431400</v>
      </c>
      <c r="T213" s="12">
        <v>94197.311987062072</v>
      </c>
      <c r="U213" s="12">
        <v>897993</v>
      </c>
      <c r="V213" s="12">
        <v>1423590.311987062</v>
      </c>
      <c r="W213" s="12">
        <v>482136.23499999999</v>
      </c>
      <c r="X213" s="12">
        <v>112859.48375270092</v>
      </c>
      <c r="Y213" s="12">
        <v>924450.2</v>
      </c>
      <c r="Z213" s="12">
        <v>1519445.918752701</v>
      </c>
      <c r="AA213" s="12">
        <v>50736.234999999986</v>
      </c>
      <c r="AB213" s="12">
        <v>18662.17176563885</v>
      </c>
      <c r="AC213" s="12">
        <v>26457.199999999953</v>
      </c>
      <c r="AD213" s="12">
        <v>95855.60676563879</v>
      </c>
      <c r="AI213" s="12"/>
    </row>
    <row r="214" spans="1:35" x14ac:dyDescent="0.25">
      <c r="A214">
        <v>719</v>
      </c>
      <c r="B214" t="s">
        <v>802</v>
      </c>
      <c r="C214" s="19">
        <v>408000</v>
      </c>
      <c r="D214" s="19">
        <v>68701.770131883197</v>
      </c>
      <c r="E214" s="19">
        <v>578670</v>
      </c>
      <c r="F214" s="19">
        <v>1055371.7701318832</v>
      </c>
      <c r="G214" s="19">
        <v>47984.200000000012</v>
      </c>
      <c r="H214" s="19">
        <v>13611.049060303762</v>
      </c>
      <c r="I214" s="19">
        <v>11583.599999999977</v>
      </c>
      <c r="J214" s="19">
        <v>73178.84906030375</v>
      </c>
      <c r="K214" s="19">
        <v>455984.2</v>
      </c>
      <c r="L214" s="19">
        <v>82312.819192186958</v>
      </c>
      <c r="M214" s="19">
        <v>590253.6</v>
      </c>
      <c r="N214" s="19">
        <v>1128550.619192187</v>
      </c>
      <c r="P214">
        <v>721</v>
      </c>
      <c r="Q214">
        <v>1</v>
      </c>
      <c r="R214" t="s">
        <v>221</v>
      </c>
      <c r="S214" s="12">
        <v>174600</v>
      </c>
      <c r="T214" s="12">
        <v>29916.337208995981</v>
      </c>
      <c r="U214" s="12">
        <v>265659</v>
      </c>
      <c r="V214" s="12">
        <v>470175.33720899594</v>
      </c>
      <c r="W214" s="12">
        <v>195134.41500000001</v>
      </c>
      <c r="X214" s="12">
        <v>35843.298518356256</v>
      </c>
      <c r="Y214" s="12">
        <v>271858.2</v>
      </c>
      <c r="Z214" s="12">
        <v>502835.91351835628</v>
      </c>
      <c r="AA214" s="12">
        <v>20534.415000000008</v>
      </c>
      <c r="AB214" s="12">
        <v>5926.9613093602748</v>
      </c>
      <c r="AC214" s="12">
        <v>6199.2000000000116</v>
      </c>
      <c r="AD214" s="12">
        <v>32660.576309360295</v>
      </c>
      <c r="AI214" s="12"/>
    </row>
    <row r="215" spans="1:35" x14ac:dyDescent="0.25">
      <c r="A215">
        <v>720</v>
      </c>
      <c r="B215" t="s">
        <v>803</v>
      </c>
      <c r="C215" s="19">
        <v>431400</v>
      </c>
      <c r="D215" s="19">
        <v>94197.311987062072</v>
      </c>
      <c r="E215" s="19">
        <v>897993</v>
      </c>
      <c r="F215" s="19">
        <v>1423590.311987062</v>
      </c>
      <c r="G215" s="19">
        <v>50736.234999999986</v>
      </c>
      <c r="H215" s="19">
        <v>18662.17176563885</v>
      </c>
      <c r="I215" s="19">
        <v>26457.199999999953</v>
      </c>
      <c r="J215" s="19">
        <v>95855.60676563879</v>
      </c>
      <c r="K215" s="19">
        <v>482136.23499999999</v>
      </c>
      <c r="L215" s="19">
        <v>112859.48375270092</v>
      </c>
      <c r="M215" s="19">
        <v>924450.2</v>
      </c>
      <c r="N215" s="19">
        <v>1519445.918752701</v>
      </c>
      <c r="P215">
        <v>726</v>
      </c>
      <c r="Q215">
        <v>1</v>
      </c>
      <c r="R215" t="s">
        <v>222</v>
      </c>
      <c r="S215" s="12">
        <v>129600</v>
      </c>
      <c r="T215" s="12">
        <v>25268.202468860545</v>
      </c>
      <c r="U215" s="12">
        <v>337877</v>
      </c>
      <c r="V215" s="12">
        <v>492745.20246886055</v>
      </c>
      <c r="W215" s="12">
        <v>144842.04</v>
      </c>
      <c r="X215" s="12">
        <v>30274.285176906222</v>
      </c>
      <c r="Y215" s="12">
        <v>345546.2</v>
      </c>
      <c r="Z215" s="12">
        <v>520662.52517690626</v>
      </c>
      <c r="AA215" s="12">
        <v>15242.040000000008</v>
      </c>
      <c r="AB215" s="12">
        <v>5006.0827080456766</v>
      </c>
      <c r="AC215" s="12">
        <v>7669.2000000000116</v>
      </c>
      <c r="AD215" s="12">
        <v>27917.322708045696</v>
      </c>
      <c r="AI215" s="12"/>
    </row>
    <row r="216" spans="1:35" x14ac:dyDescent="0.25">
      <c r="A216">
        <v>721</v>
      </c>
      <c r="B216" t="s">
        <v>804</v>
      </c>
      <c r="C216" s="19">
        <v>174600</v>
      </c>
      <c r="D216" s="19">
        <v>29916.337208995981</v>
      </c>
      <c r="E216" s="19">
        <v>265659</v>
      </c>
      <c r="F216" s="19">
        <v>470175.33720899594</v>
      </c>
      <c r="G216" s="19">
        <v>20534.415000000008</v>
      </c>
      <c r="H216" s="19">
        <v>5926.9613093602748</v>
      </c>
      <c r="I216" s="19">
        <v>6199.2000000000116</v>
      </c>
      <c r="J216" s="19">
        <v>32660.576309360295</v>
      </c>
      <c r="K216" s="19">
        <v>195134.41500000001</v>
      </c>
      <c r="L216" s="19">
        <v>35843.298518356256</v>
      </c>
      <c r="M216" s="19">
        <v>271858.2</v>
      </c>
      <c r="N216" s="19">
        <v>502835.91351835628</v>
      </c>
      <c r="P216">
        <v>727</v>
      </c>
      <c r="Q216">
        <v>1</v>
      </c>
      <c r="R216" t="s">
        <v>223</v>
      </c>
      <c r="S216" s="12">
        <v>168720</v>
      </c>
      <c r="T216" s="12">
        <v>36224.504172782901</v>
      </c>
      <c r="U216" s="12">
        <v>340654</v>
      </c>
      <c r="V216" s="12">
        <v>545598.50417278288</v>
      </c>
      <c r="W216" s="12">
        <v>188562.878</v>
      </c>
      <c r="X216" s="12">
        <v>43401.226148569513</v>
      </c>
      <c r="Y216" s="12">
        <v>353318.40000000002</v>
      </c>
      <c r="Z216" s="12">
        <v>585282.50414856954</v>
      </c>
      <c r="AA216" s="12">
        <v>19842.877999999997</v>
      </c>
      <c r="AB216" s="12">
        <v>7176.7219757866114</v>
      </c>
      <c r="AC216" s="12">
        <v>12664.400000000023</v>
      </c>
      <c r="AD216" s="12">
        <v>39683.999975786632</v>
      </c>
      <c r="AI216" s="12"/>
    </row>
    <row r="217" spans="1:35" x14ac:dyDescent="0.25">
      <c r="A217">
        <v>726</v>
      </c>
      <c r="B217" t="s">
        <v>805</v>
      </c>
      <c r="C217" s="19">
        <v>129600</v>
      </c>
      <c r="D217" s="19">
        <v>25268.202468860545</v>
      </c>
      <c r="E217" s="19">
        <v>337877</v>
      </c>
      <c r="F217" s="19">
        <v>492745.20246886055</v>
      </c>
      <c r="G217" s="19">
        <v>15242.040000000008</v>
      </c>
      <c r="H217" s="19">
        <v>5006.0827080456766</v>
      </c>
      <c r="I217" s="19">
        <v>7669.2000000000116</v>
      </c>
      <c r="J217" s="19">
        <v>27917.322708045696</v>
      </c>
      <c r="K217" s="19">
        <v>144842.04</v>
      </c>
      <c r="L217" s="19">
        <v>30274.285176906222</v>
      </c>
      <c r="M217" s="19">
        <v>345546.2</v>
      </c>
      <c r="N217" s="19">
        <v>520662.52517690626</v>
      </c>
      <c r="P217">
        <v>728</v>
      </c>
      <c r="Q217">
        <v>1</v>
      </c>
      <c r="R217" t="s">
        <v>224</v>
      </c>
      <c r="S217" s="12">
        <v>717000</v>
      </c>
      <c r="T217" s="12">
        <v>131809.03661901341</v>
      </c>
      <c r="U217" s="12">
        <v>1235765</v>
      </c>
      <c r="V217" s="12">
        <v>2084574.0366190134</v>
      </c>
      <c r="W217" s="12">
        <v>801325.17500000005</v>
      </c>
      <c r="X217" s="12">
        <v>157922.76353709432</v>
      </c>
      <c r="Y217" s="12">
        <v>1274857.8</v>
      </c>
      <c r="Z217" s="12">
        <v>2234105.7385370946</v>
      </c>
      <c r="AA217" s="12">
        <v>84325.175000000047</v>
      </c>
      <c r="AB217" s="12">
        <v>26113.726918080909</v>
      </c>
      <c r="AC217" s="12">
        <v>39092.800000000047</v>
      </c>
      <c r="AD217" s="12">
        <v>149531.701918081</v>
      </c>
      <c r="AI217" s="12"/>
    </row>
    <row r="218" spans="1:35" x14ac:dyDescent="0.25">
      <c r="A218">
        <v>727</v>
      </c>
      <c r="B218" t="s">
        <v>806</v>
      </c>
      <c r="C218" s="19">
        <v>168720</v>
      </c>
      <c r="D218" s="19">
        <v>36224.504172782901</v>
      </c>
      <c r="E218" s="19">
        <v>340654</v>
      </c>
      <c r="F218" s="19">
        <v>545598.50417278288</v>
      </c>
      <c r="G218" s="19">
        <v>19842.877999999997</v>
      </c>
      <c r="H218" s="19">
        <v>7176.7219757866114</v>
      </c>
      <c r="I218" s="19">
        <v>12664.400000000023</v>
      </c>
      <c r="J218" s="19">
        <v>39683.999975786632</v>
      </c>
      <c r="K218" s="19">
        <v>188562.878</v>
      </c>
      <c r="L218" s="19">
        <v>43401.226148569513</v>
      </c>
      <c r="M218" s="19">
        <v>353318.40000000002</v>
      </c>
      <c r="N218" s="19">
        <v>585282.50414856954</v>
      </c>
      <c r="P218">
        <v>738</v>
      </c>
      <c r="Q218">
        <v>1</v>
      </c>
      <c r="R218" t="s">
        <v>225</v>
      </c>
      <c r="S218" s="12">
        <v>42000</v>
      </c>
      <c r="T218" s="12">
        <v>9166.9603937445827</v>
      </c>
      <c r="U218" s="12">
        <v>141386</v>
      </c>
      <c r="V218" s="12">
        <v>192552.96039374458</v>
      </c>
      <c r="W218" s="12">
        <v>46939.55</v>
      </c>
      <c r="X218" s="12">
        <v>10983.099154268522</v>
      </c>
      <c r="Y218" s="12">
        <v>147256</v>
      </c>
      <c r="Z218" s="12">
        <v>205178.64915426853</v>
      </c>
      <c r="AA218" s="12">
        <v>4939.5500000000029</v>
      </c>
      <c r="AB218" s="12">
        <v>1816.1387605239397</v>
      </c>
      <c r="AC218" s="12">
        <v>5870</v>
      </c>
      <c r="AD218" s="12">
        <v>12625.688760523943</v>
      </c>
      <c r="AI218" s="12"/>
    </row>
    <row r="219" spans="1:35" x14ac:dyDescent="0.25">
      <c r="A219">
        <v>728</v>
      </c>
      <c r="B219" t="s">
        <v>807</v>
      </c>
      <c r="C219" s="19">
        <v>717000</v>
      </c>
      <c r="D219" s="19">
        <v>131809.03661901341</v>
      </c>
      <c r="E219" s="19">
        <v>1235765</v>
      </c>
      <c r="F219" s="19">
        <v>2084574.0366190134</v>
      </c>
      <c r="G219" s="19">
        <v>84325.175000000047</v>
      </c>
      <c r="H219" s="19">
        <v>26113.726918080909</v>
      </c>
      <c r="I219" s="19">
        <v>39092.800000000047</v>
      </c>
      <c r="J219" s="19">
        <v>149531.701918081</v>
      </c>
      <c r="K219" s="19">
        <v>801325.17500000005</v>
      </c>
      <c r="L219" s="19">
        <v>157922.76353709432</v>
      </c>
      <c r="M219" s="19">
        <v>1274857.8</v>
      </c>
      <c r="N219" s="19">
        <v>2234105.7385370946</v>
      </c>
      <c r="P219">
        <v>739</v>
      </c>
      <c r="Q219">
        <v>1</v>
      </c>
      <c r="R219" t="s">
        <v>226</v>
      </c>
      <c r="S219" s="12">
        <v>28440</v>
      </c>
      <c r="T219" s="12">
        <v>7295.9131017576838</v>
      </c>
      <c r="U219" s="12">
        <v>83089</v>
      </c>
      <c r="V219" s="12">
        <v>118824.91310175769</v>
      </c>
      <c r="W219" s="12">
        <v>31784.780999999999</v>
      </c>
      <c r="X219" s="12">
        <v>8741.3639391539564</v>
      </c>
      <c r="Y219" s="12">
        <v>86582.6</v>
      </c>
      <c r="Z219" s="12">
        <v>127108.74493915396</v>
      </c>
      <c r="AA219" s="12">
        <v>3344.780999999999</v>
      </c>
      <c r="AB219" s="12">
        <v>1445.4508373962726</v>
      </c>
      <c r="AC219" s="12">
        <v>3493.6000000000058</v>
      </c>
      <c r="AD219" s="12">
        <v>8283.8318373962775</v>
      </c>
      <c r="AI219" s="12"/>
    </row>
    <row r="220" spans="1:35" x14ac:dyDescent="0.25">
      <c r="A220">
        <v>738</v>
      </c>
      <c r="B220" t="s">
        <v>808</v>
      </c>
      <c r="C220" s="19">
        <v>42000</v>
      </c>
      <c r="D220" s="19">
        <v>9166.9603937445827</v>
      </c>
      <c r="E220" s="19">
        <v>141386</v>
      </c>
      <c r="F220" s="19">
        <v>192552.96039374458</v>
      </c>
      <c r="G220" s="19">
        <v>4939.5500000000029</v>
      </c>
      <c r="H220" s="19">
        <v>1816.1387605239397</v>
      </c>
      <c r="I220" s="19">
        <v>5870</v>
      </c>
      <c r="J220" s="19">
        <v>12625.688760523943</v>
      </c>
      <c r="K220" s="19">
        <v>46939.55</v>
      </c>
      <c r="L220" s="19">
        <v>10983.099154268522</v>
      </c>
      <c r="M220" s="19">
        <v>147256</v>
      </c>
      <c r="N220" s="19">
        <v>205178.64915426853</v>
      </c>
      <c r="P220">
        <v>740</v>
      </c>
      <c r="Q220">
        <v>1</v>
      </c>
      <c r="R220" t="s">
        <v>227</v>
      </c>
      <c r="S220" s="12">
        <v>69120</v>
      </c>
      <c r="T220" s="12">
        <v>21483.831596550724</v>
      </c>
      <c r="U220" s="12">
        <v>167222</v>
      </c>
      <c r="V220" s="12">
        <v>257825.83159655071</v>
      </c>
      <c r="W220" s="12">
        <v>77249.088000000003</v>
      </c>
      <c r="X220" s="12">
        <v>25740.162769715804</v>
      </c>
      <c r="Y220" s="12">
        <v>174600.8</v>
      </c>
      <c r="Z220" s="12">
        <v>277590.0507697158</v>
      </c>
      <c r="AA220" s="12">
        <v>8129.0880000000034</v>
      </c>
      <c r="AB220" s="12">
        <v>4256.3311731650792</v>
      </c>
      <c r="AC220" s="12">
        <v>7378.7999999999884</v>
      </c>
      <c r="AD220" s="12">
        <v>19764.219173165071</v>
      </c>
      <c r="AI220" s="12"/>
    </row>
    <row r="221" spans="1:35" x14ac:dyDescent="0.25">
      <c r="A221">
        <v>739</v>
      </c>
      <c r="B221" t="s">
        <v>809</v>
      </c>
      <c r="C221" s="19">
        <v>28440</v>
      </c>
      <c r="D221" s="19">
        <v>7295.9131017576838</v>
      </c>
      <c r="E221" s="19">
        <v>83089</v>
      </c>
      <c r="F221" s="19">
        <v>118824.91310175769</v>
      </c>
      <c r="G221" s="19">
        <v>3344.780999999999</v>
      </c>
      <c r="H221" s="19">
        <v>1445.4508373962726</v>
      </c>
      <c r="I221" s="19">
        <v>3493.6000000000058</v>
      </c>
      <c r="J221" s="19">
        <v>8283.8318373962775</v>
      </c>
      <c r="K221" s="19">
        <v>31784.780999999999</v>
      </c>
      <c r="L221" s="19">
        <v>8741.3639391539564</v>
      </c>
      <c r="M221" s="19">
        <v>86582.6</v>
      </c>
      <c r="N221" s="19">
        <v>127108.74493915396</v>
      </c>
      <c r="P221">
        <v>741</v>
      </c>
      <c r="Q221">
        <v>1</v>
      </c>
      <c r="R221" t="s">
        <v>228</v>
      </c>
      <c r="S221" s="12">
        <v>45000</v>
      </c>
      <c r="T221" s="12">
        <v>11190.93795100717</v>
      </c>
      <c r="U221" s="12">
        <v>142578</v>
      </c>
      <c r="V221" s="12">
        <v>198768.93795100716</v>
      </c>
      <c r="W221" s="12">
        <v>50292.375</v>
      </c>
      <c r="X221" s="12">
        <v>13408.062854624242</v>
      </c>
      <c r="Y221" s="12">
        <v>150336.4</v>
      </c>
      <c r="Z221" s="12">
        <v>214036.83785462423</v>
      </c>
      <c r="AA221" s="12">
        <v>5292.375</v>
      </c>
      <c r="AB221" s="12">
        <v>2217.1249036170721</v>
      </c>
      <c r="AC221" s="12">
        <v>7758.3999999999942</v>
      </c>
      <c r="AD221" s="12">
        <v>15267.899903617066</v>
      </c>
      <c r="AI221" s="12"/>
    </row>
    <row r="222" spans="1:35" x14ac:dyDescent="0.25">
      <c r="A222">
        <v>740</v>
      </c>
      <c r="B222" t="s">
        <v>810</v>
      </c>
      <c r="C222" s="19">
        <v>69120</v>
      </c>
      <c r="D222" s="19">
        <v>21483.831596550724</v>
      </c>
      <c r="E222" s="19">
        <v>167222</v>
      </c>
      <c r="F222" s="19">
        <v>257825.83159655071</v>
      </c>
      <c r="G222" s="19">
        <v>8129.0880000000034</v>
      </c>
      <c r="H222" s="19">
        <v>4256.3311731650792</v>
      </c>
      <c r="I222" s="19">
        <v>7378.7999999999884</v>
      </c>
      <c r="J222" s="19">
        <v>19764.219173165071</v>
      </c>
      <c r="K222" s="19">
        <v>77249.088000000003</v>
      </c>
      <c r="L222" s="19">
        <v>25740.162769715804</v>
      </c>
      <c r="M222" s="19">
        <v>174600.8</v>
      </c>
      <c r="N222" s="19">
        <v>277590.0507697158</v>
      </c>
      <c r="P222">
        <v>742</v>
      </c>
      <c r="Q222">
        <v>1</v>
      </c>
      <c r="R222" t="s">
        <v>229</v>
      </c>
      <c r="S222" s="12">
        <v>909000</v>
      </c>
      <c r="T222" s="12">
        <v>197870.46905382909</v>
      </c>
      <c r="U222" s="12">
        <v>1123820</v>
      </c>
      <c r="V222" s="12">
        <v>2230690.4690538291</v>
      </c>
      <c r="W222" s="12">
        <v>1015905.975</v>
      </c>
      <c r="X222" s="12">
        <v>237072.1469248205</v>
      </c>
      <c r="Y222" s="12">
        <v>1160061.6000000001</v>
      </c>
      <c r="Z222" s="12">
        <v>2413039.7219248204</v>
      </c>
      <c r="AA222" s="12">
        <v>106905.97499999998</v>
      </c>
      <c r="AB222" s="12">
        <v>39201.677870991407</v>
      </c>
      <c r="AC222" s="12">
        <v>36241.600000000093</v>
      </c>
      <c r="AD222" s="12">
        <v>182349.25287099148</v>
      </c>
      <c r="AI222" s="12"/>
    </row>
    <row r="223" spans="1:35" x14ac:dyDescent="0.25">
      <c r="A223">
        <v>741</v>
      </c>
      <c r="B223" t="s">
        <v>811</v>
      </c>
      <c r="C223" s="19">
        <v>45000</v>
      </c>
      <c r="D223" s="19">
        <v>11190.93795100717</v>
      </c>
      <c r="E223" s="19">
        <v>142578</v>
      </c>
      <c r="F223" s="19">
        <v>198768.93795100716</v>
      </c>
      <c r="G223" s="19">
        <v>5292.375</v>
      </c>
      <c r="H223" s="19">
        <v>2217.1249036170721</v>
      </c>
      <c r="I223" s="19">
        <v>7758.3999999999942</v>
      </c>
      <c r="J223" s="19">
        <v>15267.899903617066</v>
      </c>
      <c r="K223" s="19">
        <v>50292.375</v>
      </c>
      <c r="L223" s="19">
        <v>13408.062854624242</v>
      </c>
      <c r="M223" s="19">
        <v>150336.4</v>
      </c>
      <c r="N223" s="19">
        <v>214036.83785462423</v>
      </c>
      <c r="P223">
        <v>743</v>
      </c>
      <c r="Q223">
        <v>1</v>
      </c>
      <c r="R223" t="s">
        <v>230</v>
      </c>
      <c r="S223" s="12">
        <v>63240</v>
      </c>
      <c r="T223" s="12">
        <v>14657.723670600784</v>
      </c>
      <c r="U223" s="12">
        <v>130621</v>
      </c>
      <c r="V223" s="12">
        <v>208518.7236706008</v>
      </c>
      <c r="W223" s="12">
        <v>70677.551000000007</v>
      </c>
      <c r="X223" s="12">
        <v>17561.680811878799</v>
      </c>
      <c r="Y223" s="12">
        <v>135262.6</v>
      </c>
      <c r="Z223" s="12">
        <v>223501.83181187883</v>
      </c>
      <c r="AA223" s="12">
        <v>7437.5510000000068</v>
      </c>
      <c r="AB223" s="12">
        <v>2903.9571412780151</v>
      </c>
      <c r="AC223" s="12">
        <v>4641.6000000000058</v>
      </c>
      <c r="AD223" s="12">
        <v>14983.108141278028</v>
      </c>
      <c r="AI223" s="12"/>
    </row>
    <row r="224" spans="1:35" x14ac:dyDescent="0.25">
      <c r="A224">
        <v>742</v>
      </c>
      <c r="B224" t="s">
        <v>812</v>
      </c>
      <c r="C224" s="19">
        <v>909000</v>
      </c>
      <c r="D224" s="19">
        <v>197870.46905382909</v>
      </c>
      <c r="E224" s="19">
        <v>1123820</v>
      </c>
      <c r="F224" s="19">
        <v>2230690.4690538291</v>
      </c>
      <c r="G224" s="19">
        <v>106905.97499999998</v>
      </c>
      <c r="H224" s="19">
        <v>39201.677870991407</v>
      </c>
      <c r="I224" s="19">
        <v>36241.600000000093</v>
      </c>
      <c r="J224" s="19">
        <v>182349.25287099148</v>
      </c>
      <c r="K224" s="19">
        <v>1015905.975</v>
      </c>
      <c r="L224" s="19">
        <v>237072.1469248205</v>
      </c>
      <c r="M224" s="19">
        <v>1160061.6000000001</v>
      </c>
      <c r="N224" s="19">
        <v>2413039.7219248204</v>
      </c>
      <c r="P224">
        <v>745</v>
      </c>
      <c r="Q224">
        <v>1</v>
      </c>
      <c r="R224" t="s">
        <v>231</v>
      </c>
      <c r="S224" s="12">
        <v>84360</v>
      </c>
      <c r="T224" s="12">
        <v>17704.793166748357</v>
      </c>
      <c r="U224" s="12">
        <v>221845</v>
      </c>
      <c r="V224" s="12">
        <v>323909.79316674836</v>
      </c>
      <c r="W224" s="12">
        <v>94281.438999999998</v>
      </c>
      <c r="X224" s="12">
        <v>21212.429257238375</v>
      </c>
      <c r="Y224" s="12">
        <v>229826.2</v>
      </c>
      <c r="Z224" s="12">
        <v>345320.06825723837</v>
      </c>
      <c r="AA224" s="12">
        <v>9921.4389999999985</v>
      </c>
      <c r="AB224" s="12">
        <v>3507.6360904900175</v>
      </c>
      <c r="AC224" s="12">
        <v>7981.2000000000116</v>
      </c>
      <c r="AD224" s="12">
        <v>21410.275090490028</v>
      </c>
      <c r="AI224" s="12"/>
    </row>
    <row r="225" spans="1:35" x14ac:dyDescent="0.25">
      <c r="A225">
        <v>743</v>
      </c>
      <c r="B225" t="s">
        <v>813</v>
      </c>
      <c r="C225" s="19">
        <v>63240</v>
      </c>
      <c r="D225" s="19">
        <v>14657.723670600784</v>
      </c>
      <c r="E225" s="19">
        <v>130621</v>
      </c>
      <c r="F225" s="19">
        <v>208518.7236706008</v>
      </c>
      <c r="G225" s="19">
        <v>7437.5510000000068</v>
      </c>
      <c r="H225" s="19">
        <v>2903.9571412780151</v>
      </c>
      <c r="I225" s="19">
        <v>4641.6000000000058</v>
      </c>
      <c r="J225" s="19">
        <v>14983.108141278028</v>
      </c>
      <c r="K225" s="19">
        <v>70677.551000000007</v>
      </c>
      <c r="L225" s="19">
        <v>17561.680811878799</v>
      </c>
      <c r="M225" s="19">
        <v>135262.6</v>
      </c>
      <c r="N225" s="19">
        <v>223501.83181187883</v>
      </c>
      <c r="P225">
        <v>748</v>
      </c>
      <c r="Q225">
        <v>1</v>
      </c>
      <c r="R225" t="s">
        <v>232</v>
      </c>
      <c r="S225" s="12">
        <v>138720</v>
      </c>
      <c r="T225" s="12">
        <v>24646.887512145422</v>
      </c>
      <c r="U225" s="12">
        <v>414444</v>
      </c>
      <c r="V225" s="12">
        <v>577810.88751214545</v>
      </c>
      <c r="W225" s="12">
        <v>155034.628</v>
      </c>
      <c r="X225" s="12">
        <v>29529.876618068243</v>
      </c>
      <c r="Y225" s="12">
        <v>426145.2</v>
      </c>
      <c r="Z225" s="12">
        <v>610709.70461806818</v>
      </c>
      <c r="AA225" s="12">
        <v>16314.627999999997</v>
      </c>
      <c r="AB225" s="12">
        <v>4882.9891059228212</v>
      </c>
      <c r="AC225" s="12">
        <v>11701.200000000012</v>
      </c>
      <c r="AD225" s="12">
        <v>32898.817105922833</v>
      </c>
      <c r="AI225" s="12"/>
    </row>
    <row r="226" spans="1:35" x14ac:dyDescent="0.25">
      <c r="A226">
        <v>745</v>
      </c>
      <c r="B226" t="s">
        <v>814</v>
      </c>
      <c r="C226" s="19">
        <v>84360</v>
      </c>
      <c r="D226" s="19">
        <v>17704.793166748357</v>
      </c>
      <c r="E226" s="19">
        <v>221845</v>
      </c>
      <c r="F226" s="19">
        <v>323909.79316674836</v>
      </c>
      <c r="G226" s="19">
        <v>9921.4389999999985</v>
      </c>
      <c r="H226" s="19">
        <v>3507.6360904900175</v>
      </c>
      <c r="I226" s="19">
        <v>7981.2000000000116</v>
      </c>
      <c r="J226" s="19">
        <v>21410.275090490028</v>
      </c>
      <c r="K226" s="19">
        <v>94281.438999999998</v>
      </c>
      <c r="L226" s="19">
        <v>21212.429257238375</v>
      </c>
      <c r="M226" s="19">
        <v>229826.2</v>
      </c>
      <c r="N226" s="19">
        <v>345320.06825723837</v>
      </c>
      <c r="P226">
        <v>750</v>
      </c>
      <c r="Q226">
        <v>1</v>
      </c>
      <c r="R226" t="s">
        <v>233</v>
      </c>
      <c r="S226" s="12">
        <v>92760</v>
      </c>
      <c r="T226" s="12">
        <v>21818.645748358947</v>
      </c>
      <c r="U226" s="12">
        <v>310063</v>
      </c>
      <c r="V226" s="12">
        <v>424641.64574835892</v>
      </c>
      <c r="W226" s="12">
        <v>103669.349</v>
      </c>
      <c r="X226" s="12">
        <v>26141.309591520701</v>
      </c>
      <c r="Y226" s="12">
        <v>318550.2</v>
      </c>
      <c r="Z226" s="12">
        <v>448360.85859152069</v>
      </c>
      <c r="AA226" s="12">
        <v>10909.349000000002</v>
      </c>
      <c r="AB226" s="12">
        <v>4322.6638431617539</v>
      </c>
      <c r="AC226" s="12">
        <v>8487.2000000000116</v>
      </c>
      <c r="AD226" s="12">
        <v>23719.212843161768</v>
      </c>
      <c r="AI226" s="12"/>
    </row>
    <row r="227" spans="1:35" x14ac:dyDescent="0.25">
      <c r="A227">
        <v>748</v>
      </c>
      <c r="B227" t="s">
        <v>815</v>
      </c>
      <c r="C227" s="19">
        <v>138720</v>
      </c>
      <c r="D227" s="19">
        <v>24646.887512145422</v>
      </c>
      <c r="E227" s="19">
        <v>414444</v>
      </c>
      <c r="F227" s="19">
        <v>577810.88751214545</v>
      </c>
      <c r="G227" s="19">
        <v>16314.627999999997</v>
      </c>
      <c r="H227" s="19">
        <v>4882.9891059228212</v>
      </c>
      <c r="I227" s="19">
        <v>11701.200000000012</v>
      </c>
      <c r="J227" s="19">
        <v>32898.817105922833</v>
      </c>
      <c r="K227" s="19">
        <v>155034.628</v>
      </c>
      <c r="L227" s="19">
        <v>29529.876618068243</v>
      </c>
      <c r="M227" s="19">
        <v>426145.2</v>
      </c>
      <c r="N227" s="19">
        <v>610709.70461806818</v>
      </c>
      <c r="P227">
        <v>756</v>
      </c>
      <c r="Q227">
        <v>1</v>
      </c>
      <c r="R227" t="s">
        <v>234</v>
      </c>
      <c r="S227" s="12">
        <v>26640</v>
      </c>
      <c r="T227" s="12">
        <v>6894.3136801338569</v>
      </c>
      <c r="U227" s="12">
        <v>92522</v>
      </c>
      <c r="V227" s="12">
        <v>126056.31368013386</v>
      </c>
      <c r="W227" s="12">
        <v>29773.085999999999</v>
      </c>
      <c r="X227" s="12">
        <v>8260.2004914530953</v>
      </c>
      <c r="Y227" s="12">
        <v>96122</v>
      </c>
      <c r="Z227" s="12">
        <v>134155.28649145309</v>
      </c>
      <c r="AA227" s="12">
        <v>3133.0859999999993</v>
      </c>
      <c r="AB227" s="12">
        <v>1365.8868113192384</v>
      </c>
      <c r="AC227" s="12">
        <v>3600</v>
      </c>
      <c r="AD227" s="12">
        <v>8098.9728113192377</v>
      </c>
      <c r="AI227" s="12"/>
    </row>
    <row r="228" spans="1:35" x14ac:dyDescent="0.25">
      <c r="A228">
        <v>750</v>
      </c>
      <c r="B228" t="s">
        <v>816</v>
      </c>
      <c r="C228" s="19">
        <v>92760</v>
      </c>
      <c r="D228" s="19">
        <v>21818.645748358947</v>
      </c>
      <c r="E228" s="19">
        <v>310063</v>
      </c>
      <c r="F228" s="19">
        <v>424641.64574835892</v>
      </c>
      <c r="G228" s="19">
        <v>10909.349000000002</v>
      </c>
      <c r="H228" s="19">
        <v>4322.6638431617539</v>
      </c>
      <c r="I228" s="19">
        <v>8487.2000000000116</v>
      </c>
      <c r="J228" s="19">
        <v>23719.212843161768</v>
      </c>
      <c r="K228" s="19">
        <v>103669.349</v>
      </c>
      <c r="L228" s="19">
        <v>26141.309591520701</v>
      </c>
      <c r="M228" s="19">
        <v>318550.2</v>
      </c>
      <c r="N228" s="19">
        <v>448360.85859152069</v>
      </c>
      <c r="P228">
        <v>761</v>
      </c>
      <c r="Q228">
        <v>1</v>
      </c>
      <c r="R228" t="s">
        <v>235</v>
      </c>
      <c r="S228" s="12">
        <v>262080</v>
      </c>
      <c r="T228" s="12">
        <v>67273.338747654983</v>
      </c>
      <c r="U228" s="12">
        <v>499327</v>
      </c>
      <c r="V228" s="12">
        <v>828680.33874765504</v>
      </c>
      <c r="W228" s="12">
        <v>292902.79200000002</v>
      </c>
      <c r="X228" s="12">
        <v>80601.390010191884</v>
      </c>
      <c r="Y228" s="12">
        <v>518392.2</v>
      </c>
      <c r="Z228" s="12">
        <v>891896.38201019191</v>
      </c>
      <c r="AA228" s="12">
        <v>30822.792000000016</v>
      </c>
      <c r="AB228" s="12">
        <v>13328.051262536901</v>
      </c>
      <c r="AC228" s="12">
        <v>19065.200000000012</v>
      </c>
      <c r="AD228" s="12">
        <v>63216.043262536929</v>
      </c>
      <c r="AI228" s="12"/>
    </row>
    <row r="229" spans="1:35" x14ac:dyDescent="0.25">
      <c r="A229">
        <v>756</v>
      </c>
      <c r="B229" t="s">
        <v>817</v>
      </c>
      <c r="C229" s="19">
        <v>26640</v>
      </c>
      <c r="D229" s="19">
        <v>6894.3136801338569</v>
      </c>
      <c r="E229" s="19">
        <v>92522</v>
      </c>
      <c r="F229" s="19">
        <v>126056.31368013386</v>
      </c>
      <c r="G229" s="19">
        <v>3133.0859999999993</v>
      </c>
      <c r="H229" s="19">
        <v>1365.8868113192384</v>
      </c>
      <c r="I229" s="19">
        <v>3600</v>
      </c>
      <c r="J229" s="19">
        <v>8098.9728113192377</v>
      </c>
      <c r="K229" s="19">
        <v>29773.085999999999</v>
      </c>
      <c r="L229" s="19">
        <v>8260.2004914530953</v>
      </c>
      <c r="M229" s="19">
        <v>96122</v>
      </c>
      <c r="N229" s="19">
        <v>134155.28649145309</v>
      </c>
      <c r="P229">
        <v>763</v>
      </c>
      <c r="Q229">
        <v>1</v>
      </c>
      <c r="R229" t="s">
        <v>236</v>
      </c>
      <c r="S229" s="12">
        <v>25200</v>
      </c>
      <c r="T229" s="12">
        <v>7552.0398010394329</v>
      </c>
      <c r="U229" s="12">
        <v>115666</v>
      </c>
      <c r="V229" s="12">
        <v>148418.03980103944</v>
      </c>
      <c r="W229" s="12">
        <v>28163.73</v>
      </c>
      <c r="X229" s="12">
        <v>9048.2339171443236</v>
      </c>
      <c r="Y229" s="12">
        <v>120334.39999999999</v>
      </c>
      <c r="Z229" s="12">
        <v>157546.36391714431</v>
      </c>
      <c r="AA229" s="12">
        <v>2963.7299999999996</v>
      </c>
      <c r="AB229" s="12">
        <v>1496.1941161048908</v>
      </c>
      <c r="AC229" s="12">
        <v>4668.3999999999942</v>
      </c>
      <c r="AD229" s="12">
        <v>9128.3241161048845</v>
      </c>
      <c r="AI229" s="12"/>
    </row>
    <row r="230" spans="1:35" x14ac:dyDescent="0.25">
      <c r="A230">
        <v>761</v>
      </c>
      <c r="B230" t="s">
        <v>818</v>
      </c>
      <c r="C230" s="19">
        <v>262080</v>
      </c>
      <c r="D230" s="19">
        <v>67273.338747654983</v>
      </c>
      <c r="E230" s="19">
        <v>499327</v>
      </c>
      <c r="F230" s="19">
        <v>828680.33874765504</v>
      </c>
      <c r="G230" s="19">
        <v>30822.792000000016</v>
      </c>
      <c r="H230" s="19">
        <v>13328.051262536901</v>
      </c>
      <c r="I230" s="19">
        <v>19065.200000000012</v>
      </c>
      <c r="J230" s="19">
        <v>63216.043262536929</v>
      </c>
      <c r="K230" s="19">
        <v>292902.79200000002</v>
      </c>
      <c r="L230" s="19">
        <v>80601.390010191884</v>
      </c>
      <c r="M230" s="19">
        <v>518392.2</v>
      </c>
      <c r="N230" s="19">
        <v>891896.38201019191</v>
      </c>
      <c r="P230">
        <v>768</v>
      </c>
      <c r="Q230">
        <v>1</v>
      </c>
      <c r="R230" t="s">
        <v>237</v>
      </c>
      <c r="S230" s="12">
        <v>18000</v>
      </c>
      <c r="T230" s="12">
        <v>3201.9529274296856</v>
      </c>
      <c r="U230" s="12">
        <v>39586</v>
      </c>
      <c r="V230" s="12">
        <v>60787.952927429687</v>
      </c>
      <c r="W230" s="12">
        <v>20116.95</v>
      </c>
      <c r="X230" s="12">
        <v>3836.317053715904</v>
      </c>
      <c r="Y230" s="12">
        <v>41512</v>
      </c>
      <c r="Z230" s="12">
        <v>65465.267053715907</v>
      </c>
      <c r="AA230" s="12">
        <v>2116.9500000000007</v>
      </c>
      <c r="AB230" s="12">
        <v>634.36412628621838</v>
      </c>
      <c r="AC230" s="12">
        <v>1926</v>
      </c>
      <c r="AD230" s="12">
        <v>4677.3141262862191</v>
      </c>
      <c r="AI230" s="12"/>
    </row>
    <row r="231" spans="1:35" x14ac:dyDescent="0.25">
      <c r="A231">
        <v>763</v>
      </c>
      <c r="B231" t="s">
        <v>819</v>
      </c>
      <c r="C231" s="19">
        <v>25200</v>
      </c>
      <c r="D231" s="19">
        <v>7552.0398010394329</v>
      </c>
      <c r="E231" s="19">
        <v>115666</v>
      </c>
      <c r="F231" s="19">
        <v>148418.03980103944</v>
      </c>
      <c r="G231" s="19">
        <v>2963.7299999999996</v>
      </c>
      <c r="H231" s="19">
        <v>1496.1941161048908</v>
      </c>
      <c r="I231" s="19">
        <v>4668.3999999999942</v>
      </c>
      <c r="J231" s="19">
        <v>9128.3241161048845</v>
      </c>
      <c r="K231" s="19">
        <v>28163.73</v>
      </c>
      <c r="L231" s="19">
        <v>9048.2339171443236</v>
      </c>
      <c r="M231" s="19">
        <v>120334.39999999999</v>
      </c>
      <c r="N231" s="19">
        <v>157546.36391714431</v>
      </c>
      <c r="P231">
        <v>771</v>
      </c>
      <c r="Q231">
        <v>1</v>
      </c>
      <c r="R231" t="s">
        <v>238</v>
      </c>
      <c r="S231" s="12">
        <v>18000</v>
      </c>
      <c r="T231" s="12">
        <v>1988.4541958023249</v>
      </c>
      <c r="U231" s="12">
        <v>22994</v>
      </c>
      <c r="V231" s="12">
        <v>42982.454195802326</v>
      </c>
      <c r="W231" s="12">
        <v>20116.95</v>
      </c>
      <c r="X231" s="12">
        <v>2382.4025258275501</v>
      </c>
      <c r="Y231" s="12">
        <v>24917.599999999999</v>
      </c>
      <c r="Z231" s="12">
        <v>47416.952525827553</v>
      </c>
      <c r="AA231" s="12">
        <v>2116.9500000000007</v>
      </c>
      <c r="AB231" s="12">
        <v>393.94833002522523</v>
      </c>
      <c r="AC231" s="12">
        <v>1923.5999999999985</v>
      </c>
      <c r="AD231" s="12">
        <v>4434.4983300252243</v>
      </c>
      <c r="AI231" s="12"/>
    </row>
    <row r="232" spans="1:35" x14ac:dyDescent="0.25">
      <c r="A232">
        <v>768</v>
      </c>
      <c r="B232" t="s">
        <v>820</v>
      </c>
      <c r="C232" s="19">
        <v>18000</v>
      </c>
      <c r="D232" s="19">
        <v>3201.9529274296856</v>
      </c>
      <c r="E232" s="19">
        <v>39586</v>
      </c>
      <c r="F232" s="19">
        <v>60787.952927429687</v>
      </c>
      <c r="G232" s="19">
        <v>2116.9500000000007</v>
      </c>
      <c r="H232" s="19">
        <v>634.36412628621838</v>
      </c>
      <c r="I232" s="19">
        <v>1926</v>
      </c>
      <c r="J232" s="19">
        <v>4677.3141262862191</v>
      </c>
      <c r="K232" s="19">
        <v>20116.95</v>
      </c>
      <c r="L232" s="19">
        <v>3836.317053715904</v>
      </c>
      <c r="M232" s="19">
        <v>41512</v>
      </c>
      <c r="N232" s="19">
        <v>65465.267053715907</v>
      </c>
      <c r="P232">
        <v>775</v>
      </c>
      <c r="Q232">
        <v>1</v>
      </c>
      <c r="R232" t="s">
        <v>239</v>
      </c>
      <c r="S232" s="12">
        <v>26400</v>
      </c>
      <c r="T232" s="12">
        <v>8426.2853672076144</v>
      </c>
      <c r="U232" s="12">
        <v>89459</v>
      </c>
      <c r="V232" s="12">
        <v>124285.28536720762</v>
      </c>
      <c r="W232" s="12">
        <v>29504.86</v>
      </c>
      <c r="X232" s="12">
        <v>10095.683161602388</v>
      </c>
      <c r="Y232" s="12">
        <v>95757</v>
      </c>
      <c r="Z232" s="12">
        <v>135357.5431616024</v>
      </c>
      <c r="AA232" s="12">
        <v>3104.8600000000006</v>
      </c>
      <c r="AB232" s="12">
        <v>1669.3977943947739</v>
      </c>
      <c r="AC232" s="12">
        <v>6298</v>
      </c>
      <c r="AD232" s="12">
        <v>11072.257794394774</v>
      </c>
      <c r="AI232" s="12"/>
    </row>
    <row r="233" spans="1:35" x14ac:dyDescent="0.25">
      <c r="A233">
        <v>771</v>
      </c>
      <c r="B233" t="s">
        <v>821</v>
      </c>
      <c r="C233" s="19">
        <v>18000</v>
      </c>
      <c r="D233" s="19">
        <v>1988.4541958023249</v>
      </c>
      <c r="E233" s="19">
        <v>22994</v>
      </c>
      <c r="F233" s="19">
        <v>42982.454195802326</v>
      </c>
      <c r="G233" s="19">
        <v>2116.9500000000007</v>
      </c>
      <c r="H233" s="19">
        <v>393.94833002522523</v>
      </c>
      <c r="I233" s="19">
        <v>1923.5999999999985</v>
      </c>
      <c r="J233" s="19">
        <v>4434.4983300252243</v>
      </c>
      <c r="K233" s="19">
        <v>20116.95</v>
      </c>
      <c r="L233" s="19">
        <v>2382.4025258275501</v>
      </c>
      <c r="M233" s="19">
        <v>24917.599999999999</v>
      </c>
      <c r="N233" s="19">
        <v>47416.952525827553</v>
      </c>
      <c r="P233">
        <v>777</v>
      </c>
      <c r="Q233">
        <v>1</v>
      </c>
      <c r="R233" t="s">
        <v>240</v>
      </c>
      <c r="S233" s="12">
        <v>33120</v>
      </c>
      <c r="T233" s="12">
        <v>9453.9938802895995</v>
      </c>
      <c r="U233" s="12">
        <v>97473</v>
      </c>
      <c r="V233" s="12">
        <v>140046.99388028961</v>
      </c>
      <c r="W233" s="12">
        <v>37015.188000000002</v>
      </c>
      <c r="X233" s="12">
        <v>11326.999106696652</v>
      </c>
      <c r="Y233" s="12">
        <v>101903.8</v>
      </c>
      <c r="Z233" s="12">
        <v>150245.98710669664</v>
      </c>
      <c r="AA233" s="12">
        <v>3895.1880000000019</v>
      </c>
      <c r="AB233" s="12">
        <v>1873.0052264070528</v>
      </c>
      <c r="AC233" s="12">
        <v>4430.8000000000029</v>
      </c>
      <c r="AD233" s="12">
        <v>10198.993226407058</v>
      </c>
      <c r="AI233" s="12"/>
    </row>
    <row r="234" spans="1:35" x14ac:dyDescent="0.25">
      <c r="A234">
        <v>775</v>
      </c>
      <c r="B234" t="s">
        <v>822</v>
      </c>
      <c r="C234" s="19">
        <v>26400</v>
      </c>
      <c r="D234" s="19">
        <v>8426.2853672076144</v>
      </c>
      <c r="E234" s="19">
        <v>89459</v>
      </c>
      <c r="F234" s="19">
        <v>124285.28536720762</v>
      </c>
      <c r="G234" s="19">
        <v>3104.8600000000006</v>
      </c>
      <c r="H234" s="19">
        <v>1669.3977943947739</v>
      </c>
      <c r="I234" s="19">
        <v>6298</v>
      </c>
      <c r="J234" s="19">
        <v>11072.257794394774</v>
      </c>
      <c r="K234" s="19">
        <v>29504.86</v>
      </c>
      <c r="L234" s="19">
        <v>10095.683161602388</v>
      </c>
      <c r="M234" s="19">
        <v>95757</v>
      </c>
      <c r="N234" s="19">
        <v>135357.5431616024</v>
      </c>
      <c r="P234">
        <v>786</v>
      </c>
      <c r="Q234">
        <v>1</v>
      </c>
      <c r="R234" t="s">
        <v>241</v>
      </c>
      <c r="S234" s="12">
        <v>18000</v>
      </c>
      <c r="T234" s="12">
        <v>5142.9815790608809</v>
      </c>
      <c r="U234" s="12">
        <v>56495</v>
      </c>
      <c r="V234" s="12">
        <v>79637.981579060885</v>
      </c>
      <c r="W234" s="12">
        <v>20116.95</v>
      </c>
      <c r="X234" s="12">
        <v>6161.8981870967164</v>
      </c>
      <c r="Y234" s="12">
        <v>60520.6</v>
      </c>
      <c r="Z234" s="12">
        <v>86799.448187096714</v>
      </c>
      <c r="AA234" s="12">
        <v>2116.9500000000007</v>
      </c>
      <c r="AB234" s="12">
        <v>1018.9166080358355</v>
      </c>
      <c r="AC234" s="12">
        <v>4025.5999999999985</v>
      </c>
      <c r="AD234" s="12">
        <v>7161.4666080358347</v>
      </c>
      <c r="AI234" s="12"/>
    </row>
    <row r="235" spans="1:35" x14ac:dyDescent="0.25">
      <c r="A235">
        <v>777</v>
      </c>
      <c r="B235" t="s">
        <v>823</v>
      </c>
      <c r="C235" s="19">
        <v>33120</v>
      </c>
      <c r="D235" s="19">
        <v>9453.9938802895995</v>
      </c>
      <c r="E235" s="19">
        <v>97473</v>
      </c>
      <c r="F235" s="19">
        <v>140046.99388028961</v>
      </c>
      <c r="G235" s="19">
        <v>3895.1880000000019</v>
      </c>
      <c r="H235" s="19">
        <v>1873.0052264070528</v>
      </c>
      <c r="I235" s="19">
        <v>4430.8000000000029</v>
      </c>
      <c r="J235" s="19">
        <v>10198.993226407058</v>
      </c>
      <c r="K235" s="19">
        <v>37015.188000000002</v>
      </c>
      <c r="L235" s="19">
        <v>11326.999106696652</v>
      </c>
      <c r="M235" s="19">
        <v>101903.8</v>
      </c>
      <c r="N235" s="19">
        <v>150245.98710669664</v>
      </c>
      <c r="P235">
        <v>787</v>
      </c>
      <c r="Q235">
        <v>1</v>
      </c>
      <c r="R235" t="s">
        <v>242</v>
      </c>
      <c r="S235" s="12">
        <v>20280</v>
      </c>
      <c r="T235" s="12">
        <v>5294.1362388761854</v>
      </c>
      <c r="U235" s="12">
        <v>64993</v>
      </c>
      <c r="V235" s="12">
        <v>90567.136238876177</v>
      </c>
      <c r="W235" s="12">
        <v>22665.097000000002</v>
      </c>
      <c r="X235" s="12">
        <v>6342.9992876877131</v>
      </c>
      <c r="Y235" s="12">
        <v>69019.8</v>
      </c>
      <c r="Z235" s="12">
        <v>98027.896287687719</v>
      </c>
      <c r="AA235" s="12">
        <v>2385.0970000000016</v>
      </c>
      <c r="AB235" s="12">
        <v>1048.8630488115277</v>
      </c>
      <c r="AC235" s="12">
        <v>4026.8000000000029</v>
      </c>
      <c r="AD235" s="12">
        <v>7460.7600488115322</v>
      </c>
      <c r="AI235" s="12"/>
    </row>
    <row r="236" spans="1:35" x14ac:dyDescent="0.25">
      <c r="A236">
        <v>786</v>
      </c>
      <c r="B236" t="s">
        <v>824</v>
      </c>
      <c r="C236" s="19">
        <v>18000</v>
      </c>
      <c r="D236" s="19">
        <v>5142.9815790608809</v>
      </c>
      <c r="E236" s="19">
        <v>56495</v>
      </c>
      <c r="F236" s="19">
        <v>79637.981579060885</v>
      </c>
      <c r="G236" s="19">
        <v>2116.9500000000007</v>
      </c>
      <c r="H236" s="19">
        <v>1018.9166080358355</v>
      </c>
      <c r="I236" s="19">
        <v>4025.5999999999985</v>
      </c>
      <c r="J236" s="19">
        <v>7161.4666080358347</v>
      </c>
      <c r="K236" s="19">
        <v>20116.95</v>
      </c>
      <c r="L236" s="19">
        <v>6161.8981870967164</v>
      </c>
      <c r="M236" s="19">
        <v>60520.6</v>
      </c>
      <c r="N236" s="19">
        <v>86799.448187096714</v>
      </c>
      <c r="P236">
        <v>801</v>
      </c>
      <c r="Q236">
        <v>1</v>
      </c>
      <c r="R236" t="s">
        <v>243</v>
      </c>
      <c r="S236" s="12">
        <v>18000</v>
      </c>
      <c r="T236" s="12">
        <v>1483.6583401724365</v>
      </c>
      <c r="U236" s="12">
        <v>17038</v>
      </c>
      <c r="V236" s="12">
        <v>36521.658340172435</v>
      </c>
      <c r="W236" s="12">
        <v>20116.95</v>
      </c>
      <c r="X236" s="12">
        <v>1777.597585377476</v>
      </c>
      <c r="Y236" s="12">
        <v>17862.400000000001</v>
      </c>
      <c r="Z236" s="12">
        <v>39756.947585377478</v>
      </c>
      <c r="AA236" s="12">
        <v>2116.9500000000007</v>
      </c>
      <c r="AB236" s="12">
        <v>293.93924520503947</v>
      </c>
      <c r="AC236" s="12">
        <v>824.40000000000146</v>
      </c>
      <c r="AD236" s="12">
        <v>3235.2892452050419</v>
      </c>
      <c r="AI236" s="12"/>
    </row>
    <row r="237" spans="1:35" x14ac:dyDescent="0.25">
      <c r="A237">
        <v>787</v>
      </c>
      <c r="B237" t="s">
        <v>825</v>
      </c>
      <c r="C237" s="19">
        <v>20280</v>
      </c>
      <c r="D237" s="19">
        <v>5294.1362388761854</v>
      </c>
      <c r="E237" s="19">
        <v>64993</v>
      </c>
      <c r="F237" s="19">
        <v>90567.136238876177</v>
      </c>
      <c r="G237" s="19">
        <v>2385.0970000000016</v>
      </c>
      <c r="H237" s="19">
        <v>1048.8630488115277</v>
      </c>
      <c r="I237" s="19">
        <v>4026.8000000000029</v>
      </c>
      <c r="J237" s="19">
        <v>7460.7600488115322</v>
      </c>
      <c r="K237" s="19">
        <v>22665.097000000002</v>
      </c>
      <c r="L237" s="19">
        <v>6342.9992876877131</v>
      </c>
      <c r="M237" s="19">
        <v>69019.8</v>
      </c>
      <c r="N237" s="19">
        <v>98027.896287687719</v>
      </c>
      <c r="P237">
        <v>803</v>
      </c>
      <c r="Q237">
        <v>1</v>
      </c>
      <c r="R237" t="s">
        <v>244</v>
      </c>
      <c r="S237" s="12">
        <v>18000</v>
      </c>
      <c r="T237" s="12">
        <v>4196.6239266959437</v>
      </c>
      <c r="U237" s="12">
        <v>55902</v>
      </c>
      <c r="V237" s="12">
        <v>78098.623926695946</v>
      </c>
      <c r="W237" s="12">
        <v>20116.95</v>
      </c>
      <c r="X237" s="12">
        <v>5028.0501627922185</v>
      </c>
      <c r="Y237" s="12">
        <v>58359.6</v>
      </c>
      <c r="Z237" s="12">
        <v>83504.600162792223</v>
      </c>
      <c r="AA237" s="12">
        <v>2116.9500000000007</v>
      </c>
      <c r="AB237" s="12">
        <v>831.42623609627481</v>
      </c>
      <c r="AC237" s="12">
        <v>2457.5999999999985</v>
      </c>
      <c r="AD237" s="12">
        <v>5405.9762360962741</v>
      </c>
      <c r="AI237" s="12"/>
    </row>
    <row r="238" spans="1:35" x14ac:dyDescent="0.25">
      <c r="A238">
        <v>801</v>
      </c>
      <c r="B238" t="s">
        <v>826</v>
      </c>
      <c r="C238" s="19">
        <v>18000</v>
      </c>
      <c r="D238" s="19">
        <v>1483.6583401724365</v>
      </c>
      <c r="E238" s="19">
        <v>17038</v>
      </c>
      <c r="F238" s="19">
        <v>36521.658340172435</v>
      </c>
      <c r="G238" s="19">
        <v>2116.9500000000007</v>
      </c>
      <c r="H238" s="19">
        <v>293.93924520503947</v>
      </c>
      <c r="I238" s="19">
        <v>824.40000000000146</v>
      </c>
      <c r="J238" s="19">
        <v>3235.2892452050419</v>
      </c>
      <c r="K238" s="19">
        <v>20116.95</v>
      </c>
      <c r="L238" s="19">
        <v>1777.597585377476</v>
      </c>
      <c r="M238" s="19">
        <v>17862.400000000001</v>
      </c>
      <c r="N238" s="19">
        <v>39756.947585377478</v>
      </c>
      <c r="P238">
        <v>811</v>
      </c>
      <c r="Q238">
        <v>1</v>
      </c>
      <c r="R238" t="s">
        <v>245</v>
      </c>
      <c r="S238" s="12">
        <v>29640</v>
      </c>
      <c r="T238" s="12">
        <v>7750.6200050258685</v>
      </c>
      <c r="U238" s="12">
        <v>79532</v>
      </c>
      <c r="V238" s="12">
        <v>116922.62000502588</v>
      </c>
      <c r="W238" s="12">
        <v>33125.911</v>
      </c>
      <c r="X238" s="12">
        <v>9286.1564101820586</v>
      </c>
      <c r="Y238" s="12">
        <v>82000</v>
      </c>
      <c r="Z238" s="12">
        <v>124412.06741018206</v>
      </c>
      <c r="AA238" s="12">
        <v>3485.9110000000001</v>
      </c>
      <c r="AB238" s="12">
        <v>1535.5364051561901</v>
      </c>
      <c r="AC238" s="12">
        <v>2468</v>
      </c>
      <c r="AD238" s="12">
        <v>7489.4474051561901</v>
      </c>
      <c r="AI238" s="12"/>
    </row>
    <row r="239" spans="1:35" x14ac:dyDescent="0.25">
      <c r="A239">
        <v>803</v>
      </c>
      <c r="B239" t="s">
        <v>827</v>
      </c>
      <c r="C239" s="19">
        <v>18000</v>
      </c>
      <c r="D239" s="19">
        <v>4196.6239266959437</v>
      </c>
      <c r="E239" s="19">
        <v>55902</v>
      </c>
      <c r="F239" s="19">
        <v>78098.623926695946</v>
      </c>
      <c r="G239" s="19">
        <v>2116.9500000000007</v>
      </c>
      <c r="H239" s="19">
        <v>831.42623609627481</v>
      </c>
      <c r="I239" s="19">
        <v>2457.5999999999985</v>
      </c>
      <c r="J239" s="19">
        <v>5405.9762360962741</v>
      </c>
      <c r="K239" s="19">
        <v>20116.95</v>
      </c>
      <c r="L239" s="19">
        <v>5028.0501627922185</v>
      </c>
      <c r="M239" s="19">
        <v>58359.6</v>
      </c>
      <c r="N239" s="19">
        <v>83504.600162792223</v>
      </c>
      <c r="P239">
        <v>813</v>
      </c>
      <c r="Q239">
        <v>1</v>
      </c>
      <c r="R239" t="s">
        <v>246</v>
      </c>
      <c r="S239" s="12">
        <v>62280</v>
      </c>
      <c r="T239" s="12">
        <v>14185.610207694544</v>
      </c>
      <c r="U239" s="12">
        <v>145964</v>
      </c>
      <c r="V239" s="12">
        <v>222429.61020769452</v>
      </c>
      <c r="W239" s="12">
        <v>69604.646999999997</v>
      </c>
      <c r="X239" s="12">
        <v>16996.033230516645</v>
      </c>
      <c r="Y239" s="12">
        <v>150548.4</v>
      </c>
      <c r="Z239" s="12">
        <v>237149.08023051664</v>
      </c>
      <c r="AA239" s="12">
        <v>7324.6469999999972</v>
      </c>
      <c r="AB239" s="12">
        <v>2810.4230228221004</v>
      </c>
      <c r="AC239" s="12">
        <v>4584.3999999999942</v>
      </c>
      <c r="AD239" s="12">
        <v>14719.470022822092</v>
      </c>
      <c r="AI239" s="12"/>
    </row>
    <row r="240" spans="1:35" x14ac:dyDescent="0.25">
      <c r="A240">
        <v>811</v>
      </c>
      <c r="B240" t="s">
        <v>828</v>
      </c>
      <c r="C240" s="19">
        <v>29640</v>
      </c>
      <c r="D240" s="19">
        <v>7750.6200050258685</v>
      </c>
      <c r="E240" s="19">
        <v>79532</v>
      </c>
      <c r="F240" s="19">
        <v>116922.62000502588</v>
      </c>
      <c r="G240" s="19">
        <v>3485.9110000000001</v>
      </c>
      <c r="H240" s="19">
        <v>1535.5364051561901</v>
      </c>
      <c r="I240" s="19">
        <v>2468</v>
      </c>
      <c r="J240" s="19">
        <v>7489.4474051561901</v>
      </c>
      <c r="K240" s="19">
        <v>33125.911</v>
      </c>
      <c r="L240" s="19">
        <v>9286.1564101820586</v>
      </c>
      <c r="M240" s="19">
        <v>82000</v>
      </c>
      <c r="N240" s="19">
        <v>124412.06741018206</v>
      </c>
      <c r="P240">
        <v>815</v>
      </c>
      <c r="Q240">
        <v>2</v>
      </c>
      <c r="R240" t="s">
        <v>247</v>
      </c>
      <c r="S240" s="12">
        <v>0</v>
      </c>
      <c r="T240" s="12">
        <v>336.58975726860496</v>
      </c>
      <c r="U240" s="12">
        <v>0</v>
      </c>
      <c r="V240" s="12">
        <v>336.58975726860496</v>
      </c>
      <c r="W240" s="12">
        <v>0</v>
      </c>
      <c r="X240" s="12">
        <v>403.2742064550547</v>
      </c>
      <c r="Y240" s="12">
        <v>0</v>
      </c>
      <c r="Z240" s="12">
        <v>403.2742064550547</v>
      </c>
      <c r="AA240" s="12">
        <v>0</v>
      </c>
      <c r="AB240" s="12">
        <v>66.68444918644974</v>
      </c>
      <c r="AC240" s="12">
        <v>0</v>
      </c>
      <c r="AD240" s="12">
        <v>66.68444918644974</v>
      </c>
      <c r="AI240" s="12"/>
    </row>
    <row r="241" spans="1:35" x14ac:dyDescent="0.25">
      <c r="A241">
        <v>813</v>
      </c>
      <c r="B241" t="s">
        <v>829</v>
      </c>
      <c r="C241" s="19">
        <v>62280</v>
      </c>
      <c r="D241" s="19">
        <v>14185.610207694544</v>
      </c>
      <c r="E241" s="19">
        <v>145964</v>
      </c>
      <c r="F241" s="19">
        <v>222429.61020769452</v>
      </c>
      <c r="G241" s="19">
        <v>7324.6469999999972</v>
      </c>
      <c r="H241" s="19">
        <v>2810.4230228221004</v>
      </c>
      <c r="I241" s="19">
        <v>4584.3999999999942</v>
      </c>
      <c r="J241" s="19">
        <v>14719.470022822092</v>
      </c>
      <c r="K241" s="19">
        <v>69604.646999999997</v>
      </c>
      <c r="L241" s="19">
        <v>16996.033230516645</v>
      </c>
      <c r="M241" s="19">
        <v>150548.4</v>
      </c>
      <c r="N241" s="19">
        <v>237149.08023051664</v>
      </c>
      <c r="P241">
        <v>818</v>
      </c>
      <c r="Q241">
        <v>1</v>
      </c>
      <c r="R241" t="s">
        <v>248</v>
      </c>
      <c r="S241" s="12">
        <v>18000</v>
      </c>
      <c r="T241" s="12">
        <v>7148.6647739552218</v>
      </c>
      <c r="U241" s="12">
        <v>67015</v>
      </c>
      <c r="V241" s="12">
        <v>92163.664773955214</v>
      </c>
      <c r="W241" s="12">
        <v>20116.95</v>
      </c>
      <c r="X241" s="12">
        <v>8564.9430847933036</v>
      </c>
      <c r="Y241" s="12">
        <v>71068.2</v>
      </c>
      <c r="Z241" s="12">
        <v>99750.093084793305</v>
      </c>
      <c r="AA241" s="12">
        <v>2116.9500000000007</v>
      </c>
      <c r="AB241" s="12">
        <v>1416.2783108380818</v>
      </c>
      <c r="AC241" s="12">
        <v>4053.1999999999971</v>
      </c>
      <c r="AD241" s="12">
        <v>7586.4283108380796</v>
      </c>
      <c r="AI241" s="12"/>
    </row>
    <row r="242" spans="1:35" x14ac:dyDescent="0.25">
      <c r="A242">
        <v>815</v>
      </c>
      <c r="B242" t="s">
        <v>830</v>
      </c>
      <c r="C242" s="19">
        <v>0</v>
      </c>
      <c r="D242" s="19">
        <v>336.58975726860496</v>
      </c>
      <c r="E242" s="19">
        <v>0</v>
      </c>
      <c r="F242" s="19">
        <v>336.58975726860496</v>
      </c>
      <c r="G242" s="19">
        <v>0</v>
      </c>
      <c r="H242" s="19">
        <v>66.68444918644974</v>
      </c>
      <c r="I242" s="19">
        <v>0</v>
      </c>
      <c r="J242" s="19">
        <v>66.68444918644974</v>
      </c>
      <c r="K242" s="19">
        <v>0</v>
      </c>
      <c r="L242" s="19">
        <v>403.2742064550547</v>
      </c>
      <c r="M242" s="19">
        <v>0</v>
      </c>
      <c r="N242" s="19">
        <v>403.2742064550547</v>
      </c>
      <c r="P242">
        <v>820</v>
      </c>
      <c r="Q242">
        <v>1</v>
      </c>
      <c r="R242" t="s">
        <v>249</v>
      </c>
      <c r="S242" s="12">
        <v>18000</v>
      </c>
      <c r="T242" s="12">
        <v>7064.1178234094841</v>
      </c>
      <c r="U242" s="12">
        <v>62853</v>
      </c>
      <c r="V242" s="12">
        <v>87917.117823409484</v>
      </c>
      <c r="W242" s="12">
        <v>20116.95</v>
      </c>
      <c r="X242" s="12">
        <v>8463.6458716332563</v>
      </c>
      <c r="Y242" s="12">
        <v>67123.8</v>
      </c>
      <c r="Z242" s="12">
        <v>95704.395871633256</v>
      </c>
      <c r="AA242" s="12">
        <v>2116.9500000000007</v>
      </c>
      <c r="AB242" s="12">
        <v>1399.5280482237722</v>
      </c>
      <c r="AC242" s="12">
        <v>4270.8000000000029</v>
      </c>
      <c r="AD242" s="12">
        <v>7787.2780482237758</v>
      </c>
      <c r="AI242" s="12"/>
    </row>
    <row r="243" spans="1:35" x14ac:dyDescent="0.25">
      <c r="A243">
        <v>818</v>
      </c>
      <c r="B243" t="s">
        <v>831</v>
      </c>
      <c r="C243" s="19">
        <v>18000</v>
      </c>
      <c r="D243" s="19">
        <v>7148.6647739552218</v>
      </c>
      <c r="E243" s="19">
        <v>67015</v>
      </c>
      <c r="F243" s="19">
        <v>92163.664773955214</v>
      </c>
      <c r="G243" s="19">
        <v>2116.9500000000007</v>
      </c>
      <c r="H243" s="19">
        <v>1416.2783108380818</v>
      </c>
      <c r="I243" s="19">
        <v>4053.1999999999971</v>
      </c>
      <c r="J243" s="19">
        <v>7586.4283108380796</v>
      </c>
      <c r="K243" s="19">
        <v>20116.95</v>
      </c>
      <c r="L243" s="19">
        <v>8564.9430847933036</v>
      </c>
      <c r="M243" s="19">
        <v>71068.2</v>
      </c>
      <c r="N243" s="19">
        <v>99750.093084793305</v>
      </c>
      <c r="P243">
        <v>821</v>
      </c>
      <c r="Q243">
        <v>1</v>
      </c>
      <c r="R243" t="s">
        <v>250</v>
      </c>
      <c r="S243" s="12">
        <v>36000</v>
      </c>
      <c r="T243" s="12">
        <v>13401.948650637401</v>
      </c>
      <c r="U243" s="12">
        <v>103984</v>
      </c>
      <c r="V243" s="12">
        <v>153385.94865063741</v>
      </c>
      <c r="W243" s="12">
        <v>40233.9</v>
      </c>
      <c r="X243" s="12">
        <v>16057.11430702916</v>
      </c>
      <c r="Y243" s="12">
        <v>110780.8</v>
      </c>
      <c r="Z243" s="12">
        <v>167071.81430702916</v>
      </c>
      <c r="AA243" s="12">
        <v>4233.9000000000015</v>
      </c>
      <c r="AB243" s="12">
        <v>2655.1656563917586</v>
      </c>
      <c r="AC243" s="12">
        <v>6796.8000000000029</v>
      </c>
      <c r="AD243" s="12">
        <v>13685.865656391763</v>
      </c>
      <c r="AI243" s="12"/>
    </row>
    <row r="244" spans="1:35" x14ac:dyDescent="0.25">
      <c r="A244">
        <v>820</v>
      </c>
      <c r="B244" t="s">
        <v>832</v>
      </c>
      <c r="C244" s="19">
        <v>18000</v>
      </c>
      <c r="D244" s="19">
        <v>7064.1178234094841</v>
      </c>
      <c r="E244" s="19">
        <v>62853</v>
      </c>
      <c r="F244" s="19">
        <v>87917.117823409484</v>
      </c>
      <c r="G244" s="19">
        <v>2116.9500000000007</v>
      </c>
      <c r="H244" s="19">
        <v>1399.5280482237722</v>
      </c>
      <c r="I244" s="19">
        <v>4270.8000000000029</v>
      </c>
      <c r="J244" s="19">
        <v>7787.2780482237758</v>
      </c>
      <c r="K244" s="19">
        <v>20116.95</v>
      </c>
      <c r="L244" s="19">
        <v>8463.6458716332563</v>
      </c>
      <c r="M244" s="19">
        <v>67123.8</v>
      </c>
      <c r="N244" s="19">
        <v>95704.395871633256</v>
      </c>
      <c r="P244">
        <v>829</v>
      </c>
      <c r="Q244">
        <v>1</v>
      </c>
      <c r="R244" t="s">
        <v>251</v>
      </c>
      <c r="S244" s="12">
        <v>75120</v>
      </c>
      <c r="T244" s="12">
        <v>25281.874630905495</v>
      </c>
      <c r="U244" s="12">
        <v>209776</v>
      </c>
      <c r="V244" s="12">
        <v>310177.87463090551</v>
      </c>
      <c r="W244" s="12">
        <v>83954.737999999998</v>
      </c>
      <c r="X244" s="12">
        <v>30290.666038712428</v>
      </c>
      <c r="Y244" s="12">
        <v>217731.6</v>
      </c>
      <c r="Z244" s="12">
        <v>331977.00403871242</v>
      </c>
      <c r="AA244" s="12">
        <v>8834.7379999999976</v>
      </c>
      <c r="AB244" s="12">
        <v>5008.7914078069334</v>
      </c>
      <c r="AC244" s="12">
        <v>7955.6000000000058</v>
      </c>
      <c r="AD244" s="12">
        <v>21799.129407806937</v>
      </c>
      <c r="AI244" s="12"/>
    </row>
    <row r="245" spans="1:35" x14ac:dyDescent="0.25">
      <c r="A245">
        <v>821</v>
      </c>
      <c r="B245" t="s">
        <v>833</v>
      </c>
      <c r="C245" s="19">
        <v>36000</v>
      </c>
      <c r="D245" s="19">
        <v>13401.948650637401</v>
      </c>
      <c r="E245" s="19">
        <v>103984</v>
      </c>
      <c r="F245" s="19">
        <v>153385.94865063741</v>
      </c>
      <c r="G245" s="19">
        <v>4233.9000000000015</v>
      </c>
      <c r="H245" s="19">
        <v>2655.1656563917586</v>
      </c>
      <c r="I245" s="19">
        <v>6796.8000000000029</v>
      </c>
      <c r="J245" s="19">
        <v>13685.865656391763</v>
      </c>
      <c r="K245" s="19">
        <v>40233.9</v>
      </c>
      <c r="L245" s="19">
        <v>16057.11430702916</v>
      </c>
      <c r="M245" s="19">
        <v>110780.8</v>
      </c>
      <c r="N245" s="19">
        <v>167071.81430702916</v>
      </c>
      <c r="P245">
        <v>831</v>
      </c>
      <c r="Q245">
        <v>1</v>
      </c>
      <c r="R245" t="s">
        <v>252</v>
      </c>
      <c r="S245" s="12">
        <v>381000</v>
      </c>
      <c r="T245" s="12">
        <v>70993.770945012089</v>
      </c>
      <c r="U245" s="12">
        <v>877183</v>
      </c>
      <c r="V245" s="12">
        <v>1329176.7709450121</v>
      </c>
      <c r="W245" s="12">
        <v>425808.77500000002</v>
      </c>
      <c r="X245" s="12">
        <v>85058.906347689073</v>
      </c>
      <c r="Y245" s="12">
        <v>907389.8</v>
      </c>
      <c r="Z245" s="12">
        <v>1418257.4813476892</v>
      </c>
      <c r="AA245" s="12">
        <v>44808.775000000023</v>
      </c>
      <c r="AB245" s="12">
        <v>14065.135402676984</v>
      </c>
      <c r="AC245" s="12">
        <v>30206.800000000047</v>
      </c>
      <c r="AD245" s="12">
        <v>89080.710402677054</v>
      </c>
      <c r="AI245" s="12"/>
    </row>
    <row r="246" spans="1:35" x14ac:dyDescent="0.25">
      <c r="A246">
        <v>829</v>
      </c>
      <c r="B246" t="s">
        <v>834</v>
      </c>
      <c r="C246" s="19">
        <v>75120</v>
      </c>
      <c r="D246" s="19">
        <v>25281.874630905495</v>
      </c>
      <c r="E246" s="19">
        <v>209776</v>
      </c>
      <c r="F246" s="19">
        <v>310177.87463090551</v>
      </c>
      <c r="G246" s="19">
        <v>8834.7379999999976</v>
      </c>
      <c r="H246" s="19">
        <v>5008.7914078069334</v>
      </c>
      <c r="I246" s="19">
        <v>7955.6000000000058</v>
      </c>
      <c r="J246" s="19">
        <v>21799.129407806937</v>
      </c>
      <c r="K246" s="19">
        <v>83954.737999999998</v>
      </c>
      <c r="L246" s="19">
        <v>30290.666038712428</v>
      </c>
      <c r="M246" s="19">
        <v>217731.6</v>
      </c>
      <c r="N246" s="19">
        <v>331977.00403871242</v>
      </c>
      <c r="P246">
        <v>832</v>
      </c>
      <c r="Q246">
        <v>1</v>
      </c>
      <c r="R246" t="s">
        <v>253</v>
      </c>
      <c r="S246" s="12">
        <v>85560</v>
      </c>
      <c r="T246" s="12">
        <v>15884.722629853355</v>
      </c>
      <c r="U246" s="12">
        <v>316773</v>
      </c>
      <c r="V246" s="12">
        <v>418217.72262985335</v>
      </c>
      <c r="W246" s="12">
        <v>95622.569000000003</v>
      </c>
      <c r="X246" s="12">
        <v>19031.770203870859</v>
      </c>
      <c r="Y246" s="12">
        <v>320854.59999999998</v>
      </c>
      <c r="Z246" s="12">
        <v>435508.93920387083</v>
      </c>
      <c r="AA246" s="12">
        <v>10062.569000000003</v>
      </c>
      <c r="AB246" s="12">
        <v>3147.0475740175043</v>
      </c>
      <c r="AC246" s="12">
        <v>4081.5999999999767</v>
      </c>
      <c r="AD246" s="12">
        <v>17291.216574017482</v>
      </c>
      <c r="AI246" s="12"/>
    </row>
    <row r="247" spans="1:35" x14ac:dyDescent="0.25">
      <c r="A247">
        <v>831</v>
      </c>
      <c r="B247" t="s">
        <v>835</v>
      </c>
      <c r="C247" s="19">
        <v>381000</v>
      </c>
      <c r="D247" s="19">
        <v>70993.770945012089</v>
      </c>
      <c r="E247" s="19">
        <v>877183</v>
      </c>
      <c r="F247" s="19">
        <v>1329176.7709450121</v>
      </c>
      <c r="G247" s="19">
        <v>44808.775000000023</v>
      </c>
      <c r="H247" s="19">
        <v>14065.135402676984</v>
      </c>
      <c r="I247" s="19">
        <v>30206.800000000047</v>
      </c>
      <c r="J247" s="19">
        <v>89080.710402677054</v>
      </c>
      <c r="K247" s="19">
        <v>425808.77500000002</v>
      </c>
      <c r="L247" s="19">
        <v>85058.906347689073</v>
      </c>
      <c r="M247" s="19">
        <v>907389.8</v>
      </c>
      <c r="N247" s="19">
        <v>1418257.4813476892</v>
      </c>
      <c r="P247">
        <v>833</v>
      </c>
      <c r="Q247">
        <v>1</v>
      </c>
      <c r="R247" t="s">
        <v>254</v>
      </c>
      <c r="S247" s="12">
        <v>976920</v>
      </c>
      <c r="T247" s="12">
        <v>170480.97459622435</v>
      </c>
      <c r="U247" s="12">
        <v>1657164</v>
      </c>
      <c r="V247" s="12">
        <v>2804564.9745962243</v>
      </c>
      <c r="W247" s="12">
        <v>1091813.933</v>
      </c>
      <c r="X247" s="12">
        <v>204256.30388720491</v>
      </c>
      <c r="Y247" s="12">
        <v>1699132.4</v>
      </c>
      <c r="Z247" s="12">
        <v>2995202.6368872048</v>
      </c>
      <c r="AA247" s="12">
        <v>114893.93299999996</v>
      </c>
      <c r="AB247" s="12">
        <v>33775.32929098056</v>
      </c>
      <c r="AC247" s="12">
        <v>41968.399999999907</v>
      </c>
      <c r="AD247" s="12">
        <v>190637.66229098043</v>
      </c>
      <c r="AI247" s="12"/>
    </row>
    <row r="248" spans="1:35" x14ac:dyDescent="0.25">
      <c r="A248">
        <v>832</v>
      </c>
      <c r="B248" t="s">
        <v>836</v>
      </c>
      <c r="C248" s="19">
        <v>85560</v>
      </c>
      <c r="D248" s="19">
        <v>15884.722629853355</v>
      </c>
      <c r="E248" s="19">
        <v>316773</v>
      </c>
      <c r="F248" s="19">
        <v>418217.72262985335</v>
      </c>
      <c r="G248" s="19">
        <v>10062.569000000003</v>
      </c>
      <c r="H248" s="19">
        <v>3147.0475740175043</v>
      </c>
      <c r="I248" s="19">
        <v>4081.5999999999767</v>
      </c>
      <c r="J248" s="19">
        <v>17291.216574017482</v>
      </c>
      <c r="K248" s="19">
        <v>95622.569000000003</v>
      </c>
      <c r="L248" s="19">
        <v>19031.770203870859</v>
      </c>
      <c r="M248" s="19">
        <v>320854.59999999998</v>
      </c>
      <c r="N248" s="19">
        <v>435508.93920387083</v>
      </c>
      <c r="P248">
        <v>834</v>
      </c>
      <c r="Q248">
        <v>1</v>
      </c>
      <c r="R248" t="s">
        <v>255</v>
      </c>
      <c r="S248" s="12">
        <v>463200</v>
      </c>
      <c r="T248" s="12">
        <v>74259.851360193104</v>
      </c>
      <c r="U248" s="12">
        <v>811103</v>
      </c>
      <c r="V248" s="12">
        <v>1348562.851360193</v>
      </c>
      <c r="W248" s="12">
        <v>517676.18</v>
      </c>
      <c r="X248" s="12">
        <v>88972.05569108823</v>
      </c>
      <c r="Y248" s="12">
        <v>828395.8</v>
      </c>
      <c r="Z248" s="12">
        <v>1435044.0356910883</v>
      </c>
      <c r="AA248" s="12">
        <v>54476.179999999993</v>
      </c>
      <c r="AB248" s="12">
        <v>14712.204330895125</v>
      </c>
      <c r="AC248" s="12">
        <v>17292.800000000047</v>
      </c>
      <c r="AD248" s="12">
        <v>86481.184330895165</v>
      </c>
      <c r="AI248" s="12"/>
    </row>
    <row r="249" spans="1:35" x14ac:dyDescent="0.25">
      <c r="A249">
        <v>833</v>
      </c>
      <c r="B249" t="s">
        <v>837</v>
      </c>
      <c r="C249" s="19">
        <v>976920</v>
      </c>
      <c r="D249" s="19">
        <v>170480.97459622435</v>
      </c>
      <c r="E249" s="19">
        <v>1657164</v>
      </c>
      <c r="F249" s="19">
        <v>2804564.9745962243</v>
      </c>
      <c r="G249" s="19">
        <v>114893.93299999996</v>
      </c>
      <c r="H249" s="19">
        <v>33775.32929098056</v>
      </c>
      <c r="I249" s="19">
        <v>41968.399999999907</v>
      </c>
      <c r="J249" s="19">
        <v>190637.66229098043</v>
      </c>
      <c r="K249" s="19">
        <v>1091813.933</v>
      </c>
      <c r="L249" s="19">
        <v>204256.30388720491</v>
      </c>
      <c r="M249" s="19">
        <v>1699132.4</v>
      </c>
      <c r="N249" s="19">
        <v>2995202.6368872048</v>
      </c>
      <c r="P249">
        <v>836</v>
      </c>
      <c r="Q249">
        <v>1</v>
      </c>
      <c r="R249" t="s">
        <v>256</v>
      </c>
      <c r="S249" s="12">
        <v>18000</v>
      </c>
      <c r="T249" s="12">
        <v>3861.4546537956448</v>
      </c>
      <c r="U249" s="12">
        <v>29152</v>
      </c>
      <c r="V249" s="12">
        <v>51013.454653795648</v>
      </c>
      <c r="W249" s="12">
        <v>20116.95</v>
      </c>
      <c r="X249" s="12">
        <v>4626.4778640572886</v>
      </c>
      <c r="Y249" s="12">
        <v>30596.799999999999</v>
      </c>
      <c r="Z249" s="12">
        <v>55340.227864057291</v>
      </c>
      <c r="AA249" s="12">
        <v>2116.9500000000007</v>
      </c>
      <c r="AB249" s="12">
        <v>765.02321026164373</v>
      </c>
      <c r="AC249" s="12">
        <v>1444.7999999999993</v>
      </c>
      <c r="AD249" s="12">
        <v>4326.7732102616437</v>
      </c>
      <c r="AI249" s="12"/>
    </row>
    <row r="250" spans="1:35" x14ac:dyDescent="0.25">
      <c r="A250">
        <v>834</v>
      </c>
      <c r="B250" t="s">
        <v>838</v>
      </c>
      <c r="C250" s="19">
        <v>463200</v>
      </c>
      <c r="D250" s="19">
        <v>74259.851360193104</v>
      </c>
      <c r="E250" s="19">
        <v>811103</v>
      </c>
      <c r="F250" s="19">
        <v>1348562.851360193</v>
      </c>
      <c r="G250" s="19">
        <v>54476.179999999993</v>
      </c>
      <c r="H250" s="19">
        <v>14712.204330895125</v>
      </c>
      <c r="I250" s="19">
        <v>17292.800000000047</v>
      </c>
      <c r="J250" s="19">
        <v>86481.184330895165</v>
      </c>
      <c r="K250" s="19">
        <v>517676.18</v>
      </c>
      <c r="L250" s="19">
        <v>88972.05569108823</v>
      </c>
      <c r="M250" s="19">
        <v>828395.8</v>
      </c>
      <c r="N250" s="19">
        <v>1435044.0356910883</v>
      </c>
      <c r="P250">
        <v>837</v>
      </c>
      <c r="Q250">
        <v>1</v>
      </c>
      <c r="R250" t="s">
        <v>257</v>
      </c>
      <c r="S250" s="12">
        <v>30000</v>
      </c>
      <c r="T250" s="12">
        <v>8040.3168997614575</v>
      </c>
      <c r="U250" s="12">
        <v>67660</v>
      </c>
      <c r="V250" s="12">
        <v>105700.31689976146</v>
      </c>
      <c r="W250" s="12">
        <v>33528.25</v>
      </c>
      <c r="X250" s="12">
        <v>9633.2474395854224</v>
      </c>
      <c r="Y250" s="12">
        <v>70896.399999999994</v>
      </c>
      <c r="Z250" s="12">
        <v>114057.89743958542</v>
      </c>
      <c r="AA250" s="12">
        <v>3528.25</v>
      </c>
      <c r="AB250" s="12">
        <v>1592.9305398239649</v>
      </c>
      <c r="AC250" s="12">
        <v>3236.3999999999942</v>
      </c>
      <c r="AD250" s="12">
        <v>8357.580539823959</v>
      </c>
      <c r="AI250" s="12"/>
    </row>
    <row r="251" spans="1:35" x14ac:dyDescent="0.25">
      <c r="A251">
        <v>836</v>
      </c>
      <c r="B251" t="s">
        <v>839</v>
      </c>
      <c r="C251" s="19">
        <v>18000</v>
      </c>
      <c r="D251" s="19">
        <v>3861.4546537956448</v>
      </c>
      <c r="E251" s="19">
        <v>29152</v>
      </c>
      <c r="F251" s="19">
        <v>51013.454653795648</v>
      </c>
      <c r="G251" s="19">
        <v>2116.9500000000007</v>
      </c>
      <c r="H251" s="19">
        <v>765.02321026164373</v>
      </c>
      <c r="I251" s="19">
        <v>1444.7999999999993</v>
      </c>
      <c r="J251" s="19">
        <v>4326.7732102616437</v>
      </c>
      <c r="K251" s="19">
        <v>20116.95</v>
      </c>
      <c r="L251" s="19">
        <v>4626.4778640572886</v>
      </c>
      <c r="M251" s="19">
        <v>30596.799999999999</v>
      </c>
      <c r="N251" s="19">
        <v>55340.227864057291</v>
      </c>
      <c r="P251">
        <v>840</v>
      </c>
      <c r="Q251">
        <v>1</v>
      </c>
      <c r="R251" t="s">
        <v>258</v>
      </c>
      <c r="S251" s="12">
        <v>54000</v>
      </c>
      <c r="T251" s="12">
        <v>15541.735066801071</v>
      </c>
      <c r="U251" s="12">
        <v>138147</v>
      </c>
      <c r="V251" s="12">
        <v>207688.73506680108</v>
      </c>
      <c r="W251" s="12">
        <v>60350.85</v>
      </c>
      <c r="X251" s="12">
        <v>18620.830671912725</v>
      </c>
      <c r="Y251" s="12">
        <v>144276.20000000001</v>
      </c>
      <c r="Z251" s="12">
        <v>223247.88067191275</v>
      </c>
      <c r="AA251" s="12">
        <v>6350.8499999999985</v>
      </c>
      <c r="AB251" s="12">
        <v>3079.0956051116536</v>
      </c>
      <c r="AC251" s="12">
        <v>6129.2000000000116</v>
      </c>
      <c r="AD251" s="12">
        <v>15559.145605111664</v>
      </c>
      <c r="AI251" s="12"/>
    </row>
    <row r="252" spans="1:35" x14ac:dyDescent="0.25">
      <c r="A252">
        <v>837</v>
      </c>
      <c r="B252" t="s">
        <v>840</v>
      </c>
      <c r="C252" s="19">
        <v>30000</v>
      </c>
      <c r="D252" s="19">
        <v>8040.3168997614575</v>
      </c>
      <c r="E252" s="19">
        <v>67660</v>
      </c>
      <c r="F252" s="19">
        <v>105700.31689976146</v>
      </c>
      <c r="G252" s="19">
        <v>3528.25</v>
      </c>
      <c r="H252" s="19">
        <v>1592.9305398239649</v>
      </c>
      <c r="I252" s="19">
        <v>3236.3999999999942</v>
      </c>
      <c r="J252" s="19">
        <v>8357.580539823959</v>
      </c>
      <c r="K252" s="19">
        <v>33528.25</v>
      </c>
      <c r="L252" s="19">
        <v>9633.2474395854224</v>
      </c>
      <c r="M252" s="19">
        <v>70896.399999999994</v>
      </c>
      <c r="N252" s="19">
        <v>114057.89743958542</v>
      </c>
      <c r="P252">
        <v>846</v>
      </c>
      <c r="Q252">
        <v>1</v>
      </c>
      <c r="R252" t="s">
        <v>259</v>
      </c>
      <c r="S252" s="12">
        <v>46800</v>
      </c>
      <c r="T252" s="12">
        <v>9603.9056162826346</v>
      </c>
      <c r="U252" s="12">
        <v>92745</v>
      </c>
      <c r="V252" s="12">
        <v>149148.90561628263</v>
      </c>
      <c r="W252" s="12">
        <v>52304.07</v>
      </c>
      <c r="X252" s="12">
        <v>11506.611038032537</v>
      </c>
      <c r="Y252" s="12">
        <v>96025</v>
      </c>
      <c r="Z252" s="12">
        <v>159835.68103803252</v>
      </c>
      <c r="AA252" s="12">
        <v>5504.07</v>
      </c>
      <c r="AB252" s="12">
        <v>1902.7054217499026</v>
      </c>
      <c r="AC252" s="12">
        <v>3280</v>
      </c>
      <c r="AD252" s="12">
        <v>10686.775421749902</v>
      </c>
      <c r="AI252" s="12"/>
    </row>
    <row r="253" spans="1:35" x14ac:dyDescent="0.25">
      <c r="A253">
        <v>840</v>
      </c>
      <c r="B253" t="s">
        <v>841</v>
      </c>
      <c r="C253" s="19">
        <v>54000</v>
      </c>
      <c r="D253" s="19">
        <v>15541.735066801071</v>
      </c>
      <c r="E253" s="19">
        <v>138147</v>
      </c>
      <c r="F253" s="19">
        <v>207688.73506680108</v>
      </c>
      <c r="G253" s="19">
        <v>6350.8499999999985</v>
      </c>
      <c r="H253" s="19">
        <v>3079.0956051116536</v>
      </c>
      <c r="I253" s="19">
        <v>6129.2000000000116</v>
      </c>
      <c r="J253" s="19">
        <v>15559.145605111664</v>
      </c>
      <c r="K253" s="19">
        <v>60350.85</v>
      </c>
      <c r="L253" s="19">
        <v>18620.830671912725</v>
      </c>
      <c r="M253" s="19">
        <v>144276.20000000001</v>
      </c>
      <c r="N253" s="19">
        <v>223247.88067191275</v>
      </c>
      <c r="P253">
        <v>850</v>
      </c>
      <c r="Q253">
        <v>1</v>
      </c>
      <c r="R253" t="s">
        <v>260</v>
      </c>
      <c r="S253" s="12">
        <v>18000</v>
      </c>
      <c r="T253" s="12">
        <v>2478.1517788926567</v>
      </c>
      <c r="U253" s="12">
        <v>34931</v>
      </c>
      <c r="V253" s="12">
        <v>55409.151778892658</v>
      </c>
      <c r="W253" s="12">
        <v>20116.95</v>
      </c>
      <c r="X253" s="12">
        <v>2969.1179559887751</v>
      </c>
      <c r="Y253" s="12">
        <v>36790.199999999997</v>
      </c>
      <c r="Z253" s="12">
        <v>59876.267955988777</v>
      </c>
      <c r="AA253" s="12">
        <v>2116.9500000000007</v>
      </c>
      <c r="AB253" s="12">
        <v>490.96617709611837</v>
      </c>
      <c r="AC253" s="12">
        <v>1859.1999999999971</v>
      </c>
      <c r="AD253" s="12">
        <v>4467.1161770961162</v>
      </c>
      <c r="AI253" s="12"/>
    </row>
    <row r="254" spans="1:35" x14ac:dyDescent="0.25">
      <c r="A254">
        <v>846</v>
      </c>
      <c r="B254" t="s">
        <v>842</v>
      </c>
      <c r="C254" s="19">
        <v>46800</v>
      </c>
      <c r="D254" s="19">
        <v>9603.9056162826346</v>
      </c>
      <c r="E254" s="19">
        <v>92745</v>
      </c>
      <c r="F254" s="19">
        <v>149148.90561628263</v>
      </c>
      <c r="G254" s="19">
        <v>5504.07</v>
      </c>
      <c r="H254" s="19">
        <v>1902.7054217499026</v>
      </c>
      <c r="I254" s="19">
        <v>3280</v>
      </c>
      <c r="J254" s="19">
        <v>10686.775421749902</v>
      </c>
      <c r="K254" s="19">
        <v>52304.07</v>
      </c>
      <c r="L254" s="19">
        <v>11506.611038032537</v>
      </c>
      <c r="M254" s="19">
        <v>96025</v>
      </c>
      <c r="N254" s="19">
        <v>159835.68103803252</v>
      </c>
      <c r="P254">
        <v>852</v>
      </c>
      <c r="Q254">
        <v>1</v>
      </c>
      <c r="R254" t="s">
        <v>261</v>
      </c>
      <c r="S254" s="12">
        <v>18000</v>
      </c>
      <c r="T254" s="12">
        <v>2224.8660483475205</v>
      </c>
      <c r="U254" s="12">
        <v>21419</v>
      </c>
      <c r="V254" s="12">
        <v>41643.866048347525</v>
      </c>
      <c r="W254" s="12">
        <v>20116.95</v>
      </c>
      <c r="X254" s="12">
        <v>2665.6517934386588</v>
      </c>
      <c r="Y254" s="12">
        <v>22793</v>
      </c>
      <c r="Z254" s="12">
        <v>45575.601793438662</v>
      </c>
      <c r="AA254" s="12">
        <v>2116.9500000000007</v>
      </c>
      <c r="AB254" s="12">
        <v>440.78574509113832</v>
      </c>
      <c r="AC254" s="12">
        <v>1374</v>
      </c>
      <c r="AD254" s="12">
        <v>3931.7357450911391</v>
      </c>
      <c r="AI254" s="12"/>
    </row>
    <row r="255" spans="1:35" x14ac:dyDescent="0.25">
      <c r="A255">
        <v>850</v>
      </c>
      <c r="B255" t="s">
        <v>843</v>
      </c>
      <c r="C255" s="19">
        <v>18000</v>
      </c>
      <c r="D255" s="19">
        <v>2478.1517788926567</v>
      </c>
      <c r="E255" s="19">
        <v>34931</v>
      </c>
      <c r="F255" s="19">
        <v>55409.151778892658</v>
      </c>
      <c r="G255" s="19">
        <v>2116.9500000000007</v>
      </c>
      <c r="H255" s="19">
        <v>490.96617709611837</v>
      </c>
      <c r="I255" s="19">
        <v>1859.1999999999971</v>
      </c>
      <c r="J255" s="19">
        <v>4467.1161770961162</v>
      </c>
      <c r="K255" s="19">
        <v>20116.95</v>
      </c>
      <c r="L255" s="19">
        <v>2969.1179559887751</v>
      </c>
      <c r="M255" s="19">
        <v>36790.199999999997</v>
      </c>
      <c r="N255" s="19">
        <v>59876.267955988777</v>
      </c>
      <c r="P255">
        <v>857</v>
      </c>
      <c r="Q255">
        <v>1</v>
      </c>
      <c r="R255" t="s">
        <v>262</v>
      </c>
      <c r="S255" s="12">
        <v>32400</v>
      </c>
      <c r="T255" s="12">
        <v>8157.3686824848064</v>
      </c>
      <c r="U255" s="12">
        <v>96403</v>
      </c>
      <c r="V255" s="12">
        <v>136960.36868248481</v>
      </c>
      <c r="W255" s="12">
        <v>36210.51</v>
      </c>
      <c r="X255" s="12">
        <v>9773.4892733683737</v>
      </c>
      <c r="Y255" s="12">
        <v>101451.8</v>
      </c>
      <c r="Z255" s="12">
        <v>147435.79927336838</v>
      </c>
      <c r="AA255" s="12">
        <v>3810.510000000002</v>
      </c>
      <c r="AB255" s="12">
        <v>1616.1205908835673</v>
      </c>
      <c r="AC255" s="12">
        <v>5048.8000000000029</v>
      </c>
      <c r="AD255" s="12">
        <v>10475.430590883572</v>
      </c>
      <c r="AI255" s="12"/>
    </row>
    <row r="256" spans="1:35" x14ac:dyDescent="0.25">
      <c r="A256">
        <v>852</v>
      </c>
      <c r="B256" t="s">
        <v>844</v>
      </c>
      <c r="C256" s="19">
        <v>18000</v>
      </c>
      <c r="D256" s="19">
        <v>2224.8660483475205</v>
      </c>
      <c r="E256" s="19">
        <v>21419</v>
      </c>
      <c r="F256" s="19">
        <v>41643.866048347525</v>
      </c>
      <c r="G256" s="19">
        <v>2116.9500000000007</v>
      </c>
      <c r="H256" s="19">
        <v>440.78574509113832</v>
      </c>
      <c r="I256" s="19">
        <v>1374</v>
      </c>
      <c r="J256" s="19">
        <v>3931.7357450911391</v>
      </c>
      <c r="K256" s="19">
        <v>20116.95</v>
      </c>
      <c r="L256" s="19">
        <v>2665.6517934386588</v>
      </c>
      <c r="M256" s="19">
        <v>22793</v>
      </c>
      <c r="N256" s="19">
        <v>45575.601793438662</v>
      </c>
      <c r="P256">
        <v>858</v>
      </c>
      <c r="Q256">
        <v>1</v>
      </c>
      <c r="R256" t="s">
        <v>263</v>
      </c>
      <c r="S256" s="12">
        <v>41520</v>
      </c>
      <c r="T256" s="12">
        <v>10463.940712641452</v>
      </c>
      <c r="U256" s="12">
        <v>135970</v>
      </c>
      <c r="V256" s="12">
        <v>187953.94071264146</v>
      </c>
      <c r="W256" s="12">
        <v>46403.097999999998</v>
      </c>
      <c r="X256" s="12">
        <v>12537.034464526831</v>
      </c>
      <c r="Y256" s="12">
        <v>140253.20000000001</v>
      </c>
      <c r="Z256" s="12">
        <v>199193.33246452684</v>
      </c>
      <c r="AA256" s="12">
        <v>4883.0979999999981</v>
      </c>
      <c r="AB256" s="12">
        <v>2073.0937518853789</v>
      </c>
      <c r="AC256" s="12">
        <v>4283.2000000000116</v>
      </c>
      <c r="AD256" s="12">
        <v>11239.391751885389</v>
      </c>
      <c r="AI256" s="12"/>
    </row>
    <row r="257" spans="1:35" x14ac:dyDescent="0.25">
      <c r="A257">
        <v>857</v>
      </c>
      <c r="B257" t="s">
        <v>845</v>
      </c>
      <c r="C257" s="19">
        <v>32400</v>
      </c>
      <c r="D257" s="19">
        <v>8157.3686824848064</v>
      </c>
      <c r="E257" s="19">
        <v>96403</v>
      </c>
      <c r="F257" s="19">
        <v>136960.36868248481</v>
      </c>
      <c r="G257" s="19">
        <v>3810.510000000002</v>
      </c>
      <c r="H257" s="19">
        <v>1616.1205908835673</v>
      </c>
      <c r="I257" s="19">
        <v>5048.8000000000029</v>
      </c>
      <c r="J257" s="19">
        <v>10475.430590883572</v>
      </c>
      <c r="K257" s="19">
        <v>36210.51</v>
      </c>
      <c r="L257" s="19">
        <v>9773.4892733683737</v>
      </c>
      <c r="M257" s="19">
        <v>101451.8</v>
      </c>
      <c r="N257" s="19">
        <v>147435.79927336838</v>
      </c>
      <c r="P257">
        <v>861</v>
      </c>
      <c r="Q257">
        <v>1</v>
      </c>
      <c r="R257" t="s">
        <v>264</v>
      </c>
      <c r="S257" s="12">
        <v>229560</v>
      </c>
      <c r="T257" s="12">
        <v>48287.024281767677</v>
      </c>
      <c r="U257" s="12">
        <v>324722</v>
      </c>
      <c r="V257" s="12">
        <v>602569.02428176766</v>
      </c>
      <c r="W257" s="12">
        <v>256558.16899999999</v>
      </c>
      <c r="X257" s="12">
        <v>57853.547170676582</v>
      </c>
      <c r="Y257" s="12">
        <v>337328.4</v>
      </c>
      <c r="Z257" s="12">
        <v>651740.11617067666</v>
      </c>
      <c r="AA257" s="12">
        <v>26998.168999999994</v>
      </c>
      <c r="AB257" s="12">
        <v>9566.5228889089049</v>
      </c>
      <c r="AC257" s="12">
        <v>12606.400000000023</v>
      </c>
      <c r="AD257" s="12">
        <v>49171.091888908923</v>
      </c>
      <c r="AI257" s="12"/>
    </row>
    <row r="258" spans="1:35" x14ac:dyDescent="0.25">
      <c r="A258">
        <v>858</v>
      </c>
      <c r="B258" t="s">
        <v>846</v>
      </c>
      <c r="C258" s="19">
        <v>41520</v>
      </c>
      <c r="D258" s="19">
        <v>10463.940712641452</v>
      </c>
      <c r="E258" s="19">
        <v>135970</v>
      </c>
      <c r="F258" s="19">
        <v>187953.94071264146</v>
      </c>
      <c r="G258" s="19">
        <v>4883.0979999999981</v>
      </c>
      <c r="H258" s="19">
        <v>2073.0937518853789</v>
      </c>
      <c r="I258" s="19">
        <v>4283.2000000000116</v>
      </c>
      <c r="J258" s="19">
        <v>11239.391751885389</v>
      </c>
      <c r="K258" s="19">
        <v>46403.097999999998</v>
      </c>
      <c r="L258" s="19">
        <v>12537.034464526831</v>
      </c>
      <c r="M258" s="19">
        <v>140253.20000000001</v>
      </c>
      <c r="N258" s="19">
        <v>199193.33246452684</v>
      </c>
      <c r="P258">
        <v>876</v>
      </c>
      <c r="Q258">
        <v>1</v>
      </c>
      <c r="R258" t="s">
        <v>265</v>
      </c>
      <c r="S258" s="12">
        <v>88200</v>
      </c>
      <c r="T258" s="12">
        <v>17859.67659803047</v>
      </c>
      <c r="U258" s="12">
        <v>190897</v>
      </c>
      <c r="V258" s="12">
        <v>296956.67659803049</v>
      </c>
      <c r="W258" s="12">
        <v>98573.054999999993</v>
      </c>
      <c r="X258" s="12">
        <v>21397.997865594705</v>
      </c>
      <c r="Y258" s="12">
        <v>198229.4</v>
      </c>
      <c r="Z258" s="12">
        <v>318200.45286559471</v>
      </c>
      <c r="AA258" s="12">
        <v>10373.054999999993</v>
      </c>
      <c r="AB258" s="12">
        <v>3538.3212675642353</v>
      </c>
      <c r="AC258" s="12">
        <v>7332.3999999999942</v>
      </c>
      <c r="AD258" s="12">
        <v>21243.776267564223</v>
      </c>
      <c r="AI258" s="12"/>
    </row>
    <row r="259" spans="1:35" x14ac:dyDescent="0.25">
      <c r="A259">
        <v>861</v>
      </c>
      <c r="B259" t="s">
        <v>847</v>
      </c>
      <c r="C259" s="19">
        <v>229560</v>
      </c>
      <c r="D259" s="19">
        <v>48287.024281767677</v>
      </c>
      <c r="E259" s="19">
        <v>324722</v>
      </c>
      <c r="F259" s="19">
        <v>602569.02428176766</v>
      </c>
      <c r="G259" s="19">
        <v>26998.168999999994</v>
      </c>
      <c r="H259" s="19">
        <v>9566.5228889089049</v>
      </c>
      <c r="I259" s="19">
        <v>12606.400000000023</v>
      </c>
      <c r="J259" s="19">
        <v>49171.091888908923</v>
      </c>
      <c r="K259" s="19">
        <v>256558.16899999999</v>
      </c>
      <c r="L259" s="19">
        <v>57853.547170676582</v>
      </c>
      <c r="M259" s="19">
        <v>337328.4</v>
      </c>
      <c r="N259" s="19">
        <v>651740.11617067666</v>
      </c>
      <c r="P259">
        <v>877</v>
      </c>
      <c r="Q259">
        <v>1</v>
      </c>
      <c r="R259" t="s">
        <v>266</v>
      </c>
      <c r="S259" s="12">
        <v>321960</v>
      </c>
      <c r="T259" s="12">
        <v>65418.105596518086</v>
      </c>
      <c r="U259" s="12">
        <v>623108</v>
      </c>
      <c r="V259" s="12">
        <v>1010486.1055965181</v>
      </c>
      <c r="W259" s="12">
        <v>359825.179</v>
      </c>
      <c r="X259" s="12">
        <v>78378.601999988736</v>
      </c>
      <c r="Y259" s="12">
        <v>650198.80000000005</v>
      </c>
      <c r="Z259" s="12">
        <v>1088402.5809999888</v>
      </c>
      <c r="AA259" s="12">
        <v>37865.179000000004</v>
      </c>
      <c r="AB259" s="12">
        <v>12960.49640347065</v>
      </c>
      <c r="AC259" s="12">
        <v>27090.800000000047</v>
      </c>
      <c r="AD259" s="12">
        <v>77916.4754034707</v>
      </c>
      <c r="AI259" s="12"/>
    </row>
    <row r="260" spans="1:35" x14ac:dyDescent="0.25">
      <c r="A260">
        <v>876</v>
      </c>
      <c r="B260" t="s">
        <v>848</v>
      </c>
      <c r="C260" s="19">
        <v>88200</v>
      </c>
      <c r="D260" s="19">
        <v>17859.67659803047</v>
      </c>
      <c r="E260" s="19">
        <v>190897</v>
      </c>
      <c r="F260" s="19">
        <v>296956.67659803049</v>
      </c>
      <c r="G260" s="19">
        <v>10373.054999999993</v>
      </c>
      <c r="H260" s="19">
        <v>3538.3212675642353</v>
      </c>
      <c r="I260" s="19">
        <v>7332.3999999999942</v>
      </c>
      <c r="J260" s="19">
        <v>21243.776267564223</v>
      </c>
      <c r="K260" s="19">
        <v>98573.054999999993</v>
      </c>
      <c r="L260" s="19">
        <v>21397.997865594705</v>
      </c>
      <c r="M260" s="19">
        <v>198229.4</v>
      </c>
      <c r="N260" s="19">
        <v>318200.45286559471</v>
      </c>
      <c r="P260">
        <v>879</v>
      </c>
      <c r="Q260">
        <v>1</v>
      </c>
      <c r="R260" t="s">
        <v>267</v>
      </c>
      <c r="S260" s="12">
        <v>111600</v>
      </c>
      <c r="T260" s="12">
        <v>17870.158296373029</v>
      </c>
      <c r="U260" s="12">
        <v>256061</v>
      </c>
      <c r="V260" s="12">
        <v>385531.15829637303</v>
      </c>
      <c r="W260" s="12">
        <v>124725.09</v>
      </c>
      <c r="X260" s="12">
        <v>21410.556175793143</v>
      </c>
      <c r="Y260" s="12">
        <v>262743</v>
      </c>
      <c r="Z260" s="12">
        <v>408878.64617579314</v>
      </c>
      <c r="AA260" s="12">
        <v>13125.089999999997</v>
      </c>
      <c r="AB260" s="12">
        <v>3540.3978794201139</v>
      </c>
      <c r="AC260" s="12">
        <v>6682</v>
      </c>
      <c r="AD260" s="12">
        <v>23347.48787942011</v>
      </c>
      <c r="AI260" s="12"/>
    </row>
    <row r="261" spans="1:35" x14ac:dyDescent="0.25">
      <c r="A261">
        <v>877</v>
      </c>
      <c r="B261" t="s">
        <v>849</v>
      </c>
      <c r="C261" s="19">
        <v>321960</v>
      </c>
      <c r="D261" s="19">
        <v>65418.105596518086</v>
      </c>
      <c r="E261" s="19">
        <v>623108</v>
      </c>
      <c r="F261" s="19">
        <v>1010486.1055965181</v>
      </c>
      <c r="G261" s="19">
        <v>37865.179000000004</v>
      </c>
      <c r="H261" s="19">
        <v>12960.49640347065</v>
      </c>
      <c r="I261" s="19">
        <v>27090.800000000047</v>
      </c>
      <c r="J261" s="19">
        <v>77916.4754034707</v>
      </c>
      <c r="K261" s="19">
        <v>359825.179</v>
      </c>
      <c r="L261" s="19">
        <v>78378.601999988736</v>
      </c>
      <c r="M261" s="19">
        <v>650198.80000000005</v>
      </c>
      <c r="N261" s="19">
        <v>1088402.5809999888</v>
      </c>
      <c r="P261">
        <v>881</v>
      </c>
      <c r="Q261">
        <v>1</v>
      </c>
      <c r="R261" t="s">
        <v>268</v>
      </c>
      <c r="S261" s="12">
        <v>55200</v>
      </c>
      <c r="T261" s="12">
        <v>10039.963036090496</v>
      </c>
      <c r="U261" s="12">
        <v>117498</v>
      </c>
      <c r="V261" s="12">
        <v>182737.96303609048</v>
      </c>
      <c r="W261" s="12">
        <v>61691.98</v>
      </c>
      <c r="X261" s="12">
        <v>12029.059229471477</v>
      </c>
      <c r="Y261" s="12">
        <v>120678.8</v>
      </c>
      <c r="Z261" s="12">
        <v>194399.83922947149</v>
      </c>
      <c r="AA261" s="12">
        <v>6491.9800000000032</v>
      </c>
      <c r="AB261" s="12">
        <v>1989.0961933809813</v>
      </c>
      <c r="AC261" s="12">
        <v>3180.8000000000029</v>
      </c>
      <c r="AD261" s="12">
        <v>11661.876193380987</v>
      </c>
      <c r="AI261" s="12"/>
    </row>
    <row r="262" spans="1:35" x14ac:dyDescent="0.25">
      <c r="A262">
        <v>879</v>
      </c>
      <c r="B262" t="s">
        <v>850</v>
      </c>
      <c r="C262" s="19">
        <v>111600</v>
      </c>
      <c r="D262" s="19">
        <v>17870.158296373029</v>
      </c>
      <c r="E262" s="19">
        <v>256061</v>
      </c>
      <c r="F262" s="19">
        <v>385531.15829637303</v>
      </c>
      <c r="G262" s="19">
        <v>13125.089999999997</v>
      </c>
      <c r="H262" s="19">
        <v>3540.3978794201139</v>
      </c>
      <c r="I262" s="19">
        <v>6682</v>
      </c>
      <c r="J262" s="19">
        <v>23347.48787942011</v>
      </c>
      <c r="K262" s="19">
        <v>124725.09</v>
      </c>
      <c r="L262" s="19">
        <v>21410.556175793143</v>
      </c>
      <c r="M262" s="19">
        <v>262743</v>
      </c>
      <c r="N262" s="19">
        <v>408878.64617579314</v>
      </c>
      <c r="P262">
        <v>882</v>
      </c>
      <c r="Q262">
        <v>1</v>
      </c>
      <c r="R262" t="s">
        <v>269</v>
      </c>
      <c r="S262" s="12">
        <v>153720</v>
      </c>
      <c r="T262" s="12">
        <v>40104.785870584907</v>
      </c>
      <c r="U262" s="12">
        <v>456271</v>
      </c>
      <c r="V262" s="12">
        <v>650095.78587058489</v>
      </c>
      <c r="W262" s="12">
        <v>171798.753</v>
      </c>
      <c r="X262" s="12">
        <v>48050.26103068098</v>
      </c>
      <c r="Y262" s="12">
        <v>473952.2</v>
      </c>
      <c r="Z262" s="12">
        <v>693801.21403068095</v>
      </c>
      <c r="AA262" s="12">
        <v>18078.752999999997</v>
      </c>
      <c r="AB262" s="12">
        <v>7945.4751600960735</v>
      </c>
      <c r="AC262" s="12">
        <v>17681.200000000012</v>
      </c>
      <c r="AD262" s="12">
        <v>43705.428160096082</v>
      </c>
      <c r="AI262" s="12"/>
    </row>
    <row r="263" spans="1:35" x14ac:dyDescent="0.25">
      <c r="A263">
        <v>881</v>
      </c>
      <c r="B263" t="s">
        <v>851</v>
      </c>
      <c r="C263" s="19">
        <v>55200</v>
      </c>
      <c r="D263" s="19">
        <v>10039.963036090496</v>
      </c>
      <c r="E263" s="19">
        <v>117498</v>
      </c>
      <c r="F263" s="19">
        <v>182737.96303609048</v>
      </c>
      <c r="G263" s="19">
        <v>6491.9800000000032</v>
      </c>
      <c r="H263" s="19">
        <v>1989.0961933809813</v>
      </c>
      <c r="I263" s="19">
        <v>3180.8000000000029</v>
      </c>
      <c r="J263" s="19">
        <v>11661.876193380987</v>
      </c>
      <c r="K263" s="19">
        <v>61691.98</v>
      </c>
      <c r="L263" s="19">
        <v>12029.059229471477</v>
      </c>
      <c r="M263" s="19">
        <v>120678.8</v>
      </c>
      <c r="N263" s="19">
        <v>194399.83922947149</v>
      </c>
      <c r="P263">
        <v>883</v>
      </c>
      <c r="Q263">
        <v>1</v>
      </c>
      <c r="R263" t="s">
        <v>270</v>
      </c>
      <c r="S263" s="12">
        <v>66840</v>
      </c>
      <c r="T263" s="12">
        <v>16176.372690595368</v>
      </c>
      <c r="U263" s="12">
        <v>170172</v>
      </c>
      <c r="V263" s="12">
        <v>253188.37269059537</v>
      </c>
      <c r="W263" s="12">
        <v>74700.941000000006</v>
      </c>
      <c r="X263" s="12">
        <v>19381.2013563894</v>
      </c>
      <c r="Y263" s="12">
        <v>174705.2</v>
      </c>
      <c r="Z263" s="12">
        <v>268787.34235638939</v>
      </c>
      <c r="AA263" s="12">
        <v>7860.9410000000062</v>
      </c>
      <c r="AB263" s="12">
        <v>3204.8286657940316</v>
      </c>
      <c r="AC263" s="12">
        <v>4533.2000000000116</v>
      </c>
      <c r="AD263" s="12">
        <v>15598.969665794049</v>
      </c>
      <c r="AI263" s="12"/>
    </row>
    <row r="264" spans="1:35" x14ac:dyDescent="0.25">
      <c r="A264">
        <v>882</v>
      </c>
      <c r="B264" t="s">
        <v>852</v>
      </c>
      <c r="C264" s="19">
        <v>153720</v>
      </c>
      <c r="D264" s="19">
        <v>40104.785870584907</v>
      </c>
      <c r="E264" s="19">
        <v>456271</v>
      </c>
      <c r="F264" s="19">
        <v>650095.78587058489</v>
      </c>
      <c r="G264" s="19">
        <v>18078.752999999997</v>
      </c>
      <c r="H264" s="19">
        <v>7945.4751600960735</v>
      </c>
      <c r="I264" s="19">
        <v>17681.200000000012</v>
      </c>
      <c r="J264" s="19">
        <v>43705.428160096082</v>
      </c>
      <c r="K264" s="19">
        <v>171798.753</v>
      </c>
      <c r="L264" s="19">
        <v>48050.26103068098</v>
      </c>
      <c r="M264" s="19">
        <v>473952.2</v>
      </c>
      <c r="N264" s="19">
        <v>693801.21403068095</v>
      </c>
      <c r="P264">
        <v>885</v>
      </c>
      <c r="Q264">
        <v>1</v>
      </c>
      <c r="R264" t="s">
        <v>271</v>
      </c>
      <c r="S264" s="12">
        <v>239400</v>
      </c>
      <c r="T264" s="12">
        <v>39700.883787988882</v>
      </c>
      <c r="U264" s="12">
        <v>642271</v>
      </c>
      <c r="V264" s="12">
        <v>921371.88378798892</v>
      </c>
      <c r="W264" s="12">
        <v>267555.435</v>
      </c>
      <c r="X264" s="12">
        <v>47566.33872369743</v>
      </c>
      <c r="Y264" s="12">
        <v>656221.80000000005</v>
      </c>
      <c r="Z264" s="12">
        <v>971343.57372369745</v>
      </c>
      <c r="AA264" s="12">
        <v>28155.434999999998</v>
      </c>
      <c r="AB264" s="12">
        <v>7865.4549357085489</v>
      </c>
      <c r="AC264" s="12">
        <v>13950.800000000047</v>
      </c>
      <c r="AD264" s="12">
        <v>49971.689935708593</v>
      </c>
      <c r="AI264" s="12"/>
    </row>
    <row r="265" spans="1:35" x14ac:dyDescent="0.25">
      <c r="A265">
        <v>883</v>
      </c>
      <c r="B265" t="s">
        <v>853</v>
      </c>
      <c r="C265" s="19">
        <v>66840</v>
      </c>
      <c r="D265" s="19">
        <v>16176.372690595368</v>
      </c>
      <c r="E265" s="19">
        <v>170172</v>
      </c>
      <c r="F265" s="19">
        <v>253188.37269059537</v>
      </c>
      <c r="G265" s="19">
        <v>7860.9410000000062</v>
      </c>
      <c r="H265" s="19">
        <v>3204.8286657940316</v>
      </c>
      <c r="I265" s="19">
        <v>4533.2000000000116</v>
      </c>
      <c r="J265" s="19">
        <v>15598.969665794049</v>
      </c>
      <c r="K265" s="19">
        <v>74700.941000000006</v>
      </c>
      <c r="L265" s="19">
        <v>19381.2013563894</v>
      </c>
      <c r="M265" s="19">
        <v>174705.2</v>
      </c>
      <c r="N265" s="19">
        <v>268787.34235638939</v>
      </c>
      <c r="P265">
        <v>891</v>
      </c>
      <c r="Q265">
        <v>1</v>
      </c>
      <c r="R265" t="s">
        <v>272</v>
      </c>
      <c r="S265" s="12">
        <v>18000</v>
      </c>
      <c r="T265" s="12">
        <v>5342.9822674156221</v>
      </c>
      <c r="U265" s="12">
        <v>66174</v>
      </c>
      <c r="V265" s="12">
        <v>89516.982267415617</v>
      </c>
      <c r="W265" s="12">
        <v>20116.95</v>
      </c>
      <c r="X265" s="12">
        <v>6401.5225878545771</v>
      </c>
      <c r="Y265" s="12">
        <v>71450.8</v>
      </c>
      <c r="Z265" s="12">
        <v>97969.27258785459</v>
      </c>
      <c r="AA265" s="12">
        <v>2116.9500000000007</v>
      </c>
      <c r="AB265" s="12">
        <v>1058.540320438955</v>
      </c>
      <c r="AC265" s="12">
        <v>5276.8000000000029</v>
      </c>
      <c r="AD265" s="12">
        <v>8452.2903204389586</v>
      </c>
      <c r="AI265" s="12"/>
    </row>
    <row r="266" spans="1:35" x14ac:dyDescent="0.25">
      <c r="A266">
        <v>885</v>
      </c>
      <c r="B266" t="s">
        <v>854</v>
      </c>
      <c r="C266" s="19">
        <v>239400</v>
      </c>
      <c r="D266" s="19">
        <v>39700.883787988882</v>
      </c>
      <c r="E266" s="19">
        <v>642271</v>
      </c>
      <c r="F266" s="19">
        <v>921371.88378798892</v>
      </c>
      <c r="G266" s="19">
        <v>28155.434999999998</v>
      </c>
      <c r="H266" s="19">
        <v>7865.4549357085489</v>
      </c>
      <c r="I266" s="19">
        <v>13950.800000000047</v>
      </c>
      <c r="J266" s="19">
        <v>49971.689935708593</v>
      </c>
      <c r="K266" s="19">
        <v>267555.435</v>
      </c>
      <c r="L266" s="19">
        <v>47566.33872369743</v>
      </c>
      <c r="M266" s="19">
        <v>656221.80000000005</v>
      </c>
      <c r="N266" s="19">
        <v>971343.57372369745</v>
      </c>
      <c r="P266">
        <v>911</v>
      </c>
      <c r="Q266">
        <v>1</v>
      </c>
      <c r="R266" t="s">
        <v>273</v>
      </c>
      <c r="S266" s="12">
        <v>256800</v>
      </c>
      <c r="T266" s="12">
        <v>61378.667762076453</v>
      </c>
      <c r="U266" s="12">
        <v>556164</v>
      </c>
      <c r="V266" s="12">
        <v>874342.66776207648</v>
      </c>
      <c r="W266" s="12">
        <v>287001.82</v>
      </c>
      <c r="X266" s="12">
        <v>73538.879304835529</v>
      </c>
      <c r="Y266" s="12">
        <v>585445.19999999995</v>
      </c>
      <c r="Z266" s="12">
        <v>945985.89930483548</v>
      </c>
      <c r="AA266" s="12">
        <v>30201.820000000007</v>
      </c>
      <c r="AB266" s="12">
        <v>12160.211542759076</v>
      </c>
      <c r="AC266" s="12">
        <v>29281.199999999953</v>
      </c>
      <c r="AD266" s="12">
        <v>71643.231542759037</v>
      </c>
      <c r="AI266" s="12"/>
    </row>
    <row r="267" spans="1:35" x14ac:dyDescent="0.25">
      <c r="A267">
        <v>891</v>
      </c>
      <c r="B267" t="s">
        <v>855</v>
      </c>
      <c r="C267" s="19">
        <v>18000</v>
      </c>
      <c r="D267" s="19">
        <v>5342.9822674156221</v>
      </c>
      <c r="E267" s="19">
        <v>66174</v>
      </c>
      <c r="F267" s="19">
        <v>89516.982267415617</v>
      </c>
      <c r="G267" s="19">
        <v>2116.9500000000007</v>
      </c>
      <c r="H267" s="19">
        <v>1058.540320438955</v>
      </c>
      <c r="I267" s="19">
        <v>5276.8000000000029</v>
      </c>
      <c r="J267" s="19">
        <v>8452.2903204389586</v>
      </c>
      <c r="K267" s="19">
        <v>20116.95</v>
      </c>
      <c r="L267" s="19">
        <v>6401.5225878545771</v>
      </c>
      <c r="M267" s="19">
        <v>71450.8</v>
      </c>
      <c r="N267" s="19">
        <v>97969.27258785459</v>
      </c>
      <c r="P267">
        <v>912</v>
      </c>
      <c r="Q267">
        <v>1</v>
      </c>
      <c r="R267" t="s">
        <v>274</v>
      </c>
      <c r="S267" s="12">
        <v>80520</v>
      </c>
      <c r="T267" s="12">
        <v>24879.564967097511</v>
      </c>
      <c r="U267" s="12">
        <v>238656</v>
      </c>
      <c r="V267" s="12">
        <v>344055.56496709748</v>
      </c>
      <c r="W267" s="12">
        <v>89989.823000000004</v>
      </c>
      <c r="X267" s="12">
        <v>29808.651637151503</v>
      </c>
      <c r="Y267" s="12">
        <v>250472</v>
      </c>
      <c r="Z267" s="12">
        <v>370270.47463715152</v>
      </c>
      <c r="AA267" s="12">
        <v>9469.823000000004</v>
      </c>
      <c r="AB267" s="12">
        <v>4929.0866700539918</v>
      </c>
      <c r="AC267" s="12">
        <v>11816</v>
      </c>
      <c r="AD267" s="12">
        <v>26214.909670053996</v>
      </c>
      <c r="AI267" s="12"/>
    </row>
    <row r="268" spans="1:35" x14ac:dyDescent="0.25">
      <c r="A268">
        <v>911</v>
      </c>
      <c r="B268" t="s">
        <v>856</v>
      </c>
      <c r="C268" s="19">
        <v>256800</v>
      </c>
      <c r="D268" s="19">
        <v>61378.667762076453</v>
      </c>
      <c r="E268" s="19">
        <v>556164</v>
      </c>
      <c r="F268" s="19">
        <v>874342.66776207648</v>
      </c>
      <c r="G268" s="19">
        <v>30201.820000000007</v>
      </c>
      <c r="H268" s="19">
        <v>12160.211542759076</v>
      </c>
      <c r="I268" s="19">
        <v>29281.199999999953</v>
      </c>
      <c r="J268" s="19">
        <v>71643.231542759037</v>
      </c>
      <c r="K268" s="19">
        <v>287001.82</v>
      </c>
      <c r="L268" s="19">
        <v>73538.879304835529</v>
      </c>
      <c r="M268" s="19">
        <v>585445.19999999995</v>
      </c>
      <c r="N268" s="19">
        <v>945985.89930483548</v>
      </c>
      <c r="P268">
        <v>914</v>
      </c>
      <c r="Q268">
        <v>1</v>
      </c>
      <c r="R268" t="s">
        <v>275</v>
      </c>
      <c r="S268" s="12">
        <v>18000</v>
      </c>
      <c r="T268" s="12">
        <v>2798.2227792533981</v>
      </c>
      <c r="U268" s="12">
        <v>44236</v>
      </c>
      <c r="V268" s="12">
        <v>65034.222779253396</v>
      </c>
      <c r="W268" s="12">
        <v>20116.95</v>
      </c>
      <c r="X268" s="12">
        <v>3352.6007444348543</v>
      </c>
      <c r="Y268" s="12">
        <v>45315.199999999997</v>
      </c>
      <c r="Z268" s="12">
        <v>68784.750744434859</v>
      </c>
      <c r="AA268" s="12">
        <v>2116.9500000000007</v>
      </c>
      <c r="AB268" s="12">
        <v>554.37796518145615</v>
      </c>
      <c r="AC268" s="12">
        <v>1079.1999999999971</v>
      </c>
      <c r="AD268" s="12">
        <v>3750.527965181454</v>
      </c>
      <c r="AI268" s="12"/>
    </row>
    <row r="269" spans="1:35" x14ac:dyDescent="0.25">
      <c r="A269">
        <v>912</v>
      </c>
      <c r="B269" t="s">
        <v>857</v>
      </c>
      <c r="C269" s="19">
        <v>80520</v>
      </c>
      <c r="D269" s="19">
        <v>24879.564967097511</v>
      </c>
      <c r="E269" s="19">
        <v>238656</v>
      </c>
      <c r="F269" s="19">
        <v>344055.56496709748</v>
      </c>
      <c r="G269" s="19">
        <v>9469.823000000004</v>
      </c>
      <c r="H269" s="19">
        <v>4929.0866700539918</v>
      </c>
      <c r="I269" s="19">
        <v>11816</v>
      </c>
      <c r="J269" s="19">
        <v>26214.909670053996</v>
      </c>
      <c r="K269" s="19">
        <v>89989.823000000004</v>
      </c>
      <c r="L269" s="19">
        <v>29808.651637151503</v>
      </c>
      <c r="M269" s="19">
        <v>250472</v>
      </c>
      <c r="N269" s="19">
        <v>370270.47463715152</v>
      </c>
      <c r="P269">
        <v>2071</v>
      </c>
      <c r="Q269">
        <v>1</v>
      </c>
      <c r="R269" t="s">
        <v>276</v>
      </c>
      <c r="S269" s="12">
        <v>47280</v>
      </c>
      <c r="T269" s="12">
        <v>11002.48432427122</v>
      </c>
      <c r="U269" s="12">
        <v>106063</v>
      </c>
      <c r="V269" s="12">
        <v>164345.48432427121</v>
      </c>
      <c r="W269" s="12">
        <v>52840.521999999997</v>
      </c>
      <c r="X269" s="12">
        <v>13182.273194854919</v>
      </c>
      <c r="Y269" s="12">
        <v>111461.8</v>
      </c>
      <c r="Z269" s="12">
        <v>177484.59519485492</v>
      </c>
      <c r="AA269" s="12">
        <v>5560.5219999999972</v>
      </c>
      <c r="AB269" s="12">
        <v>2179.7888705836995</v>
      </c>
      <c r="AC269" s="12">
        <v>5398.8000000000029</v>
      </c>
      <c r="AD269" s="12">
        <v>13139.1108705837</v>
      </c>
      <c r="AI269" s="12"/>
    </row>
    <row r="270" spans="1:35" x14ac:dyDescent="0.25">
      <c r="A270">
        <v>914</v>
      </c>
      <c r="B270" t="s">
        <v>858</v>
      </c>
      <c r="C270" s="19">
        <v>18000</v>
      </c>
      <c r="D270" s="19">
        <v>2798.2227792533981</v>
      </c>
      <c r="E270" s="19">
        <v>44236</v>
      </c>
      <c r="F270" s="19">
        <v>65034.222779253396</v>
      </c>
      <c r="G270" s="19">
        <v>2116.9500000000007</v>
      </c>
      <c r="H270" s="19">
        <v>554.37796518145615</v>
      </c>
      <c r="I270" s="19">
        <v>1079.1999999999971</v>
      </c>
      <c r="J270" s="19">
        <v>3750.527965181454</v>
      </c>
      <c r="K270" s="19">
        <v>20116.95</v>
      </c>
      <c r="L270" s="19">
        <v>3352.6007444348543</v>
      </c>
      <c r="M270" s="19">
        <v>45315.199999999997</v>
      </c>
      <c r="N270" s="19">
        <v>68784.750744434859</v>
      </c>
      <c r="P270">
        <v>2125</v>
      </c>
      <c r="Q270">
        <v>1</v>
      </c>
      <c r="R270" t="s">
        <v>277</v>
      </c>
      <c r="S270" s="12">
        <v>57240</v>
      </c>
      <c r="T270" s="12">
        <v>16010.119758240506</v>
      </c>
      <c r="U270" s="12">
        <v>148641</v>
      </c>
      <c r="V270" s="12">
        <v>221891.1197582405</v>
      </c>
      <c r="W270" s="12">
        <v>63971.900999999998</v>
      </c>
      <c r="X270" s="12">
        <v>19182.010745509549</v>
      </c>
      <c r="Y270" s="12">
        <v>153680.6</v>
      </c>
      <c r="Z270" s="12">
        <v>236834.51174550955</v>
      </c>
      <c r="AA270" s="12">
        <v>6731.900999999998</v>
      </c>
      <c r="AB270" s="12">
        <v>3171.8909872690438</v>
      </c>
      <c r="AC270" s="12">
        <v>5039.6000000000058</v>
      </c>
      <c r="AD270" s="12">
        <v>14943.391987269048</v>
      </c>
      <c r="AI270" s="12"/>
    </row>
    <row r="271" spans="1:35" x14ac:dyDescent="0.25">
      <c r="A271">
        <v>2071</v>
      </c>
      <c r="B271" t="s">
        <v>859</v>
      </c>
      <c r="C271" s="19">
        <v>47280</v>
      </c>
      <c r="D271" s="19">
        <v>11002.48432427122</v>
      </c>
      <c r="E271" s="19">
        <v>106063</v>
      </c>
      <c r="F271" s="19">
        <v>164345.48432427121</v>
      </c>
      <c r="G271" s="19">
        <v>5560.5219999999972</v>
      </c>
      <c r="H271" s="19">
        <v>2179.7888705836995</v>
      </c>
      <c r="I271" s="19">
        <v>5398.8000000000029</v>
      </c>
      <c r="J271" s="19">
        <v>13139.1108705837</v>
      </c>
      <c r="K271" s="19">
        <v>52840.521999999997</v>
      </c>
      <c r="L271" s="19">
        <v>13182.273194854919</v>
      </c>
      <c r="M271" s="19">
        <v>111461.8</v>
      </c>
      <c r="N271" s="19">
        <v>177484.59519485492</v>
      </c>
      <c r="P271">
        <v>2134</v>
      </c>
      <c r="Q271">
        <v>1</v>
      </c>
      <c r="R271" t="s">
        <v>278</v>
      </c>
      <c r="S271" s="12">
        <v>36000</v>
      </c>
      <c r="T271" s="12">
        <v>10109.944395734792</v>
      </c>
      <c r="U271" s="12">
        <v>95199</v>
      </c>
      <c r="V271" s="12">
        <v>141308.94439573478</v>
      </c>
      <c r="W271" s="12">
        <v>40233.9</v>
      </c>
      <c r="X271" s="12">
        <v>12112.905147737723</v>
      </c>
      <c r="Y271" s="12">
        <v>99481.8</v>
      </c>
      <c r="Z271" s="12">
        <v>151828.60514773772</v>
      </c>
      <c r="AA271" s="12">
        <v>4233.9000000000015</v>
      </c>
      <c r="AB271" s="12">
        <v>2002.9607520029313</v>
      </c>
      <c r="AC271" s="12">
        <v>4282.8000000000029</v>
      </c>
      <c r="AD271" s="12">
        <v>10519.660752002936</v>
      </c>
      <c r="AI271" s="12"/>
    </row>
    <row r="272" spans="1:35" x14ac:dyDescent="0.25">
      <c r="A272">
        <v>2125</v>
      </c>
      <c r="B272" t="s">
        <v>860</v>
      </c>
      <c r="C272" s="19">
        <v>57240</v>
      </c>
      <c r="D272" s="19">
        <v>16010.119758240506</v>
      </c>
      <c r="E272" s="19">
        <v>148641</v>
      </c>
      <c r="F272" s="19">
        <v>221891.1197582405</v>
      </c>
      <c r="G272" s="19">
        <v>6731.900999999998</v>
      </c>
      <c r="H272" s="19">
        <v>3171.8909872690438</v>
      </c>
      <c r="I272" s="19">
        <v>5039.6000000000058</v>
      </c>
      <c r="J272" s="19">
        <v>14943.391987269048</v>
      </c>
      <c r="K272" s="19">
        <v>63971.900999999998</v>
      </c>
      <c r="L272" s="19">
        <v>19182.010745509549</v>
      </c>
      <c r="M272" s="19">
        <v>153680.6</v>
      </c>
      <c r="N272" s="19">
        <v>236834.51174550955</v>
      </c>
      <c r="P272">
        <v>2135</v>
      </c>
      <c r="Q272">
        <v>1</v>
      </c>
      <c r="R272" t="s">
        <v>279</v>
      </c>
      <c r="S272" s="12">
        <v>37920</v>
      </c>
      <c r="T272" s="12">
        <v>11545.111828459871</v>
      </c>
      <c r="U272" s="12">
        <v>144225</v>
      </c>
      <c r="V272" s="12">
        <v>193690.11182845986</v>
      </c>
      <c r="W272" s="12">
        <v>42379.707999999999</v>
      </c>
      <c r="X272" s="12">
        <v>13832.404909878369</v>
      </c>
      <c r="Y272" s="12">
        <v>150845.79999999999</v>
      </c>
      <c r="Z272" s="12">
        <v>207057.91290987836</v>
      </c>
      <c r="AA272" s="12">
        <v>4459.7079999999987</v>
      </c>
      <c r="AB272" s="12">
        <v>2287.2930814184983</v>
      </c>
      <c r="AC272" s="12">
        <v>6620.7999999999884</v>
      </c>
      <c r="AD272" s="12">
        <v>13367.801081418485</v>
      </c>
      <c r="AI272" s="12"/>
    </row>
    <row r="273" spans="1:35" x14ac:dyDescent="0.25">
      <c r="A273">
        <v>2134</v>
      </c>
      <c r="B273" t="s">
        <v>861</v>
      </c>
      <c r="C273" s="19">
        <v>36000</v>
      </c>
      <c r="D273" s="19">
        <v>10109.944395734792</v>
      </c>
      <c r="E273" s="19">
        <v>95199</v>
      </c>
      <c r="F273" s="19">
        <v>141308.94439573478</v>
      </c>
      <c r="G273" s="19">
        <v>4233.9000000000015</v>
      </c>
      <c r="H273" s="19">
        <v>2002.9607520029313</v>
      </c>
      <c r="I273" s="19">
        <v>4282.8000000000029</v>
      </c>
      <c r="J273" s="19">
        <v>10519.660752002936</v>
      </c>
      <c r="K273" s="19">
        <v>40233.9</v>
      </c>
      <c r="L273" s="19">
        <v>12112.905147737723</v>
      </c>
      <c r="M273" s="19">
        <v>99481.8</v>
      </c>
      <c r="N273" s="19">
        <v>151828.60514773772</v>
      </c>
      <c r="P273">
        <v>2137</v>
      </c>
      <c r="Q273">
        <v>1</v>
      </c>
      <c r="R273" t="s">
        <v>280</v>
      </c>
      <c r="S273" s="12">
        <v>32040</v>
      </c>
      <c r="T273" s="12">
        <v>7582.7690277566617</v>
      </c>
      <c r="U273" s="12">
        <v>82245</v>
      </c>
      <c r="V273" s="12">
        <v>121867.76902775666</v>
      </c>
      <c r="W273" s="12">
        <v>35808.171000000002</v>
      </c>
      <c r="X273" s="12">
        <v>9085.0511531170705</v>
      </c>
      <c r="Y273" s="12">
        <v>84538.2</v>
      </c>
      <c r="Z273" s="12">
        <v>129431.42215311708</v>
      </c>
      <c r="AA273" s="12">
        <v>3768.1710000000021</v>
      </c>
      <c r="AB273" s="12">
        <v>1502.2821253604088</v>
      </c>
      <c r="AC273" s="12">
        <v>2293.1999999999971</v>
      </c>
      <c r="AD273" s="12">
        <v>7563.653125360408</v>
      </c>
      <c r="AI273" s="12"/>
    </row>
    <row r="274" spans="1:35" x14ac:dyDescent="0.25">
      <c r="A274">
        <v>2135</v>
      </c>
      <c r="B274" t="s">
        <v>862</v>
      </c>
      <c r="C274" s="19">
        <v>37920</v>
      </c>
      <c r="D274" s="19">
        <v>11545.111828459871</v>
      </c>
      <c r="E274" s="19">
        <v>144225</v>
      </c>
      <c r="F274" s="19">
        <v>193690.11182845986</v>
      </c>
      <c r="G274" s="19">
        <v>4459.7079999999987</v>
      </c>
      <c r="H274" s="19">
        <v>2287.2930814184983</v>
      </c>
      <c r="I274" s="19">
        <v>6620.7999999999884</v>
      </c>
      <c r="J274" s="19">
        <v>13367.801081418485</v>
      </c>
      <c r="K274" s="19">
        <v>42379.707999999999</v>
      </c>
      <c r="L274" s="19">
        <v>13832.404909878369</v>
      </c>
      <c r="M274" s="19">
        <v>150845.79999999999</v>
      </c>
      <c r="N274" s="19">
        <v>207057.91290987836</v>
      </c>
      <c r="P274">
        <v>2142</v>
      </c>
      <c r="Q274">
        <v>1</v>
      </c>
      <c r="R274" t="s">
        <v>281</v>
      </c>
      <c r="S274" s="12">
        <v>90000</v>
      </c>
      <c r="T274" s="12">
        <v>26195.37233000074</v>
      </c>
      <c r="U274" s="12">
        <v>225049</v>
      </c>
      <c r="V274" s="12">
        <v>341244.37233000074</v>
      </c>
      <c r="W274" s="12">
        <v>100584.75</v>
      </c>
      <c r="X274" s="12">
        <v>31385.143965463991</v>
      </c>
      <c r="Y274" s="12">
        <v>235914.6</v>
      </c>
      <c r="Z274" s="12">
        <v>367884.493965464</v>
      </c>
      <c r="AA274" s="12">
        <v>10584.75</v>
      </c>
      <c r="AB274" s="12">
        <v>5189.7716354632503</v>
      </c>
      <c r="AC274" s="12">
        <v>10865.600000000006</v>
      </c>
      <c r="AD274" s="12">
        <v>26640.121635463256</v>
      </c>
      <c r="AI274" s="12"/>
    </row>
    <row r="275" spans="1:35" x14ac:dyDescent="0.25">
      <c r="A275">
        <v>2137</v>
      </c>
      <c r="B275" t="s">
        <v>863</v>
      </c>
      <c r="C275" s="19">
        <v>32040</v>
      </c>
      <c r="D275" s="19">
        <v>7582.7690277566617</v>
      </c>
      <c r="E275" s="19">
        <v>82245</v>
      </c>
      <c r="F275" s="19">
        <v>121867.76902775666</v>
      </c>
      <c r="G275" s="19">
        <v>3768.1710000000021</v>
      </c>
      <c r="H275" s="19">
        <v>1502.2821253604088</v>
      </c>
      <c r="I275" s="19">
        <v>2293.1999999999971</v>
      </c>
      <c r="J275" s="19">
        <v>7563.653125360408</v>
      </c>
      <c r="K275" s="19">
        <v>35808.171000000002</v>
      </c>
      <c r="L275" s="19">
        <v>9085.0511531170705</v>
      </c>
      <c r="M275" s="19">
        <v>84538.2</v>
      </c>
      <c r="N275" s="19">
        <v>129431.42215311708</v>
      </c>
      <c r="P275">
        <v>2143</v>
      </c>
      <c r="Q275">
        <v>1</v>
      </c>
      <c r="R275" t="s">
        <v>282</v>
      </c>
      <c r="S275" s="12">
        <v>35160</v>
      </c>
      <c r="T275" s="12">
        <v>8714.7393381209367</v>
      </c>
      <c r="U275" s="12">
        <v>110138</v>
      </c>
      <c r="V275" s="12">
        <v>154012.73933812094</v>
      </c>
      <c r="W275" s="12">
        <v>39295.108999999997</v>
      </c>
      <c r="X275" s="12">
        <v>10441.285021750642</v>
      </c>
      <c r="Y275" s="12">
        <v>115969.2</v>
      </c>
      <c r="Z275" s="12">
        <v>165705.59402175064</v>
      </c>
      <c r="AA275" s="12">
        <v>4135.1089999999967</v>
      </c>
      <c r="AB275" s="12">
        <v>1726.5456836297053</v>
      </c>
      <c r="AC275" s="12">
        <v>5831.1999999999971</v>
      </c>
      <c r="AD275" s="12">
        <v>11692.854683629699</v>
      </c>
      <c r="AI275" s="12"/>
    </row>
    <row r="276" spans="1:35" x14ac:dyDescent="0.25">
      <c r="A276">
        <v>2142</v>
      </c>
      <c r="B276" t="s">
        <v>864</v>
      </c>
      <c r="C276" s="19">
        <v>90000</v>
      </c>
      <c r="D276" s="19">
        <v>26195.37233000074</v>
      </c>
      <c r="E276" s="19">
        <v>225049</v>
      </c>
      <c r="F276" s="19">
        <v>341244.37233000074</v>
      </c>
      <c r="G276" s="19">
        <v>10584.75</v>
      </c>
      <c r="H276" s="19">
        <v>5189.7716354632503</v>
      </c>
      <c r="I276" s="19">
        <v>10865.600000000006</v>
      </c>
      <c r="J276" s="19">
        <v>26640.121635463256</v>
      </c>
      <c r="K276" s="19">
        <v>100584.75</v>
      </c>
      <c r="L276" s="19">
        <v>31385.143965463991</v>
      </c>
      <c r="M276" s="19">
        <v>235914.6</v>
      </c>
      <c r="N276" s="19">
        <v>367884.493965464</v>
      </c>
      <c r="P276">
        <v>2144</v>
      </c>
      <c r="Q276">
        <v>1</v>
      </c>
      <c r="R276" t="s">
        <v>283</v>
      </c>
      <c r="S276" s="12">
        <v>151800</v>
      </c>
      <c r="T276" s="12">
        <v>30496.796361743392</v>
      </c>
      <c r="U276" s="12">
        <v>367303</v>
      </c>
      <c r="V276" s="12">
        <v>549599.79636174336</v>
      </c>
      <c r="W276" s="12">
        <v>169652.94500000001</v>
      </c>
      <c r="X276" s="12">
        <v>36538.757007953078</v>
      </c>
      <c r="Y276" s="12">
        <v>380953.4</v>
      </c>
      <c r="Z276" s="12">
        <v>587145.1020079531</v>
      </c>
      <c r="AA276" s="12">
        <v>17852.945000000007</v>
      </c>
      <c r="AB276" s="12">
        <v>6041.9606462096854</v>
      </c>
      <c r="AC276" s="12">
        <v>13650.400000000023</v>
      </c>
      <c r="AD276" s="12">
        <v>37545.305646209716</v>
      </c>
      <c r="AI276" s="12"/>
    </row>
    <row r="277" spans="1:35" x14ac:dyDescent="0.25">
      <c r="A277">
        <v>2143</v>
      </c>
      <c r="B277" t="s">
        <v>865</v>
      </c>
      <c r="C277" s="19">
        <v>35160</v>
      </c>
      <c r="D277" s="19">
        <v>8714.7393381209367</v>
      </c>
      <c r="E277" s="19">
        <v>110138</v>
      </c>
      <c r="F277" s="19">
        <v>154012.73933812094</v>
      </c>
      <c r="G277" s="19">
        <v>4135.1089999999967</v>
      </c>
      <c r="H277" s="19">
        <v>1726.5456836297053</v>
      </c>
      <c r="I277" s="19">
        <v>5831.1999999999971</v>
      </c>
      <c r="J277" s="19">
        <v>11692.854683629699</v>
      </c>
      <c r="K277" s="19">
        <v>39295.108999999997</v>
      </c>
      <c r="L277" s="19">
        <v>10441.285021750642</v>
      </c>
      <c r="M277" s="19">
        <v>115969.2</v>
      </c>
      <c r="N277" s="19">
        <v>165705.59402175064</v>
      </c>
      <c r="P277">
        <v>2149</v>
      </c>
      <c r="Q277">
        <v>1</v>
      </c>
      <c r="R277" t="s">
        <v>284</v>
      </c>
      <c r="S277" s="12">
        <v>65520</v>
      </c>
      <c r="T277" s="12">
        <v>15048.486272789974</v>
      </c>
      <c r="U277" s="12">
        <v>128078</v>
      </c>
      <c r="V277" s="12">
        <v>208646.48627278997</v>
      </c>
      <c r="W277" s="12">
        <v>73225.698000000004</v>
      </c>
      <c r="X277" s="12">
        <v>18029.86047245119</v>
      </c>
      <c r="Y277" s="12">
        <v>133400.4</v>
      </c>
      <c r="Z277" s="12">
        <v>224655.9584724512</v>
      </c>
      <c r="AA277" s="12">
        <v>7705.698000000004</v>
      </c>
      <c r="AB277" s="12">
        <v>2981.3741996612152</v>
      </c>
      <c r="AC277" s="12">
        <v>5322.3999999999942</v>
      </c>
      <c r="AD277" s="12">
        <v>16009.472199661213</v>
      </c>
      <c r="AI277" s="12"/>
    </row>
    <row r="278" spans="1:35" x14ac:dyDescent="0.25">
      <c r="A278">
        <v>2144</v>
      </c>
      <c r="B278" t="s">
        <v>866</v>
      </c>
      <c r="C278" s="19">
        <v>151800</v>
      </c>
      <c r="D278" s="19">
        <v>30496.796361743392</v>
      </c>
      <c r="E278" s="19">
        <v>367303</v>
      </c>
      <c r="F278" s="19">
        <v>549599.79636174336</v>
      </c>
      <c r="G278" s="19">
        <v>17852.945000000007</v>
      </c>
      <c r="H278" s="19">
        <v>6041.9606462096854</v>
      </c>
      <c r="I278" s="19">
        <v>13650.400000000023</v>
      </c>
      <c r="J278" s="19">
        <v>37545.305646209716</v>
      </c>
      <c r="K278" s="19">
        <v>169652.94500000001</v>
      </c>
      <c r="L278" s="19">
        <v>36538.757007953078</v>
      </c>
      <c r="M278" s="19">
        <v>380953.4</v>
      </c>
      <c r="N278" s="19">
        <v>587145.1020079531</v>
      </c>
      <c r="P278">
        <v>2154</v>
      </c>
      <c r="Q278">
        <v>1</v>
      </c>
      <c r="R278" t="s">
        <v>285</v>
      </c>
      <c r="S278" s="12">
        <v>42720</v>
      </c>
      <c r="T278" s="12">
        <v>12862.339675731406</v>
      </c>
      <c r="U278" s="12">
        <v>100620</v>
      </c>
      <c r="V278" s="12">
        <v>156202.3396757314</v>
      </c>
      <c r="W278" s="12">
        <v>47744.228000000003</v>
      </c>
      <c r="X278" s="12">
        <v>15410.599145910981</v>
      </c>
      <c r="Y278" s="12">
        <v>106628.8</v>
      </c>
      <c r="Z278" s="12">
        <v>169783.62714591098</v>
      </c>
      <c r="AA278" s="12">
        <v>5024.2280000000028</v>
      </c>
      <c r="AB278" s="12">
        <v>2548.2594701795751</v>
      </c>
      <c r="AC278" s="12">
        <v>6008.8000000000029</v>
      </c>
      <c r="AD278" s="12">
        <v>13581.287470179581</v>
      </c>
      <c r="AI278" s="12"/>
    </row>
    <row r="279" spans="1:35" x14ac:dyDescent="0.25">
      <c r="A279">
        <v>2149</v>
      </c>
      <c r="B279" t="s">
        <v>867</v>
      </c>
      <c r="C279" s="19">
        <v>65520</v>
      </c>
      <c r="D279" s="19">
        <v>15048.486272789974</v>
      </c>
      <c r="E279" s="19">
        <v>128078</v>
      </c>
      <c r="F279" s="19">
        <v>208646.48627278997</v>
      </c>
      <c r="G279" s="19">
        <v>7705.698000000004</v>
      </c>
      <c r="H279" s="19">
        <v>2981.3741996612152</v>
      </c>
      <c r="I279" s="19">
        <v>5322.3999999999942</v>
      </c>
      <c r="J279" s="19">
        <v>16009.472199661213</v>
      </c>
      <c r="K279" s="19">
        <v>73225.698000000004</v>
      </c>
      <c r="L279" s="19">
        <v>18029.86047245119</v>
      </c>
      <c r="M279" s="19">
        <v>133400.4</v>
      </c>
      <c r="N279" s="19">
        <v>224655.9584724512</v>
      </c>
      <c r="P279">
        <v>2155</v>
      </c>
      <c r="Q279">
        <v>1</v>
      </c>
      <c r="R279" t="s">
        <v>286</v>
      </c>
      <c r="S279" s="12">
        <v>55440</v>
      </c>
      <c r="T279" s="12">
        <v>17173.884658598239</v>
      </c>
      <c r="U279" s="12">
        <v>140641</v>
      </c>
      <c r="V279" s="12">
        <v>213254.88465859822</v>
      </c>
      <c r="W279" s="12">
        <v>61960.205999999998</v>
      </c>
      <c r="X279" s="12">
        <v>20576.338280905962</v>
      </c>
      <c r="Y279" s="12">
        <v>148457.79999999999</v>
      </c>
      <c r="Z279" s="12">
        <v>230994.34428090596</v>
      </c>
      <c r="AA279" s="12">
        <v>6520.2059999999983</v>
      </c>
      <c r="AB279" s="12">
        <v>3402.453622307723</v>
      </c>
      <c r="AC279" s="12">
        <v>7816.7999999999884</v>
      </c>
      <c r="AD279" s="12">
        <v>17739.45962230771</v>
      </c>
      <c r="AI279" s="12"/>
    </row>
    <row r="280" spans="1:35" x14ac:dyDescent="0.25">
      <c r="A280">
        <v>2154</v>
      </c>
      <c r="B280" t="s">
        <v>868</v>
      </c>
      <c r="C280" s="19">
        <v>42720</v>
      </c>
      <c r="D280" s="19">
        <v>12862.339675731406</v>
      </c>
      <c r="E280" s="19">
        <v>100620</v>
      </c>
      <c r="F280" s="19">
        <v>156202.3396757314</v>
      </c>
      <c r="G280" s="19">
        <v>5024.2280000000028</v>
      </c>
      <c r="H280" s="19">
        <v>2548.2594701795751</v>
      </c>
      <c r="I280" s="19">
        <v>6008.8000000000029</v>
      </c>
      <c r="J280" s="19">
        <v>13581.287470179581</v>
      </c>
      <c r="K280" s="19">
        <v>47744.228000000003</v>
      </c>
      <c r="L280" s="19">
        <v>15410.599145910981</v>
      </c>
      <c r="M280" s="19">
        <v>106628.8</v>
      </c>
      <c r="N280" s="19">
        <v>169783.62714591098</v>
      </c>
      <c r="P280">
        <v>2159</v>
      </c>
      <c r="Q280">
        <v>1</v>
      </c>
      <c r="R280" t="s">
        <v>287</v>
      </c>
      <c r="S280" s="12">
        <v>26160</v>
      </c>
      <c r="T280" s="12">
        <v>7583.4792699408135</v>
      </c>
      <c r="U280" s="12">
        <v>68355</v>
      </c>
      <c r="V280" s="12">
        <v>102098.47926994081</v>
      </c>
      <c r="W280" s="12">
        <v>29236.633999999998</v>
      </c>
      <c r="X280" s="12">
        <v>9085.9021069771316</v>
      </c>
      <c r="Y280" s="12">
        <v>71187</v>
      </c>
      <c r="Z280" s="12">
        <v>109509.53610697713</v>
      </c>
      <c r="AA280" s="12">
        <v>3076.6339999999982</v>
      </c>
      <c r="AB280" s="12">
        <v>1502.422837036318</v>
      </c>
      <c r="AC280" s="12">
        <v>2832</v>
      </c>
      <c r="AD280" s="12">
        <v>7411.0568370363162</v>
      </c>
      <c r="AI280" s="12"/>
    </row>
    <row r="281" spans="1:35" x14ac:dyDescent="0.25">
      <c r="A281">
        <v>2155</v>
      </c>
      <c r="B281" t="s">
        <v>869</v>
      </c>
      <c r="C281" s="19">
        <v>55440</v>
      </c>
      <c r="D281" s="19">
        <v>17173.884658598239</v>
      </c>
      <c r="E281" s="19">
        <v>140641</v>
      </c>
      <c r="F281" s="19">
        <v>213254.88465859822</v>
      </c>
      <c r="G281" s="19">
        <v>6520.2059999999983</v>
      </c>
      <c r="H281" s="19">
        <v>3402.453622307723</v>
      </c>
      <c r="I281" s="19">
        <v>7816.7999999999884</v>
      </c>
      <c r="J281" s="19">
        <v>17739.45962230771</v>
      </c>
      <c r="K281" s="19">
        <v>61960.205999999998</v>
      </c>
      <c r="L281" s="19">
        <v>20576.338280905962</v>
      </c>
      <c r="M281" s="19">
        <v>148457.79999999999</v>
      </c>
      <c r="N281" s="19">
        <v>230994.34428090596</v>
      </c>
      <c r="P281">
        <v>2164</v>
      </c>
      <c r="Q281">
        <v>1</v>
      </c>
      <c r="R281" t="s">
        <v>288</v>
      </c>
      <c r="S281" s="12">
        <v>88200</v>
      </c>
      <c r="T281" s="12">
        <v>16746.533331672556</v>
      </c>
      <c r="U281" s="12">
        <v>184017</v>
      </c>
      <c r="V281" s="12">
        <v>288963.53333167254</v>
      </c>
      <c r="W281" s="12">
        <v>98573.054999999993</v>
      </c>
      <c r="X281" s="12">
        <v>20064.32101501531</v>
      </c>
      <c r="Y281" s="12">
        <v>187905.8</v>
      </c>
      <c r="Z281" s="12">
        <v>306543.17601501528</v>
      </c>
      <c r="AA281" s="12">
        <v>10373.054999999993</v>
      </c>
      <c r="AB281" s="12">
        <v>3317.7876833427545</v>
      </c>
      <c r="AC281" s="12">
        <v>3888.7999999999884</v>
      </c>
      <c r="AD281" s="12">
        <v>17579.642683342736</v>
      </c>
      <c r="AI281" s="12"/>
    </row>
    <row r="282" spans="1:35" x14ac:dyDescent="0.25">
      <c r="A282">
        <v>2159</v>
      </c>
      <c r="B282" t="s">
        <v>870</v>
      </c>
      <c r="C282" s="19">
        <v>26160</v>
      </c>
      <c r="D282" s="19">
        <v>7583.4792699408135</v>
      </c>
      <c r="E282" s="19">
        <v>68355</v>
      </c>
      <c r="F282" s="19">
        <v>102098.47926994081</v>
      </c>
      <c r="G282" s="19">
        <v>3076.6339999999982</v>
      </c>
      <c r="H282" s="19">
        <v>1502.422837036318</v>
      </c>
      <c r="I282" s="19">
        <v>2832</v>
      </c>
      <c r="J282" s="19">
        <v>7411.0568370363162</v>
      </c>
      <c r="K282" s="19">
        <v>29236.633999999998</v>
      </c>
      <c r="L282" s="19">
        <v>9085.9021069771316</v>
      </c>
      <c r="M282" s="19">
        <v>71187</v>
      </c>
      <c r="N282" s="19">
        <v>109509.53610697713</v>
      </c>
      <c r="P282">
        <v>2165</v>
      </c>
      <c r="Q282">
        <v>1</v>
      </c>
      <c r="R282" t="s">
        <v>289</v>
      </c>
      <c r="S282" s="12">
        <v>39000</v>
      </c>
      <c r="T282" s="12">
        <v>14632.498820810742</v>
      </c>
      <c r="U282" s="12">
        <v>123391</v>
      </c>
      <c r="V282" s="12">
        <v>177023.49882081075</v>
      </c>
      <c r="W282" s="12">
        <v>43586.724999999999</v>
      </c>
      <c r="X282" s="12">
        <v>17531.45846832154</v>
      </c>
      <c r="Y282" s="12">
        <v>130179.4</v>
      </c>
      <c r="Z282" s="12">
        <v>191297.58346832154</v>
      </c>
      <c r="AA282" s="12">
        <v>4586.7249999999985</v>
      </c>
      <c r="AB282" s="12">
        <v>2898.9596475107974</v>
      </c>
      <c r="AC282" s="12">
        <v>6788.3999999999942</v>
      </c>
      <c r="AD282" s="12">
        <v>14274.08464751079</v>
      </c>
      <c r="AI282" s="12"/>
    </row>
    <row r="283" spans="1:35" x14ac:dyDescent="0.25">
      <c r="A283">
        <v>2164</v>
      </c>
      <c r="B283" t="s">
        <v>871</v>
      </c>
      <c r="C283" s="19">
        <v>88200</v>
      </c>
      <c r="D283" s="19">
        <v>16746.533331672556</v>
      </c>
      <c r="E283" s="19">
        <v>184017</v>
      </c>
      <c r="F283" s="19">
        <v>288963.53333167254</v>
      </c>
      <c r="G283" s="19">
        <v>10373.054999999993</v>
      </c>
      <c r="H283" s="19">
        <v>3317.7876833427545</v>
      </c>
      <c r="I283" s="19">
        <v>3888.7999999999884</v>
      </c>
      <c r="J283" s="19">
        <v>17579.642683342736</v>
      </c>
      <c r="K283" s="19">
        <v>98573.054999999993</v>
      </c>
      <c r="L283" s="19">
        <v>20064.32101501531</v>
      </c>
      <c r="M283" s="19">
        <v>187905.8</v>
      </c>
      <c r="N283" s="19">
        <v>306543.17601501528</v>
      </c>
      <c r="P283">
        <v>2167</v>
      </c>
      <c r="Q283">
        <v>1</v>
      </c>
      <c r="R283" t="s">
        <v>290</v>
      </c>
      <c r="S283" s="12">
        <v>30000</v>
      </c>
      <c r="T283" s="12">
        <v>7179.3940006724506</v>
      </c>
      <c r="U283" s="12">
        <v>92177</v>
      </c>
      <c r="V283" s="12">
        <v>129356.39400067244</v>
      </c>
      <c r="W283" s="12">
        <v>33528.25</v>
      </c>
      <c r="X283" s="12">
        <v>8601.7603207660522</v>
      </c>
      <c r="Y283" s="12">
        <v>97262.2</v>
      </c>
      <c r="Z283" s="12">
        <v>139392.21032076605</v>
      </c>
      <c r="AA283" s="12">
        <v>3528.25</v>
      </c>
      <c r="AB283" s="12">
        <v>1422.3663200936016</v>
      </c>
      <c r="AC283" s="12">
        <v>5085.1999999999971</v>
      </c>
      <c r="AD283" s="12">
        <v>10035.8163200936</v>
      </c>
      <c r="AI283" s="12"/>
    </row>
    <row r="284" spans="1:35" x14ac:dyDescent="0.25">
      <c r="A284">
        <v>2165</v>
      </c>
      <c r="B284" t="s">
        <v>872</v>
      </c>
      <c r="C284" s="19">
        <v>39000</v>
      </c>
      <c r="D284" s="19">
        <v>14632.498820810742</v>
      </c>
      <c r="E284" s="19">
        <v>123391</v>
      </c>
      <c r="F284" s="19">
        <v>177023.49882081075</v>
      </c>
      <c r="G284" s="19">
        <v>4586.7249999999985</v>
      </c>
      <c r="H284" s="19">
        <v>2898.9596475107974</v>
      </c>
      <c r="I284" s="19">
        <v>6788.3999999999942</v>
      </c>
      <c r="J284" s="19">
        <v>14274.08464751079</v>
      </c>
      <c r="K284" s="19">
        <v>43586.724999999999</v>
      </c>
      <c r="L284" s="19">
        <v>17531.45846832154</v>
      </c>
      <c r="M284" s="19">
        <v>130179.4</v>
      </c>
      <c r="N284" s="19">
        <v>191297.58346832154</v>
      </c>
      <c r="P284">
        <v>2168</v>
      </c>
      <c r="Q284">
        <v>1</v>
      </c>
      <c r="R284" t="s">
        <v>291</v>
      </c>
      <c r="S284" s="12">
        <v>33480</v>
      </c>
      <c r="T284" s="12">
        <v>9861.9854815708059</v>
      </c>
      <c r="U284" s="12">
        <v>125578</v>
      </c>
      <c r="V284" s="12">
        <v>168919.98548157082</v>
      </c>
      <c r="W284" s="12">
        <v>37417.527000000002</v>
      </c>
      <c r="X284" s="12">
        <v>11815.821139138079</v>
      </c>
      <c r="Y284" s="12">
        <v>131876.4</v>
      </c>
      <c r="Z284" s="12">
        <v>181109.74813913807</v>
      </c>
      <c r="AA284" s="12">
        <v>3937.5270000000019</v>
      </c>
      <c r="AB284" s="12">
        <v>1953.8356575672733</v>
      </c>
      <c r="AC284" s="12">
        <v>6298.3999999999942</v>
      </c>
      <c r="AD284" s="12">
        <v>12189.762657567269</v>
      </c>
      <c r="AI284" s="12"/>
    </row>
    <row r="285" spans="1:35" x14ac:dyDescent="0.25">
      <c r="A285">
        <v>2167</v>
      </c>
      <c r="B285" t="s">
        <v>873</v>
      </c>
      <c r="C285" s="19">
        <v>30000</v>
      </c>
      <c r="D285" s="19">
        <v>7179.3940006724506</v>
      </c>
      <c r="E285" s="19">
        <v>92177</v>
      </c>
      <c r="F285" s="19">
        <v>129356.39400067244</v>
      </c>
      <c r="G285" s="19">
        <v>3528.25</v>
      </c>
      <c r="H285" s="19">
        <v>1422.3663200936016</v>
      </c>
      <c r="I285" s="19">
        <v>5085.1999999999971</v>
      </c>
      <c r="J285" s="19">
        <v>10035.8163200936</v>
      </c>
      <c r="K285" s="19">
        <v>33528.25</v>
      </c>
      <c r="L285" s="19">
        <v>8601.7603207660522</v>
      </c>
      <c r="M285" s="19">
        <v>97262.2</v>
      </c>
      <c r="N285" s="19">
        <v>139392.21032076605</v>
      </c>
      <c r="P285">
        <v>2169</v>
      </c>
      <c r="Q285">
        <v>1</v>
      </c>
      <c r="R285" t="s">
        <v>292</v>
      </c>
      <c r="S285" s="12">
        <v>36240</v>
      </c>
      <c r="T285" s="12">
        <v>9234.1007846522662</v>
      </c>
      <c r="U285" s="12">
        <v>106477</v>
      </c>
      <c r="V285" s="12">
        <v>151951.10078465228</v>
      </c>
      <c r="W285" s="12">
        <v>40502.125999999997</v>
      </c>
      <c r="X285" s="12">
        <v>11063.541257094519</v>
      </c>
      <c r="Y285" s="12">
        <v>111018.2</v>
      </c>
      <c r="Z285" s="12">
        <v>162583.86725709451</v>
      </c>
      <c r="AA285" s="12">
        <v>4262.1259999999966</v>
      </c>
      <c r="AB285" s="12">
        <v>1829.4404724422529</v>
      </c>
      <c r="AC285" s="12">
        <v>4541.1999999999971</v>
      </c>
      <c r="AD285" s="12">
        <v>10632.766472442247</v>
      </c>
      <c r="AI285" s="12"/>
    </row>
    <row r="286" spans="1:35" x14ac:dyDescent="0.25">
      <c r="A286">
        <v>2168</v>
      </c>
      <c r="B286" t="s">
        <v>874</v>
      </c>
      <c r="C286" s="19">
        <v>33480</v>
      </c>
      <c r="D286" s="19">
        <v>9861.9854815708059</v>
      </c>
      <c r="E286" s="19">
        <v>125578</v>
      </c>
      <c r="F286" s="19">
        <v>168919.98548157082</v>
      </c>
      <c r="G286" s="19">
        <v>3937.5270000000019</v>
      </c>
      <c r="H286" s="19">
        <v>1953.8356575672733</v>
      </c>
      <c r="I286" s="19">
        <v>6298.3999999999942</v>
      </c>
      <c r="J286" s="19">
        <v>12189.762657567269</v>
      </c>
      <c r="K286" s="19">
        <v>37417.527000000002</v>
      </c>
      <c r="L286" s="19">
        <v>11815.821139138079</v>
      </c>
      <c r="M286" s="19">
        <v>131876.4</v>
      </c>
      <c r="N286" s="19">
        <v>181109.74813913807</v>
      </c>
      <c r="P286">
        <v>2170</v>
      </c>
      <c r="Q286">
        <v>1</v>
      </c>
      <c r="R286" t="s">
        <v>293</v>
      </c>
      <c r="S286" s="12">
        <v>68400</v>
      </c>
      <c r="T286" s="12">
        <v>20798.749899302649</v>
      </c>
      <c r="U286" s="12">
        <v>155362</v>
      </c>
      <c r="V286" s="12">
        <v>244560.74989930267</v>
      </c>
      <c r="W286" s="12">
        <v>76444.41</v>
      </c>
      <c r="X286" s="12">
        <v>24919.354138887127</v>
      </c>
      <c r="Y286" s="12">
        <v>164460</v>
      </c>
      <c r="Z286" s="12">
        <v>265823.76413888711</v>
      </c>
      <c r="AA286" s="12">
        <v>8044.4100000000035</v>
      </c>
      <c r="AB286" s="12">
        <v>4120.6042395844779</v>
      </c>
      <c r="AC286" s="12">
        <v>9098</v>
      </c>
      <c r="AD286" s="12">
        <v>21263.014239584481</v>
      </c>
      <c r="AI286" s="12"/>
    </row>
    <row r="287" spans="1:35" x14ac:dyDescent="0.25">
      <c r="A287">
        <v>2169</v>
      </c>
      <c r="B287" t="s">
        <v>875</v>
      </c>
      <c r="C287" s="19">
        <v>36240</v>
      </c>
      <c r="D287" s="19">
        <v>9234.1007846522662</v>
      </c>
      <c r="E287" s="19">
        <v>106477</v>
      </c>
      <c r="F287" s="19">
        <v>151951.10078465228</v>
      </c>
      <c r="G287" s="19">
        <v>4262.1259999999966</v>
      </c>
      <c r="H287" s="19">
        <v>1829.4404724422529</v>
      </c>
      <c r="I287" s="19">
        <v>4541.1999999999971</v>
      </c>
      <c r="J287" s="19">
        <v>10632.766472442247</v>
      </c>
      <c r="K287" s="19">
        <v>40502.125999999997</v>
      </c>
      <c r="L287" s="19">
        <v>11063.541257094519</v>
      </c>
      <c r="M287" s="19">
        <v>111018.2</v>
      </c>
      <c r="N287" s="19">
        <v>162583.86725709451</v>
      </c>
      <c r="P287">
        <v>2171</v>
      </c>
      <c r="Q287">
        <v>1</v>
      </c>
      <c r="R287" t="s">
        <v>294</v>
      </c>
      <c r="S287" s="12">
        <v>18000</v>
      </c>
      <c r="T287" s="12">
        <v>2831.4378536151626</v>
      </c>
      <c r="U287" s="12">
        <v>38868</v>
      </c>
      <c r="V287" s="12">
        <v>59699.437853615163</v>
      </c>
      <c r="W287" s="12">
        <v>20116.95</v>
      </c>
      <c r="X287" s="12">
        <v>3392.3963189178203</v>
      </c>
      <c r="Y287" s="12">
        <v>40867.599999999999</v>
      </c>
      <c r="Z287" s="12">
        <v>64376.94631891782</v>
      </c>
      <c r="AA287" s="12">
        <v>2116.9500000000007</v>
      </c>
      <c r="AB287" s="12">
        <v>560.95846530265771</v>
      </c>
      <c r="AC287" s="12">
        <v>1999.5999999999985</v>
      </c>
      <c r="AD287" s="12">
        <v>4677.508465302657</v>
      </c>
      <c r="AI287" s="12"/>
    </row>
    <row r="288" spans="1:35" x14ac:dyDescent="0.25">
      <c r="A288">
        <v>2170</v>
      </c>
      <c r="B288" t="s">
        <v>876</v>
      </c>
      <c r="C288" s="19">
        <v>68400</v>
      </c>
      <c r="D288" s="19">
        <v>20798.749899302649</v>
      </c>
      <c r="E288" s="19">
        <v>155362</v>
      </c>
      <c r="F288" s="19">
        <v>244560.74989930267</v>
      </c>
      <c r="G288" s="19">
        <v>8044.4100000000035</v>
      </c>
      <c r="H288" s="19">
        <v>4120.6042395844779</v>
      </c>
      <c r="I288" s="19">
        <v>9098</v>
      </c>
      <c r="J288" s="19">
        <v>21263.014239584481</v>
      </c>
      <c r="K288" s="19">
        <v>76444.41</v>
      </c>
      <c r="L288" s="19">
        <v>24919.354138887127</v>
      </c>
      <c r="M288" s="19">
        <v>164460</v>
      </c>
      <c r="N288" s="19">
        <v>265823.76413888711</v>
      </c>
      <c r="P288">
        <v>2172</v>
      </c>
      <c r="Q288">
        <v>1</v>
      </c>
      <c r="R288" t="s">
        <v>295</v>
      </c>
      <c r="S288" s="12">
        <v>43200</v>
      </c>
      <c r="T288" s="12">
        <v>9520.4240290131274</v>
      </c>
      <c r="U288" s="12">
        <v>106661</v>
      </c>
      <c r="V288" s="12">
        <v>159381.42402901314</v>
      </c>
      <c r="W288" s="12">
        <v>48280.68</v>
      </c>
      <c r="X288" s="12">
        <v>11406.590255662584</v>
      </c>
      <c r="Y288" s="12">
        <v>110367</v>
      </c>
      <c r="Z288" s="12">
        <v>170054.27025566259</v>
      </c>
      <c r="AA288" s="12">
        <v>5080.68</v>
      </c>
      <c r="AB288" s="12">
        <v>1886.1662266494568</v>
      </c>
      <c r="AC288" s="12">
        <v>3706</v>
      </c>
      <c r="AD288" s="12">
        <v>10672.846226649457</v>
      </c>
      <c r="AI288" s="12"/>
    </row>
    <row r="289" spans="1:35" x14ac:dyDescent="0.25">
      <c r="A289">
        <v>2171</v>
      </c>
      <c r="B289" t="s">
        <v>877</v>
      </c>
      <c r="C289" s="19">
        <v>18000</v>
      </c>
      <c r="D289" s="19">
        <v>2831.4378536151626</v>
      </c>
      <c r="E289" s="19">
        <v>38868</v>
      </c>
      <c r="F289" s="19">
        <v>59699.437853615163</v>
      </c>
      <c r="G289" s="19">
        <v>2116.9500000000007</v>
      </c>
      <c r="H289" s="19">
        <v>560.95846530265771</v>
      </c>
      <c r="I289" s="19">
        <v>1999.5999999999985</v>
      </c>
      <c r="J289" s="19">
        <v>4677.508465302657</v>
      </c>
      <c r="K289" s="19">
        <v>20116.95</v>
      </c>
      <c r="L289" s="19">
        <v>3392.3963189178203</v>
      </c>
      <c r="M289" s="19">
        <v>40867.599999999999</v>
      </c>
      <c r="N289" s="19">
        <v>64376.94631891782</v>
      </c>
      <c r="P289">
        <v>2174</v>
      </c>
      <c r="Q289">
        <v>1</v>
      </c>
      <c r="R289" t="s">
        <v>296</v>
      </c>
      <c r="S289" s="12">
        <v>54840</v>
      </c>
      <c r="T289" s="12">
        <v>16636.406410244701</v>
      </c>
      <c r="U289" s="12">
        <v>117862</v>
      </c>
      <c r="V289" s="12">
        <v>189338.4064102447</v>
      </c>
      <c r="W289" s="12">
        <v>61289.641000000003</v>
      </c>
      <c r="X289" s="12">
        <v>19932.375981367972</v>
      </c>
      <c r="Y289" s="12">
        <v>122737.2</v>
      </c>
      <c r="Z289" s="12">
        <v>203959.21698136796</v>
      </c>
      <c r="AA289" s="12">
        <v>6449.6410000000033</v>
      </c>
      <c r="AB289" s="12">
        <v>3295.9695711232707</v>
      </c>
      <c r="AC289" s="12">
        <v>4875.1999999999971</v>
      </c>
      <c r="AD289" s="12">
        <v>14620.810571123271</v>
      </c>
      <c r="AI289" s="12"/>
    </row>
    <row r="290" spans="1:35" x14ac:dyDescent="0.25">
      <c r="A290">
        <v>2172</v>
      </c>
      <c r="B290" t="s">
        <v>878</v>
      </c>
      <c r="C290" s="19">
        <v>43200</v>
      </c>
      <c r="D290" s="19">
        <v>9520.4240290131274</v>
      </c>
      <c r="E290" s="19">
        <v>106661</v>
      </c>
      <c r="F290" s="19">
        <v>159381.42402901314</v>
      </c>
      <c r="G290" s="19">
        <v>5080.68</v>
      </c>
      <c r="H290" s="19">
        <v>1886.1662266494568</v>
      </c>
      <c r="I290" s="19">
        <v>3706</v>
      </c>
      <c r="J290" s="19">
        <v>10672.846226649457</v>
      </c>
      <c r="K290" s="19">
        <v>48280.68</v>
      </c>
      <c r="L290" s="19">
        <v>11406.590255662584</v>
      </c>
      <c r="M290" s="19">
        <v>110367</v>
      </c>
      <c r="N290" s="19">
        <v>170054.27025566259</v>
      </c>
      <c r="P290">
        <v>2176</v>
      </c>
      <c r="Q290">
        <v>1</v>
      </c>
      <c r="R290" t="s">
        <v>297</v>
      </c>
      <c r="S290" s="12">
        <v>25440</v>
      </c>
      <c r="T290" s="12">
        <v>6269.0923914058912</v>
      </c>
      <c r="U290" s="12">
        <v>53464</v>
      </c>
      <c r="V290" s="12">
        <v>85173.092391405895</v>
      </c>
      <c r="W290" s="12">
        <v>28431.955999999998</v>
      </c>
      <c r="X290" s="12">
        <v>7511.1116863847701</v>
      </c>
      <c r="Y290" s="12">
        <v>55782.8</v>
      </c>
      <c r="Z290" s="12">
        <v>91725.867686384765</v>
      </c>
      <c r="AA290" s="12">
        <v>2991.9559999999983</v>
      </c>
      <c r="AB290" s="12">
        <v>1242.0192949788789</v>
      </c>
      <c r="AC290" s="12">
        <v>2318.8000000000029</v>
      </c>
      <c r="AD290" s="12">
        <v>6552.7752949788801</v>
      </c>
      <c r="AI290" s="12"/>
    </row>
    <row r="291" spans="1:35" x14ac:dyDescent="0.25">
      <c r="A291">
        <v>2174</v>
      </c>
      <c r="B291" t="s">
        <v>879</v>
      </c>
      <c r="C291" s="19">
        <v>54840</v>
      </c>
      <c r="D291" s="19">
        <v>16636.406410244701</v>
      </c>
      <c r="E291" s="19">
        <v>117862</v>
      </c>
      <c r="F291" s="19">
        <v>189338.4064102447</v>
      </c>
      <c r="G291" s="19">
        <v>6449.6410000000033</v>
      </c>
      <c r="H291" s="19">
        <v>3295.9695711232707</v>
      </c>
      <c r="I291" s="19">
        <v>4875.1999999999971</v>
      </c>
      <c r="J291" s="19">
        <v>14620.810571123271</v>
      </c>
      <c r="K291" s="19">
        <v>61289.641000000003</v>
      </c>
      <c r="L291" s="19">
        <v>19932.375981367972</v>
      </c>
      <c r="M291" s="19">
        <v>122737.2</v>
      </c>
      <c r="N291" s="19">
        <v>203959.21698136796</v>
      </c>
      <c r="P291">
        <v>2180</v>
      </c>
      <c r="Q291">
        <v>1</v>
      </c>
      <c r="R291" t="s">
        <v>298</v>
      </c>
      <c r="S291" s="12">
        <v>31680</v>
      </c>
      <c r="T291" s="12">
        <v>9505.6808775656482</v>
      </c>
      <c r="U291" s="12">
        <v>79826</v>
      </c>
      <c r="V291" s="12">
        <v>121011.68087756564</v>
      </c>
      <c r="W291" s="12">
        <v>35405.832000000002</v>
      </c>
      <c r="X291" s="12">
        <v>11388.926222303766</v>
      </c>
      <c r="Y291" s="12">
        <v>83993.2</v>
      </c>
      <c r="Z291" s="12">
        <v>130787.95822230377</v>
      </c>
      <c r="AA291" s="12">
        <v>3725.8320000000022</v>
      </c>
      <c r="AB291" s="12">
        <v>1883.2453447381176</v>
      </c>
      <c r="AC291" s="12">
        <v>4167.1999999999971</v>
      </c>
      <c r="AD291" s="12">
        <v>9776.2773447381169</v>
      </c>
      <c r="AI291" s="12"/>
    </row>
    <row r="292" spans="1:35" x14ac:dyDescent="0.25">
      <c r="A292">
        <v>2176</v>
      </c>
      <c r="B292" t="s">
        <v>880</v>
      </c>
      <c r="C292" s="19">
        <v>25440</v>
      </c>
      <c r="D292" s="19">
        <v>6269.0923914058912</v>
      </c>
      <c r="E292" s="19">
        <v>53464</v>
      </c>
      <c r="F292" s="19">
        <v>85173.092391405895</v>
      </c>
      <c r="G292" s="19">
        <v>2991.9559999999983</v>
      </c>
      <c r="H292" s="19">
        <v>1242.0192949788789</v>
      </c>
      <c r="I292" s="19">
        <v>2318.8000000000029</v>
      </c>
      <c r="J292" s="19">
        <v>6552.7752949788801</v>
      </c>
      <c r="K292" s="19">
        <v>28431.955999999998</v>
      </c>
      <c r="L292" s="19">
        <v>7511.1116863847701</v>
      </c>
      <c r="M292" s="19">
        <v>55782.8</v>
      </c>
      <c r="N292" s="19">
        <v>91725.867686384765</v>
      </c>
      <c r="P292">
        <v>2184</v>
      </c>
      <c r="Q292">
        <v>1</v>
      </c>
      <c r="R292" t="s">
        <v>299</v>
      </c>
      <c r="S292" s="12">
        <v>50880</v>
      </c>
      <c r="T292" s="12">
        <v>12607.278339725886</v>
      </c>
      <c r="U292" s="12">
        <v>141960</v>
      </c>
      <c r="V292" s="12">
        <v>205447.27833972589</v>
      </c>
      <c r="W292" s="12">
        <v>56863.911999999997</v>
      </c>
      <c r="X292" s="12">
        <v>15105.005598710708</v>
      </c>
      <c r="Y292" s="12">
        <v>149863.6</v>
      </c>
      <c r="Z292" s="12">
        <v>221832.51759871072</v>
      </c>
      <c r="AA292" s="12">
        <v>5983.9119999999966</v>
      </c>
      <c r="AB292" s="12">
        <v>2497.7272589848217</v>
      </c>
      <c r="AC292" s="12">
        <v>7903.6000000000058</v>
      </c>
      <c r="AD292" s="12">
        <v>16385.239258984824</v>
      </c>
      <c r="AI292" s="12"/>
    </row>
    <row r="293" spans="1:35" x14ac:dyDescent="0.25">
      <c r="A293">
        <v>2180</v>
      </c>
      <c r="B293" t="s">
        <v>881</v>
      </c>
      <c r="C293" s="19">
        <v>31680</v>
      </c>
      <c r="D293" s="19">
        <v>9505.6808775656482</v>
      </c>
      <c r="E293" s="19">
        <v>79826</v>
      </c>
      <c r="F293" s="19">
        <v>121011.68087756564</v>
      </c>
      <c r="G293" s="19">
        <v>3725.8320000000022</v>
      </c>
      <c r="H293" s="19">
        <v>1883.2453447381176</v>
      </c>
      <c r="I293" s="19">
        <v>4167.1999999999971</v>
      </c>
      <c r="J293" s="19">
        <v>9776.2773447381169</v>
      </c>
      <c r="K293" s="19">
        <v>35405.832000000002</v>
      </c>
      <c r="L293" s="19">
        <v>11388.926222303766</v>
      </c>
      <c r="M293" s="19">
        <v>83993.2</v>
      </c>
      <c r="N293" s="19">
        <v>130787.95822230377</v>
      </c>
      <c r="P293">
        <v>2190</v>
      </c>
      <c r="Q293">
        <v>1</v>
      </c>
      <c r="R293" t="s">
        <v>300</v>
      </c>
      <c r="S293" s="12">
        <v>39480</v>
      </c>
      <c r="T293" s="12">
        <v>10853.460391008375</v>
      </c>
      <c r="U293" s="12">
        <v>96066</v>
      </c>
      <c r="V293" s="12">
        <v>146399.46039100838</v>
      </c>
      <c r="W293" s="12">
        <v>44123.177000000003</v>
      </c>
      <c r="X293" s="12">
        <v>13003.724955844111</v>
      </c>
      <c r="Y293" s="12">
        <v>100834.4</v>
      </c>
      <c r="Z293" s="12">
        <v>157961.3019558441</v>
      </c>
      <c r="AA293" s="12">
        <v>4643.1770000000033</v>
      </c>
      <c r="AB293" s="12">
        <v>2150.2645648357357</v>
      </c>
      <c r="AC293" s="12">
        <v>4768.3999999999942</v>
      </c>
      <c r="AD293" s="12">
        <v>11561.841564835733</v>
      </c>
      <c r="AI293" s="12"/>
    </row>
    <row r="294" spans="1:35" x14ac:dyDescent="0.25">
      <c r="A294">
        <v>2184</v>
      </c>
      <c r="B294" t="s">
        <v>882</v>
      </c>
      <c r="C294" s="19">
        <v>50880</v>
      </c>
      <c r="D294" s="19">
        <v>12607.278339725886</v>
      </c>
      <c r="E294" s="19">
        <v>141960</v>
      </c>
      <c r="F294" s="19">
        <v>205447.27833972589</v>
      </c>
      <c r="G294" s="19">
        <v>5983.9119999999966</v>
      </c>
      <c r="H294" s="19">
        <v>2497.7272589848217</v>
      </c>
      <c r="I294" s="19">
        <v>7903.6000000000058</v>
      </c>
      <c r="J294" s="19">
        <v>16385.239258984824</v>
      </c>
      <c r="K294" s="19">
        <v>56863.911999999997</v>
      </c>
      <c r="L294" s="19">
        <v>15105.005598710708</v>
      </c>
      <c r="M294" s="19">
        <v>149863.6</v>
      </c>
      <c r="N294" s="19">
        <v>221832.51759871072</v>
      </c>
      <c r="P294">
        <v>2198</v>
      </c>
      <c r="Q294">
        <v>1</v>
      </c>
      <c r="R294" t="s">
        <v>301</v>
      </c>
      <c r="S294" s="12">
        <v>35400</v>
      </c>
      <c r="T294" s="12">
        <v>7280.1045870339749</v>
      </c>
      <c r="U294" s="12">
        <v>80212</v>
      </c>
      <c r="V294" s="12">
        <v>122892.10458703397</v>
      </c>
      <c r="W294" s="12">
        <v>39563.334999999999</v>
      </c>
      <c r="X294" s="12">
        <v>8722.4234750050455</v>
      </c>
      <c r="Y294" s="12">
        <v>83126.399999999994</v>
      </c>
      <c r="Z294" s="12">
        <v>131412.15847500504</v>
      </c>
      <c r="AA294" s="12">
        <v>4163.3349999999991</v>
      </c>
      <c r="AB294" s="12">
        <v>1442.3188879710706</v>
      </c>
      <c r="AC294" s="12">
        <v>2914.3999999999942</v>
      </c>
      <c r="AD294" s="12">
        <v>8520.0538879710639</v>
      </c>
      <c r="AI294" s="12"/>
    </row>
    <row r="295" spans="1:35" x14ac:dyDescent="0.25">
      <c r="A295">
        <v>2190</v>
      </c>
      <c r="B295" t="s">
        <v>883</v>
      </c>
      <c r="C295" s="19">
        <v>39480</v>
      </c>
      <c r="D295" s="19">
        <v>10853.460391008375</v>
      </c>
      <c r="E295" s="19">
        <v>96066</v>
      </c>
      <c r="F295" s="19">
        <v>146399.46039100838</v>
      </c>
      <c r="G295" s="19">
        <v>4643.1770000000033</v>
      </c>
      <c r="H295" s="19">
        <v>2150.2645648357357</v>
      </c>
      <c r="I295" s="19">
        <v>4768.3999999999942</v>
      </c>
      <c r="J295" s="19">
        <v>11561.841564835733</v>
      </c>
      <c r="K295" s="19">
        <v>44123.177000000003</v>
      </c>
      <c r="L295" s="19">
        <v>13003.724955844111</v>
      </c>
      <c r="M295" s="19">
        <v>100834.4</v>
      </c>
      <c r="N295" s="19">
        <v>157961.3019558441</v>
      </c>
      <c r="P295">
        <v>2215</v>
      </c>
      <c r="Q295">
        <v>1</v>
      </c>
      <c r="R295" t="s">
        <v>302</v>
      </c>
      <c r="S295" s="12">
        <v>18000</v>
      </c>
      <c r="T295" s="12">
        <v>4281.5259983337583</v>
      </c>
      <c r="U295" s="12">
        <v>44827</v>
      </c>
      <c r="V295" s="12">
        <v>67108.52599833376</v>
      </c>
      <c r="W295" s="12">
        <v>20116.95</v>
      </c>
      <c r="X295" s="12">
        <v>5129.772852882299</v>
      </c>
      <c r="Y295" s="12">
        <v>46883.4</v>
      </c>
      <c r="Z295" s="12">
        <v>72130.122852882298</v>
      </c>
      <c r="AA295" s="12">
        <v>2116.9500000000007</v>
      </c>
      <c r="AB295" s="12">
        <v>848.2468545485408</v>
      </c>
      <c r="AC295" s="12">
        <v>2056.4000000000015</v>
      </c>
      <c r="AD295" s="12">
        <v>5021.596854548543</v>
      </c>
      <c r="AI295" s="12"/>
    </row>
    <row r="296" spans="1:35" x14ac:dyDescent="0.25">
      <c r="A296">
        <v>2198</v>
      </c>
      <c r="B296" t="s">
        <v>884</v>
      </c>
      <c r="C296" s="19">
        <v>35400</v>
      </c>
      <c r="D296" s="19">
        <v>7280.1045870339749</v>
      </c>
      <c r="E296" s="19">
        <v>80212</v>
      </c>
      <c r="F296" s="19">
        <v>122892.10458703397</v>
      </c>
      <c r="G296" s="19">
        <v>4163.3349999999991</v>
      </c>
      <c r="H296" s="19">
        <v>1442.3188879710706</v>
      </c>
      <c r="I296" s="19">
        <v>2914.3999999999942</v>
      </c>
      <c r="J296" s="19">
        <v>8520.0538879710639</v>
      </c>
      <c r="K296" s="19">
        <v>39563.334999999999</v>
      </c>
      <c r="L296" s="19">
        <v>8722.4234750050455</v>
      </c>
      <c r="M296" s="19">
        <v>83126.399999999994</v>
      </c>
      <c r="N296" s="19">
        <v>131412.15847500504</v>
      </c>
      <c r="P296">
        <v>2310</v>
      </c>
      <c r="Q296">
        <v>1</v>
      </c>
      <c r="R296" t="s">
        <v>303</v>
      </c>
      <c r="S296" s="12">
        <v>61320</v>
      </c>
      <c r="T296" s="12">
        <v>16449.905949515171</v>
      </c>
      <c r="U296" s="12">
        <v>160320</v>
      </c>
      <c r="V296" s="12">
        <v>238089.90594951517</v>
      </c>
      <c r="W296" s="12">
        <v>68531.743000000002</v>
      </c>
      <c r="X296" s="12">
        <v>19708.926444713819</v>
      </c>
      <c r="Y296" s="12">
        <v>168234</v>
      </c>
      <c r="Z296" s="12">
        <v>256474.66944471383</v>
      </c>
      <c r="AA296" s="12">
        <v>7211.7430000000022</v>
      </c>
      <c r="AB296" s="12">
        <v>3259.0204951986489</v>
      </c>
      <c r="AC296" s="12">
        <v>7914</v>
      </c>
      <c r="AD296" s="12">
        <v>18384.763495198651</v>
      </c>
      <c r="AI296" s="12"/>
    </row>
    <row r="297" spans="1:35" x14ac:dyDescent="0.25">
      <c r="A297">
        <v>2215</v>
      </c>
      <c r="B297" t="s">
        <v>885</v>
      </c>
      <c r="C297" s="19">
        <v>18000</v>
      </c>
      <c r="D297" s="19">
        <v>4281.5259983337583</v>
      </c>
      <c r="E297" s="19">
        <v>44827</v>
      </c>
      <c r="F297" s="19">
        <v>67108.52599833376</v>
      </c>
      <c r="G297" s="19">
        <v>2116.9500000000007</v>
      </c>
      <c r="H297" s="19">
        <v>848.2468545485408</v>
      </c>
      <c r="I297" s="19">
        <v>2056.4000000000015</v>
      </c>
      <c r="J297" s="19">
        <v>5021.596854548543</v>
      </c>
      <c r="K297" s="19">
        <v>20116.95</v>
      </c>
      <c r="L297" s="19">
        <v>5129.772852882299</v>
      </c>
      <c r="M297" s="19">
        <v>46883.4</v>
      </c>
      <c r="N297" s="19">
        <v>72130.122852882298</v>
      </c>
      <c r="P297">
        <v>2311</v>
      </c>
      <c r="Q297">
        <v>1</v>
      </c>
      <c r="R297" t="s">
        <v>304</v>
      </c>
      <c r="S297" s="12">
        <v>21960</v>
      </c>
      <c r="T297" s="12">
        <v>6792.8928515881789</v>
      </c>
      <c r="U297" s="12">
        <v>51747</v>
      </c>
      <c r="V297" s="12">
        <v>80499.892851588171</v>
      </c>
      <c r="W297" s="12">
        <v>24542.679</v>
      </c>
      <c r="X297" s="12">
        <v>8138.6863833540392</v>
      </c>
      <c r="Y297" s="12">
        <v>54265.4</v>
      </c>
      <c r="Z297" s="12">
        <v>86946.765383354039</v>
      </c>
      <c r="AA297" s="12">
        <v>2582.6790000000001</v>
      </c>
      <c r="AB297" s="12">
        <v>1345.7935317658603</v>
      </c>
      <c r="AC297" s="12">
        <v>2518.4000000000015</v>
      </c>
      <c r="AD297" s="12">
        <v>6446.8725317658618</v>
      </c>
      <c r="AI297" s="12"/>
    </row>
    <row r="298" spans="1:35" x14ac:dyDescent="0.25">
      <c r="A298">
        <v>2310</v>
      </c>
      <c r="B298" t="s">
        <v>886</v>
      </c>
      <c r="C298" s="19">
        <v>61320</v>
      </c>
      <c r="D298" s="19">
        <v>16449.905949515171</v>
      </c>
      <c r="E298" s="19">
        <v>160320</v>
      </c>
      <c r="F298" s="19">
        <v>238089.90594951517</v>
      </c>
      <c r="G298" s="19">
        <v>7211.7430000000022</v>
      </c>
      <c r="H298" s="19">
        <v>3259.0204951986489</v>
      </c>
      <c r="I298" s="19">
        <v>7914</v>
      </c>
      <c r="J298" s="19">
        <v>18384.763495198651</v>
      </c>
      <c r="K298" s="19">
        <v>68531.743000000002</v>
      </c>
      <c r="L298" s="19">
        <v>19708.926444713819</v>
      </c>
      <c r="M298" s="19">
        <v>168234</v>
      </c>
      <c r="N298" s="19">
        <v>256474.66944471383</v>
      </c>
      <c r="P298">
        <v>2342</v>
      </c>
      <c r="Q298">
        <v>1</v>
      </c>
      <c r="R298" t="s">
        <v>305</v>
      </c>
      <c r="S298" s="12">
        <v>31560</v>
      </c>
      <c r="T298" s="12">
        <v>9420.9563664738725</v>
      </c>
      <c r="U298" s="12">
        <v>101446</v>
      </c>
      <c r="V298" s="12">
        <v>142426.95636647387</v>
      </c>
      <c r="W298" s="12">
        <v>35271.718999999997</v>
      </c>
      <c r="X298" s="12">
        <v>11287.416270678701</v>
      </c>
      <c r="Y298" s="12">
        <v>107492.4</v>
      </c>
      <c r="Z298" s="12">
        <v>154051.53527067869</v>
      </c>
      <c r="AA298" s="12">
        <v>3711.7189999999973</v>
      </c>
      <c r="AB298" s="12">
        <v>1866.4599042048285</v>
      </c>
      <c r="AC298" s="12">
        <v>6046.3999999999942</v>
      </c>
      <c r="AD298" s="12">
        <v>11624.57890420482</v>
      </c>
      <c r="AI298" s="12"/>
    </row>
    <row r="299" spans="1:35" x14ac:dyDescent="0.25">
      <c r="A299">
        <v>2311</v>
      </c>
      <c r="B299" t="s">
        <v>887</v>
      </c>
      <c r="C299" s="19">
        <v>21960</v>
      </c>
      <c r="D299" s="19">
        <v>6792.8928515881789</v>
      </c>
      <c r="E299" s="19">
        <v>51747</v>
      </c>
      <c r="F299" s="19">
        <v>80499.892851588171</v>
      </c>
      <c r="G299" s="19">
        <v>2582.6790000000001</v>
      </c>
      <c r="H299" s="19">
        <v>1345.7935317658603</v>
      </c>
      <c r="I299" s="19">
        <v>2518.4000000000015</v>
      </c>
      <c r="J299" s="19">
        <v>6446.8725317658618</v>
      </c>
      <c r="K299" s="19">
        <v>24542.679</v>
      </c>
      <c r="L299" s="19">
        <v>8138.6863833540392</v>
      </c>
      <c r="M299" s="19">
        <v>54265.4</v>
      </c>
      <c r="N299" s="19">
        <v>86946.765383354039</v>
      </c>
      <c r="P299">
        <v>2358</v>
      </c>
      <c r="Q299">
        <v>1</v>
      </c>
      <c r="R299" t="s">
        <v>306</v>
      </c>
      <c r="S299" s="12">
        <v>18000</v>
      </c>
      <c r="T299" s="12">
        <v>2528.9509734385142</v>
      </c>
      <c r="U299" s="12">
        <v>27599</v>
      </c>
      <c r="V299" s="12">
        <v>48127.950973438514</v>
      </c>
      <c r="W299" s="12">
        <v>20116.95</v>
      </c>
      <c r="X299" s="12">
        <v>3029.9813792708101</v>
      </c>
      <c r="Y299" s="12">
        <v>29205.8</v>
      </c>
      <c r="Z299" s="12">
        <v>52352.731379270816</v>
      </c>
      <c r="AA299" s="12">
        <v>2116.9500000000007</v>
      </c>
      <c r="AB299" s="12">
        <v>501.03040583229586</v>
      </c>
      <c r="AC299" s="12">
        <v>1606.7999999999993</v>
      </c>
      <c r="AD299" s="12">
        <v>4224.7804058322963</v>
      </c>
      <c r="AI299" s="12"/>
    </row>
    <row r="300" spans="1:35" x14ac:dyDescent="0.25">
      <c r="A300">
        <v>2342</v>
      </c>
      <c r="B300" t="s">
        <v>888</v>
      </c>
      <c r="C300" s="19">
        <v>31560</v>
      </c>
      <c r="D300" s="19">
        <v>9420.9563664738725</v>
      </c>
      <c r="E300" s="19">
        <v>101446</v>
      </c>
      <c r="F300" s="19">
        <v>142426.95636647387</v>
      </c>
      <c r="G300" s="19">
        <v>3711.7189999999973</v>
      </c>
      <c r="H300" s="19">
        <v>1866.4599042048285</v>
      </c>
      <c r="I300" s="19">
        <v>6046.3999999999942</v>
      </c>
      <c r="J300" s="19">
        <v>11624.57890420482</v>
      </c>
      <c r="K300" s="19">
        <v>35271.718999999997</v>
      </c>
      <c r="L300" s="19">
        <v>11287.416270678701</v>
      </c>
      <c r="M300" s="19">
        <v>107492.4</v>
      </c>
      <c r="N300" s="19">
        <v>154051.53527067869</v>
      </c>
      <c r="P300">
        <v>2364</v>
      </c>
      <c r="Q300">
        <v>1</v>
      </c>
      <c r="R300" t="s">
        <v>307</v>
      </c>
      <c r="S300" s="12">
        <v>20880</v>
      </c>
      <c r="T300" s="12">
        <v>7044.9356583110457</v>
      </c>
      <c r="U300" s="12">
        <v>90844</v>
      </c>
      <c r="V300" s="12">
        <v>118768.93565831105</v>
      </c>
      <c r="W300" s="12">
        <v>23335.662</v>
      </c>
      <c r="X300" s="12">
        <v>8440.6633766490449</v>
      </c>
      <c r="Y300" s="12">
        <v>96540.800000000003</v>
      </c>
      <c r="Z300" s="12">
        <v>128317.12537664906</v>
      </c>
      <c r="AA300" s="12">
        <v>2455.6620000000003</v>
      </c>
      <c r="AB300" s="12">
        <v>1395.7277183379992</v>
      </c>
      <c r="AC300" s="12">
        <v>5696.8000000000029</v>
      </c>
      <c r="AD300" s="12">
        <v>9548.1897183380024</v>
      </c>
      <c r="AI300" s="12"/>
    </row>
    <row r="301" spans="1:35" x14ac:dyDescent="0.25">
      <c r="A301">
        <v>2358</v>
      </c>
      <c r="B301" t="s">
        <v>889</v>
      </c>
      <c r="C301" s="19">
        <v>18000</v>
      </c>
      <c r="D301" s="19">
        <v>2528.9509734385142</v>
      </c>
      <c r="E301" s="19">
        <v>27599</v>
      </c>
      <c r="F301" s="19">
        <v>48127.950973438514</v>
      </c>
      <c r="G301" s="19">
        <v>2116.9500000000007</v>
      </c>
      <c r="H301" s="19">
        <v>501.03040583229586</v>
      </c>
      <c r="I301" s="19">
        <v>1606.7999999999993</v>
      </c>
      <c r="J301" s="19">
        <v>4224.7804058322963</v>
      </c>
      <c r="K301" s="19">
        <v>20116.95</v>
      </c>
      <c r="L301" s="19">
        <v>3029.9813792708101</v>
      </c>
      <c r="M301" s="19">
        <v>29205.8</v>
      </c>
      <c r="N301" s="19">
        <v>52352.731379270816</v>
      </c>
      <c r="P301">
        <v>2365</v>
      </c>
      <c r="Q301">
        <v>1</v>
      </c>
      <c r="R301" t="s">
        <v>308</v>
      </c>
      <c r="S301" s="12">
        <v>41040</v>
      </c>
      <c r="T301" s="12">
        <v>11795.023908630275</v>
      </c>
      <c r="U301" s="12">
        <v>102482</v>
      </c>
      <c r="V301" s="12">
        <v>155317.02390863028</v>
      </c>
      <c r="W301" s="12">
        <v>45866.646000000001</v>
      </c>
      <c r="X301" s="12">
        <v>14131.829041593184</v>
      </c>
      <c r="Y301" s="12">
        <v>106705.2</v>
      </c>
      <c r="Z301" s="12">
        <v>166703.67504159317</v>
      </c>
      <c r="AA301" s="12">
        <v>4826.6460000000006</v>
      </c>
      <c r="AB301" s="12">
        <v>2336.8051329629088</v>
      </c>
      <c r="AC301" s="12">
        <v>4223.1999999999971</v>
      </c>
      <c r="AD301" s="12">
        <v>11386.651132962907</v>
      </c>
      <c r="AI301" s="12"/>
    </row>
    <row r="302" spans="1:35" x14ac:dyDescent="0.25">
      <c r="A302">
        <v>2364</v>
      </c>
      <c r="B302" t="s">
        <v>890</v>
      </c>
      <c r="C302" s="19">
        <v>20880</v>
      </c>
      <c r="D302" s="19">
        <v>7044.9356583110457</v>
      </c>
      <c r="E302" s="19">
        <v>90844</v>
      </c>
      <c r="F302" s="19">
        <v>118768.93565831105</v>
      </c>
      <c r="G302" s="19">
        <v>2455.6620000000003</v>
      </c>
      <c r="H302" s="19">
        <v>1395.7277183379992</v>
      </c>
      <c r="I302" s="19">
        <v>5696.8000000000029</v>
      </c>
      <c r="J302" s="19">
        <v>9548.1897183380024</v>
      </c>
      <c r="K302" s="19">
        <v>23335.662</v>
      </c>
      <c r="L302" s="19">
        <v>8440.6633766490449</v>
      </c>
      <c r="M302" s="19">
        <v>96540.800000000003</v>
      </c>
      <c r="N302" s="19">
        <v>128317.12537664906</v>
      </c>
      <c r="P302">
        <v>2396</v>
      </c>
      <c r="Q302">
        <v>1</v>
      </c>
      <c r="R302" t="s">
        <v>309</v>
      </c>
      <c r="S302" s="12">
        <v>42480</v>
      </c>
      <c r="T302" s="12">
        <v>12201.2399044511</v>
      </c>
      <c r="U302" s="12">
        <v>95740</v>
      </c>
      <c r="V302" s="12">
        <v>150421.2399044511</v>
      </c>
      <c r="W302" s="12">
        <v>47476.002</v>
      </c>
      <c r="X302" s="12">
        <v>14618.523689384454</v>
      </c>
      <c r="Y302" s="12">
        <v>100936.8</v>
      </c>
      <c r="Z302" s="12">
        <v>163031.32568938445</v>
      </c>
      <c r="AA302" s="12">
        <v>4996.0020000000004</v>
      </c>
      <c r="AB302" s="12">
        <v>2417.2837849333537</v>
      </c>
      <c r="AC302" s="12">
        <v>5196.8000000000029</v>
      </c>
      <c r="AD302" s="12">
        <v>12610.085784933357</v>
      </c>
      <c r="AI302" s="12"/>
    </row>
    <row r="303" spans="1:35" x14ac:dyDescent="0.25">
      <c r="A303">
        <v>2365</v>
      </c>
      <c r="B303" t="s">
        <v>308</v>
      </c>
      <c r="C303" s="19">
        <v>41040</v>
      </c>
      <c r="D303" s="19">
        <v>11795.023908630275</v>
      </c>
      <c r="E303" s="19">
        <v>102482</v>
      </c>
      <c r="F303" s="19">
        <v>155317.02390863028</v>
      </c>
      <c r="G303" s="19">
        <v>4826.6460000000006</v>
      </c>
      <c r="H303" s="19">
        <v>2336.8051329629088</v>
      </c>
      <c r="I303" s="19">
        <v>4223.1999999999971</v>
      </c>
      <c r="J303" s="19">
        <v>11386.651132962907</v>
      </c>
      <c r="K303" s="19">
        <v>45866.646000000001</v>
      </c>
      <c r="L303" s="19">
        <v>14131.829041593184</v>
      </c>
      <c r="M303" s="19">
        <v>106705.2</v>
      </c>
      <c r="N303" s="19">
        <v>166703.67504159317</v>
      </c>
      <c r="P303">
        <v>2397</v>
      </c>
      <c r="Q303">
        <v>1</v>
      </c>
      <c r="R303" t="s">
        <v>310</v>
      </c>
      <c r="S303" s="12">
        <v>62520</v>
      </c>
      <c r="T303" s="12">
        <v>15871.932644412296</v>
      </c>
      <c r="U303" s="12">
        <v>111972</v>
      </c>
      <c r="V303" s="12">
        <v>190363.9326444123</v>
      </c>
      <c r="W303" s="12">
        <v>69872.873000000007</v>
      </c>
      <c r="X303" s="12">
        <v>19016.446293627214</v>
      </c>
      <c r="Y303" s="12">
        <v>116696.4</v>
      </c>
      <c r="Z303" s="12">
        <v>205585.71929362722</v>
      </c>
      <c r="AA303" s="12">
        <v>7352.8730000000069</v>
      </c>
      <c r="AB303" s="12">
        <v>3144.5136492149177</v>
      </c>
      <c r="AC303" s="12">
        <v>4724.3999999999942</v>
      </c>
      <c r="AD303" s="12">
        <v>15221.786649214919</v>
      </c>
      <c r="AI303" s="12"/>
    </row>
    <row r="304" spans="1:35" x14ac:dyDescent="0.25">
      <c r="A304">
        <v>2396</v>
      </c>
      <c r="B304" t="s">
        <v>309</v>
      </c>
      <c r="C304" s="19">
        <v>42480</v>
      </c>
      <c r="D304" s="19">
        <v>12201.2399044511</v>
      </c>
      <c r="E304" s="19">
        <v>95740</v>
      </c>
      <c r="F304" s="19">
        <v>150421.2399044511</v>
      </c>
      <c r="G304" s="19">
        <v>4996.0020000000004</v>
      </c>
      <c r="H304" s="19">
        <v>2417.2837849333537</v>
      </c>
      <c r="I304" s="19">
        <v>5196.8000000000029</v>
      </c>
      <c r="J304" s="19">
        <v>12610.085784933357</v>
      </c>
      <c r="K304" s="19">
        <v>47476.002</v>
      </c>
      <c r="L304" s="19">
        <v>14618.523689384454</v>
      </c>
      <c r="M304" s="19">
        <v>100936.8</v>
      </c>
      <c r="N304" s="19">
        <v>163031.32568938445</v>
      </c>
      <c r="P304">
        <v>2448</v>
      </c>
      <c r="Q304">
        <v>1</v>
      </c>
      <c r="R304" t="s">
        <v>311</v>
      </c>
      <c r="S304" s="12">
        <v>30480</v>
      </c>
      <c r="T304" s="12">
        <v>9067.1376101132519</v>
      </c>
      <c r="U304" s="12">
        <v>99852</v>
      </c>
      <c r="V304" s="12">
        <v>139399.13761011325</v>
      </c>
      <c r="W304" s="12">
        <v>34064.701999999997</v>
      </c>
      <c r="X304" s="12">
        <v>10863.49969235461</v>
      </c>
      <c r="Y304" s="12">
        <v>104703.2</v>
      </c>
      <c r="Z304" s="12">
        <v>149631.40169235459</v>
      </c>
      <c r="AA304" s="12">
        <v>3584.7019999999975</v>
      </c>
      <c r="AB304" s="12">
        <v>1796.3620822413577</v>
      </c>
      <c r="AC304" s="12">
        <v>4851.1999999999971</v>
      </c>
      <c r="AD304" s="12">
        <v>10232.264082241352</v>
      </c>
      <c r="AI304" s="12"/>
    </row>
    <row r="305" spans="1:35" x14ac:dyDescent="0.25">
      <c r="A305">
        <v>2397</v>
      </c>
      <c r="B305" t="s">
        <v>891</v>
      </c>
      <c r="C305" s="19">
        <v>62520</v>
      </c>
      <c r="D305" s="19">
        <v>15871.932644412296</v>
      </c>
      <c r="E305" s="19">
        <v>111972</v>
      </c>
      <c r="F305" s="19">
        <v>190363.9326444123</v>
      </c>
      <c r="G305" s="19">
        <v>7352.8730000000069</v>
      </c>
      <c r="H305" s="19">
        <v>3144.5136492149177</v>
      </c>
      <c r="I305" s="19">
        <v>4724.3999999999942</v>
      </c>
      <c r="J305" s="19">
        <v>15221.786649214919</v>
      </c>
      <c r="K305" s="19">
        <v>69872.873000000007</v>
      </c>
      <c r="L305" s="19">
        <v>19016.446293627214</v>
      </c>
      <c r="M305" s="19">
        <v>116696.4</v>
      </c>
      <c r="N305" s="19">
        <v>205585.71929362722</v>
      </c>
      <c r="P305">
        <v>2527</v>
      </c>
      <c r="Q305">
        <v>1</v>
      </c>
      <c r="R305" t="s">
        <v>312</v>
      </c>
      <c r="S305" s="12">
        <v>18000</v>
      </c>
      <c r="T305" s="12">
        <v>3372.2897523434285</v>
      </c>
      <c r="U305" s="12">
        <v>39332</v>
      </c>
      <c r="V305" s="12">
        <v>60704.289752343429</v>
      </c>
      <c r="W305" s="12">
        <v>20116.95</v>
      </c>
      <c r="X305" s="12">
        <v>4040.4006492911112</v>
      </c>
      <c r="Y305" s="12">
        <v>42188</v>
      </c>
      <c r="Z305" s="12">
        <v>66345.350649291111</v>
      </c>
      <c r="AA305" s="12">
        <v>2116.9500000000007</v>
      </c>
      <c r="AB305" s="12">
        <v>668.1108969476827</v>
      </c>
      <c r="AC305" s="12">
        <v>2856</v>
      </c>
      <c r="AD305" s="12">
        <v>5641.0608969476834</v>
      </c>
      <c r="AI305" s="12"/>
    </row>
    <row r="306" spans="1:35" x14ac:dyDescent="0.25">
      <c r="A306">
        <v>2448</v>
      </c>
      <c r="B306" t="s">
        <v>892</v>
      </c>
      <c r="C306" s="19">
        <v>30480</v>
      </c>
      <c r="D306" s="19">
        <v>9067.1376101132519</v>
      </c>
      <c r="E306" s="19">
        <v>99852</v>
      </c>
      <c r="F306" s="19">
        <v>139399.13761011325</v>
      </c>
      <c r="G306" s="19">
        <v>3584.7019999999975</v>
      </c>
      <c r="H306" s="19">
        <v>1796.3620822413577</v>
      </c>
      <c r="I306" s="19">
        <v>4851.1999999999971</v>
      </c>
      <c r="J306" s="19">
        <v>10232.264082241352</v>
      </c>
      <c r="K306" s="19">
        <v>34064.701999999997</v>
      </c>
      <c r="L306" s="19">
        <v>10863.49969235461</v>
      </c>
      <c r="M306" s="19">
        <v>104703.2</v>
      </c>
      <c r="N306" s="19">
        <v>149631.40169235459</v>
      </c>
      <c r="P306">
        <v>2534</v>
      </c>
      <c r="Q306">
        <v>1</v>
      </c>
      <c r="R306" t="s">
        <v>313</v>
      </c>
      <c r="S306" s="12">
        <v>35520</v>
      </c>
      <c r="T306" s="12">
        <v>11344.045776828898</v>
      </c>
      <c r="U306" s="12">
        <v>94768</v>
      </c>
      <c r="V306" s="12">
        <v>141632.04577682889</v>
      </c>
      <c r="W306" s="12">
        <v>39697.447999999997</v>
      </c>
      <c r="X306" s="12">
        <v>13591.504078330414</v>
      </c>
      <c r="Y306" s="12">
        <v>99132</v>
      </c>
      <c r="Z306" s="12">
        <v>152420.95207833042</v>
      </c>
      <c r="AA306" s="12">
        <v>4177.4479999999967</v>
      </c>
      <c r="AB306" s="12">
        <v>2247.458301501516</v>
      </c>
      <c r="AC306" s="12">
        <v>4364</v>
      </c>
      <c r="AD306" s="12">
        <v>10788.906301501513</v>
      </c>
      <c r="AI306" s="12"/>
    </row>
    <row r="307" spans="1:35" x14ac:dyDescent="0.25">
      <c r="A307">
        <v>2527</v>
      </c>
      <c r="B307" t="s">
        <v>893</v>
      </c>
      <c r="C307" s="19">
        <v>18000</v>
      </c>
      <c r="D307" s="19">
        <v>3372.2897523434285</v>
      </c>
      <c r="E307" s="19">
        <v>39332</v>
      </c>
      <c r="F307" s="19">
        <v>60704.289752343429</v>
      </c>
      <c r="G307" s="19">
        <v>2116.9500000000007</v>
      </c>
      <c r="H307" s="19">
        <v>668.1108969476827</v>
      </c>
      <c r="I307" s="19">
        <v>2856</v>
      </c>
      <c r="J307" s="19">
        <v>5641.0608969476834</v>
      </c>
      <c r="K307" s="19">
        <v>20116.95</v>
      </c>
      <c r="L307" s="19">
        <v>4040.4006492911112</v>
      </c>
      <c r="M307" s="19">
        <v>42188</v>
      </c>
      <c r="N307" s="19">
        <v>66345.350649291111</v>
      </c>
      <c r="P307">
        <v>2536</v>
      </c>
      <c r="Q307">
        <v>1</v>
      </c>
      <c r="R307" t="s">
        <v>314</v>
      </c>
      <c r="S307" s="12">
        <v>18000</v>
      </c>
      <c r="T307" s="12">
        <v>2814.9190967072996</v>
      </c>
      <c r="U307" s="12">
        <v>30327</v>
      </c>
      <c r="V307" s="12">
        <v>51141.919096707301</v>
      </c>
      <c r="W307" s="12">
        <v>20116.95</v>
      </c>
      <c r="X307" s="12">
        <v>3372.6049009088447</v>
      </c>
      <c r="Y307" s="12">
        <v>32690.2</v>
      </c>
      <c r="Z307" s="12">
        <v>56179.754900908847</v>
      </c>
      <c r="AA307" s="12">
        <v>2116.9500000000007</v>
      </c>
      <c r="AB307" s="12">
        <v>557.68580420154512</v>
      </c>
      <c r="AC307" s="12">
        <v>2363.2000000000007</v>
      </c>
      <c r="AD307" s="12">
        <v>5037.8358042015461</v>
      </c>
      <c r="AI307" s="12"/>
    </row>
    <row r="308" spans="1:35" x14ac:dyDescent="0.25">
      <c r="A308">
        <v>2534</v>
      </c>
      <c r="B308" t="s">
        <v>894</v>
      </c>
      <c r="C308" s="19">
        <v>35520</v>
      </c>
      <c r="D308" s="19">
        <v>11344.045776828898</v>
      </c>
      <c r="E308" s="19">
        <v>94768</v>
      </c>
      <c r="F308" s="19">
        <v>141632.04577682889</v>
      </c>
      <c r="G308" s="19">
        <v>4177.4479999999967</v>
      </c>
      <c r="H308" s="19">
        <v>2247.458301501516</v>
      </c>
      <c r="I308" s="19">
        <v>4364</v>
      </c>
      <c r="J308" s="19">
        <v>10788.906301501513</v>
      </c>
      <c r="K308" s="19">
        <v>39697.447999999997</v>
      </c>
      <c r="L308" s="19">
        <v>13591.504078330414</v>
      </c>
      <c r="M308" s="19">
        <v>99132</v>
      </c>
      <c r="N308" s="19">
        <v>152420.95207833042</v>
      </c>
      <c r="P308">
        <v>2580</v>
      </c>
      <c r="Q308">
        <v>1</v>
      </c>
      <c r="R308" t="s">
        <v>315</v>
      </c>
      <c r="S308" s="12">
        <v>36960</v>
      </c>
      <c r="T308" s="12">
        <v>11192.891117013593</v>
      </c>
      <c r="U308" s="12">
        <v>84818</v>
      </c>
      <c r="V308" s="12">
        <v>132970.89111701358</v>
      </c>
      <c r="W308" s="12">
        <v>41306.803999999996</v>
      </c>
      <c r="X308" s="12">
        <v>13410.402977739417</v>
      </c>
      <c r="Y308" s="12">
        <v>88277.2</v>
      </c>
      <c r="Z308" s="12">
        <v>142994.40697773942</v>
      </c>
      <c r="AA308" s="12">
        <v>4346.8039999999964</v>
      </c>
      <c r="AB308" s="12">
        <v>2217.5118607258246</v>
      </c>
      <c r="AC308" s="12">
        <v>3459.1999999999971</v>
      </c>
      <c r="AD308" s="12">
        <v>10023.515860725818</v>
      </c>
      <c r="AI308" s="12"/>
    </row>
    <row r="309" spans="1:35" x14ac:dyDescent="0.25">
      <c r="A309">
        <v>2536</v>
      </c>
      <c r="B309" t="s">
        <v>895</v>
      </c>
      <c r="C309" s="19">
        <v>18000</v>
      </c>
      <c r="D309" s="19">
        <v>2814.9190967072996</v>
      </c>
      <c r="E309" s="19">
        <v>30327</v>
      </c>
      <c r="F309" s="19">
        <v>51141.919096707301</v>
      </c>
      <c r="G309" s="19">
        <v>2116.9500000000007</v>
      </c>
      <c r="H309" s="19">
        <v>557.68580420154512</v>
      </c>
      <c r="I309" s="19">
        <v>2363.2000000000007</v>
      </c>
      <c r="J309" s="19">
        <v>5037.8358042015461</v>
      </c>
      <c r="K309" s="19">
        <v>20116.95</v>
      </c>
      <c r="L309" s="19">
        <v>3372.6049009088447</v>
      </c>
      <c r="M309" s="19">
        <v>32690.2</v>
      </c>
      <c r="N309" s="19">
        <v>56179.754900908847</v>
      </c>
      <c r="P309">
        <v>2609</v>
      </c>
      <c r="Q309">
        <v>1</v>
      </c>
      <c r="R309" t="s">
        <v>316</v>
      </c>
      <c r="S309" s="12">
        <v>18000</v>
      </c>
      <c r="T309" s="12">
        <v>4905.8594843315313</v>
      </c>
      <c r="U309" s="12">
        <v>50579</v>
      </c>
      <c r="V309" s="12">
        <v>73484.859484331537</v>
      </c>
      <c r="W309" s="12">
        <v>20116.95</v>
      </c>
      <c r="X309" s="12">
        <v>5877.7979656255447</v>
      </c>
      <c r="Y309" s="12">
        <v>52998.6</v>
      </c>
      <c r="Z309" s="12">
        <v>78993.347965625551</v>
      </c>
      <c r="AA309" s="12">
        <v>2116.9500000000007</v>
      </c>
      <c r="AB309" s="12">
        <v>971.9384812940134</v>
      </c>
      <c r="AC309" s="12">
        <v>2419.5999999999985</v>
      </c>
      <c r="AD309" s="12">
        <v>5508.4884812940127</v>
      </c>
      <c r="AI309" s="12"/>
    </row>
    <row r="310" spans="1:35" x14ac:dyDescent="0.25">
      <c r="A310">
        <v>2580</v>
      </c>
      <c r="B310" t="s">
        <v>896</v>
      </c>
      <c r="C310" s="19">
        <v>36960</v>
      </c>
      <c r="D310" s="19">
        <v>11192.891117013593</v>
      </c>
      <c r="E310" s="19">
        <v>84818</v>
      </c>
      <c r="F310" s="19">
        <v>132970.89111701358</v>
      </c>
      <c r="G310" s="19">
        <v>4346.8039999999964</v>
      </c>
      <c r="H310" s="19">
        <v>2217.5118607258246</v>
      </c>
      <c r="I310" s="19">
        <v>3459.1999999999971</v>
      </c>
      <c r="J310" s="19">
        <v>10023.515860725818</v>
      </c>
      <c r="K310" s="19">
        <v>41306.803999999996</v>
      </c>
      <c r="L310" s="19">
        <v>13410.402977739417</v>
      </c>
      <c r="M310" s="19">
        <v>88277.2</v>
      </c>
      <c r="N310" s="19">
        <v>142994.40697773942</v>
      </c>
      <c r="P310">
        <v>2683</v>
      </c>
      <c r="Q310">
        <v>1</v>
      </c>
      <c r="R310" t="s">
        <v>317</v>
      </c>
      <c r="S310" s="12">
        <v>18000</v>
      </c>
      <c r="T310" s="12">
        <v>4803.1957319635858</v>
      </c>
      <c r="U310" s="12">
        <v>61500</v>
      </c>
      <c r="V310" s="12">
        <v>84303.195731963584</v>
      </c>
      <c r="W310" s="12">
        <v>20116.95</v>
      </c>
      <c r="X310" s="12">
        <v>5754.7946882713795</v>
      </c>
      <c r="Y310" s="12">
        <v>64949.599999999999</v>
      </c>
      <c r="Z310" s="12">
        <v>90821.344688271376</v>
      </c>
      <c r="AA310" s="12">
        <v>2116.9500000000007</v>
      </c>
      <c r="AB310" s="12">
        <v>951.59895630779374</v>
      </c>
      <c r="AC310" s="12">
        <v>3449.5999999999985</v>
      </c>
      <c r="AD310" s="12">
        <v>6518.148956307793</v>
      </c>
      <c r="AI310" s="12"/>
    </row>
    <row r="311" spans="1:35" x14ac:dyDescent="0.25">
      <c r="A311">
        <v>2609</v>
      </c>
      <c r="B311" t="s">
        <v>897</v>
      </c>
      <c r="C311" s="19">
        <v>18000</v>
      </c>
      <c r="D311" s="19">
        <v>4905.8594843315313</v>
      </c>
      <c r="E311" s="19">
        <v>50579</v>
      </c>
      <c r="F311" s="19">
        <v>73484.859484331537</v>
      </c>
      <c r="G311" s="19">
        <v>2116.9500000000007</v>
      </c>
      <c r="H311" s="19">
        <v>971.9384812940134</v>
      </c>
      <c r="I311" s="19">
        <v>2419.5999999999985</v>
      </c>
      <c r="J311" s="19">
        <v>5508.4884812940127</v>
      </c>
      <c r="K311" s="19">
        <v>20116.95</v>
      </c>
      <c r="L311" s="19">
        <v>5877.7979656255447</v>
      </c>
      <c r="M311" s="19">
        <v>52998.6</v>
      </c>
      <c r="N311" s="19">
        <v>78993.347965625551</v>
      </c>
      <c r="P311">
        <v>2687</v>
      </c>
      <c r="Q311">
        <v>1</v>
      </c>
      <c r="R311" t="s">
        <v>318</v>
      </c>
      <c r="S311" s="12">
        <v>68280</v>
      </c>
      <c r="T311" s="12">
        <v>15282.234717144596</v>
      </c>
      <c r="U311" s="12">
        <v>135377</v>
      </c>
      <c r="V311" s="12">
        <v>218939.2347171446</v>
      </c>
      <c r="W311" s="12">
        <v>76310.297000000006</v>
      </c>
      <c r="X311" s="12">
        <v>18309.918663087061</v>
      </c>
      <c r="Y311" s="12">
        <v>142298.20000000001</v>
      </c>
      <c r="Z311" s="12">
        <v>236918.41566308707</v>
      </c>
      <c r="AA311" s="12">
        <v>8030.2970000000059</v>
      </c>
      <c r="AB311" s="12">
        <v>3027.6839459424646</v>
      </c>
      <c r="AC311" s="12">
        <v>6921.2000000000116</v>
      </c>
      <c r="AD311" s="12">
        <v>17979.180945942484</v>
      </c>
      <c r="AI311" s="12"/>
    </row>
    <row r="312" spans="1:35" x14ac:dyDescent="0.25">
      <c r="A312">
        <v>2683</v>
      </c>
      <c r="B312" t="s">
        <v>898</v>
      </c>
      <c r="C312" s="19">
        <v>18000</v>
      </c>
      <c r="D312" s="19">
        <v>4803.1957319635858</v>
      </c>
      <c r="E312" s="19">
        <v>61500</v>
      </c>
      <c r="F312" s="19">
        <v>84303.195731963584</v>
      </c>
      <c r="G312" s="19">
        <v>2116.9500000000007</v>
      </c>
      <c r="H312" s="19">
        <v>951.59895630779374</v>
      </c>
      <c r="I312" s="19">
        <v>3449.5999999999985</v>
      </c>
      <c r="J312" s="19">
        <v>6518.148956307793</v>
      </c>
      <c r="K312" s="19">
        <v>20116.95</v>
      </c>
      <c r="L312" s="19">
        <v>5754.7946882713795</v>
      </c>
      <c r="M312" s="19">
        <v>64949.599999999999</v>
      </c>
      <c r="N312" s="19">
        <v>90821.344688271376</v>
      </c>
      <c r="P312">
        <v>2689</v>
      </c>
      <c r="Q312">
        <v>1</v>
      </c>
      <c r="R312" t="s">
        <v>319</v>
      </c>
      <c r="S312" s="12">
        <v>45120</v>
      </c>
      <c r="T312" s="12">
        <v>15238.360383894229</v>
      </c>
      <c r="U312" s="12">
        <v>160752</v>
      </c>
      <c r="V312" s="12">
        <v>221110.36038389424</v>
      </c>
      <c r="W312" s="12">
        <v>50426.487999999998</v>
      </c>
      <c r="X312" s="12">
        <v>18257.352039940633</v>
      </c>
      <c r="Y312" s="12">
        <v>169176.4</v>
      </c>
      <c r="Z312" s="12">
        <v>237860.24003994063</v>
      </c>
      <c r="AA312" s="12">
        <v>5306.4879999999976</v>
      </c>
      <c r="AB312" s="12">
        <v>3018.9916560464044</v>
      </c>
      <c r="AC312" s="12">
        <v>8424.3999999999942</v>
      </c>
      <c r="AD312" s="12">
        <v>16749.879656046396</v>
      </c>
      <c r="AI312" s="12"/>
    </row>
    <row r="313" spans="1:35" x14ac:dyDescent="0.25">
      <c r="A313">
        <v>2687</v>
      </c>
      <c r="B313" t="s">
        <v>899</v>
      </c>
      <c r="C313" s="19">
        <v>68280</v>
      </c>
      <c r="D313" s="19">
        <v>15282.234717144596</v>
      </c>
      <c r="E313" s="19">
        <v>135377</v>
      </c>
      <c r="F313" s="19">
        <v>218939.2347171446</v>
      </c>
      <c r="G313" s="19">
        <v>8030.2970000000059</v>
      </c>
      <c r="H313" s="19">
        <v>3027.6839459424646</v>
      </c>
      <c r="I313" s="19">
        <v>6921.2000000000116</v>
      </c>
      <c r="J313" s="19">
        <v>17979.180945942484</v>
      </c>
      <c r="K313" s="19">
        <v>76310.297000000006</v>
      </c>
      <c r="L313" s="19">
        <v>18309.918663087061</v>
      </c>
      <c r="M313" s="19">
        <v>142298.20000000001</v>
      </c>
      <c r="N313" s="19">
        <v>236918.41566308707</v>
      </c>
      <c r="P313">
        <v>2711</v>
      </c>
      <c r="Q313">
        <v>1</v>
      </c>
      <c r="R313" t="s">
        <v>320</v>
      </c>
      <c r="S313" s="12">
        <v>45000</v>
      </c>
      <c r="T313" s="12">
        <v>12658.965337001937</v>
      </c>
      <c r="U313" s="12">
        <v>101197</v>
      </c>
      <c r="V313" s="12">
        <v>158855.96533700195</v>
      </c>
      <c r="W313" s="12">
        <v>50292.375</v>
      </c>
      <c r="X313" s="12">
        <v>15166.932714317823</v>
      </c>
      <c r="Y313" s="12">
        <v>104310.6</v>
      </c>
      <c r="Z313" s="12">
        <v>169769.90771431784</v>
      </c>
      <c r="AA313" s="12">
        <v>5292.375</v>
      </c>
      <c r="AB313" s="12">
        <v>2507.9673773158866</v>
      </c>
      <c r="AC313" s="12">
        <v>3113.6000000000058</v>
      </c>
      <c r="AD313" s="12">
        <v>10913.942377315892</v>
      </c>
      <c r="AI313" s="12"/>
    </row>
    <row r="314" spans="1:35" x14ac:dyDescent="0.25">
      <c r="A314">
        <v>2689</v>
      </c>
      <c r="B314" t="s">
        <v>900</v>
      </c>
      <c r="C314" s="19">
        <v>45120</v>
      </c>
      <c r="D314" s="19">
        <v>15238.360383894229</v>
      </c>
      <c r="E314" s="19">
        <v>160752</v>
      </c>
      <c r="F314" s="19">
        <v>221110.36038389424</v>
      </c>
      <c r="G314" s="19">
        <v>5306.4879999999976</v>
      </c>
      <c r="H314" s="19">
        <v>3018.9916560464044</v>
      </c>
      <c r="I314" s="19">
        <v>8424.3999999999942</v>
      </c>
      <c r="J314" s="19">
        <v>16749.879656046396</v>
      </c>
      <c r="K314" s="19">
        <v>50426.487999999998</v>
      </c>
      <c r="L314" s="19">
        <v>18257.352039940633</v>
      </c>
      <c r="M314" s="19">
        <v>169176.4</v>
      </c>
      <c r="N314" s="19">
        <v>237860.24003994063</v>
      </c>
      <c r="P314">
        <v>2752</v>
      </c>
      <c r="Q314">
        <v>1</v>
      </c>
      <c r="R314" t="s">
        <v>321</v>
      </c>
      <c r="S314" s="12">
        <v>94920</v>
      </c>
      <c r="T314" s="12">
        <v>24737.649081802501</v>
      </c>
      <c r="U314" s="12">
        <v>205537</v>
      </c>
      <c r="V314" s="12">
        <v>325194.64908180252</v>
      </c>
      <c r="W314" s="12">
        <v>106083.383</v>
      </c>
      <c r="X314" s="12">
        <v>29638.619677503841</v>
      </c>
      <c r="Y314" s="12">
        <v>213858.6</v>
      </c>
      <c r="Z314" s="12">
        <v>349580.60267750383</v>
      </c>
      <c r="AA314" s="12">
        <v>11163.383000000002</v>
      </c>
      <c r="AB314" s="12">
        <v>4900.9705957013393</v>
      </c>
      <c r="AC314" s="12">
        <v>8321.6000000000058</v>
      </c>
      <c r="AD314" s="12">
        <v>24385.953595701347</v>
      </c>
      <c r="AI314" s="12"/>
    </row>
    <row r="315" spans="1:35" x14ac:dyDescent="0.25">
      <c r="A315">
        <v>2711</v>
      </c>
      <c r="B315" t="s">
        <v>901</v>
      </c>
      <c r="C315" s="19">
        <v>45000</v>
      </c>
      <c r="D315" s="19">
        <v>12658.965337001937</v>
      </c>
      <c r="E315" s="19">
        <v>101197</v>
      </c>
      <c r="F315" s="19">
        <v>158855.96533700195</v>
      </c>
      <c r="G315" s="19">
        <v>5292.375</v>
      </c>
      <c r="H315" s="19">
        <v>2507.9673773158866</v>
      </c>
      <c r="I315" s="19">
        <v>3113.6000000000058</v>
      </c>
      <c r="J315" s="19">
        <v>10913.942377315892</v>
      </c>
      <c r="K315" s="19">
        <v>50292.375</v>
      </c>
      <c r="L315" s="19">
        <v>15166.932714317823</v>
      </c>
      <c r="M315" s="19">
        <v>104310.6</v>
      </c>
      <c r="N315" s="19">
        <v>169769.90771431784</v>
      </c>
      <c r="P315">
        <v>2753</v>
      </c>
      <c r="Q315">
        <v>1</v>
      </c>
      <c r="R315" t="s">
        <v>322</v>
      </c>
      <c r="S315" s="12">
        <v>75480</v>
      </c>
      <c r="T315" s="12">
        <v>19292.35818311101</v>
      </c>
      <c r="U315" s="12">
        <v>149634</v>
      </c>
      <c r="V315" s="12">
        <v>244406.35818311101</v>
      </c>
      <c r="W315" s="12">
        <v>84357.077000000005</v>
      </c>
      <c r="X315" s="12">
        <v>23114.519289225129</v>
      </c>
      <c r="Y315" s="12">
        <v>158035.20000000001</v>
      </c>
      <c r="Z315" s="12">
        <v>265506.79628922511</v>
      </c>
      <c r="AA315" s="12">
        <v>8877.0770000000048</v>
      </c>
      <c r="AB315" s="12">
        <v>3822.1611061141193</v>
      </c>
      <c r="AC315" s="12">
        <v>8401.2000000000116</v>
      </c>
      <c r="AD315" s="12">
        <v>21100.438106114136</v>
      </c>
      <c r="AI315" s="12"/>
    </row>
    <row r="316" spans="1:35" x14ac:dyDescent="0.25">
      <c r="A316">
        <v>2752</v>
      </c>
      <c r="B316" t="s">
        <v>902</v>
      </c>
      <c r="C316" s="19">
        <v>94920</v>
      </c>
      <c r="D316" s="19">
        <v>24737.649081802501</v>
      </c>
      <c r="E316" s="19">
        <v>205537</v>
      </c>
      <c r="F316" s="19">
        <v>325194.64908180252</v>
      </c>
      <c r="G316" s="19">
        <v>11163.383000000002</v>
      </c>
      <c r="H316" s="19">
        <v>4900.9705957013393</v>
      </c>
      <c r="I316" s="19">
        <v>8321.6000000000058</v>
      </c>
      <c r="J316" s="19">
        <v>24385.953595701347</v>
      </c>
      <c r="K316" s="19">
        <v>106083.383</v>
      </c>
      <c r="L316" s="19">
        <v>29638.619677503841</v>
      </c>
      <c r="M316" s="19">
        <v>213858.6</v>
      </c>
      <c r="N316" s="19">
        <v>349580.60267750383</v>
      </c>
      <c r="P316">
        <v>2754</v>
      </c>
      <c r="Q316">
        <v>1</v>
      </c>
      <c r="R316" t="s">
        <v>323</v>
      </c>
      <c r="S316" s="12">
        <v>24000</v>
      </c>
      <c r="T316" s="12">
        <v>7265.5389961325327</v>
      </c>
      <c r="U316" s="12">
        <v>77149</v>
      </c>
      <c r="V316" s="12">
        <v>108414.53899613253</v>
      </c>
      <c r="W316" s="12">
        <v>26822.6</v>
      </c>
      <c r="X316" s="12">
        <v>8704.972180111241</v>
      </c>
      <c r="Y316" s="12">
        <v>81761.399999999994</v>
      </c>
      <c r="Z316" s="12">
        <v>117288.97218011123</v>
      </c>
      <c r="AA316" s="12">
        <v>2822.5999999999985</v>
      </c>
      <c r="AB316" s="12">
        <v>1439.4331839787083</v>
      </c>
      <c r="AC316" s="12">
        <v>4612.3999999999942</v>
      </c>
      <c r="AD316" s="12">
        <v>8874.433183978701</v>
      </c>
      <c r="AI316" s="12"/>
    </row>
    <row r="317" spans="1:35" x14ac:dyDescent="0.25">
      <c r="A317">
        <v>2753</v>
      </c>
      <c r="B317" t="s">
        <v>903</v>
      </c>
      <c r="C317" s="19">
        <v>75480</v>
      </c>
      <c r="D317" s="19">
        <v>19292.35818311101</v>
      </c>
      <c r="E317" s="19">
        <v>149634</v>
      </c>
      <c r="F317" s="19">
        <v>244406.35818311101</v>
      </c>
      <c r="G317" s="19">
        <v>8877.0770000000048</v>
      </c>
      <c r="H317" s="19">
        <v>3822.1611061141193</v>
      </c>
      <c r="I317" s="19">
        <v>8401.2000000000116</v>
      </c>
      <c r="J317" s="19">
        <v>21100.438106114136</v>
      </c>
      <c r="K317" s="19">
        <v>84357.077000000005</v>
      </c>
      <c r="L317" s="19">
        <v>23114.519289225129</v>
      </c>
      <c r="M317" s="19">
        <v>158035.20000000001</v>
      </c>
      <c r="N317" s="19">
        <v>265506.79628922511</v>
      </c>
      <c r="P317">
        <v>2759</v>
      </c>
      <c r="Q317">
        <v>1</v>
      </c>
      <c r="R317" t="s">
        <v>324</v>
      </c>
      <c r="S317" s="12">
        <v>18000</v>
      </c>
      <c r="T317" s="12">
        <v>5476.9079281389113</v>
      </c>
      <c r="U317" s="12">
        <v>38151</v>
      </c>
      <c r="V317" s="12">
        <v>61627.907928138913</v>
      </c>
      <c r="W317" s="12">
        <v>20116.95</v>
      </c>
      <c r="X317" s="12">
        <v>6561.9813165765363</v>
      </c>
      <c r="Y317" s="12">
        <v>40806.199999999997</v>
      </c>
      <c r="Z317" s="12">
        <v>67485.131316576531</v>
      </c>
      <c r="AA317" s="12">
        <v>2116.9500000000007</v>
      </c>
      <c r="AB317" s="12">
        <v>1085.073388437625</v>
      </c>
      <c r="AC317" s="12">
        <v>2655.1999999999971</v>
      </c>
      <c r="AD317" s="12">
        <v>5857.2233884376228</v>
      </c>
      <c r="AI317" s="12"/>
    </row>
    <row r="318" spans="1:35" x14ac:dyDescent="0.25">
      <c r="A318">
        <v>2754</v>
      </c>
      <c r="B318" t="s">
        <v>904</v>
      </c>
      <c r="C318" s="19">
        <v>24000</v>
      </c>
      <c r="D318" s="19">
        <v>7265.5389961325327</v>
      </c>
      <c r="E318" s="19">
        <v>77149</v>
      </c>
      <c r="F318" s="19">
        <v>108414.53899613253</v>
      </c>
      <c r="G318" s="19">
        <v>2822.5999999999985</v>
      </c>
      <c r="H318" s="19">
        <v>1439.4331839787083</v>
      </c>
      <c r="I318" s="19">
        <v>4612.3999999999942</v>
      </c>
      <c r="J318" s="19">
        <v>8874.433183978701</v>
      </c>
      <c r="K318" s="19">
        <v>26822.6</v>
      </c>
      <c r="L318" s="19">
        <v>8704.972180111241</v>
      </c>
      <c r="M318" s="19">
        <v>81761.399999999994</v>
      </c>
      <c r="N318" s="19">
        <v>117288.97218011123</v>
      </c>
      <c r="P318">
        <v>2769</v>
      </c>
      <c r="Q318">
        <v>1</v>
      </c>
      <c r="R318" t="s">
        <v>325</v>
      </c>
      <c r="S318" s="12">
        <v>54000</v>
      </c>
      <c r="T318" s="12">
        <v>12282.235644076072</v>
      </c>
      <c r="U318" s="12">
        <v>132847</v>
      </c>
      <c r="V318" s="12">
        <v>199129.23564407608</v>
      </c>
      <c r="W318" s="12">
        <v>60350.85</v>
      </c>
      <c r="X318" s="12">
        <v>14715.56613324419</v>
      </c>
      <c r="Y318" s="12">
        <v>138210.20000000001</v>
      </c>
      <c r="Z318" s="12">
        <v>213276.61613324418</v>
      </c>
      <c r="AA318" s="12">
        <v>6350.8499999999985</v>
      </c>
      <c r="AB318" s="12">
        <v>2433.3304891681182</v>
      </c>
      <c r="AC318" s="12">
        <v>5363.2000000000116</v>
      </c>
      <c r="AD318" s="12">
        <v>14147.380489168128</v>
      </c>
      <c r="AI318" s="12"/>
    </row>
    <row r="319" spans="1:35" x14ac:dyDescent="0.25">
      <c r="A319">
        <v>2759</v>
      </c>
      <c r="B319" t="s">
        <v>905</v>
      </c>
      <c r="C319" s="19">
        <v>18000</v>
      </c>
      <c r="D319" s="19">
        <v>5476.9079281389113</v>
      </c>
      <c r="E319" s="19">
        <v>38151</v>
      </c>
      <c r="F319" s="19">
        <v>61627.907928138913</v>
      </c>
      <c r="G319" s="19">
        <v>2116.9500000000007</v>
      </c>
      <c r="H319" s="19">
        <v>1085.073388437625</v>
      </c>
      <c r="I319" s="19">
        <v>2655.1999999999971</v>
      </c>
      <c r="J319" s="19">
        <v>5857.2233884376228</v>
      </c>
      <c r="K319" s="19">
        <v>20116.95</v>
      </c>
      <c r="L319" s="19">
        <v>6561.9813165765363</v>
      </c>
      <c r="M319" s="19">
        <v>40806.199999999997</v>
      </c>
      <c r="N319" s="19">
        <v>67485.131316576531</v>
      </c>
      <c r="P319">
        <v>2805</v>
      </c>
      <c r="Q319">
        <v>1</v>
      </c>
      <c r="R319" t="s">
        <v>326</v>
      </c>
      <c r="S319" s="12">
        <v>47040</v>
      </c>
      <c r="T319" s="12">
        <v>10950.264645357056</v>
      </c>
      <c r="U319" s="12">
        <v>112171</v>
      </c>
      <c r="V319" s="12">
        <v>170161.26464535706</v>
      </c>
      <c r="W319" s="12">
        <v>52572.296000000002</v>
      </c>
      <c r="X319" s="12">
        <v>13119.707863852758</v>
      </c>
      <c r="Y319" s="12">
        <v>115397.8</v>
      </c>
      <c r="Z319" s="12">
        <v>181089.80386385275</v>
      </c>
      <c r="AA319" s="12">
        <v>5532.2960000000021</v>
      </c>
      <c r="AB319" s="12">
        <v>2169.4432184957022</v>
      </c>
      <c r="AC319" s="12">
        <v>3226.8000000000029</v>
      </c>
      <c r="AD319" s="12">
        <v>10928.539218495707</v>
      </c>
      <c r="AI319" s="12"/>
    </row>
    <row r="320" spans="1:35" x14ac:dyDescent="0.25">
      <c r="A320">
        <v>2769</v>
      </c>
      <c r="B320" t="s">
        <v>906</v>
      </c>
      <c r="C320" s="19">
        <v>54000</v>
      </c>
      <c r="D320" s="19">
        <v>12282.235644076072</v>
      </c>
      <c r="E320" s="19">
        <v>132847</v>
      </c>
      <c r="F320" s="19">
        <v>199129.23564407608</v>
      </c>
      <c r="G320" s="19">
        <v>6350.8499999999985</v>
      </c>
      <c r="H320" s="19">
        <v>2433.3304891681182</v>
      </c>
      <c r="I320" s="19">
        <v>5363.2000000000116</v>
      </c>
      <c r="J320" s="19">
        <v>14147.380489168128</v>
      </c>
      <c r="K320" s="19">
        <v>60350.85</v>
      </c>
      <c r="L320" s="19">
        <v>14715.56613324419</v>
      </c>
      <c r="M320" s="19">
        <v>138210.20000000001</v>
      </c>
      <c r="N320" s="19">
        <v>213276.61613324418</v>
      </c>
      <c r="P320">
        <v>2835</v>
      </c>
      <c r="Q320">
        <v>1</v>
      </c>
      <c r="R320" t="s">
        <v>327</v>
      </c>
      <c r="S320" s="12">
        <v>31920</v>
      </c>
      <c r="T320" s="12">
        <v>7244.4036650276739</v>
      </c>
      <c r="U320" s="12">
        <v>74395</v>
      </c>
      <c r="V320" s="12">
        <v>113559.40366502767</v>
      </c>
      <c r="W320" s="12">
        <v>35674.057999999997</v>
      </c>
      <c r="X320" s="12">
        <v>8679.6495620118585</v>
      </c>
      <c r="Y320" s="12">
        <v>77173.8</v>
      </c>
      <c r="Z320" s="12">
        <v>121527.50756201186</v>
      </c>
      <c r="AA320" s="12">
        <v>3754.0579999999973</v>
      </c>
      <c r="AB320" s="12">
        <v>1435.2458969841846</v>
      </c>
      <c r="AC320" s="12">
        <v>2778.8000000000029</v>
      </c>
      <c r="AD320" s="12">
        <v>7968.1038969841848</v>
      </c>
      <c r="AI320" s="12"/>
    </row>
    <row r="321" spans="1:35" x14ac:dyDescent="0.25">
      <c r="A321">
        <v>2805</v>
      </c>
      <c r="B321" t="s">
        <v>907</v>
      </c>
      <c r="C321" s="19">
        <v>47040</v>
      </c>
      <c r="D321" s="19">
        <v>10950.264645357056</v>
      </c>
      <c r="E321" s="19">
        <v>112171</v>
      </c>
      <c r="F321" s="19">
        <v>170161.26464535706</v>
      </c>
      <c r="G321" s="19">
        <v>5532.2960000000021</v>
      </c>
      <c r="H321" s="19">
        <v>2169.4432184957022</v>
      </c>
      <c r="I321" s="19">
        <v>3226.8000000000029</v>
      </c>
      <c r="J321" s="19">
        <v>10928.539218495707</v>
      </c>
      <c r="K321" s="19">
        <v>52572.296000000002</v>
      </c>
      <c r="L321" s="19">
        <v>13119.707863852758</v>
      </c>
      <c r="M321" s="19">
        <v>115397.8</v>
      </c>
      <c r="N321" s="19">
        <v>181089.80386385275</v>
      </c>
      <c r="P321">
        <v>2853</v>
      </c>
      <c r="Q321">
        <v>1</v>
      </c>
      <c r="R321" t="s">
        <v>328</v>
      </c>
      <c r="S321" s="12">
        <v>41400</v>
      </c>
      <c r="T321" s="12">
        <v>10382.057170286289</v>
      </c>
      <c r="U321" s="12">
        <v>106064</v>
      </c>
      <c r="V321" s="12">
        <v>157846.05717028628</v>
      </c>
      <c r="W321" s="12">
        <v>46268.985000000001</v>
      </c>
      <c r="X321" s="12">
        <v>12438.928328342017</v>
      </c>
      <c r="Y321" s="12">
        <v>111445.2</v>
      </c>
      <c r="Z321" s="12">
        <v>170153.11332834201</v>
      </c>
      <c r="AA321" s="12">
        <v>4868.9850000000006</v>
      </c>
      <c r="AB321" s="12">
        <v>2056.8711580557283</v>
      </c>
      <c r="AC321" s="12">
        <v>5381.1999999999971</v>
      </c>
      <c r="AD321" s="12">
        <v>12307.056158055726</v>
      </c>
      <c r="AI321" s="12"/>
    </row>
    <row r="322" spans="1:35" x14ac:dyDescent="0.25">
      <c r="A322">
        <v>2835</v>
      </c>
      <c r="B322" t="s">
        <v>908</v>
      </c>
      <c r="C322" s="19">
        <v>31920</v>
      </c>
      <c r="D322" s="19">
        <v>7244.4036650276739</v>
      </c>
      <c r="E322" s="19">
        <v>74395</v>
      </c>
      <c r="F322" s="19">
        <v>113559.40366502767</v>
      </c>
      <c r="G322" s="19">
        <v>3754.0579999999973</v>
      </c>
      <c r="H322" s="19">
        <v>1435.2458969841846</v>
      </c>
      <c r="I322" s="19">
        <v>2778.8000000000029</v>
      </c>
      <c r="J322" s="19">
        <v>7968.1038969841848</v>
      </c>
      <c r="K322" s="19">
        <v>35674.057999999997</v>
      </c>
      <c r="L322" s="19">
        <v>8679.6495620118585</v>
      </c>
      <c r="M322" s="19">
        <v>77173.8</v>
      </c>
      <c r="N322" s="19">
        <v>121527.50756201186</v>
      </c>
      <c r="P322">
        <v>2854</v>
      </c>
      <c r="Q322">
        <v>1</v>
      </c>
      <c r="R322" t="s">
        <v>329</v>
      </c>
      <c r="S322" s="12">
        <v>18000</v>
      </c>
      <c r="T322" s="12">
        <v>5512.4312895991734</v>
      </c>
      <c r="U322" s="12">
        <v>75088</v>
      </c>
      <c r="V322" s="12">
        <v>98600.431289599175</v>
      </c>
      <c r="W322" s="12">
        <v>20116.95</v>
      </c>
      <c r="X322" s="12">
        <v>6604.5424911047057</v>
      </c>
      <c r="Y322" s="12">
        <v>78711.199999999997</v>
      </c>
      <c r="Z322" s="12">
        <v>105432.69249110471</v>
      </c>
      <c r="AA322" s="12">
        <v>2116.9500000000007</v>
      </c>
      <c r="AB322" s="12">
        <v>1092.1112015055323</v>
      </c>
      <c r="AC322" s="12">
        <v>3623.1999999999971</v>
      </c>
      <c r="AD322" s="12">
        <v>6832.2612015055302</v>
      </c>
      <c r="AI322" s="12"/>
    </row>
    <row r="323" spans="1:35" x14ac:dyDescent="0.25">
      <c r="A323">
        <v>2853</v>
      </c>
      <c r="B323" t="s">
        <v>909</v>
      </c>
      <c r="C323" s="19">
        <v>41400</v>
      </c>
      <c r="D323" s="19">
        <v>10382.057170286289</v>
      </c>
      <c r="E323" s="19">
        <v>106064</v>
      </c>
      <c r="F323" s="19">
        <v>157846.05717028628</v>
      </c>
      <c r="G323" s="19">
        <v>4868.9850000000006</v>
      </c>
      <c r="H323" s="19">
        <v>2056.8711580557283</v>
      </c>
      <c r="I323" s="19">
        <v>5381.1999999999971</v>
      </c>
      <c r="J323" s="19">
        <v>12307.056158055726</v>
      </c>
      <c r="K323" s="19">
        <v>46268.985000000001</v>
      </c>
      <c r="L323" s="19">
        <v>12438.928328342017</v>
      </c>
      <c r="M323" s="19">
        <v>111445.2</v>
      </c>
      <c r="N323" s="19">
        <v>170153.11332834201</v>
      </c>
      <c r="P323">
        <v>2856</v>
      </c>
      <c r="Q323">
        <v>1</v>
      </c>
      <c r="R323" t="s">
        <v>330</v>
      </c>
      <c r="S323" s="12">
        <v>18000</v>
      </c>
      <c r="T323" s="12">
        <v>3606.9259994282415</v>
      </c>
      <c r="U323" s="12">
        <v>40272</v>
      </c>
      <c r="V323" s="12">
        <v>61878.92599942824</v>
      </c>
      <c r="W323" s="12">
        <v>20116.95</v>
      </c>
      <c r="X323" s="12">
        <v>4321.5225322520637</v>
      </c>
      <c r="Y323" s="12">
        <v>42278</v>
      </c>
      <c r="Z323" s="12">
        <v>66716.472532252068</v>
      </c>
      <c r="AA323" s="12">
        <v>2116.9500000000007</v>
      </c>
      <c r="AB323" s="12">
        <v>714.59653282382214</v>
      </c>
      <c r="AC323" s="12">
        <v>2006</v>
      </c>
      <c r="AD323" s="12">
        <v>4837.5465328238224</v>
      </c>
      <c r="AI323" s="12"/>
    </row>
    <row r="324" spans="1:35" x14ac:dyDescent="0.25">
      <c r="A324">
        <v>2854</v>
      </c>
      <c r="B324" t="s">
        <v>910</v>
      </c>
      <c r="C324" s="19">
        <v>18000</v>
      </c>
      <c r="D324" s="19">
        <v>5512.4312895991734</v>
      </c>
      <c r="E324" s="19">
        <v>75088</v>
      </c>
      <c r="F324" s="19">
        <v>98600.431289599175</v>
      </c>
      <c r="G324" s="19">
        <v>2116.9500000000007</v>
      </c>
      <c r="H324" s="19">
        <v>1092.1112015055323</v>
      </c>
      <c r="I324" s="19">
        <v>3623.1999999999971</v>
      </c>
      <c r="J324" s="19">
        <v>6832.2612015055302</v>
      </c>
      <c r="K324" s="19">
        <v>20116.95</v>
      </c>
      <c r="L324" s="19">
        <v>6604.5424911047057</v>
      </c>
      <c r="M324" s="19">
        <v>78711.199999999997</v>
      </c>
      <c r="N324" s="19">
        <v>105432.69249110471</v>
      </c>
      <c r="P324">
        <v>2859</v>
      </c>
      <c r="Q324">
        <v>1</v>
      </c>
      <c r="R324" t="s">
        <v>331</v>
      </c>
      <c r="S324" s="12">
        <v>80760</v>
      </c>
      <c r="T324" s="12">
        <v>21183.475442926538</v>
      </c>
      <c r="U324" s="12">
        <v>206364</v>
      </c>
      <c r="V324" s="12">
        <v>308307.47544292652</v>
      </c>
      <c r="W324" s="12">
        <v>90258.048999999999</v>
      </c>
      <c r="X324" s="12">
        <v>25380.300691648983</v>
      </c>
      <c r="Y324" s="12">
        <v>216387.20000000001</v>
      </c>
      <c r="Z324" s="12">
        <v>332025.54969164898</v>
      </c>
      <c r="AA324" s="12">
        <v>9498.0489999999991</v>
      </c>
      <c r="AB324" s="12">
        <v>4196.8252487224454</v>
      </c>
      <c r="AC324" s="12">
        <v>10023.200000000012</v>
      </c>
      <c r="AD324" s="12">
        <v>23718.074248722456</v>
      </c>
      <c r="AI324" s="12"/>
    </row>
    <row r="325" spans="1:35" x14ac:dyDescent="0.25">
      <c r="A325">
        <v>2856</v>
      </c>
      <c r="B325" t="s">
        <v>911</v>
      </c>
      <c r="C325" s="19">
        <v>18000</v>
      </c>
      <c r="D325" s="19">
        <v>3606.9259994282415</v>
      </c>
      <c r="E325" s="19">
        <v>40272</v>
      </c>
      <c r="F325" s="19">
        <v>61878.92599942824</v>
      </c>
      <c r="G325" s="19">
        <v>2116.9500000000007</v>
      </c>
      <c r="H325" s="19">
        <v>714.59653282382214</v>
      </c>
      <c r="I325" s="19">
        <v>2006</v>
      </c>
      <c r="J325" s="19">
        <v>4837.5465328238224</v>
      </c>
      <c r="K325" s="19">
        <v>20116.95</v>
      </c>
      <c r="L325" s="19">
        <v>4321.5225322520637</v>
      </c>
      <c r="M325" s="19">
        <v>42278</v>
      </c>
      <c r="N325" s="19">
        <v>66716.472532252068</v>
      </c>
      <c r="P325">
        <v>2860</v>
      </c>
      <c r="Q325">
        <v>1</v>
      </c>
      <c r="R325" t="s">
        <v>332</v>
      </c>
      <c r="S325" s="12">
        <v>62160</v>
      </c>
      <c r="T325" s="12">
        <v>17880.63436858929</v>
      </c>
      <c r="U325" s="12">
        <v>176895</v>
      </c>
      <c r="V325" s="12">
        <v>256935.63436858929</v>
      </c>
      <c r="W325" s="12">
        <v>69470.534</v>
      </c>
      <c r="X325" s="12">
        <v>21423.10774522907</v>
      </c>
      <c r="Y325" s="12">
        <v>184792.2</v>
      </c>
      <c r="Z325" s="12">
        <v>275685.84174522909</v>
      </c>
      <c r="AA325" s="12">
        <v>7310.5339999999997</v>
      </c>
      <c r="AB325" s="12">
        <v>3542.4733766397803</v>
      </c>
      <c r="AC325" s="12">
        <v>7897.2000000000116</v>
      </c>
      <c r="AD325" s="12">
        <v>18750.207376639792</v>
      </c>
      <c r="AI325" s="12"/>
    </row>
    <row r="326" spans="1:35" x14ac:dyDescent="0.25">
      <c r="A326">
        <v>2859</v>
      </c>
      <c r="B326" t="s">
        <v>912</v>
      </c>
      <c r="C326" s="19">
        <v>80760</v>
      </c>
      <c r="D326" s="19">
        <v>21183.475442926538</v>
      </c>
      <c r="E326" s="19">
        <v>206364</v>
      </c>
      <c r="F326" s="19">
        <v>308307.47544292652</v>
      </c>
      <c r="G326" s="19">
        <v>9498.0489999999991</v>
      </c>
      <c r="H326" s="19">
        <v>4196.8252487224454</v>
      </c>
      <c r="I326" s="19">
        <v>10023.200000000012</v>
      </c>
      <c r="J326" s="19">
        <v>23718.074248722456</v>
      </c>
      <c r="K326" s="19">
        <v>90258.048999999999</v>
      </c>
      <c r="L326" s="19">
        <v>25380.300691648983</v>
      </c>
      <c r="M326" s="19">
        <v>216387.20000000001</v>
      </c>
      <c r="N326" s="19">
        <v>332025.54969164898</v>
      </c>
      <c r="P326">
        <v>2884</v>
      </c>
      <c r="Q326">
        <v>1</v>
      </c>
      <c r="R326" t="s">
        <v>333</v>
      </c>
      <c r="S326" s="12">
        <v>18000</v>
      </c>
      <c r="T326" s="12">
        <v>4482.9471710568059</v>
      </c>
      <c r="U326" s="12">
        <v>62852</v>
      </c>
      <c r="V326" s="12">
        <v>85334.947171056803</v>
      </c>
      <c r="W326" s="12">
        <v>20116.95</v>
      </c>
      <c r="X326" s="12">
        <v>5371.0991613602846</v>
      </c>
      <c r="Y326" s="12">
        <v>66814</v>
      </c>
      <c r="Z326" s="12">
        <v>92302.049161360279</v>
      </c>
      <c r="AA326" s="12">
        <v>2116.9500000000007</v>
      </c>
      <c r="AB326" s="12">
        <v>888.15199030347867</v>
      </c>
      <c r="AC326" s="12">
        <v>3962</v>
      </c>
      <c r="AD326" s="12">
        <v>6967.1019903034794</v>
      </c>
      <c r="AI326" s="12"/>
    </row>
    <row r="327" spans="1:35" x14ac:dyDescent="0.25">
      <c r="A327">
        <v>2860</v>
      </c>
      <c r="B327" t="s">
        <v>913</v>
      </c>
      <c r="C327" s="19">
        <v>62160</v>
      </c>
      <c r="D327" s="19">
        <v>17880.63436858929</v>
      </c>
      <c r="E327" s="19">
        <v>176895</v>
      </c>
      <c r="F327" s="19">
        <v>256935.63436858929</v>
      </c>
      <c r="G327" s="19">
        <v>7310.5339999999997</v>
      </c>
      <c r="H327" s="19">
        <v>3542.4733766397803</v>
      </c>
      <c r="I327" s="19">
        <v>7897.2000000000116</v>
      </c>
      <c r="J327" s="19">
        <v>18750.207376639792</v>
      </c>
      <c r="K327" s="19">
        <v>69470.534</v>
      </c>
      <c r="L327" s="19">
        <v>21423.10774522907</v>
      </c>
      <c r="M327" s="19">
        <v>184792.2</v>
      </c>
      <c r="N327" s="19">
        <v>275685.84174522909</v>
      </c>
      <c r="P327">
        <v>2886</v>
      </c>
      <c r="Q327">
        <v>1</v>
      </c>
      <c r="R327" t="s">
        <v>334</v>
      </c>
      <c r="S327" s="12">
        <v>18000</v>
      </c>
      <c r="T327" s="12">
        <v>3118.2937796141396</v>
      </c>
      <c r="U327" s="12">
        <v>37248</v>
      </c>
      <c r="V327" s="12">
        <v>58366.293779614141</v>
      </c>
      <c r="W327" s="12">
        <v>20116.95</v>
      </c>
      <c r="X327" s="12">
        <v>3736.083532880933</v>
      </c>
      <c r="Y327" s="12">
        <v>39246.800000000003</v>
      </c>
      <c r="Z327" s="12">
        <v>63099.833532880933</v>
      </c>
      <c r="AA327" s="12">
        <v>2116.9500000000007</v>
      </c>
      <c r="AB327" s="12">
        <v>617.78975326679347</v>
      </c>
      <c r="AC327" s="12">
        <v>1998.8000000000029</v>
      </c>
      <c r="AD327" s="12">
        <v>4733.5397532667976</v>
      </c>
      <c r="AI327" s="12"/>
    </row>
    <row r="328" spans="1:35" x14ac:dyDescent="0.25">
      <c r="A328">
        <v>2884</v>
      </c>
      <c r="B328" t="s">
        <v>914</v>
      </c>
      <c r="C328" s="19">
        <v>18000</v>
      </c>
      <c r="D328" s="19">
        <v>4482.9471710568059</v>
      </c>
      <c r="E328" s="19">
        <v>62852</v>
      </c>
      <c r="F328" s="19">
        <v>85334.947171056803</v>
      </c>
      <c r="G328" s="19">
        <v>2116.9500000000007</v>
      </c>
      <c r="H328" s="19">
        <v>888.15199030347867</v>
      </c>
      <c r="I328" s="19">
        <v>3962</v>
      </c>
      <c r="J328" s="19">
        <v>6967.1019903034794</v>
      </c>
      <c r="K328" s="19">
        <v>20116.95</v>
      </c>
      <c r="L328" s="19">
        <v>5371.0991613602846</v>
      </c>
      <c r="M328" s="19">
        <v>66814</v>
      </c>
      <c r="N328" s="19">
        <v>92302.049161360279</v>
      </c>
      <c r="P328">
        <v>2888</v>
      </c>
      <c r="Q328">
        <v>1</v>
      </c>
      <c r="R328" t="s">
        <v>335</v>
      </c>
      <c r="S328" s="12">
        <v>18000</v>
      </c>
      <c r="T328" s="12">
        <v>3876.9080474272787</v>
      </c>
      <c r="U328" s="12">
        <v>53400</v>
      </c>
      <c r="V328" s="12">
        <v>75276.908047427278</v>
      </c>
      <c r="W328" s="12">
        <v>20116.95</v>
      </c>
      <c r="X328" s="12">
        <v>4644.9928512761699</v>
      </c>
      <c r="Y328" s="12">
        <v>56277.2</v>
      </c>
      <c r="Z328" s="12">
        <v>81039.142851276163</v>
      </c>
      <c r="AA328" s="12">
        <v>2116.9500000000007</v>
      </c>
      <c r="AB328" s="12">
        <v>768.08480384889117</v>
      </c>
      <c r="AC328" s="12">
        <v>2877.1999999999971</v>
      </c>
      <c r="AD328" s="12">
        <v>5762.234803848889</v>
      </c>
      <c r="AI328" s="12"/>
    </row>
    <row r="329" spans="1:35" x14ac:dyDescent="0.25">
      <c r="A329">
        <v>2886</v>
      </c>
      <c r="B329" t="s">
        <v>915</v>
      </c>
      <c r="C329" s="19">
        <v>18000</v>
      </c>
      <c r="D329" s="19">
        <v>3118.2937796141396</v>
      </c>
      <c r="E329" s="19">
        <v>37248</v>
      </c>
      <c r="F329" s="19">
        <v>58366.293779614141</v>
      </c>
      <c r="G329" s="19">
        <v>2116.9500000000007</v>
      </c>
      <c r="H329" s="19">
        <v>617.78975326679347</v>
      </c>
      <c r="I329" s="19">
        <v>1998.8000000000029</v>
      </c>
      <c r="J329" s="19">
        <v>4733.5397532667976</v>
      </c>
      <c r="K329" s="19">
        <v>20116.95</v>
      </c>
      <c r="L329" s="19">
        <v>3736.083532880933</v>
      </c>
      <c r="M329" s="19">
        <v>39246.800000000003</v>
      </c>
      <c r="N329" s="19">
        <v>63099.833532880933</v>
      </c>
      <c r="P329">
        <v>2889</v>
      </c>
      <c r="Q329">
        <v>1</v>
      </c>
      <c r="R329" t="s">
        <v>336</v>
      </c>
      <c r="S329" s="12">
        <v>32520</v>
      </c>
      <c r="T329" s="12">
        <v>9757.0134421043622</v>
      </c>
      <c r="U329" s="12">
        <v>98980</v>
      </c>
      <c r="V329" s="12">
        <v>141257.01344210436</v>
      </c>
      <c r="W329" s="12">
        <v>36344.623</v>
      </c>
      <c r="X329" s="12">
        <v>11690.052261738709</v>
      </c>
      <c r="Y329" s="12">
        <v>103653.2</v>
      </c>
      <c r="Z329" s="12">
        <v>151687.87526173872</v>
      </c>
      <c r="AA329" s="12">
        <v>3824.6229999999996</v>
      </c>
      <c r="AB329" s="12">
        <v>1933.0388196343465</v>
      </c>
      <c r="AC329" s="12">
        <v>4673.1999999999971</v>
      </c>
      <c r="AD329" s="12">
        <v>10430.861819634343</v>
      </c>
      <c r="AI329" s="12"/>
    </row>
    <row r="330" spans="1:35" x14ac:dyDescent="0.25">
      <c r="A330">
        <v>2888</v>
      </c>
      <c r="B330" t="s">
        <v>916</v>
      </c>
      <c r="C330" s="19">
        <v>18000</v>
      </c>
      <c r="D330" s="19">
        <v>3876.9080474272787</v>
      </c>
      <c r="E330" s="19">
        <v>53400</v>
      </c>
      <c r="F330" s="19">
        <v>75276.908047427278</v>
      </c>
      <c r="G330" s="19">
        <v>2116.9500000000007</v>
      </c>
      <c r="H330" s="19">
        <v>768.08480384889117</v>
      </c>
      <c r="I330" s="19">
        <v>2877.1999999999971</v>
      </c>
      <c r="J330" s="19">
        <v>5762.234803848889</v>
      </c>
      <c r="K330" s="19">
        <v>20116.95</v>
      </c>
      <c r="L330" s="19">
        <v>4644.9928512761699</v>
      </c>
      <c r="M330" s="19">
        <v>56277.2</v>
      </c>
      <c r="N330" s="19">
        <v>81039.142851276163</v>
      </c>
      <c r="P330">
        <v>2890</v>
      </c>
      <c r="Q330">
        <v>1</v>
      </c>
      <c r="R330" t="s">
        <v>337</v>
      </c>
      <c r="S330" s="12">
        <v>27960</v>
      </c>
      <c r="T330" s="12">
        <v>8192.8920439450685</v>
      </c>
      <c r="U330" s="12">
        <v>71153</v>
      </c>
      <c r="V330" s="12">
        <v>107305.89204394506</v>
      </c>
      <c r="W330" s="12">
        <v>31248.329000000002</v>
      </c>
      <c r="X330" s="12">
        <v>9816.0504478965431</v>
      </c>
      <c r="Y330" s="12">
        <v>74541</v>
      </c>
      <c r="Z330" s="12">
        <v>115605.37944789654</v>
      </c>
      <c r="AA330" s="12">
        <v>3288.3290000000015</v>
      </c>
      <c r="AB330" s="12">
        <v>1623.1584039514746</v>
      </c>
      <c r="AC330" s="12">
        <v>3388</v>
      </c>
      <c r="AD330" s="12">
        <v>8299.4874039514762</v>
      </c>
      <c r="AI330" s="12"/>
    </row>
    <row r="331" spans="1:35" x14ac:dyDescent="0.25">
      <c r="A331">
        <v>2889</v>
      </c>
      <c r="B331" t="s">
        <v>917</v>
      </c>
      <c r="C331" s="19">
        <v>32520</v>
      </c>
      <c r="D331" s="19">
        <v>9757.0134421043622</v>
      </c>
      <c r="E331" s="19">
        <v>98980</v>
      </c>
      <c r="F331" s="19">
        <v>141257.01344210436</v>
      </c>
      <c r="G331" s="19">
        <v>3824.6229999999996</v>
      </c>
      <c r="H331" s="19">
        <v>1933.0388196343465</v>
      </c>
      <c r="I331" s="19">
        <v>4673.1999999999971</v>
      </c>
      <c r="J331" s="19">
        <v>10430.861819634343</v>
      </c>
      <c r="K331" s="19">
        <v>36344.623</v>
      </c>
      <c r="L331" s="19">
        <v>11690.052261738709</v>
      </c>
      <c r="M331" s="19">
        <v>103653.2</v>
      </c>
      <c r="N331" s="19">
        <v>151687.87526173872</v>
      </c>
      <c r="P331">
        <v>2895</v>
      </c>
      <c r="Q331">
        <v>1</v>
      </c>
      <c r="R331" t="s">
        <v>338</v>
      </c>
      <c r="S331" s="12">
        <v>49560</v>
      </c>
      <c r="T331" s="12">
        <v>15284.543004243093</v>
      </c>
      <c r="U331" s="12">
        <v>162022</v>
      </c>
      <c r="V331" s="12">
        <v>226866.54300424311</v>
      </c>
      <c r="W331" s="12">
        <v>55388.669000000002</v>
      </c>
      <c r="X331" s="12">
        <v>18312.684263132265</v>
      </c>
      <c r="Y331" s="12">
        <v>170975.6</v>
      </c>
      <c r="Z331" s="12">
        <v>244676.95326313228</v>
      </c>
      <c r="AA331" s="12">
        <v>5828.6690000000017</v>
      </c>
      <c r="AB331" s="12">
        <v>3028.1412588891726</v>
      </c>
      <c r="AC331" s="12">
        <v>8953.6000000000058</v>
      </c>
      <c r="AD331" s="12">
        <v>17810.41025888918</v>
      </c>
      <c r="AI331" s="12"/>
    </row>
    <row r="332" spans="1:35" x14ac:dyDescent="0.25">
      <c r="A332">
        <v>2890</v>
      </c>
      <c r="B332" t="s">
        <v>918</v>
      </c>
      <c r="C332" s="19">
        <v>27960</v>
      </c>
      <c r="D332" s="19">
        <v>8192.8920439450685</v>
      </c>
      <c r="E332" s="19">
        <v>71153</v>
      </c>
      <c r="F332" s="19">
        <v>107305.89204394506</v>
      </c>
      <c r="G332" s="19">
        <v>3288.3290000000015</v>
      </c>
      <c r="H332" s="19">
        <v>1623.1584039514746</v>
      </c>
      <c r="I332" s="19">
        <v>3388</v>
      </c>
      <c r="J332" s="19">
        <v>8299.4874039514762</v>
      </c>
      <c r="K332" s="19">
        <v>31248.329000000002</v>
      </c>
      <c r="L332" s="19">
        <v>9816.0504478965431</v>
      </c>
      <c r="M332" s="19">
        <v>74541</v>
      </c>
      <c r="N332" s="19">
        <v>115605.37944789654</v>
      </c>
      <c r="P332">
        <v>2897</v>
      </c>
      <c r="Q332">
        <v>1</v>
      </c>
      <c r="R332" t="s">
        <v>339</v>
      </c>
      <c r="S332" s="12">
        <v>59160</v>
      </c>
      <c r="T332" s="12">
        <v>14897.331612974667</v>
      </c>
      <c r="U332" s="12">
        <v>138592</v>
      </c>
      <c r="V332" s="12">
        <v>212649.33161297467</v>
      </c>
      <c r="W332" s="12">
        <v>66117.709000000003</v>
      </c>
      <c r="X332" s="12">
        <v>17848.759371860189</v>
      </c>
      <c r="Y332" s="12">
        <v>145256.4</v>
      </c>
      <c r="Z332" s="12">
        <v>229222.86837186018</v>
      </c>
      <c r="AA332" s="12">
        <v>6957.7090000000026</v>
      </c>
      <c r="AB332" s="12">
        <v>2951.4277588855221</v>
      </c>
      <c r="AC332" s="12">
        <v>6664.3999999999942</v>
      </c>
      <c r="AD332" s="12">
        <v>16573.536758885519</v>
      </c>
      <c r="AI332" s="12"/>
    </row>
    <row r="333" spans="1:35" x14ac:dyDescent="0.25">
      <c r="A333">
        <v>2895</v>
      </c>
      <c r="B333" t="s">
        <v>919</v>
      </c>
      <c r="C333" s="19">
        <v>49560</v>
      </c>
      <c r="D333" s="19">
        <v>15284.543004243093</v>
      </c>
      <c r="E333" s="19">
        <v>162022</v>
      </c>
      <c r="F333" s="19">
        <v>226866.54300424311</v>
      </c>
      <c r="G333" s="19">
        <v>5828.6690000000017</v>
      </c>
      <c r="H333" s="19">
        <v>3028.1412588891726</v>
      </c>
      <c r="I333" s="19">
        <v>8953.6000000000058</v>
      </c>
      <c r="J333" s="19">
        <v>17810.41025888918</v>
      </c>
      <c r="K333" s="19">
        <v>55388.669000000002</v>
      </c>
      <c r="L333" s="19">
        <v>18312.684263132265</v>
      </c>
      <c r="M333" s="19">
        <v>170975.6</v>
      </c>
      <c r="N333" s="19">
        <v>244676.95326313228</v>
      </c>
      <c r="P333">
        <v>2898</v>
      </c>
      <c r="Q333">
        <v>1</v>
      </c>
      <c r="R333" t="s">
        <v>340</v>
      </c>
      <c r="S333" s="12">
        <v>18000</v>
      </c>
      <c r="T333" s="12">
        <v>4990.761555969345</v>
      </c>
      <c r="U333" s="12">
        <v>61239</v>
      </c>
      <c r="V333" s="12">
        <v>84229.761555969337</v>
      </c>
      <c r="W333" s="12">
        <v>20116.95</v>
      </c>
      <c r="X333" s="12">
        <v>5979.5206557156243</v>
      </c>
      <c r="Y333" s="12">
        <v>62875.4</v>
      </c>
      <c r="Z333" s="12">
        <v>88971.870655715626</v>
      </c>
      <c r="AA333" s="12">
        <v>2116.9500000000007</v>
      </c>
      <c r="AB333" s="12">
        <v>988.75909974627939</v>
      </c>
      <c r="AC333" s="12">
        <v>1636.4000000000015</v>
      </c>
      <c r="AD333" s="12">
        <v>4742.1090997462816</v>
      </c>
      <c r="AI333" s="12"/>
    </row>
    <row r="334" spans="1:35" x14ac:dyDescent="0.25">
      <c r="A334">
        <v>2897</v>
      </c>
      <c r="B334" t="s">
        <v>920</v>
      </c>
      <c r="C334" s="19">
        <v>59160</v>
      </c>
      <c r="D334" s="19">
        <v>14897.331612974667</v>
      </c>
      <c r="E334" s="19">
        <v>138592</v>
      </c>
      <c r="F334" s="19">
        <v>212649.33161297467</v>
      </c>
      <c r="G334" s="19">
        <v>6957.7090000000026</v>
      </c>
      <c r="H334" s="19">
        <v>2951.4277588855221</v>
      </c>
      <c r="I334" s="19">
        <v>6664.3999999999942</v>
      </c>
      <c r="J334" s="19">
        <v>16573.536758885519</v>
      </c>
      <c r="K334" s="19">
        <v>66117.709000000003</v>
      </c>
      <c r="L334" s="19">
        <v>17848.759371860189</v>
      </c>
      <c r="M334" s="19">
        <v>145256.4</v>
      </c>
      <c r="N334" s="19">
        <v>229222.86837186018</v>
      </c>
      <c r="P334">
        <v>2899</v>
      </c>
      <c r="Q334">
        <v>1</v>
      </c>
      <c r="R334" t="s">
        <v>341</v>
      </c>
      <c r="S334" s="12">
        <v>71400</v>
      </c>
      <c r="T334" s="12">
        <v>15452.216420966262</v>
      </c>
      <c r="U334" s="12">
        <v>140897</v>
      </c>
      <c r="V334" s="12">
        <v>227749.21642096626</v>
      </c>
      <c r="W334" s="12">
        <v>79797.235000000001</v>
      </c>
      <c r="X334" s="12">
        <v>18513.576781732238</v>
      </c>
      <c r="Y334" s="12">
        <v>145257.79999999999</v>
      </c>
      <c r="Z334" s="12">
        <v>243568.61178173224</v>
      </c>
      <c r="AA334" s="12">
        <v>8397.2350000000006</v>
      </c>
      <c r="AB334" s="12">
        <v>3061.3603607659752</v>
      </c>
      <c r="AC334" s="12">
        <v>4360.7999999999884</v>
      </c>
      <c r="AD334" s="12">
        <v>15819.395360765964</v>
      </c>
      <c r="AI334" s="12"/>
    </row>
    <row r="335" spans="1:35" x14ac:dyDescent="0.25">
      <c r="A335">
        <v>2898</v>
      </c>
      <c r="B335" t="s">
        <v>921</v>
      </c>
      <c r="C335" s="19">
        <v>18000</v>
      </c>
      <c r="D335" s="19">
        <v>4990.761555969345</v>
      </c>
      <c r="E335" s="19">
        <v>61239</v>
      </c>
      <c r="F335" s="19">
        <v>84229.761555969337</v>
      </c>
      <c r="G335" s="19">
        <v>2116.9500000000007</v>
      </c>
      <c r="H335" s="19">
        <v>988.75909974627939</v>
      </c>
      <c r="I335" s="19">
        <v>1636.4000000000015</v>
      </c>
      <c r="J335" s="19">
        <v>4742.1090997462816</v>
      </c>
      <c r="K335" s="19">
        <v>20116.95</v>
      </c>
      <c r="L335" s="19">
        <v>5979.5206557156243</v>
      </c>
      <c r="M335" s="19">
        <v>62875.4</v>
      </c>
      <c r="N335" s="19">
        <v>88971.870655715626</v>
      </c>
      <c r="P335">
        <v>2902</v>
      </c>
      <c r="Q335">
        <v>1</v>
      </c>
      <c r="R335" t="s">
        <v>342</v>
      </c>
      <c r="S335" s="12">
        <v>19320</v>
      </c>
      <c r="T335" s="12">
        <v>7280.1045870339749</v>
      </c>
      <c r="U335" s="12">
        <v>87493</v>
      </c>
      <c r="V335" s="12">
        <v>114093.10458703397</v>
      </c>
      <c r="W335" s="12">
        <v>21592.192999999999</v>
      </c>
      <c r="X335" s="12">
        <v>8722.4234750050455</v>
      </c>
      <c r="Y335" s="12">
        <v>92764.2</v>
      </c>
      <c r="Z335" s="12">
        <v>123078.81647500503</v>
      </c>
      <c r="AA335" s="12">
        <v>2272.1929999999993</v>
      </c>
      <c r="AB335" s="12">
        <v>1442.3188879710706</v>
      </c>
      <c r="AC335" s="12">
        <v>5271.1999999999971</v>
      </c>
      <c r="AD335" s="12">
        <v>8985.711887971067</v>
      </c>
      <c r="AI335" s="12"/>
    </row>
    <row r="336" spans="1:35" x14ac:dyDescent="0.25">
      <c r="A336">
        <v>2899</v>
      </c>
      <c r="B336" t="s">
        <v>922</v>
      </c>
      <c r="C336" s="19">
        <v>71400</v>
      </c>
      <c r="D336" s="19">
        <v>15452.216420966262</v>
      </c>
      <c r="E336" s="19">
        <v>140897</v>
      </c>
      <c r="F336" s="19">
        <v>227749.21642096626</v>
      </c>
      <c r="G336" s="19">
        <v>8397.2350000000006</v>
      </c>
      <c r="H336" s="19">
        <v>3061.3603607659752</v>
      </c>
      <c r="I336" s="19">
        <v>4360.7999999999884</v>
      </c>
      <c r="J336" s="19">
        <v>15819.395360765964</v>
      </c>
      <c r="K336" s="19">
        <v>79797.235000000001</v>
      </c>
      <c r="L336" s="19">
        <v>18513.576781732238</v>
      </c>
      <c r="M336" s="19">
        <v>145257.79999999999</v>
      </c>
      <c r="N336" s="19">
        <v>243568.61178173224</v>
      </c>
      <c r="P336">
        <v>2903</v>
      </c>
      <c r="Q336">
        <v>1</v>
      </c>
      <c r="R336" t="s">
        <v>343</v>
      </c>
      <c r="S336" s="12">
        <v>20400</v>
      </c>
      <c r="T336" s="12">
        <v>5697.3337054143585</v>
      </c>
      <c r="U336" s="12">
        <v>59975</v>
      </c>
      <c r="V336" s="12">
        <v>86072.333705414363</v>
      </c>
      <c r="W336" s="12">
        <v>22799.21</v>
      </c>
      <c r="X336" s="12">
        <v>6826.0773815737166</v>
      </c>
      <c r="Y336" s="12">
        <v>64237</v>
      </c>
      <c r="Z336" s="12">
        <v>93862.287381573711</v>
      </c>
      <c r="AA336" s="12">
        <v>2399.2099999999991</v>
      </c>
      <c r="AB336" s="12">
        <v>1128.7436761593581</v>
      </c>
      <c r="AC336" s="12">
        <v>4262</v>
      </c>
      <c r="AD336" s="12">
        <v>7789.9536761593572</v>
      </c>
      <c r="AI336" s="12"/>
    </row>
    <row r="337" spans="1:35" x14ac:dyDescent="0.25">
      <c r="A337">
        <v>2902</v>
      </c>
      <c r="B337" t="s">
        <v>923</v>
      </c>
      <c r="C337" s="19">
        <v>19320</v>
      </c>
      <c r="D337" s="19">
        <v>7280.1045870339749</v>
      </c>
      <c r="E337" s="19">
        <v>87493</v>
      </c>
      <c r="F337" s="19">
        <v>114093.10458703397</v>
      </c>
      <c r="G337" s="19">
        <v>2272.1929999999993</v>
      </c>
      <c r="H337" s="19">
        <v>1442.3188879710706</v>
      </c>
      <c r="I337" s="19">
        <v>5271.1999999999971</v>
      </c>
      <c r="J337" s="19">
        <v>8985.711887971067</v>
      </c>
      <c r="K337" s="19">
        <v>21592.192999999999</v>
      </c>
      <c r="L337" s="19">
        <v>8722.4234750050455</v>
      </c>
      <c r="M337" s="19">
        <v>92764.2</v>
      </c>
      <c r="N337" s="19">
        <v>123078.81647500503</v>
      </c>
      <c r="P337">
        <v>2904</v>
      </c>
      <c r="Q337">
        <v>1</v>
      </c>
      <c r="R337" t="s">
        <v>344</v>
      </c>
      <c r="S337" s="12">
        <v>0</v>
      </c>
      <c r="T337" s="12">
        <v>10755.235652291387</v>
      </c>
      <c r="U337" s="12">
        <v>106451</v>
      </c>
      <c r="V337" s="12">
        <v>117206.23565229139</v>
      </c>
      <c r="W337" s="12">
        <v>0</v>
      </c>
      <c r="X337" s="12">
        <v>12886.040140115336</v>
      </c>
      <c r="Y337" s="12">
        <v>111824.2</v>
      </c>
      <c r="Z337" s="12">
        <v>124710.24014011533</v>
      </c>
      <c r="AA337" s="12">
        <v>0</v>
      </c>
      <c r="AB337" s="12">
        <v>2130.8044878239489</v>
      </c>
      <c r="AC337" s="12">
        <v>5373.1999999999971</v>
      </c>
      <c r="AD337" s="12">
        <v>7504.004487823946</v>
      </c>
      <c r="AI337" s="12"/>
    </row>
    <row r="338" spans="1:35" x14ac:dyDescent="0.25">
      <c r="A338">
        <v>2903</v>
      </c>
      <c r="B338" t="s">
        <v>924</v>
      </c>
      <c r="C338" s="19">
        <v>20400</v>
      </c>
      <c r="D338" s="19">
        <v>5697.3337054143585</v>
      </c>
      <c r="E338" s="19">
        <v>59975</v>
      </c>
      <c r="F338" s="19">
        <v>86072.333705414363</v>
      </c>
      <c r="G338" s="19">
        <v>2399.2099999999991</v>
      </c>
      <c r="H338" s="19">
        <v>1128.7436761593581</v>
      </c>
      <c r="I338" s="19">
        <v>4262</v>
      </c>
      <c r="J338" s="19">
        <v>7789.9536761593572</v>
      </c>
      <c r="K338" s="19">
        <v>22799.21</v>
      </c>
      <c r="L338" s="19">
        <v>6826.0773815737166</v>
      </c>
      <c r="M338" s="19">
        <v>64237</v>
      </c>
      <c r="N338" s="19">
        <v>93862.287381573711</v>
      </c>
      <c r="P338">
        <v>2905</v>
      </c>
      <c r="Q338">
        <v>1</v>
      </c>
      <c r="R338" t="s">
        <v>345</v>
      </c>
      <c r="S338" s="12">
        <v>107280</v>
      </c>
      <c r="T338" s="12">
        <v>23724.151038529882</v>
      </c>
      <c r="U338" s="12">
        <v>219675</v>
      </c>
      <c r="V338" s="12">
        <v>350679.15103852988</v>
      </c>
      <c r="W338" s="12">
        <v>119897.022</v>
      </c>
      <c r="X338" s="12">
        <v>28424.329550373346</v>
      </c>
      <c r="Y338" s="12">
        <v>228658.2</v>
      </c>
      <c r="Z338" s="12">
        <v>376979.55155037332</v>
      </c>
      <c r="AA338" s="12">
        <v>12617.021999999997</v>
      </c>
      <c r="AB338" s="12">
        <v>4700.1785118434636</v>
      </c>
      <c r="AC338" s="12">
        <v>8983.2000000000116</v>
      </c>
      <c r="AD338" s="12">
        <v>26300.400511843472</v>
      </c>
      <c r="AI338" s="12"/>
    </row>
    <row r="339" spans="1:35" x14ac:dyDescent="0.25">
      <c r="A339">
        <v>2904</v>
      </c>
      <c r="B339" t="s">
        <v>925</v>
      </c>
      <c r="C339" s="19">
        <v>0</v>
      </c>
      <c r="D339" s="19">
        <v>10755.235652291387</v>
      </c>
      <c r="E339" s="19">
        <v>106451</v>
      </c>
      <c r="F339" s="19">
        <v>117206.23565229139</v>
      </c>
      <c r="G339" s="19">
        <v>0</v>
      </c>
      <c r="H339" s="19">
        <v>2130.8044878239489</v>
      </c>
      <c r="I339" s="19">
        <v>5373.1999999999971</v>
      </c>
      <c r="J339" s="19">
        <v>7504.004487823946</v>
      </c>
      <c r="K339" s="19">
        <v>0</v>
      </c>
      <c r="L339" s="19">
        <v>12886.040140115336</v>
      </c>
      <c r="M339" s="19">
        <v>111824.2</v>
      </c>
      <c r="N339" s="19">
        <v>124710.24014011533</v>
      </c>
      <c r="P339">
        <v>2906</v>
      </c>
      <c r="Q339">
        <v>1</v>
      </c>
      <c r="R339" t="s">
        <v>346</v>
      </c>
      <c r="S339" s="12">
        <v>18000</v>
      </c>
      <c r="T339" s="12">
        <v>4569.2697270629269</v>
      </c>
      <c r="U339" s="12">
        <v>55362</v>
      </c>
      <c r="V339" s="12">
        <v>77931.269727062929</v>
      </c>
      <c r="W339" s="12">
        <v>20116.95</v>
      </c>
      <c r="X339" s="12">
        <v>5474.5237591704899</v>
      </c>
      <c r="Y339" s="12">
        <v>59370.8</v>
      </c>
      <c r="Z339" s="12">
        <v>84962.273759170494</v>
      </c>
      <c r="AA339" s="12">
        <v>2116.9500000000007</v>
      </c>
      <c r="AB339" s="12">
        <v>905.25403210756303</v>
      </c>
      <c r="AC339" s="12">
        <v>4008.8000000000029</v>
      </c>
      <c r="AD339" s="12">
        <v>7031.0040321075667</v>
      </c>
      <c r="AI339" s="12"/>
    </row>
    <row r="340" spans="1:35" x14ac:dyDescent="0.25">
      <c r="A340">
        <v>2905</v>
      </c>
      <c r="B340" t="s">
        <v>926</v>
      </c>
      <c r="C340" s="19">
        <v>107280</v>
      </c>
      <c r="D340" s="19">
        <v>23724.151038529882</v>
      </c>
      <c r="E340" s="19">
        <v>219675</v>
      </c>
      <c r="F340" s="19">
        <v>350679.15103852988</v>
      </c>
      <c r="G340" s="19">
        <v>12617.021999999997</v>
      </c>
      <c r="H340" s="19">
        <v>4700.1785118434636</v>
      </c>
      <c r="I340" s="19">
        <v>8983.2000000000116</v>
      </c>
      <c r="J340" s="19">
        <v>26300.400511843472</v>
      </c>
      <c r="K340" s="19">
        <v>119897.022</v>
      </c>
      <c r="L340" s="19">
        <v>28424.329550373346</v>
      </c>
      <c r="M340" s="19">
        <v>228658.2</v>
      </c>
      <c r="N340" s="19">
        <v>376979.55155037332</v>
      </c>
      <c r="P340">
        <v>2907</v>
      </c>
      <c r="Q340">
        <v>1</v>
      </c>
      <c r="R340" t="s">
        <v>347</v>
      </c>
      <c r="S340" s="12">
        <v>18000</v>
      </c>
      <c r="T340" s="12">
        <v>2344.4036787154059</v>
      </c>
      <c r="U340" s="12">
        <v>38376</v>
      </c>
      <c r="V340" s="12">
        <v>58720.403678715404</v>
      </c>
      <c r="W340" s="12">
        <v>20116.95</v>
      </c>
      <c r="X340" s="12">
        <v>2808.8719657318311</v>
      </c>
      <c r="Y340" s="12">
        <v>40656</v>
      </c>
      <c r="Z340" s="12">
        <v>63581.821965731833</v>
      </c>
      <c r="AA340" s="12">
        <v>2116.9500000000007</v>
      </c>
      <c r="AB340" s="12">
        <v>464.46828701642517</v>
      </c>
      <c r="AC340" s="12">
        <v>2280</v>
      </c>
      <c r="AD340" s="12">
        <v>4861.4182870164259</v>
      </c>
      <c r="AI340" s="12"/>
    </row>
    <row r="341" spans="1:35" x14ac:dyDescent="0.25">
      <c r="A341">
        <v>2906</v>
      </c>
      <c r="B341" t="s">
        <v>927</v>
      </c>
      <c r="C341" s="19">
        <v>18000</v>
      </c>
      <c r="D341" s="19">
        <v>4569.2697270629269</v>
      </c>
      <c r="E341" s="19">
        <v>55362</v>
      </c>
      <c r="F341" s="19">
        <v>77931.269727062929</v>
      </c>
      <c r="G341" s="19">
        <v>2116.9500000000007</v>
      </c>
      <c r="H341" s="19">
        <v>905.25403210756303</v>
      </c>
      <c r="I341" s="19">
        <v>4008.8000000000029</v>
      </c>
      <c r="J341" s="19">
        <v>7031.0040321075667</v>
      </c>
      <c r="K341" s="19">
        <v>20116.95</v>
      </c>
      <c r="L341" s="19">
        <v>5474.5237591704899</v>
      </c>
      <c r="M341" s="19">
        <v>59370.8</v>
      </c>
      <c r="N341" s="19">
        <v>84962.273759170494</v>
      </c>
      <c r="P341">
        <v>2908</v>
      </c>
      <c r="Q341">
        <v>1</v>
      </c>
      <c r="R341" t="s">
        <v>348</v>
      </c>
      <c r="S341" s="12">
        <v>24480</v>
      </c>
      <c r="T341" s="12">
        <v>6908.1690288511445</v>
      </c>
      <c r="U341" s="12">
        <v>63629</v>
      </c>
      <c r="V341" s="12">
        <v>95017.169028851145</v>
      </c>
      <c r="W341" s="12">
        <v>27359.052</v>
      </c>
      <c r="X341" s="12">
        <v>8276.8008324868351</v>
      </c>
      <c r="Y341" s="12">
        <v>67331.8</v>
      </c>
      <c r="Z341" s="12">
        <v>102967.65283248684</v>
      </c>
      <c r="AA341" s="12">
        <v>2879.0519999999997</v>
      </c>
      <c r="AB341" s="12">
        <v>1368.6318036356906</v>
      </c>
      <c r="AC341" s="12">
        <v>3702.8000000000029</v>
      </c>
      <c r="AD341" s="12">
        <v>7950.4838036356932</v>
      </c>
      <c r="AI341" s="12"/>
    </row>
    <row r="342" spans="1:35" x14ac:dyDescent="0.25">
      <c r="A342">
        <v>2907</v>
      </c>
      <c r="B342" t="s">
        <v>928</v>
      </c>
      <c r="C342" s="19">
        <v>18000</v>
      </c>
      <c r="D342" s="19">
        <v>2344.4036787154059</v>
      </c>
      <c r="E342" s="19">
        <v>38376</v>
      </c>
      <c r="F342" s="19">
        <v>58720.403678715404</v>
      </c>
      <c r="G342" s="19">
        <v>2116.9500000000007</v>
      </c>
      <c r="H342" s="19">
        <v>464.46828701642517</v>
      </c>
      <c r="I342" s="19">
        <v>2280</v>
      </c>
      <c r="J342" s="19">
        <v>4861.4182870164259</v>
      </c>
      <c r="K342" s="19">
        <v>20116.95</v>
      </c>
      <c r="L342" s="19">
        <v>2808.8719657318311</v>
      </c>
      <c r="M342" s="19">
        <v>40656</v>
      </c>
      <c r="N342" s="19">
        <v>63581.821965731833</v>
      </c>
      <c r="P342">
        <v>3000</v>
      </c>
      <c r="Q342">
        <v>1</v>
      </c>
      <c r="R342" t="s">
        <v>349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I342" s="12"/>
    </row>
    <row r="343" spans="1:35" x14ac:dyDescent="0.25">
      <c r="A343">
        <v>2908</v>
      </c>
      <c r="B343" t="s">
        <v>929</v>
      </c>
      <c r="C343" s="19">
        <v>24480</v>
      </c>
      <c r="D343" s="19">
        <v>6908.1690288511445</v>
      </c>
      <c r="E343" s="19">
        <v>63629</v>
      </c>
      <c r="F343" s="19">
        <v>95017.169028851145</v>
      </c>
      <c r="G343" s="19">
        <v>2879.0519999999997</v>
      </c>
      <c r="H343" s="19">
        <v>1368.6318036356906</v>
      </c>
      <c r="I343" s="19">
        <v>3702.8000000000029</v>
      </c>
      <c r="J343" s="19">
        <v>7950.4838036356932</v>
      </c>
      <c r="K343" s="19">
        <v>27359.052</v>
      </c>
      <c r="L343" s="19">
        <v>8276.8008324868351</v>
      </c>
      <c r="M343" s="19">
        <v>67331.8</v>
      </c>
      <c r="N343" s="19">
        <v>102967.65283248684</v>
      </c>
      <c r="P343">
        <v>3999</v>
      </c>
      <c r="Q343">
        <v>1</v>
      </c>
      <c r="R343" t="s">
        <v>350</v>
      </c>
      <c r="S343" s="12">
        <v>0</v>
      </c>
      <c r="T343" s="12">
        <v>0</v>
      </c>
      <c r="U343" s="12">
        <v>4978542</v>
      </c>
      <c r="V343" s="12">
        <v>4978542</v>
      </c>
      <c r="W343" s="12">
        <v>0</v>
      </c>
      <c r="X343" s="12">
        <v>0</v>
      </c>
      <c r="Y343" s="12">
        <v>5110156.4000000004</v>
      </c>
      <c r="Z343" s="12">
        <v>5110156.4000000004</v>
      </c>
      <c r="AA343" s="12">
        <v>0</v>
      </c>
      <c r="AB343" s="12">
        <v>0</v>
      </c>
      <c r="AC343" s="12">
        <v>131614.40000000037</v>
      </c>
      <c r="AD343" s="12">
        <v>131614.40000000037</v>
      </c>
      <c r="AI343" s="12"/>
    </row>
    <row r="344" spans="1:35" x14ac:dyDescent="0.25">
      <c r="A344">
        <v>3000</v>
      </c>
      <c r="B344" t="s">
        <v>930</v>
      </c>
      <c r="C344" s="19">
        <v>0</v>
      </c>
      <c r="D344" s="19">
        <v>0</v>
      </c>
      <c r="E344" s="19">
        <v>0</v>
      </c>
      <c r="F344" s="19">
        <v>0</v>
      </c>
      <c r="G344" s="19">
        <v>0</v>
      </c>
      <c r="H344" s="19">
        <v>0</v>
      </c>
      <c r="I344" s="19">
        <v>0</v>
      </c>
      <c r="J344" s="19">
        <v>0</v>
      </c>
      <c r="K344" s="19">
        <v>0</v>
      </c>
      <c r="L344" s="19">
        <v>0</v>
      </c>
      <c r="M344" s="19">
        <v>0</v>
      </c>
      <c r="N344" s="19">
        <v>0</v>
      </c>
      <c r="P344">
        <v>4000</v>
      </c>
      <c r="Q344">
        <v>7</v>
      </c>
      <c r="R344" t="s">
        <v>351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I344" s="12"/>
    </row>
    <row r="345" spans="1:35" x14ac:dyDescent="0.25">
      <c r="A345">
        <v>3999</v>
      </c>
      <c r="B345" t="s">
        <v>931</v>
      </c>
      <c r="C345" s="19">
        <v>0</v>
      </c>
      <c r="D345" s="19">
        <v>0</v>
      </c>
      <c r="E345" s="19">
        <v>4978542</v>
      </c>
      <c r="F345" s="19">
        <v>4978542</v>
      </c>
      <c r="G345" s="19">
        <v>0</v>
      </c>
      <c r="H345" s="19">
        <v>0</v>
      </c>
      <c r="I345" s="19">
        <v>131614.40000000037</v>
      </c>
      <c r="J345" s="19">
        <v>131614.40000000037</v>
      </c>
      <c r="K345" s="19">
        <v>0</v>
      </c>
      <c r="L345" s="19">
        <v>0</v>
      </c>
      <c r="M345" s="19">
        <v>5110156.4000000004</v>
      </c>
      <c r="N345" s="19">
        <v>5110156.4000000004</v>
      </c>
      <c r="P345">
        <v>4001</v>
      </c>
      <c r="Q345">
        <v>7</v>
      </c>
      <c r="R345" t="s">
        <v>352</v>
      </c>
      <c r="S345" s="12">
        <v>0</v>
      </c>
      <c r="T345" s="12">
        <v>0</v>
      </c>
      <c r="U345" s="12">
        <v>18547</v>
      </c>
      <c r="V345" s="12">
        <v>18547</v>
      </c>
      <c r="W345" s="12">
        <v>0</v>
      </c>
      <c r="X345" s="12">
        <v>0</v>
      </c>
      <c r="Y345" s="12">
        <v>19360.599999999999</v>
      </c>
      <c r="Z345" s="12">
        <v>19360.599999999999</v>
      </c>
      <c r="AA345" s="12">
        <v>0</v>
      </c>
      <c r="AB345" s="12">
        <v>0</v>
      </c>
      <c r="AC345" s="12">
        <v>813.59999999999854</v>
      </c>
      <c r="AD345" s="12">
        <v>813.59999999999854</v>
      </c>
      <c r="AI345" s="12"/>
    </row>
    <row r="346" spans="1:35" x14ac:dyDescent="0.25">
      <c r="A346">
        <v>4000</v>
      </c>
      <c r="B346" t="s">
        <v>932</v>
      </c>
      <c r="C346" s="19">
        <v>0</v>
      </c>
      <c r="D346" s="19">
        <v>0</v>
      </c>
      <c r="E346" s="19">
        <v>0</v>
      </c>
      <c r="F346" s="19">
        <v>0</v>
      </c>
      <c r="G346" s="19">
        <v>0</v>
      </c>
      <c r="H346" s="19">
        <v>0</v>
      </c>
      <c r="I346" s="19">
        <v>0</v>
      </c>
      <c r="J346" s="19">
        <v>0</v>
      </c>
      <c r="K346" s="19">
        <v>0</v>
      </c>
      <c r="L346" s="19">
        <v>0</v>
      </c>
      <c r="M346" s="19">
        <v>0</v>
      </c>
      <c r="N346" s="19">
        <v>0</v>
      </c>
      <c r="P346">
        <v>4003</v>
      </c>
      <c r="Q346">
        <v>7</v>
      </c>
      <c r="R346" t="s">
        <v>353</v>
      </c>
      <c r="S346" s="12">
        <v>0</v>
      </c>
      <c r="T346" s="12">
        <v>0</v>
      </c>
      <c r="U346" s="12">
        <v>9678</v>
      </c>
      <c r="V346" s="12">
        <v>9678</v>
      </c>
      <c r="W346" s="12">
        <v>0</v>
      </c>
      <c r="X346" s="12">
        <v>0</v>
      </c>
      <c r="Y346" s="12">
        <v>10134</v>
      </c>
      <c r="Z346" s="12">
        <v>10134</v>
      </c>
      <c r="AA346" s="12">
        <v>0</v>
      </c>
      <c r="AB346" s="12">
        <v>0</v>
      </c>
      <c r="AC346" s="12">
        <v>456</v>
      </c>
      <c r="AD346" s="12">
        <v>456</v>
      </c>
      <c r="AI346" s="12"/>
    </row>
    <row r="347" spans="1:35" x14ac:dyDescent="0.25">
      <c r="A347">
        <v>4001</v>
      </c>
      <c r="B347" t="s">
        <v>933</v>
      </c>
      <c r="C347" s="19">
        <v>0</v>
      </c>
      <c r="D347" s="19">
        <v>0</v>
      </c>
      <c r="E347" s="19">
        <v>18547</v>
      </c>
      <c r="F347" s="19">
        <v>18547</v>
      </c>
      <c r="G347" s="19">
        <v>0</v>
      </c>
      <c r="H347" s="19">
        <v>0</v>
      </c>
      <c r="I347" s="19">
        <v>813.59999999999854</v>
      </c>
      <c r="J347" s="19">
        <v>813.59999999999854</v>
      </c>
      <c r="K347" s="19"/>
      <c r="L347" s="19">
        <v>0</v>
      </c>
      <c r="M347" s="19">
        <v>19360.599999999999</v>
      </c>
      <c r="N347" s="19">
        <v>19360.599999999999</v>
      </c>
      <c r="P347">
        <v>4004</v>
      </c>
      <c r="Q347">
        <v>7</v>
      </c>
      <c r="R347" t="s">
        <v>354</v>
      </c>
      <c r="S347" s="12">
        <v>0</v>
      </c>
      <c r="T347" s="12">
        <v>0</v>
      </c>
      <c r="U347" s="12">
        <v>23419</v>
      </c>
      <c r="V347" s="12">
        <v>23419</v>
      </c>
      <c r="W347" s="12">
        <v>0</v>
      </c>
      <c r="X347" s="12">
        <v>0</v>
      </c>
      <c r="Y347" s="12">
        <v>23462.6</v>
      </c>
      <c r="Z347" s="12">
        <v>23462.6</v>
      </c>
      <c r="AA347" s="12">
        <v>0</v>
      </c>
      <c r="AB347" s="12">
        <v>0</v>
      </c>
      <c r="AC347" s="12">
        <v>43.599999999998545</v>
      </c>
      <c r="AD347" s="12">
        <v>43.599999999998545</v>
      </c>
      <c r="AI347" s="12"/>
    </row>
    <row r="348" spans="1:35" x14ac:dyDescent="0.25">
      <c r="A348">
        <v>4003</v>
      </c>
      <c r="B348" t="s">
        <v>934</v>
      </c>
      <c r="C348" s="19">
        <v>0</v>
      </c>
      <c r="D348" s="19">
        <v>0</v>
      </c>
      <c r="E348" s="19">
        <v>9678</v>
      </c>
      <c r="F348" s="19">
        <v>9678</v>
      </c>
      <c r="G348" s="19">
        <v>0</v>
      </c>
      <c r="H348" s="19">
        <v>0</v>
      </c>
      <c r="I348" s="19">
        <v>456</v>
      </c>
      <c r="J348" s="19">
        <v>456</v>
      </c>
      <c r="K348" s="19"/>
      <c r="L348" s="19">
        <v>0</v>
      </c>
      <c r="M348" s="19">
        <v>10134</v>
      </c>
      <c r="N348" s="19">
        <v>10134</v>
      </c>
      <c r="P348">
        <v>4005</v>
      </c>
      <c r="Q348">
        <v>7</v>
      </c>
      <c r="R348" t="s">
        <v>355</v>
      </c>
      <c r="S348" s="12">
        <v>0</v>
      </c>
      <c r="T348" s="12">
        <v>0</v>
      </c>
      <c r="U348" s="12">
        <v>5607</v>
      </c>
      <c r="V348" s="12">
        <v>5607</v>
      </c>
      <c r="W348" s="12">
        <v>0</v>
      </c>
      <c r="X348" s="12">
        <v>0</v>
      </c>
      <c r="Y348" s="12">
        <v>5890.2</v>
      </c>
      <c r="Z348" s="12">
        <v>5890.2</v>
      </c>
      <c r="AA348" s="12">
        <v>0</v>
      </c>
      <c r="AB348" s="12">
        <v>0</v>
      </c>
      <c r="AC348" s="12">
        <v>283.19999999999982</v>
      </c>
      <c r="AD348" s="12">
        <v>283.19999999999982</v>
      </c>
      <c r="AI348" s="12"/>
    </row>
    <row r="349" spans="1:35" x14ac:dyDescent="0.25">
      <c r="A349">
        <v>4004</v>
      </c>
      <c r="B349" t="s">
        <v>935</v>
      </c>
      <c r="C349" s="19">
        <v>0</v>
      </c>
      <c r="D349" s="19">
        <v>0</v>
      </c>
      <c r="E349" s="19">
        <v>23419</v>
      </c>
      <c r="F349" s="19">
        <v>23419</v>
      </c>
      <c r="G349" s="19">
        <v>0</v>
      </c>
      <c r="H349" s="19">
        <v>0</v>
      </c>
      <c r="I349" s="19">
        <v>43.599999999998545</v>
      </c>
      <c r="J349" s="19">
        <v>43.599999999998545</v>
      </c>
      <c r="K349" s="19"/>
      <c r="L349" s="19">
        <v>0</v>
      </c>
      <c r="M349" s="19">
        <v>23462.6</v>
      </c>
      <c r="N349" s="19">
        <v>23462.6</v>
      </c>
      <c r="P349">
        <v>4006</v>
      </c>
      <c r="Q349">
        <v>7</v>
      </c>
      <c r="R349" t="s">
        <v>356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0</v>
      </c>
      <c r="Z349" s="12">
        <v>0</v>
      </c>
      <c r="AA349" s="12">
        <v>0</v>
      </c>
      <c r="AB349" s="12">
        <v>0</v>
      </c>
      <c r="AC349" s="12">
        <v>0</v>
      </c>
      <c r="AD349" s="12">
        <v>0</v>
      </c>
      <c r="AI349" s="12"/>
    </row>
    <row r="350" spans="1:35" x14ac:dyDescent="0.25">
      <c r="A350">
        <v>4005</v>
      </c>
      <c r="B350" t="s">
        <v>936</v>
      </c>
      <c r="C350" s="19">
        <v>0</v>
      </c>
      <c r="D350" s="19">
        <v>0</v>
      </c>
      <c r="E350" s="19">
        <v>5607</v>
      </c>
      <c r="F350" s="19">
        <v>5607</v>
      </c>
      <c r="G350" s="19">
        <v>0</v>
      </c>
      <c r="H350" s="19">
        <v>0</v>
      </c>
      <c r="I350" s="19">
        <v>283.19999999999982</v>
      </c>
      <c r="J350" s="19">
        <v>283.19999999999982</v>
      </c>
      <c r="K350" s="19"/>
      <c r="L350" s="19">
        <v>0</v>
      </c>
      <c r="M350" s="19">
        <v>5890.2</v>
      </c>
      <c r="N350" s="19">
        <v>5890.2</v>
      </c>
      <c r="P350">
        <v>4007</v>
      </c>
      <c r="Q350">
        <v>7</v>
      </c>
      <c r="R350" t="s">
        <v>357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I350" s="12"/>
    </row>
    <row r="351" spans="1:35" x14ac:dyDescent="0.25">
      <c r="A351">
        <v>4007</v>
      </c>
      <c r="B351" t="s">
        <v>937</v>
      </c>
      <c r="C351" s="19">
        <v>0</v>
      </c>
      <c r="D351" s="19">
        <v>0</v>
      </c>
      <c r="E351" s="19">
        <v>0</v>
      </c>
      <c r="F351" s="19">
        <v>0</v>
      </c>
      <c r="G351" s="19">
        <v>0</v>
      </c>
      <c r="H351" s="19">
        <v>0</v>
      </c>
      <c r="I351" s="19">
        <v>0</v>
      </c>
      <c r="J351" s="19">
        <v>0</v>
      </c>
      <c r="K351" s="19"/>
      <c r="L351" s="19">
        <v>0</v>
      </c>
      <c r="M351" s="19">
        <v>0</v>
      </c>
      <c r="N351" s="19">
        <v>0</v>
      </c>
      <c r="P351">
        <v>4008</v>
      </c>
      <c r="Q351">
        <v>7</v>
      </c>
      <c r="R351" t="s">
        <v>358</v>
      </c>
      <c r="S351" s="12">
        <v>0</v>
      </c>
      <c r="T351" s="12">
        <v>0</v>
      </c>
      <c r="U351" s="12">
        <v>30144</v>
      </c>
      <c r="V351" s="12">
        <v>30144</v>
      </c>
      <c r="W351" s="12">
        <v>0</v>
      </c>
      <c r="X351" s="12">
        <v>0</v>
      </c>
      <c r="Y351" s="12">
        <v>32054.799999999999</v>
      </c>
      <c r="Z351" s="12">
        <v>32054.799999999999</v>
      </c>
      <c r="AA351" s="12">
        <v>0</v>
      </c>
      <c r="AB351" s="12">
        <v>0</v>
      </c>
      <c r="AC351" s="12">
        <v>1910.7999999999993</v>
      </c>
      <c r="AD351" s="12">
        <v>1910.7999999999993</v>
      </c>
      <c r="AI351" s="12"/>
    </row>
    <row r="352" spans="1:35" x14ac:dyDescent="0.25">
      <c r="A352">
        <v>4008</v>
      </c>
      <c r="B352" t="s">
        <v>938</v>
      </c>
      <c r="C352" s="19">
        <v>0</v>
      </c>
      <c r="D352" s="19">
        <v>0</v>
      </c>
      <c r="E352" s="19">
        <v>30144</v>
      </c>
      <c r="F352" s="19">
        <v>30144</v>
      </c>
      <c r="G352" s="19">
        <v>0</v>
      </c>
      <c r="H352" s="19">
        <v>0</v>
      </c>
      <c r="I352" s="19">
        <v>1910.7999999999993</v>
      </c>
      <c r="J352" s="19">
        <v>1910.7999999999993</v>
      </c>
      <c r="K352" s="19"/>
      <c r="L352" s="19">
        <v>0</v>
      </c>
      <c r="M352" s="19">
        <v>32054.799999999999</v>
      </c>
      <c r="N352" s="19">
        <v>32054.799999999999</v>
      </c>
      <c r="P352">
        <v>4011</v>
      </c>
      <c r="Q352">
        <v>7</v>
      </c>
      <c r="R352" t="s">
        <v>359</v>
      </c>
      <c r="S352" s="12">
        <v>0</v>
      </c>
      <c r="T352" s="12">
        <v>0</v>
      </c>
      <c r="U352" s="12">
        <v>33343</v>
      </c>
      <c r="V352" s="12">
        <v>33343</v>
      </c>
      <c r="W352" s="12">
        <v>0</v>
      </c>
      <c r="X352" s="12">
        <v>0</v>
      </c>
      <c r="Y352" s="12">
        <v>33533.4</v>
      </c>
      <c r="Z352" s="12">
        <v>33533.4</v>
      </c>
      <c r="AA352" s="12">
        <v>0</v>
      </c>
      <c r="AB352" s="12">
        <v>0</v>
      </c>
      <c r="AC352" s="12">
        <v>190.40000000000146</v>
      </c>
      <c r="AD352" s="12">
        <v>190.40000000000146</v>
      </c>
      <c r="AI352" s="12"/>
    </row>
    <row r="353" spans="1:35" x14ac:dyDescent="0.25">
      <c r="A353">
        <v>4011</v>
      </c>
      <c r="B353" t="s">
        <v>939</v>
      </c>
      <c r="C353" s="19">
        <v>0</v>
      </c>
      <c r="D353" s="19">
        <v>0</v>
      </c>
      <c r="E353" s="19">
        <v>33343</v>
      </c>
      <c r="F353" s="19">
        <v>33343</v>
      </c>
      <c r="G353" s="19">
        <v>0</v>
      </c>
      <c r="H353" s="19">
        <v>0</v>
      </c>
      <c r="I353" s="19">
        <v>190.40000000000146</v>
      </c>
      <c r="J353" s="19">
        <v>190.40000000000146</v>
      </c>
      <c r="K353" s="19"/>
      <c r="L353" s="19">
        <v>0</v>
      </c>
      <c r="M353" s="19">
        <v>33533.4</v>
      </c>
      <c r="N353" s="19">
        <v>33533.4</v>
      </c>
      <c r="P353">
        <v>4012</v>
      </c>
      <c r="Q353">
        <v>7</v>
      </c>
      <c r="R353" t="s">
        <v>360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0</v>
      </c>
      <c r="Z353" s="12">
        <v>0</v>
      </c>
      <c r="AA353" s="12">
        <v>0</v>
      </c>
      <c r="AB353" s="12">
        <v>0</v>
      </c>
      <c r="AC353" s="12">
        <v>0</v>
      </c>
      <c r="AD353" s="12">
        <v>0</v>
      </c>
      <c r="AI353" s="12"/>
    </row>
    <row r="354" spans="1:35" x14ac:dyDescent="0.25">
      <c r="A354">
        <v>4015</v>
      </c>
      <c r="B354" t="s">
        <v>940</v>
      </c>
      <c r="C354" s="19">
        <v>0</v>
      </c>
      <c r="D354" s="19">
        <v>0</v>
      </c>
      <c r="E354" s="19">
        <v>0</v>
      </c>
      <c r="F354" s="19">
        <v>0</v>
      </c>
      <c r="G354" s="19">
        <v>0</v>
      </c>
      <c r="H354" s="19">
        <v>0</v>
      </c>
      <c r="I354" s="19">
        <v>0</v>
      </c>
      <c r="J354" s="19">
        <v>0</v>
      </c>
      <c r="K354" s="19"/>
      <c r="L354" s="19">
        <v>0</v>
      </c>
      <c r="M354" s="19">
        <v>0</v>
      </c>
      <c r="N354" s="19">
        <v>0</v>
      </c>
      <c r="P354">
        <v>4015</v>
      </c>
      <c r="Q354">
        <v>7</v>
      </c>
      <c r="R354" t="s">
        <v>361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I354" s="12"/>
    </row>
    <row r="355" spans="1:35" x14ac:dyDescent="0.25">
      <c r="A355">
        <v>4016</v>
      </c>
      <c r="B355" t="s">
        <v>941</v>
      </c>
      <c r="C355" s="19">
        <v>0</v>
      </c>
      <c r="D355" s="19">
        <v>0</v>
      </c>
      <c r="E355" s="19">
        <v>0</v>
      </c>
      <c r="F355" s="19">
        <v>0</v>
      </c>
      <c r="G355" s="19">
        <v>0</v>
      </c>
      <c r="H355" s="19">
        <v>0</v>
      </c>
      <c r="I355" s="19">
        <v>0</v>
      </c>
      <c r="J355" s="19">
        <v>0</v>
      </c>
      <c r="K355" s="19"/>
      <c r="L355" s="19">
        <v>0</v>
      </c>
      <c r="M355" s="19">
        <v>0</v>
      </c>
      <c r="N355" s="19">
        <v>0</v>
      </c>
      <c r="P355">
        <v>4016</v>
      </c>
      <c r="Q355">
        <v>7</v>
      </c>
      <c r="R355" t="s">
        <v>362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0</v>
      </c>
      <c r="Y355" s="12">
        <v>0</v>
      </c>
      <c r="Z355" s="12">
        <v>0</v>
      </c>
      <c r="AA355" s="12">
        <v>0</v>
      </c>
      <c r="AB355" s="12">
        <v>0</v>
      </c>
      <c r="AC355" s="12">
        <v>0</v>
      </c>
      <c r="AD355" s="12">
        <v>0</v>
      </c>
      <c r="AI355" s="12"/>
    </row>
    <row r="356" spans="1:35" x14ac:dyDescent="0.25">
      <c r="A356">
        <v>4017</v>
      </c>
      <c r="B356" t="s">
        <v>942</v>
      </c>
      <c r="C356" s="19">
        <v>0</v>
      </c>
      <c r="D356" s="19">
        <v>0</v>
      </c>
      <c r="E356" s="19">
        <v>101110</v>
      </c>
      <c r="F356" s="19">
        <v>101110</v>
      </c>
      <c r="G356" s="19">
        <v>0</v>
      </c>
      <c r="H356" s="19">
        <v>0</v>
      </c>
      <c r="I356" s="19">
        <v>691.19999999999709</v>
      </c>
      <c r="J356" s="19">
        <v>691.19999999999709</v>
      </c>
      <c r="K356" s="19"/>
      <c r="L356" s="19">
        <v>0</v>
      </c>
      <c r="M356" s="19">
        <v>101801.2</v>
      </c>
      <c r="N356" s="19">
        <v>101801.2</v>
      </c>
      <c r="P356">
        <v>4017</v>
      </c>
      <c r="Q356">
        <v>7</v>
      </c>
      <c r="R356" t="s">
        <v>363</v>
      </c>
      <c r="S356" s="12">
        <v>0</v>
      </c>
      <c r="T356" s="12">
        <v>0</v>
      </c>
      <c r="U356" s="12">
        <v>101110</v>
      </c>
      <c r="V356" s="12">
        <v>101110</v>
      </c>
      <c r="W356" s="12">
        <v>0</v>
      </c>
      <c r="X356" s="12">
        <v>0</v>
      </c>
      <c r="Y356" s="12">
        <v>101801.2</v>
      </c>
      <c r="Z356" s="12">
        <v>101801.2</v>
      </c>
      <c r="AA356" s="12">
        <v>0</v>
      </c>
      <c r="AB356" s="12">
        <v>0</v>
      </c>
      <c r="AC356" s="12">
        <v>691.19999999999709</v>
      </c>
      <c r="AD356" s="12">
        <v>691.19999999999709</v>
      </c>
      <c r="AI356" s="12"/>
    </row>
    <row r="357" spans="1:35" x14ac:dyDescent="0.25">
      <c r="A357">
        <v>4018</v>
      </c>
      <c r="B357" t="s">
        <v>943</v>
      </c>
      <c r="C357" s="19">
        <v>0</v>
      </c>
      <c r="D357" s="19">
        <v>0</v>
      </c>
      <c r="E357" s="19">
        <v>0</v>
      </c>
      <c r="F357" s="19">
        <v>0</v>
      </c>
      <c r="G357" s="19">
        <v>0</v>
      </c>
      <c r="H357" s="19">
        <v>0</v>
      </c>
      <c r="I357" s="19">
        <v>0</v>
      </c>
      <c r="J357" s="19">
        <v>0</v>
      </c>
      <c r="K357" s="19"/>
      <c r="L357" s="19">
        <v>0</v>
      </c>
      <c r="M357" s="19">
        <v>0</v>
      </c>
      <c r="N357" s="19">
        <v>0</v>
      </c>
      <c r="P357">
        <v>4018</v>
      </c>
      <c r="Q357">
        <v>7</v>
      </c>
      <c r="R357" t="s">
        <v>364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0</v>
      </c>
      <c r="Y357" s="12">
        <v>0</v>
      </c>
      <c r="Z357" s="12">
        <v>0</v>
      </c>
      <c r="AA357" s="12">
        <v>0</v>
      </c>
      <c r="AB357" s="12">
        <v>0</v>
      </c>
      <c r="AC357" s="12">
        <v>0</v>
      </c>
      <c r="AD357" s="12">
        <v>0</v>
      </c>
      <c r="AI357" s="12"/>
    </row>
    <row r="358" spans="1:35" x14ac:dyDescent="0.25">
      <c r="A358">
        <v>4020</v>
      </c>
      <c r="B358" t="s">
        <v>944</v>
      </c>
      <c r="C358" s="19">
        <v>0</v>
      </c>
      <c r="D358" s="19">
        <v>0</v>
      </c>
      <c r="E358" s="19">
        <v>119060</v>
      </c>
      <c r="F358" s="19">
        <v>119060</v>
      </c>
      <c r="G358" s="19">
        <v>0</v>
      </c>
      <c r="H358" s="19">
        <v>0</v>
      </c>
      <c r="I358" s="19">
        <v>4846</v>
      </c>
      <c r="J358" s="19">
        <v>4846</v>
      </c>
      <c r="K358" s="19"/>
      <c r="L358" s="19">
        <v>0</v>
      </c>
      <c r="M358" s="19">
        <v>123906</v>
      </c>
      <c r="N358" s="19">
        <v>123906</v>
      </c>
      <c r="P358">
        <v>4019</v>
      </c>
      <c r="Q358">
        <v>7</v>
      </c>
      <c r="R358" t="s">
        <v>365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I358" s="12"/>
    </row>
    <row r="359" spans="1:35" x14ac:dyDescent="0.25">
      <c r="A359">
        <v>4025</v>
      </c>
      <c r="B359" t="s">
        <v>945</v>
      </c>
      <c r="C359" s="19">
        <v>0</v>
      </c>
      <c r="D359" s="19">
        <v>0</v>
      </c>
      <c r="E359" s="19">
        <v>0</v>
      </c>
      <c r="F359" s="19">
        <v>0</v>
      </c>
      <c r="G359" s="19">
        <v>0</v>
      </c>
      <c r="H359" s="19">
        <v>0</v>
      </c>
      <c r="I359" s="19">
        <v>0</v>
      </c>
      <c r="J359" s="19">
        <v>0</v>
      </c>
      <c r="K359" s="19"/>
      <c r="L359" s="19">
        <v>0</v>
      </c>
      <c r="M359" s="19">
        <v>0</v>
      </c>
      <c r="N359" s="19">
        <v>0</v>
      </c>
      <c r="P359">
        <v>4020</v>
      </c>
      <c r="Q359">
        <v>7</v>
      </c>
      <c r="R359" t="s">
        <v>366</v>
      </c>
      <c r="S359" s="12">
        <v>0</v>
      </c>
      <c r="T359" s="12">
        <v>0</v>
      </c>
      <c r="U359" s="12">
        <v>119060</v>
      </c>
      <c r="V359" s="12">
        <v>119060</v>
      </c>
      <c r="W359" s="12">
        <v>0</v>
      </c>
      <c r="X359" s="12">
        <v>0</v>
      </c>
      <c r="Y359" s="12">
        <v>123906</v>
      </c>
      <c r="Z359" s="12">
        <v>123906</v>
      </c>
      <c r="AA359" s="12">
        <v>0</v>
      </c>
      <c r="AB359" s="12">
        <v>0</v>
      </c>
      <c r="AC359" s="12">
        <v>4846</v>
      </c>
      <c r="AD359" s="12">
        <v>4846</v>
      </c>
      <c r="AI359" s="12"/>
    </row>
    <row r="360" spans="1:35" x14ac:dyDescent="0.25">
      <c r="A360">
        <v>4026</v>
      </c>
      <c r="B360" t="s">
        <v>946</v>
      </c>
      <c r="C360" s="19">
        <v>0</v>
      </c>
      <c r="D360" s="19">
        <v>0</v>
      </c>
      <c r="E360" s="19">
        <v>19595</v>
      </c>
      <c r="F360" s="19">
        <v>19595</v>
      </c>
      <c r="G360" s="19">
        <v>0</v>
      </c>
      <c r="H360" s="19">
        <v>0</v>
      </c>
      <c r="I360" s="19">
        <v>1868.7999999999993</v>
      </c>
      <c r="J360" s="19">
        <v>1868.7999999999993</v>
      </c>
      <c r="K360" s="19"/>
      <c r="L360" s="19">
        <v>0</v>
      </c>
      <c r="M360" s="19">
        <v>21463.8</v>
      </c>
      <c r="N360" s="19">
        <v>21463.8</v>
      </c>
      <c r="P360">
        <v>4021</v>
      </c>
      <c r="Q360">
        <v>7</v>
      </c>
      <c r="R360" t="s">
        <v>367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I360" s="12"/>
    </row>
    <row r="361" spans="1:35" x14ac:dyDescent="0.25">
      <c r="A361">
        <v>4027</v>
      </c>
      <c r="B361" t="s">
        <v>947</v>
      </c>
      <c r="C361" s="19">
        <v>0</v>
      </c>
      <c r="D361" s="19">
        <v>0</v>
      </c>
      <c r="E361" s="19">
        <v>105556</v>
      </c>
      <c r="F361" s="19">
        <v>105556</v>
      </c>
      <c r="G361" s="19">
        <v>0</v>
      </c>
      <c r="H361" s="19">
        <v>0</v>
      </c>
      <c r="I361" s="19">
        <v>2171.6000000000058</v>
      </c>
      <c r="J361" s="19">
        <v>2171.6000000000058</v>
      </c>
      <c r="K361" s="19"/>
      <c r="L361" s="19">
        <v>0</v>
      </c>
      <c r="M361" s="19">
        <v>107727.6</v>
      </c>
      <c r="N361" s="19">
        <v>107727.6</v>
      </c>
      <c r="P361">
        <v>4025</v>
      </c>
      <c r="Q361">
        <v>7</v>
      </c>
      <c r="R361" t="s">
        <v>368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  <c r="Z361" s="12">
        <v>0</v>
      </c>
      <c r="AA361" s="12">
        <v>0</v>
      </c>
      <c r="AB361" s="12">
        <v>0</v>
      </c>
      <c r="AC361" s="12">
        <v>0</v>
      </c>
      <c r="AD361" s="12">
        <v>0</v>
      </c>
      <c r="AI361" s="12"/>
    </row>
    <row r="362" spans="1:35" x14ac:dyDescent="0.25">
      <c r="A362">
        <v>4029</v>
      </c>
      <c r="B362" t="s">
        <v>948</v>
      </c>
      <c r="C362" s="19">
        <v>0</v>
      </c>
      <c r="D362" s="19">
        <v>0</v>
      </c>
      <c r="E362" s="19">
        <v>0</v>
      </c>
      <c r="F362" s="19">
        <v>0</v>
      </c>
      <c r="G362" s="19">
        <v>0</v>
      </c>
      <c r="H362" s="19">
        <v>0</v>
      </c>
      <c r="I362" s="19">
        <v>0</v>
      </c>
      <c r="J362" s="19">
        <v>0</v>
      </c>
      <c r="K362" s="19"/>
      <c r="L362" s="19">
        <v>0</v>
      </c>
      <c r="M362" s="19">
        <v>0</v>
      </c>
      <c r="N362" s="19">
        <v>0</v>
      </c>
      <c r="P362">
        <v>4026</v>
      </c>
      <c r="Q362">
        <v>7</v>
      </c>
      <c r="R362" t="s">
        <v>369</v>
      </c>
      <c r="S362" s="12">
        <v>0</v>
      </c>
      <c r="T362" s="12">
        <v>0</v>
      </c>
      <c r="U362" s="12">
        <v>19595</v>
      </c>
      <c r="V362" s="12">
        <v>19595</v>
      </c>
      <c r="W362" s="12">
        <v>0</v>
      </c>
      <c r="X362" s="12">
        <v>0</v>
      </c>
      <c r="Y362" s="12">
        <v>21463.8</v>
      </c>
      <c r="Z362" s="12">
        <v>21463.8</v>
      </c>
      <c r="AA362" s="12">
        <v>0</v>
      </c>
      <c r="AB362" s="12">
        <v>0</v>
      </c>
      <c r="AC362" s="12">
        <v>1868.7999999999993</v>
      </c>
      <c r="AD362" s="12">
        <v>1868.7999999999993</v>
      </c>
      <c r="AI362" s="12"/>
    </row>
    <row r="363" spans="1:35" x14ac:dyDescent="0.25">
      <c r="A363">
        <v>4030</v>
      </c>
      <c r="B363" t="s">
        <v>949</v>
      </c>
      <c r="C363" s="19">
        <v>0</v>
      </c>
      <c r="D363" s="19">
        <v>0</v>
      </c>
      <c r="E363" s="19">
        <v>35070</v>
      </c>
      <c r="F363" s="19">
        <v>35070</v>
      </c>
      <c r="G363" s="19">
        <v>0</v>
      </c>
      <c r="H363" s="19">
        <v>0</v>
      </c>
      <c r="I363" s="19">
        <v>1021.1999999999971</v>
      </c>
      <c r="J363" s="19">
        <v>1021.1999999999971</v>
      </c>
      <c r="K363" s="19"/>
      <c r="L363" s="19">
        <v>0</v>
      </c>
      <c r="M363" s="19">
        <v>36091.199999999997</v>
      </c>
      <c r="N363" s="19">
        <v>36091.199999999997</v>
      </c>
      <c r="P363">
        <v>4027</v>
      </c>
      <c r="Q363">
        <v>7</v>
      </c>
      <c r="R363" t="s">
        <v>370</v>
      </c>
      <c r="S363" s="12">
        <v>0</v>
      </c>
      <c r="T363" s="12">
        <v>0</v>
      </c>
      <c r="U363" s="12">
        <v>105556</v>
      </c>
      <c r="V363" s="12">
        <v>105556</v>
      </c>
      <c r="W363" s="12">
        <v>0</v>
      </c>
      <c r="X363" s="12">
        <v>0</v>
      </c>
      <c r="Y363" s="12">
        <v>107727.6</v>
      </c>
      <c r="Z363" s="12">
        <v>107727.6</v>
      </c>
      <c r="AA363" s="12">
        <v>0</v>
      </c>
      <c r="AB363" s="12">
        <v>0</v>
      </c>
      <c r="AC363" s="12">
        <v>2171.6000000000058</v>
      </c>
      <c r="AD363" s="12">
        <v>2171.6000000000058</v>
      </c>
      <c r="AI363" s="12"/>
    </row>
    <row r="364" spans="1:35" x14ac:dyDescent="0.25">
      <c r="A364">
        <v>4031</v>
      </c>
      <c r="B364" t="s">
        <v>950</v>
      </c>
      <c r="C364" s="19">
        <v>0</v>
      </c>
      <c r="D364" s="19">
        <v>0</v>
      </c>
      <c r="E364" s="19">
        <v>4413</v>
      </c>
      <c r="F364" s="19">
        <v>4413</v>
      </c>
      <c r="G364" s="19">
        <v>0</v>
      </c>
      <c r="H364" s="19">
        <v>0</v>
      </c>
      <c r="I364" s="19">
        <v>10.800000000000182</v>
      </c>
      <c r="J364" s="19">
        <v>10.800000000000182</v>
      </c>
      <c r="K364" s="19"/>
      <c r="L364" s="19">
        <v>0</v>
      </c>
      <c r="M364" s="19">
        <v>4423.8</v>
      </c>
      <c r="N364" s="19">
        <v>4423.8</v>
      </c>
      <c r="P364">
        <v>4028</v>
      </c>
      <c r="Q364">
        <v>7</v>
      </c>
      <c r="R364" t="s">
        <v>371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I364" s="12"/>
    </row>
    <row r="365" spans="1:35" x14ac:dyDescent="0.25">
      <c r="A365">
        <v>4032</v>
      </c>
      <c r="B365" t="s">
        <v>951</v>
      </c>
      <c r="C365" s="19">
        <v>0</v>
      </c>
      <c r="D365" s="19">
        <v>0</v>
      </c>
      <c r="E365" s="19">
        <v>67433</v>
      </c>
      <c r="F365" s="19">
        <v>67433</v>
      </c>
      <c r="G365" s="19">
        <v>0</v>
      </c>
      <c r="H365" s="19">
        <v>0</v>
      </c>
      <c r="I365" s="19">
        <v>1980.8000000000029</v>
      </c>
      <c r="J365" s="19">
        <v>1980.8000000000029</v>
      </c>
      <c r="K365" s="19"/>
      <c r="L365" s="19">
        <v>0</v>
      </c>
      <c r="M365" s="19">
        <v>69413.8</v>
      </c>
      <c r="N365" s="19">
        <v>69413.8</v>
      </c>
      <c r="P365">
        <v>4029</v>
      </c>
      <c r="Q365">
        <v>7</v>
      </c>
      <c r="R365" t="s">
        <v>372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>
        <v>0</v>
      </c>
      <c r="AB365" s="12">
        <v>0</v>
      </c>
      <c r="AC365" s="12">
        <v>0</v>
      </c>
      <c r="AD365" s="12">
        <v>0</v>
      </c>
      <c r="AI365" s="12"/>
    </row>
    <row r="366" spans="1:35" x14ac:dyDescent="0.25">
      <c r="A366">
        <v>4035</v>
      </c>
      <c r="B366" t="s">
        <v>952</v>
      </c>
      <c r="C366" s="19">
        <v>0</v>
      </c>
      <c r="D366" s="19">
        <v>0</v>
      </c>
      <c r="E366" s="19">
        <v>56139</v>
      </c>
      <c r="F366" s="19">
        <v>56139</v>
      </c>
      <c r="G366" s="19">
        <v>0</v>
      </c>
      <c r="H366" s="19">
        <v>0</v>
      </c>
      <c r="I366" s="19">
        <v>3930.4000000000015</v>
      </c>
      <c r="J366" s="19">
        <v>3930.4000000000015</v>
      </c>
      <c r="K366" s="19"/>
      <c r="L366" s="19">
        <v>0</v>
      </c>
      <c r="M366" s="19">
        <v>60069.4</v>
      </c>
      <c r="N366" s="19">
        <v>60069.4</v>
      </c>
      <c r="P366">
        <v>4030</v>
      </c>
      <c r="Q366">
        <v>7</v>
      </c>
      <c r="R366" t="s">
        <v>373</v>
      </c>
      <c r="S366" s="12">
        <v>0</v>
      </c>
      <c r="T366" s="12">
        <v>0</v>
      </c>
      <c r="U366" s="12">
        <v>35070</v>
      </c>
      <c r="V366" s="12">
        <v>35070</v>
      </c>
      <c r="W366" s="12">
        <v>0</v>
      </c>
      <c r="X366" s="12">
        <v>0</v>
      </c>
      <c r="Y366" s="12">
        <v>36091.199999999997</v>
      </c>
      <c r="Z366" s="12">
        <v>36091.199999999997</v>
      </c>
      <c r="AA366" s="12">
        <v>0</v>
      </c>
      <c r="AB366" s="12">
        <v>0</v>
      </c>
      <c r="AC366" s="12">
        <v>1021.1999999999971</v>
      </c>
      <c r="AD366" s="12">
        <v>1021.1999999999971</v>
      </c>
      <c r="AI366" s="12"/>
    </row>
    <row r="367" spans="1:35" x14ac:dyDescent="0.25">
      <c r="A367">
        <v>4036</v>
      </c>
      <c r="B367" t="s">
        <v>953</v>
      </c>
      <c r="C367" s="19">
        <v>0</v>
      </c>
      <c r="D367" s="19">
        <v>0</v>
      </c>
      <c r="E367" s="19">
        <v>4538</v>
      </c>
      <c r="F367" s="19">
        <v>4538</v>
      </c>
      <c r="G367" s="19">
        <v>0</v>
      </c>
      <c r="H367" s="19">
        <v>0</v>
      </c>
      <c r="I367" s="19">
        <v>114</v>
      </c>
      <c r="J367" s="19">
        <v>114</v>
      </c>
      <c r="K367" s="19"/>
      <c r="L367" s="19">
        <v>0</v>
      </c>
      <c r="M367" s="19">
        <v>4652</v>
      </c>
      <c r="N367" s="19">
        <v>4652</v>
      </c>
      <c r="P367">
        <v>4031</v>
      </c>
      <c r="Q367">
        <v>7</v>
      </c>
      <c r="R367" t="s">
        <v>374</v>
      </c>
      <c r="S367" s="12">
        <v>0</v>
      </c>
      <c r="T367" s="12">
        <v>0</v>
      </c>
      <c r="U367" s="12">
        <v>4413</v>
      </c>
      <c r="V367" s="12">
        <v>4413</v>
      </c>
      <c r="W367" s="12">
        <v>0</v>
      </c>
      <c r="X367" s="12">
        <v>0</v>
      </c>
      <c r="Y367" s="12">
        <v>4423.8</v>
      </c>
      <c r="Z367" s="12">
        <v>4423.8</v>
      </c>
      <c r="AA367" s="12">
        <v>0</v>
      </c>
      <c r="AB367" s="12">
        <v>0</v>
      </c>
      <c r="AC367" s="12">
        <v>10.800000000000182</v>
      </c>
      <c r="AD367" s="12">
        <v>10.800000000000182</v>
      </c>
      <c r="AI367" s="12"/>
    </row>
    <row r="368" spans="1:35" x14ac:dyDescent="0.25">
      <c r="A368">
        <v>4038</v>
      </c>
      <c r="B368" t="s">
        <v>954</v>
      </c>
      <c r="C368" s="19">
        <v>0</v>
      </c>
      <c r="D368" s="19">
        <v>0</v>
      </c>
      <c r="E368" s="19">
        <v>56282</v>
      </c>
      <c r="F368" s="19">
        <v>56282</v>
      </c>
      <c r="G368" s="19">
        <v>0</v>
      </c>
      <c r="H368" s="19">
        <v>0</v>
      </c>
      <c r="I368" s="19">
        <v>879.19999999999709</v>
      </c>
      <c r="J368" s="19">
        <v>879.19999999999709</v>
      </c>
      <c r="K368" s="19"/>
      <c r="L368" s="19">
        <v>0</v>
      </c>
      <c r="M368" s="19">
        <v>57161.2</v>
      </c>
      <c r="N368" s="19">
        <v>57161.2</v>
      </c>
      <c r="P368">
        <v>4032</v>
      </c>
      <c r="Q368">
        <v>7</v>
      </c>
      <c r="R368" t="s">
        <v>375</v>
      </c>
      <c r="S368" s="12">
        <v>0</v>
      </c>
      <c r="T368" s="12">
        <v>0</v>
      </c>
      <c r="U368" s="12">
        <v>67433</v>
      </c>
      <c r="V368" s="12">
        <v>67433</v>
      </c>
      <c r="W368" s="12">
        <v>0</v>
      </c>
      <c r="X368" s="12">
        <v>0</v>
      </c>
      <c r="Y368" s="12">
        <v>69413.8</v>
      </c>
      <c r="Z368" s="12">
        <v>69413.8</v>
      </c>
      <c r="AA368" s="12">
        <v>0</v>
      </c>
      <c r="AB368" s="12">
        <v>0</v>
      </c>
      <c r="AC368" s="12">
        <v>1980.8000000000029</v>
      </c>
      <c r="AD368" s="12">
        <v>1980.8000000000029</v>
      </c>
      <c r="AI368" s="12"/>
    </row>
    <row r="369" spans="1:35" x14ac:dyDescent="0.25">
      <c r="A369">
        <v>4039</v>
      </c>
      <c r="B369" t="s">
        <v>955</v>
      </c>
      <c r="C369" s="19">
        <v>0</v>
      </c>
      <c r="D369" s="19">
        <v>0</v>
      </c>
      <c r="E369" s="19">
        <v>16179</v>
      </c>
      <c r="F369" s="19">
        <v>16179</v>
      </c>
      <c r="G369" s="19">
        <v>0</v>
      </c>
      <c r="H369" s="19">
        <v>0</v>
      </c>
      <c r="I369" s="19">
        <v>241.59999999999854</v>
      </c>
      <c r="J369" s="19">
        <v>241.59999999999854</v>
      </c>
      <c r="K369" s="19"/>
      <c r="L369" s="19">
        <v>0</v>
      </c>
      <c r="M369" s="19">
        <v>16420.599999999999</v>
      </c>
      <c r="N369" s="19">
        <v>16420.599999999999</v>
      </c>
      <c r="P369">
        <v>4035</v>
      </c>
      <c r="Q369">
        <v>7</v>
      </c>
      <c r="R369" t="s">
        <v>376</v>
      </c>
      <c r="S369" s="12">
        <v>0</v>
      </c>
      <c r="T369" s="12">
        <v>0</v>
      </c>
      <c r="U369" s="12">
        <v>56139</v>
      </c>
      <c r="V369" s="12">
        <v>56139</v>
      </c>
      <c r="W369" s="12">
        <v>0</v>
      </c>
      <c r="X369" s="12">
        <v>0</v>
      </c>
      <c r="Y369" s="12">
        <v>60069.4</v>
      </c>
      <c r="Z369" s="12">
        <v>60069.4</v>
      </c>
      <c r="AA369" s="12">
        <v>0</v>
      </c>
      <c r="AB369" s="12">
        <v>0</v>
      </c>
      <c r="AC369" s="12">
        <v>3930.4000000000015</v>
      </c>
      <c r="AD369" s="12">
        <v>3930.4000000000015</v>
      </c>
      <c r="AI369" s="12"/>
    </row>
    <row r="370" spans="1:35" x14ac:dyDescent="0.25">
      <c r="A370">
        <v>4042</v>
      </c>
      <c r="B370" t="s">
        <v>956</v>
      </c>
      <c r="C370" s="19">
        <v>0</v>
      </c>
      <c r="D370" s="19">
        <v>0</v>
      </c>
      <c r="E370" s="19">
        <v>29565</v>
      </c>
      <c r="F370" s="19">
        <v>29565</v>
      </c>
      <c r="G370" s="19">
        <v>0</v>
      </c>
      <c r="H370" s="19">
        <v>0</v>
      </c>
      <c r="I370" s="19">
        <v>1267.2000000000007</v>
      </c>
      <c r="J370" s="19">
        <v>1267.2000000000007</v>
      </c>
      <c r="K370" s="19"/>
      <c r="L370" s="19">
        <v>0</v>
      </c>
      <c r="M370" s="19">
        <v>30832.2</v>
      </c>
      <c r="N370" s="19">
        <v>30832.2</v>
      </c>
      <c r="P370">
        <v>4036</v>
      </c>
      <c r="Q370">
        <v>7</v>
      </c>
      <c r="R370" t="s">
        <v>377</v>
      </c>
      <c r="S370" s="12">
        <v>0</v>
      </c>
      <c r="T370" s="12">
        <v>0</v>
      </c>
      <c r="U370" s="12">
        <v>4538</v>
      </c>
      <c r="V370" s="12">
        <v>4538</v>
      </c>
      <c r="W370" s="12">
        <v>0</v>
      </c>
      <c r="X370" s="12">
        <v>0</v>
      </c>
      <c r="Y370" s="12">
        <v>4652</v>
      </c>
      <c r="Z370" s="12">
        <v>4652</v>
      </c>
      <c r="AA370" s="12">
        <v>0</v>
      </c>
      <c r="AB370" s="12">
        <v>0</v>
      </c>
      <c r="AC370" s="12">
        <v>114</v>
      </c>
      <c r="AD370" s="12">
        <v>114</v>
      </c>
      <c r="AI370" s="12"/>
    </row>
    <row r="371" spans="1:35" x14ac:dyDescent="0.25">
      <c r="A371">
        <v>4043</v>
      </c>
      <c r="B371" t="s">
        <v>957</v>
      </c>
      <c r="C371" s="19">
        <v>0</v>
      </c>
      <c r="D371" s="19">
        <v>0</v>
      </c>
      <c r="E371" s="19">
        <v>0</v>
      </c>
      <c r="F371" s="19">
        <v>0</v>
      </c>
      <c r="G371" s="19">
        <v>0</v>
      </c>
      <c r="H371" s="19">
        <v>0</v>
      </c>
      <c r="I371" s="19">
        <v>0</v>
      </c>
      <c r="J371" s="19">
        <v>0</v>
      </c>
      <c r="K371" s="19"/>
      <c r="L371" s="19">
        <v>0</v>
      </c>
      <c r="M371" s="19">
        <v>0</v>
      </c>
      <c r="N371" s="19">
        <v>0</v>
      </c>
      <c r="P371">
        <v>4038</v>
      </c>
      <c r="Q371">
        <v>7</v>
      </c>
      <c r="R371" t="s">
        <v>378</v>
      </c>
      <c r="S371" s="12">
        <v>0</v>
      </c>
      <c r="T371" s="12">
        <v>0</v>
      </c>
      <c r="U371" s="12">
        <v>56282</v>
      </c>
      <c r="V371" s="12">
        <v>56282</v>
      </c>
      <c r="W371" s="12">
        <v>0</v>
      </c>
      <c r="X371" s="12">
        <v>0</v>
      </c>
      <c r="Y371" s="12">
        <v>57161.2</v>
      </c>
      <c r="Z371" s="12">
        <v>57161.2</v>
      </c>
      <c r="AA371" s="12">
        <v>0</v>
      </c>
      <c r="AB371" s="12">
        <v>0</v>
      </c>
      <c r="AC371" s="12">
        <v>879.19999999999709</v>
      </c>
      <c r="AD371" s="12">
        <v>879.19999999999709</v>
      </c>
      <c r="AI371" s="12"/>
    </row>
    <row r="372" spans="1:35" x14ac:dyDescent="0.25">
      <c r="A372">
        <v>4045</v>
      </c>
      <c r="B372" t="s">
        <v>958</v>
      </c>
      <c r="C372" s="19">
        <v>0</v>
      </c>
      <c r="D372" s="19">
        <v>0</v>
      </c>
      <c r="E372" s="19">
        <v>0</v>
      </c>
      <c r="F372" s="19">
        <v>0</v>
      </c>
      <c r="G372" s="19">
        <v>0</v>
      </c>
      <c r="H372" s="19">
        <v>0</v>
      </c>
      <c r="I372" s="19">
        <v>0</v>
      </c>
      <c r="J372" s="19">
        <v>0</v>
      </c>
      <c r="K372" s="19"/>
      <c r="L372" s="19">
        <v>0</v>
      </c>
      <c r="M372" s="19">
        <v>0</v>
      </c>
      <c r="N372" s="19">
        <v>0</v>
      </c>
      <c r="P372">
        <v>4039</v>
      </c>
      <c r="Q372">
        <v>7</v>
      </c>
      <c r="R372" t="s">
        <v>379</v>
      </c>
      <c r="S372" s="12">
        <v>0</v>
      </c>
      <c r="T372" s="12">
        <v>0</v>
      </c>
      <c r="U372" s="12">
        <v>16179</v>
      </c>
      <c r="V372" s="12">
        <v>16179</v>
      </c>
      <c r="W372" s="12">
        <v>0</v>
      </c>
      <c r="X372" s="12">
        <v>0</v>
      </c>
      <c r="Y372" s="12">
        <v>16420.599999999999</v>
      </c>
      <c r="Z372" s="12">
        <v>16420.599999999999</v>
      </c>
      <c r="AA372" s="12">
        <v>0</v>
      </c>
      <c r="AB372" s="12">
        <v>0</v>
      </c>
      <c r="AC372" s="12">
        <v>241.59999999999854</v>
      </c>
      <c r="AD372" s="12">
        <v>241.59999999999854</v>
      </c>
      <c r="AI372" s="12"/>
    </row>
    <row r="373" spans="1:35" x14ac:dyDescent="0.25">
      <c r="A373">
        <v>4049</v>
      </c>
      <c r="B373" t="s">
        <v>959</v>
      </c>
      <c r="C373" s="19">
        <v>0</v>
      </c>
      <c r="D373" s="19">
        <v>0</v>
      </c>
      <c r="E373" s="19">
        <v>3589</v>
      </c>
      <c r="F373" s="19">
        <v>3589</v>
      </c>
      <c r="G373" s="19">
        <v>0</v>
      </c>
      <c r="H373" s="19">
        <v>0</v>
      </c>
      <c r="I373" s="19">
        <v>203.59999999999991</v>
      </c>
      <c r="J373" s="19">
        <v>203.59999999999991</v>
      </c>
      <c r="K373" s="19"/>
      <c r="L373" s="19">
        <v>0</v>
      </c>
      <c r="M373" s="19">
        <v>3792.6</v>
      </c>
      <c r="N373" s="19">
        <v>3792.6</v>
      </c>
      <c r="P373">
        <v>4040</v>
      </c>
      <c r="Q373">
        <v>7</v>
      </c>
      <c r="R373" t="s">
        <v>380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0</v>
      </c>
      <c r="Z373" s="12">
        <v>0</v>
      </c>
      <c r="AA373" s="12">
        <v>0</v>
      </c>
      <c r="AB373" s="12">
        <v>0</v>
      </c>
      <c r="AC373" s="12">
        <v>0</v>
      </c>
      <c r="AD373" s="12">
        <v>0</v>
      </c>
      <c r="AI373" s="12"/>
    </row>
    <row r="374" spans="1:35" x14ac:dyDescent="0.25">
      <c r="A374">
        <v>4050</v>
      </c>
      <c r="B374" t="s">
        <v>960</v>
      </c>
      <c r="C374" s="19">
        <v>0</v>
      </c>
      <c r="D374" s="19">
        <v>0</v>
      </c>
      <c r="E374" s="19">
        <v>11262</v>
      </c>
      <c r="F374" s="19">
        <v>11262</v>
      </c>
      <c r="G374" s="19">
        <v>0</v>
      </c>
      <c r="H374" s="19">
        <v>0</v>
      </c>
      <c r="I374" s="19">
        <v>532</v>
      </c>
      <c r="J374" s="19">
        <v>532</v>
      </c>
      <c r="K374" s="19"/>
      <c r="L374" s="19">
        <v>0</v>
      </c>
      <c r="M374" s="19">
        <v>11794</v>
      </c>
      <c r="N374" s="19">
        <v>11794</v>
      </c>
      <c r="P374">
        <v>4042</v>
      </c>
      <c r="Q374">
        <v>7</v>
      </c>
      <c r="R374" t="s">
        <v>381</v>
      </c>
      <c r="S374" s="12">
        <v>0</v>
      </c>
      <c r="T374" s="12">
        <v>0</v>
      </c>
      <c r="U374" s="12">
        <v>29565</v>
      </c>
      <c r="V374" s="12">
        <v>29565</v>
      </c>
      <c r="W374" s="12">
        <v>0</v>
      </c>
      <c r="X374" s="12">
        <v>0</v>
      </c>
      <c r="Y374" s="12">
        <v>30832.2</v>
      </c>
      <c r="Z374" s="12">
        <v>30832.2</v>
      </c>
      <c r="AA374" s="12">
        <v>0</v>
      </c>
      <c r="AB374" s="12">
        <v>0</v>
      </c>
      <c r="AC374" s="12">
        <v>1267.2000000000007</v>
      </c>
      <c r="AD374" s="12">
        <v>1267.2000000000007</v>
      </c>
      <c r="AI374" s="12"/>
    </row>
    <row r="375" spans="1:35" x14ac:dyDescent="0.25">
      <c r="A375">
        <v>4052</v>
      </c>
      <c r="B375" t="s">
        <v>961</v>
      </c>
      <c r="C375" s="19">
        <v>0</v>
      </c>
      <c r="D375" s="19">
        <v>0</v>
      </c>
      <c r="E375" s="19">
        <v>0</v>
      </c>
      <c r="F375" s="19">
        <v>0</v>
      </c>
      <c r="G375" s="19">
        <v>0</v>
      </c>
      <c r="H375" s="19">
        <v>0</v>
      </c>
      <c r="I375" s="19">
        <v>0</v>
      </c>
      <c r="J375" s="19">
        <v>0</v>
      </c>
      <c r="K375" s="19"/>
      <c r="L375" s="19">
        <v>0</v>
      </c>
      <c r="M375" s="19">
        <v>0</v>
      </c>
      <c r="N375" s="19">
        <v>0</v>
      </c>
      <c r="P375">
        <v>4043</v>
      </c>
      <c r="Q375">
        <v>7</v>
      </c>
      <c r="R375" t="s">
        <v>382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  <c r="X375" s="12">
        <v>0</v>
      </c>
      <c r="Y375" s="12">
        <v>0</v>
      </c>
      <c r="Z375" s="12">
        <v>0</v>
      </c>
      <c r="AA375" s="12">
        <v>0</v>
      </c>
      <c r="AB375" s="12">
        <v>0</v>
      </c>
      <c r="AC375" s="12">
        <v>0</v>
      </c>
      <c r="AD375" s="12">
        <v>0</v>
      </c>
      <c r="AI375" s="12"/>
    </row>
    <row r="376" spans="1:35" x14ac:dyDescent="0.25">
      <c r="A376">
        <v>4053</v>
      </c>
      <c r="B376" t="s">
        <v>962</v>
      </c>
      <c r="C376" s="19">
        <v>0</v>
      </c>
      <c r="D376" s="19">
        <v>0</v>
      </c>
      <c r="E376" s="19">
        <v>28457</v>
      </c>
      <c r="F376" s="19">
        <v>28457</v>
      </c>
      <c r="G376" s="19">
        <v>0</v>
      </c>
      <c r="H376" s="19">
        <v>0</v>
      </c>
      <c r="I376" s="19">
        <v>1779.5999999999985</v>
      </c>
      <c r="J376" s="19">
        <v>1779.5999999999985</v>
      </c>
      <c r="K376" s="19"/>
      <c r="L376" s="19">
        <v>0</v>
      </c>
      <c r="M376" s="19">
        <v>30236.6</v>
      </c>
      <c r="N376" s="19">
        <v>30236.6</v>
      </c>
      <c r="P376">
        <v>4044</v>
      </c>
      <c r="Q376">
        <v>7</v>
      </c>
      <c r="R376" t="s">
        <v>383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I376" s="12"/>
    </row>
    <row r="377" spans="1:35" x14ac:dyDescent="0.25">
      <c r="A377">
        <v>4054</v>
      </c>
      <c r="B377" t="s">
        <v>963</v>
      </c>
      <c r="C377" s="19">
        <v>0</v>
      </c>
      <c r="D377" s="19">
        <v>0</v>
      </c>
      <c r="E377" s="19">
        <v>0</v>
      </c>
      <c r="F377" s="19">
        <v>0</v>
      </c>
      <c r="G377" s="19">
        <v>0</v>
      </c>
      <c r="H377" s="19">
        <v>0</v>
      </c>
      <c r="I377" s="19">
        <v>0</v>
      </c>
      <c r="J377" s="19">
        <v>0</v>
      </c>
      <c r="K377" s="19"/>
      <c r="L377" s="19">
        <v>0</v>
      </c>
      <c r="M377" s="19">
        <v>0</v>
      </c>
      <c r="N377" s="19">
        <v>0</v>
      </c>
      <c r="P377">
        <v>4045</v>
      </c>
      <c r="Q377">
        <v>7</v>
      </c>
      <c r="R377" t="s">
        <v>384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  <c r="Z377" s="12">
        <v>0</v>
      </c>
      <c r="AA377" s="12">
        <v>0</v>
      </c>
      <c r="AB377" s="12">
        <v>0</v>
      </c>
      <c r="AC377" s="12">
        <v>0</v>
      </c>
      <c r="AD377" s="12">
        <v>0</v>
      </c>
      <c r="AI377" s="12"/>
    </row>
    <row r="378" spans="1:35" x14ac:dyDescent="0.25">
      <c r="A378">
        <v>4055</v>
      </c>
      <c r="B378" t="s">
        <v>964</v>
      </c>
      <c r="C378" s="19">
        <v>0</v>
      </c>
      <c r="D378" s="19">
        <v>0</v>
      </c>
      <c r="E378" s="19">
        <v>0</v>
      </c>
      <c r="F378" s="19">
        <v>0</v>
      </c>
      <c r="G378" s="19">
        <v>0</v>
      </c>
      <c r="H378" s="19">
        <v>0</v>
      </c>
      <c r="I378" s="19">
        <v>0</v>
      </c>
      <c r="J378" s="19">
        <v>0</v>
      </c>
      <c r="K378" s="19"/>
      <c r="L378" s="19">
        <v>0</v>
      </c>
      <c r="M378" s="19">
        <v>0</v>
      </c>
      <c r="N378" s="19">
        <v>0</v>
      </c>
      <c r="P378">
        <v>4046</v>
      </c>
      <c r="Q378">
        <v>7</v>
      </c>
      <c r="R378" t="s">
        <v>385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I378" s="12"/>
    </row>
    <row r="379" spans="1:35" x14ac:dyDescent="0.25">
      <c r="A379">
        <v>4056</v>
      </c>
      <c r="B379" t="s">
        <v>965</v>
      </c>
      <c r="C379" s="19">
        <v>0</v>
      </c>
      <c r="D379" s="19">
        <v>0</v>
      </c>
      <c r="E379" s="19">
        <v>5389</v>
      </c>
      <c r="F379" s="19">
        <v>5389</v>
      </c>
      <c r="G379" s="19">
        <v>0</v>
      </c>
      <c r="H379" s="19">
        <v>0</v>
      </c>
      <c r="I379" s="19">
        <v>246.39999999999964</v>
      </c>
      <c r="J379" s="19">
        <v>246.39999999999964</v>
      </c>
      <c r="K379" s="19"/>
      <c r="L379" s="19">
        <v>0</v>
      </c>
      <c r="M379" s="19">
        <v>5635.4</v>
      </c>
      <c r="N379" s="19">
        <v>5635.4</v>
      </c>
      <c r="P379">
        <v>4048</v>
      </c>
      <c r="Q379">
        <v>7</v>
      </c>
      <c r="R379" t="s">
        <v>386</v>
      </c>
      <c r="S379" s="12">
        <v>0</v>
      </c>
      <c r="T379" s="12">
        <v>0</v>
      </c>
      <c r="U379" s="12">
        <v>0</v>
      </c>
      <c r="V379" s="12">
        <v>0</v>
      </c>
      <c r="W379" s="12">
        <v>0</v>
      </c>
      <c r="X379" s="12">
        <v>0</v>
      </c>
      <c r="Y379" s="12">
        <v>0</v>
      </c>
      <c r="Z379" s="12">
        <v>0</v>
      </c>
      <c r="AA379" s="12">
        <v>0</v>
      </c>
      <c r="AB379" s="12">
        <v>0</v>
      </c>
      <c r="AC379" s="12">
        <v>0</v>
      </c>
      <c r="AD379" s="12">
        <v>0</v>
      </c>
      <c r="AI379" s="12"/>
    </row>
    <row r="380" spans="1:35" x14ac:dyDescent="0.25">
      <c r="A380">
        <v>4057</v>
      </c>
      <c r="B380" t="s">
        <v>966</v>
      </c>
      <c r="C380" s="19">
        <v>0</v>
      </c>
      <c r="D380" s="19">
        <v>0</v>
      </c>
      <c r="E380" s="19">
        <v>4947</v>
      </c>
      <c r="F380" s="19">
        <v>4947</v>
      </c>
      <c r="G380" s="19">
        <v>0</v>
      </c>
      <c r="H380" s="19">
        <v>0</v>
      </c>
      <c r="I380" s="19">
        <v>0</v>
      </c>
      <c r="J380" s="19">
        <v>0</v>
      </c>
      <c r="K380" s="19"/>
      <c r="L380" s="19">
        <v>0</v>
      </c>
      <c r="M380" s="19">
        <v>4947</v>
      </c>
      <c r="N380" s="19">
        <v>4947</v>
      </c>
      <c r="P380">
        <v>4049</v>
      </c>
      <c r="Q380">
        <v>7</v>
      </c>
      <c r="R380" t="s">
        <v>387</v>
      </c>
      <c r="S380" s="12">
        <v>0</v>
      </c>
      <c r="T380" s="12">
        <v>0</v>
      </c>
      <c r="U380" s="12">
        <v>3589</v>
      </c>
      <c r="V380" s="12">
        <v>3589</v>
      </c>
      <c r="W380" s="12">
        <v>0</v>
      </c>
      <c r="X380" s="12">
        <v>0</v>
      </c>
      <c r="Y380" s="12">
        <v>3792.6</v>
      </c>
      <c r="Z380" s="12">
        <v>3792.6</v>
      </c>
      <c r="AA380" s="12">
        <v>0</v>
      </c>
      <c r="AB380" s="12">
        <v>0</v>
      </c>
      <c r="AC380" s="12">
        <v>203.59999999999991</v>
      </c>
      <c r="AD380" s="12">
        <v>203.59999999999991</v>
      </c>
      <c r="AI380" s="12"/>
    </row>
    <row r="381" spans="1:35" x14ac:dyDescent="0.25">
      <c r="A381">
        <v>4058</v>
      </c>
      <c r="B381" t="s">
        <v>967</v>
      </c>
      <c r="C381" s="19">
        <v>0</v>
      </c>
      <c r="D381" s="19">
        <v>0</v>
      </c>
      <c r="E381" s="19">
        <v>23426</v>
      </c>
      <c r="F381" s="19">
        <v>23426</v>
      </c>
      <c r="G381" s="19">
        <v>0</v>
      </c>
      <c r="H381" s="19">
        <v>0</v>
      </c>
      <c r="I381" s="19">
        <v>2032.4000000000015</v>
      </c>
      <c r="J381" s="19">
        <v>2032.4000000000015</v>
      </c>
      <c r="K381" s="19"/>
      <c r="L381" s="19">
        <v>0</v>
      </c>
      <c r="M381" s="19">
        <v>25458.400000000001</v>
      </c>
      <c r="N381" s="19">
        <v>25458.400000000001</v>
      </c>
      <c r="P381">
        <v>4050</v>
      </c>
      <c r="Q381">
        <v>7</v>
      </c>
      <c r="R381" t="s">
        <v>388</v>
      </c>
      <c r="S381" s="12">
        <v>0</v>
      </c>
      <c r="T381" s="12">
        <v>0</v>
      </c>
      <c r="U381" s="12">
        <v>11262</v>
      </c>
      <c r="V381" s="12">
        <v>11262</v>
      </c>
      <c r="W381" s="12">
        <v>0</v>
      </c>
      <c r="X381" s="12">
        <v>0</v>
      </c>
      <c r="Y381" s="12">
        <v>11794</v>
      </c>
      <c r="Z381" s="12">
        <v>11794</v>
      </c>
      <c r="AA381" s="12">
        <v>0</v>
      </c>
      <c r="AB381" s="12">
        <v>0</v>
      </c>
      <c r="AC381" s="12">
        <v>532</v>
      </c>
      <c r="AD381" s="12">
        <v>532</v>
      </c>
      <c r="AI381" s="12"/>
    </row>
    <row r="382" spans="1:35" x14ac:dyDescent="0.25">
      <c r="A382">
        <v>4059</v>
      </c>
      <c r="B382" t="s">
        <v>968</v>
      </c>
      <c r="C382" s="19">
        <v>0</v>
      </c>
      <c r="D382" s="19">
        <v>0</v>
      </c>
      <c r="E382" s="19">
        <v>13461</v>
      </c>
      <c r="F382" s="19">
        <v>13461</v>
      </c>
      <c r="G382" s="19">
        <v>0</v>
      </c>
      <c r="H382" s="19">
        <v>0</v>
      </c>
      <c r="I382" s="19">
        <v>291.20000000000073</v>
      </c>
      <c r="J382" s="19">
        <v>291.20000000000073</v>
      </c>
      <c r="K382" s="19"/>
      <c r="L382" s="19">
        <v>0</v>
      </c>
      <c r="M382" s="19">
        <v>13752.2</v>
      </c>
      <c r="N382" s="19">
        <v>13752.2</v>
      </c>
      <c r="P382">
        <v>4051</v>
      </c>
      <c r="Q382">
        <v>7</v>
      </c>
      <c r="R382" t="s">
        <v>389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I382" s="12"/>
    </row>
    <row r="383" spans="1:35" x14ac:dyDescent="0.25">
      <c r="A383">
        <v>4064</v>
      </c>
      <c r="B383" t="s">
        <v>969</v>
      </c>
      <c r="C383" s="19">
        <v>0</v>
      </c>
      <c r="D383" s="19">
        <v>0</v>
      </c>
      <c r="E383" s="19">
        <v>12134</v>
      </c>
      <c r="F383" s="19">
        <v>12134</v>
      </c>
      <c r="G383" s="19">
        <v>0</v>
      </c>
      <c r="H383" s="19">
        <v>0</v>
      </c>
      <c r="I383" s="19">
        <v>528.39999999999964</v>
      </c>
      <c r="J383" s="19">
        <v>528.39999999999964</v>
      </c>
      <c r="K383" s="19"/>
      <c r="L383" s="19">
        <v>0</v>
      </c>
      <c r="M383" s="19">
        <v>12662.4</v>
      </c>
      <c r="N383" s="19">
        <v>12662.4</v>
      </c>
      <c r="P383">
        <v>4052</v>
      </c>
      <c r="Q383">
        <v>7</v>
      </c>
      <c r="R383" t="s">
        <v>390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  <c r="Z383" s="12">
        <v>0</v>
      </c>
      <c r="AA383" s="12">
        <v>0</v>
      </c>
      <c r="AB383" s="12">
        <v>0</v>
      </c>
      <c r="AC383" s="12">
        <v>0</v>
      </c>
      <c r="AD383" s="12">
        <v>0</v>
      </c>
      <c r="AI383" s="12"/>
    </row>
    <row r="384" spans="1:35" x14ac:dyDescent="0.25">
      <c r="A384">
        <v>4066</v>
      </c>
      <c r="B384" t="s">
        <v>970</v>
      </c>
      <c r="C384" s="19">
        <v>0</v>
      </c>
      <c r="D384" s="19">
        <v>0</v>
      </c>
      <c r="E384" s="19">
        <v>2457</v>
      </c>
      <c r="F384" s="19">
        <v>2457</v>
      </c>
      <c r="G384" s="19">
        <v>0</v>
      </c>
      <c r="H384" s="19">
        <v>0</v>
      </c>
      <c r="I384" s="19">
        <v>192</v>
      </c>
      <c r="J384" s="19">
        <v>192</v>
      </c>
      <c r="K384" s="19"/>
      <c r="L384" s="19">
        <v>0</v>
      </c>
      <c r="M384" s="19">
        <v>2649</v>
      </c>
      <c r="N384" s="19">
        <v>2649</v>
      </c>
      <c r="P384">
        <v>4053</v>
      </c>
      <c r="Q384">
        <v>7</v>
      </c>
      <c r="R384" t="s">
        <v>391</v>
      </c>
      <c r="S384" s="12">
        <v>0</v>
      </c>
      <c r="T384" s="12">
        <v>0</v>
      </c>
      <c r="U384" s="12">
        <v>28457</v>
      </c>
      <c r="V384" s="12">
        <v>28457</v>
      </c>
      <c r="W384" s="12">
        <v>0</v>
      </c>
      <c r="X384" s="12">
        <v>0</v>
      </c>
      <c r="Y384" s="12">
        <v>30236.6</v>
      </c>
      <c r="Z384" s="12">
        <v>30236.6</v>
      </c>
      <c r="AA384" s="12">
        <v>0</v>
      </c>
      <c r="AB384" s="12">
        <v>0</v>
      </c>
      <c r="AC384" s="12">
        <v>1779.5999999999985</v>
      </c>
      <c r="AD384" s="12">
        <v>1779.5999999999985</v>
      </c>
      <c r="AI384" s="12"/>
    </row>
    <row r="385" spans="1:35" x14ac:dyDescent="0.25">
      <c r="A385">
        <v>4067</v>
      </c>
      <c r="B385" t="s">
        <v>971</v>
      </c>
      <c r="C385" s="19">
        <v>0</v>
      </c>
      <c r="D385" s="19">
        <v>0</v>
      </c>
      <c r="E385" s="19">
        <v>54307</v>
      </c>
      <c r="F385" s="19">
        <v>54307</v>
      </c>
      <c r="G385" s="19">
        <v>0</v>
      </c>
      <c r="H385" s="19">
        <v>0</v>
      </c>
      <c r="I385" s="19">
        <v>1367.5999999999985</v>
      </c>
      <c r="J385" s="19">
        <v>1367.5999999999985</v>
      </c>
      <c r="K385" s="19"/>
      <c r="L385" s="19">
        <v>0</v>
      </c>
      <c r="M385" s="19">
        <v>55674.6</v>
      </c>
      <c r="N385" s="19">
        <v>55674.6</v>
      </c>
      <c r="P385">
        <v>4054</v>
      </c>
      <c r="Q385">
        <v>7</v>
      </c>
      <c r="R385" t="s">
        <v>392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0</v>
      </c>
      <c r="AC385" s="12">
        <v>0</v>
      </c>
      <c r="AD385" s="12">
        <v>0</v>
      </c>
      <c r="AI385" s="12"/>
    </row>
    <row r="386" spans="1:35" x14ac:dyDescent="0.25">
      <c r="A386">
        <v>4068</v>
      </c>
      <c r="B386" t="s">
        <v>972</v>
      </c>
      <c r="C386" s="19">
        <v>0</v>
      </c>
      <c r="D386" s="19">
        <v>0</v>
      </c>
      <c r="E386" s="19">
        <v>59968</v>
      </c>
      <c r="F386" s="19">
        <v>59968</v>
      </c>
      <c r="G386" s="19">
        <v>0</v>
      </c>
      <c r="H386" s="19">
        <v>0</v>
      </c>
      <c r="I386" s="19">
        <v>2284.4000000000015</v>
      </c>
      <c r="J386" s="19">
        <v>2284.4000000000015</v>
      </c>
      <c r="K386" s="19"/>
      <c r="L386" s="19">
        <v>0</v>
      </c>
      <c r="M386" s="19">
        <v>62252.4</v>
      </c>
      <c r="N386" s="19">
        <v>62252.4</v>
      </c>
      <c r="P386">
        <v>4055</v>
      </c>
      <c r="Q386">
        <v>7</v>
      </c>
      <c r="R386" t="s">
        <v>393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I386" s="12"/>
    </row>
    <row r="387" spans="1:35" x14ac:dyDescent="0.25">
      <c r="A387">
        <v>4070</v>
      </c>
      <c r="B387" t="s">
        <v>973</v>
      </c>
      <c r="C387" s="19">
        <v>0</v>
      </c>
      <c r="D387" s="19">
        <v>0</v>
      </c>
      <c r="E387" s="19">
        <v>88997</v>
      </c>
      <c r="F387" s="19">
        <v>88997</v>
      </c>
      <c r="G387" s="19">
        <v>0</v>
      </c>
      <c r="H387" s="19">
        <v>0</v>
      </c>
      <c r="I387" s="19">
        <v>2366.3999999999942</v>
      </c>
      <c r="J387" s="19">
        <v>2366.3999999999942</v>
      </c>
      <c r="K387" s="19"/>
      <c r="L387" s="19">
        <v>0</v>
      </c>
      <c r="M387" s="19">
        <v>91363.4</v>
      </c>
      <c r="N387" s="19">
        <v>91363.4</v>
      </c>
      <c r="P387">
        <v>4056</v>
      </c>
      <c r="Q387">
        <v>7</v>
      </c>
      <c r="R387" t="s">
        <v>394</v>
      </c>
      <c r="S387" s="12">
        <v>0</v>
      </c>
      <c r="T387" s="12">
        <v>0</v>
      </c>
      <c r="U387" s="12">
        <v>5389</v>
      </c>
      <c r="V387" s="12">
        <v>5389</v>
      </c>
      <c r="W387" s="12">
        <v>0</v>
      </c>
      <c r="X387" s="12">
        <v>0</v>
      </c>
      <c r="Y387" s="12">
        <v>5635.4</v>
      </c>
      <c r="Z387" s="12">
        <v>5635.4</v>
      </c>
      <c r="AA387" s="12">
        <v>0</v>
      </c>
      <c r="AB387" s="12">
        <v>0</v>
      </c>
      <c r="AC387" s="12">
        <v>246.39999999999964</v>
      </c>
      <c r="AD387" s="12">
        <v>246.39999999999964</v>
      </c>
      <c r="AI387" s="12"/>
    </row>
    <row r="388" spans="1:35" x14ac:dyDescent="0.25">
      <c r="A388">
        <v>4073</v>
      </c>
      <c r="B388" t="s">
        <v>974</v>
      </c>
      <c r="C388" s="19">
        <v>0</v>
      </c>
      <c r="D388" s="19">
        <v>0</v>
      </c>
      <c r="E388" s="19">
        <v>54929</v>
      </c>
      <c r="F388" s="19">
        <v>54929</v>
      </c>
      <c r="G388" s="19">
        <v>0</v>
      </c>
      <c r="H388" s="19">
        <v>0</v>
      </c>
      <c r="I388" s="19">
        <v>1565.1999999999971</v>
      </c>
      <c r="J388" s="19">
        <v>1565.1999999999971</v>
      </c>
      <c r="K388" s="19"/>
      <c r="L388" s="19">
        <v>0</v>
      </c>
      <c r="M388" s="19">
        <v>56494.2</v>
      </c>
      <c r="N388" s="19">
        <v>56494.2</v>
      </c>
      <c r="P388">
        <v>4057</v>
      </c>
      <c r="Q388">
        <v>7</v>
      </c>
      <c r="R388" t="s">
        <v>395</v>
      </c>
      <c r="S388" s="12">
        <v>0</v>
      </c>
      <c r="T388" s="12">
        <v>0</v>
      </c>
      <c r="U388" s="12">
        <v>4947</v>
      </c>
      <c r="V388" s="12">
        <v>4947</v>
      </c>
      <c r="W388" s="12">
        <v>0</v>
      </c>
      <c r="X388" s="12">
        <v>0</v>
      </c>
      <c r="Y388" s="12">
        <v>4947</v>
      </c>
      <c r="Z388" s="12">
        <v>4947</v>
      </c>
      <c r="AA388" s="12">
        <v>0</v>
      </c>
      <c r="AB388" s="12">
        <v>0</v>
      </c>
      <c r="AC388" s="12">
        <v>0</v>
      </c>
      <c r="AD388" s="12">
        <v>0</v>
      </c>
      <c r="AI388" s="12"/>
    </row>
    <row r="389" spans="1:35" x14ac:dyDescent="0.25">
      <c r="A389">
        <v>4074</v>
      </c>
      <c r="B389" t="s">
        <v>975</v>
      </c>
      <c r="C389" s="19">
        <v>0</v>
      </c>
      <c r="D389" s="19">
        <v>0</v>
      </c>
      <c r="E389" s="19">
        <v>27398</v>
      </c>
      <c r="F389" s="19">
        <v>27398</v>
      </c>
      <c r="G389" s="19">
        <v>0</v>
      </c>
      <c r="H389" s="19">
        <v>0</v>
      </c>
      <c r="I389" s="19">
        <v>1427.5999999999985</v>
      </c>
      <c r="J389" s="19">
        <v>1427.5999999999985</v>
      </c>
      <c r="K389" s="19"/>
      <c r="L389" s="19">
        <v>0</v>
      </c>
      <c r="M389" s="19">
        <v>28825.599999999999</v>
      </c>
      <c r="N389" s="19">
        <v>28825.599999999999</v>
      </c>
      <c r="P389">
        <v>4058</v>
      </c>
      <c r="Q389">
        <v>7</v>
      </c>
      <c r="R389" t="s">
        <v>396</v>
      </c>
      <c r="S389" s="12">
        <v>0</v>
      </c>
      <c r="T389" s="12">
        <v>0</v>
      </c>
      <c r="U389" s="12">
        <v>23426</v>
      </c>
      <c r="V389" s="12">
        <v>23426</v>
      </c>
      <c r="W389" s="12">
        <v>0</v>
      </c>
      <c r="X389" s="12">
        <v>0</v>
      </c>
      <c r="Y389" s="12">
        <v>25458.400000000001</v>
      </c>
      <c r="Z389" s="12">
        <v>25458.400000000001</v>
      </c>
      <c r="AA389" s="12">
        <v>0</v>
      </c>
      <c r="AB389" s="12">
        <v>0</v>
      </c>
      <c r="AC389" s="12">
        <v>2032.4000000000015</v>
      </c>
      <c r="AD389" s="12">
        <v>2032.4000000000015</v>
      </c>
      <c r="AI389" s="12"/>
    </row>
    <row r="390" spans="1:35" x14ac:dyDescent="0.25">
      <c r="A390">
        <v>4075</v>
      </c>
      <c r="B390" t="s">
        <v>976</v>
      </c>
      <c r="C390" s="19">
        <v>0</v>
      </c>
      <c r="D390" s="19">
        <v>0</v>
      </c>
      <c r="E390" s="19">
        <v>6102</v>
      </c>
      <c r="F390" s="19">
        <v>6102</v>
      </c>
      <c r="G390" s="19">
        <v>0</v>
      </c>
      <c r="H390" s="19">
        <v>0</v>
      </c>
      <c r="I390" s="19">
        <v>231.60000000000036</v>
      </c>
      <c r="J390" s="19">
        <v>231.60000000000036</v>
      </c>
      <c r="K390" s="19"/>
      <c r="L390" s="19">
        <v>0</v>
      </c>
      <c r="M390" s="19">
        <v>6333.6</v>
      </c>
      <c r="N390" s="19">
        <v>6333.6</v>
      </c>
      <c r="P390">
        <v>4059</v>
      </c>
      <c r="Q390">
        <v>7</v>
      </c>
      <c r="R390" t="s">
        <v>397</v>
      </c>
      <c r="S390" s="12">
        <v>0</v>
      </c>
      <c r="T390" s="12">
        <v>0</v>
      </c>
      <c r="U390" s="12">
        <v>13461</v>
      </c>
      <c r="V390" s="12">
        <v>13461</v>
      </c>
      <c r="W390" s="12">
        <v>0</v>
      </c>
      <c r="X390" s="12">
        <v>0</v>
      </c>
      <c r="Y390" s="12">
        <v>13752.2</v>
      </c>
      <c r="Z390" s="12">
        <v>13752.2</v>
      </c>
      <c r="AA390" s="12">
        <v>0</v>
      </c>
      <c r="AB390" s="12">
        <v>0</v>
      </c>
      <c r="AC390" s="12">
        <v>291.20000000000073</v>
      </c>
      <c r="AD390" s="12">
        <v>291.20000000000073</v>
      </c>
      <c r="AI390" s="12"/>
    </row>
    <row r="391" spans="1:35" x14ac:dyDescent="0.25">
      <c r="A391">
        <v>4077</v>
      </c>
      <c r="B391" t="s">
        <v>977</v>
      </c>
      <c r="C391" s="19">
        <v>0</v>
      </c>
      <c r="D391" s="19">
        <v>0</v>
      </c>
      <c r="E391" s="19">
        <v>98591</v>
      </c>
      <c r="F391" s="19">
        <v>98591</v>
      </c>
      <c r="G391" s="19">
        <v>0</v>
      </c>
      <c r="H391" s="19">
        <v>0</v>
      </c>
      <c r="I391" s="19">
        <v>494</v>
      </c>
      <c r="J391" s="19">
        <v>494</v>
      </c>
      <c r="K391" s="19"/>
      <c r="L391" s="19">
        <v>0</v>
      </c>
      <c r="M391" s="19">
        <v>99085</v>
      </c>
      <c r="N391" s="19">
        <v>99085</v>
      </c>
      <c r="P391">
        <v>4060</v>
      </c>
      <c r="Q391">
        <v>7</v>
      </c>
      <c r="R391" t="s">
        <v>398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0</v>
      </c>
      <c r="AD391" s="12">
        <v>0</v>
      </c>
      <c r="AI391" s="12"/>
    </row>
    <row r="392" spans="1:35" x14ac:dyDescent="0.25">
      <c r="A392">
        <v>4078</v>
      </c>
      <c r="B392" t="s">
        <v>978</v>
      </c>
      <c r="C392" s="19">
        <v>0</v>
      </c>
      <c r="D392" s="19">
        <v>0</v>
      </c>
      <c r="E392" s="19">
        <v>60390</v>
      </c>
      <c r="F392" s="19">
        <v>60390</v>
      </c>
      <c r="G392" s="19">
        <v>0</v>
      </c>
      <c r="H392" s="19">
        <v>0</v>
      </c>
      <c r="I392" s="19">
        <v>288</v>
      </c>
      <c r="J392" s="19">
        <v>288</v>
      </c>
      <c r="K392" s="19"/>
      <c r="L392" s="19">
        <v>0</v>
      </c>
      <c r="M392" s="19">
        <v>60678</v>
      </c>
      <c r="N392" s="19">
        <v>60678</v>
      </c>
      <c r="P392">
        <v>4061</v>
      </c>
      <c r="Q392">
        <v>7</v>
      </c>
      <c r="R392" t="s">
        <v>399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I392" s="12"/>
    </row>
    <row r="393" spans="1:35" x14ac:dyDescent="0.25">
      <c r="A393">
        <v>4079</v>
      </c>
      <c r="B393" t="s">
        <v>979</v>
      </c>
      <c r="C393" s="19">
        <v>0</v>
      </c>
      <c r="D393" s="19">
        <v>0</v>
      </c>
      <c r="E393" s="19">
        <v>17145</v>
      </c>
      <c r="F393" s="19">
        <v>17145</v>
      </c>
      <c r="G393" s="19">
        <v>0</v>
      </c>
      <c r="H393" s="19">
        <v>0</v>
      </c>
      <c r="I393" s="19">
        <v>76</v>
      </c>
      <c r="J393" s="19">
        <v>76</v>
      </c>
      <c r="K393" s="19"/>
      <c r="L393" s="19">
        <v>0</v>
      </c>
      <c r="M393" s="19">
        <v>17221</v>
      </c>
      <c r="N393" s="19">
        <v>17221</v>
      </c>
      <c r="P393">
        <v>4062</v>
      </c>
      <c r="Q393">
        <v>7</v>
      </c>
      <c r="R393" t="s">
        <v>400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0</v>
      </c>
      <c r="AA393" s="12">
        <v>0</v>
      </c>
      <c r="AB393" s="12">
        <v>0</v>
      </c>
      <c r="AC393" s="12">
        <v>0</v>
      </c>
      <c r="AD393" s="12">
        <v>0</v>
      </c>
      <c r="AI393" s="12"/>
    </row>
    <row r="394" spans="1:35" x14ac:dyDescent="0.25">
      <c r="A394">
        <v>4080</v>
      </c>
      <c r="B394" t="s">
        <v>980</v>
      </c>
      <c r="C394" s="19">
        <v>0</v>
      </c>
      <c r="D394" s="19">
        <v>0</v>
      </c>
      <c r="E394" s="19">
        <v>0</v>
      </c>
      <c r="F394" s="19">
        <v>0</v>
      </c>
      <c r="G394" s="19">
        <v>0</v>
      </c>
      <c r="H394" s="19">
        <v>0</v>
      </c>
      <c r="I394" s="19">
        <v>0</v>
      </c>
      <c r="J394" s="19">
        <v>0</v>
      </c>
      <c r="K394" s="19"/>
      <c r="L394" s="19">
        <v>0</v>
      </c>
      <c r="M394" s="19">
        <v>0</v>
      </c>
      <c r="N394" s="19">
        <v>0</v>
      </c>
      <c r="P394">
        <v>4064</v>
      </c>
      <c r="Q394">
        <v>7</v>
      </c>
      <c r="R394" t="s">
        <v>401</v>
      </c>
      <c r="S394" s="12">
        <v>0</v>
      </c>
      <c r="T394" s="12">
        <v>0</v>
      </c>
      <c r="U394" s="12">
        <v>12134</v>
      </c>
      <c r="V394" s="12">
        <v>12134</v>
      </c>
      <c r="W394" s="12">
        <v>0</v>
      </c>
      <c r="X394" s="12">
        <v>0</v>
      </c>
      <c r="Y394" s="12">
        <v>12662.4</v>
      </c>
      <c r="Z394" s="12">
        <v>12662.4</v>
      </c>
      <c r="AA394" s="12">
        <v>0</v>
      </c>
      <c r="AB394" s="12">
        <v>0</v>
      </c>
      <c r="AC394" s="12">
        <v>528.39999999999964</v>
      </c>
      <c r="AD394" s="12">
        <v>528.39999999999964</v>
      </c>
      <c r="AI394" s="12"/>
    </row>
    <row r="395" spans="1:35" x14ac:dyDescent="0.25">
      <c r="A395">
        <v>4081</v>
      </c>
      <c r="B395" t="s">
        <v>981</v>
      </c>
      <c r="C395" s="19">
        <v>0</v>
      </c>
      <c r="D395" s="19">
        <v>0</v>
      </c>
      <c r="E395" s="19">
        <v>3496</v>
      </c>
      <c r="F395" s="19">
        <v>3496</v>
      </c>
      <c r="G395" s="19">
        <v>0</v>
      </c>
      <c r="H395" s="19">
        <v>0</v>
      </c>
      <c r="I395" s="19">
        <v>148.40000000000009</v>
      </c>
      <c r="J395" s="19">
        <v>148.40000000000009</v>
      </c>
      <c r="K395" s="19"/>
      <c r="L395" s="19">
        <v>0</v>
      </c>
      <c r="M395" s="19">
        <v>3644.4</v>
      </c>
      <c r="N395" s="19">
        <v>3644.4</v>
      </c>
      <c r="P395">
        <v>4065</v>
      </c>
      <c r="Q395">
        <v>7</v>
      </c>
      <c r="R395" t="s">
        <v>402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>
        <v>0</v>
      </c>
      <c r="AB395" s="12">
        <v>0</v>
      </c>
      <c r="AC395" s="12">
        <v>0</v>
      </c>
      <c r="AD395" s="12">
        <v>0</v>
      </c>
      <c r="AI395" s="12"/>
    </row>
    <row r="396" spans="1:35" x14ac:dyDescent="0.25">
      <c r="A396">
        <v>4082</v>
      </c>
      <c r="B396" t="s">
        <v>982</v>
      </c>
      <c r="C396" s="19">
        <v>0</v>
      </c>
      <c r="D396" s="19">
        <v>0</v>
      </c>
      <c r="E396" s="19">
        <v>0</v>
      </c>
      <c r="F396" s="19">
        <v>0</v>
      </c>
      <c r="G396" s="19">
        <v>0</v>
      </c>
      <c r="H396" s="19">
        <v>0</v>
      </c>
      <c r="I396" s="19">
        <v>0</v>
      </c>
      <c r="J396" s="19">
        <v>0</v>
      </c>
      <c r="K396" s="19"/>
      <c r="L396" s="19">
        <v>0</v>
      </c>
      <c r="M396" s="19">
        <v>0</v>
      </c>
      <c r="N396" s="19">
        <v>0</v>
      </c>
      <c r="P396">
        <v>4066</v>
      </c>
      <c r="Q396">
        <v>7</v>
      </c>
      <c r="R396" t="s">
        <v>403</v>
      </c>
      <c r="S396" s="12">
        <v>0</v>
      </c>
      <c r="T396" s="12">
        <v>0</v>
      </c>
      <c r="U396" s="12">
        <v>2457</v>
      </c>
      <c r="V396" s="12">
        <v>2457</v>
      </c>
      <c r="W396" s="12">
        <v>0</v>
      </c>
      <c r="X396" s="12">
        <v>0</v>
      </c>
      <c r="Y396" s="12">
        <v>2649</v>
      </c>
      <c r="Z396" s="12">
        <v>2649</v>
      </c>
      <c r="AA396" s="12">
        <v>0</v>
      </c>
      <c r="AB396" s="12">
        <v>0</v>
      </c>
      <c r="AC396" s="12">
        <v>192</v>
      </c>
      <c r="AD396" s="12">
        <v>192</v>
      </c>
      <c r="AI396" s="12"/>
    </row>
    <row r="397" spans="1:35" x14ac:dyDescent="0.25">
      <c r="A397">
        <v>4083</v>
      </c>
      <c r="B397" t="s">
        <v>983</v>
      </c>
      <c r="C397" s="19">
        <v>0</v>
      </c>
      <c r="D397" s="19">
        <v>0</v>
      </c>
      <c r="E397" s="19">
        <v>10097</v>
      </c>
      <c r="F397" s="19">
        <v>10097</v>
      </c>
      <c r="G397" s="19">
        <v>0</v>
      </c>
      <c r="H397" s="19">
        <v>0</v>
      </c>
      <c r="I397" s="19">
        <v>671.60000000000036</v>
      </c>
      <c r="J397" s="19">
        <v>671.60000000000036</v>
      </c>
      <c r="K397" s="19"/>
      <c r="L397" s="19">
        <v>0</v>
      </c>
      <c r="M397" s="19">
        <v>10768.6</v>
      </c>
      <c r="N397" s="19">
        <v>10768.6</v>
      </c>
      <c r="P397">
        <v>4067</v>
      </c>
      <c r="Q397">
        <v>7</v>
      </c>
      <c r="R397" t="s">
        <v>404</v>
      </c>
      <c r="S397" s="12">
        <v>0</v>
      </c>
      <c r="T397" s="12">
        <v>0</v>
      </c>
      <c r="U397" s="12">
        <v>54307</v>
      </c>
      <c r="V397" s="12">
        <v>54307</v>
      </c>
      <c r="W397" s="12">
        <v>0</v>
      </c>
      <c r="X397" s="12">
        <v>0</v>
      </c>
      <c r="Y397" s="12">
        <v>55674.6</v>
      </c>
      <c r="Z397" s="12">
        <v>55674.6</v>
      </c>
      <c r="AA397" s="12">
        <v>0</v>
      </c>
      <c r="AB397" s="12">
        <v>0</v>
      </c>
      <c r="AC397" s="12">
        <v>1367.5999999999985</v>
      </c>
      <c r="AD397" s="12">
        <v>1367.5999999999985</v>
      </c>
      <c r="AI397" s="12"/>
    </row>
    <row r="398" spans="1:35" x14ac:dyDescent="0.25">
      <c r="A398">
        <v>4084</v>
      </c>
      <c r="B398" t="s">
        <v>984</v>
      </c>
      <c r="C398" s="19">
        <v>0</v>
      </c>
      <c r="D398" s="19">
        <v>0</v>
      </c>
      <c r="E398" s="19">
        <v>33475</v>
      </c>
      <c r="F398" s="19">
        <v>33475</v>
      </c>
      <c r="G398" s="19">
        <v>0</v>
      </c>
      <c r="H398" s="19">
        <v>0</v>
      </c>
      <c r="I398" s="19">
        <v>2382.8000000000029</v>
      </c>
      <c r="J398" s="19">
        <v>2382.8000000000029</v>
      </c>
      <c r="K398" s="19"/>
      <c r="L398" s="19">
        <v>0</v>
      </c>
      <c r="M398" s="19">
        <v>35857.800000000003</v>
      </c>
      <c r="N398" s="19">
        <v>35857.800000000003</v>
      </c>
      <c r="P398">
        <v>4068</v>
      </c>
      <c r="Q398">
        <v>7</v>
      </c>
      <c r="R398" t="s">
        <v>405</v>
      </c>
      <c r="S398" s="12">
        <v>0</v>
      </c>
      <c r="T398" s="12">
        <v>0</v>
      </c>
      <c r="U398" s="12">
        <v>59968</v>
      </c>
      <c r="V398" s="12">
        <v>59968</v>
      </c>
      <c r="W398" s="12">
        <v>0</v>
      </c>
      <c r="X398" s="12">
        <v>0</v>
      </c>
      <c r="Y398" s="12">
        <v>62252.4</v>
      </c>
      <c r="Z398" s="12">
        <v>62252.4</v>
      </c>
      <c r="AA398" s="12">
        <v>0</v>
      </c>
      <c r="AB398" s="12">
        <v>0</v>
      </c>
      <c r="AC398" s="12">
        <v>2284.4000000000015</v>
      </c>
      <c r="AD398" s="12">
        <v>2284.4000000000015</v>
      </c>
      <c r="AI398" s="12"/>
    </row>
    <row r="399" spans="1:35" x14ac:dyDescent="0.25">
      <c r="A399">
        <v>4085</v>
      </c>
      <c r="B399" t="s">
        <v>985</v>
      </c>
      <c r="C399" s="19">
        <v>0</v>
      </c>
      <c r="D399" s="19">
        <v>0</v>
      </c>
      <c r="E399" s="19">
        <v>9152</v>
      </c>
      <c r="F399" s="19">
        <v>9152</v>
      </c>
      <c r="G399" s="19">
        <v>0</v>
      </c>
      <c r="H399" s="19">
        <v>0</v>
      </c>
      <c r="I399" s="19">
        <v>655.20000000000073</v>
      </c>
      <c r="J399" s="19">
        <v>655.20000000000073</v>
      </c>
      <c r="K399" s="19"/>
      <c r="L399" s="19">
        <v>0</v>
      </c>
      <c r="M399" s="19">
        <v>9807.2000000000007</v>
      </c>
      <c r="N399" s="19">
        <v>9807.2000000000007</v>
      </c>
      <c r="P399">
        <v>4069</v>
      </c>
      <c r="Q399">
        <v>7</v>
      </c>
      <c r="R399" t="s">
        <v>406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  <c r="Y399" s="12">
        <v>0</v>
      </c>
      <c r="Z399" s="12">
        <v>0</v>
      </c>
      <c r="AA399" s="12">
        <v>0</v>
      </c>
      <c r="AB399" s="12">
        <v>0</v>
      </c>
      <c r="AC399" s="12">
        <v>0</v>
      </c>
      <c r="AD399" s="12">
        <v>0</v>
      </c>
      <c r="AI399" s="12"/>
    </row>
    <row r="400" spans="1:35" x14ac:dyDescent="0.25">
      <c r="A400">
        <v>4086</v>
      </c>
      <c r="B400" t="s">
        <v>986</v>
      </c>
      <c r="C400" s="19">
        <v>0</v>
      </c>
      <c r="D400" s="19">
        <v>0</v>
      </c>
      <c r="E400" s="19">
        <v>41515</v>
      </c>
      <c r="F400" s="19">
        <v>41515</v>
      </c>
      <c r="G400" s="19">
        <v>0</v>
      </c>
      <c r="H400" s="19">
        <v>0</v>
      </c>
      <c r="I400" s="19">
        <v>1330.8000000000029</v>
      </c>
      <c r="J400" s="19">
        <v>1330.8000000000029</v>
      </c>
      <c r="K400" s="19"/>
      <c r="L400" s="19">
        <v>0</v>
      </c>
      <c r="M400" s="19">
        <v>42845.8</v>
      </c>
      <c r="N400" s="19">
        <v>42845.8</v>
      </c>
      <c r="P400">
        <v>4070</v>
      </c>
      <c r="Q400">
        <v>7</v>
      </c>
      <c r="R400" t="s">
        <v>407</v>
      </c>
      <c r="S400" s="12">
        <v>0</v>
      </c>
      <c r="T400" s="12">
        <v>0</v>
      </c>
      <c r="U400" s="12">
        <v>88997</v>
      </c>
      <c r="V400" s="12">
        <v>88997</v>
      </c>
      <c r="W400" s="12">
        <v>0</v>
      </c>
      <c r="X400" s="12">
        <v>0</v>
      </c>
      <c r="Y400" s="12">
        <v>91363.4</v>
      </c>
      <c r="Z400" s="12">
        <v>91363.4</v>
      </c>
      <c r="AA400" s="12">
        <v>0</v>
      </c>
      <c r="AB400" s="12">
        <v>0</v>
      </c>
      <c r="AC400" s="12">
        <v>2366.3999999999942</v>
      </c>
      <c r="AD400" s="12">
        <v>2366.3999999999942</v>
      </c>
      <c r="AI400" s="12"/>
    </row>
    <row r="401" spans="1:35" x14ac:dyDescent="0.25">
      <c r="A401">
        <v>4087</v>
      </c>
      <c r="B401" t="s">
        <v>987</v>
      </c>
      <c r="C401" s="19">
        <v>0</v>
      </c>
      <c r="D401" s="19">
        <v>0</v>
      </c>
      <c r="E401" s="19">
        <v>6802</v>
      </c>
      <c r="F401" s="19">
        <v>6802</v>
      </c>
      <c r="G401" s="19">
        <v>0</v>
      </c>
      <c r="H401" s="19">
        <v>0</v>
      </c>
      <c r="I401" s="19">
        <v>462.80000000000018</v>
      </c>
      <c r="J401" s="19">
        <v>462.80000000000018</v>
      </c>
      <c r="K401" s="19"/>
      <c r="L401" s="19">
        <v>0</v>
      </c>
      <c r="M401" s="19">
        <v>7264.8</v>
      </c>
      <c r="N401" s="19">
        <v>7264.8</v>
      </c>
      <c r="P401">
        <v>4071</v>
      </c>
      <c r="Q401">
        <v>7</v>
      </c>
      <c r="R401" t="s">
        <v>408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  <c r="X401" s="12">
        <v>0</v>
      </c>
      <c r="Y401" s="12">
        <v>0</v>
      </c>
      <c r="Z401" s="12">
        <v>0</v>
      </c>
      <c r="AA401" s="12">
        <v>0</v>
      </c>
      <c r="AB401" s="12">
        <v>0</v>
      </c>
      <c r="AC401" s="12">
        <v>0</v>
      </c>
      <c r="AD401" s="12">
        <v>0</v>
      </c>
      <c r="AI401" s="12"/>
    </row>
    <row r="402" spans="1:35" x14ac:dyDescent="0.25">
      <c r="A402">
        <v>4088</v>
      </c>
      <c r="B402" t="s">
        <v>988</v>
      </c>
      <c r="C402" s="19">
        <v>0</v>
      </c>
      <c r="D402" s="19">
        <v>0</v>
      </c>
      <c r="E402" s="19">
        <v>42430</v>
      </c>
      <c r="F402" s="19">
        <v>42430</v>
      </c>
      <c r="G402" s="19">
        <v>0</v>
      </c>
      <c r="H402" s="19">
        <v>0</v>
      </c>
      <c r="I402" s="19">
        <v>375.59999999999854</v>
      </c>
      <c r="J402" s="19">
        <v>375.59999999999854</v>
      </c>
      <c r="K402" s="19"/>
      <c r="L402" s="19">
        <v>0</v>
      </c>
      <c r="M402" s="19">
        <v>42805.599999999999</v>
      </c>
      <c r="N402" s="19">
        <v>42805.599999999999</v>
      </c>
      <c r="P402">
        <v>4072</v>
      </c>
      <c r="Q402">
        <v>7</v>
      </c>
      <c r="R402" t="s">
        <v>409</v>
      </c>
      <c r="S402" s="12">
        <v>0</v>
      </c>
      <c r="T402" s="12">
        <v>0</v>
      </c>
      <c r="U402" s="12">
        <v>0</v>
      </c>
      <c r="V402" s="12">
        <v>0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I402" s="12"/>
    </row>
    <row r="403" spans="1:35" x14ac:dyDescent="0.25">
      <c r="A403">
        <v>4089</v>
      </c>
      <c r="B403" t="s">
        <v>989</v>
      </c>
      <c r="C403" s="19">
        <v>0</v>
      </c>
      <c r="D403" s="19">
        <v>0</v>
      </c>
      <c r="E403" s="19">
        <v>13083</v>
      </c>
      <c r="F403" s="19">
        <v>13083</v>
      </c>
      <c r="G403" s="19">
        <v>0</v>
      </c>
      <c r="H403" s="19">
        <v>0</v>
      </c>
      <c r="I403" s="19">
        <v>404.79999999999927</v>
      </c>
      <c r="J403" s="19">
        <v>404.79999999999927</v>
      </c>
      <c r="K403" s="19"/>
      <c r="L403" s="19">
        <v>0</v>
      </c>
      <c r="M403" s="19">
        <v>13487.8</v>
      </c>
      <c r="N403" s="19">
        <v>13487.8</v>
      </c>
      <c r="P403">
        <v>4073</v>
      </c>
      <c r="Q403">
        <v>7</v>
      </c>
      <c r="R403" t="s">
        <v>410</v>
      </c>
      <c r="S403" s="12">
        <v>0</v>
      </c>
      <c r="T403" s="12">
        <v>0</v>
      </c>
      <c r="U403" s="12">
        <v>54929</v>
      </c>
      <c r="V403" s="12">
        <v>54929</v>
      </c>
      <c r="W403" s="12">
        <v>0</v>
      </c>
      <c r="X403" s="12">
        <v>0</v>
      </c>
      <c r="Y403" s="12">
        <v>56494.2</v>
      </c>
      <c r="Z403" s="12">
        <v>56494.2</v>
      </c>
      <c r="AA403" s="12">
        <v>0</v>
      </c>
      <c r="AB403" s="12">
        <v>0</v>
      </c>
      <c r="AC403" s="12">
        <v>1565.1999999999971</v>
      </c>
      <c r="AD403" s="12">
        <v>1565.1999999999971</v>
      </c>
      <c r="AI403" s="12"/>
    </row>
    <row r="404" spans="1:35" x14ac:dyDescent="0.25">
      <c r="A404">
        <v>4090</v>
      </c>
      <c r="B404" t="s">
        <v>990</v>
      </c>
      <c r="C404" s="19">
        <v>0</v>
      </c>
      <c r="D404" s="19">
        <v>0</v>
      </c>
      <c r="E404" s="19">
        <v>11960</v>
      </c>
      <c r="F404" s="19">
        <v>11960</v>
      </c>
      <c r="G404" s="19">
        <v>0</v>
      </c>
      <c r="H404" s="19">
        <v>0</v>
      </c>
      <c r="I404" s="19">
        <v>510.39999999999964</v>
      </c>
      <c r="J404" s="19">
        <v>510.39999999999964</v>
      </c>
      <c r="K404" s="19"/>
      <c r="L404" s="19">
        <v>0</v>
      </c>
      <c r="M404" s="19">
        <v>12470.4</v>
      </c>
      <c r="N404" s="19">
        <v>12470.4</v>
      </c>
      <c r="P404">
        <v>4074</v>
      </c>
      <c r="Q404">
        <v>7</v>
      </c>
      <c r="R404" t="s">
        <v>411</v>
      </c>
      <c r="S404" s="12">
        <v>0</v>
      </c>
      <c r="T404" s="12">
        <v>0</v>
      </c>
      <c r="U404" s="12">
        <v>27398</v>
      </c>
      <c r="V404" s="12">
        <v>27398</v>
      </c>
      <c r="W404" s="12">
        <v>0</v>
      </c>
      <c r="X404" s="12">
        <v>0</v>
      </c>
      <c r="Y404" s="12">
        <v>28825.599999999999</v>
      </c>
      <c r="Z404" s="12">
        <v>28825.599999999999</v>
      </c>
      <c r="AA404" s="12">
        <v>0</v>
      </c>
      <c r="AB404" s="12">
        <v>0</v>
      </c>
      <c r="AC404" s="12">
        <v>1427.5999999999985</v>
      </c>
      <c r="AD404" s="12">
        <v>1427.5999999999985</v>
      </c>
      <c r="AI404" s="12"/>
    </row>
    <row r="405" spans="1:35" x14ac:dyDescent="0.25">
      <c r="A405">
        <v>4091</v>
      </c>
      <c r="B405" t="s">
        <v>991</v>
      </c>
      <c r="C405" s="19">
        <v>0</v>
      </c>
      <c r="D405" s="19">
        <v>0</v>
      </c>
      <c r="E405" s="19">
        <v>5431</v>
      </c>
      <c r="F405" s="19">
        <v>5431</v>
      </c>
      <c r="G405" s="19">
        <v>0</v>
      </c>
      <c r="H405" s="19">
        <v>0</v>
      </c>
      <c r="I405" s="19">
        <v>275.19999999999982</v>
      </c>
      <c r="J405" s="19">
        <v>275.19999999999982</v>
      </c>
      <c r="K405" s="19"/>
      <c r="L405" s="19">
        <v>0</v>
      </c>
      <c r="M405" s="19">
        <v>5706.2</v>
      </c>
      <c r="N405" s="19">
        <v>5706.2</v>
      </c>
      <c r="P405">
        <v>4075</v>
      </c>
      <c r="Q405">
        <v>7</v>
      </c>
      <c r="R405" t="s">
        <v>412</v>
      </c>
      <c r="S405" s="12">
        <v>0</v>
      </c>
      <c r="T405" s="12">
        <v>0</v>
      </c>
      <c r="U405" s="12">
        <v>6102</v>
      </c>
      <c r="V405" s="12">
        <v>6102</v>
      </c>
      <c r="W405" s="12">
        <v>0</v>
      </c>
      <c r="X405" s="12">
        <v>0</v>
      </c>
      <c r="Y405" s="12">
        <v>6333.6</v>
      </c>
      <c r="Z405" s="12">
        <v>6333.6</v>
      </c>
      <c r="AA405" s="12">
        <v>0</v>
      </c>
      <c r="AB405" s="12">
        <v>0</v>
      </c>
      <c r="AC405" s="12">
        <v>231.60000000000036</v>
      </c>
      <c r="AD405" s="12">
        <v>231.60000000000036</v>
      </c>
      <c r="AI405" s="12"/>
    </row>
    <row r="406" spans="1:35" x14ac:dyDescent="0.25">
      <c r="A406">
        <v>4092</v>
      </c>
      <c r="B406" t="s">
        <v>992</v>
      </c>
      <c r="C406" s="19">
        <v>0</v>
      </c>
      <c r="D406" s="19">
        <v>0</v>
      </c>
      <c r="E406" s="19">
        <v>4406</v>
      </c>
      <c r="F406" s="19">
        <v>4406</v>
      </c>
      <c r="G406" s="19">
        <v>0</v>
      </c>
      <c r="H406" s="19">
        <v>0</v>
      </c>
      <c r="I406" s="19">
        <v>4.3999999999996362</v>
      </c>
      <c r="J406" s="19">
        <v>4.3999999999996362</v>
      </c>
      <c r="K406" s="19"/>
      <c r="L406" s="19">
        <v>0</v>
      </c>
      <c r="M406" s="19">
        <v>4410.3999999999996</v>
      </c>
      <c r="N406" s="19">
        <v>4410.3999999999996</v>
      </c>
      <c r="P406">
        <v>4076</v>
      </c>
      <c r="Q406">
        <v>7</v>
      </c>
      <c r="R406" t="s">
        <v>413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I406" s="12"/>
    </row>
    <row r="407" spans="1:35" x14ac:dyDescent="0.25">
      <c r="A407">
        <v>4093</v>
      </c>
      <c r="B407" t="s">
        <v>993</v>
      </c>
      <c r="C407" s="19">
        <v>0</v>
      </c>
      <c r="D407" s="19">
        <v>0</v>
      </c>
      <c r="E407" s="19">
        <v>13550</v>
      </c>
      <c r="F407" s="19">
        <v>13550</v>
      </c>
      <c r="G407" s="19">
        <v>0</v>
      </c>
      <c r="H407" s="19">
        <v>0</v>
      </c>
      <c r="I407" s="19">
        <v>578</v>
      </c>
      <c r="J407" s="19">
        <v>578</v>
      </c>
      <c r="K407" s="19"/>
      <c r="L407" s="19">
        <v>0</v>
      </c>
      <c r="M407" s="19">
        <v>14128</v>
      </c>
      <c r="N407" s="19">
        <v>14128</v>
      </c>
      <c r="P407">
        <v>4077</v>
      </c>
      <c r="Q407">
        <v>7</v>
      </c>
      <c r="R407" t="s">
        <v>414</v>
      </c>
      <c r="S407" s="12">
        <v>0</v>
      </c>
      <c r="T407" s="12">
        <v>0</v>
      </c>
      <c r="U407" s="12">
        <v>98591</v>
      </c>
      <c r="V407" s="12">
        <v>98591</v>
      </c>
      <c r="W407" s="12">
        <v>0</v>
      </c>
      <c r="X407" s="12">
        <v>0</v>
      </c>
      <c r="Y407" s="12">
        <v>99085</v>
      </c>
      <c r="Z407" s="12">
        <v>99085</v>
      </c>
      <c r="AA407" s="12">
        <v>0</v>
      </c>
      <c r="AB407" s="12">
        <v>0</v>
      </c>
      <c r="AC407" s="12">
        <v>494</v>
      </c>
      <c r="AD407" s="12">
        <v>494</v>
      </c>
      <c r="AI407" s="12"/>
    </row>
    <row r="408" spans="1:35" x14ac:dyDescent="0.25">
      <c r="A408">
        <v>4095</v>
      </c>
      <c r="B408" t="s">
        <v>994</v>
      </c>
      <c r="C408" s="19">
        <v>0</v>
      </c>
      <c r="D408" s="19">
        <v>0</v>
      </c>
      <c r="E408" s="19">
        <v>0</v>
      </c>
      <c r="F408" s="19">
        <v>0</v>
      </c>
      <c r="G408" s="19">
        <v>0</v>
      </c>
      <c r="H408" s="19">
        <v>0</v>
      </c>
      <c r="I408" s="19">
        <v>0</v>
      </c>
      <c r="J408" s="19">
        <v>0</v>
      </c>
      <c r="K408" s="19"/>
      <c r="L408" s="19">
        <v>0</v>
      </c>
      <c r="M408" s="19">
        <v>0</v>
      </c>
      <c r="N408" s="19">
        <v>0</v>
      </c>
      <c r="P408">
        <v>4078</v>
      </c>
      <c r="Q408">
        <v>7</v>
      </c>
      <c r="R408" t="s">
        <v>415</v>
      </c>
      <c r="S408" s="12">
        <v>0</v>
      </c>
      <c r="T408" s="12">
        <v>0</v>
      </c>
      <c r="U408" s="12">
        <v>60390</v>
      </c>
      <c r="V408" s="12">
        <v>60390</v>
      </c>
      <c r="W408" s="12">
        <v>0</v>
      </c>
      <c r="X408" s="12">
        <v>0</v>
      </c>
      <c r="Y408" s="12">
        <v>60678</v>
      </c>
      <c r="Z408" s="12">
        <v>60678</v>
      </c>
      <c r="AA408" s="12">
        <v>0</v>
      </c>
      <c r="AB408" s="12">
        <v>0</v>
      </c>
      <c r="AC408" s="12">
        <v>288</v>
      </c>
      <c r="AD408" s="12">
        <v>288</v>
      </c>
      <c r="AI408" s="12"/>
    </row>
    <row r="409" spans="1:35" x14ac:dyDescent="0.25">
      <c r="A409">
        <v>4097</v>
      </c>
      <c r="B409" t="s">
        <v>995</v>
      </c>
      <c r="C409" s="19">
        <v>0</v>
      </c>
      <c r="D409" s="19">
        <v>0</v>
      </c>
      <c r="E409" s="19">
        <v>46861</v>
      </c>
      <c r="F409" s="19">
        <v>46861</v>
      </c>
      <c r="G409" s="19">
        <v>0</v>
      </c>
      <c r="H409" s="19">
        <v>0</v>
      </c>
      <c r="I409" s="19">
        <v>1649.5999999999985</v>
      </c>
      <c r="J409" s="19">
        <v>1649.5999999999985</v>
      </c>
      <c r="K409" s="19"/>
      <c r="L409" s="19">
        <v>0</v>
      </c>
      <c r="M409" s="19">
        <v>48510.6</v>
      </c>
      <c r="N409" s="19">
        <v>48510.6</v>
      </c>
      <c r="P409">
        <v>4079</v>
      </c>
      <c r="Q409">
        <v>7</v>
      </c>
      <c r="R409" t="s">
        <v>416</v>
      </c>
      <c r="S409" s="12">
        <v>0</v>
      </c>
      <c r="T409" s="12">
        <v>0</v>
      </c>
      <c r="U409" s="12">
        <v>17145</v>
      </c>
      <c r="V409" s="12">
        <v>17145</v>
      </c>
      <c r="W409" s="12">
        <v>0</v>
      </c>
      <c r="X409" s="12">
        <v>0</v>
      </c>
      <c r="Y409" s="12">
        <v>17221</v>
      </c>
      <c r="Z409" s="12">
        <v>17221</v>
      </c>
      <c r="AA409" s="12">
        <v>0</v>
      </c>
      <c r="AB409" s="12">
        <v>0</v>
      </c>
      <c r="AC409" s="12">
        <v>76</v>
      </c>
      <c r="AD409" s="12">
        <v>76</v>
      </c>
      <c r="AI409" s="12"/>
    </row>
    <row r="410" spans="1:35" x14ac:dyDescent="0.25">
      <c r="A410">
        <v>4098</v>
      </c>
      <c r="B410" t="s">
        <v>996</v>
      </c>
      <c r="C410" s="19">
        <v>0</v>
      </c>
      <c r="D410" s="19">
        <v>0</v>
      </c>
      <c r="E410" s="19">
        <v>40006</v>
      </c>
      <c r="F410" s="19">
        <v>40006</v>
      </c>
      <c r="G410" s="19">
        <v>0</v>
      </c>
      <c r="H410" s="19">
        <v>0</v>
      </c>
      <c r="I410" s="19">
        <v>1657.5999999999985</v>
      </c>
      <c r="J410" s="19">
        <v>1657.5999999999985</v>
      </c>
      <c r="K410" s="19"/>
      <c r="L410" s="19">
        <v>0</v>
      </c>
      <c r="M410" s="19">
        <v>41663.599999999999</v>
      </c>
      <c r="N410" s="19">
        <v>41663.599999999999</v>
      </c>
      <c r="P410">
        <v>4080</v>
      </c>
      <c r="Q410">
        <v>7</v>
      </c>
      <c r="R410" t="s">
        <v>417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I410" s="12"/>
    </row>
    <row r="411" spans="1:35" x14ac:dyDescent="0.25">
      <c r="A411">
        <v>4100</v>
      </c>
      <c r="B411" t="s">
        <v>997</v>
      </c>
      <c r="C411" s="19">
        <v>0</v>
      </c>
      <c r="D411" s="19">
        <v>0</v>
      </c>
      <c r="E411" s="19">
        <v>0</v>
      </c>
      <c r="F411" s="19">
        <v>0</v>
      </c>
      <c r="G411" s="19">
        <v>0</v>
      </c>
      <c r="H411" s="19">
        <v>0</v>
      </c>
      <c r="I411" s="19">
        <v>0</v>
      </c>
      <c r="J411" s="19">
        <v>0</v>
      </c>
      <c r="K411" s="19"/>
      <c r="L411" s="19">
        <v>0</v>
      </c>
      <c r="M411" s="19">
        <v>0</v>
      </c>
      <c r="N411" s="19">
        <v>0</v>
      </c>
      <c r="P411">
        <v>4081</v>
      </c>
      <c r="Q411">
        <v>7</v>
      </c>
      <c r="R411" t="s">
        <v>418</v>
      </c>
      <c r="S411" s="12">
        <v>0</v>
      </c>
      <c r="T411" s="12">
        <v>0</v>
      </c>
      <c r="U411" s="12">
        <v>3496</v>
      </c>
      <c r="V411" s="12">
        <v>3496</v>
      </c>
      <c r="W411" s="12">
        <v>0</v>
      </c>
      <c r="X411" s="12">
        <v>0</v>
      </c>
      <c r="Y411" s="12">
        <v>3644.4</v>
      </c>
      <c r="Z411" s="12">
        <v>3644.4</v>
      </c>
      <c r="AA411" s="12">
        <v>0</v>
      </c>
      <c r="AB411" s="12">
        <v>0</v>
      </c>
      <c r="AC411" s="12">
        <v>148.40000000000009</v>
      </c>
      <c r="AD411" s="12">
        <v>148.40000000000009</v>
      </c>
      <c r="AI411" s="12"/>
    </row>
    <row r="412" spans="1:35" x14ac:dyDescent="0.25">
      <c r="A412">
        <v>4102</v>
      </c>
      <c r="B412" t="s">
        <v>998</v>
      </c>
      <c r="C412" s="19">
        <v>0</v>
      </c>
      <c r="D412" s="19">
        <v>0</v>
      </c>
      <c r="E412" s="19">
        <v>14253</v>
      </c>
      <c r="F412" s="19">
        <v>14253</v>
      </c>
      <c r="G412" s="19">
        <v>0</v>
      </c>
      <c r="H412" s="19">
        <v>0</v>
      </c>
      <c r="I412" s="19">
        <v>151.20000000000073</v>
      </c>
      <c r="J412" s="19">
        <v>151.20000000000073</v>
      </c>
      <c r="K412" s="19"/>
      <c r="L412" s="19">
        <v>0</v>
      </c>
      <c r="M412" s="19">
        <v>14404.2</v>
      </c>
      <c r="N412" s="19">
        <v>14404.2</v>
      </c>
      <c r="P412">
        <v>4082</v>
      </c>
      <c r="Q412">
        <v>7</v>
      </c>
      <c r="R412" t="s">
        <v>419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I412" s="12"/>
    </row>
    <row r="413" spans="1:35" x14ac:dyDescent="0.25">
      <c r="A413">
        <v>4103</v>
      </c>
      <c r="B413" t="s">
        <v>999</v>
      </c>
      <c r="C413" s="19">
        <v>0</v>
      </c>
      <c r="D413" s="19">
        <v>0</v>
      </c>
      <c r="E413" s="19">
        <v>154541</v>
      </c>
      <c r="F413" s="19">
        <v>154541</v>
      </c>
      <c r="G413" s="19">
        <v>0</v>
      </c>
      <c r="H413" s="19">
        <v>0</v>
      </c>
      <c r="I413" s="19">
        <v>4567.2000000000116</v>
      </c>
      <c r="J413" s="19">
        <v>4567.2000000000116</v>
      </c>
      <c r="K413" s="19"/>
      <c r="L413" s="19">
        <v>0</v>
      </c>
      <c r="M413" s="19">
        <v>159108.20000000001</v>
      </c>
      <c r="N413" s="19">
        <v>159108.20000000001</v>
      </c>
      <c r="P413">
        <v>4083</v>
      </c>
      <c r="Q413">
        <v>7</v>
      </c>
      <c r="R413" t="s">
        <v>420</v>
      </c>
      <c r="S413" s="12">
        <v>0</v>
      </c>
      <c r="T413" s="12">
        <v>0</v>
      </c>
      <c r="U413" s="12">
        <v>10097</v>
      </c>
      <c r="V413" s="12">
        <v>10097</v>
      </c>
      <c r="W413" s="12">
        <v>0</v>
      </c>
      <c r="X413" s="12">
        <v>0</v>
      </c>
      <c r="Y413" s="12">
        <v>10768.6</v>
      </c>
      <c r="Z413" s="12">
        <v>10768.6</v>
      </c>
      <c r="AA413" s="12">
        <v>0</v>
      </c>
      <c r="AB413" s="12">
        <v>0</v>
      </c>
      <c r="AC413" s="12">
        <v>671.60000000000036</v>
      </c>
      <c r="AD413" s="12">
        <v>671.60000000000036</v>
      </c>
      <c r="AI413" s="12"/>
    </row>
    <row r="414" spans="1:35" x14ac:dyDescent="0.25">
      <c r="A414">
        <v>4104</v>
      </c>
      <c r="B414" t="s">
        <v>1000</v>
      </c>
      <c r="C414" s="19">
        <v>0</v>
      </c>
      <c r="D414" s="19">
        <v>0</v>
      </c>
      <c r="E414" s="19">
        <v>6939</v>
      </c>
      <c r="F414" s="19">
        <v>6939</v>
      </c>
      <c r="G414" s="19">
        <v>0</v>
      </c>
      <c r="H414" s="19">
        <v>0</v>
      </c>
      <c r="I414" s="19">
        <v>349.19999999999982</v>
      </c>
      <c r="J414" s="19">
        <v>349.19999999999982</v>
      </c>
      <c r="K414" s="19"/>
      <c r="L414" s="19">
        <v>0</v>
      </c>
      <c r="M414" s="19">
        <v>7288.2</v>
      </c>
      <c r="N414" s="19">
        <v>7288.2</v>
      </c>
      <c r="P414">
        <v>4084</v>
      </c>
      <c r="Q414">
        <v>7</v>
      </c>
      <c r="R414" t="s">
        <v>421</v>
      </c>
      <c r="S414" s="12">
        <v>0</v>
      </c>
      <c r="T414" s="12">
        <v>0</v>
      </c>
      <c r="U414" s="12">
        <v>33475</v>
      </c>
      <c r="V414" s="12">
        <v>33475</v>
      </c>
      <c r="W414" s="12">
        <v>0</v>
      </c>
      <c r="X414" s="12">
        <v>0</v>
      </c>
      <c r="Y414" s="12">
        <v>35857.800000000003</v>
      </c>
      <c r="Z414" s="12">
        <v>35857.800000000003</v>
      </c>
      <c r="AA414" s="12">
        <v>0</v>
      </c>
      <c r="AB414" s="12">
        <v>0</v>
      </c>
      <c r="AC414" s="12">
        <v>2382.8000000000029</v>
      </c>
      <c r="AD414" s="12">
        <v>2382.8000000000029</v>
      </c>
      <c r="AI414" s="12"/>
    </row>
    <row r="415" spans="1:35" x14ac:dyDescent="0.25">
      <c r="A415">
        <v>4105</v>
      </c>
      <c r="B415" t="s">
        <v>1001</v>
      </c>
      <c r="C415" s="19">
        <v>0</v>
      </c>
      <c r="D415" s="19">
        <v>0</v>
      </c>
      <c r="E415" s="19">
        <v>5917</v>
      </c>
      <c r="F415" s="19">
        <v>5917</v>
      </c>
      <c r="G415" s="19">
        <v>0</v>
      </c>
      <c r="H415" s="19">
        <v>0</v>
      </c>
      <c r="I415" s="19">
        <v>255.60000000000036</v>
      </c>
      <c r="J415" s="19">
        <v>255.60000000000036</v>
      </c>
      <c r="K415" s="19"/>
      <c r="L415" s="19">
        <v>0</v>
      </c>
      <c r="M415" s="19">
        <v>6172.6</v>
      </c>
      <c r="N415" s="19">
        <v>6172.6</v>
      </c>
      <c r="P415">
        <v>4085</v>
      </c>
      <c r="Q415">
        <v>7</v>
      </c>
      <c r="R415" t="s">
        <v>422</v>
      </c>
      <c r="S415" s="12">
        <v>0</v>
      </c>
      <c r="T415" s="12">
        <v>0</v>
      </c>
      <c r="U415" s="12">
        <v>9152</v>
      </c>
      <c r="V415" s="12">
        <v>9152</v>
      </c>
      <c r="W415" s="12">
        <v>0</v>
      </c>
      <c r="X415" s="12">
        <v>0</v>
      </c>
      <c r="Y415" s="12">
        <v>9807.2000000000007</v>
      </c>
      <c r="Z415" s="12">
        <v>9807.2000000000007</v>
      </c>
      <c r="AA415" s="12">
        <v>0</v>
      </c>
      <c r="AB415" s="12">
        <v>0</v>
      </c>
      <c r="AC415" s="12">
        <v>655.20000000000073</v>
      </c>
      <c r="AD415" s="12">
        <v>655.20000000000073</v>
      </c>
      <c r="AI415" s="12"/>
    </row>
    <row r="416" spans="1:35" x14ac:dyDescent="0.25">
      <c r="A416">
        <v>4106</v>
      </c>
      <c r="B416" t="s">
        <v>1002</v>
      </c>
      <c r="C416" s="19">
        <v>0</v>
      </c>
      <c r="D416" s="19">
        <v>0</v>
      </c>
      <c r="E416" s="19">
        <v>11895</v>
      </c>
      <c r="F416" s="19">
        <v>11895</v>
      </c>
      <c r="G416" s="19">
        <v>0</v>
      </c>
      <c r="H416" s="19">
        <v>0</v>
      </c>
      <c r="I416" s="19">
        <v>1022.3999999999996</v>
      </c>
      <c r="J416" s="19">
        <v>1022.3999999999996</v>
      </c>
      <c r="K416" s="19"/>
      <c r="L416" s="19">
        <v>0</v>
      </c>
      <c r="M416" s="19">
        <v>12917.4</v>
      </c>
      <c r="N416" s="19">
        <v>12917.4</v>
      </c>
      <c r="P416">
        <v>4086</v>
      </c>
      <c r="Q416">
        <v>7</v>
      </c>
      <c r="R416" t="s">
        <v>423</v>
      </c>
      <c r="S416" s="12">
        <v>0</v>
      </c>
      <c r="T416" s="12">
        <v>0</v>
      </c>
      <c r="U416" s="12">
        <v>41515</v>
      </c>
      <c r="V416" s="12">
        <v>41515</v>
      </c>
      <c r="W416" s="12">
        <v>0</v>
      </c>
      <c r="X416" s="12">
        <v>0</v>
      </c>
      <c r="Y416" s="12">
        <v>42845.8</v>
      </c>
      <c r="Z416" s="12">
        <v>42845.8</v>
      </c>
      <c r="AA416" s="12">
        <v>0</v>
      </c>
      <c r="AB416" s="12">
        <v>0</v>
      </c>
      <c r="AC416" s="12">
        <v>1330.8000000000029</v>
      </c>
      <c r="AD416" s="12">
        <v>1330.8000000000029</v>
      </c>
      <c r="AI416" s="12"/>
    </row>
    <row r="417" spans="1:35" x14ac:dyDescent="0.25">
      <c r="A417">
        <v>4107</v>
      </c>
      <c r="B417" t="s">
        <v>1003</v>
      </c>
      <c r="C417" s="19">
        <v>0</v>
      </c>
      <c r="D417" s="19">
        <v>0</v>
      </c>
      <c r="E417" s="19">
        <v>8971</v>
      </c>
      <c r="F417" s="19">
        <v>8971</v>
      </c>
      <c r="G417" s="19">
        <v>0</v>
      </c>
      <c r="H417" s="19">
        <v>0</v>
      </c>
      <c r="I417" s="19">
        <v>360</v>
      </c>
      <c r="J417" s="19">
        <v>360</v>
      </c>
      <c r="K417" s="19"/>
      <c r="L417" s="19">
        <v>0</v>
      </c>
      <c r="M417" s="19">
        <v>9331</v>
      </c>
      <c r="N417" s="19">
        <v>9331</v>
      </c>
      <c r="P417">
        <v>4087</v>
      </c>
      <c r="Q417">
        <v>7</v>
      </c>
      <c r="R417" t="s">
        <v>424</v>
      </c>
      <c r="S417" s="12">
        <v>0</v>
      </c>
      <c r="T417" s="12">
        <v>0</v>
      </c>
      <c r="U417" s="12">
        <v>6802</v>
      </c>
      <c r="V417" s="12">
        <v>6802</v>
      </c>
      <c r="W417" s="12">
        <v>0</v>
      </c>
      <c r="X417" s="12">
        <v>0</v>
      </c>
      <c r="Y417" s="12">
        <v>7264.8</v>
      </c>
      <c r="Z417" s="12">
        <v>7264.8</v>
      </c>
      <c r="AA417" s="12">
        <v>0</v>
      </c>
      <c r="AB417" s="12">
        <v>0</v>
      </c>
      <c r="AC417" s="12">
        <v>462.80000000000018</v>
      </c>
      <c r="AD417" s="12">
        <v>462.80000000000018</v>
      </c>
      <c r="AI417" s="12"/>
    </row>
    <row r="418" spans="1:35" x14ac:dyDescent="0.25">
      <c r="A418">
        <v>4108</v>
      </c>
      <c r="B418" t="s">
        <v>1004</v>
      </c>
      <c r="C418" s="19">
        <v>0</v>
      </c>
      <c r="D418" s="19">
        <v>0</v>
      </c>
      <c r="E418" s="19">
        <v>0</v>
      </c>
      <c r="F418" s="19">
        <v>0</v>
      </c>
      <c r="G418" s="19">
        <v>0</v>
      </c>
      <c r="H418" s="19">
        <v>0</v>
      </c>
      <c r="I418" s="19">
        <v>0</v>
      </c>
      <c r="J418" s="19">
        <v>0</v>
      </c>
      <c r="K418" s="19"/>
      <c r="L418" s="19">
        <v>0</v>
      </c>
      <c r="M418" s="19">
        <v>0</v>
      </c>
      <c r="N418" s="19">
        <v>0</v>
      </c>
      <c r="P418">
        <v>4088</v>
      </c>
      <c r="Q418">
        <v>7</v>
      </c>
      <c r="R418" t="s">
        <v>425</v>
      </c>
      <c r="S418" s="12">
        <v>0</v>
      </c>
      <c r="T418" s="12">
        <v>0</v>
      </c>
      <c r="U418" s="12">
        <v>42430</v>
      </c>
      <c r="V418" s="12">
        <v>42430</v>
      </c>
      <c r="W418" s="12">
        <v>0</v>
      </c>
      <c r="X418" s="12">
        <v>0</v>
      </c>
      <c r="Y418" s="12">
        <v>42805.599999999999</v>
      </c>
      <c r="Z418" s="12">
        <v>42805.599999999999</v>
      </c>
      <c r="AA418" s="12">
        <v>0</v>
      </c>
      <c r="AB418" s="12">
        <v>0</v>
      </c>
      <c r="AC418" s="12">
        <v>375.59999999999854</v>
      </c>
      <c r="AD418" s="12">
        <v>375.59999999999854</v>
      </c>
      <c r="AI418" s="12"/>
    </row>
    <row r="419" spans="1:35" x14ac:dyDescent="0.25">
      <c r="A419">
        <v>4109</v>
      </c>
      <c r="B419" t="s">
        <v>1005</v>
      </c>
      <c r="C419" s="19">
        <v>0</v>
      </c>
      <c r="D419" s="19">
        <v>0</v>
      </c>
      <c r="E419" s="19">
        <v>0</v>
      </c>
      <c r="F419" s="19">
        <v>0</v>
      </c>
      <c r="G419" s="19">
        <v>0</v>
      </c>
      <c r="H419" s="19">
        <v>0</v>
      </c>
      <c r="I419" s="19">
        <v>0</v>
      </c>
      <c r="J419" s="19">
        <v>0</v>
      </c>
      <c r="K419" s="19"/>
      <c r="L419" s="19">
        <v>0</v>
      </c>
      <c r="M419" s="19">
        <v>0</v>
      </c>
      <c r="N419" s="19">
        <v>0</v>
      </c>
      <c r="P419">
        <v>4089</v>
      </c>
      <c r="Q419">
        <v>7</v>
      </c>
      <c r="R419" t="s">
        <v>426</v>
      </c>
      <c r="S419" s="12">
        <v>0</v>
      </c>
      <c r="T419" s="12">
        <v>0</v>
      </c>
      <c r="U419" s="12">
        <v>13083</v>
      </c>
      <c r="V419" s="12">
        <v>13083</v>
      </c>
      <c r="W419" s="12">
        <v>0</v>
      </c>
      <c r="X419" s="12">
        <v>0</v>
      </c>
      <c r="Y419" s="12">
        <v>13487.8</v>
      </c>
      <c r="Z419" s="12">
        <v>13487.8</v>
      </c>
      <c r="AA419" s="12">
        <v>0</v>
      </c>
      <c r="AB419" s="12">
        <v>0</v>
      </c>
      <c r="AC419" s="12">
        <v>404.79999999999927</v>
      </c>
      <c r="AD419" s="12">
        <v>404.79999999999927</v>
      </c>
      <c r="AI419" s="12"/>
    </row>
    <row r="420" spans="1:35" x14ac:dyDescent="0.25">
      <c r="A420">
        <v>4110</v>
      </c>
      <c r="B420" t="s">
        <v>1006</v>
      </c>
      <c r="C420" s="19">
        <v>0</v>
      </c>
      <c r="D420" s="19">
        <v>0</v>
      </c>
      <c r="E420" s="19">
        <v>0</v>
      </c>
      <c r="F420" s="19">
        <v>0</v>
      </c>
      <c r="G420" s="19">
        <v>0</v>
      </c>
      <c r="H420" s="19">
        <v>0</v>
      </c>
      <c r="I420" s="19">
        <v>0</v>
      </c>
      <c r="J420" s="19">
        <v>0</v>
      </c>
      <c r="K420" s="19"/>
      <c r="L420" s="19">
        <v>0</v>
      </c>
      <c r="M420" s="19">
        <v>0</v>
      </c>
      <c r="N420" s="19">
        <v>0</v>
      </c>
      <c r="P420">
        <v>4090</v>
      </c>
      <c r="Q420">
        <v>7</v>
      </c>
      <c r="R420" t="s">
        <v>427</v>
      </c>
      <c r="S420" s="12">
        <v>0</v>
      </c>
      <c r="T420" s="12">
        <v>0</v>
      </c>
      <c r="U420" s="12">
        <v>11960</v>
      </c>
      <c r="V420" s="12">
        <v>11960</v>
      </c>
      <c r="W420" s="12">
        <v>0</v>
      </c>
      <c r="X420" s="12">
        <v>0</v>
      </c>
      <c r="Y420" s="12">
        <v>12470.4</v>
      </c>
      <c r="Z420" s="12">
        <v>12470.4</v>
      </c>
      <c r="AA420" s="12">
        <v>0</v>
      </c>
      <c r="AB420" s="12">
        <v>0</v>
      </c>
      <c r="AC420" s="12">
        <v>510.39999999999964</v>
      </c>
      <c r="AD420" s="12">
        <v>510.39999999999964</v>
      </c>
      <c r="AI420" s="12"/>
    </row>
    <row r="421" spans="1:35" x14ac:dyDescent="0.25">
      <c r="A421">
        <v>4111</v>
      </c>
      <c r="B421" t="s">
        <v>1007</v>
      </c>
      <c r="C421" s="19">
        <v>0</v>
      </c>
      <c r="D421" s="19">
        <v>0</v>
      </c>
      <c r="E421" s="19">
        <v>4866</v>
      </c>
      <c r="F421" s="19">
        <v>4866</v>
      </c>
      <c r="G421" s="19">
        <v>0</v>
      </c>
      <c r="H421" s="19">
        <v>0</v>
      </c>
      <c r="I421" s="19">
        <v>12</v>
      </c>
      <c r="J421" s="19">
        <v>12</v>
      </c>
      <c r="K421" s="19"/>
      <c r="L421" s="19">
        <v>0</v>
      </c>
      <c r="M421" s="19">
        <v>4878</v>
      </c>
      <c r="N421" s="19">
        <v>4878</v>
      </c>
      <c r="P421">
        <v>4091</v>
      </c>
      <c r="Q421">
        <v>7</v>
      </c>
      <c r="R421" t="s">
        <v>428</v>
      </c>
      <c r="S421" s="12">
        <v>0</v>
      </c>
      <c r="T421" s="12">
        <v>0</v>
      </c>
      <c r="U421" s="12">
        <v>5431</v>
      </c>
      <c r="V421" s="12">
        <v>5431</v>
      </c>
      <c r="W421" s="12">
        <v>0</v>
      </c>
      <c r="X421" s="12">
        <v>0</v>
      </c>
      <c r="Y421" s="12">
        <v>5706.2</v>
      </c>
      <c r="Z421" s="12">
        <v>5706.2</v>
      </c>
      <c r="AA421" s="12">
        <v>0</v>
      </c>
      <c r="AB421" s="12">
        <v>0</v>
      </c>
      <c r="AC421" s="12">
        <v>275.19999999999982</v>
      </c>
      <c r="AD421" s="12">
        <v>275.19999999999982</v>
      </c>
      <c r="AI421" s="12"/>
    </row>
    <row r="422" spans="1:35" x14ac:dyDescent="0.25">
      <c r="A422">
        <v>4112</v>
      </c>
      <c r="B422" t="s">
        <v>1008</v>
      </c>
      <c r="C422" s="19">
        <v>0</v>
      </c>
      <c r="D422" s="19">
        <v>0</v>
      </c>
      <c r="E422" s="19">
        <v>0</v>
      </c>
      <c r="F422" s="19">
        <v>0</v>
      </c>
      <c r="G422" s="19">
        <v>0</v>
      </c>
      <c r="H422" s="19">
        <v>0</v>
      </c>
      <c r="I422" s="19">
        <v>0</v>
      </c>
      <c r="J422" s="19">
        <v>0</v>
      </c>
      <c r="K422" s="19"/>
      <c r="L422" s="19">
        <v>0</v>
      </c>
      <c r="M422" s="19">
        <v>0</v>
      </c>
      <c r="N422" s="19">
        <v>0</v>
      </c>
      <c r="P422">
        <v>4092</v>
      </c>
      <c r="Q422">
        <v>7</v>
      </c>
      <c r="R422" t="s">
        <v>429</v>
      </c>
      <c r="S422" s="12">
        <v>0</v>
      </c>
      <c r="T422" s="12">
        <v>0</v>
      </c>
      <c r="U422" s="12">
        <v>4406</v>
      </c>
      <c r="V422" s="12">
        <v>4406</v>
      </c>
      <c r="W422" s="12">
        <v>0</v>
      </c>
      <c r="X422" s="12">
        <v>0</v>
      </c>
      <c r="Y422" s="12">
        <v>4410.3999999999996</v>
      </c>
      <c r="Z422" s="12">
        <v>4410.3999999999996</v>
      </c>
      <c r="AA422" s="12">
        <v>0</v>
      </c>
      <c r="AB422" s="12">
        <v>0</v>
      </c>
      <c r="AC422" s="12">
        <v>4.3999999999996362</v>
      </c>
      <c r="AD422" s="12">
        <v>4.3999999999996362</v>
      </c>
      <c r="AI422" s="12"/>
    </row>
    <row r="423" spans="1:35" x14ac:dyDescent="0.25">
      <c r="A423">
        <v>4113</v>
      </c>
      <c r="B423" t="s">
        <v>1009</v>
      </c>
      <c r="C423" s="19">
        <v>0</v>
      </c>
      <c r="D423" s="19">
        <v>0</v>
      </c>
      <c r="E423" s="19">
        <v>0</v>
      </c>
      <c r="F423" s="19">
        <v>0</v>
      </c>
      <c r="G423" s="19">
        <v>0</v>
      </c>
      <c r="H423" s="19">
        <v>0</v>
      </c>
      <c r="I423" s="19">
        <v>0</v>
      </c>
      <c r="J423" s="19">
        <v>0</v>
      </c>
      <c r="K423" s="19"/>
      <c r="L423" s="19">
        <v>0</v>
      </c>
      <c r="M423" s="19">
        <v>0</v>
      </c>
      <c r="N423" s="19">
        <v>0</v>
      </c>
      <c r="P423">
        <v>4093</v>
      </c>
      <c r="Q423">
        <v>7</v>
      </c>
      <c r="R423" t="s">
        <v>430</v>
      </c>
      <c r="S423" s="12">
        <v>0</v>
      </c>
      <c r="T423" s="12">
        <v>0</v>
      </c>
      <c r="U423" s="12">
        <v>13550</v>
      </c>
      <c r="V423" s="12">
        <v>13550</v>
      </c>
      <c r="W423" s="12">
        <v>0</v>
      </c>
      <c r="X423" s="12">
        <v>0</v>
      </c>
      <c r="Y423" s="12">
        <v>14128</v>
      </c>
      <c r="Z423" s="12">
        <v>14128</v>
      </c>
      <c r="AA423" s="12">
        <v>0</v>
      </c>
      <c r="AB423" s="12">
        <v>0</v>
      </c>
      <c r="AC423" s="12">
        <v>578</v>
      </c>
      <c r="AD423" s="12">
        <v>578</v>
      </c>
      <c r="AI423" s="12"/>
    </row>
    <row r="424" spans="1:35" x14ac:dyDescent="0.25">
      <c r="A424">
        <v>4115</v>
      </c>
      <c r="B424" t="s">
        <v>1010</v>
      </c>
      <c r="C424" s="19">
        <v>0</v>
      </c>
      <c r="D424" s="19">
        <v>0</v>
      </c>
      <c r="E424" s="19">
        <v>21738</v>
      </c>
      <c r="F424" s="19">
        <v>21738</v>
      </c>
      <c r="G424" s="19">
        <v>0</v>
      </c>
      <c r="H424" s="19">
        <v>0</v>
      </c>
      <c r="I424" s="19">
        <v>812.40000000000146</v>
      </c>
      <c r="J424" s="19">
        <v>812.40000000000146</v>
      </c>
      <c r="K424" s="19"/>
      <c r="L424" s="19">
        <v>0</v>
      </c>
      <c r="M424" s="19">
        <v>22550.400000000001</v>
      </c>
      <c r="N424" s="19">
        <v>22550.400000000001</v>
      </c>
      <c r="P424">
        <v>4095</v>
      </c>
      <c r="Q424">
        <v>7</v>
      </c>
      <c r="R424" t="s">
        <v>431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I424" s="12"/>
    </row>
    <row r="425" spans="1:35" x14ac:dyDescent="0.25">
      <c r="A425">
        <v>4116</v>
      </c>
      <c r="B425" t="s">
        <v>1011</v>
      </c>
      <c r="C425" s="19">
        <v>0</v>
      </c>
      <c r="D425" s="19">
        <v>0</v>
      </c>
      <c r="E425" s="19">
        <v>0</v>
      </c>
      <c r="F425" s="19">
        <v>0</v>
      </c>
      <c r="G425" s="19">
        <v>0</v>
      </c>
      <c r="H425" s="19">
        <v>0</v>
      </c>
      <c r="I425" s="19">
        <v>0</v>
      </c>
      <c r="J425" s="19">
        <v>0</v>
      </c>
      <c r="K425" s="19"/>
      <c r="L425" s="19">
        <v>0</v>
      </c>
      <c r="M425" s="19">
        <v>0</v>
      </c>
      <c r="N425" s="19">
        <v>0</v>
      </c>
      <c r="P425">
        <v>4096</v>
      </c>
      <c r="Q425">
        <v>7</v>
      </c>
      <c r="R425" t="s">
        <v>432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  <c r="X425" s="12">
        <v>0</v>
      </c>
      <c r="Y425" s="12">
        <v>0</v>
      </c>
      <c r="Z425" s="12">
        <v>0</v>
      </c>
      <c r="AA425" s="12">
        <v>0</v>
      </c>
      <c r="AB425" s="12">
        <v>0</v>
      </c>
      <c r="AC425" s="12">
        <v>0</v>
      </c>
      <c r="AD425" s="12">
        <v>0</v>
      </c>
      <c r="AI425" s="12"/>
    </row>
    <row r="426" spans="1:35" x14ac:dyDescent="0.25">
      <c r="A426">
        <v>4118</v>
      </c>
      <c r="B426" t="s">
        <v>1012</v>
      </c>
      <c r="C426" s="19">
        <v>0</v>
      </c>
      <c r="D426" s="19">
        <v>0</v>
      </c>
      <c r="E426" s="19">
        <v>25714</v>
      </c>
      <c r="F426" s="19">
        <v>25714</v>
      </c>
      <c r="G426" s="19">
        <v>0</v>
      </c>
      <c r="H426" s="19">
        <v>0</v>
      </c>
      <c r="I426" s="19">
        <v>1520.4000000000015</v>
      </c>
      <c r="J426" s="19">
        <v>1520.4000000000015</v>
      </c>
      <c r="K426" s="19"/>
      <c r="L426" s="19">
        <v>0</v>
      </c>
      <c r="M426" s="19">
        <v>27234.400000000001</v>
      </c>
      <c r="N426" s="19">
        <v>27234.400000000001</v>
      </c>
      <c r="P426">
        <v>4097</v>
      </c>
      <c r="Q426">
        <v>7</v>
      </c>
      <c r="R426" t="s">
        <v>433</v>
      </c>
      <c r="S426" s="12">
        <v>0</v>
      </c>
      <c r="T426" s="12">
        <v>0</v>
      </c>
      <c r="U426" s="12">
        <v>46861</v>
      </c>
      <c r="V426" s="12">
        <v>46861</v>
      </c>
      <c r="W426" s="12">
        <v>0</v>
      </c>
      <c r="X426" s="12">
        <v>0</v>
      </c>
      <c r="Y426" s="12">
        <v>48510.6</v>
      </c>
      <c r="Z426" s="12">
        <v>48510.6</v>
      </c>
      <c r="AA426" s="12">
        <v>0</v>
      </c>
      <c r="AB426" s="12">
        <v>0</v>
      </c>
      <c r="AC426" s="12">
        <v>1649.5999999999985</v>
      </c>
      <c r="AD426" s="12">
        <v>1649.5999999999985</v>
      </c>
      <c r="AI426" s="12"/>
    </row>
    <row r="427" spans="1:35" x14ac:dyDescent="0.25">
      <c r="A427">
        <v>4119</v>
      </c>
      <c r="B427" t="s">
        <v>1013</v>
      </c>
      <c r="C427" s="19">
        <v>0</v>
      </c>
      <c r="D427" s="19">
        <v>0</v>
      </c>
      <c r="E427" s="19">
        <v>0</v>
      </c>
      <c r="F427" s="19">
        <v>0</v>
      </c>
      <c r="G427" s="19">
        <v>0</v>
      </c>
      <c r="H427" s="19">
        <v>0</v>
      </c>
      <c r="I427" s="19">
        <v>0</v>
      </c>
      <c r="J427" s="19">
        <v>0</v>
      </c>
      <c r="K427" s="19"/>
      <c r="L427" s="19">
        <v>0</v>
      </c>
      <c r="M427" s="19">
        <v>0</v>
      </c>
      <c r="N427" s="19">
        <v>0</v>
      </c>
      <c r="P427">
        <v>4098</v>
      </c>
      <c r="Q427">
        <v>7</v>
      </c>
      <c r="R427" t="s">
        <v>434</v>
      </c>
      <c r="S427" s="12">
        <v>0</v>
      </c>
      <c r="T427" s="12">
        <v>0</v>
      </c>
      <c r="U427" s="12">
        <v>40006</v>
      </c>
      <c r="V427" s="12">
        <v>40006</v>
      </c>
      <c r="W427" s="12">
        <v>0</v>
      </c>
      <c r="X427" s="12">
        <v>0</v>
      </c>
      <c r="Y427" s="12">
        <v>41663.599999999999</v>
      </c>
      <c r="Z427" s="12">
        <v>41663.599999999999</v>
      </c>
      <c r="AA427" s="12">
        <v>0</v>
      </c>
      <c r="AB427" s="12">
        <v>0</v>
      </c>
      <c r="AC427" s="12">
        <v>1657.5999999999985</v>
      </c>
      <c r="AD427" s="12">
        <v>1657.5999999999985</v>
      </c>
      <c r="AI427" s="12"/>
    </row>
    <row r="428" spans="1:35" x14ac:dyDescent="0.25">
      <c r="A428">
        <v>4120</v>
      </c>
      <c r="B428" t="s">
        <v>1014</v>
      </c>
      <c r="C428" s="19">
        <v>0</v>
      </c>
      <c r="D428" s="19">
        <v>0</v>
      </c>
      <c r="E428" s="19">
        <v>46631</v>
      </c>
      <c r="F428" s="19">
        <v>46631</v>
      </c>
      <c r="G428" s="19">
        <v>0</v>
      </c>
      <c r="H428" s="19">
        <v>0</v>
      </c>
      <c r="I428" s="19">
        <v>2018.8000000000029</v>
      </c>
      <c r="J428" s="19">
        <v>2018.8000000000029</v>
      </c>
      <c r="K428" s="19"/>
      <c r="L428" s="19">
        <v>0</v>
      </c>
      <c r="M428" s="19">
        <v>48649.8</v>
      </c>
      <c r="N428" s="19">
        <v>48649.8</v>
      </c>
      <c r="P428">
        <v>4099</v>
      </c>
      <c r="Q428">
        <v>7</v>
      </c>
      <c r="R428" t="s">
        <v>435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I428" s="12"/>
    </row>
    <row r="429" spans="1:35" x14ac:dyDescent="0.25">
      <c r="A429">
        <v>4121</v>
      </c>
      <c r="B429" t="s">
        <v>1015</v>
      </c>
      <c r="C429" s="19">
        <v>0</v>
      </c>
      <c r="D429" s="19">
        <v>0</v>
      </c>
      <c r="E429" s="19">
        <v>53026</v>
      </c>
      <c r="F429" s="19">
        <v>53026</v>
      </c>
      <c r="G429" s="19">
        <v>0</v>
      </c>
      <c r="H429" s="19">
        <v>0</v>
      </c>
      <c r="I429" s="19">
        <v>214</v>
      </c>
      <c r="J429" s="19">
        <v>214</v>
      </c>
      <c r="K429" s="19"/>
      <c r="L429" s="19">
        <v>0</v>
      </c>
      <c r="M429" s="19">
        <v>53240</v>
      </c>
      <c r="N429" s="19">
        <v>53240</v>
      </c>
      <c r="P429">
        <v>4100</v>
      </c>
      <c r="Q429">
        <v>7</v>
      </c>
      <c r="R429" t="s">
        <v>436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0</v>
      </c>
      <c r="Z429" s="12">
        <v>0</v>
      </c>
      <c r="AA429" s="12">
        <v>0</v>
      </c>
      <c r="AB429" s="12">
        <v>0</v>
      </c>
      <c r="AC429" s="12">
        <v>0</v>
      </c>
      <c r="AD429" s="12">
        <v>0</v>
      </c>
      <c r="AI429" s="12"/>
    </row>
    <row r="430" spans="1:35" x14ac:dyDescent="0.25">
      <c r="A430">
        <v>4122</v>
      </c>
      <c r="B430" t="s">
        <v>1016</v>
      </c>
      <c r="C430" s="19">
        <v>0</v>
      </c>
      <c r="D430" s="19">
        <v>0</v>
      </c>
      <c r="E430" s="19">
        <v>40138</v>
      </c>
      <c r="F430" s="19">
        <v>40138</v>
      </c>
      <c r="G430" s="19">
        <v>0</v>
      </c>
      <c r="H430" s="19">
        <v>0</v>
      </c>
      <c r="I430" s="19">
        <v>2076</v>
      </c>
      <c r="J430" s="19">
        <v>2076</v>
      </c>
      <c r="K430" s="19"/>
      <c r="L430" s="19">
        <v>0</v>
      </c>
      <c r="M430" s="19">
        <v>42214</v>
      </c>
      <c r="N430" s="19">
        <v>42214</v>
      </c>
      <c r="P430">
        <v>4101</v>
      </c>
      <c r="Q430">
        <v>7</v>
      </c>
      <c r="R430" t="s">
        <v>437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I430" s="12"/>
    </row>
    <row r="431" spans="1:35" x14ac:dyDescent="0.25">
      <c r="A431">
        <v>4123</v>
      </c>
      <c r="B431" t="s">
        <v>1017</v>
      </c>
      <c r="C431" s="19">
        <v>0</v>
      </c>
      <c r="D431" s="19">
        <v>0</v>
      </c>
      <c r="E431" s="19">
        <v>4615</v>
      </c>
      <c r="F431" s="19">
        <v>4615</v>
      </c>
      <c r="G431" s="19">
        <v>0</v>
      </c>
      <c r="H431" s="19">
        <v>0</v>
      </c>
      <c r="I431" s="19">
        <v>343.60000000000036</v>
      </c>
      <c r="J431" s="19">
        <v>343.60000000000036</v>
      </c>
      <c r="K431" s="19"/>
      <c r="L431" s="19">
        <v>0</v>
      </c>
      <c r="M431" s="19">
        <v>4958.6000000000004</v>
      </c>
      <c r="N431" s="19">
        <v>4958.6000000000004</v>
      </c>
      <c r="P431">
        <v>4102</v>
      </c>
      <c r="Q431">
        <v>7</v>
      </c>
      <c r="R431" t="s">
        <v>438</v>
      </c>
      <c r="S431" s="12">
        <v>0</v>
      </c>
      <c r="T431" s="12">
        <v>0</v>
      </c>
      <c r="U431" s="12">
        <v>14253</v>
      </c>
      <c r="V431" s="12">
        <v>14253</v>
      </c>
      <c r="W431" s="12">
        <v>0</v>
      </c>
      <c r="X431" s="12">
        <v>0</v>
      </c>
      <c r="Y431" s="12">
        <v>14404.2</v>
      </c>
      <c r="Z431" s="12">
        <v>14404.2</v>
      </c>
      <c r="AA431" s="12">
        <v>0</v>
      </c>
      <c r="AB431" s="12">
        <v>0</v>
      </c>
      <c r="AC431" s="12">
        <v>151.20000000000073</v>
      </c>
      <c r="AD431" s="12">
        <v>151.20000000000073</v>
      </c>
      <c r="AI431" s="12"/>
    </row>
    <row r="432" spans="1:35" x14ac:dyDescent="0.25">
      <c r="A432">
        <v>4124</v>
      </c>
      <c r="B432" t="s">
        <v>1018</v>
      </c>
      <c r="C432" s="19">
        <v>0</v>
      </c>
      <c r="D432" s="19">
        <v>0</v>
      </c>
      <c r="E432" s="19">
        <v>29011</v>
      </c>
      <c r="F432" s="19">
        <v>29011</v>
      </c>
      <c r="G432" s="19">
        <v>0</v>
      </c>
      <c r="H432" s="19">
        <v>0</v>
      </c>
      <c r="I432" s="19">
        <v>839.59999999999854</v>
      </c>
      <c r="J432" s="19">
        <v>839.59999999999854</v>
      </c>
      <c r="K432" s="19"/>
      <c r="L432" s="19">
        <v>0</v>
      </c>
      <c r="M432" s="19">
        <v>29850.6</v>
      </c>
      <c r="N432" s="19">
        <v>29850.6</v>
      </c>
      <c r="P432">
        <v>4103</v>
      </c>
      <c r="Q432">
        <v>7</v>
      </c>
      <c r="R432" t="s">
        <v>439</v>
      </c>
      <c r="S432" s="12">
        <v>0</v>
      </c>
      <c r="T432" s="12">
        <v>0</v>
      </c>
      <c r="U432" s="12">
        <v>154541</v>
      </c>
      <c r="V432" s="12">
        <v>154541</v>
      </c>
      <c r="W432" s="12">
        <v>0</v>
      </c>
      <c r="X432" s="12">
        <v>0</v>
      </c>
      <c r="Y432" s="12">
        <v>159108.20000000001</v>
      </c>
      <c r="Z432" s="12">
        <v>159108.20000000001</v>
      </c>
      <c r="AA432" s="12">
        <v>0</v>
      </c>
      <c r="AB432" s="12">
        <v>0</v>
      </c>
      <c r="AC432" s="12">
        <v>4567.2000000000116</v>
      </c>
      <c r="AD432" s="12">
        <v>4567.2000000000116</v>
      </c>
      <c r="AI432" s="12"/>
    </row>
    <row r="433" spans="1:35" x14ac:dyDescent="0.25">
      <c r="A433">
        <v>4126</v>
      </c>
      <c r="B433" t="s">
        <v>1019</v>
      </c>
      <c r="C433" s="19">
        <v>0</v>
      </c>
      <c r="D433" s="19">
        <v>0</v>
      </c>
      <c r="E433" s="19">
        <v>111795</v>
      </c>
      <c r="F433" s="19">
        <v>111795</v>
      </c>
      <c r="G433" s="19">
        <v>0</v>
      </c>
      <c r="H433" s="19">
        <v>0</v>
      </c>
      <c r="I433" s="19">
        <v>4018</v>
      </c>
      <c r="J433" s="19">
        <v>4018</v>
      </c>
      <c r="K433" s="19"/>
      <c r="L433" s="19">
        <v>0</v>
      </c>
      <c r="M433" s="19">
        <v>115813</v>
      </c>
      <c r="N433" s="19">
        <v>115813</v>
      </c>
      <c r="P433">
        <v>4104</v>
      </c>
      <c r="Q433">
        <v>7</v>
      </c>
      <c r="R433" t="s">
        <v>440</v>
      </c>
      <c r="S433" s="12">
        <v>0</v>
      </c>
      <c r="T433" s="12">
        <v>0</v>
      </c>
      <c r="U433" s="12">
        <v>6939</v>
      </c>
      <c r="V433" s="12">
        <v>6939</v>
      </c>
      <c r="W433" s="12">
        <v>0</v>
      </c>
      <c r="X433" s="12">
        <v>0</v>
      </c>
      <c r="Y433" s="12">
        <v>7288.2</v>
      </c>
      <c r="Z433" s="12">
        <v>7288.2</v>
      </c>
      <c r="AA433" s="12">
        <v>0</v>
      </c>
      <c r="AB433" s="12">
        <v>0</v>
      </c>
      <c r="AC433" s="12">
        <v>349.19999999999982</v>
      </c>
      <c r="AD433" s="12">
        <v>349.19999999999982</v>
      </c>
      <c r="AI433" s="12"/>
    </row>
    <row r="434" spans="1:35" x14ac:dyDescent="0.25">
      <c r="A434">
        <v>4127</v>
      </c>
      <c r="B434" t="s">
        <v>1020</v>
      </c>
      <c r="C434" s="19">
        <v>0</v>
      </c>
      <c r="D434" s="19">
        <v>0</v>
      </c>
      <c r="E434" s="19">
        <v>15951</v>
      </c>
      <c r="F434" s="19">
        <v>15951</v>
      </c>
      <c r="G434" s="19">
        <v>0</v>
      </c>
      <c r="H434" s="19">
        <v>0</v>
      </c>
      <c r="I434" s="19">
        <v>1338.7999999999993</v>
      </c>
      <c r="J434" s="19">
        <v>1338.7999999999993</v>
      </c>
      <c r="K434" s="19"/>
      <c r="L434" s="19">
        <v>0</v>
      </c>
      <c r="M434" s="19">
        <v>17289.8</v>
      </c>
      <c r="N434" s="19">
        <v>17289.8</v>
      </c>
      <c r="P434">
        <v>4105</v>
      </c>
      <c r="Q434">
        <v>7</v>
      </c>
      <c r="R434" t="s">
        <v>441</v>
      </c>
      <c r="S434" s="12">
        <v>0</v>
      </c>
      <c r="T434" s="12">
        <v>0</v>
      </c>
      <c r="U434" s="12">
        <v>5917</v>
      </c>
      <c r="V434" s="12">
        <v>5917</v>
      </c>
      <c r="W434" s="12">
        <v>0</v>
      </c>
      <c r="X434" s="12">
        <v>0</v>
      </c>
      <c r="Y434" s="12">
        <v>6172.6</v>
      </c>
      <c r="Z434" s="12">
        <v>6172.6</v>
      </c>
      <c r="AA434" s="12">
        <v>0</v>
      </c>
      <c r="AB434" s="12">
        <v>0</v>
      </c>
      <c r="AC434" s="12">
        <v>255.60000000000036</v>
      </c>
      <c r="AD434" s="12">
        <v>255.60000000000036</v>
      </c>
      <c r="AI434" s="12"/>
    </row>
    <row r="435" spans="1:35" x14ac:dyDescent="0.25">
      <c r="A435">
        <v>4131</v>
      </c>
      <c r="B435" t="s">
        <v>1021</v>
      </c>
      <c r="C435" s="19">
        <v>0</v>
      </c>
      <c r="D435" s="19">
        <v>0</v>
      </c>
      <c r="E435" s="19">
        <v>34863</v>
      </c>
      <c r="F435" s="19">
        <v>34863</v>
      </c>
      <c r="G435" s="19">
        <v>0</v>
      </c>
      <c r="H435" s="19">
        <v>0</v>
      </c>
      <c r="I435" s="19">
        <v>92.400000000001455</v>
      </c>
      <c r="J435" s="19">
        <v>92.400000000001455</v>
      </c>
      <c r="K435" s="19"/>
      <c r="L435" s="19">
        <v>0</v>
      </c>
      <c r="M435" s="19">
        <v>34955.4</v>
      </c>
      <c r="N435" s="19">
        <v>34955.4</v>
      </c>
      <c r="P435">
        <v>4106</v>
      </c>
      <c r="Q435">
        <v>7</v>
      </c>
      <c r="R435" t="s">
        <v>442</v>
      </c>
      <c r="S435" s="12">
        <v>0</v>
      </c>
      <c r="T435" s="12">
        <v>0</v>
      </c>
      <c r="U435" s="12">
        <v>11895</v>
      </c>
      <c r="V435" s="12">
        <v>11895</v>
      </c>
      <c r="W435" s="12">
        <v>0</v>
      </c>
      <c r="X435" s="12">
        <v>0</v>
      </c>
      <c r="Y435" s="12">
        <v>12917.4</v>
      </c>
      <c r="Z435" s="12">
        <v>12917.4</v>
      </c>
      <c r="AA435" s="12">
        <v>0</v>
      </c>
      <c r="AB435" s="12">
        <v>0</v>
      </c>
      <c r="AC435" s="12">
        <v>1022.3999999999996</v>
      </c>
      <c r="AD435" s="12">
        <v>1022.3999999999996</v>
      </c>
      <c r="AI435" s="12"/>
    </row>
    <row r="436" spans="1:35" x14ac:dyDescent="0.25">
      <c r="A436">
        <v>4132</v>
      </c>
      <c r="B436" t="s">
        <v>1022</v>
      </c>
      <c r="C436" s="19">
        <v>0</v>
      </c>
      <c r="D436" s="19">
        <v>0</v>
      </c>
      <c r="E436" s="19">
        <v>0</v>
      </c>
      <c r="F436" s="19">
        <v>0</v>
      </c>
      <c r="G436" s="19">
        <v>0</v>
      </c>
      <c r="H436" s="19">
        <v>0</v>
      </c>
      <c r="I436" s="19">
        <v>0</v>
      </c>
      <c r="J436" s="19">
        <v>0</v>
      </c>
      <c r="K436" s="19"/>
      <c r="L436" s="19">
        <v>0</v>
      </c>
      <c r="M436" s="19">
        <v>0</v>
      </c>
      <c r="N436" s="19">
        <v>0</v>
      </c>
      <c r="P436">
        <v>4107</v>
      </c>
      <c r="Q436">
        <v>7</v>
      </c>
      <c r="R436" t="s">
        <v>443</v>
      </c>
      <c r="S436" s="12">
        <v>0</v>
      </c>
      <c r="T436" s="12">
        <v>0</v>
      </c>
      <c r="U436" s="12">
        <v>8971</v>
      </c>
      <c r="V436" s="12">
        <v>8971</v>
      </c>
      <c r="W436" s="12">
        <v>0</v>
      </c>
      <c r="X436" s="12">
        <v>0</v>
      </c>
      <c r="Y436" s="12">
        <v>9331</v>
      </c>
      <c r="Z436" s="12">
        <v>9331</v>
      </c>
      <c r="AA436" s="12">
        <v>0</v>
      </c>
      <c r="AB436" s="12">
        <v>0</v>
      </c>
      <c r="AC436" s="12">
        <v>360</v>
      </c>
      <c r="AD436" s="12">
        <v>360</v>
      </c>
      <c r="AI436" s="12"/>
    </row>
    <row r="437" spans="1:35" x14ac:dyDescent="0.25">
      <c r="A437">
        <v>4133</v>
      </c>
      <c r="B437" t="s">
        <v>1023</v>
      </c>
      <c r="C437" s="19">
        <v>0</v>
      </c>
      <c r="D437" s="19">
        <v>0</v>
      </c>
      <c r="E437" s="19">
        <v>0</v>
      </c>
      <c r="F437" s="19">
        <v>0</v>
      </c>
      <c r="G437" s="19">
        <v>0</v>
      </c>
      <c r="H437" s="19">
        <v>0</v>
      </c>
      <c r="I437" s="19">
        <v>0</v>
      </c>
      <c r="J437" s="19">
        <v>0</v>
      </c>
      <c r="K437" s="19"/>
      <c r="L437" s="19">
        <v>0</v>
      </c>
      <c r="M437" s="19">
        <v>0</v>
      </c>
      <c r="N437" s="19">
        <v>0</v>
      </c>
      <c r="P437">
        <v>4108</v>
      </c>
      <c r="Q437">
        <v>7</v>
      </c>
      <c r="R437" t="s">
        <v>444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0</v>
      </c>
      <c r="AC437" s="12">
        <v>0</v>
      </c>
      <c r="AD437" s="12">
        <v>0</v>
      </c>
      <c r="AI437" s="12"/>
    </row>
    <row r="438" spans="1:35" x14ac:dyDescent="0.25">
      <c r="A438">
        <v>4135</v>
      </c>
      <c r="B438" t="s">
        <v>1024</v>
      </c>
      <c r="C438" s="19">
        <v>0</v>
      </c>
      <c r="D438" s="19">
        <v>0</v>
      </c>
      <c r="E438" s="19">
        <v>39102</v>
      </c>
      <c r="F438" s="19">
        <v>39102</v>
      </c>
      <c r="G438" s="19">
        <v>0</v>
      </c>
      <c r="H438" s="19">
        <v>0</v>
      </c>
      <c r="I438" s="19">
        <v>87.19999999999709</v>
      </c>
      <c r="J438" s="19">
        <v>87.19999999999709</v>
      </c>
      <c r="K438" s="19"/>
      <c r="L438" s="19">
        <v>0</v>
      </c>
      <c r="M438" s="19">
        <v>39189.199999999997</v>
      </c>
      <c r="N438" s="19">
        <v>39189.199999999997</v>
      </c>
      <c r="P438">
        <v>4109</v>
      </c>
      <c r="Q438">
        <v>7</v>
      </c>
      <c r="R438" t="s">
        <v>445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I438" s="12"/>
    </row>
    <row r="439" spans="1:35" x14ac:dyDescent="0.25">
      <c r="A439">
        <v>4137</v>
      </c>
      <c r="B439" t="s">
        <v>1025</v>
      </c>
      <c r="C439" s="19">
        <v>0</v>
      </c>
      <c r="D439" s="19">
        <v>0</v>
      </c>
      <c r="E439" s="19">
        <v>11580</v>
      </c>
      <c r="F439" s="19">
        <v>11580</v>
      </c>
      <c r="G439" s="19">
        <v>0</v>
      </c>
      <c r="H439" s="19">
        <v>0</v>
      </c>
      <c r="I439" s="19">
        <v>424.79999999999927</v>
      </c>
      <c r="J439" s="19">
        <v>424.79999999999927</v>
      </c>
      <c r="K439" s="19"/>
      <c r="L439" s="19">
        <v>0</v>
      </c>
      <c r="M439" s="19">
        <v>12004.8</v>
      </c>
      <c r="N439" s="19">
        <v>12004.8</v>
      </c>
      <c r="P439">
        <v>4110</v>
      </c>
      <c r="Q439">
        <v>7</v>
      </c>
      <c r="R439" t="s">
        <v>446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  <c r="Y439" s="12">
        <v>0</v>
      </c>
      <c r="Z439" s="12">
        <v>0</v>
      </c>
      <c r="AA439" s="12">
        <v>0</v>
      </c>
      <c r="AB439" s="12">
        <v>0</v>
      </c>
      <c r="AC439" s="12">
        <v>0</v>
      </c>
      <c r="AD439" s="12">
        <v>0</v>
      </c>
      <c r="AI439" s="12"/>
    </row>
    <row r="440" spans="1:35" x14ac:dyDescent="0.25">
      <c r="A440">
        <v>4138</v>
      </c>
      <c r="B440" t="s">
        <v>1026</v>
      </c>
      <c r="C440" s="19">
        <v>0</v>
      </c>
      <c r="D440" s="19">
        <v>0</v>
      </c>
      <c r="E440" s="19">
        <v>0</v>
      </c>
      <c r="F440" s="19">
        <v>0</v>
      </c>
      <c r="G440" s="19">
        <v>0</v>
      </c>
      <c r="H440" s="19">
        <v>0</v>
      </c>
      <c r="I440" s="19">
        <v>0</v>
      </c>
      <c r="J440" s="19">
        <v>0</v>
      </c>
      <c r="K440" s="19"/>
      <c r="L440" s="19">
        <v>0</v>
      </c>
      <c r="M440" s="19">
        <v>0</v>
      </c>
      <c r="N440" s="19">
        <v>0</v>
      </c>
      <c r="P440">
        <v>4111</v>
      </c>
      <c r="Q440">
        <v>7</v>
      </c>
      <c r="R440" t="s">
        <v>447</v>
      </c>
      <c r="S440" s="12">
        <v>0</v>
      </c>
      <c r="T440" s="12">
        <v>0</v>
      </c>
      <c r="U440" s="12">
        <v>4866</v>
      </c>
      <c r="V440" s="12">
        <v>4866</v>
      </c>
      <c r="W440" s="12">
        <v>0</v>
      </c>
      <c r="X440" s="12">
        <v>0</v>
      </c>
      <c r="Y440" s="12">
        <v>4878</v>
      </c>
      <c r="Z440" s="12">
        <v>4878</v>
      </c>
      <c r="AA440" s="12">
        <v>0</v>
      </c>
      <c r="AB440" s="12">
        <v>0</v>
      </c>
      <c r="AC440" s="12">
        <v>12</v>
      </c>
      <c r="AD440" s="12">
        <v>12</v>
      </c>
      <c r="AI440" s="12"/>
    </row>
    <row r="441" spans="1:35" x14ac:dyDescent="0.25">
      <c r="A441">
        <v>4139</v>
      </c>
      <c r="B441" t="s">
        <v>1027</v>
      </c>
      <c r="C441" s="19">
        <v>0</v>
      </c>
      <c r="D441" s="19">
        <v>0</v>
      </c>
      <c r="E441" s="19">
        <v>31898</v>
      </c>
      <c r="F441" s="19">
        <v>31898</v>
      </c>
      <c r="G441" s="19">
        <v>0</v>
      </c>
      <c r="H441" s="19">
        <v>0</v>
      </c>
      <c r="I441" s="19">
        <v>865.20000000000073</v>
      </c>
      <c r="J441" s="19">
        <v>865.20000000000073</v>
      </c>
      <c r="K441" s="19"/>
      <c r="L441" s="19">
        <v>0</v>
      </c>
      <c r="M441" s="19">
        <v>32763.200000000001</v>
      </c>
      <c r="N441" s="19">
        <v>32763.200000000001</v>
      </c>
      <c r="P441">
        <v>4112</v>
      </c>
      <c r="Q441">
        <v>7</v>
      </c>
      <c r="R441" t="s">
        <v>448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  <c r="Z441" s="12">
        <v>0</v>
      </c>
      <c r="AA441" s="12">
        <v>0</v>
      </c>
      <c r="AB441" s="12">
        <v>0</v>
      </c>
      <c r="AC441" s="12">
        <v>0</v>
      </c>
      <c r="AD441" s="12">
        <v>0</v>
      </c>
      <c r="AI441" s="12"/>
    </row>
    <row r="442" spans="1:35" x14ac:dyDescent="0.25">
      <c r="A442">
        <v>4140</v>
      </c>
      <c r="B442" t="s">
        <v>1028</v>
      </c>
      <c r="C442" s="19">
        <v>0</v>
      </c>
      <c r="D442" s="19">
        <v>0</v>
      </c>
      <c r="E442" s="19">
        <v>33264</v>
      </c>
      <c r="F442" s="19">
        <v>33264</v>
      </c>
      <c r="G442" s="19">
        <v>0</v>
      </c>
      <c r="H442" s="19">
        <v>0</v>
      </c>
      <c r="I442" s="19">
        <v>802</v>
      </c>
      <c r="J442" s="19">
        <v>802</v>
      </c>
      <c r="K442" s="19"/>
      <c r="L442" s="19">
        <v>0</v>
      </c>
      <c r="M442" s="19">
        <v>34066</v>
      </c>
      <c r="N442" s="19">
        <v>34066</v>
      </c>
      <c r="P442">
        <v>4113</v>
      </c>
      <c r="Q442">
        <v>7</v>
      </c>
      <c r="R442" t="s">
        <v>449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I442" s="12"/>
    </row>
    <row r="443" spans="1:35" x14ac:dyDescent="0.25">
      <c r="A443">
        <v>4141</v>
      </c>
      <c r="B443" t="s">
        <v>1029</v>
      </c>
      <c r="C443" s="19">
        <v>0</v>
      </c>
      <c r="D443" s="19">
        <v>0</v>
      </c>
      <c r="E443" s="19">
        <v>22207</v>
      </c>
      <c r="F443" s="19">
        <v>22207</v>
      </c>
      <c r="G443" s="19">
        <v>0</v>
      </c>
      <c r="H443" s="19">
        <v>0</v>
      </c>
      <c r="I443" s="19">
        <v>512.79999999999927</v>
      </c>
      <c r="J443" s="19">
        <v>512.79999999999927</v>
      </c>
      <c r="K443" s="19"/>
      <c r="L443" s="19">
        <v>0</v>
      </c>
      <c r="M443" s="19">
        <v>22719.8</v>
      </c>
      <c r="N443" s="19">
        <v>22719.8</v>
      </c>
      <c r="P443">
        <v>4114</v>
      </c>
      <c r="Q443">
        <v>7</v>
      </c>
      <c r="R443" t="s">
        <v>450</v>
      </c>
      <c r="S443" s="12">
        <v>0</v>
      </c>
      <c r="T443" s="12">
        <v>0</v>
      </c>
      <c r="U443" s="12">
        <v>0</v>
      </c>
      <c r="V443" s="12">
        <v>0</v>
      </c>
      <c r="W443" s="12">
        <v>0</v>
      </c>
      <c r="X443" s="12">
        <v>0</v>
      </c>
      <c r="Y443" s="12">
        <v>0</v>
      </c>
      <c r="Z443" s="12">
        <v>0</v>
      </c>
      <c r="AA443" s="12">
        <v>0</v>
      </c>
      <c r="AB443" s="12">
        <v>0</v>
      </c>
      <c r="AC443" s="12">
        <v>0</v>
      </c>
      <c r="AD443" s="12">
        <v>0</v>
      </c>
      <c r="AI443" s="12"/>
    </row>
    <row r="444" spans="1:35" x14ac:dyDescent="0.25">
      <c r="A444">
        <v>4142</v>
      </c>
      <c r="B444" t="s">
        <v>1030</v>
      </c>
      <c r="C444" s="19">
        <v>0</v>
      </c>
      <c r="D444" s="19">
        <v>0</v>
      </c>
      <c r="E444" s="19">
        <v>48453</v>
      </c>
      <c r="F444" s="19">
        <v>48453</v>
      </c>
      <c r="G444" s="19">
        <v>0</v>
      </c>
      <c r="H444" s="19">
        <v>0</v>
      </c>
      <c r="I444" s="19">
        <v>3152.4000000000015</v>
      </c>
      <c r="J444" s="19">
        <v>3152.4000000000015</v>
      </c>
      <c r="K444" s="19"/>
      <c r="L444" s="19">
        <v>0</v>
      </c>
      <c r="M444" s="19">
        <v>51605.4</v>
      </c>
      <c r="N444" s="19">
        <v>51605.4</v>
      </c>
      <c r="P444">
        <v>4115</v>
      </c>
      <c r="Q444">
        <v>7</v>
      </c>
      <c r="R444" t="s">
        <v>451</v>
      </c>
      <c r="S444" s="12">
        <v>0</v>
      </c>
      <c r="T444" s="12">
        <v>0</v>
      </c>
      <c r="U444" s="12">
        <v>21738</v>
      </c>
      <c r="V444" s="12">
        <v>21738</v>
      </c>
      <c r="W444" s="12">
        <v>0</v>
      </c>
      <c r="X444" s="12">
        <v>0</v>
      </c>
      <c r="Y444" s="12">
        <v>22550.400000000001</v>
      </c>
      <c r="Z444" s="12">
        <v>22550.400000000001</v>
      </c>
      <c r="AA444" s="12">
        <v>0</v>
      </c>
      <c r="AB444" s="12">
        <v>0</v>
      </c>
      <c r="AC444" s="12">
        <v>812.40000000000146</v>
      </c>
      <c r="AD444" s="12">
        <v>812.40000000000146</v>
      </c>
      <c r="AI444" s="12"/>
    </row>
    <row r="445" spans="1:35" x14ac:dyDescent="0.25">
      <c r="A445">
        <v>4143</v>
      </c>
      <c r="B445" t="s">
        <v>1031</v>
      </c>
      <c r="C445" s="19">
        <v>0</v>
      </c>
      <c r="D445" s="19">
        <v>0</v>
      </c>
      <c r="E445" s="19">
        <v>78530</v>
      </c>
      <c r="F445" s="19">
        <v>78530</v>
      </c>
      <c r="G445" s="19">
        <v>0</v>
      </c>
      <c r="H445" s="19">
        <v>0</v>
      </c>
      <c r="I445" s="19">
        <v>2739.1999999999971</v>
      </c>
      <c r="J445" s="19">
        <v>2739.1999999999971</v>
      </c>
      <c r="K445" s="19"/>
      <c r="L445" s="19">
        <v>0</v>
      </c>
      <c r="M445" s="19">
        <v>81269.2</v>
      </c>
      <c r="N445" s="19">
        <v>81269.2</v>
      </c>
      <c r="P445">
        <v>4116</v>
      </c>
      <c r="Q445">
        <v>7</v>
      </c>
      <c r="R445" t="s">
        <v>452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0</v>
      </c>
      <c r="Y445" s="12">
        <v>0</v>
      </c>
      <c r="Z445" s="12">
        <v>0</v>
      </c>
      <c r="AA445" s="12">
        <v>0</v>
      </c>
      <c r="AB445" s="12">
        <v>0</v>
      </c>
      <c r="AC445" s="12">
        <v>0</v>
      </c>
      <c r="AD445" s="12">
        <v>0</v>
      </c>
      <c r="AI445" s="12"/>
    </row>
    <row r="446" spans="1:35" x14ac:dyDescent="0.25">
      <c r="A446">
        <v>4144</v>
      </c>
      <c r="B446" t="s">
        <v>1032</v>
      </c>
      <c r="C446" s="19">
        <v>0</v>
      </c>
      <c r="D446" s="19">
        <v>0</v>
      </c>
      <c r="E446" s="19">
        <v>0</v>
      </c>
      <c r="F446" s="19">
        <v>0</v>
      </c>
      <c r="G446" s="19">
        <v>0</v>
      </c>
      <c r="H446" s="19">
        <v>0</v>
      </c>
      <c r="I446" s="19">
        <v>0</v>
      </c>
      <c r="J446" s="19">
        <v>0</v>
      </c>
      <c r="K446" s="19"/>
      <c r="L446" s="19">
        <v>0</v>
      </c>
      <c r="M446" s="19">
        <v>0</v>
      </c>
      <c r="N446" s="19">
        <v>0</v>
      </c>
      <c r="P446">
        <v>4118</v>
      </c>
      <c r="Q446">
        <v>7</v>
      </c>
      <c r="R446" t="s">
        <v>453</v>
      </c>
      <c r="S446" s="12">
        <v>0</v>
      </c>
      <c r="T446" s="12">
        <v>0</v>
      </c>
      <c r="U446" s="12">
        <v>25714</v>
      </c>
      <c r="V446" s="12">
        <v>25714</v>
      </c>
      <c r="W446" s="12">
        <v>0</v>
      </c>
      <c r="X446" s="12">
        <v>0</v>
      </c>
      <c r="Y446" s="12">
        <v>27234.400000000001</v>
      </c>
      <c r="Z446" s="12">
        <v>27234.400000000001</v>
      </c>
      <c r="AA446" s="12">
        <v>0</v>
      </c>
      <c r="AB446" s="12">
        <v>0</v>
      </c>
      <c r="AC446" s="12">
        <v>1520.4000000000015</v>
      </c>
      <c r="AD446" s="12">
        <v>1520.4000000000015</v>
      </c>
      <c r="AI446" s="12"/>
    </row>
    <row r="447" spans="1:35" x14ac:dyDescent="0.25">
      <c r="A447">
        <v>4145</v>
      </c>
      <c r="B447" t="s">
        <v>1033</v>
      </c>
      <c r="C447" s="19">
        <v>0</v>
      </c>
      <c r="D447" s="19">
        <v>0</v>
      </c>
      <c r="E447" s="19">
        <v>1666</v>
      </c>
      <c r="F447" s="19">
        <v>1666</v>
      </c>
      <c r="G447" s="19">
        <v>0</v>
      </c>
      <c r="H447" s="19">
        <v>0</v>
      </c>
      <c r="I447" s="19">
        <v>130.40000000000009</v>
      </c>
      <c r="J447" s="19">
        <v>130.40000000000009</v>
      </c>
      <c r="K447" s="19"/>
      <c r="L447" s="19">
        <v>0</v>
      </c>
      <c r="M447" s="19">
        <v>1796.4</v>
      </c>
      <c r="N447" s="19">
        <v>1796.4</v>
      </c>
      <c r="P447">
        <v>4119</v>
      </c>
      <c r="Q447">
        <v>7</v>
      </c>
      <c r="R447" t="s">
        <v>454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0</v>
      </c>
      <c r="Z447" s="12">
        <v>0</v>
      </c>
      <c r="AA447" s="12">
        <v>0</v>
      </c>
      <c r="AB447" s="12">
        <v>0</v>
      </c>
      <c r="AC447" s="12">
        <v>0</v>
      </c>
      <c r="AD447" s="12">
        <v>0</v>
      </c>
      <c r="AI447" s="12"/>
    </row>
    <row r="448" spans="1:35" x14ac:dyDescent="0.25">
      <c r="A448">
        <v>4146</v>
      </c>
      <c r="B448" t="s">
        <v>1034</v>
      </c>
      <c r="C448" s="19">
        <v>0</v>
      </c>
      <c r="D448" s="19">
        <v>0</v>
      </c>
      <c r="E448" s="19">
        <v>6958</v>
      </c>
      <c r="F448" s="19">
        <v>6958</v>
      </c>
      <c r="G448" s="19">
        <v>0</v>
      </c>
      <c r="H448" s="19">
        <v>0</v>
      </c>
      <c r="I448" s="19">
        <v>326.80000000000018</v>
      </c>
      <c r="J448" s="19">
        <v>326.80000000000018</v>
      </c>
      <c r="K448" s="19"/>
      <c r="L448" s="19">
        <v>0</v>
      </c>
      <c r="M448" s="19">
        <v>7284.8</v>
      </c>
      <c r="N448" s="19">
        <v>7284.8</v>
      </c>
      <c r="P448">
        <v>4120</v>
      </c>
      <c r="Q448">
        <v>7</v>
      </c>
      <c r="R448" t="s">
        <v>455</v>
      </c>
      <c r="S448" s="12">
        <v>0</v>
      </c>
      <c r="T448" s="12">
        <v>0</v>
      </c>
      <c r="U448" s="12">
        <v>46631</v>
      </c>
      <c r="V448" s="12">
        <v>46631</v>
      </c>
      <c r="W448" s="12">
        <v>0</v>
      </c>
      <c r="X448" s="12">
        <v>0</v>
      </c>
      <c r="Y448" s="12">
        <v>48649.8</v>
      </c>
      <c r="Z448" s="12">
        <v>48649.8</v>
      </c>
      <c r="AA448" s="12">
        <v>0</v>
      </c>
      <c r="AB448" s="12">
        <v>0</v>
      </c>
      <c r="AC448" s="12">
        <v>2018.8000000000029</v>
      </c>
      <c r="AD448" s="12">
        <v>2018.8000000000029</v>
      </c>
      <c r="AI448" s="12"/>
    </row>
    <row r="449" spans="1:35" x14ac:dyDescent="0.25">
      <c r="A449">
        <v>4150</v>
      </c>
      <c r="B449" t="s">
        <v>1035</v>
      </c>
      <c r="C449" s="19">
        <v>0</v>
      </c>
      <c r="D449" s="19">
        <v>0</v>
      </c>
      <c r="E449" s="19">
        <v>0</v>
      </c>
      <c r="F449" s="19">
        <v>0</v>
      </c>
      <c r="G449" s="19">
        <v>0</v>
      </c>
      <c r="H449" s="19">
        <v>0</v>
      </c>
      <c r="I449" s="19">
        <v>0</v>
      </c>
      <c r="J449" s="19">
        <v>0</v>
      </c>
      <c r="K449" s="19"/>
      <c r="L449" s="19">
        <v>0</v>
      </c>
      <c r="M449" s="19">
        <v>0</v>
      </c>
      <c r="N449" s="19">
        <v>0</v>
      </c>
      <c r="P449">
        <v>4121</v>
      </c>
      <c r="Q449">
        <v>7</v>
      </c>
      <c r="R449" t="s">
        <v>456</v>
      </c>
      <c r="S449" s="12">
        <v>0</v>
      </c>
      <c r="T449" s="12">
        <v>0</v>
      </c>
      <c r="U449" s="12">
        <v>53026</v>
      </c>
      <c r="V449" s="12">
        <v>53026</v>
      </c>
      <c r="W449" s="12">
        <v>0</v>
      </c>
      <c r="X449" s="12">
        <v>0</v>
      </c>
      <c r="Y449" s="12">
        <v>53240</v>
      </c>
      <c r="Z449" s="12">
        <v>53240</v>
      </c>
      <c r="AA449" s="12">
        <v>0</v>
      </c>
      <c r="AB449" s="12">
        <v>0</v>
      </c>
      <c r="AC449" s="12">
        <v>214</v>
      </c>
      <c r="AD449" s="12">
        <v>214</v>
      </c>
      <c r="AI449" s="12"/>
    </row>
    <row r="450" spans="1:35" x14ac:dyDescent="0.25">
      <c r="A450">
        <v>4151</v>
      </c>
      <c r="B450" t="s">
        <v>1036</v>
      </c>
      <c r="C450" s="19">
        <v>0</v>
      </c>
      <c r="D450" s="19">
        <v>0</v>
      </c>
      <c r="E450" s="19">
        <v>0</v>
      </c>
      <c r="F450" s="19">
        <v>0</v>
      </c>
      <c r="G450" s="19">
        <v>0</v>
      </c>
      <c r="H450" s="19">
        <v>0</v>
      </c>
      <c r="I450" s="19">
        <v>0</v>
      </c>
      <c r="J450" s="19">
        <v>0</v>
      </c>
      <c r="K450" s="19"/>
      <c r="L450" s="19">
        <v>0</v>
      </c>
      <c r="M450" s="19">
        <v>0</v>
      </c>
      <c r="N450" s="19">
        <v>0</v>
      </c>
      <c r="P450">
        <v>4122</v>
      </c>
      <c r="Q450">
        <v>7</v>
      </c>
      <c r="R450" t="s">
        <v>457</v>
      </c>
      <c r="S450" s="12">
        <v>0</v>
      </c>
      <c r="T450" s="12">
        <v>0</v>
      </c>
      <c r="U450" s="12">
        <v>40138</v>
      </c>
      <c r="V450" s="12">
        <v>40138</v>
      </c>
      <c r="W450" s="12">
        <v>0</v>
      </c>
      <c r="X450" s="12">
        <v>0</v>
      </c>
      <c r="Y450" s="12">
        <v>42214</v>
      </c>
      <c r="Z450" s="12">
        <v>42214</v>
      </c>
      <c r="AA450" s="12">
        <v>0</v>
      </c>
      <c r="AB450" s="12">
        <v>0</v>
      </c>
      <c r="AC450" s="12">
        <v>2076</v>
      </c>
      <c r="AD450" s="12">
        <v>2076</v>
      </c>
      <c r="AI450" s="12"/>
    </row>
    <row r="451" spans="1:35" x14ac:dyDescent="0.25">
      <c r="A451">
        <v>4152</v>
      </c>
      <c r="B451" t="s">
        <v>1037</v>
      </c>
      <c r="C451" s="19">
        <v>0</v>
      </c>
      <c r="D451" s="19">
        <v>0</v>
      </c>
      <c r="E451" s="19">
        <v>12729</v>
      </c>
      <c r="F451" s="19">
        <v>12729</v>
      </c>
      <c r="G451" s="19">
        <v>0</v>
      </c>
      <c r="H451" s="19">
        <v>0</v>
      </c>
      <c r="I451" s="19">
        <v>522.39999999999964</v>
      </c>
      <c r="J451" s="19">
        <v>522.39999999999964</v>
      </c>
      <c r="K451" s="19"/>
      <c r="L451" s="19">
        <v>0</v>
      </c>
      <c r="M451" s="19">
        <v>13251.4</v>
      </c>
      <c r="N451" s="19">
        <v>13251.4</v>
      </c>
      <c r="P451">
        <v>4123</v>
      </c>
      <c r="Q451">
        <v>7</v>
      </c>
      <c r="R451" t="s">
        <v>458</v>
      </c>
      <c r="S451" s="12">
        <v>0</v>
      </c>
      <c r="T451" s="12">
        <v>0</v>
      </c>
      <c r="U451" s="12">
        <v>4615</v>
      </c>
      <c r="V451" s="12">
        <v>4615</v>
      </c>
      <c r="W451" s="12">
        <v>0</v>
      </c>
      <c r="X451" s="12">
        <v>0</v>
      </c>
      <c r="Y451" s="12">
        <v>4958.6000000000004</v>
      </c>
      <c r="Z451" s="12">
        <v>4958.6000000000004</v>
      </c>
      <c r="AA451" s="12">
        <v>0</v>
      </c>
      <c r="AB451" s="12">
        <v>0</v>
      </c>
      <c r="AC451" s="12">
        <v>343.60000000000036</v>
      </c>
      <c r="AD451" s="12">
        <v>343.60000000000036</v>
      </c>
      <c r="AI451" s="12"/>
    </row>
    <row r="452" spans="1:35" x14ac:dyDescent="0.25">
      <c r="A452">
        <v>4153</v>
      </c>
      <c r="B452" t="s">
        <v>1038</v>
      </c>
      <c r="C452" s="19">
        <v>0</v>
      </c>
      <c r="D452" s="19">
        <v>0</v>
      </c>
      <c r="E452" s="19">
        <v>59829</v>
      </c>
      <c r="F452" s="19">
        <v>59829</v>
      </c>
      <c r="G452" s="19">
        <v>0</v>
      </c>
      <c r="H452" s="19">
        <v>0</v>
      </c>
      <c r="I452" s="19">
        <v>71.599999999998545</v>
      </c>
      <c r="J452" s="19">
        <v>71.599999999998545</v>
      </c>
      <c r="K452" s="19"/>
      <c r="L452" s="19">
        <v>0</v>
      </c>
      <c r="M452" s="19">
        <v>59900.6</v>
      </c>
      <c r="N452" s="19">
        <v>59900.6</v>
      </c>
      <c r="P452">
        <v>4124</v>
      </c>
      <c r="Q452">
        <v>7</v>
      </c>
      <c r="R452" t="s">
        <v>459</v>
      </c>
      <c r="S452" s="12">
        <v>0</v>
      </c>
      <c r="T452" s="12">
        <v>0</v>
      </c>
      <c r="U452" s="12">
        <v>29011</v>
      </c>
      <c r="V452" s="12">
        <v>29011</v>
      </c>
      <c r="W452" s="12">
        <v>0</v>
      </c>
      <c r="X452" s="12">
        <v>0</v>
      </c>
      <c r="Y452" s="12">
        <v>29850.6</v>
      </c>
      <c r="Z452" s="12">
        <v>29850.6</v>
      </c>
      <c r="AA452" s="12">
        <v>0</v>
      </c>
      <c r="AB452" s="12">
        <v>0</v>
      </c>
      <c r="AC452" s="12">
        <v>839.59999999999854</v>
      </c>
      <c r="AD452" s="12">
        <v>839.59999999999854</v>
      </c>
      <c r="AI452" s="12"/>
    </row>
    <row r="453" spans="1:35" x14ac:dyDescent="0.25">
      <c r="A453">
        <v>4155</v>
      </c>
      <c r="B453" t="s">
        <v>1039</v>
      </c>
      <c r="C453" s="19">
        <v>0</v>
      </c>
      <c r="D453" s="19">
        <v>0</v>
      </c>
      <c r="E453" s="19">
        <v>18053</v>
      </c>
      <c r="F453" s="19">
        <v>18053</v>
      </c>
      <c r="G453" s="19">
        <v>0</v>
      </c>
      <c r="H453" s="19">
        <v>0</v>
      </c>
      <c r="I453" s="19">
        <v>283.59999999999854</v>
      </c>
      <c r="J453" s="19">
        <v>283.59999999999854</v>
      </c>
      <c r="K453" s="19"/>
      <c r="L453" s="19">
        <v>0</v>
      </c>
      <c r="M453" s="19">
        <v>18336.599999999999</v>
      </c>
      <c r="N453" s="19">
        <v>18336.599999999999</v>
      </c>
      <c r="P453">
        <v>4125</v>
      </c>
      <c r="Q453">
        <v>7</v>
      </c>
      <c r="R453" t="s">
        <v>460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0</v>
      </c>
      <c r="Z453" s="12">
        <v>0</v>
      </c>
      <c r="AA453" s="12">
        <v>0</v>
      </c>
      <c r="AB453" s="12">
        <v>0</v>
      </c>
      <c r="AC453" s="12">
        <v>0</v>
      </c>
      <c r="AD453" s="12">
        <v>0</v>
      </c>
      <c r="AI453" s="12"/>
    </row>
    <row r="454" spans="1:35" x14ac:dyDescent="0.25">
      <c r="A454">
        <v>4159</v>
      </c>
      <c r="B454" t="s">
        <v>1040</v>
      </c>
      <c r="C454" s="19">
        <v>0</v>
      </c>
      <c r="D454" s="19">
        <v>0</v>
      </c>
      <c r="E454" s="19">
        <v>25753</v>
      </c>
      <c r="F454" s="19">
        <v>25753</v>
      </c>
      <c r="G454" s="19">
        <v>0</v>
      </c>
      <c r="H454" s="19">
        <v>0</v>
      </c>
      <c r="I454" s="19">
        <v>992.40000000000146</v>
      </c>
      <c r="J454" s="19">
        <v>992.40000000000146</v>
      </c>
      <c r="K454" s="19"/>
      <c r="L454" s="19">
        <v>0</v>
      </c>
      <c r="M454" s="19">
        <v>26745.4</v>
      </c>
      <c r="N454" s="19">
        <v>26745.4</v>
      </c>
      <c r="P454">
        <v>4126</v>
      </c>
      <c r="Q454">
        <v>7</v>
      </c>
      <c r="R454" t="s">
        <v>461</v>
      </c>
      <c r="S454" s="12">
        <v>0</v>
      </c>
      <c r="T454" s="12">
        <v>0</v>
      </c>
      <c r="U454" s="12">
        <v>111795</v>
      </c>
      <c r="V454" s="12">
        <v>111795</v>
      </c>
      <c r="W454" s="12">
        <v>0</v>
      </c>
      <c r="X454" s="12">
        <v>0</v>
      </c>
      <c r="Y454" s="12">
        <v>115813</v>
      </c>
      <c r="Z454" s="12">
        <v>115813</v>
      </c>
      <c r="AA454" s="12">
        <v>0</v>
      </c>
      <c r="AB454" s="12">
        <v>0</v>
      </c>
      <c r="AC454" s="12">
        <v>4018</v>
      </c>
      <c r="AD454" s="12">
        <v>4018</v>
      </c>
      <c r="AI454" s="12"/>
    </row>
    <row r="455" spans="1:35" x14ac:dyDescent="0.25">
      <c r="A455">
        <v>4160</v>
      </c>
      <c r="B455" t="s">
        <v>1041</v>
      </c>
      <c r="C455" s="19">
        <v>0</v>
      </c>
      <c r="D455" s="19">
        <v>0</v>
      </c>
      <c r="E455" s="19">
        <v>29870</v>
      </c>
      <c r="F455" s="19">
        <v>29870</v>
      </c>
      <c r="G455" s="19">
        <v>0</v>
      </c>
      <c r="H455" s="19">
        <v>0</v>
      </c>
      <c r="I455" s="19">
        <v>1245.5999999999985</v>
      </c>
      <c r="J455" s="19">
        <v>1245.5999999999985</v>
      </c>
      <c r="K455" s="19"/>
      <c r="L455" s="19">
        <v>0</v>
      </c>
      <c r="M455" s="19">
        <v>31115.599999999999</v>
      </c>
      <c r="N455" s="19">
        <v>31115.599999999999</v>
      </c>
      <c r="P455">
        <v>4127</v>
      </c>
      <c r="Q455">
        <v>7</v>
      </c>
      <c r="R455" t="s">
        <v>462</v>
      </c>
      <c r="S455" s="12">
        <v>0</v>
      </c>
      <c r="T455" s="12">
        <v>0</v>
      </c>
      <c r="U455" s="12">
        <v>15951</v>
      </c>
      <c r="V455" s="12">
        <v>15951</v>
      </c>
      <c r="W455" s="12">
        <v>0</v>
      </c>
      <c r="X455" s="12">
        <v>0</v>
      </c>
      <c r="Y455" s="12">
        <v>17289.8</v>
      </c>
      <c r="Z455" s="12">
        <v>17289.8</v>
      </c>
      <c r="AA455" s="12">
        <v>0</v>
      </c>
      <c r="AB455" s="12">
        <v>0</v>
      </c>
      <c r="AC455" s="12">
        <v>1338.7999999999993</v>
      </c>
      <c r="AD455" s="12">
        <v>1338.7999999999993</v>
      </c>
      <c r="AI455" s="12"/>
    </row>
    <row r="456" spans="1:35" x14ac:dyDescent="0.25">
      <c r="A456">
        <v>4161</v>
      </c>
      <c r="B456" t="s">
        <v>1042</v>
      </c>
      <c r="C456" s="19">
        <v>0</v>
      </c>
      <c r="D456" s="19">
        <v>0</v>
      </c>
      <c r="E456" s="19">
        <v>21527</v>
      </c>
      <c r="F456" s="19">
        <v>21527</v>
      </c>
      <c r="G456" s="19">
        <v>0</v>
      </c>
      <c r="H456" s="19">
        <v>0</v>
      </c>
      <c r="I456" s="19">
        <v>970.40000000000146</v>
      </c>
      <c r="J456" s="19">
        <v>970.40000000000146</v>
      </c>
      <c r="K456" s="19"/>
      <c r="L456" s="19">
        <v>0</v>
      </c>
      <c r="M456" s="19">
        <v>22497.4</v>
      </c>
      <c r="N456" s="19">
        <v>22497.4</v>
      </c>
      <c r="P456">
        <v>4128</v>
      </c>
      <c r="Q456">
        <v>7</v>
      </c>
      <c r="R456" t="s">
        <v>463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I456" s="12"/>
    </row>
    <row r="457" spans="1:35" x14ac:dyDescent="0.25">
      <c r="A457">
        <v>4162</v>
      </c>
      <c r="B457" t="s">
        <v>1043</v>
      </c>
      <c r="C457" s="19">
        <v>0</v>
      </c>
      <c r="D457" s="19">
        <v>0</v>
      </c>
      <c r="E457" s="19">
        <v>7995</v>
      </c>
      <c r="F457" s="19">
        <v>7995</v>
      </c>
      <c r="G457" s="19">
        <v>0</v>
      </c>
      <c r="H457" s="19">
        <v>0</v>
      </c>
      <c r="I457" s="19">
        <v>553.20000000000073</v>
      </c>
      <c r="J457" s="19">
        <v>553.20000000000073</v>
      </c>
      <c r="K457" s="19"/>
      <c r="L457" s="19">
        <v>0</v>
      </c>
      <c r="M457" s="19">
        <v>8548.2000000000007</v>
      </c>
      <c r="N457" s="19">
        <v>8548.2000000000007</v>
      </c>
      <c r="P457">
        <v>4129</v>
      </c>
      <c r="Q457">
        <v>7</v>
      </c>
      <c r="R457" t="s">
        <v>464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>
        <v>0</v>
      </c>
      <c r="AB457" s="12">
        <v>0</v>
      </c>
      <c r="AC457" s="12">
        <v>0</v>
      </c>
      <c r="AD457" s="12">
        <v>0</v>
      </c>
      <c r="AI457" s="12"/>
    </row>
    <row r="458" spans="1:35" x14ac:dyDescent="0.25">
      <c r="A458">
        <v>4163</v>
      </c>
      <c r="B458" t="s">
        <v>1044</v>
      </c>
      <c r="C458" s="19">
        <v>0</v>
      </c>
      <c r="D458" s="19">
        <v>0</v>
      </c>
      <c r="E458" s="19">
        <v>29880</v>
      </c>
      <c r="F458" s="19">
        <v>29880</v>
      </c>
      <c r="G458" s="19">
        <v>0</v>
      </c>
      <c r="H458" s="19">
        <v>0</v>
      </c>
      <c r="I458" s="19">
        <v>605.20000000000073</v>
      </c>
      <c r="J458" s="19">
        <v>605.20000000000073</v>
      </c>
      <c r="K458" s="19"/>
      <c r="L458" s="19">
        <v>0</v>
      </c>
      <c r="M458" s="19">
        <v>30485.200000000001</v>
      </c>
      <c r="N458" s="19">
        <v>30485.200000000001</v>
      </c>
      <c r="P458">
        <v>4131</v>
      </c>
      <c r="Q458">
        <v>7</v>
      </c>
      <c r="R458" t="s">
        <v>465</v>
      </c>
      <c r="S458" s="12">
        <v>0</v>
      </c>
      <c r="T458" s="12">
        <v>0</v>
      </c>
      <c r="U458" s="12">
        <v>34863</v>
      </c>
      <c r="V458" s="12">
        <v>34863</v>
      </c>
      <c r="W458" s="12">
        <v>0</v>
      </c>
      <c r="X458" s="12">
        <v>0</v>
      </c>
      <c r="Y458" s="12">
        <v>34955.4</v>
      </c>
      <c r="Z458" s="12">
        <v>34955.4</v>
      </c>
      <c r="AA458" s="12">
        <v>0</v>
      </c>
      <c r="AB458" s="12">
        <v>0</v>
      </c>
      <c r="AC458" s="12">
        <v>92.400000000001455</v>
      </c>
      <c r="AD458" s="12">
        <v>92.400000000001455</v>
      </c>
      <c r="AI458" s="12"/>
    </row>
    <row r="459" spans="1:35" x14ac:dyDescent="0.25">
      <c r="A459">
        <v>4164</v>
      </c>
      <c r="B459" t="s">
        <v>1045</v>
      </c>
      <c r="C459" s="19">
        <v>0</v>
      </c>
      <c r="D459" s="19">
        <v>0</v>
      </c>
      <c r="E459" s="19">
        <v>13376</v>
      </c>
      <c r="F459" s="19">
        <v>13376</v>
      </c>
      <c r="G459" s="19">
        <v>0</v>
      </c>
      <c r="H459" s="19">
        <v>0</v>
      </c>
      <c r="I459" s="19">
        <v>566.79999999999927</v>
      </c>
      <c r="J459" s="19">
        <v>566.79999999999927</v>
      </c>
      <c r="K459" s="19"/>
      <c r="L459" s="19">
        <v>0</v>
      </c>
      <c r="M459" s="19">
        <v>13942.8</v>
      </c>
      <c r="N459" s="19">
        <v>13942.8</v>
      </c>
      <c r="P459">
        <v>4132</v>
      </c>
      <c r="Q459">
        <v>7</v>
      </c>
      <c r="R459" t="s">
        <v>466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>
        <v>0</v>
      </c>
      <c r="AB459" s="12">
        <v>0</v>
      </c>
      <c r="AC459" s="12">
        <v>0</v>
      </c>
      <c r="AD459" s="12">
        <v>0</v>
      </c>
      <c r="AI459" s="12"/>
    </row>
    <row r="460" spans="1:35" x14ac:dyDescent="0.25">
      <c r="A460">
        <v>4166</v>
      </c>
      <c r="B460" t="s">
        <v>1046</v>
      </c>
      <c r="C460" s="19">
        <v>0</v>
      </c>
      <c r="D460" s="19">
        <v>0</v>
      </c>
      <c r="E460" s="19">
        <v>6622</v>
      </c>
      <c r="F460" s="19">
        <v>6622</v>
      </c>
      <c r="G460" s="19">
        <v>0</v>
      </c>
      <c r="H460" s="19">
        <v>0</v>
      </c>
      <c r="I460" s="19">
        <v>222</v>
      </c>
      <c r="J460" s="19">
        <v>222</v>
      </c>
      <c r="K460" s="19"/>
      <c r="L460" s="19">
        <v>0</v>
      </c>
      <c r="M460" s="19">
        <v>6844</v>
      </c>
      <c r="N460" s="19">
        <v>6844</v>
      </c>
      <c r="P460">
        <v>4133</v>
      </c>
      <c r="Q460">
        <v>7</v>
      </c>
      <c r="R460" t="s">
        <v>467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I460" s="12"/>
    </row>
    <row r="461" spans="1:35" x14ac:dyDescent="0.25">
      <c r="A461">
        <v>4167</v>
      </c>
      <c r="B461" t="s">
        <v>1047</v>
      </c>
      <c r="C461" s="19">
        <v>0</v>
      </c>
      <c r="D461" s="19">
        <v>0</v>
      </c>
      <c r="E461" s="19">
        <v>17529</v>
      </c>
      <c r="F461" s="19">
        <v>17529</v>
      </c>
      <c r="G461" s="19">
        <v>0</v>
      </c>
      <c r="H461" s="19">
        <v>0</v>
      </c>
      <c r="I461" s="19">
        <v>266</v>
      </c>
      <c r="J461" s="19">
        <v>266</v>
      </c>
      <c r="K461" s="19"/>
      <c r="L461" s="19">
        <v>0</v>
      </c>
      <c r="M461" s="19">
        <v>17795</v>
      </c>
      <c r="N461" s="19">
        <v>17795</v>
      </c>
      <c r="P461">
        <v>4135</v>
      </c>
      <c r="Q461">
        <v>7</v>
      </c>
      <c r="R461" t="s">
        <v>468</v>
      </c>
      <c r="S461" s="12">
        <v>0</v>
      </c>
      <c r="T461" s="12">
        <v>0</v>
      </c>
      <c r="U461" s="12">
        <v>39102</v>
      </c>
      <c r="V461" s="12">
        <v>39102</v>
      </c>
      <c r="W461" s="12">
        <v>0</v>
      </c>
      <c r="X461" s="12">
        <v>0</v>
      </c>
      <c r="Y461" s="12">
        <v>39189.199999999997</v>
      </c>
      <c r="Z461" s="12">
        <v>39189.199999999997</v>
      </c>
      <c r="AA461" s="12">
        <v>0</v>
      </c>
      <c r="AB461" s="12">
        <v>0</v>
      </c>
      <c r="AC461" s="12">
        <v>87.19999999999709</v>
      </c>
      <c r="AD461" s="12">
        <v>87.19999999999709</v>
      </c>
      <c r="AI461" s="12"/>
    </row>
    <row r="462" spans="1:35" x14ac:dyDescent="0.25">
      <c r="A462">
        <v>4168</v>
      </c>
      <c r="B462" t="s">
        <v>1048</v>
      </c>
      <c r="C462" s="19">
        <v>0</v>
      </c>
      <c r="D462" s="19">
        <v>0</v>
      </c>
      <c r="E462" s="19">
        <v>17734</v>
      </c>
      <c r="F462" s="19">
        <v>17734</v>
      </c>
      <c r="G462" s="19">
        <v>0</v>
      </c>
      <c r="H462" s="19">
        <v>0</v>
      </c>
      <c r="I462" s="19">
        <v>1254</v>
      </c>
      <c r="J462" s="19">
        <v>1254</v>
      </c>
      <c r="K462" s="19"/>
      <c r="L462" s="19">
        <v>0</v>
      </c>
      <c r="M462" s="19">
        <v>18988</v>
      </c>
      <c r="N462" s="19">
        <v>18988</v>
      </c>
      <c r="P462">
        <v>4136</v>
      </c>
      <c r="Q462">
        <v>7</v>
      </c>
      <c r="R462" t="s">
        <v>469</v>
      </c>
      <c r="S462" s="12">
        <v>0</v>
      </c>
      <c r="T462" s="12">
        <v>0</v>
      </c>
      <c r="U462" s="12">
        <v>0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I462" s="12"/>
    </row>
    <row r="463" spans="1:35" x14ac:dyDescent="0.25">
      <c r="A463">
        <v>4169</v>
      </c>
      <c r="B463" t="s">
        <v>1049</v>
      </c>
      <c r="C463" s="19">
        <v>0</v>
      </c>
      <c r="D463" s="19">
        <v>0</v>
      </c>
      <c r="E463" s="19">
        <v>35411</v>
      </c>
      <c r="F463" s="19">
        <v>35411</v>
      </c>
      <c r="G463" s="19">
        <v>0</v>
      </c>
      <c r="H463" s="19">
        <v>0</v>
      </c>
      <c r="I463" s="19">
        <v>746.40000000000146</v>
      </c>
      <c r="J463" s="19">
        <v>746.40000000000146</v>
      </c>
      <c r="K463" s="19"/>
      <c r="L463" s="19">
        <v>0</v>
      </c>
      <c r="M463" s="19">
        <v>36157.4</v>
      </c>
      <c r="N463" s="19">
        <v>36157.4</v>
      </c>
      <c r="P463">
        <v>4137</v>
      </c>
      <c r="Q463">
        <v>7</v>
      </c>
      <c r="R463" t="s">
        <v>470</v>
      </c>
      <c r="S463" s="12">
        <v>0</v>
      </c>
      <c r="T463" s="12">
        <v>0</v>
      </c>
      <c r="U463" s="12">
        <v>11580</v>
      </c>
      <c r="V463" s="12">
        <v>11580</v>
      </c>
      <c r="W463" s="12">
        <v>0</v>
      </c>
      <c r="X463" s="12">
        <v>0</v>
      </c>
      <c r="Y463" s="12">
        <v>12004.8</v>
      </c>
      <c r="Z463" s="12">
        <v>12004.8</v>
      </c>
      <c r="AA463" s="12">
        <v>0</v>
      </c>
      <c r="AB463" s="12">
        <v>0</v>
      </c>
      <c r="AC463" s="12">
        <v>424.79999999999927</v>
      </c>
      <c r="AD463" s="12">
        <v>424.79999999999927</v>
      </c>
      <c r="AI463" s="12"/>
    </row>
    <row r="464" spans="1:35" x14ac:dyDescent="0.25">
      <c r="A464">
        <v>4170</v>
      </c>
      <c r="B464" t="s">
        <v>1050</v>
      </c>
      <c r="C464" s="19">
        <v>0</v>
      </c>
      <c r="D464" s="19">
        <v>0</v>
      </c>
      <c r="E464" s="19">
        <v>88061</v>
      </c>
      <c r="F464" s="19">
        <v>88061</v>
      </c>
      <c r="G464" s="19">
        <v>0</v>
      </c>
      <c r="H464" s="19">
        <v>0</v>
      </c>
      <c r="I464" s="19">
        <v>2469.6000000000058</v>
      </c>
      <c r="J464" s="19">
        <v>2469.6000000000058</v>
      </c>
      <c r="K464" s="19"/>
      <c r="L464" s="19">
        <v>0</v>
      </c>
      <c r="M464" s="19">
        <v>90530.6</v>
      </c>
      <c r="N464" s="19">
        <v>90530.6</v>
      </c>
      <c r="P464">
        <v>4138</v>
      </c>
      <c r="Q464">
        <v>7</v>
      </c>
      <c r="R464" t="s">
        <v>471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I464" s="12"/>
    </row>
    <row r="465" spans="1:35" x14ac:dyDescent="0.25">
      <c r="A465">
        <v>4171</v>
      </c>
      <c r="B465" t="s">
        <v>1051</v>
      </c>
      <c r="C465" s="19">
        <v>0</v>
      </c>
      <c r="D465" s="19">
        <v>0</v>
      </c>
      <c r="E465" s="19">
        <v>77218</v>
      </c>
      <c r="F465" s="19">
        <v>77218</v>
      </c>
      <c r="G465" s="19">
        <v>0</v>
      </c>
      <c r="H465" s="19">
        <v>0</v>
      </c>
      <c r="I465" s="19">
        <v>5399.1999999999971</v>
      </c>
      <c r="J465" s="19">
        <v>5399.1999999999971</v>
      </c>
      <c r="K465" s="19"/>
      <c r="L465" s="19">
        <v>0</v>
      </c>
      <c r="M465" s="19">
        <v>82617.2</v>
      </c>
      <c r="N465" s="19">
        <v>82617.2</v>
      </c>
      <c r="P465">
        <v>4139</v>
      </c>
      <c r="Q465">
        <v>7</v>
      </c>
      <c r="R465" t="s">
        <v>472</v>
      </c>
      <c r="S465" s="12">
        <v>0</v>
      </c>
      <c r="T465" s="12">
        <v>0</v>
      </c>
      <c r="U465" s="12">
        <v>31898</v>
      </c>
      <c r="V465" s="12">
        <v>31898</v>
      </c>
      <c r="W465" s="12">
        <v>0</v>
      </c>
      <c r="X465" s="12">
        <v>0</v>
      </c>
      <c r="Y465" s="12">
        <v>32763.200000000001</v>
      </c>
      <c r="Z465" s="12">
        <v>32763.200000000001</v>
      </c>
      <c r="AA465" s="12">
        <v>0</v>
      </c>
      <c r="AB465" s="12">
        <v>0</v>
      </c>
      <c r="AC465" s="12">
        <v>865.20000000000073</v>
      </c>
      <c r="AD465" s="12">
        <v>865.20000000000073</v>
      </c>
      <c r="AI465" s="12"/>
    </row>
    <row r="466" spans="1:35" x14ac:dyDescent="0.25">
      <c r="A466">
        <v>4172</v>
      </c>
      <c r="B466" t="s">
        <v>1052</v>
      </c>
      <c r="C466" s="19">
        <v>0</v>
      </c>
      <c r="D466" s="19">
        <v>0</v>
      </c>
      <c r="E466" s="19">
        <v>8727</v>
      </c>
      <c r="F466" s="19">
        <v>8727</v>
      </c>
      <c r="G466" s="19">
        <v>0</v>
      </c>
      <c r="H466" s="19">
        <v>0</v>
      </c>
      <c r="I466" s="19">
        <v>1154.7999999999993</v>
      </c>
      <c r="J466" s="19">
        <v>1154.7999999999993</v>
      </c>
      <c r="K466" s="19"/>
      <c r="L466" s="19">
        <v>0</v>
      </c>
      <c r="M466" s="19">
        <v>9881.7999999999993</v>
      </c>
      <c r="N466" s="19">
        <v>9881.7999999999993</v>
      </c>
      <c r="P466">
        <v>4140</v>
      </c>
      <c r="Q466">
        <v>7</v>
      </c>
      <c r="R466" t="s">
        <v>473</v>
      </c>
      <c r="S466" s="12">
        <v>0</v>
      </c>
      <c r="T466" s="12">
        <v>0</v>
      </c>
      <c r="U466" s="12">
        <v>33264</v>
      </c>
      <c r="V466" s="12">
        <v>33264</v>
      </c>
      <c r="W466" s="12">
        <v>0</v>
      </c>
      <c r="X466" s="12">
        <v>0</v>
      </c>
      <c r="Y466" s="12">
        <v>34066</v>
      </c>
      <c r="Z466" s="12">
        <v>34066</v>
      </c>
      <c r="AA466" s="12">
        <v>0</v>
      </c>
      <c r="AB466" s="12">
        <v>0</v>
      </c>
      <c r="AC466" s="12">
        <v>802</v>
      </c>
      <c r="AD466" s="12">
        <v>802</v>
      </c>
      <c r="AI466" s="12"/>
    </row>
    <row r="467" spans="1:35" x14ac:dyDescent="0.25">
      <c r="A467">
        <v>4173</v>
      </c>
      <c r="B467" t="s">
        <v>1053</v>
      </c>
      <c r="C467" s="19">
        <v>0</v>
      </c>
      <c r="D467" s="19">
        <v>0</v>
      </c>
      <c r="E467" s="19">
        <v>5048</v>
      </c>
      <c r="F467" s="19">
        <v>5048</v>
      </c>
      <c r="G467" s="19">
        <v>0</v>
      </c>
      <c r="H467" s="19">
        <v>0</v>
      </c>
      <c r="I467" s="19">
        <v>30</v>
      </c>
      <c r="J467" s="19">
        <v>30</v>
      </c>
      <c r="K467" s="19"/>
      <c r="L467" s="19">
        <v>0</v>
      </c>
      <c r="M467" s="19">
        <v>5078</v>
      </c>
      <c r="N467" s="19">
        <v>5078</v>
      </c>
      <c r="P467">
        <v>4141</v>
      </c>
      <c r="Q467">
        <v>7</v>
      </c>
      <c r="R467" t="s">
        <v>474</v>
      </c>
      <c r="S467" s="12">
        <v>0</v>
      </c>
      <c r="T467" s="12">
        <v>0</v>
      </c>
      <c r="U467" s="12">
        <v>22207</v>
      </c>
      <c r="V467" s="12">
        <v>22207</v>
      </c>
      <c r="W467" s="12">
        <v>0</v>
      </c>
      <c r="X467" s="12">
        <v>0</v>
      </c>
      <c r="Y467" s="12">
        <v>22719.8</v>
      </c>
      <c r="Z467" s="12">
        <v>22719.8</v>
      </c>
      <c r="AA467" s="12">
        <v>0</v>
      </c>
      <c r="AB467" s="12">
        <v>0</v>
      </c>
      <c r="AC467" s="12">
        <v>512.79999999999927</v>
      </c>
      <c r="AD467" s="12">
        <v>512.79999999999927</v>
      </c>
      <c r="AI467" s="12"/>
    </row>
    <row r="468" spans="1:35" x14ac:dyDescent="0.25">
      <c r="A468">
        <v>4174</v>
      </c>
      <c r="B468" t="s">
        <v>1054</v>
      </c>
      <c r="C468" s="19">
        <v>0</v>
      </c>
      <c r="D468" s="19">
        <v>0</v>
      </c>
      <c r="E468" s="19">
        <v>0</v>
      </c>
      <c r="F468" s="19">
        <v>0</v>
      </c>
      <c r="G468" s="19">
        <v>0</v>
      </c>
      <c r="H468" s="19">
        <v>0</v>
      </c>
      <c r="I468" s="19">
        <v>0</v>
      </c>
      <c r="J468" s="19">
        <v>0</v>
      </c>
      <c r="K468" s="19"/>
      <c r="L468" s="19">
        <v>0</v>
      </c>
      <c r="M468" s="19">
        <v>0</v>
      </c>
      <c r="N468" s="19">
        <v>0</v>
      </c>
      <c r="P468">
        <v>4142</v>
      </c>
      <c r="Q468">
        <v>7</v>
      </c>
      <c r="R468" t="s">
        <v>475</v>
      </c>
      <c r="S468" s="12">
        <v>0</v>
      </c>
      <c r="T468" s="12">
        <v>0</v>
      </c>
      <c r="U468" s="12">
        <v>48453</v>
      </c>
      <c r="V468" s="12">
        <v>48453</v>
      </c>
      <c r="W468" s="12">
        <v>0</v>
      </c>
      <c r="X468" s="12">
        <v>0</v>
      </c>
      <c r="Y468" s="12">
        <v>51605.4</v>
      </c>
      <c r="Z468" s="12">
        <v>51605.4</v>
      </c>
      <c r="AA468" s="12">
        <v>0</v>
      </c>
      <c r="AB468" s="12">
        <v>0</v>
      </c>
      <c r="AC468" s="12">
        <v>3152.4000000000015</v>
      </c>
      <c r="AD468" s="12">
        <v>3152.4000000000015</v>
      </c>
      <c r="AI468" s="12"/>
    </row>
    <row r="469" spans="1:35" x14ac:dyDescent="0.25">
      <c r="A469">
        <v>4177</v>
      </c>
      <c r="B469" t="s">
        <v>1055</v>
      </c>
      <c r="C469" s="19">
        <v>0</v>
      </c>
      <c r="D469" s="19">
        <v>0</v>
      </c>
      <c r="E469" s="19">
        <v>864</v>
      </c>
      <c r="F469" s="19">
        <v>864</v>
      </c>
      <c r="G469" s="19">
        <v>0</v>
      </c>
      <c r="H469" s="19">
        <v>0</v>
      </c>
      <c r="I469" s="19">
        <v>0</v>
      </c>
      <c r="J469" s="19">
        <v>0</v>
      </c>
      <c r="K469" s="19"/>
      <c r="L469" s="19">
        <v>0</v>
      </c>
      <c r="M469" s="19">
        <v>864</v>
      </c>
      <c r="N469" s="19">
        <v>864</v>
      </c>
      <c r="P469">
        <v>4143</v>
      </c>
      <c r="Q469">
        <v>7</v>
      </c>
      <c r="R469" t="s">
        <v>476</v>
      </c>
      <c r="S469" s="12">
        <v>0</v>
      </c>
      <c r="T469" s="12">
        <v>0</v>
      </c>
      <c r="U469" s="12">
        <v>78530</v>
      </c>
      <c r="V469" s="12">
        <v>78530</v>
      </c>
      <c r="W469" s="12">
        <v>0</v>
      </c>
      <c r="X469" s="12">
        <v>0</v>
      </c>
      <c r="Y469" s="12">
        <v>81269.2</v>
      </c>
      <c r="Z469" s="12">
        <v>81269.2</v>
      </c>
      <c r="AA469" s="12">
        <v>0</v>
      </c>
      <c r="AB469" s="12">
        <v>0</v>
      </c>
      <c r="AC469" s="12">
        <v>2739.1999999999971</v>
      </c>
      <c r="AD469" s="12">
        <v>2739.1999999999971</v>
      </c>
      <c r="AI469" s="12"/>
    </row>
    <row r="470" spans="1:35" x14ac:dyDescent="0.25">
      <c r="A470">
        <v>4178</v>
      </c>
      <c r="B470" t="s">
        <v>1056</v>
      </c>
      <c r="C470" s="19">
        <v>0</v>
      </c>
      <c r="D470" s="19">
        <v>0</v>
      </c>
      <c r="E470" s="19">
        <v>18459</v>
      </c>
      <c r="F470" s="19">
        <v>18459</v>
      </c>
      <c r="G470" s="19">
        <v>0</v>
      </c>
      <c r="H470" s="19">
        <v>0</v>
      </c>
      <c r="I470" s="19">
        <v>39.599999999998545</v>
      </c>
      <c r="J470" s="19">
        <v>39.599999999998545</v>
      </c>
      <c r="K470" s="19"/>
      <c r="L470" s="19">
        <v>0</v>
      </c>
      <c r="M470" s="19">
        <v>18498.599999999999</v>
      </c>
      <c r="N470" s="19">
        <v>18498.599999999999</v>
      </c>
      <c r="P470">
        <v>4144</v>
      </c>
      <c r="Q470">
        <v>7</v>
      </c>
      <c r="R470" t="s">
        <v>477</v>
      </c>
      <c r="S470" s="12">
        <v>0</v>
      </c>
      <c r="T470" s="12">
        <v>0</v>
      </c>
      <c r="U470" s="12">
        <v>0</v>
      </c>
      <c r="V470" s="12">
        <v>0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I470" s="12"/>
    </row>
    <row r="471" spans="1:35" x14ac:dyDescent="0.25">
      <c r="A471">
        <v>4180</v>
      </c>
      <c r="B471" t="s">
        <v>1057</v>
      </c>
      <c r="C471" s="19">
        <v>0</v>
      </c>
      <c r="D471" s="19">
        <v>0</v>
      </c>
      <c r="E471" s="19">
        <v>43391</v>
      </c>
      <c r="F471" s="19">
        <v>43391</v>
      </c>
      <c r="G471" s="19">
        <v>0</v>
      </c>
      <c r="H471" s="19">
        <v>0</v>
      </c>
      <c r="I471" s="19">
        <v>234.40000000000146</v>
      </c>
      <c r="J471" s="19">
        <v>234.40000000000146</v>
      </c>
      <c r="K471" s="19"/>
      <c r="L471" s="19">
        <v>0</v>
      </c>
      <c r="M471" s="19">
        <v>43625.4</v>
      </c>
      <c r="N471" s="19">
        <v>43625.4</v>
      </c>
      <c r="P471">
        <v>4145</v>
      </c>
      <c r="Q471">
        <v>7</v>
      </c>
      <c r="R471" t="s">
        <v>478</v>
      </c>
      <c r="S471" s="12">
        <v>0</v>
      </c>
      <c r="T471" s="12">
        <v>0</v>
      </c>
      <c r="U471" s="12">
        <v>1666</v>
      </c>
      <c r="V471" s="12">
        <v>1666</v>
      </c>
      <c r="W471" s="12">
        <v>0</v>
      </c>
      <c r="X471" s="12">
        <v>0</v>
      </c>
      <c r="Y471" s="12">
        <v>1796.4</v>
      </c>
      <c r="Z471" s="12">
        <v>1796.4</v>
      </c>
      <c r="AA471" s="12">
        <v>0</v>
      </c>
      <c r="AB471" s="12">
        <v>0</v>
      </c>
      <c r="AC471" s="12">
        <v>130.40000000000009</v>
      </c>
      <c r="AD471" s="12">
        <v>130.40000000000009</v>
      </c>
      <c r="AI471" s="12"/>
    </row>
    <row r="472" spans="1:35" x14ac:dyDescent="0.25">
      <c r="A472">
        <v>4181</v>
      </c>
      <c r="B472" t="s">
        <v>1058</v>
      </c>
      <c r="C472" s="19">
        <v>0</v>
      </c>
      <c r="D472" s="19">
        <v>0</v>
      </c>
      <c r="E472" s="19">
        <v>155194</v>
      </c>
      <c r="F472" s="19">
        <v>155194</v>
      </c>
      <c r="G472" s="19">
        <v>0</v>
      </c>
      <c r="H472" s="19">
        <v>0</v>
      </c>
      <c r="I472" s="19">
        <v>5256.7999999999884</v>
      </c>
      <c r="J472" s="19">
        <v>5256.7999999999884</v>
      </c>
      <c r="K472" s="19"/>
      <c r="L472" s="19">
        <v>0</v>
      </c>
      <c r="M472" s="19">
        <v>160450.79999999999</v>
      </c>
      <c r="N472" s="19">
        <v>160450.79999999999</v>
      </c>
      <c r="P472">
        <v>4146</v>
      </c>
      <c r="Q472">
        <v>7</v>
      </c>
      <c r="R472" t="s">
        <v>479</v>
      </c>
      <c r="S472" s="12">
        <v>0</v>
      </c>
      <c r="T472" s="12">
        <v>0</v>
      </c>
      <c r="U472" s="12">
        <v>6958</v>
      </c>
      <c r="V472" s="12">
        <v>6958</v>
      </c>
      <c r="W472" s="12">
        <v>0</v>
      </c>
      <c r="X472" s="12">
        <v>0</v>
      </c>
      <c r="Y472" s="12">
        <v>7284.8</v>
      </c>
      <c r="Z472" s="12">
        <v>7284.8</v>
      </c>
      <c r="AA472" s="12">
        <v>0</v>
      </c>
      <c r="AB472" s="12">
        <v>0</v>
      </c>
      <c r="AC472" s="12">
        <v>326.80000000000018</v>
      </c>
      <c r="AD472" s="12">
        <v>326.80000000000018</v>
      </c>
      <c r="AI472" s="12"/>
    </row>
    <row r="473" spans="1:35" x14ac:dyDescent="0.25">
      <c r="A473">
        <v>4182</v>
      </c>
      <c r="B473" t="s">
        <v>1059</v>
      </c>
      <c r="C473" s="19">
        <v>0</v>
      </c>
      <c r="D473" s="19">
        <v>0</v>
      </c>
      <c r="E473" s="19">
        <v>1902</v>
      </c>
      <c r="F473" s="19">
        <v>1902</v>
      </c>
      <c r="G473" s="19">
        <v>0</v>
      </c>
      <c r="H473" s="19">
        <v>0</v>
      </c>
      <c r="I473" s="19">
        <v>60</v>
      </c>
      <c r="J473" s="19">
        <v>60</v>
      </c>
      <c r="K473" s="19"/>
      <c r="L473" s="19">
        <v>0</v>
      </c>
      <c r="M473" s="19">
        <v>1962</v>
      </c>
      <c r="N473" s="19">
        <v>1962</v>
      </c>
      <c r="P473">
        <v>4148</v>
      </c>
      <c r="Q473">
        <v>7</v>
      </c>
      <c r="R473" t="s">
        <v>480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  <c r="X473" s="12">
        <v>0</v>
      </c>
      <c r="Y473" s="12">
        <v>0</v>
      </c>
      <c r="Z473" s="12">
        <v>0</v>
      </c>
      <c r="AA473" s="12">
        <v>0</v>
      </c>
      <c r="AB473" s="12">
        <v>0</v>
      </c>
      <c r="AC473" s="12">
        <v>0</v>
      </c>
      <c r="AD473" s="12">
        <v>0</v>
      </c>
      <c r="AI473" s="12"/>
    </row>
    <row r="474" spans="1:35" x14ac:dyDescent="0.25">
      <c r="A474">
        <v>4183</v>
      </c>
      <c r="B474" t="s">
        <v>1060</v>
      </c>
      <c r="C474" s="19">
        <v>0</v>
      </c>
      <c r="D474" s="19">
        <v>0</v>
      </c>
      <c r="E474" s="19">
        <v>10261</v>
      </c>
      <c r="F474" s="19">
        <v>10261</v>
      </c>
      <c r="G474" s="19">
        <v>0</v>
      </c>
      <c r="H474" s="19">
        <v>0</v>
      </c>
      <c r="I474" s="19">
        <v>261.20000000000073</v>
      </c>
      <c r="J474" s="19">
        <v>261.20000000000073</v>
      </c>
      <c r="K474" s="19"/>
      <c r="L474" s="19">
        <v>0</v>
      </c>
      <c r="M474" s="19">
        <v>10522.2</v>
      </c>
      <c r="N474" s="19">
        <v>10522.2</v>
      </c>
      <c r="P474">
        <v>4149</v>
      </c>
      <c r="Q474">
        <v>7</v>
      </c>
      <c r="R474" t="s">
        <v>481</v>
      </c>
      <c r="S474" s="12">
        <v>0</v>
      </c>
      <c r="T474" s="12">
        <v>0</v>
      </c>
      <c r="U474" s="12">
        <v>0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I474" s="12"/>
    </row>
    <row r="475" spans="1:35" x14ac:dyDescent="0.25">
      <c r="A475">
        <v>4184</v>
      </c>
      <c r="B475" t="s">
        <v>1061</v>
      </c>
      <c r="C475" s="19">
        <v>0</v>
      </c>
      <c r="D475" s="19">
        <v>0</v>
      </c>
      <c r="E475" s="19">
        <v>24418</v>
      </c>
      <c r="F475" s="19">
        <v>24418</v>
      </c>
      <c r="G475" s="19">
        <v>0</v>
      </c>
      <c r="H475" s="19">
        <v>0</v>
      </c>
      <c r="I475" s="19">
        <v>788.79999999999927</v>
      </c>
      <c r="J475" s="19">
        <v>788.79999999999927</v>
      </c>
      <c r="K475" s="19"/>
      <c r="L475" s="19">
        <v>0</v>
      </c>
      <c r="M475" s="19">
        <v>25206.799999999999</v>
      </c>
      <c r="N475" s="19">
        <v>25206.799999999999</v>
      </c>
      <c r="P475">
        <v>4150</v>
      </c>
      <c r="Q475">
        <v>7</v>
      </c>
      <c r="R475" t="s">
        <v>482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2">
        <v>0</v>
      </c>
      <c r="Y475" s="12">
        <v>0</v>
      </c>
      <c r="Z475" s="12">
        <v>0</v>
      </c>
      <c r="AA475" s="12">
        <v>0</v>
      </c>
      <c r="AB475" s="12">
        <v>0</v>
      </c>
      <c r="AC475" s="12">
        <v>0</v>
      </c>
      <c r="AD475" s="12">
        <v>0</v>
      </c>
      <c r="AI475" s="12"/>
    </row>
    <row r="476" spans="1:35" x14ac:dyDescent="0.25">
      <c r="A476">
        <v>4185</v>
      </c>
      <c r="B476" t="s">
        <v>1062</v>
      </c>
      <c r="C476" s="19">
        <v>0</v>
      </c>
      <c r="D476" s="19">
        <v>0</v>
      </c>
      <c r="E476" s="19">
        <v>26446</v>
      </c>
      <c r="F476" s="19">
        <v>26446</v>
      </c>
      <c r="G476" s="19">
        <v>0</v>
      </c>
      <c r="H476" s="19">
        <v>0</v>
      </c>
      <c r="I476" s="19">
        <v>1379.5999999999985</v>
      </c>
      <c r="J476" s="19">
        <v>1379.5999999999985</v>
      </c>
      <c r="K476" s="19"/>
      <c r="L476" s="19">
        <v>0</v>
      </c>
      <c r="M476" s="19">
        <v>27825.599999999999</v>
      </c>
      <c r="N476" s="19">
        <v>27825.599999999999</v>
      </c>
      <c r="P476">
        <v>4151</v>
      </c>
      <c r="Q476">
        <v>7</v>
      </c>
      <c r="R476" t="s">
        <v>483</v>
      </c>
      <c r="S476" s="12">
        <v>0</v>
      </c>
      <c r="T476" s="12">
        <v>0</v>
      </c>
      <c r="U476" s="12">
        <v>0</v>
      </c>
      <c r="V476" s="12">
        <v>0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I476" s="12"/>
    </row>
    <row r="477" spans="1:35" x14ac:dyDescent="0.25">
      <c r="A477">
        <v>4186</v>
      </c>
      <c r="B477" t="s">
        <v>1063</v>
      </c>
      <c r="C477" s="19">
        <v>0</v>
      </c>
      <c r="D477" s="19">
        <v>0</v>
      </c>
      <c r="E477" s="19">
        <v>68725</v>
      </c>
      <c r="F477" s="19">
        <v>68725</v>
      </c>
      <c r="G477" s="19">
        <v>0</v>
      </c>
      <c r="H477" s="19">
        <v>0</v>
      </c>
      <c r="I477" s="19">
        <v>2554.3999999999942</v>
      </c>
      <c r="J477" s="19">
        <v>2554.3999999999942</v>
      </c>
      <c r="K477" s="19"/>
      <c r="L477" s="19">
        <v>0</v>
      </c>
      <c r="M477" s="19">
        <v>71279.399999999994</v>
      </c>
      <c r="N477" s="19">
        <v>71279.399999999994</v>
      </c>
      <c r="P477">
        <v>4152</v>
      </c>
      <c r="Q477">
        <v>7</v>
      </c>
      <c r="R477" t="s">
        <v>484</v>
      </c>
      <c r="S477" s="12">
        <v>0</v>
      </c>
      <c r="T477" s="12">
        <v>0</v>
      </c>
      <c r="U477" s="12">
        <v>12729</v>
      </c>
      <c r="V477" s="12">
        <v>12729</v>
      </c>
      <c r="W477" s="12">
        <v>0</v>
      </c>
      <c r="X477" s="12">
        <v>0</v>
      </c>
      <c r="Y477" s="12">
        <v>13251.4</v>
      </c>
      <c r="Z477" s="12">
        <v>13251.4</v>
      </c>
      <c r="AA477" s="12">
        <v>0</v>
      </c>
      <c r="AB477" s="12">
        <v>0</v>
      </c>
      <c r="AC477" s="12">
        <v>522.39999999999964</v>
      </c>
      <c r="AD477" s="12">
        <v>522.39999999999964</v>
      </c>
      <c r="AI477" s="12"/>
    </row>
    <row r="478" spans="1:35" x14ac:dyDescent="0.25">
      <c r="A478">
        <v>4187</v>
      </c>
      <c r="B478" t="s">
        <v>1064</v>
      </c>
      <c r="C478" s="19">
        <v>0</v>
      </c>
      <c r="D478" s="19">
        <v>0</v>
      </c>
      <c r="E478" s="19">
        <v>0</v>
      </c>
      <c r="F478" s="19">
        <v>0</v>
      </c>
      <c r="G478" s="19">
        <v>0</v>
      </c>
      <c r="H478" s="19">
        <v>0</v>
      </c>
      <c r="I478" s="19">
        <v>0</v>
      </c>
      <c r="J478" s="19">
        <v>0</v>
      </c>
      <c r="K478" s="19"/>
      <c r="L478" s="19">
        <v>0</v>
      </c>
      <c r="M478" s="19">
        <v>0</v>
      </c>
      <c r="N478" s="19">
        <v>0</v>
      </c>
      <c r="P478">
        <v>4153</v>
      </c>
      <c r="Q478">
        <v>7</v>
      </c>
      <c r="R478" t="s">
        <v>485</v>
      </c>
      <c r="S478" s="12">
        <v>0</v>
      </c>
      <c r="T478" s="12">
        <v>0</v>
      </c>
      <c r="U478" s="12">
        <v>59829</v>
      </c>
      <c r="V478" s="12">
        <v>59829</v>
      </c>
      <c r="W478" s="12">
        <v>0</v>
      </c>
      <c r="X478" s="12">
        <v>0</v>
      </c>
      <c r="Y478" s="12">
        <v>59900.6</v>
      </c>
      <c r="Z478" s="12">
        <v>59900.6</v>
      </c>
      <c r="AA478" s="12">
        <v>0</v>
      </c>
      <c r="AB478" s="12">
        <v>0</v>
      </c>
      <c r="AC478" s="12">
        <v>71.599999999998545</v>
      </c>
      <c r="AD478" s="12">
        <v>71.599999999998545</v>
      </c>
      <c r="AI478" s="12"/>
    </row>
    <row r="479" spans="1:35" x14ac:dyDescent="0.25">
      <c r="A479">
        <v>4188</v>
      </c>
      <c r="B479" t="s">
        <v>1065</v>
      </c>
      <c r="C479" s="19">
        <v>0</v>
      </c>
      <c r="D479" s="19">
        <v>0</v>
      </c>
      <c r="E479" s="19">
        <v>32104</v>
      </c>
      <c r="F479" s="19">
        <v>32104</v>
      </c>
      <c r="G479" s="19">
        <v>0</v>
      </c>
      <c r="H479" s="19">
        <v>0</v>
      </c>
      <c r="I479" s="19">
        <v>1639.5999999999985</v>
      </c>
      <c r="J479" s="19">
        <v>1639.5999999999985</v>
      </c>
      <c r="K479" s="19"/>
      <c r="L479" s="19">
        <v>0</v>
      </c>
      <c r="M479" s="19">
        <v>33743.599999999999</v>
      </c>
      <c r="N479" s="19">
        <v>33743.599999999999</v>
      </c>
      <c r="P479">
        <v>4154</v>
      </c>
      <c r="Q479">
        <v>7</v>
      </c>
      <c r="R479" t="s">
        <v>486</v>
      </c>
      <c r="S479" s="12">
        <v>0</v>
      </c>
      <c r="T479" s="12">
        <v>0</v>
      </c>
      <c r="U479" s="12">
        <v>0</v>
      </c>
      <c r="V479" s="12">
        <v>0</v>
      </c>
      <c r="W479" s="12">
        <v>0</v>
      </c>
      <c r="X479" s="12">
        <v>0</v>
      </c>
      <c r="Y479" s="12">
        <v>0</v>
      </c>
      <c r="Z479" s="12">
        <v>0</v>
      </c>
      <c r="AA479" s="12">
        <v>0</v>
      </c>
      <c r="AB479" s="12">
        <v>0</v>
      </c>
      <c r="AC479" s="12">
        <v>0</v>
      </c>
      <c r="AD479" s="12">
        <v>0</v>
      </c>
      <c r="AI479" s="12"/>
    </row>
    <row r="480" spans="1:35" x14ac:dyDescent="0.25">
      <c r="A480">
        <v>4189</v>
      </c>
      <c r="B480" t="s">
        <v>1066</v>
      </c>
      <c r="C480" s="19">
        <v>0</v>
      </c>
      <c r="D480" s="19">
        <v>0</v>
      </c>
      <c r="E480" s="19">
        <v>14981</v>
      </c>
      <c r="F480" s="19">
        <v>14981</v>
      </c>
      <c r="G480" s="19">
        <v>0</v>
      </c>
      <c r="H480" s="19">
        <v>0</v>
      </c>
      <c r="I480" s="19">
        <v>399.60000000000036</v>
      </c>
      <c r="J480" s="19">
        <v>399.60000000000036</v>
      </c>
      <c r="K480" s="19"/>
      <c r="L480" s="19">
        <v>0</v>
      </c>
      <c r="M480" s="19">
        <v>15380.6</v>
      </c>
      <c r="N480" s="19">
        <v>15380.6</v>
      </c>
      <c r="P480">
        <v>4155</v>
      </c>
      <c r="Q480">
        <v>7</v>
      </c>
      <c r="R480" t="s">
        <v>487</v>
      </c>
      <c r="S480" s="12">
        <v>0</v>
      </c>
      <c r="T480" s="12">
        <v>0</v>
      </c>
      <c r="U480" s="12">
        <v>18053</v>
      </c>
      <c r="V480" s="12">
        <v>18053</v>
      </c>
      <c r="W480" s="12">
        <v>0</v>
      </c>
      <c r="X480" s="12">
        <v>0</v>
      </c>
      <c r="Y480" s="12">
        <v>18336.599999999999</v>
      </c>
      <c r="Z480" s="12">
        <v>18336.599999999999</v>
      </c>
      <c r="AA480" s="12">
        <v>0</v>
      </c>
      <c r="AB480" s="12">
        <v>0</v>
      </c>
      <c r="AC480" s="12">
        <v>283.59999999999854</v>
      </c>
      <c r="AD480" s="12">
        <v>283.59999999999854</v>
      </c>
      <c r="AI480" s="12"/>
    </row>
    <row r="481" spans="1:35" x14ac:dyDescent="0.25">
      <c r="A481">
        <v>4190</v>
      </c>
      <c r="B481" t="s">
        <v>1067</v>
      </c>
      <c r="C481" s="19">
        <v>0</v>
      </c>
      <c r="D481" s="19">
        <v>0</v>
      </c>
      <c r="E481" s="19">
        <v>6404</v>
      </c>
      <c r="F481" s="19">
        <v>6404</v>
      </c>
      <c r="G481" s="19">
        <v>0</v>
      </c>
      <c r="H481" s="19">
        <v>0</v>
      </c>
      <c r="I481" s="19">
        <v>304.39999999999964</v>
      </c>
      <c r="J481" s="19">
        <v>304.39999999999964</v>
      </c>
      <c r="K481" s="19"/>
      <c r="L481" s="19">
        <v>0</v>
      </c>
      <c r="M481" s="19">
        <v>6708.4</v>
      </c>
      <c r="N481" s="19">
        <v>6708.4</v>
      </c>
      <c r="P481">
        <v>4157</v>
      </c>
      <c r="Q481">
        <v>7</v>
      </c>
      <c r="R481" t="s">
        <v>488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  <c r="X481" s="12">
        <v>0</v>
      </c>
      <c r="Y481" s="12">
        <v>0</v>
      </c>
      <c r="Z481" s="12">
        <v>0</v>
      </c>
      <c r="AA481" s="12">
        <v>0</v>
      </c>
      <c r="AB481" s="12">
        <v>0</v>
      </c>
      <c r="AC481" s="12">
        <v>0</v>
      </c>
      <c r="AD481" s="12">
        <v>0</v>
      </c>
      <c r="AI481" s="12"/>
    </row>
    <row r="482" spans="1:35" x14ac:dyDescent="0.25">
      <c r="A482">
        <v>4191</v>
      </c>
      <c r="B482" t="s">
        <v>1068</v>
      </c>
      <c r="C482" s="19">
        <v>0</v>
      </c>
      <c r="D482" s="19">
        <v>0</v>
      </c>
      <c r="E482" s="19">
        <v>21693</v>
      </c>
      <c r="F482" s="19">
        <v>21693</v>
      </c>
      <c r="G482" s="19">
        <v>0</v>
      </c>
      <c r="H482" s="19">
        <v>0</v>
      </c>
      <c r="I482" s="19">
        <v>292</v>
      </c>
      <c r="J482" s="19">
        <v>292</v>
      </c>
      <c r="K482" s="19"/>
      <c r="L482" s="19">
        <v>0</v>
      </c>
      <c r="M482" s="19">
        <v>21985</v>
      </c>
      <c r="N482" s="19">
        <v>21985</v>
      </c>
      <c r="P482">
        <v>4158</v>
      </c>
      <c r="Q482">
        <v>7</v>
      </c>
      <c r="R482" t="s">
        <v>489</v>
      </c>
      <c r="S482" s="12">
        <v>0</v>
      </c>
      <c r="T482" s="12">
        <v>0</v>
      </c>
      <c r="U482" s="12">
        <v>0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I482" s="12"/>
    </row>
    <row r="483" spans="1:35" x14ac:dyDescent="0.25">
      <c r="A483">
        <v>4192</v>
      </c>
      <c r="B483" t="s">
        <v>1069</v>
      </c>
      <c r="C483" s="19">
        <v>0</v>
      </c>
      <c r="D483" s="19">
        <v>0</v>
      </c>
      <c r="E483" s="19">
        <v>71286</v>
      </c>
      <c r="F483" s="19">
        <v>71286</v>
      </c>
      <c r="G483" s="19">
        <v>0</v>
      </c>
      <c r="H483" s="19">
        <v>0</v>
      </c>
      <c r="I483" s="19">
        <v>1390.3999999999942</v>
      </c>
      <c r="J483" s="19">
        <v>1390.3999999999942</v>
      </c>
      <c r="K483" s="19"/>
      <c r="L483" s="19">
        <v>0</v>
      </c>
      <c r="M483" s="19">
        <v>72676.399999999994</v>
      </c>
      <c r="N483" s="19">
        <v>72676.399999999994</v>
      </c>
      <c r="P483">
        <v>4159</v>
      </c>
      <c r="Q483">
        <v>7</v>
      </c>
      <c r="R483" t="s">
        <v>490</v>
      </c>
      <c r="S483" s="12">
        <v>0</v>
      </c>
      <c r="T483" s="12">
        <v>0</v>
      </c>
      <c r="U483" s="12">
        <v>25753</v>
      </c>
      <c r="V483" s="12">
        <v>25753</v>
      </c>
      <c r="W483" s="12">
        <v>0</v>
      </c>
      <c r="X483" s="12">
        <v>0</v>
      </c>
      <c r="Y483" s="12">
        <v>26745.4</v>
      </c>
      <c r="Z483" s="12">
        <v>26745.4</v>
      </c>
      <c r="AA483" s="12">
        <v>0</v>
      </c>
      <c r="AB483" s="12">
        <v>0</v>
      </c>
      <c r="AC483" s="12">
        <v>992.40000000000146</v>
      </c>
      <c r="AD483" s="12">
        <v>992.40000000000146</v>
      </c>
      <c r="AI483" s="12"/>
    </row>
    <row r="484" spans="1:35" x14ac:dyDescent="0.25">
      <c r="A484">
        <v>4193</v>
      </c>
      <c r="B484" t="s">
        <v>1070</v>
      </c>
      <c r="C484" s="19">
        <v>0</v>
      </c>
      <c r="D484" s="19">
        <v>0</v>
      </c>
      <c r="E484" s="19">
        <v>41579</v>
      </c>
      <c r="F484" s="19">
        <v>41579</v>
      </c>
      <c r="G484" s="19">
        <v>0</v>
      </c>
      <c r="H484" s="19">
        <v>0</v>
      </c>
      <c r="I484" s="19">
        <v>873.19999999999709</v>
      </c>
      <c r="J484" s="19">
        <v>873.19999999999709</v>
      </c>
      <c r="K484" s="19"/>
      <c r="L484" s="19">
        <v>0</v>
      </c>
      <c r="M484" s="19">
        <v>42452.2</v>
      </c>
      <c r="N484" s="19">
        <v>42452.2</v>
      </c>
      <c r="P484">
        <v>4160</v>
      </c>
      <c r="Q484">
        <v>7</v>
      </c>
      <c r="R484" t="s">
        <v>491</v>
      </c>
      <c r="S484" s="12">
        <v>0</v>
      </c>
      <c r="T484" s="12">
        <v>0</v>
      </c>
      <c r="U484" s="12">
        <v>29870</v>
      </c>
      <c r="V484" s="12">
        <v>29870</v>
      </c>
      <c r="W484" s="12">
        <v>0</v>
      </c>
      <c r="X484" s="12">
        <v>0</v>
      </c>
      <c r="Y484" s="12">
        <v>31115.599999999999</v>
      </c>
      <c r="Z484" s="12">
        <v>31115.599999999999</v>
      </c>
      <c r="AA484" s="12">
        <v>0</v>
      </c>
      <c r="AB484" s="12">
        <v>0</v>
      </c>
      <c r="AC484" s="12">
        <v>1245.5999999999985</v>
      </c>
      <c r="AD484" s="12">
        <v>1245.5999999999985</v>
      </c>
      <c r="AI484" s="12"/>
    </row>
    <row r="485" spans="1:35" x14ac:dyDescent="0.25">
      <c r="A485">
        <v>4194</v>
      </c>
      <c r="B485" t="s">
        <v>1071</v>
      </c>
      <c r="C485" s="19">
        <v>0</v>
      </c>
      <c r="D485" s="19">
        <v>0</v>
      </c>
      <c r="E485" s="19">
        <v>19882</v>
      </c>
      <c r="F485" s="19">
        <v>19882</v>
      </c>
      <c r="G485" s="19">
        <v>0</v>
      </c>
      <c r="H485" s="19">
        <v>0</v>
      </c>
      <c r="I485" s="19">
        <v>1194.7999999999993</v>
      </c>
      <c r="J485" s="19">
        <v>1194.7999999999993</v>
      </c>
      <c r="K485" s="19"/>
      <c r="L485" s="19">
        <v>0</v>
      </c>
      <c r="M485" s="19">
        <v>21076.799999999999</v>
      </c>
      <c r="N485" s="19">
        <v>21076.799999999999</v>
      </c>
      <c r="P485">
        <v>4161</v>
      </c>
      <c r="Q485">
        <v>7</v>
      </c>
      <c r="R485" t="s">
        <v>492</v>
      </c>
      <c r="S485" s="12">
        <v>0</v>
      </c>
      <c r="T485" s="12">
        <v>0</v>
      </c>
      <c r="U485" s="12">
        <v>21527</v>
      </c>
      <c r="V485" s="12">
        <v>21527</v>
      </c>
      <c r="W485" s="12">
        <v>0</v>
      </c>
      <c r="X485" s="12">
        <v>0</v>
      </c>
      <c r="Y485" s="12">
        <v>22497.4</v>
      </c>
      <c r="Z485" s="12">
        <v>22497.4</v>
      </c>
      <c r="AA485" s="12">
        <v>0</v>
      </c>
      <c r="AB485" s="12">
        <v>0</v>
      </c>
      <c r="AC485" s="12">
        <v>970.40000000000146</v>
      </c>
      <c r="AD485" s="12">
        <v>970.40000000000146</v>
      </c>
      <c r="AI485" s="12"/>
    </row>
    <row r="486" spans="1:35" x14ac:dyDescent="0.25">
      <c r="A486">
        <v>4195</v>
      </c>
      <c r="B486" t="s">
        <v>1072</v>
      </c>
      <c r="C486" s="19">
        <v>0</v>
      </c>
      <c r="D486" s="19">
        <v>0</v>
      </c>
      <c r="E486" s="19">
        <v>4789</v>
      </c>
      <c r="F486" s="19">
        <v>4789</v>
      </c>
      <c r="G486" s="19">
        <v>0</v>
      </c>
      <c r="H486" s="19">
        <v>0</v>
      </c>
      <c r="I486" s="19">
        <v>183.19999999999982</v>
      </c>
      <c r="J486" s="19">
        <v>183.19999999999982</v>
      </c>
      <c r="K486" s="19"/>
      <c r="L486" s="19">
        <v>0</v>
      </c>
      <c r="M486" s="19">
        <v>4972.2</v>
      </c>
      <c r="N486" s="19">
        <v>4972.2</v>
      </c>
      <c r="P486">
        <v>4162</v>
      </c>
      <c r="Q486">
        <v>7</v>
      </c>
      <c r="R486" t="s">
        <v>493</v>
      </c>
      <c r="S486" s="12">
        <v>0</v>
      </c>
      <c r="T486" s="12">
        <v>0</v>
      </c>
      <c r="U486" s="12">
        <v>7995</v>
      </c>
      <c r="V486" s="12">
        <v>7995</v>
      </c>
      <c r="W486" s="12">
        <v>0</v>
      </c>
      <c r="X486" s="12">
        <v>0</v>
      </c>
      <c r="Y486" s="12">
        <v>8548.2000000000007</v>
      </c>
      <c r="Z486" s="12">
        <v>8548.2000000000007</v>
      </c>
      <c r="AA486" s="12">
        <v>0</v>
      </c>
      <c r="AB486" s="12">
        <v>0</v>
      </c>
      <c r="AC486" s="12">
        <v>553.20000000000073</v>
      </c>
      <c r="AD486" s="12">
        <v>553.20000000000073</v>
      </c>
      <c r="AI486" s="12"/>
    </row>
    <row r="487" spans="1:35" x14ac:dyDescent="0.25">
      <c r="A487">
        <v>4197</v>
      </c>
      <c r="B487" t="s">
        <v>1073</v>
      </c>
      <c r="C487" s="19">
        <v>0</v>
      </c>
      <c r="D487" s="19">
        <v>0</v>
      </c>
      <c r="E487" s="19">
        <v>0</v>
      </c>
      <c r="F487" s="19">
        <v>0</v>
      </c>
      <c r="G487" s="19">
        <v>0</v>
      </c>
      <c r="H487" s="19">
        <v>0</v>
      </c>
      <c r="I487" s="19">
        <v>0</v>
      </c>
      <c r="J487" s="19">
        <v>0</v>
      </c>
      <c r="K487" s="19"/>
      <c r="L487" s="19">
        <v>0</v>
      </c>
      <c r="M487" s="19">
        <v>0</v>
      </c>
      <c r="N487" s="19">
        <v>0</v>
      </c>
      <c r="P487">
        <v>4163</v>
      </c>
      <c r="Q487">
        <v>7</v>
      </c>
      <c r="R487" t="s">
        <v>494</v>
      </c>
      <c r="S487" s="12">
        <v>0</v>
      </c>
      <c r="T487" s="12">
        <v>0</v>
      </c>
      <c r="U487" s="12">
        <v>29880</v>
      </c>
      <c r="V487" s="12">
        <v>29880</v>
      </c>
      <c r="W487" s="12">
        <v>0</v>
      </c>
      <c r="X487" s="12">
        <v>0</v>
      </c>
      <c r="Y487" s="12">
        <v>30485.200000000001</v>
      </c>
      <c r="Z487" s="12">
        <v>30485.200000000001</v>
      </c>
      <c r="AA487" s="12">
        <v>0</v>
      </c>
      <c r="AB487" s="12">
        <v>0</v>
      </c>
      <c r="AC487" s="12">
        <v>605.20000000000073</v>
      </c>
      <c r="AD487" s="12">
        <v>605.20000000000073</v>
      </c>
      <c r="AI487" s="12"/>
    </row>
    <row r="488" spans="1:35" x14ac:dyDescent="0.25">
      <c r="A488">
        <v>4198</v>
      </c>
      <c r="B488" t="s">
        <v>1074</v>
      </c>
      <c r="C488" s="19">
        <v>0</v>
      </c>
      <c r="D488" s="19">
        <v>0</v>
      </c>
      <c r="E488" s="19">
        <v>13844</v>
      </c>
      <c r="F488" s="19">
        <v>13844</v>
      </c>
      <c r="G488" s="19">
        <v>0</v>
      </c>
      <c r="H488" s="19">
        <v>0</v>
      </c>
      <c r="I488" s="19">
        <v>1100.7999999999993</v>
      </c>
      <c r="J488" s="19">
        <v>1100.7999999999993</v>
      </c>
      <c r="K488" s="19"/>
      <c r="L488" s="19">
        <v>0</v>
      </c>
      <c r="M488" s="19">
        <v>14944.8</v>
      </c>
      <c r="N488" s="19">
        <v>14944.8</v>
      </c>
      <c r="P488">
        <v>4164</v>
      </c>
      <c r="Q488">
        <v>7</v>
      </c>
      <c r="R488" t="s">
        <v>495</v>
      </c>
      <c r="S488" s="12">
        <v>0</v>
      </c>
      <c r="T488" s="12">
        <v>0</v>
      </c>
      <c r="U488" s="12">
        <v>13376</v>
      </c>
      <c r="V488" s="12">
        <v>13376</v>
      </c>
      <c r="W488" s="12">
        <v>0</v>
      </c>
      <c r="X488" s="12">
        <v>0</v>
      </c>
      <c r="Y488" s="12">
        <v>13942.8</v>
      </c>
      <c r="Z488" s="12">
        <v>13942.8</v>
      </c>
      <c r="AA488" s="12">
        <v>0</v>
      </c>
      <c r="AB488" s="12">
        <v>0</v>
      </c>
      <c r="AC488" s="12">
        <v>566.79999999999927</v>
      </c>
      <c r="AD488" s="12">
        <v>566.79999999999927</v>
      </c>
      <c r="AI488" s="12"/>
    </row>
    <row r="489" spans="1:35" x14ac:dyDescent="0.25">
      <c r="A489">
        <v>4199</v>
      </c>
      <c r="B489" t="s">
        <v>1075</v>
      </c>
      <c r="C489" s="19">
        <v>0</v>
      </c>
      <c r="D489" s="19">
        <v>0</v>
      </c>
      <c r="E489" s="19">
        <v>35225</v>
      </c>
      <c r="F489" s="19">
        <v>35225</v>
      </c>
      <c r="G489" s="19">
        <v>0</v>
      </c>
      <c r="H489" s="19">
        <v>0</v>
      </c>
      <c r="I489" s="19">
        <v>900.80000000000291</v>
      </c>
      <c r="J489" s="19">
        <v>900.80000000000291</v>
      </c>
      <c r="K489" s="19"/>
      <c r="L489" s="19">
        <v>0</v>
      </c>
      <c r="M489" s="19">
        <v>36125.800000000003</v>
      </c>
      <c r="N489" s="19">
        <v>36125.800000000003</v>
      </c>
      <c r="P489">
        <v>4165</v>
      </c>
      <c r="Q489">
        <v>7</v>
      </c>
      <c r="R489" t="s">
        <v>496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  <c r="Y489" s="12">
        <v>0</v>
      </c>
      <c r="Z489" s="12">
        <v>0</v>
      </c>
      <c r="AA489" s="12">
        <v>0</v>
      </c>
      <c r="AB489" s="12">
        <v>0</v>
      </c>
      <c r="AC489" s="12">
        <v>0</v>
      </c>
      <c r="AD489" s="12">
        <v>0</v>
      </c>
      <c r="AI489" s="12"/>
    </row>
    <row r="490" spans="1:35" x14ac:dyDescent="0.25">
      <c r="A490">
        <v>4200</v>
      </c>
      <c r="B490" t="s">
        <v>1076</v>
      </c>
      <c r="C490" s="19">
        <v>0</v>
      </c>
      <c r="D490" s="19">
        <v>0</v>
      </c>
      <c r="E490" s="19">
        <v>23984</v>
      </c>
      <c r="F490" s="19">
        <v>23984</v>
      </c>
      <c r="G490" s="19">
        <v>0</v>
      </c>
      <c r="H490" s="19">
        <v>0</v>
      </c>
      <c r="I490" s="19">
        <v>319.20000000000073</v>
      </c>
      <c r="J490" s="19">
        <v>319.20000000000073</v>
      </c>
      <c r="K490" s="19"/>
      <c r="L490" s="19">
        <v>0</v>
      </c>
      <c r="M490" s="19">
        <v>24303.200000000001</v>
      </c>
      <c r="N490" s="19">
        <v>24303.200000000001</v>
      </c>
      <c r="P490">
        <v>4166</v>
      </c>
      <c r="Q490">
        <v>7</v>
      </c>
      <c r="R490" t="s">
        <v>497</v>
      </c>
      <c r="S490" s="12">
        <v>0</v>
      </c>
      <c r="T490" s="12">
        <v>0</v>
      </c>
      <c r="U490" s="12">
        <v>6622</v>
      </c>
      <c r="V490" s="12">
        <v>6622</v>
      </c>
      <c r="W490" s="12">
        <v>0</v>
      </c>
      <c r="X490" s="12">
        <v>0</v>
      </c>
      <c r="Y490" s="12">
        <v>6844</v>
      </c>
      <c r="Z490" s="12">
        <v>6844</v>
      </c>
      <c r="AA490" s="12">
        <v>0</v>
      </c>
      <c r="AB490" s="12">
        <v>0</v>
      </c>
      <c r="AC490" s="12">
        <v>222</v>
      </c>
      <c r="AD490" s="12">
        <v>222</v>
      </c>
      <c r="AI490" s="12"/>
    </row>
    <row r="491" spans="1:35" x14ac:dyDescent="0.25">
      <c r="A491">
        <v>4201</v>
      </c>
      <c r="B491" t="s">
        <v>1077</v>
      </c>
      <c r="C491" s="19">
        <v>0</v>
      </c>
      <c r="D491" s="19">
        <v>0</v>
      </c>
      <c r="E491" s="19">
        <v>12924</v>
      </c>
      <c r="F491" s="19">
        <v>12924</v>
      </c>
      <c r="G491" s="19">
        <v>0</v>
      </c>
      <c r="H491" s="19">
        <v>0</v>
      </c>
      <c r="I491" s="19">
        <v>324</v>
      </c>
      <c r="J491" s="19">
        <v>324</v>
      </c>
      <c r="K491" s="19"/>
      <c r="L491" s="19">
        <v>0</v>
      </c>
      <c r="M491" s="19">
        <v>13248</v>
      </c>
      <c r="N491" s="19">
        <v>13248</v>
      </c>
      <c r="P491">
        <v>4167</v>
      </c>
      <c r="Q491">
        <v>7</v>
      </c>
      <c r="R491" t="s">
        <v>498</v>
      </c>
      <c r="S491" s="12">
        <v>0</v>
      </c>
      <c r="T491" s="12">
        <v>0</v>
      </c>
      <c r="U491" s="12">
        <v>17529</v>
      </c>
      <c r="V491" s="12">
        <v>17529</v>
      </c>
      <c r="W491" s="12">
        <v>0</v>
      </c>
      <c r="X491" s="12">
        <v>0</v>
      </c>
      <c r="Y491" s="12">
        <v>17795</v>
      </c>
      <c r="Z491" s="12">
        <v>17795</v>
      </c>
      <c r="AA491" s="12">
        <v>0</v>
      </c>
      <c r="AB491" s="12">
        <v>0</v>
      </c>
      <c r="AC491" s="12">
        <v>266</v>
      </c>
      <c r="AD491" s="12">
        <v>266</v>
      </c>
      <c r="AI491" s="12"/>
    </row>
    <row r="492" spans="1:35" x14ac:dyDescent="0.25">
      <c r="A492">
        <v>4202</v>
      </c>
      <c r="B492" t="s">
        <v>1078</v>
      </c>
      <c r="C492" s="19">
        <v>0</v>
      </c>
      <c r="D492" s="19">
        <v>0</v>
      </c>
      <c r="E492" s="19">
        <v>0</v>
      </c>
      <c r="F492" s="19">
        <v>0</v>
      </c>
      <c r="G492" s="19">
        <v>0</v>
      </c>
      <c r="H492" s="19">
        <v>0</v>
      </c>
      <c r="I492" s="19">
        <v>0</v>
      </c>
      <c r="J492" s="19">
        <v>0</v>
      </c>
      <c r="K492" s="19"/>
      <c r="L492" s="19">
        <v>0</v>
      </c>
      <c r="M492" s="19">
        <v>0</v>
      </c>
      <c r="N492" s="19">
        <v>0</v>
      </c>
      <c r="P492">
        <v>4168</v>
      </c>
      <c r="Q492">
        <v>7</v>
      </c>
      <c r="R492" t="s">
        <v>499</v>
      </c>
      <c r="S492" s="12">
        <v>0</v>
      </c>
      <c r="T492" s="12">
        <v>0</v>
      </c>
      <c r="U492" s="12">
        <v>17734</v>
      </c>
      <c r="V492" s="12">
        <v>17734</v>
      </c>
      <c r="W492" s="12">
        <v>0</v>
      </c>
      <c r="X492" s="12">
        <v>0</v>
      </c>
      <c r="Y492" s="12">
        <v>18988</v>
      </c>
      <c r="Z492" s="12">
        <v>18988</v>
      </c>
      <c r="AA492" s="12">
        <v>0</v>
      </c>
      <c r="AB492" s="12">
        <v>0</v>
      </c>
      <c r="AC492" s="12">
        <v>1254</v>
      </c>
      <c r="AD492" s="12">
        <v>1254</v>
      </c>
      <c r="AI492" s="12"/>
    </row>
    <row r="493" spans="1:35" x14ac:dyDescent="0.25">
      <c r="A493">
        <v>4203</v>
      </c>
      <c r="B493" t="s">
        <v>1079</v>
      </c>
      <c r="C493" s="19">
        <v>0</v>
      </c>
      <c r="D493" s="19">
        <v>0</v>
      </c>
      <c r="E493" s="19">
        <v>6843</v>
      </c>
      <c r="F493" s="19">
        <v>6843</v>
      </c>
      <c r="G493" s="19">
        <v>0</v>
      </c>
      <c r="H493" s="19">
        <v>0</v>
      </c>
      <c r="I493" s="19">
        <v>270.80000000000018</v>
      </c>
      <c r="J493" s="19">
        <v>270.80000000000018</v>
      </c>
      <c r="K493" s="19"/>
      <c r="L493" s="19">
        <v>0</v>
      </c>
      <c r="M493" s="19">
        <v>7113.8</v>
      </c>
      <c r="N493" s="19">
        <v>7113.8</v>
      </c>
      <c r="P493">
        <v>4169</v>
      </c>
      <c r="Q493">
        <v>7</v>
      </c>
      <c r="R493" t="s">
        <v>500</v>
      </c>
      <c r="S493" s="12">
        <v>0</v>
      </c>
      <c r="T493" s="12">
        <v>0</v>
      </c>
      <c r="U493" s="12">
        <v>35411</v>
      </c>
      <c r="V493" s="12">
        <v>35411</v>
      </c>
      <c r="W493" s="12">
        <v>0</v>
      </c>
      <c r="X493" s="12">
        <v>0</v>
      </c>
      <c r="Y493" s="12">
        <v>36157.4</v>
      </c>
      <c r="Z493" s="12">
        <v>36157.4</v>
      </c>
      <c r="AA493" s="12">
        <v>0</v>
      </c>
      <c r="AB493" s="12">
        <v>0</v>
      </c>
      <c r="AC493" s="12">
        <v>746.40000000000146</v>
      </c>
      <c r="AD493" s="12">
        <v>746.40000000000146</v>
      </c>
      <c r="AI493" s="12"/>
    </row>
    <row r="494" spans="1:35" x14ac:dyDescent="0.25">
      <c r="A494">
        <v>4204</v>
      </c>
      <c r="B494" t="s">
        <v>1080</v>
      </c>
      <c r="C494" s="19">
        <v>0</v>
      </c>
      <c r="D494" s="19">
        <v>0</v>
      </c>
      <c r="E494" s="19">
        <v>11341</v>
      </c>
      <c r="F494" s="19">
        <v>11341</v>
      </c>
      <c r="G494" s="19">
        <v>0</v>
      </c>
      <c r="H494" s="19">
        <v>0</v>
      </c>
      <c r="I494" s="19">
        <v>35.200000000000728</v>
      </c>
      <c r="J494" s="19">
        <v>35.200000000000728</v>
      </c>
      <c r="K494" s="19"/>
      <c r="L494" s="19">
        <v>0</v>
      </c>
      <c r="M494" s="19">
        <v>11376.2</v>
      </c>
      <c r="N494" s="19">
        <v>11376.2</v>
      </c>
      <c r="P494">
        <v>4170</v>
      </c>
      <c r="Q494">
        <v>7</v>
      </c>
      <c r="R494" t="s">
        <v>501</v>
      </c>
      <c r="S494" s="12">
        <v>0</v>
      </c>
      <c r="T494" s="12">
        <v>0</v>
      </c>
      <c r="U494" s="12">
        <v>88061</v>
      </c>
      <c r="V494" s="12">
        <v>88061</v>
      </c>
      <c r="W494" s="12">
        <v>0</v>
      </c>
      <c r="X494" s="12">
        <v>0</v>
      </c>
      <c r="Y494" s="12">
        <v>90530.6</v>
      </c>
      <c r="Z494" s="12">
        <v>90530.6</v>
      </c>
      <c r="AA494" s="12">
        <v>0</v>
      </c>
      <c r="AB494" s="12">
        <v>0</v>
      </c>
      <c r="AC494" s="12">
        <v>2469.6000000000058</v>
      </c>
      <c r="AD494" s="12">
        <v>2469.6000000000058</v>
      </c>
      <c r="AI494" s="12"/>
    </row>
    <row r="495" spans="1:35" x14ac:dyDescent="0.25">
      <c r="A495">
        <v>4205</v>
      </c>
      <c r="B495" t="s">
        <v>1081</v>
      </c>
      <c r="C495" s="19">
        <v>0</v>
      </c>
      <c r="D495" s="19">
        <v>0</v>
      </c>
      <c r="E495" s="19">
        <v>20167</v>
      </c>
      <c r="F495" s="19">
        <v>20167</v>
      </c>
      <c r="G495" s="19">
        <v>0</v>
      </c>
      <c r="H495" s="19">
        <v>0</v>
      </c>
      <c r="I495" s="19">
        <v>486.79999999999927</v>
      </c>
      <c r="J495" s="19">
        <v>486.79999999999927</v>
      </c>
      <c r="K495" s="19"/>
      <c r="L495" s="19">
        <v>0</v>
      </c>
      <c r="M495" s="19">
        <v>20653.8</v>
      </c>
      <c r="N495" s="19">
        <v>20653.8</v>
      </c>
      <c r="P495">
        <v>4171</v>
      </c>
      <c r="Q495">
        <v>7</v>
      </c>
      <c r="R495" t="s">
        <v>502</v>
      </c>
      <c r="S495" s="12">
        <v>0</v>
      </c>
      <c r="T495" s="12">
        <v>0</v>
      </c>
      <c r="U495" s="12">
        <v>77218</v>
      </c>
      <c r="V495" s="12">
        <v>77218</v>
      </c>
      <c r="W495" s="12">
        <v>0</v>
      </c>
      <c r="X495" s="12">
        <v>0</v>
      </c>
      <c r="Y495" s="12">
        <v>82617.2</v>
      </c>
      <c r="Z495" s="12">
        <v>82617.2</v>
      </c>
      <c r="AA495" s="12">
        <v>0</v>
      </c>
      <c r="AB495" s="12">
        <v>0</v>
      </c>
      <c r="AC495" s="12">
        <v>5399.1999999999971</v>
      </c>
      <c r="AD495" s="12">
        <v>5399.1999999999971</v>
      </c>
      <c r="AI495" s="12"/>
    </row>
    <row r="496" spans="1:35" x14ac:dyDescent="0.25">
      <c r="A496">
        <v>4207</v>
      </c>
      <c r="B496" t="s">
        <v>1082</v>
      </c>
      <c r="C496" s="19">
        <v>0</v>
      </c>
      <c r="D496" s="19">
        <v>0</v>
      </c>
      <c r="E496" s="19">
        <v>0</v>
      </c>
      <c r="F496" s="19">
        <v>0</v>
      </c>
      <c r="G496" s="19">
        <v>0</v>
      </c>
      <c r="H496" s="19">
        <v>0</v>
      </c>
      <c r="I496" s="19">
        <v>0</v>
      </c>
      <c r="J496" s="19">
        <v>0</v>
      </c>
      <c r="K496" s="19"/>
      <c r="L496" s="19">
        <v>0</v>
      </c>
      <c r="M496" s="19">
        <v>0</v>
      </c>
      <c r="N496" s="19">
        <v>0</v>
      </c>
      <c r="P496">
        <v>4172</v>
      </c>
      <c r="Q496">
        <v>7</v>
      </c>
      <c r="R496" t="s">
        <v>503</v>
      </c>
      <c r="S496" s="12">
        <v>0</v>
      </c>
      <c r="T496" s="12">
        <v>0</v>
      </c>
      <c r="U496" s="12">
        <v>8727</v>
      </c>
      <c r="V496" s="12">
        <v>8727</v>
      </c>
      <c r="W496" s="12">
        <v>0</v>
      </c>
      <c r="X496" s="12">
        <v>0</v>
      </c>
      <c r="Y496" s="12">
        <v>9881.7999999999993</v>
      </c>
      <c r="Z496" s="12">
        <v>9881.7999999999993</v>
      </c>
      <c r="AA496" s="12">
        <v>0</v>
      </c>
      <c r="AB496" s="12">
        <v>0</v>
      </c>
      <c r="AC496" s="12">
        <v>1154.7999999999993</v>
      </c>
      <c r="AD496" s="12">
        <v>1154.7999999999993</v>
      </c>
      <c r="AI496" s="12"/>
    </row>
    <row r="497" spans="1:35" x14ac:dyDescent="0.25">
      <c r="A497">
        <v>4208</v>
      </c>
      <c r="B497" t="s">
        <v>1083</v>
      </c>
      <c r="C497" s="19">
        <v>0</v>
      </c>
      <c r="D497" s="19">
        <v>0</v>
      </c>
      <c r="E497" s="19">
        <v>10132</v>
      </c>
      <c r="F497" s="19">
        <v>10132</v>
      </c>
      <c r="G497" s="19">
        <v>0</v>
      </c>
      <c r="H497" s="19">
        <v>0</v>
      </c>
      <c r="I497" s="19">
        <v>703.60000000000036</v>
      </c>
      <c r="J497" s="19">
        <v>703.60000000000036</v>
      </c>
      <c r="K497" s="19"/>
      <c r="L497" s="19">
        <v>0</v>
      </c>
      <c r="M497" s="19">
        <v>10835.6</v>
      </c>
      <c r="N497" s="19">
        <v>10835.6</v>
      </c>
      <c r="P497">
        <v>4173</v>
      </c>
      <c r="Q497">
        <v>7</v>
      </c>
      <c r="R497" t="s">
        <v>504</v>
      </c>
      <c r="S497" s="12">
        <v>0</v>
      </c>
      <c r="T497" s="12">
        <v>0</v>
      </c>
      <c r="U497" s="12">
        <v>5048</v>
      </c>
      <c r="V497" s="12">
        <v>5048</v>
      </c>
      <c r="W497" s="12">
        <v>0</v>
      </c>
      <c r="X497" s="12">
        <v>0</v>
      </c>
      <c r="Y497" s="12">
        <v>5078</v>
      </c>
      <c r="Z497" s="12">
        <v>5078</v>
      </c>
      <c r="AA497" s="12">
        <v>0</v>
      </c>
      <c r="AB497" s="12">
        <v>0</v>
      </c>
      <c r="AC497" s="12">
        <v>30</v>
      </c>
      <c r="AD497" s="12">
        <v>30</v>
      </c>
      <c r="AI497" s="12"/>
    </row>
    <row r="498" spans="1:35" x14ac:dyDescent="0.25">
      <c r="A498">
        <v>4209</v>
      </c>
      <c r="B498" t="s">
        <v>1084</v>
      </c>
      <c r="C498" s="19">
        <v>0</v>
      </c>
      <c r="D498" s="19">
        <v>0</v>
      </c>
      <c r="E498" s="19">
        <v>18063</v>
      </c>
      <c r="F498" s="19">
        <v>18063</v>
      </c>
      <c r="G498" s="19">
        <v>0</v>
      </c>
      <c r="H498" s="19">
        <v>0</v>
      </c>
      <c r="I498" s="19">
        <v>139.59999999999854</v>
      </c>
      <c r="J498" s="19">
        <v>139.59999999999854</v>
      </c>
      <c r="K498" s="19"/>
      <c r="L498" s="19">
        <v>0</v>
      </c>
      <c r="M498" s="19">
        <v>18202.599999999999</v>
      </c>
      <c r="N498" s="19">
        <v>18202.599999999999</v>
      </c>
      <c r="P498">
        <v>4174</v>
      </c>
      <c r="Q498">
        <v>7</v>
      </c>
      <c r="R498" t="s">
        <v>505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I498" s="12"/>
    </row>
    <row r="499" spans="1:35" x14ac:dyDescent="0.25">
      <c r="A499">
        <v>4210</v>
      </c>
      <c r="B499" t="s">
        <v>1085</v>
      </c>
      <c r="C499" s="19">
        <v>0</v>
      </c>
      <c r="D499" s="19">
        <v>0</v>
      </c>
      <c r="E499" s="19">
        <v>0</v>
      </c>
      <c r="F499" s="19">
        <v>0</v>
      </c>
      <c r="G499" s="19">
        <v>0</v>
      </c>
      <c r="H499" s="19">
        <v>0</v>
      </c>
      <c r="I499" s="19">
        <v>0</v>
      </c>
      <c r="J499" s="19">
        <v>0</v>
      </c>
      <c r="K499" s="19"/>
      <c r="L499" s="19">
        <v>0</v>
      </c>
      <c r="M499" s="19">
        <v>0</v>
      </c>
      <c r="N499" s="19">
        <v>0</v>
      </c>
      <c r="P499">
        <v>4175</v>
      </c>
      <c r="Q499">
        <v>7</v>
      </c>
      <c r="R499" t="s">
        <v>506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  <c r="X499" s="12">
        <v>0</v>
      </c>
      <c r="Y499" s="12">
        <v>0</v>
      </c>
      <c r="Z499" s="12">
        <v>0</v>
      </c>
      <c r="AA499" s="12">
        <v>0</v>
      </c>
      <c r="AB499" s="12">
        <v>0</v>
      </c>
      <c r="AC499" s="12">
        <v>0</v>
      </c>
      <c r="AD499" s="12">
        <v>0</v>
      </c>
      <c r="AI499" s="12"/>
    </row>
    <row r="500" spans="1:35" x14ac:dyDescent="0.25">
      <c r="A500">
        <v>4211</v>
      </c>
      <c r="B500" t="s">
        <v>1086</v>
      </c>
      <c r="C500" s="19">
        <v>0</v>
      </c>
      <c r="D500" s="19">
        <v>0</v>
      </c>
      <c r="E500" s="19">
        <v>0</v>
      </c>
      <c r="F500" s="19">
        <v>0</v>
      </c>
      <c r="G500" s="19">
        <v>0</v>
      </c>
      <c r="H500" s="19">
        <v>0</v>
      </c>
      <c r="I500" s="19">
        <v>0</v>
      </c>
      <c r="J500" s="19">
        <v>0</v>
      </c>
      <c r="K500" s="19"/>
      <c r="L500" s="19">
        <v>0</v>
      </c>
      <c r="M500" s="19">
        <v>0</v>
      </c>
      <c r="N500" s="19">
        <v>0</v>
      </c>
      <c r="P500">
        <v>4176</v>
      </c>
      <c r="Q500">
        <v>7</v>
      </c>
      <c r="R500" t="s">
        <v>507</v>
      </c>
      <c r="S500" s="12">
        <v>0</v>
      </c>
      <c r="T500" s="12">
        <v>0</v>
      </c>
      <c r="U500" s="12">
        <v>0</v>
      </c>
      <c r="V500" s="12">
        <v>0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I500" s="12"/>
    </row>
    <row r="501" spans="1:35" x14ac:dyDescent="0.25">
      <c r="A501">
        <v>4212</v>
      </c>
      <c r="B501" t="s">
        <v>1087</v>
      </c>
      <c r="C501" s="19">
        <v>0</v>
      </c>
      <c r="D501" s="19">
        <v>0</v>
      </c>
      <c r="E501" s="19">
        <v>0</v>
      </c>
      <c r="F501" s="19">
        <v>0</v>
      </c>
      <c r="G501" s="19">
        <v>0</v>
      </c>
      <c r="H501" s="19">
        <v>0</v>
      </c>
      <c r="I501" s="19">
        <v>0</v>
      </c>
      <c r="J501" s="19">
        <v>0</v>
      </c>
      <c r="K501" s="19"/>
      <c r="L501" s="19">
        <v>0</v>
      </c>
      <c r="M501" s="19">
        <v>0</v>
      </c>
      <c r="N501" s="19">
        <v>0</v>
      </c>
      <c r="P501">
        <v>4177</v>
      </c>
      <c r="Q501">
        <v>7</v>
      </c>
      <c r="R501" t="s">
        <v>508</v>
      </c>
      <c r="S501" s="12">
        <v>0</v>
      </c>
      <c r="T501" s="12">
        <v>0</v>
      </c>
      <c r="U501" s="12">
        <v>864</v>
      </c>
      <c r="V501" s="12">
        <v>864</v>
      </c>
      <c r="W501" s="12">
        <v>0</v>
      </c>
      <c r="X501" s="12">
        <v>0</v>
      </c>
      <c r="Y501" s="12">
        <v>864</v>
      </c>
      <c r="Z501" s="12">
        <v>864</v>
      </c>
      <c r="AA501" s="12">
        <v>0</v>
      </c>
      <c r="AB501" s="12">
        <v>0</v>
      </c>
      <c r="AC501" s="12">
        <v>0</v>
      </c>
      <c r="AD501" s="12">
        <v>0</v>
      </c>
      <c r="AI501" s="12"/>
    </row>
    <row r="502" spans="1:35" x14ac:dyDescent="0.25">
      <c r="A502">
        <v>4213</v>
      </c>
      <c r="B502" t="s">
        <v>1088</v>
      </c>
      <c r="C502" s="19">
        <v>0</v>
      </c>
      <c r="D502" s="19">
        <v>0</v>
      </c>
      <c r="E502" s="19">
        <v>0</v>
      </c>
      <c r="F502" s="19">
        <v>0</v>
      </c>
      <c r="G502" s="19">
        <v>0</v>
      </c>
      <c r="H502" s="19">
        <v>0</v>
      </c>
      <c r="I502" s="19">
        <v>0</v>
      </c>
      <c r="J502" s="19">
        <v>0</v>
      </c>
      <c r="K502" s="19"/>
      <c r="L502" s="19">
        <v>0</v>
      </c>
      <c r="M502" s="19">
        <v>0</v>
      </c>
      <c r="N502" s="19">
        <v>0</v>
      </c>
      <c r="P502">
        <v>4178</v>
      </c>
      <c r="Q502">
        <v>7</v>
      </c>
      <c r="R502" t="s">
        <v>509</v>
      </c>
      <c r="S502" s="12">
        <v>0</v>
      </c>
      <c r="T502" s="12">
        <v>0</v>
      </c>
      <c r="U502" s="12">
        <v>18459</v>
      </c>
      <c r="V502" s="12">
        <v>18459</v>
      </c>
      <c r="W502" s="12">
        <v>0</v>
      </c>
      <c r="X502" s="12">
        <v>0</v>
      </c>
      <c r="Y502" s="12">
        <v>18498.599999999999</v>
      </c>
      <c r="Z502" s="12">
        <v>18498.599999999999</v>
      </c>
      <c r="AA502" s="12">
        <v>0</v>
      </c>
      <c r="AB502" s="12">
        <v>0</v>
      </c>
      <c r="AC502" s="12">
        <v>39.599999999998545</v>
      </c>
      <c r="AD502" s="12">
        <v>39.599999999998545</v>
      </c>
      <c r="AI502" s="12"/>
    </row>
    <row r="503" spans="1:35" x14ac:dyDescent="0.25">
      <c r="A503">
        <v>4214</v>
      </c>
      <c r="B503" t="s">
        <v>1089</v>
      </c>
      <c r="C503" s="19">
        <v>0</v>
      </c>
      <c r="D503" s="19">
        <v>0</v>
      </c>
      <c r="E503" s="19">
        <v>0</v>
      </c>
      <c r="F503" s="19">
        <v>0</v>
      </c>
      <c r="G503" s="19">
        <v>0</v>
      </c>
      <c r="H503" s="19">
        <v>0</v>
      </c>
      <c r="I503" s="19">
        <v>0</v>
      </c>
      <c r="J503" s="19">
        <v>0</v>
      </c>
      <c r="K503" s="19"/>
      <c r="L503" s="19">
        <v>0</v>
      </c>
      <c r="M503" s="19">
        <v>0</v>
      </c>
      <c r="N503" s="19">
        <v>0</v>
      </c>
      <c r="P503">
        <v>4180</v>
      </c>
      <c r="Q503">
        <v>7</v>
      </c>
      <c r="R503" t="s">
        <v>510</v>
      </c>
      <c r="S503" s="12">
        <v>0</v>
      </c>
      <c r="T503" s="12">
        <v>0</v>
      </c>
      <c r="U503" s="12">
        <v>43391</v>
      </c>
      <c r="V503" s="12">
        <v>43391</v>
      </c>
      <c r="W503" s="12">
        <v>0</v>
      </c>
      <c r="X503" s="12">
        <v>0</v>
      </c>
      <c r="Y503" s="12">
        <v>43625.4</v>
      </c>
      <c r="Z503" s="12">
        <v>43625.4</v>
      </c>
      <c r="AA503" s="12">
        <v>0</v>
      </c>
      <c r="AB503" s="12">
        <v>0</v>
      </c>
      <c r="AC503" s="12">
        <v>234.40000000000146</v>
      </c>
      <c r="AD503" s="12">
        <v>234.40000000000146</v>
      </c>
      <c r="AI503" s="12"/>
    </row>
    <row r="504" spans="1:35" x14ac:dyDescent="0.25">
      <c r="A504">
        <v>4218</v>
      </c>
      <c r="B504" t="s">
        <v>1090</v>
      </c>
      <c r="C504" s="19">
        <v>0</v>
      </c>
      <c r="D504" s="19">
        <v>0</v>
      </c>
      <c r="E504" s="19">
        <v>0</v>
      </c>
      <c r="F504" s="19">
        <v>0</v>
      </c>
      <c r="G504" s="19">
        <v>0</v>
      </c>
      <c r="H504" s="19">
        <v>0</v>
      </c>
      <c r="I504" s="19">
        <v>0</v>
      </c>
      <c r="J504" s="19">
        <v>0</v>
      </c>
      <c r="K504" s="19"/>
      <c r="L504" s="19">
        <v>0</v>
      </c>
      <c r="M504" s="19">
        <v>0</v>
      </c>
      <c r="N504" s="19">
        <v>0</v>
      </c>
      <c r="P504">
        <v>4181</v>
      </c>
      <c r="Q504">
        <v>7</v>
      </c>
      <c r="R504" t="s">
        <v>511</v>
      </c>
      <c r="S504" s="12">
        <v>0</v>
      </c>
      <c r="T504" s="12">
        <v>0</v>
      </c>
      <c r="U504" s="12">
        <v>155194</v>
      </c>
      <c r="V504" s="12">
        <v>155194</v>
      </c>
      <c r="W504" s="12">
        <v>0</v>
      </c>
      <c r="X504" s="12">
        <v>0</v>
      </c>
      <c r="Y504" s="12">
        <v>160450.79999999999</v>
      </c>
      <c r="Z504" s="12">
        <v>160450.79999999999</v>
      </c>
      <c r="AA504" s="12">
        <v>0</v>
      </c>
      <c r="AB504" s="12">
        <v>0</v>
      </c>
      <c r="AC504" s="12">
        <v>5256.7999999999884</v>
      </c>
      <c r="AD504" s="12">
        <v>5256.7999999999884</v>
      </c>
      <c r="AI504" s="12"/>
    </row>
    <row r="505" spans="1:35" x14ac:dyDescent="0.25">
      <c r="A505">
        <v>4999</v>
      </c>
      <c r="B505" t="s">
        <v>1091</v>
      </c>
      <c r="C505" s="19">
        <v>0</v>
      </c>
      <c r="D505" s="19">
        <v>0</v>
      </c>
      <c r="E505" s="19">
        <v>0</v>
      </c>
      <c r="F505" s="19">
        <v>0</v>
      </c>
      <c r="G505" s="19">
        <v>0</v>
      </c>
      <c r="H505" s="19">
        <v>0</v>
      </c>
      <c r="I505" s="19">
        <v>0</v>
      </c>
      <c r="J505" s="19">
        <v>0</v>
      </c>
      <c r="K505" s="19"/>
      <c r="L505" s="19">
        <v>0</v>
      </c>
      <c r="M505" s="19">
        <v>0</v>
      </c>
      <c r="N505" s="19">
        <v>0</v>
      </c>
      <c r="P505">
        <v>4182</v>
      </c>
      <c r="Q505">
        <v>7</v>
      </c>
      <c r="R505" t="s">
        <v>512</v>
      </c>
      <c r="S505" s="12">
        <v>0</v>
      </c>
      <c r="T505" s="12">
        <v>0</v>
      </c>
      <c r="U505" s="12">
        <v>1902</v>
      </c>
      <c r="V505" s="12">
        <v>1902</v>
      </c>
      <c r="W505" s="12">
        <v>0</v>
      </c>
      <c r="X505" s="12">
        <v>0</v>
      </c>
      <c r="Y505" s="12">
        <v>1962</v>
      </c>
      <c r="Z505" s="12">
        <v>1962</v>
      </c>
      <c r="AA505" s="12">
        <v>0</v>
      </c>
      <c r="AB505" s="12">
        <v>0</v>
      </c>
      <c r="AC505" s="12">
        <v>60</v>
      </c>
      <c r="AD505" s="12">
        <v>60</v>
      </c>
      <c r="AI505" s="12"/>
    </row>
    <row r="506" spans="1:35" x14ac:dyDescent="0.25">
      <c r="A506">
        <v>6000</v>
      </c>
      <c r="B506" t="s">
        <v>1092</v>
      </c>
      <c r="C506" s="19">
        <v>0</v>
      </c>
      <c r="D506" s="19">
        <v>0</v>
      </c>
      <c r="E506" s="19">
        <v>0</v>
      </c>
      <c r="F506" s="19">
        <v>0</v>
      </c>
      <c r="G506" s="19">
        <v>0</v>
      </c>
      <c r="H506" s="19">
        <v>0</v>
      </c>
      <c r="I506" s="19">
        <v>0</v>
      </c>
      <c r="J506" s="19">
        <v>0</v>
      </c>
      <c r="K506" s="19"/>
      <c r="L506" s="19">
        <v>0</v>
      </c>
      <c r="M506" s="19">
        <v>0</v>
      </c>
      <c r="N506" s="19">
        <v>0</v>
      </c>
      <c r="P506">
        <v>4183</v>
      </c>
      <c r="Q506">
        <v>7</v>
      </c>
      <c r="R506" t="s">
        <v>513</v>
      </c>
      <c r="S506" s="12">
        <v>0</v>
      </c>
      <c r="T506" s="12">
        <v>0</v>
      </c>
      <c r="U506" s="12">
        <v>10261</v>
      </c>
      <c r="V506" s="12">
        <v>10261</v>
      </c>
      <c r="W506" s="12">
        <v>0</v>
      </c>
      <c r="X506" s="12">
        <v>0</v>
      </c>
      <c r="Y506" s="12">
        <v>10522.2</v>
      </c>
      <c r="Z506" s="12">
        <v>10522.2</v>
      </c>
      <c r="AA506" s="12">
        <v>0</v>
      </c>
      <c r="AB506" s="12">
        <v>0</v>
      </c>
      <c r="AC506" s="12">
        <v>261.20000000000073</v>
      </c>
      <c r="AD506" s="12">
        <v>261.20000000000073</v>
      </c>
      <c r="AI506" s="12"/>
    </row>
    <row r="507" spans="1:35" x14ac:dyDescent="0.25">
      <c r="A507" t="s">
        <v>1134</v>
      </c>
      <c r="P507">
        <v>4184</v>
      </c>
      <c r="Q507">
        <v>7</v>
      </c>
      <c r="R507" t="s">
        <v>514</v>
      </c>
      <c r="S507" s="12">
        <v>0</v>
      </c>
      <c r="T507" s="12">
        <v>0</v>
      </c>
      <c r="U507" s="12">
        <v>24418</v>
      </c>
      <c r="V507" s="12">
        <v>24418</v>
      </c>
      <c r="W507" s="12">
        <v>0</v>
      </c>
      <c r="X507" s="12">
        <v>0</v>
      </c>
      <c r="Y507" s="12">
        <v>25206.799999999999</v>
      </c>
      <c r="Z507" s="12">
        <v>25206.799999999999</v>
      </c>
      <c r="AA507" s="12">
        <v>0</v>
      </c>
      <c r="AB507" s="12">
        <v>0</v>
      </c>
      <c r="AC507" s="12">
        <v>788.79999999999927</v>
      </c>
      <c r="AD507" s="12">
        <v>788.79999999999927</v>
      </c>
      <c r="AI507" s="12"/>
    </row>
    <row r="508" spans="1:35" x14ac:dyDescent="0.25">
      <c r="P508">
        <v>4185</v>
      </c>
      <c r="Q508">
        <v>7</v>
      </c>
      <c r="R508" t="s">
        <v>515</v>
      </c>
      <c r="S508" s="12">
        <v>0</v>
      </c>
      <c r="T508" s="12">
        <v>0</v>
      </c>
      <c r="U508" s="12">
        <v>26446</v>
      </c>
      <c r="V508" s="12">
        <v>26446</v>
      </c>
      <c r="W508" s="12">
        <v>0</v>
      </c>
      <c r="X508" s="12">
        <v>0</v>
      </c>
      <c r="Y508" s="12">
        <v>27825.599999999999</v>
      </c>
      <c r="Z508" s="12">
        <v>27825.599999999999</v>
      </c>
      <c r="AA508" s="12">
        <v>0</v>
      </c>
      <c r="AB508" s="12">
        <v>0</v>
      </c>
      <c r="AC508" s="12">
        <v>1379.5999999999985</v>
      </c>
      <c r="AD508" s="12">
        <v>1379.5999999999985</v>
      </c>
      <c r="AI508" s="12"/>
    </row>
    <row r="509" spans="1:35" x14ac:dyDescent="0.25">
      <c r="P509">
        <v>4186</v>
      </c>
      <c r="Q509">
        <v>7</v>
      </c>
      <c r="R509" t="s">
        <v>516</v>
      </c>
      <c r="S509" s="12">
        <v>0</v>
      </c>
      <c r="T509" s="12">
        <v>0</v>
      </c>
      <c r="U509" s="12">
        <v>68725</v>
      </c>
      <c r="V509" s="12">
        <v>68725</v>
      </c>
      <c r="W509" s="12">
        <v>0</v>
      </c>
      <c r="X509" s="12">
        <v>0</v>
      </c>
      <c r="Y509" s="12">
        <v>71279.399999999994</v>
      </c>
      <c r="Z509" s="12">
        <v>71279.399999999994</v>
      </c>
      <c r="AA509" s="12">
        <v>0</v>
      </c>
      <c r="AB509" s="12">
        <v>0</v>
      </c>
      <c r="AC509" s="12">
        <v>2554.3999999999942</v>
      </c>
      <c r="AD509" s="12">
        <v>2554.3999999999942</v>
      </c>
      <c r="AI509" s="12"/>
    </row>
    <row r="510" spans="1:35" x14ac:dyDescent="0.25">
      <c r="P510">
        <v>4187</v>
      </c>
      <c r="Q510">
        <v>7</v>
      </c>
      <c r="R510" t="s">
        <v>517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I510" s="12"/>
    </row>
    <row r="511" spans="1:35" x14ac:dyDescent="0.25">
      <c r="P511">
        <v>4188</v>
      </c>
      <c r="Q511">
        <v>7</v>
      </c>
      <c r="R511" t="s">
        <v>518</v>
      </c>
      <c r="S511" s="12">
        <v>0</v>
      </c>
      <c r="T511" s="12">
        <v>0</v>
      </c>
      <c r="U511" s="12">
        <v>32104</v>
      </c>
      <c r="V511" s="12">
        <v>32104</v>
      </c>
      <c r="W511" s="12">
        <v>0</v>
      </c>
      <c r="X511" s="12">
        <v>0</v>
      </c>
      <c r="Y511" s="12">
        <v>33743.599999999999</v>
      </c>
      <c r="Z511" s="12">
        <v>33743.599999999999</v>
      </c>
      <c r="AA511" s="12">
        <v>0</v>
      </c>
      <c r="AB511" s="12">
        <v>0</v>
      </c>
      <c r="AC511" s="12">
        <v>1639.5999999999985</v>
      </c>
      <c r="AD511" s="12">
        <v>1639.5999999999985</v>
      </c>
      <c r="AI511" s="12"/>
    </row>
    <row r="512" spans="1:35" x14ac:dyDescent="0.25">
      <c r="P512">
        <v>4189</v>
      </c>
      <c r="Q512">
        <v>7</v>
      </c>
      <c r="R512" t="s">
        <v>519</v>
      </c>
      <c r="S512" s="12">
        <v>0</v>
      </c>
      <c r="T512" s="12">
        <v>0</v>
      </c>
      <c r="U512" s="12">
        <v>14981</v>
      </c>
      <c r="V512" s="12">
        <v>14981</v>
      </c>
      <c r="W512" s="12">
        <v>0</v>
      </c>
      <c r="X512" s="12">
        <v>0</v>
      </c>
      <c r="Y512" s="12">
        <v>15380.6</v>
      </c>
      <c r="Z512" s="12">
        <v>15380.6</v>
      </c>
      <c r="AA512" s="12">
        <v>0</v>
      </c>
      <c r="AB512" s="12">
        <v>0</v>
      </c>
      <c r="AC512" s="12">
        <v>399.60000000000036</v>
      </c>
      <c r="AD512" s="12">
        <v>399.60000000000036</v>
      </c>
      <c r="AI512" s="12"/>
    </row>
    <row r="513" spans="16:35" x14ac:dyDescent="0.25">
      <c r="P513">
        <v>4190</v>
      </c>
      <c r="Q513">
        <v>7</v>
      </c>
      <c r="R513" t="s">
        <v>520</v>
      </c>
      <c r="S513" s="12">
        <v>0</v>
      </c>
      <c r="T513" s="12">
        <v>0</v>
      </c>
      <c r="U513" s="12">
        <v>6404</v>
      </c>
      <c r="V513" s="12">
        <v>6404</v>
      </c>
      <c r="W513" s="12">
        <v>0</v>
      </c>
      <c r="X513" s="12">
        <v>0</v>
      </c>
      <c r="Y513" s="12">
        <v>6708.4</v>
      </c>
      <c r="Z513" s="12">
        <v>6708.4</v>
      </c>
      <c r="AA513" s="12">
        <v>0</v>
      </c>
      <c r="AB513" s="12">
        <v>0</v>
      </c>
      <c r="AC513" s="12">
        <v>304.39999999999964</v>
      </c>
      <c r="AD513" s="12">
        <v>304.39999999999964</v>
      </c>
      <c r="AI513" s="12"/>
    </row>
    <row r="514" spans="16:35" x14ac:dyDescent="0.25">
      <c r="P514">
        <v>4191</v>
      </c>
      <c r="Q514">
        <v>7</v>
      </c>
      <c r="R514" t="s">
        <v>521</v>
      </c>
      <c r="S514" s="12">
        <v>0</v>
      </c>
      <c r="T514" s="12">
        <v>0</v>
      </c>
      <c r="U514" s="12">
        <v>21693</v>
      </c>
      <c r="V514" s="12">
        <v>21693</v>
      </c>
      <c r="W514" s="12">
        <v>0</v>
      </c>
      <c r="X514" s="12">
        <v>0</v>
      </c>
      <c r="Y514" s="12">
        <v>21985</v>
      </c>
      <c r="Z514" s="12">
        <v>21985</v>
      </c>
      <c r="AA514" s="12">
        <v>0</v>
      </c>
      <c r="AB514" s="12">
        <v>0</v>
      </c>
      <c r="AC514" s="12">
        <v>292</v>
      </c>
      <c r="AD514" s="12">
        <v>292</v>
      </c>
      <c r="AI514" s="12"/>
    </row>
    <row r="515" spans="16:35" x14ac:dyDescent="0.25">
      <c r="P515">
        <v>4192</v>
      </c>
      <c r="Q515">
        <v>7</v>
      </c>
      <c r="R515" t="s">
        <v>522</v>
      </c>
      <c r="S515" s="12">
        <v>0</v>
      </c>
      <c r="T515" s="12">
        <v>0</v>
      </c>
      <c r="U515" s="12">
        <v>71286</v>
      </c>
      <c r="V515" s="12">
        <v>71286</v>
      </c>
      <c r="W515" s="12">
        <v>0</v>
      </c>
      <c r="X515" s="12">
        <v>0</v>
      </c>
      <c r="Y515" s="12">
        <v>72676.399999999994</v>
      </c>
      <c r="Z515" s="12">
        <v>72676.399999999994</v>
      </c>
      <c r="AA515" s="12">
        <v>0</v>
      </c>
      <c r="AB515" s="12">
        <v>0</v>
      </c>
      <c r="AC515" s="12">
        <v>1390.3999999999942</v>
      </c>
      <c r="AD515" s="12">
        <v>1390.3999999999942</v>
      </c>
      <c r="AI515" s="12"/>
    </row>
    <row r="516" spans="16:35" x14ac:dyDescent="0.25">
      <c r="P516">
        <v>4193</v>
      </c>
      <c r="Q516">
        <v>7</v>
      </c>
      <c r="R516" t="s">
        <v>523</v>
      </c>
      <c r="S516" s="12">
        <v>0</v>
      </c>
      <c r="T516" s="12">
        <v>0</v>
      </c>
      <c r="U516" s="12">
        <v>41579</v>
      </c>
      <c r="V516" s="12">
        <v>41579</v>
      </c>
      <c r="W516" s="12">
        <v>0</v>
      </c>
      <c r="X516" s="12">
        <v>0</v>
      </c>
      <c r="Y516" s="12">
        <v>42452.2</v>
      </c>
      <c r="Z516" s="12">
        <v>42452.2</v>
      </c>
      <c r="AA516" s="12">
        <v>0</v>
      </c>
      <c r="AB516" s="12">
        <v>0</v>
      </c>
      <c r="AC516" s="12">
        <v>873.19999999999709</v>
      </c>
      <c r="AD516" s="12">
        <v>873.19999999999709</v>
      </c>
      <c r="AI516" s="12"/>
    </row>
    <row r="517" spans="16:35" x14ac:dyDescent="0.25">
      <c r="P517">
        <v>4194</v>
      </c>
      <c r="Q517">
        <v>7</v>
      </c>
      <c r="R517" t="s">
        <v>524</v>
      </c>
      <c r="S517" s="12">
        <v>0</v>
      </c>
      <c r="T517" s="12">
        <v>0</v>
      </c>
      <c r="U517" s="12">
        <v>19882</v>
      </c>
      <c r="V517" s="12">
        <v>19882</v>
      </c>
      <c r="W517" s="12">
        <v>0</v>
      </c>
      <c r="X517" s="12">
        <v>0</v>
      </c>
      <c r="Y517" s="12">
        <v>21076.799999999999</v>
      </c>
      <c r="Z517" s="12">
        <v>21076.799999999999</v>
      </c>
      <c r="AA517" s="12">
        <v>0</v>
      </c>
      <c r="AB517" s="12">
        <v>0</v>
      </c>
      <c r="AC517" s="12">
        <v>1194.7999999999993</v>
      </c>
      <c r="AD517" s="12">
        <v>1194.7999999999993</v>
      </c>
      <c r="AI517" s="12"/>
    </row>
    <row r="518" spans="16:35" x14ac:dyDescent="0.25">
      <c r="P518">
        <v>4195</v>
      </c>
      <c r="Q518">
        <v>7</v>
      </c>
      <c r="R518" t="s">
        <v>525</v>
      </c>
      <c r="S518" s="12">
        <v>0</v>
      </c>
      <c r="T518" s="12">
        <v>0</v>
      </c>
      <c r="U518" s="12">
        <v>4789</v>
      </c>
      <c r="V518" s="12">
        <v>4789</v>
      </c>
      <c r="W518" s="12">
        <v>0</v>
      </c>
      <c r="X518" s="12">
        <v>0</v>
      </c>
      <c r="Y518" s="12">
        <v>4972.2</v>
      </c>
      <c r="Z518" s="12">
        <v>4972.2</v>
      </c>
      <c r="AA518" s="12">
        <v>0</v>
      </c>
      <c r="AB518" s="12">
        <v>0</v>
      </c>
      <c r="AC518" s="12">
        <v>183.19999999999982</v>
      </c>
      <c r="AD518" s="12">
        <v>183.19999999999982</v>
      </c>
      <c r="AI518" s="12"/>
    </row>
    <row r="519" spans="16:35" x14ac:dyDescent="0.25">
      <c r="P519">
        <v>4196</v>
      </c>
      <c r="Q519">
        <v>7</v>
      </c>
      <c r="R519" t="s">
        <v>526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0</v>
      </c>
      <c r="Y519" s="12">
        <v>0</v>
      </c>
      <c r="Z519" s="12">
        <v>0</v>
      </c>
      <c r="AA519" s="12">
        <v>0</v>
      </c>
      <c r="AB519" s="12">
        <v>0</v>
      </c>
      <c r="AC519" s="12">
        <v>0</v>
      </c>
      <c r="AD519" s="12">
        <v>0</v>
      </c>
      <c r="AI519" s="12"/>
    </row>
    <row r="520" spans="16:35" x14ac:dyDescent="0.25">
      <c r="P520">
        <v>4197</v>
      </c>
      <c r="Q520">
        <v>7</v>
      </c>
      <c r="R520" t="s">
        <v>527</v>
      </c>
      <c r="S520" s="12">
        <v>0</v>
      </c>
      <c r="T520" s="12">
        <v>0</v>
      </c>
      <c r="U520" s="12">
        <v>0</v>
      </c>
      <c r="V520" s="12">
        <v>0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I520" s="12"/>
    </row>
    <row r="521" spans="16:35" x14ac:dyDescent="0.25">
      <c r="P521">
        <v>4198</v>
      </c>
      <c r="Q521">
        <v>7</v>
      </c>
      <c r="R521" t="s">
        <v>528</v>
      </c>
      <c r="S521" s="12">
        <v>0</v>
      </c>
      <c r="T521" s="12">
        <v>0</v>
      </c>
      <c r="U521" s="12">
        <v>13844</v>
      </c>
      <c r="V521" s="12">
        <v>13844</v>
      </c>
      <c r="W521" s="12">
        <v>0</v>
      </c>
      <c r="X521" s="12">
        <v>0</v>
      </c>
      <c r="Y521" s="12">
        <v>14944.8</v>
      </c>
      <c r="Z521" s="12">
        <v>14944.8</v>
      </c>
      <c r="AA521" s="12">
        <v>0</v>
      </c>
      <c r="AB521" s="12">
        <v>0</v>
      </c>
      <c r="AC521" s="12">
        <v>1100.7999999999993</v>
      </c>
      <c r="AD521" s="12">
        <v>1100.7999999999993</v>
      </c>
      <c r="AI521" s="12"/>
    </row>
    <row r="522" spans="16:35" x14ac:dyDescent="0.25">
      <c r="P522">
        <v>4199</v>
      </c>
      <c r="Q522">
        <v>7</v>
      </c>
      <c r="R522" t="s">
        <v>529</v>
      </c>
      <c r="S522" s="12">
        <v>0</v>
      </c>
      <c r="T522" s="12">
        <v>0</v>
      </c>
      <c r="U522" s="12">
        <v>35225</v>
      </c>
      <c r="V522" s="12">
        <v>35225</v>
      </c>
      <c r="W522" s="12">
        <v>0</v>
      </c>
      <c r="X522" s="12">
        <v>0</v>
      </c>
      <c r="Y522" s="12">
        <v>36125.800000000003</v>
      </c>
      <c r="Z522" s="12">
        <v>36125.800000000003</v>
      </c>
      <c r="AA522" s="12">
        <v>0</v>
      </c>
      <c r="AB522" s="12">
        <v>0</v>
      </c>
      <c r="AC522" s="12">
        <v>900.80000000000291</v>
      </c>
      <c r="AD522" s="12">
        <v>900.80000000000291</v>
      </c>
      <c r="AI522" s="12"/>
    </row>
    <row r="523" spans="16:35" x14ac:dyDescent="0.25">
      <c r="P523">
        <v>4200</v>
      </c>
      <c r="Q523">
        <v>7</v>
      </c>
      <c r="R523" t="s">
        <v>530</v>
      </c>
      <c r="S523" s="12">
        <v>0</v>
      </c>
      <c r="T523" s="12">
        <v>0</v>
      </c>
      <c r="U523" s="12">
        <v>23984</v>
      </c>
      <c r="V523" s="12">
        <v>23984</v>
      </c>
      <c r="W523" s="12">
        <v>0</v>
      </c>
      <c r="X523" s="12">
        <v>0</v>
      </c>
      <c r="Y523" s="12">
        <v>24303.200000000001</v>
      </c>
      <c r="Z523" s="12">
        <v>24303.200000000001</v>
      </c>
      <c r="AA523" s="12">
        <v>0</v>
      </c>
      <c r="AB523" s="12">
        <v>0</v>
      </c>
      <c r="AC523" s="12">
        <v>319.20000000000073</v>
      </c>
      <c r="AD523" s="12">
        <v>319.20000000000073</v>
      </c>
      <c r="AI523" s="12"/>
    </row>
    <row r="524" spans="16:35" x14ac:dyDescent="0.25">
      <c r="P524">
        <v>4201</v>
      </c>
      <c r="Q524">
        <v>7</v>
      </c>
      <c r="R524" t="s">
        <v>531</v>
      </c>
      <c r="S524" s="12">
        <v>0</v>
      </c>
      <c r="T524" s="12">
        <v>0</v>
      </c>
      <c r="U524" s="12">
        <v>12924</v>
      </c>
      <c r="V524" s="12">
        <v>12924</v>
      </c>
      <c r="W524" s="12">
        <v>0</v>
      </c>
      <c r="X524" s="12">
        <v>0</v>
      </c>
      <c r="Y524" s="12">
        <v>13248</v>
      </c>
      <c r="Z524" s="12">
        <v>13248</v>
      </c>
      <c r="AA524" s="12">
        <v>0</v>
      </c>
      <c r="AB524" s="12">
        <v>0</v>
      </c>
      <c r="AC524" s="12">
        <v>324</v>
      </c>
      <c r="AD524" s="12">
        <v>324</v>
      </c>
      <c r="AI524" s="12"/>
    </row>
    <row r="525" spans="16:35" x14ac:dyDescent="0.25">
      <c r="P525">
        <v>4202</v>
      </c>
      <c r="Q525">
        <v>7</v>
      </c>
      <c r="R525" t="s">
        <v>532</v>
      </c>
      <c r="S525" s="12">
        <v>0</v>
      </c>
      <c r="T525" s="12">
        <v>0</v>
      </c>
      <c r="U525" s="12">
        <v>0</v>
      </c>
      <c r="V525" s="12">
        <v>0</v>
      </c>
      <c r="W525" s="12">
        <v>0</v>
      </c>
      <c r="X525" s="12">
        <v>0</v>
      </c>
      <c r="Y525" s="12">
        <v>0</v>
      </c>
      <c r="Z525" s="12">
        <v>0</v>
      </c>
      <c r="AA525" s="12">
        <v>0</v>
      </c>
      <c r="AB525" s="12">
        <v>0</v>
      </c>
      <c r="AC525" s="12">
        <v>0</v>
      </c>
      <c r="AD525" s="12">
        <v>0</v>
      </c>
      <c r="AI525" s="12"/>
    </row>
    <row r="526" spans="16:35" x14ac:dyDescent="0.25">
      <c r="P526">
        <v>4203</v>
      </c>
      <c r="Q526">
        <v>7</v>
      </c>
      <c r="R526" t="s">
        <v>533</v>
      </c>
      <c r="S526" s="12">
        <v>0</v>
      </c>
      <c r="T526" s="12">
        <v>0</v>
      </c>
      <c r="U526" s="12">
        <v>6843</v>
      </c>
      <c r="V526" s="12">
        <v>6843</v>
      </c>
      <c r="W526" s="12">
        <v>0</v>
      </c>
      <c r="X526" s="12">
        <v>0</v>
      </c>
      <c r="Y526" s="12">
        <v>7113.8</v>
      </c>
      <c r="Z526" s="12">
        <v>7113.8</v>
      </c>
      <c r="AA526" s="12">
        <v>0</v>
      </c>
      <c r="AB526" s="12">
        <v>0</v>
      </c>
      <c r="AC526" s="12">
        <v>270.80000000000018</v>
      </c>
      <c r="AD526" s="12">
        <v>270.80000000000018</v>
      </c>
      <c r="AI526" s="12"/>
    </row>
    <row r="527" spans="16:35" x14ac:dyDescent="0.25">
      <c r="P527">
        <v>4204</v>
      </c>
      <c r="Q527">
        <v>7</v>
      </c>
      <c r="R527" t="s">
        <v>534</v>
      </c>
      <c r="S527" s="12">
        <v>0</v>
      </c>
      <c r="T527" s="12">
        <v>0</v>
      </c>
      <c r="U527" s="12">
        <v>11341</v>
      </c>
      <c r="V527" s="12">
        <v>11341</v>
      </c>
      <c r="W527" s="12">
        <v>0</v>
      </c>
      <c r="X527" s="12">
        <v>0</v>
      </c>
      <c r="Y527" s="12">
        <v>11376.2</v>
      </c>
      <c r="Z527" s="12">
        <v>11376.2</v>
      </c>
      <c r="AA527" s="12">
        <v>0</v>
      </c>
      <c r="AB527" s="12">
        <v>0</v>
      </c>
      <c r="AC527" s="12">
        <v>35.200000000000728</v>
      </c>
      <c r="AD527" s="12">
        <v>35.200000000000728</v>
      </c>
      <c r="AI527" s="12"/>
    </row>
    <row r="528" spans="16:35" x14ac:dyDescent="0.25">
      <c r="P528">
        <v>4205</v>
      </c>
      <c r="Q528">
        <v>7</v>
      </c>
      <c r="R528" t="s">
        <v>535</v>
      </c>
      <c r="S528" s="12">
        <v>0</v>
      </c>
      <c r="T528" s="12">
        <v>0</v>
      </c>
      <c r="U528" s="12">
        <v>20167</v>
      </c>
      <c r="V528" s="12">
        <v>20167</v>
      </c>
      <c r="W528" s="12">
        <v>0</v>
      </c>
      <c r="X528" s="12">
        <v>0</v>
      </c>
      <c r="Y528" s="12">
        <v>20653.8</v>
      </c>
      <c r="Z528" s="12">
        <v>20653.8</v>
      </c>
      <c r="AA528" s="12">
        <v>0</v>
      </c>
      <c r="AB528" s="12">
        <v>0</v>
      </c>
      <c r="AC528" s="12">
        <v>486.79999999999927</v>
      </c>
      <c r="AD528" s="12">
        <v>486.79999999999927</v>
      </c>
      <c r="AI528" s="12"/>
    </row>
    <row r="529" spans="1:35" x14ac:dyDescent="0.25">
      <c r="P529">
        <v>4207</v>
      </c>
      <c r="Q529">
        <v>7</v>
      </c>
      <c r="R529" t="s">
        <v>536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I529" s="12"/>
    </row>
    <row r="530" spans="1:35" x14ac:dyDescent="0.25">
      <c r="P530">
        <v>4208</v>
      </c>
      <c r="Q530">
        <v>7</v>
      </c>
      <c r="R530" t="s">
        <v>537</v>
      </c>
      <c r="S530" s="12">
        <v>0</v>
      </c>
      <c r="T530" s="12">
        <v>0</v>
      </c>
      <c r="U530" s="12">
        <v>10132</v>
      </c>
      <c r="V530" s="12">
        <v>10132</v>
      </c>
      <c r="W530" s="12">
        <v>0</v>
      </c>
      <c r="X530" s="12">
        <v>0</v>
      </c>
      <c r="Y530" s="12">
        <v>10835.6</v>
      </c>
      <c r="Z530" s="12">
        <v>10835.6</v>
      </c>
      <c r="AA530" s="12">
        <v>0</v>
      </c>
      <c r="AB530" s="12">
        <v>0</v>
      </c>
      <c r="AC530" s="12">
        <v>703.60000000000036</v>
      </c>
      <c r="AD530" s="12">
        <v>703.60000000000036</v>
      </c>
      <c r="AI530" s="12"/>
    </row>
    <row r="531" spans="1:35" x14ac:dyDescent="0.25">
      <c r="P531">
        <v>4209</v>
      </c>
      <c r="Q531">
        <v>7</v>
      </c>
      <c r="R531" t="s">
        <v>538</v>
      </c>
      <c r="S531" s="12">
        <v>0</v>
      </c>
      <c r="T531" s="12">
        <v>0</v>
      </c>
      <c r="U531" s="12">
        <v>18063</v>
      </c>
      <c r="V531" s="12">
        <v>18063</v>
      </c>
      <c r="W531" s="12">
        <v>0</v>
      </c>
      <c r="X531" s="12">
        <v>0</v>
      </c>
      <c r="Y531" s="12">
        <v>18202.599999999999</v>
      </c>
      <c r="Z531" s="12">
        <v>18202.599999999999</v>
      </c>
      <c r="AA531" s="12">
        <v>0</v>
      </c>
      <c r="AB531" s="12">
        <v>0</v>
      </c>
      <c r="AC531" s="12">
        <v>139.59999999999854</v>
      </c>
      <c r="AD531" s="12">
        <v>139.59999999999854</v>
      </c>
      <c r="AI531" s="12"/>
    </row>
    <row r="532" spans="1:35" x14ac:dyDescent="0.25">
      <c r="P532">
        <v>4210</v>
      </c>
      <c r="Q532">
        <v>7</v>
      </c>
      <c r="R532" t="s">
        <v>539</v>
      </c>
      <c r="S532" s="12">
        <v>0</v>
      </c>
      <c r="T532" s="12">
        <v>0</v>
      </c>
      <c r="U532" s="12">
        <v>0</v>
      </c>
      <c r="V532" s="12">
        <v>0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I532" s="12"/>
    </row>
    <row r="533" spans="1:35" x14ac:dyDescent="0.25">
      <c r="P533">
        <v>4211</v>
      </c>
      <c r="Q533">
        <v>7</v>
      </c>
      <c r="R533" t="s">
        <v>540</v>
      </c>
      <c r="S533" s="12">
        <v>0</v>
      </c>
      <c r="T533" s="12">
        <v>0</v>
      </c>
      <c r="U533" s="12">
        <v>0</v>
      </c>
      <c r="V533" s="12">
        <v>0</v>
      </c>
      <c r="W533" s="12">
        <v>0</v>
      </c>
      <c r="X533" s="12">
        <v>0</v>
      </c>
      <c r="Y533" s="12">
        <v>0</v>
      </c>
      <c r="Z533" s="12">
        <v>0</v>
      </c>
      <c r="AA533" s="12">
        <v>0</v>
      </c>
      <c r="AB533" s="12">
        <v>0</v>
      </c>
      <c r="AC533" s="12">
        <v>0</v>
      </c>
      <c r="AD533" s="12">
        <v>0</v>
      </c>
      <c r="AI533" s="12"/>
    </row>
    <row r="534" spans="1:35" x14ac:dyDescent="0.25">
      <c r="P534">
        <v>4212</v>
      </c>
      <c r="Q534">
        <v>7</v>
      </c>
      <c r="R534" t="s">
        <v>541</v>
      </c>
      <c r="S534" s="12">
        <v>0</v>
      </c>
      <c r="T534" s="12">
        <v>0</v>
      </c>
      <c r="U534" s="12">
        <v>0</v>
      </c>
      <c r="V534" s="12">
        <v>0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I534" s="12"/>
    </row>
    <row r="535" spans="1:35" x14ac:dyDescent="0.25">
      <c r="P535">
        <v>4213</v>
      </c>
      <c r="Q535">
        <v>7</v>
      </c>
      <c r="R535" t="s">
        <v>542</v>
      </c>
      <c r="S535" s="12">
        <v>0</v>
      </c>
      <c r="T535" s="12">
        <v>0</v>
      </c>
      <c r="U535" s="12">
        <v>0</v>
      </c>
      <c r="V535" s="12">
        <v>0</v>
      </c>
      <c r="W535" s="12">
        <v>0</v>
      </c>
      <c r="X535" s="12">
        <v>0</v>
      </c>
      <c r="Y535" s="12">
        <v>0</v>
      </c>
      <c r="Z535" s="12">
        <v>0</v>
      </c>
      <c r="AA535" s="12">
        <v>0</v>
      </c>
      <c r="AB535" s="12">
        <v>0</v>
      </c>
      <c r="AC535" s="12">
        <v>0</v>
      </c>
      <c r="AD535" s="12">
        <v>0</v>
      </c>
      <c r="AI535" s="12"/>
    </row>
    <row r="536" spans="1:35" x14ac:dyDescent="0.25">
      <c r="P536">
        <v>4214</v>
      </c>
      <c r="Q536">
        <v>7</v>
      </c>
      <c r="R536" t="s">
        <v>543</v>
      </c>
      <c r="S536" s="12">
        <v>0</v>
      </c>
      <c r="T536" s="12">
        <v>0</v>
      </c>
      <c r="U536" s="12">
        <v>0</v>
      </c>
      <c r="V536" s="12">
        <v>0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I536" s="12"/>
    </row>
    <row r="537" spans="1:35" x14ac:dyDescent="0.25">
      <c r="P537">
        <v>4218</v>
      </c>
      <c r="Q537">
        <v>7</v>
      </c>
      <c r="R537" t="s">
        <v>544</v>
      </c>
      <c r="S537" s="12">
        <v>0</v>
      </c>
      <c r="T537" s="12">
        <v>0</v>
      </c>
      <c r="U537" s="12">
        <v>0</v>
      </c>
      <c r="V537" s="12">
        <v>0</v>
      </c>
      <c r="W537" s="12">
        <v>0</v>
      </c>
      <c r="X537" s="12">
        <v>0</v>
      </c>
      <c r="Y537" s="12">
        <v>0</v>
      </c>
      <c r="Z537" s="12">
        <v>0</v>
      </c>
      <c r="AA537" s="12">
        <v>0</v>
      </c>
      <c r="AB537" s="12">
        <v>0</v>
      </c>
      <c r="AC537" s="12">
        <v>0</v>
      </c>
      <c r="AD537" s="12">
        <v>0</v>
      </c>
      <c r="AI537" s="12"/>
    </row>
    <row r="538" spans="1:35" x14ac:dyDescent="0.25">
      <c r="P538">
        <v>4999</v>
      </c>
      <c r="Q538">
        <v>7</v>
      </c>
      <c r="R538" t="s">
        <v>545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I538" s="12"/>
    </row>
    <row r="539" spans="1:35" x14ac:dyDescent="0.25">
      <c r="P539">
        <v>5000</v>
      </c>
      <c r="Q539">
        <v>70</v>
      </c>
      <c r="R539" t="s">
        <v>546</v>
      </c>
      <c r="S539" s="12">
        <v>0</v>
      </c>
      <c r="T539" s="12">
        <v>0</v>
      </c>
      <c r="U539" s="12">
        <v>0</v>
      </c>
      <c r="V539" s="12">
        <v>0</v>
      </c>
      <c r="W539" s="12">
        <v>0</v>
      </c>
      <c r="X539" s="12">
        <v>0</v>
      </c>
      <c r="Y539" s="12">
        <v>0</v>
      </c>
      <c r="Z539" s="12">
        <v>0</v>
      </c>
      <c r="AA539" s="12">
        <v>0</v>
      </c>
      <c r="AB539" s="12">
        <v>0</v>
      </c>
      <c r="AC539" s="12">
        <v>0</v>
      </c>
      <c r="AD539" s="12">
        <v>0</v>
      </c>
      <c r="AI539" s="12"/>
    </row>
    <row r="540" spans="1:35" x14ac:dyDescent="0.25">
      <c r="P540">
        <v>6000</v>
      </c>
      <c r="Q540">
        <v>60</v>
      </c>
      <c r="R540" t="s">
        <v>547</v>
      </c>
      <c r="S540" s="12">
        <v>0</v>
      </c>
      <c r="T540" s="12">
        <v>0</v>
      </c>
      <c r="U540" s="12">
        <v>0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I540" s="12"/>
    </row>
    <row r="541" spans="1:35" x14ac:dyDescent="0.25">
      <c r="P541" t="s">
        <v>1135</v>
      </c>
    </row>
    <row r="542" spans="1:35" x14ac:dyDescent="0.25">
      <c r="A542" t="s">
        <v>1127</v>
      </c>
    </row>
  </sheetData>
  <pageMargins left="0.7" right="0.7" top="0.75" bottom="0.75" header="0.3" footer="0.3"/>
  <pageSetup scale="71" orientation="portrait" r:id="rId1"/>
  <colBreaks count="2" manualBreakCount="2">
    <brk id="6" max="541" man="1"/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5"/>
  <sheetViews>
    <sheetView topLeftCell="A500" workbookViewId="0">
      <selection activeCell="J537" sqref="J537"/>
    </sheetView>
  </sheetViews>
  <sheetFormatPr defaultColWidth="0" defaultRowHeight="15" zeroHeight="1" x14ac:dyDescent="0.25"/>
  <cols>
    <col min="1" max="1" width="5.7109375" customWidth="1"/>
    <col min="2" max="2" width="3.42578125" customWidth="1"/>
    <col min="3" max="3" width="12.7109375" customWidth="1"/>
    <col min="4" max="10" width="14.7109375" customWidth="1"/>
    <col min="11" max="16384" width="9.140625" hidden="1"/>
  </cols>
  <sheetData>
    <row r="1" spans="1:10" x14ac:dyDescent="0.25">
      <c r="C1" s="34" t="s">
        <v>1128</v>
      </c>
      <c r="D1" s="17" t="s">
        <v>1112</v>
      </c>
      <c r="E1" s="17" t="s">
        <v>1113</v>
      </c>
      <c r="F1" s="17" t="s">
        <v>1114</v>
      </c>
      <c r="G1" s="17" t="s">
        <v>1115</v>
      </c>
      <c r="H1" s="17" t="s">
        <v>1118</v>
      </c>
      <c r="I1" s="17" t="s">
        <v>1119</v>
      </c>
      <c r="J1" s="17" t="s">
        <v>1120</v>
      </c>
    </row>
    <row r="2" spans="1:10" x14ac:dyDescent="0.25">
      <c r="C2" s="34" t="s">
        <v>1128</v>
      </c>
      <c r="D2" s="34" t="s">
        <v>1128</v>
      </c>
      <c r="E2" s="34" t="s">
        <v>1128</v>
      </c>
      <c r="F2" s="34" t="s">
        <v>1128</v>
      </c>
      <c r="G2" s="17" t="s">
        <v>1094</v>
      </c>
      <c r="H2" s="17" t="s">
        <v>11</v>
      </c>
      <c r="I2" s="17" t="s">
        <v>11</v>
      </c>
      <c r="J2" s="17" t="s">
        <v>11</v>
      </c>
    </row>
    <row r="3" spans="1:10" x14ac:dyDescent="0.25">
      <c r="C3" s="34" t="s">
        <v>1128</v>
      </c>
      <c r="D3" s="17" t="s">
        <v>1094</v>
      </c>
      <c r="E3" s="17" t="s">
        <v>1094</v>
      </c>
      <c r="F3" s="17" t="s">
        <v>1094</v>
      </c>
      <c r="G3" s="17" t="s">
        <v>7</v>
      </c>
      <c r="H3" s="17" t="s">
        <v>558</v>
      </c>
      <c r="I3" s="17" t="s">
        <v>558</v>
      </c>
      <c r="J3" s="17" t="s">
        <v>0</v>
      </c>
    </row>
    <row r="4" spans="1:10" x14ac:dyDescent="0.25">
      <c r="C4" s="34" t="s">
        <v>1128</v>
      </c>
      <c r="D4" s="17" t="s">
        <v>1124</v>
      </c>
      <c r="E4" s="17" t="s">
        <v>1125</v>
      </c>
      <c r="F4" s="17" t="s">
        <v>1126</v>
      </c>
      <c r="G4" s="17" t="str">
        <f>+"= "&amp;+D1&amp;"+"&amp;+E1&amp;"+"&amp;+F1</f>
        <v>= A+B+C</v>
      </c>
      <c r="H4" s="17" t="str">
        <f>+"= .125 x "&amp;+G1</f>
        <v>= .125 x D</v>
      </c>
      <c r="I4" s="17" t="str">
        <f>+"= "&amp;+H1&amp;" + 0.40 x "&amp;+E1</f>
        <v>= G + 0.40 x B</v>
      </c>
      <c r="J4" s="17" t="str">
        <f>+"= "&amp;+I1&amp;"-"&amp;+H1</f>
        <v>= H-G</v>
      </c>
    </row>
    <row r="5" spans="1:10" x14ac:dyDescent="0.25">
      <c r="C5" s="34" t="s">
        <v>1128</v>
      </c>
      <c r="D5" s="12">
        <f>SUM(D7:D537)</f>
        <v>36343194</v>
      </c>
      <c r="E5" s="12">
        <f t="shared" ref="E5:J5" si="0">SUM(E7:E537)</f>
        <v>8372990</v>
      </c>
      <c r="F5" s="12">
        <f t="shared" si="0"/>
        <v>51728268</v>
      </c>
      <c r="G5" s="12">
        <f t="shared" si="0"/>
        <v>96444452</v>
      </c>
      <c r="H5" s="12">
        <f t="shared" si="0"/>
        <v>12055556.5</v>
      </c>
      <c r="I5" s="12">
        <f t="shared" si="0"/>
        <v>15404752.499999993</v>
      </c>
      <c r="J5" s="12">
        <f t="shared" si="0"/>
        <v>3349196.0000000014</v>
      </c>
    </row>
    <row r="6" spans="1:10" x14ac:dyDescent="0.25">
      <c r="A6" s="34" t="s">
        <v>1130</v>
      </c>
    </row>
    <row r="7" spans="1:10" x14ac:dyDescent="0.25">
      <c r="A7">
        <v>1</v>
      </c>
      <c r="B7">
        <v>1</v>
      </c>
      <c r="C7" t="s">
        <v>17</v>
      </c>
      <c r="D7" s="12">
        <v>66497</v>
      </c>
      <c r="E7" s="12">
        <v>18632</v>
      </c>
      <c r="F7" s="12">
        <v>88915</v>
      </c>
      <c r="G7" s="12">
        <f>SUM(D7:F7)</f>
        <v>174044</v>
      </c>
      <c r="H7" s="25">
        <f>G7*0.125</f>
        <v>21755.5</v>
      </c>
      <c r="I7" s="25">
        <f>H7+0.4*E7</f>
        <v>29208.3</v>
      </c>
      <c r="J7" s="25">
        <f>I7-H7</f>
        <v>7452.7999999999993</v>
      </c>
    </row>
    <row r="8" spans="1:10" x14ac:dyDescent="0.25">
      <c r="A8">
        <v>1.2</v>
      </c>
      <c r="B8">
        <v>3</v>
      </c>
      <c r="C8" t="s">
        <v>18</v>
      </c>
      <c r="D8" s="12">
        <v>2738005</v>
      </c>
      <c r="E8" s="12">
        <v>231921</v>
      </c>
      <c r="F8" s="12">
        <v>603760</v>
      </c>
      <c r="G8" s="12">
        <f t="shared" ref="G8:G71" si="1">SUM(D8:F8)</f>
        <v>3573686</v>
      </c>
      <c r="H8" s="25">
        <f t="shared" ref="H8:H71" si="2">G8*0.125</f>
        <v>446710.75</v>
      </c>
      <c r="I8" s="25">
        <f t="shared" ref="I8:I71" si="3">H8+0.4*E8</f>
        <v>539479.15</v>
      </c>
      <c r="J8" s="25">
        <f t="shared" ref="J8:J71" si="4">I8-H8</f>
        <v>92768.400000000023</v>
      </c>
    </row>
    <row r="9" spans="1:10" x14ac:dyDescent="0.25">
      <c r="A9">
        <v>2</v>
      </c>
      <c r="B9">
        <v>1</v>
      </c>
      <c r="C9" t="s">
        <v>19</v>
      </c>
      <c r="D9" s="12">
        <v>18357</v>
      </c>
      <c r="E9" s="12">
        <v>3501</v>
      </c>
      <c r="F9" s="12">
        <v>10449</v>
      </c>
      <c r="G9" s="12">
        <f t="shared" si="1"/>
        <v>32307</v>
      </c>
      <c r="H9" s="25">
        <f t="shared" si="2"/>
        <v>4038.375</v>
      </c>
      <c r="I9" s="25">
        <f t="shared" si="3"/>
        <v>5438.7749999999996</v>
      </c>
      <c r="J9" s="25">
        <f t="shared" si="4"/>
        <v>1400.3999999999996</v>
      </c>
    </row>
    <row r="10" spans="1:10" x14ac:dyDescent="0.25">
      <c r="A10">
        <v>4</v>
      </c>
      <c r="B10">
        <v>1</v>
      </c>
      <c r="C10" t="s">
        <v>20</v>
      </c>
      <c r="D10" s="12">
        <v>32065</v>
      </c>
      <c r="E10" s="12">
        <v>6011</v>
      </c>
      <c r="F10" s="12">
        <v>13740</v>
      </c>
      <c r="G10" s="12">
        <f t="shared" si="1"/>
        <v>51816</v>
      </c>
      <c r="H10" s="25">
        <f t="shared" si="2"/>
        <v>6477</v>
      </c>
      <c r="I10" s="25">
        <f t="shared" si="3"/>
        <v>8881.4</v>
      </c>
      <c r="J10" s="25">
        <f t="shared" si="4"/>
        <v>2404.3999999999996</v>
      </c>
    </row>
    <row r="11" spans="1:10" x14ac:dyDescent="0.25">
      <c r="A11">
        <v>6</v>
      </c>
      <c r="B11">
        <v>3</v>
      </c>
      <c r="C11" t="s">
        <v>21</v>
      </c>
      <c r="D11" s="12">
        <v>179811</v>
      </c>
      <c r="E11" s="12">
        <v>45145</v>
      </c>
      <c r="F11" s="12">
        <v>201017</v>
      </c>
      <c r="G11" s="12">
        <f t="shared" si="1"/>
        <v>425973</v>
      </c>
      <c r="H11" s="25">
        <f t="shared" si="2"/>
        <v>53246.625</v>
      </c>
      <c r="I11" s="25">
        <f t="shared" si="3"/>
        <v>71304.625</v>
      </c>
      <c r="J11" s="25">
        <f t="shared" si="4"/>
        <v>18058</v>
      </c>
    </row>
    <row r="12" spans="1:10" x14ac:dyDescent="0.25">
      <c r="A12">
        <v>11</v>
      </c>
      <c r="B12">
        <v>1</v>
      </c>
      <c r="C12" t="s">
        <v>22</v>
      </c>
      <c r="D12" s="12">
        <v>1304651</v>
      </c>
      <c r="E12" s="12">
        <v>394345</v>
      </c>
      <c r="F12" s="12">
        <v>2534582</v>
      </c>
      <c r="G12" s="12">
        <f t="shared" si="1"/>
        <v>4233578</v>
      </c>
      <c r="H12" s="25">
        <f t="shared" si="2"/>
        <v>529197.25</v>
      </c>
      <c r="I12" s="25">
        <f t="shared" si="3"/>
        <v>686935.25</v>
      </c>
      <c r="J12" s="25">
        <f t="shared" si="4"/>
        <v>157738</v>
      </c>
    </row>
    <row r="13" spans="1:10" x14ac:dyDescent="0.25">
      <c r="A13">
        <v>12</v>
      </c>
      <c r="B13">
        <v>1</v>
      </c>
      <c r="C13" t="s">
        <v>23</v>
      </c>
      <c r="D13" s="12">
        <v>116891</v>
      </c>
      <c r="E13" s="12">
        <v>36367</v>
      </c>
      <c r="F13" s="12">
        <v>491930</v>
      </c>
      <c r="G13" s="12">
        <f t="shared" si="1"/>
        <v>645188</v>
      </c>
      <c r="H13" s="25">
        <f t="shared" si="2"/>
        <v>80648.5</v>
      </c>
      <c r="I13" s="25">
        <f t="shared" si="3"/>
        <v>95195.3</v>
      </c>
      <c r="J13" s="25">
        <f t="shared" si="4"/>
        <v>14546.800000000003</v>
      </c>
    </row>
    <row r="14" spans="1:10" x14ac:dyDescent="0.25">
      <c r="A14">
        <v>13</v>
      </c>
      <c r="B14">
        <v>1</v>
      </c>
      <c r="C14" t="s">
        <v>24</v>
      </c>
      <c r="D14" s="12">
        <v>307645</v>
      </c>
      <c r="E14" s="12">
        <v>32128</v>
      </c>
      <c r="F14" s="12">
        <v>63724</v>
      </c>
      <c r="G14" s="12">
        <f t="shared" si="1"/>
        <v>403497</v>
      </c>
      <c r="H14" s="25">
        <f t="shared" si="2"/>
        <v>50437.125</v>
      </c>
      <c r="I14" s="25">
        <f t="shared" si="3"/>
        <v>63288.324999999997</v>
      </c>
      <c r="J14" s="25">
        <f t="shared" si="4"/>
        <v>12851.199999999997</v>
      </c>
    </row>
    <row r="15" spans="1:10" x14ac:dyDescent="0.25">
      <c r="A15">
        <v>14</v>
      </c>
      <c r="B15">
        <v>1</v>
      </c>
      <c r="C15" t="s">
        <v>25</v>
      </c>
      <c r="D15" s="12">
        <v>202498</v>
      </c>
      <c r="E15" s="12">
        <v>33577</v>
      </c>
      <c r="F15" s="12">
        <v>93068</v>
      </c>
      <c r="G15" s="12">
        <f t="shared" si="1"/>
        <v>329143</v>
      </c>
      <c r="H15" s="25">
        <f t="shared" si="2"/>
        <v>41142.875</v>
      </c>
      <c r="I15" s="25">
        <f t="shared" si="3"/>
        <v>54573.675000000003</v>
      </c>
      <c r="J15" s="25">
        <f t="shared" si="4"/>
        <v>13430.800000000003</v>
      </c>
    </row>
    <row r="16" spans="1:10" x14ac:dyDescent="0.25">
      <c r="A16">
        <v>15</v>
      </c>
      <c r="B16">
        <v>1</v>
      </c>
      <c r="C16" t="s">
        <v>26</v>
      </c>
      <c r="D16" s="12">
        <v>149835</v>
      </c>
      <c r="E16" s="12">
        <v>68626</v>
      </c>
      <c r="F16" s="12">
        <v>420240</v>
      </c>
      <c r="G16" s="12">
        <f t="shared" si="1"/>
        <v>638701</v>
      </c>
      <c r="H16" s="25">
        <f t="shared" si="2"/>
        <v>79837.625</v>
      </c>
      <c r="I16" s="25">
        <f t="shared" si="3"/>
        <v>107288.02499999999</v>
      </c>
      <c r="J16" s="25">
        <f t="shared" si="4"/>
        <v>27450.399999999994</v>
      </c>
    </row>
    <row r="17" spans="1:10" x14ac:dyDescent="0.25">
      <c r="A17">
        <v>16</v>
      </c>
      <c r="B17">
        <v>1</v>
      </c>
      <c r="C17" t="s">
        <v>27</v>
      </c>
      <c r="D17" s="12">
        <v>214759</v>
      </c>
      <c r="E17" s="12">
        <v>51553</v>
      </c>
      <c r="F17" s="12">
        <v>318632</v>
      </c>
      <c r="G17" s="12">
        <f t="shared" si="1"/>
        <v>584944</v>
      </c>
      <c r="H17" s="25">
        <f t="shared" si="2"/>
        <v>73118</v>
      </c>
      <c r="I17" s="25">
        <f t="shared" si="3"/>
        <v>93739.199999999997</v>
      </c>
      <c r="J17" s="25">
        <f t="shared" si="4"/>
        <v>20621.199999999997</v>
      </c>
    </row>
    <row r="18" spans="1:10" x14ac:dyDescent="0.25">
      <c r="A18">
        <v>22</v>
      </c>
      <c r="B18">
        <v>1</v>
      </c>
      <c r="C18" t="s">
        <v>28</v>
      </c>
      <c r="D18" s="12">
        <v>124548</v>
      </c>
      <c r="E18" s="12">
        <v>38993</v>
      </c>
      <c r="F18" s="12">
        <v>183855</v>
      </c>
      <c r="G18" s="12">
        <f t="shared" si="1"/>
        <v>347396</v>
      </c>
      <c r="H18" s="25">
        <f t="shared" si="2"/>
        <v>43424.5</v>
      </c>
      <c r="I18" s="25">
        <f t="shared" si="3"/>
        <v>59021.7</v>
      </c>
      <c r="J18" s="25">
        <f t="shared" si="4"/>
        <v>15597.199999999997</v>
      </c>
    </row>
    <row r="19" spans="1:10" x14ac:dyDescent="0.25">
      <c r="A19">
        <v>23</v>
      </c>
      <c r="B19">
        <v>1</v>
      </c>
      <c r="C19" t="s">
        <v>29</v>
      </c>
      <c r="D19" s="12">
        <v>46143</v>
      </c>
      <c r="E19" s="12">
        <v>20171</v>
      </c>
      <c r="F19" s="12">
        <v>53019</v>
      </c>
      <c r="G19" s="12">
        <f t="shared" si="1"/>
        <v>119333</v>
      </c>
      <c r="H19" s="25">
        <f t="shared" si="2"/>
        <v>14916.625</v>
      </c>
      <c r="I19" s="25">
        <f t="shared" si="3"/>
        <v>22985.025000000001</v>
      </c>
      <c r="J19" s="25">
        <f t="shared" si="4"/>
        <v>8068.4000000000015</v>
      </c>
    </row>
    <row r="20" spans="1:10" x14ac:dyDescent="0.25">
      <c r="A20">
        <v>25</v>
      </c>
      <c r="B20">
        <v>1</v>
      </c>
      <c r="C20" t="s">
        <v>30</v>
      </c>
      <c r="D20" s="12">
        <v>8272</v>
      </c>
      <c r="E20" s="12">
        <v>0</v>
      </c>
      <c r="F20" s="12">
        <v>0</v>
      </c>
      <c r="G20" s="12">
        <f t="shared" si="1"/>
        <v>8272</v>
      </c>
      <c r="H20" s="25">
        <f t="shared" si="2"/>
        <v>1034</v>
      </c>
      <c r="I20" s="25">
        <f t="shared" si="3"/>
        <v>1034</v>
      </c>
      <c r="J20" s="25">
        <f t="shared" si="4"/>
        <v>0</v>
      </c>
    </row>
    <row r="21" spans="1:10" x14ac:dyDescent="0.25">
      <c r="A21">
        <v>31</v>
      </c>
      <c r="B21">
        <v>1</v>
      </c>
      <c r="C21" t="s">
        <v>31</v>
      </c>
      <c r="D21" s="12">
        <v>278309</v>
      </c>
      <c r="E21" s="12">
        <v>77756</v>
      </c>
      <c r="F21" s="12">
        <v>309886</v>
      </c>
      <c r="G21" s="12">
        <f t="shared" si="1"/>
        <v>665951</v>
      </c>
      <c r="H21" s="25">
        <f t="shared" si="2"/>
        <v>83243.875</v>
      </c>
      <c r="I21" s="25">
        <f t="shared" si="3"/>
        <v>114346.27499999999</v>
      </c>
      <c r="J21" s="25">
        <f t="shared" si="4"/>
        <v>31102.399999999994</v>
      </c>
    </row>
    <row r="22" spans="1:10" x14ac:dyDescent="0.25">
      <c r="A22">
        <v>32</v>
      </c>
      <c r="B22">
        <v>1</v>
      </c>
      <c r="C22" t="s">
        <v>32</v>
      </c>
      <c r="D22" s="12">
        <v>33698</v>
      </c>
      <c r="E22" s="12">
        <v>10609</v>
      </c>
      <c r="F22" s="12">
        <v>18681</v>
      </c>
      <c r="G22" s="12">
        <f t="shared" si="1"/>
        <v>62988</v>
      </c>
      <c r="H22" s="25">
        <f t="shared" si="2"/>
        <v>7873.5</v>
      </c>
      <c r="I22" s="25">
        <f t="shared" si="3"/>
        <v>12117.1</v>
      </c>
      <c r="J22" s="25">
        <f t="shared" si="4"/>
        <v>4243.6000000000004</v>
      </c>
    </row>
    <row r="23" spans="1:10" x14ac:dyDescent="0.25">
      <c r="A23">
        <v>36</v>
      </c>
      <c r="B23">
        <v>1</v>
      </c>
      <c r="C23" t="s">
        <v>33</v>
      </c>
      <c r="D23" s="12">
        <v>23376</v>
      </c>
      <c r="E23" s="12">
        <v>6658</v>
      </c>
      <c r="F23" s="12">
        <v>5571</v>
      </c>
      <c r="G23" s="12">
        <f t="shared" si="1"/>
        <v>35605</v>
      </c>
      <c r="H23" s="25">
        <f t="shared" si="2"/>
        <v>4450.625</v>
      </c>
      <c r="I23" s="25">
        <f t="shared" si="3"/>
        <v>7113.8250000000007</v>
      </c>
      <c r="J23" s="25">
        <f t="shared" si="4"/>
        <v>2663.2000000000007</v>
      </c>
    </row>
    <row r="24" spans="1:10" x14ac:dyDescent="0.25">
      <c r="A24">
        <v>38</v>
      </c>
      <c r="B24">
        <v>1</v>
      </c>
      <c r="C24" t="s">
        <v>34</v>
      </c>
      <c r="D24" s="12">
        <v>130793</v>
      </c>
      <c r="E24" s="12">
        <v>3331</v>
      </c>
      <c r="F24" s="12">
        <v>41849</v>
      </c>
      <c r="G24" s="12">
        <f t="shared" si="1"/>
        <v>175973</v>
      </c>
      <c r="H24" s="25">
        <f t="shared" si="2"/>
        <v>21996.625</v>
      </c>
      <c r="I24" s="25">
        <f t="shared" si="3"/>
        <v>23329.025000000001</v>
      </c>
      <c r="J24" s="25">
        <f t="shared" si="4"/>
        <v>1332.4000000000015</v>
      </c>
    </row>
    <row r="25" spans="1:10" x14ac:dyDescent="0.25">
      <c r="A25">
        <v>47</v>
      </c>
      <c r="B25">
        <v>1</v>
      </c>
      <c r="C25" t="s">
        <v>35</v>
      </c>
      <c r="D25" s="12">
        <v>140637</v>
      </c>
      <c r="E25" s="12">
        <v>49504</v>
      </c>
      <c r="F25" s="12">
        <v>261462</v>
      </c>
      <c r="G25" s="12">
        <f t="shared" si="1"/>
        <v>451603</v>
      </c>
      <c r="H25" s="25">
        <f t="shared" si="2"/>
        <v>56450.375</v>
      </c>
      <c r="I25" s="25">
        <f t="shared" si="3"/>
        <v>76251.975000000006</v>
      </c>
      <c r="J25" s="25">
        <f t="shared" si="4"/>
        <v>19801.600000000006</v>
      </c>
    </row>
    <row r="26" spans="1:10" x14ac:dyDescent="0.25">
      <c r="A26">
        <v>51</v>
      </c>
      <c r="B26">
        <v>1</v>
      </c>
      <c r="C26" t="s">
        <v>36</v>
      </c>
      <c r="D26" s="12">
        <v>60911</v>
      </c>
      <c r="E26" s="12">
        <v>25529</v>
      </c>
      <c r="F26" s="12">
        <v>159780</v>
      </c>
      <c r="G26" s="12">
        <f t="shared" si="1"/>
        <v>246220</v>
      </c>
      <c r="H26" s="25">
        <f t="shared" si="2"/>
        <v>30777.5</v>
      </c>
      <c r="I26" s="25">
        <f t="shared" si="3"/>
        <v>40989.1</v>
      </c>
      <c r="J26" s="25">
        <f t="shared" si="4"/>
        <v>10211.599999999999</v>
      </c>
    </row>
    <row r="27" spans="1:10" x14ac:dyDescent="0.25">
      <c r="A27">
        <v>75</v>
      </c>
      <c r="B27">
        <v>1</v>
      </c>
      <c r="C27" t="s">
        <v>37</v>
      </c>
      <c r="D27" s="12">
        <v>11120</v>
      </c>
      <c r="E27" s="12">
        <v>7376</v>
      </c>
      <c r="F27" s="12">
        <v>63120</v>
      </c>
      <c r="G27" s="12">
        <f t="shared" si="1"/>
        <v>81616</v>
      </c>
      <c r="H27" s="25">
        <f t="shared" si="2"/>
        <v>10202</v>
      </c>
      <c r="I27" s="25">
        <f t="shared" si="3"/>
        <v>13152.4</v>
      </c>
      <c r="J27" s="25">
        <f t="shared" si="4"/>
        <v>2950.3999999999996</v>
      </c>
    </row>
    <row r="28" spans="1:10" x14ac:dyDescent="0.25">
      <c r="A28">
        <v>77</v>
      </c>
      <c r="B28">
        <v>1</v>
      </c>
      <c r="C28" t="s">
        <v>38</v>
      </c>
      <c r="D28" s="12">
        <v>323481</v>
      </c>
      <c r="E28" s="12">
        <v>71463</v>
      </c>
      <c r="F28" s="12">
        <v>556179</v>
      </c>
      <c r="G28" s="12">
        <f t="shared" si="1"/>
        <v>951123</v>
      </c>
      <c r="H28" s="25">
        <f t="shared" si="2"/>
        <v>118890.375</v>
      </c>
      <c r="I28" s="25">
        <f t="shared" si="3"/>
        <v>147475.57500000001</v>
      </c>
      <c r="J28" s="25">
        <f t="shared" si="4"/>
        <v>28585.200000000012</v>
      </c>
    </row>
    <row r="29" spans="1:10" x14ac:dyDescent="0.25">
      <c r="A29">
        <v>81</v>
      </c>
      <c r="B29">
        <v>1</v>
      </c>
      <c r="C29" t="s">
        <v>39</v>
      </c>
      <c r="D29" s="12">
        <v>6960</v>
      </c>
      <c r="E29" s="12">
        <v>3439</v>
      </c>
      <c r="F29" s="12">
        <v>15258</v>
      </c>
      <c r="G29" s="12">
        <f t="shared" si="1"/>
        <v>25657</v>
      </c>
      <c r="H29" s="25">
        <f t="shared" si="2"/>
        <v>3207.125</v>
      </c>
      <c r="I29" s="25">
        <f t="shared" si="3"/>
        <v>4582.7250000000004</v>
      </c>
      <c r="J29" s="25">
        <f t="shared" si="4"/>
        <v>1375.6000000000004</v>
      </c>
    </row>
    <row r="30" spans="1:10" x14ac:dyDescent="0.25">
      <c r="A30">
        <v>84</v>
      </c>
      <c r="B30">
        <v>1</v>
      </c>
      <c r="C30" t="s">
        <v>40</v>
      </c>
      <c r="D30" s="12">
        <v>27581</v>
      </c>
      <c r="E30" s="12">
        <v>11788</v>
      </c>
      <c r="F30" s="12">
        <v>33847</v>
      </c>
      <c r="G30" s="12">
        <f t="shared" si="1"/>
        <v>73216</v>
      </c>
      <c r="H30" s="25">
        <f t="shared" si="2"/>
        <v>9152</v>
      </c>
      <c r="I30" s="25">
        <f t="shared" si="3"/>
        <v>13867.2</v>
      </c>
      <c r="J30" s="25">
        <f t="shared" si="4"/>
        <v>4715.2000000000007</v>
      </c>
    </row>
    <row r="31" spans="1:10" x14ac:dyDescent="0.25">
      <c r="A31">
        <v>85</v>
      </c>
      <c r="B31">
        <v>1</v>
      </c>
      <c r="C31" t="s">
        <v>41</v>
      </c>
      <c r="D31" s="12">
        <v>26376</v>
      </c>
      <c r="E31" s="12">
        <v>8416</v>
      </c>
      <c r="F31" s="12">
        <v>56591</v>
      </c>
      <c r="G31" s="12">
        <f t="shared" si="1"/>
        <v>91383</v>
      </c>
      <c r="H31" s="25">
        <f t="shared" si="2"/>
        <v>11422.875</v>
      </c>
      <c r="I31" s="25">
        <f t="shared" si="3"/>
        <v>14789.275</v>
      </c>
      <c r="J31" s="25">
        <f t="shared" si="4"/>
        <v>3366.3999999999996</v>
      </c>
    </row>
    <row r="32" spans="1:10" x14ac:dyDescent="0.25">
      <c r="A32">
        <v>88</v>
      </c>
      <c r="B32">
        <v>1</v>
      </c>
      <c r="C32" t="s">
        <v>42</v>
      </c>
      <c r="D32" s="12">
        <v>64799</v>
      </c>
      <c r="E32" s="12">
        <v>16053</v>
      </c>
      <c r="F32" s="12">
        <v>116492</v>
      </c>
      <c r="G32" s="12">
        <f t="shared" si="1"/>
        <v>197344</v>
      </c>
      <c r="H32" s="25">
        <f t="shared" si="2"/>
        <v>24668</v>
      </c>
      <c r="I32" s="25">
        <f t="shared" si="3"/>
        <v>31089.200000000001</v>
      </c>
      <c r="J32" s="25">
        <f t="shared" si="4"/>
        <v>6421.2000000000007</v>
      </c>
    </row>
    <row r="33" spans="1:10" x14ac:dyDescent="0.25">
      <c r="A33">
        <v>91</v>
      </c>
      <c r="B33">
        <v>1</v>
      </c>
      <c r="C33" t="s">
        <v>43</v>
      </c>
      <c r="D33" s="12">
        <v>33906</v>
      </c>
      <c r="E33" s="12">
        <v>10582</v>
      </c>
      <c r="F33" s="12">
        <v>50941</v>
      </c>
      <c r="G33" s="12">
        <f t="shared" si="1"/>
        <v>95429</v>
      </c>
      <c r="H33" s="25">
        <f t="shared" si="2"/>
        <v>11928.625</v>
      </c>
      <c r="I33" s="25">
        <f t="shared" si="3"/>
        <v>16161.424999999999</v>
      </c>
      <c r="J33" s="25">
        <f t="shared" si="4"/>
        <v>4232.7999999999993</v>
      </c>
    </row>
    <row r="34" spans="1:10" x14ac:dyDescent="0.25">
      <c r="A34">
        <v>93</v>
      </c>
      <c r="B34">
        <v>1</v>
      </c>
      <c r="C34" t="s">
        <v>44</v>
      </c>
      <c r="D34" s="12">
        <v>15656</v>
      </c>
      <c r="E34" s="12">
        <v>4278</v>
      </c>
      <c r="F34" s="12">
        <v>25789</v>
      </c>
      <c r="G34" s="12">
        <f t="shared" si="1"/>
        <v>45723</v>
      </c>
      <c r="H34" s="25">
        <f t="shared" si="2"/>
        <v>5715.375</v>
      </c>
      <c r="I34" s="25">
        <f t="shared" si="3"/>
        <v>7426.5749999999998</v>
      </c>
      <c r="J34" s="25">
        <f t="shared" si="4"/>
        <v>1711.1999999999998</v>
      </c>
    </row>
    <row r="35" spans="1:10" x14ac:dyDescent="0.25">
      <c r="A35">
        <v>94</v>
      </c>
      <c r="B35">
        <v>1</v>
      </c>
      <c r="C35" t="s">
        <v>45</v>
      </c>
      <c r="D35" s="12">
        <v>99124</v>
      </c>
      <c r="E35" s="12">
        <v>31781</v>
      </c>
      <c r="F35" s="12">
        <v>125231</v>
      </c>
      <c r="G35" s="12">
        <f t="shared" si="1"/>
        <v>256136</v>
      </c>
      <c r="H35" s="25">
        <f t="shared" si="2"/>
        <v>32017</v>
      </c>
      <c r="I35" s="25">
        <f t="shared" si="3"/>
        <v>44729.4</v>
      </c>
      <c r="J35" s="25">
        <f t="shared" si="4"/>
        <v>12712.400000000001</v>
      </c>
    </row>
    <row r="36" spans="1:10" x14ac:dyDescent="0.25">
      <c r="A36">
        <v>95</v>
      </c>
      <c r="B36">
        <v>1</v>
      </c>
      <c r="C36" t="s">
        <v>46</v>
      </c>
      <c r="D36" s="12">
        <v>12859</v>
      </c>
      <c r="E36" s="12">
        <v>7350</v>
      </c>
      <c r="F36" s="12">
        <v>20191</v>
      </c>
      <c r="G36" s="12">
        <f t="shared" si="1"/>
        <v>40400</v>
      </c>
      <c r="H36" s="25">
        <f t="shared" si="2"/>
        <v>5050</v>
      </c>
      <c r="I36" s="25">
        <f t="shared" si="3"/>
        <v>7990</v>
      </c>
      <c r="J36" s="25">
        <f t="shared" si="4"/>
        <v>2940</v>
      </c>
    </row>
    <row r="37" spans="1:10" x14ac:dyDescent="0.25">
      <c r="A37">
        <v>97</v>
      </c>
      <c r="B37">
        <v>1</v>
      </c>
      <c r="C37" t="s">
        <v>47</v>
      </c>
      <c r="D37" s="12">
        <v>24205</v>
      </c>
      <c r="E37" s="12">
        <v>7771</v>
      </c>
      <c r="F37" s="12">
        <v>44383</v>
      </c>
      <c r="G37" s="12">
        <f t="shared" si="1"/>
        <v>76359</v>
      </c>
      <c r="H37" s="25">
        <f t="shared" si="2"/>
        <v>9544.875</v>
      </c>
      <c r="I37" s="25">
        <f t="shared" si="3"/>
        <v>12653.275</v>
      </c>
      <c r="J37" s="25">
        <f t="shared" si="4"/>
        <v>3108.3999999999996</v>
      </c>
    </row>
    <row r="38" spans="1:10" x14ac:dyDescent="0.25">
      <c r="A38">
        <v>99</v>
      </c>
      <c r="B38">
        <v>1</v>
      </c>
      <c r="C38" t="s">
        <v>48</v>
      </c>
      <c r="D38" s="12">
        <v>12243</v>
      </c>
      <c r="E38" s="12">
        <v>6152</v>
      </c>
      <c r="F38" s="12">
        <v>71578</v>
      </c>
      <c r="G38" s="12">
        <f t="shared" si="1"/>
        <v>89973</v>
      </c>
      <c r="H38" s="25">
        <f t="shared" si="2"/>
        <v>11246.625</v>
      </c>
      <c r="I38" s="25">
        <f t="shared" si="3"/>
        <v>13707.424999999999</v>
      </c>
      <c r="J38" s="25">
        <f t="shared" si="4"/>
        <v>2460.7999999999993</v>
      </c>
    </row>
    <row r="39" spans="1:10" x14ac:dyDescent="0.25">
      <c r="A39">
        <v>100</v>
      </c>
      <c r="B39">
        <v>1</v>
      </c>
      <c r="C39" t="s">
        <v>49</v>
      </c>
      <c r="D39" s="12">
        <v>14250</v>
      </c>
      <c r="E39" s="12">
        <v>4064</v>
      </c>
      <c r="F39" s="12">
        <v>13834</v>
      </c>
      <c r="G39" s="12">
        <f t="shared" si="1"/>
        <v>32148</v>
      </c>
      <c r="H39" s="25">
        <f t="shared" si="2"/>
        <v>4018.5</v>
      </c>
      <c r="I39" s="25">
        <f t="shared" si="3"/>
        <v>5644.1</v>
      </c>
      <c r="J39" s="25">
        <f t="shared" si="4"/>
        <v>1625.6000000000004</v>
      </c>
    </row>
    <row r="40" spans="1:10" x14ac:dyDescent="0.25">
      <c r="A40">
        <v>108</v>
      </c>
      <c r="B40">
        <v>1</v>
      </c>
      <c r="C40" t="s">
        <v>50</v>
      </c>
      <c r="D40" s="12">
        <v>22970</v>
      </c>
      <c r="E40" s="12">
        <v>6371</v>
      </c>
      <c r="F40" s="12">
        <v>88822</v>
      </c>
      <c r="G40" s="12">
        <f t="shared" si="1"/>
        <v>118163</v>
      </c>
      <c r="H40" s="25">
        <f t="shared" si="2"/>
        <v>14770.375</v>
      </c>
      <c r="I40" s="25">
        <f t="shared" si="3"/>
        <v>17318.775000000001</v>
      </c>
      <c r="J40" s="25">
        <f t="shared" si="4"/>
        <v>2548.4000000000015</v>
      </c>
    </row>
    <row r="41" spans="1:10" x14ac:dyDescent="0.25">
      <c r="A41">
        <v>110</v>
      </c>
      <c r="B41">
        <v>1</v>
      </c>
      <c r="C41" t="s">
        <v>51</v>
      </c>
      <c r="D41" s="12">
        <v>39624</v>
      </c>
      <c r="E41" s="12">
        <v>20004</v>
      </c>
      <c r="F41" s="12">
        <v>347687</v>
      </c>
      <c r="G41" s="12">
        <f t="shared" si="1"/>
        <v>407315</v>
      </c>
      <c r="H41" s="25">
        <f t="shared" si="2"/>
        <v>50914.375</v>
      </c>
      <c r="I41" s="25">
        <f t="shared" si="3"/>
        <v>58915.974999999999</v>
      </c>
      <c r="J41" s="25">
        <f t="shared" si="4"/>
        <v>8001.5999999999985</v>
      </c>
    </row>
    <row r="42" spans="1:10" x14ac:dyDescent="0.25">
      <c r="A42">
        <v>111</v>
      </c>
      <c r="B42">
        <v>1</v>
      </c>
      <c r="C42" t="s">
        <v>52</v>
      </c>
      <c r="D42" s="12">
        <v>31105</v>
      </c>
      <c r="E42" s="12">
        <v>19014</v>
      </c>
      <c r="F42" s="12">
        <v>126729</v>
      </c>
      <c r="G42" s="12">
        <f t="shared" si="1"/>
        <v>176848</v>
      </c>
      <c r="H42" s="25">
        <f t="shared" si="2"/>
        <v>22106</v>
      </c>
      <c r="I42" s="25">
        <f t="shared" si="3"/>
        <v>29711.599999999999</v>
      </c>
      <c r="J42" s="25">
        <f t="shared" si="4"/>
        <v>7605.5999999999985</v>
      </c>
    </row>
    <row r="43" spans="1:10" x14ac:dyDescent="0.25">
      <c r="A43">
        <v>112</v>
      </c>
      <c r="B43">
        <v>1</v>
      </c>
      <c r="C43" t="s">
        <v>53</v>
      </c>
      <c r="D43" s="12">
        <v>188534</v>
      </c>
      <c r="E43" s="12">
        <v>53110</v>
      </c>
      <c r="F43" s="12">
        <v>814090</v>
      </c>
      <c r="G43" s="12">
        <f t="shared" si="1"/>
        <v>1055734</v>
      </c>
      <c r="H43" s="25">
        <f t="shared" si="2"/>
        <v>131966.75</v>
      </c>
      <c r="I43" s="25">
        <f t="shared" si="3"/>
        <v>153210.75</v>
      </c>
      <c r="J43" s="25">
        <f t="shared" si="4"/>
        <v>21244</v>
      </c>
    </row>
    <row r="44" spans="1:10" x14ac:dyDescent="0.25">
      <c r="A44">
        <v>113</v>
      </c>
      <c r="B44">
        <v>1</v>
      </c>
      <c r="C44" t="s">
        <v>54</v>
      </c>
      <c r="D44" s="12">
        <v>38332</v>
      </c>
      <c r="E44" s="12">
        <v>8612</v>
      </c>
      <c r="F44" s="12">
        <v>34068</v>
      </c>
      <c r="G44" s="12">
        <f t="shared" si="1"/>
        <v>81012</v>
      </c>
      <c r="H44" s="25">
        <f t="shared" si="2"/>
        <v>10126.5</v>
      </c>
      <c r="I44" s="25">
        <f t="shared" si="3"/>
        <v>13571.3</v>
      </c>
      <c r="J44" s="25">
        <f t="shared" si="4"/>
        <v>3444.7999999999993</v>
      </c>
    </row>
    <row r="45" spans="1:10" x14ac:dyDescent="0.25">
      <c r="A45">
        <v>115</v>
      </c>
      <c r="B45">
        <v>1</v>
      </c>
      <c r="C45" t="s">
        <v>55</v>
      </c>
      <c r="D45" s="12">
        <v>110934</v>
      </c>
      <c r="E45" s="12">
        <v>6494</v>
      </c>
      <c r="F45" s="12">
        <v>28996</v>
      </c>
      <c r="G45" s="12">
        <f t="shared" si="1"/>
        <v>146424</v>
      </c>
      <c r="H45" s="25">
        <f t="shared" si="2"/>
        <v>18303</v>
      </c>
      <c r="I45" s="25">
        <f t="shared" si="3"/>
        <v>20900.599999999999</v>
      </c>
      <c r="J45" s="25">
        <f t="shared" si="4"/>
        <v>2597.5999999999985</v>
      </c>
    </row>
    <row r="46" spans="1:10" x14ac:dyDescent="0.25">
      <c r="A46">
        <v>116</v>
      </c>
      <c r="B46">
        <v>1</v>
      </c>
      <c r="C46" t="s">
        <v>56</v>
      </c>
      <c r="D46" s="12">
        <v>48133</v>
      </c>
      <c r="E46" s="12">
        <v>20564</v>
      </c>
      <c r="F46" s="12">
        <v>42772</v>
      </c>
      <c r="G46" s="12">
        <f t="shared" si="1"/>
        <v>111469</v>
      </c>
      <c r="H46" s="25">
        <f t="shared" si="2"/>
        <v>13933.625</v>
      </c>
      <c r="I46" s="25">
        <f t="shared" si="3"/>
        <v>22159.224999999999</v>
      </c>
      <c r="J46" s="25">
        <f t="shared" si="4"/>
        <v>8225.5999999999985</v>
      </c>
    </row>
    <row r="47" spans="1:10" x14ac:dyDescent="0.25">
      <c r="A47">
        <v>118</v>
      </c>
      <c r="B47">
        <v>1</v>
      </c>
      <c r="C47" t="s">
        <v>57</v>
      </c>
      <c r="D47" s="12">
        <v>30082</v>
      </c>
      <c r="E47" s="12">
        <v>2840</v>
      </c>
      <c r="F47" s="12">
        <v>10546</v>
      </c>
      <c r="G47" s="12">
        <f t="shared" si="1"/>
        <v>43468</v>
      </c>
      <c r="H47" s="25">
        <f t="shared" si="2"/>
        <v>5433.5</v>
      </c>
      <c r="I47" s="25">
        <f t="shared" si="3"/>
        <v>6569.5</v>
      </c>
      <c r="J47" s="25">
        <f t="shared" si="4"/>
        <v>1136</v>
      </c>
    </row>
    <row r="48" spans="1:10" x14ac:dyDescent="0.25">
      <c r="A48">
        <v>129</v>
      </c>
      <c r="B48">
        <v>1</v>
      </c>
      <c r="C48" t="s">
        <v>58</v>
      </c>
      <c r="D48" s="12">
        <v>57671</v>
      </c>
      <c r="E48" s="12">
        <v>22678</v>
      </c>
      <c r="F48" s="12">
        <v>103556</v>
      </c>
      <c r="G48" s="12">
        <f t="shared" si="1"/>
        <v>183905</v>
      </c>
      <c r="H48" s="25">
        <f t="shared" si="2"/>
        <v>22988.125</v>
      </c>
      <c r="I48" s="25">
        <f t="shared" si="3"/>
        <v>32059.325000000001</v>
      </c>
      <c r="J48" s="25">
        <f t="shared" si="4"/>
        <v>9071.2000000000007</v>
      </c>
    </row>
    <row r="49" spans="1:10" x14ac:dyDescent="0.25">
      <c r="A49">
        <v>138</v>
      </c>
      <c r="B49">
        <v>1</v>
      </c>
      <c r="C49" t="s">
        <v>59</v>
      </c>
      <c r="D49" s="12">
        <v>74439</v>
      </c>
      <c r="E49" s="12">
        <v>32844</v>
      </c>
      <c r="F49" s="12">
        <v>136860</v>
      </c>
      <c r="G49" s="12">
        <f t="shared" si="1"/>
        <v>244143</v>
      </c>
      <c r="H49" s="25">
        <f t="shared" si="2"/>
        <v>30517.875</v>
      </c>
      <c r="I49" s="25">
        <f t="shared" si="3"/>
        <v>43655.474999999999</v>
      </c>
      <c r="J49" s="25">
        <f t="shared" si="4"/>
        <v>13137.599999999999</v>
      </c>
    </row>
    <row r="50" spans="1:10" x14ac:dyDescent="0.25">
      <c r="A50">
        <v>139</v>
      </c>
      <c r="B50">
        <v>1</v>
      </c>
      <c r="C50" t="s">
        <v>60</v>
      </c>
      <c r="D50" s="12">
        <v>29189</v>
      </c>
      <c r="E50" s="12">
        <v>10986</v>
      </c>
      <c r="F50" s="12">
        <v>50439</v>
      </c>
      <c r="G50" s="12">
        <f t="shared" si="1"/>
        <v>90614</v>
      </c>
      <c r="H50" s="25">
        <f t="shared" si="2"/>
        <v>11326.75</v>
      </c>
      <c r="I50" s="25">
        <f t="shared" si="3"/>
        <v>15721.150000000001</v>
      </c>
      <c r="J50" s="25">
        <f t="shared" si="4"/>
        <v>4394.4000000000015</v>
      </c>
    </row>
    <row r="51" spans="1:10" x14ac:dyDescent="0.25">
      <c r="A51">
        <v>146</v>
      </c>
      <c r="B51">
        <v>1</v>
      </c>
      <c r="C51" t="s">
        <v>61</v>
      </c>
      <c r="D51" s="12">
        <v>19095</v>
      </c>
      <c r="E51" s="12">
        <v>8692</v>
      </c>
      <c r="F51" s="12">
        <v>77957</v>
      </c>
      <c r="G51" s="12">
        <f t="shared" si="1"/>
        <v>105744</v>
      </c>
      <c r="H51" s="25">
        <f t="shared" si="2"/>
        <v>13218</v>
      </c>
      <c r="I51" s="25">
        <f t="shared" si="3"/>
        <v>16694.8</v>
      </c>
      <c r="J51" s="25">
        <f t="shared" si="4"/>
        <v>3476.7999999999993</v>
      </c>
    </row>
    <row r="52" spans="1:10" x14ac:dyDescent="0.25">
      <c r="A52">
        <v>150</v>
      </c>
      <c r="B52">
        <v>1</v>
      </c>
      <c r="C52" t="s">
        <v>62</v>
      </c>
      <c r="D52" s="12">
        <v>18585</v>
      </c>
      <c r="E52" s="12">
        <v>7835</v>
      </c>
      <c r="F52" s="12">
        <v>98413</v>
      </c>
      <c r="G52" s="12">
        <f t="shared" si="1"/>
        <v>124833</v>
      </c>
      <c r="H52" s="25">
        <f t="shared" si="2"/>
        <v>15604.125</v>
      </c>
      <c r="I52" s="25">
        <f t="shared" si="3"/>
        <v>18738.125</v>
      </c>
      <c r="J52" s="25">
        <f t="shared" si="4"/>
        <v>3134</v>
      </c>
    </row>
    <row r="53" spans="1:10" x14ac:dyDescent="0.25">
      <c r="A53">
        <v>152</v>
      </c>
      <c r="B53">
        <v>1</v>
      </c>
      <c r="C53" t="s">
        <v>63</v>
      </c>
      <c r="D53" s="12">
        <v>237915</v>
      </c>
      <c r="E53" s="12">
        <v>40234</v>
      </c>
      <c r="F53" s="12">
        <v>327605</v>
      </c>
      <c r="G53" s="12">
        <f t="shared" si="1"/>
        <v>605754</v>
      </c>
      <c r="H53" s="25">
        <f t="shared" si="2"/>
        <v>75719.25</v>
      </c>
      <c r="I53" s="25">
        <f t="shared" si="3"/>
        <v>91812.85</v>
      </c>
      <c r="J53" s="25">
        <f t="shared" si="4"/>
        <v>16093.600000000006</v>
      </c>
    </row>
    <row r="54" spans="1:10" x14ac:dyDescent="0.25">
      <c r="A54">
        <v>162</v>
      </c>
      <c r="B54">
        <v>1</v>
      </c>
      <c r="C54" t="s">
        <v>64</v>
      </c>
      <c r="D54" s="12">
        <v>59457</v>
      </c>
      <c r="E54" s="12">
        <v>13542</v>
      </c>
      <c r="F54" s="12">
        <v>52987</v>
      </c>
      <c r="G54" s="12">
        <f t="shared" si="1"/>
        <v>125986</v>
      </c>
      <c r="H54" s="25">
        <f t="shared" si="2"/>
        <v>15748.25</v>
      </c>
      <c r="I54" s="25">
        <f t="shared" si="3"/>
        <v>21165.05</v>
      </c>
      <c r="J54" s="25">
        <f t="shared" si="4"/>
        <v>5416.7999999999993</v>
      </c>
    </row>
    <row r="55" spans="1:10" x14ac:dyDescent="0.25">
      <c r="A55">
        <v>166</v>
      </c>
      <c r="B55">
        <v>1</v>
      </c>
      <c r="C55" t="s">
        <v>65</v>
      </c>
      <c r="D55" s="12">
        <v>11303</v>
      </c>
      <c r="E55" s="12">
        <v>4298</v>
      </c>
      <c r="F55" s="12">
        <v>20503</v>
      </c>
      <c r="G55" s="12">
        <f t="shared" si="1"/>
        <v>36104</v>
      </c>
      <c r="H55" s="25">
        <f t="shared" si="2"/>
        <v>4513</v>
      </c>
      <c r="I55" s="25">
        <f t="shared" si="3"/>
        <v>6232.2</v>
      </c>
      <c r="J55" s="25">
        <f t="shared" si="4"/>
        <v>1719.1999999999998</v>
      </c>
    </row>
    <row r="56" spans="1:10" x14ac:dyDescent="0.25">
      <c r="A56">
        <v>173</v>
      </c>
      <c r="B56">
        <v>1</v>
      </c>
      <c r="C56" t="s">
        <v>66</v>
      </c>
      <c r="D56" s="12">
        <v>27218</v>
      </c>
      <c r="E56" s="12">
        <v>10845</v>
      </c>
      <c r="F56" s="12">
        <v>28132</v>
      </c>
      <c r="G56" s="12">
        <f t="shared" si="1"/>
        <v>66195</v>
      </c>
      <c r="H56" s="25">
        <f t="shared" si="2"/>
        <v>8274.375</v>
      </c>
      <c r="I56" s="25">
        <f t="shared" si="3"/>
        <v>12612.375</v>
      </c>
      <c r="J56" s="25">
        <f t="shared" si="4"/>
        <v>4338</v>
      </c>
    </row>
    <row r="57" spans="1:10" x14ac:dyDescent="0.25">
      <c r="A57">
        <v>177</v>
      </c>
      <c r="B57">
        <v>1</v>
      </c>
      <c r="C57" t="s">
        <v>67</v>
      </c>
      <c r="D57" s="12">
        <v>54215</v>
      </c>
      <c r="E57" s="12">
        <v>17655</v>
      </c>
      <c r="F57" s="12">
        <v>60020</v>
      </c>
      <c r="G57" s="12">
        <f t="shared" si="1"/>
        <v>131890</v>
      </c>
      <c r="H57" s="25">
        <f t="shared" si="2"/>
        <v>16486.25</v>
      </c>
      <c r="I57" s="25">
        <f t="shared" si="3"/>
        <v>23548.25</v>
      </c>
      <c r="J57" s="25">
        <f t="shared" si="4"/>
        <v>7062</v>
      </c>
    </row>
    <row r="58" spans="1:10" x14ac:dyDescent="0.25">
      <c r="A58">
        <v>181</v>
      </c>
      <c r="B58">
        <v>1</v>
      </c>
      <c r="C58" t="s">
        <v>68</v>
      </c>
      <c r="D58" s="12">
        <v>291571</v>
      </c>
      <c r="E58" s="12">
        <v>98926</v>
      </c>
      <c r="F58" s="12">
        <v>383281</v>
      </c>
      <c r="G58" s="12">
        <f t="shared" si="1"/>
        <v>773778</v>
      </c>
      <c r="H58" s="25">
        <f t="shared" si="2"/>
        <v>96722.25</v>
      </c>
      <c r="I58" s="25">
        <f t="shared" si="3"/>
        <v>136292.65</v>
      </c>
      <c r="J58" s="25">
        <f t="shared" si="4"/>
        <v>39570.399999999994</v>
      </c>
    </row>
    <row r="59" spans="1:10" x14ac:dyDescent="0.25">
      <c r="A59">
        <v>182</v>
      </c>
      <c r="B59">
        <v>1</v>
      </c>
      <c r="C59" t="s">
        <v>69</v>
      </c>
      <c r="D59" s="12">
        <v>65801</v>
      </c>
      <c r="E59" s="12">
        <v>20580</v>
      </c>
      <c r="F59" s="12">
        <v>60236</v>
      </c>
      <c r="G59" s="12">
        <f t="shared" si="1"/>
        <v>146617</v>
      </c>
      <c r="H59" s="25">
        <f t="shared" si="2"/>
        <v>18327.125</v>
      </c>
      <c r="I59" s="25">
        <f t="shared" si="3"/>
        <v>26559.125</v>
      </c>
      <c r="J59" s="25">
        <f t="shared" si="4"/>
        <v>8232</v>
      </c>
    </row>
    <row r="60" spans="1:10" x14ac:dyDescent="0.25">
      <c r="A60">
        <v>186</v>
      </c>
      <c r="B60">
        <v>1</v>
      </c>
      <c r="C60" t="s">
        <v>70</v>
      </c>
      <c r="D60" s="12">
        <v>49520</v>
      </c>
      <c r="E60" s="12">
        <v>22051</v>
      </c>
      <c r="F60" s="12">
        <v>114006</v>
      </c>
      <c r="G60" s="12">
        <f t="shared" si="1"/>
        <v>185577</v>
      </c>
      <c r="H60" s="25">
        <f t="shared" si="2"/>
        <v>23197.125</v>
      </c>
      <c r="I60" s="25">
        <f t="shared" si="3"/>
        <v>32017.525000000001</v>
      </c>
      <c r="J60" s="25">
        <f t="shared" si="4"/>
        <v>8820.4000000000015</v>
      </c>
    </row>
    <row r="61" spans="1:10" x14ac:dyDescent="0.25">
      <c r="A61">
        <v>191</v>
      </c>
      <c r="B61">
        <v>1</v>
      </c>
      <c r="C61" t="s">
        <v>71</v>
      </c>
      <c r="D61" s="12">
        <v>508364</v>
      </c>
      <c r="E61" s="12">
        <v>95447</v>
      </c>
      <c r="F61" s="12">
        <v>470795</v>
      </c>
      <c r="G61" s="12">
        <f t="shared" si="1"/>
        <v>1074606</v>
      </c>
      <c r="H61" s="25">
        <f t="shared" si="2"/>
        <v>134325.75</v>
      </c>
      <c r="I61" s="25">
        <f t="shared" si="3"/>
        <v>172504.55</v>
      </c>
      <c r="J61" s="25">
        <f t="shared" si="4"/>
        <v>38178.799999999988</v>
      </c>
    </row>
    <row r="62" spans="1:10" x14ac:dyDescent="0.25">
      <c r="A62">
        <v>192</v>
      </c>
      <c r="B62">
        <v>1</v>
      </c>
      <c r="C62" t="s">
        <v>72</v>
      </c>
      <c r="D62" s="12">
        <v>101537</v>
      </c>
      <c r="E62" s="12">
        <v>44200</v>
      </c>
      <c r="F62" s="12">
        <v>548582</v>
      </c>
      <c r="G62" s="12">
        <f t="shared" si="1"/>
        <v>694319</v>
      </c>
      <c r="H62" s="25">
        <f t="shared" si="2"/>
        <v>86789.875</v>
      </c>
      <c r="I62" s="25">
        <f t="shared" si="3"/>
        <v>104469.875</v>
      </c>
      <c r="J62" s="25">
        <f t="shared" si="4"/>
        <v>17680</v>
      </c>
    </row>
    <row r="63" spans="1:10" x14ac:dyDescent="0.25">
      <c r="A63">
        <v>194</v>
      </c>
      <c r="B63">
        <v>1</v>
      </c>
      <c r="C63" t="s">
        <v>73</v>
      </c>
      <c r="D63" s="12">
        <v>142130</v>
      </c>
      <c r="E63" s="12">
        <v>40788</v>
      </c>
      <c r="F63" s="12">
        <v>863371</v>
      </c>
      <c r="G63" s="12">
        <f t="shared" si="1"/>
        <v>1046289</v>
      </c>
      <c r="H63" s="25">
        <f t="shared" si="2"/>
        <v>130786.125</v>
      </c>
      <c r="I63" s="25">
        <f t="shared" si="3"/>
        <v>147101.32500000001</v>
      </c>
      <c r="J63" s="25">
        <f t="shared" si="4"/>
        <v>16315.200000000012</v>
      </c>
    </row>
    <row r="64" spans="1:10" x14ac:dyDescent="0.25">
      <c r="A64">
        <v>195</v>
      </c>
      <c r="B64">
        <v>1</v>
      </c>
      <c r="C64" t="s">
        <v>74</v>
      </c>
      <c r="D64" s="12">
        <v>10774</v>
      </c>
      <c r="E64" s="12">
        <v>5036</v>
      </c>
      <c r="F64" s="12">
        <v>51312</v>
      </c>
      <c r="G64" s="12">
        <f t="shared" si="1"/>
        <v>67122</v>
      </c>
      <c r="H64" s="25">
        <f t="shared" si="2"/>
        <v>8390.25</v>
      </c>
      <c r="I64" s="25">
        <f t="shared" si="3"/>
        <v>10404.65</v>
      </c>
      <c r="J64" s="25">
        <f t="shared" si="4"/>
        <v>2014.3999999999996</v>
      </c>
    </row>
    <row r="65" spans="1:10" x14ac:dyDescent="0.25">
      <c r="A65">
        <v>196</v>
      </c>
      <c r="B65">
        <v>1</v>
      </c>
      <c r="C65" t="s">
        <v>75</v>
      </c>
      <c r="D65" s="12">
        <v>617362</v>
      </c>
      <c r="E65" s="12">
        <v>171795</v>
      </c>
      <c r="F65" s="12">
        <v>1626540</v>
      </c>
      <c r="G65" s="12">
        <f t="shared" si="1"/>
        <v>2415697</v>
      </c>
      <c r="H65" s="25">
        <f t="shared" si="2"/>
        <v>301962.125</v>
      </c>
      <c r="I65" s="25">
        <f t="shared" si="3"/>
        <v>370680.125</v>
      </c>
      <c r="J65" s="25">
        <f t="shared" si="4"/>
        <v>68718</v>
      </c>
    </row>
    <row r="66" spans="1:10" x14ac:dyDescent="0.25">
      <c r="A66">
        <v>197</v>
      </c>
      <c r="B66">
        <v>1</v>
      </c>
      <c r="C66" t="s">
        <v>76</v>
      </c>
      <c r="D66" s="12">
        <v>241814</v>
      </c>
      <c r="E66" s="12">
        <v>56859</v>
      </c>
      <c r="F66" s="12">
        <v>327379</v>
      </c>
      <c r="G66" s="12">
        <f t="shared" si="1"/>
        <v>626052</v>
      </c>
      <c r="H66" s="25">
        <f t="shared" si="2"/>
        <v>78256.5</v>
      </c>
      <c r="I66" s="25">
        <f t="shared" si="3"/>
        <v>101000.1</v>
      </c>
      <c r="J66" s="25">
        <f t="shared" si="4"/>
        <v>22743.600000000006</v>
      </c>
    </row>
    <row r="67" spans="1:10" x14ac:dyDescent="0.25">
      <c r="A67">
        <v>199</v>
      </c>
      <c r="B67">
        <v>1</v>
      </c>
      <c r="C67" t="s">
        <v>77</v>
      </c>
      <c r="D67" s="12">
        <v>166087</v>
      </c>
      <c r="E67" s="12">
        <v>31784</v>
      </c>
      <c r="F67" s="12">
        <v>228101</v>
      </c>
      <c r="G67" s="12">
        <f t="shared" si="1"/>
        <v>425972</v>
      </c>
      <c r="H67" s="25">
        <f t="shared" si="2"/>
        <v>53246.5</v>
      </c>
      <c r="I67" s="25">
        <f t="shared" si="3"/>
        <v>65960.100000000006</v>
      </c>
      <c r="J67" s="25">
        <f t="shared" si="4"/>
        <v>12713.600000000006</v>
      </c>
    </row>
    <row r="68" spans="1:10" x14ac:dyDescent="0.25">
      <c r="A68">
        <v>200</v>
      </c>
      <c r="B68">
        <v>1</v>
      </c>
      <c r="C68" t="s">
        <v>78</v>
      </c>
      <c r="D68" s="12">
        <v>102300</v>
      </c>
      <c r="E68" s="12">
        <v>39665</v>
      </c>
      <c r="F68" s="12">
        <v>389484</v>
      </c>
      <c r="G68" s="12">
        <f t="shared" si="1"/>
        <v>531449</v>
      </c>
      <c r="H68" s="25">
        <f t="shared" si="2"/>
        <v>66431.125</v>
      </c>
      <c r="I68" s="25">
        <f t="shared" si="3"/>
        <v>82297.125</v>
      </c>
      <c r="J68" s="25">
        <f t="shared" si="4"/>
        <v>15866</v>
      </c>
    </row>
    <row r="69" spans="1:10" x14ac:dyDescent="0.25">
      <c r="A69">
        <v>203</v>
      </c>
      <c r="B69">
        <v>1</v>
      </c>
      <c r="C69" t="s">
        <v>79</v>
      </c>
      <c r="D69" s="12">
        <v>25039</v>
      </c>
      <c r="E69" s="12">
        <v>5088</v>
      </c>
      <c r="F69" s="12">
        <v>66355</v>
      </c>
      <c r="G69" s="12">
        <f t="shared" si="1"/>
        <v>96482</v>
      </c>
      <c r="H69" s="25">
        <f t="shared" si="2"/>
        <v>12060.25</v>
      </c>
      <c r="I69" s="25">
        <f t="shared" si="3"/>
        <v>14095.45</v>
      </c>
      <c r="J69" s="25">
        <f t="shared" si="4"/>
        <v>2035.2000000000007</v>
      </c>
    </row>
    <row r="70" spans="1:10" x14ac:dyDescent="0.25">
      <c r="A70">
        <v>204</v>
      </c>
      <c r="B70">
        <v>1</v>
      </c>
      <c r="C70" t="s">
        <v>80</v>
      </c>
      <c r="D70" s="12">
        <v>37313</v>
      </c>
      <c r="E70" s="12">
        <v>12461</v>
      </c>
      <c r="F70" s="12">
        <v>168653</v>
      </c>
      <c r="G70" s="12">
        <f t="shared" si="1"/>
        <v>218427</v>
      </c>
      <c r="H70" s="25">
        <f t="shared" si="2"/>
        <v>27303.375</v>
      </c>
      <c r="I70" s="25">
        <f t="shared" si="3"/>
        <v>32287.775000000001</v>
      </c>
      <c r="J70" s="25">
        <f t="shared" si="4"/>
        <v>4984.4000000000015</v>
      </c>
    </row>
    <row r="71" spans="1:10" x14ac:dyDescent="0.25">
      <c r="A71">
        <v>206</v>
      </c>
      <c r="B71">
        <v>1</v>
      </c>
      <c r="C71" t="s">
        <v>81</v>
      </c>
      <c r="D71" s="12">
        <v>143041</v>
      </c>
      <c r="E71" s="12">
        <v>46960</v>
      </c>
      <c r="F71" s="12">
        <v>346342</v>
      </c>
      <c r="G71" s="12">
        <f t="shared" si="1"/>
        <v>536343</v>
      </c>
      <c r="H71" s="25">
        <f t="shared" si="2"/>
        <v>67042.875</v>
      </c>
      <c r="I71" s="25">
        <f t="shared" si="3"/>
        <v>85826.875</v>
      </c>
      <c r="J71" s="25">
        <f t="shared" si="4"/>
        <v>18784</v>
      </c>
    </row>
    <row r="72" spans="1:10" x14ac:dyDescent="0.25">
      <c r="A72">
        <v>213</v>
      </c>
      <c r="B72">
        <v>1</v>
      </c>
      <c r="C72" t="s">
        <v>82</v>
      </c>
      <c r="D72" s="12">
        <v>30832</v>
      </c>
      <c r="E72" s="12">
        <v>16799</v>
      </c>
      <c r="F72" s="12">
        <v>63843</v>
      </c>
      <c r="G72" s="12">
        <f t="shared" ref="G72:G135" si="5">SUM(D72:F72)</f>
        <v>111474</v>
      </c>
      <c r="H72" s="25">
        <f t="shared" ref="H72:H135" si="6">G72*0.125</f>
        <v>13934.25</v>
      </c>
      <c r="I72" s="25">
        <f t="shared" ref="I72:I135" si="7">H72+0.4*E72</f>
        <v>20653.849999999999</v>
      </c>
      <c r="J72" s="25">
        <f t="shared" ref="J72:J135" si="8">I72-H72</f>
        <v>6719.5999999999985</v>
      </c>
    </row>
    <row r="73" spans="1:10" x14ac:dyDescent="0.25">
      <c r="A73">
        <v>227</v>
      </c>
      <c r="B73">
        <v>1</v>
      </c>
      <c r="C73" t="s">
        <v>83</v>
      </c>
      <c r="D73" s="12">
        <v>23830</v>
      </c>
      <c r="E73" s="12">
        <v>8229</v>
      </c>
      <c r="F73" s="12">
        <v>59897</v>
      </c>
      <c r="G73" s="12">
        <f t="shared" si="5"/>
        <v>91956</v>
      </c>
      <c r="H73" s="25">
        <f t="shared" si="6"/>
        <v>11494.5</v>
      </c>
      <c r="I73" s="25">
        <f t="shared" si="7"/>
        <v>14786.1</v>
      </c>
      <c r="J73" s="25">
        <f t="shared" si="8"/>
        <v>3291.6000000000004</v>
      </c>
    </row>
    <row r="74" spans="1:10" x14ac:dyDescent="0.25">
      <c r="A74">
        <v>229</v>
      </c>
      <c r="B74">
        <v>1</v>
      </c>
      <c r="C74" t="s">
        <v>84</v>
      </c>
      <c r="D74" s="12">
        <v>12214</v>
      </c>
      <c r="E74" s="12">
        <v>6990</v>
      </c>
      <c r="F74" s="12">
        <v>26017</v>
      </c>
      <c r="G74" s="12">
        <f t="shared" si="5"/>
        <v>45221</v>
      </c>
      <c r="H74" s="25">
        <f t="shared" si="6"/>
        <v>5652.625</v>
      </c>
      <c r="I74" s="25">
        <f t="shared" si="7"/>
        <v>8448.625</v>
      </c>
      <c r="J74" s="25">
        <f t="shared" si="8"/>
        <v>2796</v>
      </c>
    </row>
    <row r="75" spans="1:10" x14ac:dyDescent="0.25">
      <c r="A75">
        <v>238</v>
      </c>
      <c r="B75">
        <v>1</v>
      </c>
      <c r="C75" t="s">
        <v>85</v>
      </c>
      <c r="D75" s="12">
        <v>8547</v>
      </c>
      <c r="E75" s="12">
        <v>4285</v>
      </c>
      <c r="F75" s="12">
        <v>19422</v>
      </c>
      <c r="G75" s="12">
        <f t="shared" si="5"/>
        <v>32254</v>
      </c>
      <c r="H75" s="25">
        <f t="shared" si="6"/>
        <v>4031.75</v>
      </c>
      <c r="I75" s="25">
        <f t="shared" si="7"/>
        <v>5745.75</v>
      </c>
      <c r="J75" s="25">
        <f t="shared" si="8"/>
        <v>1714</v>
      </c>
    </row>
    <row r="76" spans="1:10" x14ac:dyDescent="0.25">
      <c r="A76">
        <v>239</v>
      </c>
      <c r="B76">
        <v>1</v>
      </c>
      <c r="C76" t="s">
        <v>86</v>
      </c>
      <c r="D76" s="12">
        <v>22161</v>
      </c>
      <c r="E76" s="12">
        <v>17039</v>
      </c>
      <c r="F76" s="12">
        <v>49556</v>
      </c>
      <c r="G76" s="12">
        <f t="shared" si="5"/>
        <v>88756</v>
      </c>
      <c r="H76" s="25">
        <f t="shared" si="6"/>
        <v>11094.5</v>
      </c>
      <c r="I76" s="25">
        <f t="shared" si="7"/>
        <v>17910.099999999999</v>
      </c>
      <c r="J76" s="25">
        <f t="shared" si="8"/>
        <v>6815.5999999999985</v>
      </c>
    </row>
    <row r="77" spans="1:10" x14ac:dyDescent="0.25">
      <c r="A77">
        <v>241</v>
      </c>
      <c r="B77">
        <v>1</v>
      </c>
      <c r="C77" t="s">
        <v>87</v>
      </c>
      <c r="D77" s="12">
        <v>183040</v>
      </c>
      <c r="E77" s="12">
        <v>41198</v>
      </c>
      <c r="F77" s="12">
        <v>163515</v>
      </c>
      <c r="G77" s="12">
        <f t="shared" si="5"/>
        <v>387753</v>
      </c>
      <c r="H77" s="25">
        <f t="shared" si="6"/>
        <v>48469.125</v>
      </c>
      <c r="I77" s="25">
        <f t="shared" si="7"/>
        <v>64948.324999999997</v>
      </c>
      <c r="J77" s="25">
        <f t="shared" si="8"/>
        <v>16479.199999999997</v>
      </c>
    </row>
    <row r="78" spans="1:10" x14ac:dyDescent="0.25">
      <c r="A78">
        <v>242</v>
      </c>
      <c r="B78">
        <v>1</v>
      </c>
      <c r="C78" t="s">
        <v>88</v>
      </c>
      <c r="D78" s="12">
        <v>22061</v>
      </c>
      <c r="E78" s="12">
        <v>7577</v>
      </c>
      <c r="F78" s="12">
        <v>35015</v>
      </c>
      <c r="G78" s="12">
        <f t="shared" si="5"/>
        <v>64653</v>
      </c>
      <c r="H78" s="25">
        <f t="shared" si="6"/>
        <v>8081.625</v>
      </c>
      <c r="I78" s="25">
        <f t="shared" si="7"/>
        <v>11112.424999999999</v>
      </c>
      <c r="J78" s="25">
        <f t="shared" si="8"/>
        <v>3030.7999999999993</v>
      </c>
    </row>
    <row r="79" spans="1:10" x14ac:dyDescent="0.25">
      <c r="A79">
        <v>252</v>
      </c>
      <c r="B79">
        <v>1</v>
      </c>
      <c r="C79" t="s">
        <v>89</v>
      </c>
      <c r="D79" s="12">
        <v>33417</v>
      </c>
      <c r="E79" s="12">
        <v>9266</v>
      </c>
      <c r="F79" s="12">
        <v>112422</v>
      </c>
      <c r="G79" s="12">
        <f t="shared" si="5"/>
        <v>155105</v>
      </c>
      <c r="H79" s="25">
        <f t="shared" si="6"/>
        <v>19388.125</v>
      </c>
      <c r="I79" s="25">
        <f t="shared" si="7"/>
        <v>23094.525000000001</v>
      </c>
      <c r="J79" s="25">
        <f t="shared" si="8"/>
        <v>3706.4000000000015</v>
      </c>
    </row>
    <row r="80" spans="1:10" x14ac:dyDescent="0.25">
      <c r="A80">
        <v>253</v>
      </c>
      <c r="B80">
        <v>1</v>
      </c>
      <c r="C80" t="s">
        <v>90</v>
      </c>
      <c r="D80" s="12">
        <v>17448</v>
      </c>
      <c r="E80" s="12">
        <v>4339</v>
      </c>
      <c r="F80" s="12">
        <v>65993</v>
      </c>
      <c r="G80" s="12">
        <f t="shared" si="5"/>
        <v>87780</v>
      </c>
      <c r="H80" s="25">
        <f t="shared" si="6"/>
        <v>10972.5</v>
      </c>
      <c r="I80" s="25">
        <f t="shared" si="7"/>
        <v>12708.1</v>
      </c>
      <c r="J80" s="25">
        <f t="shared" si="8"/>
        <v>1735.6000000000004</v>
      </c>
    </row>
    <row r="81" spans="1:10" x14ac:dyDescent="0.25">
      <c r="A81">
        <v>255</v>
      </c>
      <c r="B81">
        <v>1</v>
      </c>
      <c r="C81" t="s">
        <v>91</v>
      </c>
      <c r="D81" s="12">
        <v>26009</v>
      </c>
      <c r="E81" s="12">
        <v>7649</v>
      </c>
      <c r="F81" s="12">
        <v>91563</v>
      </c>
      <c r="G81" s="12">
        <f t="shared" si="5"/>
        <v>125221</v>
      </c>
      <c r="H81" s="25">
        <f t="shared" si="6"/>
        <v>15652.625</v>
      </c>
      <c r="I81" s="25">
        <f t="shared" si="7"/>
        <v>18712.224999999999</v>
      </c>
      <c r="J81" s="25">
        <f t="shared" si="8"/>
        <v>3059.5999999999985</v>
      </c>
    </row>
    <row r="82" spans="1:10" x14ac:dyDescent="0.25">
      <c r="A82">
        <v>256</v>
      </c>
      <c r="B82">
        <v>1</v>
      </c>
      <c r="C82" t="s">
        <v>92</v>
      </c>
      <c r="D82" s="12">
        <v>105295</v>
      </c>
      <c r="E82" s="12">
        <v>20439</v>
      </c>
      <c r="F82" s="12">
        <v>149506</v>
      </c>
      <c r="G82" s="12">
        <f t="shared" si="5"/>
        <v>275240</v>
      </c>
      <c r="H82" s="25">
        <f t="shared" si="6"/>
        <v>34405</v>
      </c>
      <c r="I82" s="25">
        <f t="shared" si="7"/>
        <v>42580.6</v>
      </c>
      <c r="J82" s="25">
        <f t="shared" si="8"/>
        <v>8175.5999999999985</v>
      </c>
    </row>
    <row r="83" spans="1:10" x14ac:dyDescent="0.25">
      <c r="A83">
        <v>261</v>
      </c>
      <c r="B83">
        <v>1</v>
      </c>
      <c r="C83" t="s">
        <v>93</v>
      </c>
      <c r="D83" s="12">
        <v>10588</v>
      </c>
      <c r="E83" s="12">
        <v>5000</v>
      </c>
      <c r="F83" s="12">
        <v>22151</v>
      </c>
      <c r="G83" s="12">
        <f t="shared" si="5"/>
        <v>37739</v>
      </c>
      <c r="H83" s="25">
        <f t="shared" si="6"/>
        <v>4717.375</v>
      </c>
      <c r="I83" s="25">
        <f t="shared" si="7"/>
        <v>6717.375</v>
      </c>
      <c r="J83" s="25">
        <f t="shared" si="8"/>
        <v>2000</v>
      </c>
    </row>
    <row r="84" spans="1:10" x14ac:dyDescent="0.25">
      <c r="A84">
        <v>264</v>
      </c>
      <c r="B84">
        <v>1</v>
      </c>
      <c r="C84" t="s">
        <v>94</v>
      </c>
      <c r="D84" s="12">
        <v>5035</v>
      </c>
      <c r="E84" s="12">
        <v>1132</v>
      </c>
      <c r="F84" s="12">
        <v>8077</v>
      </c>
      <c r="G84" s="12">
        <f t="shared" si="5"/>
        <v>14244</v>
      </c>
      <c r="H84" s="25">
        <f t="shared" si="6"/>
        <v>1780.5</v>
      </c>
      <c r="I84" s="25">
        <f t="shared" si="7"/>
        <v>2233.3000000000002</v>
      </c>
      <c r="J84" s="25">
        <f t="shared" si="8"/>
        <v>452.80000000000018</v>
      </c>
    </row>
    <row r="85" spans="1:10" x14ac:dyDescent="0.25">
      <c r="A85">
        <v>270</v>
      </c>
      <c r="B85">
        <v>1</v>
      </c>
      <c r="C85" t="s">
        <v>95</v>
      </c>
      <c r="D85" s="12">
        <v>274374</v>
      </c>
      <c r="E85" s="12">
        <v>56638</v>
      </c>
      <c r="F85" s="12">
        <v>356759</v>
      </c>
      <c r="G85" s="12">
        <f t="shared" si="5"/>
        <v>687771</v>
      </c>
      <c r="H85" s="25">
        <f t="shared" si="6"/>
        <v>85971.375</v>
      </c>
      <c r="I85" s="25">
        <f t="shared" si="7"/>
        <v>108626.575</v>
      </c>
      <c r="J85" s="25">
        <f t="shared" si="8"/>
        <v>22655.199999999997</v>
      </c>
    </row>
    <row r="86" spans="1:10" x14ac:dyDescent="0.25">
      <c r="A86">
        <v>271</v>
      </c>
      <c r="B86">
        <v>1</v>
      </c>
      <c r="C86" t="s">
        <v>96</v>
      </c>
      <c r="D86" s="12">
        <v>455900</v>
      </c>
      <c r="E86" s="12">
        <v>105828</v>
      </c>
      <c r="F86" s="12">
        <v>509384</v>
      </c>
      <c r="G86" s="12">
        <f t="shared" si="5"/>
        <v>1071112</v>
      </c>
      <c r="H86" s="25">
        <f t="shared" si="6"/>
        <v>133889</v>
      </c>
      <c r="I86" s="25">
        <f t="shared" si="7"/>
        <v>176220.2</v>
      </c>
      <c r="J86" s="25">
        <f t="shared" si="8"/>
        <v>42331.200000000012</v>
      </c>
    </row>
    <row r="87" spans="1:10" x14ac:dyDescent="0.25">
      <c r="A87">
        <v>272</v>
      </c>
      <c r="B87">
        <v>1</v>
      </c>
      <c r="C87" t="s">
        <v>97</v>
      </c>
      <c r="D87" s="12">
        <v>218766</v>
      </c>
      <c r="E87" s="12">
        <v>37278</v>
      </c>
      <c r="F87" s="12">
        <v>577623</v>
      </c>
      <c r="G87" s="12">
        <f t="shared" si="5"/>
        <v>833667</v>
      </c>
      <c r="H87" s="25">
        <f t="shared" si="6"/>
        <v>104208.375</v>
      </c>
      <c r="I87" s="25">
        <f t="shared" si="7"/>
        <v>119119.575</v>
      </c>
      <c r="J87" s="25">
        <f t="shared" si="8"/>
        <v>14911.199999999997</v>
      </c>
    </row>
    <row r="88" spans="1:10" x14ac:dyDescent="0.25">
      <c r="A88">
        <v>273</v>
      </c>
      <c r="B88">
        <v>1</v>
      </c>
      <c r="C88" t="s">
        <v>98</v>
      </c>
      <c r="D88" s="12">
        <v>69126</v>
      </c>
      <c r="E88" s="12">
        <v>15333</v>
      </c>
      <c r="F88" s="12">
        <v>376300</v>
      </c>
      <c r="G88" s="12">
        <f t="shared" si="5"/>
        <v>460759</v>
      </c>
      <c r="H88" s="25">
        <f t="shared" si="6"/>
        <v>57594.875</v>
      </c>
      <c r="I88" s="25">
        <f t="shared" si="7"/>
        <v>63728.074999999997</v>
      </c>
      <c r="J88" s="25">
        <f t="shared" si="8"/>
        <v>6133.1999999999971</v>
      </c>
    </row>
    <row r="89" spans="1:10" x14ac:dyDescent="0.25">
      <c r="A89">
        <v>276</v>
      </c>
      <c r="B89">
        <v>1</v>
      </c>
      <c r="C89" t="s">
        <v>99</v>
      </c>
      <c r="D89" s="12">
        <v>70010</v>
      </c>
      <c r="E89" s="12">
        <v>22767</v>
      </c>
      <c r="F89" s="12">
        <v>795836</v>
      </c>
      <c r="G89" s="12">
        <f t="shared" si="5"/>
        <v>888613</v>
      </c>
      <c r="H89" s="25">
        <f t="shared" si="6"/>
        <v>111076.625</v>
      </c>
      <c r="I89" s="25">
        <f t="shared" si="7"/>
        <v>120183.425</v>
      </c>
      <c r="J89" s="25">
        <f t="shared" si="8"/>
        <v>9106.8000000000029</v>
      </c>
    </row>
    <row r="90" spans="1:10" x14ac:dyDescent="0.25">
      <c r="A90">
        <v>277</v>
      </c>
      <c r="B90">
        <v>1</v>
      </c>
      <c r="C90" t="s">
        <v>100</v>
      </c>
      <c r="D90" s="12">
        <v>42349</v>
      </c>
      <c r="E90" s="12">
        <v>18281</v>
      </c>
      <c r="F90" s="12">
        <v>182853</v>
      </c>
      <c r="G90" s="12">
        <f t="shared" si="5"/>
        <v>243483</v>
      </c>
      <c r="H90" s="25">
        <f t="shared" si="6"/>
        <v>30435.375</v>
      </c>
      <c r="I90" s="25">
        <f t="shared" si="7"/>
        <v>37747.775000000001</v>
      </c>
      <c r="J90" s="25">
        <f t="shared" si="8"/>
        <v>7312.4000000000015</v>
      </c>
    </row>
    <row r="91" spans="1:10" x14ac:dyDescent="0.25">
      <c r="A91">
        <v>278</v>
      </c>
      <c r="B91">
        <v>1</v>
      </c>
      <c r="C91" t="s">
        <v>101</v>
      </c>
      <c r="D91" s="12">
        <v>23454</v>
      </c>
      <c r="E91" s="12">
        <v>7162</v>
      </c>
      <c r="F91" s="12">
        <v>223974</v>
      </c>
      <c r="G91" s="12">
        <f t="shared" si="5"/>
        <v>254590</v>
      </c>
      <c r="H91" s="25">
        <f t="shared" si="6"/>
        <v>31823.75</v>
      </c>
      <c r="I91" s="25">
        <f t="shared" si="7"/>
        <v>34688.550000000003</v>
      </c>
      <c r="J91" s="25">
        <f t="shared" si="8"/>
        <v>2864.8000000000029</v>
      </c>
    </row>
    <row r="92" spans="1:10" x14ac:dyDescent="0.25">
      <c r="A92">
        <v>279</v>
      </c>
      <c r="B92">
        <v>1</v>
      </c>
      <c r="C92" t="s">
        <v>102</v>
      </c>
      <c r="D92" s="12">
        <v>970729</v>
      </c>
      <c r="E92" s="12">
        <v>211094</v>
      </c>
      <c r="F92" s="12">
        <v>1282687</v>
      </c>
      <c r="G92" s="12">
        <f t="shared" si="5"/>
        <v>2464510</v>
      </c>
      <c r="H92" s="25">
        <f t="shared" si="6"/>
        <v>308063.75</v>
      </c>
      <c r="I92" s="25">
        <f t="shared" si="7"/>
        <v>392501.35</v>
      </c>
      <c r="J92" s="25">
        <f t="shared" si="8"/>
        <v>84437.599999999977</v>
      </c>
    </row>
    <row r="93" spans="1:10" x14ac:dyDescent="0.25">
      <c r="A93">
        <v>280</v>
      </c>
      <c r="B93">
        <v>1</v>
      </c>
      <c r="C93" t="s">
        <v>103</v>
      </c>
      <c r="D93" s="12">
        <v>323136</v>
      </c>
      <c r="E93" s="12">
        <v>44318</v>
      </c>
      <c r="F93" s="12">
        <v>106184</v>
      </c>
      <c r="G93" s="12">
        <f t="shared" si="5"/>
        <v>473638</v>
      </c>
      <c r="H93" s="25">
        <f t="shared" si="6"/>
        <v>59204.75</v>
      </c>
      <c r="I93" s="25">
        <f t="shared" si="7"/>
        <v>76931.95</v>
      </c>
      <c r="J93" s="25">
        <f t="shared" si="8"/>
        <v>17727.199999999997</v>
      </c>
    </row>
    <row r="94" spans="1:10" x14ac:dyDescent="0.25">
      <c r="A94">
        <v>281</v>
      </c>
      <c r="B94">
        <v>1</v>
      </c>
      <c r="C94" t="s">
        <v>104</v>
      </c>
      <c r="D94" s="12">
        <v>687821</v>
      </c>
      <c r="E94" s="12">
        <v>124608</v>
      </c>
      <c r="F94" s="12">
        <v>590542</v>
      </c>
      <c r="G94" s="12">
        <f t="shared" si="5"/>
        <v>1402971</v>
      </c>
      <c r="H94" s="25">
        <f t="shared" si="6"/>
        <v>175371.375</v>
      </c>
      <c r="I94" s="25">
        <f t="shared" si="7"/>
        <v>225214.57500000001</v>
      </c>
      <c r="J94" s="25">
        <f t="shared" si="8"/>
        <v>49843.200000000012</v>
      </c>
    </row>
    <row r="95" spans="1:10" x14ac:dyDescent="0.25">
      <c r="A95">
        <v>282</v>
      </c>
      <c r="B95">
        <v>1</v>
      </c>
      <c r="C95" t="s">
        <v>105</v>
      </c>
      <c r="D95" s="12">
        <v>38272</v>
      </c>
      <c r="E95" s="12">
        <v>12435</v>
      </c>
      <c r="F95" s="12">
        <v>121385</v>
      </c>
      <c r="G95" s="12">
        <f t="shared" si="5"/>
        <v>172092</v>
      </c>
      <c r="H95" s="25">
        <f t="shared" si="6"/>
        <v>21511.5</v>
      </c>
      <c r="I95" s="25">
        <f t="shared" si="7"/>
        <v>26485.5</v>
      </c>
      <c r="J95" s="25">
        <f t="shared" si="8"/>
        <v>4974</v>
      </c>
    </row>
    <row r="96" spans="1:10" x14ac:dyDescent="0.25">
      <c r="A96">
        <v>283</v>
      </c>
      <c r="B96">
        <v>1</v>
      </c>
      <c r="C96" t="s">
        <v>106</v>
      </c>
      <c r="D96" s="12">
        <v>171464</v>
      </c>
      <c r="E96" s="12">
        <v>29789</v>
      </c>
      <c r="F96" s="12">
        <v>190553</v>
      </c>
      <c r="G96" s="12">
        <f t="shared" si="5"/>
        <v>391806</v>
      </c>
      <c r="H96" s="25">
        <f t="shared" si="6"/>
        <v>48975.75</v>
      </c>
      <c r="I96" s="25">
        <f t="shared" si="7"/>
        <v>60891.35</v>
      </c>
      <c r="J96" s="25">
        <f t="shared" si="8"/>
        <v>11915.599999999999</v>
      </c>
    </row>
    <row r="97" spans="1:10" x14ac:dyDescent="0.25">
      <c r="A97">
        <v>284</v>
      </c>
      <c r="B97">
        <v>1</v>
      </c>
      <c r="C97" t="s">
        <v>107</v>
      </c>
      <c r="D97" s="12">
        <v>150981</v>
      </c>
      <c r="E97" s="12">
        <v>40799</v>
      </c>
      <c r="F97" s="12">
        <v>807335</v>
      </c>
      <c r="G97" s="12">
        <f t="shared" si="5"/>
        <v>999115</v>
      </c>
      <c r="H97" s="25">
        <f t="shared" si="6"/>
        <v>124889.375</v>
      </c>
      <c r="I97" s="25">
        <f t="shared" si="7"/>
        <v>141208.97500000001</v>
      </c>
      <c r="J97" s="25">
        <f t="shared" si="8"/>
        <v>16319.600000000006</v>
      </c>
    </row>
    <row r="98" spans="1:10" x14ac:dyDescent="0.25">
      <c r="A98">
        <v>286</v>
      </c>
      <c r="B98">
        <v>1</v>
      </c>
      <c r="C98" t="s">
        <v>108</v>
      </c>
      <c r="D98" s="12">
        <v>191117</v>
      </c>
      <c r="E98" s="12">
        <v>34340</v>
      </c>
      <c r="F98" s="12">
        <v>40596</v>
      </c>
      <c r="G98" s="12">
        <f t="shared" si="5"/>
        <v>266053</v>
      </c>
      <c r="H98" s="25">
        <f t="shared" si="6"/>
        <v>33256.625</v>
      </c>
      <c r="I98" s="25">
        <f t="shared" si="7"/>
        <v>46992.625</v>
      </c>
      <c r="J98" s="25">
        <f t="shared" si="8"/>
        <v>13736</v>
      </c>
    </row>
    <row r="99" spans="1:10" x14ac:dyDescent="0.25">
      <c r="A99">
        <v>294</v>
      </c>
      <c r="B99">
        <v>1</v>
      </c>
      <c r="C99" t="s">
        <v>109</v>
      </c>
      <c r="D99" s="12">
        <v>17288</v>
      </c>
      <c r="E99" s="12">
        <v>6988</v>
      </c>
      <c r="F99" s="12">
        <v>30965</v>
      </c>
      <c r="G99" s="12">
        <f t="shared" si="5"/>
        <v>55241</v>
      </c>
      <c r="H99" s="25">
        <f t="shared" si="6"/>
        <v>6905.125</v>
      </c>
      <c r="I99" s="25">
        <f t="shared" si="7"/>
        <v>9700.3250000000007</v>
      </c>
      <c r="J99" s="25">
        <f t="shared" si="8"/>
        <v>2795.2000000000007</v>
      </c>
    </row>
    <row r="100" spans="1:10" x14ac:dyDescent="0.25">
      <c r="A100">
        <v>297</v>
      </c>
      <c r="B100">
        <v>1</v>
      </c>
      <c r="C100" t="s">
        <v>110</v>
      </c>
      <c r="D100" s="12">
        <v>11093</v>
      </c>
      <c r="E100" s="12">
        <v>6106</v>
      </c>
      <c r="F100" s="12">
        <v>31920</v>
      </c>
      <c r="G100" s="12">
        <f t="shared" si="5"/>
        <v>49119</v>
      </c>
      <c r="H100" s="25">
        <f t="shared" si="6"/>
        <v>6139.875</v>
      </c>
      <c r="I100" s="25">
        <f t="shared" si="7"/>
        <v>8582.2749999999996</v>
      </c>
      <c r="J100" s="25">
        <f t="shared" si="8"/>
        <v>2442.3999999999996</v>
      </c>
    </row>
    <row r="101" spans="1:10" x14ac:dyDescent="0.25">
      <c r="A101">
        <v>299</v>
      </c>
      <c r="B101">
        <v>1</v>
      </c>
      <c r="C101" t="s">
        <v>111</v>
      </c>
      <c r="D101" s="12">
        <v>25233</v>
      </c>
      <c r="E101" s="12">
        <v>11159</v>
      </c>
      <c r="F101" s="12">
        <v>74012</v>
      </c>
      <c r="G101" s="12">
        <f t="shared" si="5"/>
        <v>110404</v>
      </c>
      <c r="H101" s="25">
        <f t="shared" si="6"/>
        <v>13800.5</v>
      </c>
      <c r="I101" s="25">
        <f t="shared" si="7"/>
        <v>18264.099999999999</v>
      </c>
      <c r="J101" s="25">
        <f t="shared" si="8"/>
        <v>4463.5999999999985</v>
      </c>
    </row>
    <row r="102" spans="1:10" x14ac:dyDescent="0.25">
      <c r="A102">
        <v>300</v>
      </c>
      <c r="B102">
        <v>1</v>
      </c>
      <c r="C102" t="s">
        <v>112</v>
      </c>
      <c r="D102" s="12">
        <v>26645</v>
      </c>
      <c r="E102" s="12">
        <v>9855</v>
      </c>
      <c r="F102" s="12">
        <v>100449</v>
      </c>
      <c r="G102" s="12">
        <f t="shared" si="5"/>
        <v>136949</v>
      </c>
      <c r="H102" s="25">
        <f t="shared" si="6"/>
        <v>17118.625</v>
      </c>
      <c r="I102" s="25">
        <f t="shared" si="7"/>
        <v>21060.625</v>
      </c>
      <c r="J102" s="25">
        <f t="shared" si="8"/>
        <v>3942</v>
      </c>
    </row>
    <row r="103" spans="1:10" x14ac:dyDescent="0.25">
      <c r="A103">
        <v>306</v>
      </c>
      <c r="B103">
        <v>1</v>
      </c>
      <c r="C103" t="s">
        <v>113</v>
      </c>
      <c r="D103" s="12">
        <v>22983</v>
      </c>
      <c r="E103" s="12">
        <v>6779</v>
      </c>
      <c r="F103" s="12">
        <v>9676</v>
      </c>
      <c r="G103" s="12">
        <f t="shared" si="5"/>
        <v>39438</v>
      </c>
      <c r="H103" s="25">
        <f t="shared" si="6"/>
        <v>4929.75</v>
      </c>
      <c r="I103" s="25">
        <f t="shared" si="7"/>
        <v>7641.35</v>
      </c>
      <c r="J103" s="25">
        <f t="shared" si="8"/>
        <v>2711.6000000000004</v>
      </c>
    </row>
    <row r="104" spans="1:10" x14ac:dyDescent="0.25">
      <c r="A104">
        <v>308</v>
      </c>
      <c r="B104">
        <v>1</v>
      </c>
      <c r="C104" t="s">
        <v>114</v>
      </c>
      <c r="D104" s="12">
        <v>28724</v>
      </c>
      <c r="E104" s="12">
        <v>8212</v>
      </c>
      <c r="F104" s="12">
        <v>26530</v>
      </c>
      <c r="G104" s="12">
        <f t="shared" si="5"/>
        <v>63466</v>
      </c>
      <c r="H104" s="25">
        <f t="shared" si="6"/>
        <v>7933.25</v>
      </c>
      <c r="I104" s="25">
        <f t="shared" si="7"/>
        <v>11218.05</v>
      </c>
      <c r="J104" s="25">
        <f t="shared" si="8"/>
        <v>3284.7999999999993</v>
      </c>
    </row>
    <row r="105" spans="1:10" x14ac:dyDescent="0.25">
      <c r="A105">
        <v>309</v>
      </c>
      <c r="B105">
        <v>1</v>
      </c>
      <c r="C105" t="s">
        <v>115</v>
      </c>
      <c r="D105" s="12">
        <v>83079</v>
      </c>
      <c r="E105" s="12">
        <v>17713</v>
      </c>
      <c r="F105" s="12">
        <v>71320</v>
      </c>
      <c r="G105" s="12">
        <f t="shared" si="5"/>
        <v>172112</v>
      </c>
      <c r="H105" s="25">
        <f t="shared" si="6"/>
        <v>21514</v>
      </c>
      <c r="I105" s="25">
        <f t="shared" si="7"/>
        <v>28599.200000000001</v>
      </c>
      <c r="J105" s="25">
        <f t="shared" si="8"/>
        <v>7085.2000000000007</v>
      </c>
    </row>
    <row r="106" spans="1:10" x14ac:dyDescent="0.25">
      <c r="A106">
        <v>314</v>
      </c>
      <c r="B106">
        <v>1</v>
      </c>
      <c r="C106" t="s">
        <v>116</v>
      </c>
      <c r="D106" s="12">
        <v>45152</v>
      </c>
      <c r="E106" s="12">
        <v>8293</v>
      </c>
      <c r="F106" s="12">
        <v>39945</v>
      </c>
      <c r="G106" s="12">
        <f t="shared" si="5"/>
        <v>93390</v>
      </c>
      <c r="H106" s="25">
        <f t="shared" si="6"/>
        <v>11673.75</v>
      </c>
      <c r="I106" s="25">
        <f t="shared" si="7"/>
        <v>14990.95</v>
      </c>
      <c r="J106" s="25">
        <f t="shared" si="8"/>
        <v>3317.2000000000007</v>
      </c>
    </row>
    <row r="107" spans="1:10" x14ac:dyDescent="0.25">
      <c r="A107">
        <v>316</v>
      </c>
      <c r="B107">
        <v>1</v>
      </c>
      <c r="C107" t="s">
        <v>117</v>
      </c>
      <c r="D107" s="12">
        <v>55945</v>
      </c>
      <c r="E107" s="12">
        <v>17000</v>
      </c>
      <c r="F107" s="12">
        <v>46400</v>
      </c>
      <c r="G107" s="12">
        <f t="shared" si="5"/>
        <v>119345</v>
      </c>
      <c r="H107" s="25">
        <f t="shared" si="6"/>
        <v>14918.125</v>
      </c>
      <c r="I107" s="25">
        <f t="shared" si="7"/>
        <v>21718.125</v>
      </c>
      <c r="J107" s="25">
        <f t="shared" si="8"/>
        <v>6800</v>
      </c>
    </row>
    <row r="108" spans="1:10" x14ac:dyDescent="0.25">
      <c r="A108">
        <v>317</v>
      </c>
      <c r="B108">
        <v>1</v>
      </c>
      <c r="C108" t="s">
        <v>118</v>
      </c>
      <c r="D108" s="12">
        <v>70943</v>
      </c>
      <c r="E108" s="12">
        <v>7315</v>
      </c>
      <c r="F108" s="12">
        <v>33077</v>
      </c>
      <c r="G108" s="12">
        <f t="shared" si="5"/>
        <v>111335</v>
      </c>
      <c r="H108" s="25">
        <f t="shared" si="6"/>
        <v>13916.875</v>
      </c>
      <c r="I108" s="25">
        <f t="shared" si="7"/>
        <v>16842.875</v>
      </c>
      <c r="J108" s="25">
        <f t="shared" si="8"/>
        <v>2926</v>
      </c>
    </row>
    <row r="109" spans="1:10" x14ac:dyDescent="0.25">
      <c r="A109">
        <v>318</v>
      </c>
      <c r="B109">
        <v>1</v>
      </c>
      <c r="C109" t="s">
        <v>119</v>
      </c>
      <c r="D109" s="12">
        <v>162559</v>
      </c>
      <c r="E109" s="12">
        <v>41174</v>
      </c>
      <c r="F109" s="12">
        <v>174712</v>
      </c>
      <c r="G109" s="12">
        <f t="shared" si="5"/>
        <v>378445</v>
      </c>
      <c r="H109" s="25">
        <f t="shared" si="6"/>
        <v>47305.625</v>
      </c>
      <c r="I109" s="25">
        <f t="shared" si="7"/>
        <v>63775.225000000006</v>
      </c>
      <c r="J109" s="25">
        <f t="shared" si="8"/>
        <v>16469.600000000006</v>
      </c>
    </row>
    <row r="110" spans="1:10" x14ac:dyDescent="0.25">
      <c r="A110">
        <v>319</v>
      </c>
      <c r="B110">
        <v>1</v>
      </c>
      <c r="C110" t="s">
        <v>120</v>
      </c>
      <c r="D110" s="12">
        <v>32609</v>
      </c>
      <c r="E110" s="12">
        <v>4810</v>
      </c>
      <c r="F110" s="12">
        <v>31761</v>
      </c>
      <c r="G110" s="12">
        <f t="shared" si="5"/>
        <v>69180</v>
      </c>
      <c r="H110" s="25">
        <f t="shared" si="6"/>
        <v>8647.5</v>
      </c>
      <c r="I110" s="25">
        <f t="shared" si="7"/>
        <v>10571.5</v>
      </c>
      <c r="J110" s="25">
        <f t="shared" si="8"/>
        <v>1924</v>
      </c>
    </row>
    <row r="111" spans="1:10" x14ac:dyDescent="0.25">
      <c r="A111">
        <v>323</v>
      </c>
      <c r="B111">
        <v>2</v>
      </c>
      <c r="C111" t="s">
        <v>121</v>
      </c>
      <c r="D111" s="12">
        <v>0</v>
      </c>
      <c r="E111" s="12">
        <v>0</v>
      </c>
      <c r="F111" s="12">
        <v>0</v>
      </c>
      <c r="G111" s="12">
        <f t="shared" si="5"/>
        <v>0</v>
      </c>
      <c r="H111" s="25">
        <f t="shared" si="6"/>
        <v>0</v>
      </c>
      <c r="I111" s="25">
        <f t="shared" si="7"/>
        <v>0</v>
      </c>
      <c r="J111" s="25">
        <f t="shared" si="8"/>
        <v>0</v>
      </c>
    </row>
    <row r="112" spans="1:10" x14ac:dyDescent="0.25">
      <c r="A112">
        <v>330</v>
      </c>
      <c r="B112">
        <v>1</v>
      </c>
      <c r="C112" t="s">
        <v>122</v>
      </c>
      <c r="D112" s="12">
        <v>11445</v>
      </c>
      <c r="E112" s="12">
        <v>7904</v>
      </c>
      <c r="F112" s="12">
        <v>29114</v>
      </c>
      <c r="G112" s="12">
        <f t="shared" si="5"/>
        <v>48463</v>
      </c>
      <c r="H112" s="25">
        <f t="shared" si="6"/>
        <v>6057.875</v>
      </c>
      <c r="I112" s="25">
        <f t="shared" si="7"/>
        <v>9219.4750000000004</v>
      </c>
      <c r="J112" s="25">
        <f t="shared" si="8"/>
        <v>3161.6000000000004</v>
      </c>
    </row>
    <row r="113" spans="1:10" x14ac:dyDescent="0.25">
      <c r="A113">
        <v>332</v>
      </c>
      <c r="B113">
        <v>1</v>
      </c>
      <c r="C113" t="s">
        <v>123</v>
      </c>
      <c r="D113" s="12">
        <v>76290</v>
      </c>
      <c r="E113" s="12">
        <v>20362</v>
      </c>
      <c r="F113" s="12">
        <v>86750</v>
      </c>
      <c r="G113" s="12">
        <f t="shared" si="5"/>
        <v>183402</v>
      </c>
      <c r="H113" s="25">
        <f t="shared" si="6"/>
        <v>22925.25</v>
      </c>
      <c r="I113" s="25">
        <f t="shared" si="7"/>
        <v>31070.05</v>
      </c>
      <c r="J113" s="25">
        <f t="shared" si="8"/>
        <v>8144.7999999999993</v>
      </c>
    </row>
    <row r="114" spans="1:10" x14ac:dyDescent="0.25">
      <c r="A114">
        <v>333</v>
      </c>
      <c r="B114">
        <v>1</v>
      </c>
      <c r="C114" t="s">
        <v>124</v>
      </c>
      <c r="D114" s="12">
        <v>25987</v>
      </c>
      <c r="E114" s="12">
        <v>7745</v>
      </c>
      <c r="F114" s="12">
        <v>19753</v>
      </c>
      <c r="G114" s="12">
        <f t="shared" si="5"/>
        <v>53485</v>
      </c>
      <c r="H114" s="25">
        <f t="shared" si="6"/>
        <v>6685.625</v>
      </c>
      <c r="I114" s="25">
        <f t="shared" si="7"/>
        <v>9783.625</v>
      </c>
      <c r="J114" s="25">
        <f t="shared" si="8"/>
        <v>3098</v>
      </c>
    </row>
    <row r="115" spans="1:10" x14ac:dyDescent="0.25">
      <c r="A115">
        <v>345</v>
      </c>
      <c r="B115">
        <v>1</v>
      </c>
      <c r="C115" t="s">
        <v>125</v>
      </c>
      <c r="D115" s="12">
        <v>41275</v>
      </c>
      <c r="E115" s="12">
        <v>17624</v>
      </c>
      <c r="F115" s="12">
        <v>124314</v>
      </c>
      <c r="G115" s="12">
        <f t="shared" si="5"/>
        <v>183213</v>
      </c>
      <c r="H115" s="25">
        <f t="shared" si="6"/>
        <v>22901.625</v>
      </c>
      <c r="I115" s="25">
        <f t="shared" si="7"/>
        <v>29951.224999999999</v>
      </c>
      <c r="J115" s="25">
        <f t="shared" si="8"/>
        <v>7049.5999999999985</v>
      </c>
    </row>
    <row r="116" spans="1:10" x14ac:dyDescent="0.25">
      <c r="A116">
        <v>347</v>
      </c>
      <c r="B116">
        <v>1</v>
      </c>
      <c r="C116" t="s">
        <v>126</v>
      </c>
      <c r="D116" s="12">
        <v>296017</v>
      </c>
      <c r="E116" s="12">
        <v>40788</v>
      </c>
      <c r="F116" s="12">
        <v>243326</v>
      </c>
      <c r="G116" s="12">
        <f t="shared" si="5"/>
        <v>580131</v>
      </c>
      <c r="H116" s="25">
        <f t="shared" si="6"/>
        <v>72516.375</v>
      </c>
      <c r="I116" s="25">
        <f t="shared" si="7"/>
        <v>88831.574999999997</v>
      </c>
      <c r="J116" s="25">
        <f t="shared" si="8"/>
        <v>16315.199999999997</v>
      </c>
    </row>
    <row r="117" spans="1:10" x14ac:dyDescent="0.25">
      <c r="A117">
        <v>356</v>
      </c>
      <c r="B117">
        <v>1</v>
      </c>
      <c r="C117" t="s">
        <v>127</v>
      </c>
      <c r="D117" s="12">
        <v>6195</v>
      </c>
      <c r="E117" s="12">
        <v>3660</v>
      </c>
      <c r="F117" s="12">
        <v>13761</v>
      </c>
      <c r="G117" s="12">
        <f t="shared" si="5"/>
        <v>23616</v>
      </c>
      <c r="H117" s="25">
        <f t="shared" si="6"/>
        <v>2952</v>
      </c>
      <c r="I117" s="25">
        <f t="shared" si="7"/>
        <v>4416</v>
      </c>
      <c r="J117" s="25">
        <f t="shared" si="8"/>
        <v>1464</v>
      </c>
    </row>
    <row r="118" spans="1:10" x14ac:dyDescent="0.25">
      <c r="A118">
        <v>361</v>
      </c>
      <c r="B118">
        <v>1</v>
      </c>
      <c r="C118" t="s">
        <v>128</v>
      </c>
      <c r="D118" s="12">
        <v>45223</v>
      </c>
      <c r="E118" s="12">
        <v>9451</v>
      </c>
      <c r="F118" s="12">
        <v>51786</v>
      </c>
      <c r="G118" s="12">
        <f t="shared" si="5"/>
        <v>106460</v>
      </c>
      <c r="H118" s="25">
        <f t="shared" si="6"/>
        <v>13307.5</v>
      </c>
      <c r="I118" s="25">
        <f t="shared" si="7"/>
        <v>17087.900000000001</v>
      </c>
      <c r="J118" s="25">
        <f t="shared" si="8"/>
        <v>3780.4000000000015</v>
      </c>
    </row>
    <row r="119" spans="1:10" x14ac:dyDescent="0.25">
      <c r="A119">
        <v>362</v>
      </c>
      <c r="B119">
        <v>1</v>
      </c>
      <c r="C119" t="s">
        <v>129</v>
      </c>
      <c r="D119" s="12">
        <v>13510</v>
      </c>
      <c r="E119" s="12">
        <v>4293</v>
      </c>
      <c r="F119" s="12">
        <v>21161</v>
      </c>
      <c r="G119" s="12">
        <f t="shared" si="5"/>
        <v>38964</v>
      </c>
      <c r="H119" s="25">
        <f t="shared" si="6"/>
        <v>4870.5</v>
      </c>
      <c r="I119" s="25">
        <f t="shared" si="7"/>
        <v>6587.7</v>
      </c>
      <c r="J119" s="25">
        <f t="shared" si="8"/>
        <v>1717.1999999999998</v>
      </c>
    </row>
    <row r="120" spans="1:10" x14ac:dyDescent="0.25">
      <c r="A120">
        <v>363</v>
      </c>
      <c r="B120">
        <v>1</v>
      </c>
      <c r="C120" t="s">
        <v>130</v>
      </c>
      <c r="D120" s="12">
        <v>26131</v>
      </c>
      <c r="E120" s="12">
        <v>4897</v>
      </c>
      <c r="F120" s="12">
        <v>22019</v>
      </c>
      <c r="G120" s="12">
        <f t="shared" si="5"/>
        <v>53047</v>
      </c>
      <c r="H120" s="25">
        <f t="shared" si="6"/>
        <v>6630.875</v>
      </c>
      <c r="I120" s="25">
        <f t="shared" si="7"/>
        <v>8589.6749999999993</v>
      </c>
      <c r="J120" s="25">
        <f t="shared" si="8"/>
        <v>1958.7999999999993</v>
      </c>
    </row>
    <row r="121" spans="1:10" x14ac:dyDescent="0.25">
      <c r="A121">
        <v>378</v>
      </c>
      <c r="B121">
        <v>1</v>
      </c>
      <c r="C121" t="s">
        <v>131</v>
      </c>
      <c r="D121" s="12">
        <v>23841</v>
      </c>
      <c r="E121" s="12">
        <v>6475</v>
      </c>
      <c r="F121" s="12">
        <v>29578</v>
      </c>
      <c r="G121" s="12">
        <f t="shared" si="5"/>
        <v>59894</v>
      </c>
      <c r="H121" s="25">
        <f t="shared" si="6"/>
        <v>7486.75</v>
      </c>
      <c r="I121" s="25">
        <f t="shared" si="7"/>
        <v>10076.75</v>
      </c>
      <c r="J121" s="25">
        <f t="shared" si="8"/>
        <v>2590</v>
      </c>
    </row>
    <row r="122" spans="1:10" x14ac:dyDescent="0.25">
      <c r="A122">
        <v>381</v>
      </c>
      <c r="B122">
        <v>1</v>
      </c>
      <c r="C122" t="s">
        <v>132</v>
      </c>
      <c r="D122" s="12">
        <v>40054</v>
      </c>
      <c r="E122" s="12">
        <v>10940</v>
      </c>
      <c r="F122" s="12">
        <v>76312</v>
      </c>
      <c r="G122" s="12">
        <f t="shared" si="5"/>
        <v>127306</v>
      </c>
      <c r="H122" s="25">
        <f t="shared" si="6"/>
        <v>15913.25</v>
      </c>
      <c r="I122" s="25">
        <f t="shared" si="7"/>
        <v>20289.25</v>
      </c>
      <c r="J122" s="25">
        <f t="shared" si="8"/>
        <v>4376</v>
      </c>
    </row>
    <row r="123" spans="1:10" x14ac:dyDescent="0.25">
      <c r="A123">
        <v>390</v>
      </c>
      <c r="B123">
        <v>1</v>
      </c>
      <c r="C123" t="s">
        <v>133</v>
      </c>
      <c r="D123" s="12">
        <v>26863</v>
      </c>
      <c r="E123" s="12">
        <v>10219</v>
      </c>
      <c r="F123" s="12">
        <v>28768</v>
      </c>
      <c r="G123" s="12">
        <f t="shared" si="5"/>
        <v>65850</v>
      </c>
      <c r="H123" s="25">
        <f t="shared" si="6"/>
        <v>8231.25</v>
      </c>
      <c r="I123" s="25">
        <f t="shared" si="7"/>
        <v>12318.85</v>
      </c>
      <c r="J123" s="25">
        <f t="shared" si="8"/>
        <v>4087.6000000000004</v>
      </c>
    </row>
    <row r="124" spans="1:10" x14ac:dyDescent="0.25">
      <c r="A124">
        <v>391</v>
      </c>
      <c r="B124">
        <v>1</v>
      </c>
      <c r="C124" t="s">
        <v>134</v>
      </c>
      <c r="D124" s="12">
        <v>14101</v>
      </c>
      <c r="E124" s="12">
        <v>4828</v>
      </c>
      <c r="F124" s="12">
        <v>41736</v>
      </c>
      <c r="G124" s="12">
        <f t="shared" si="5"/>
        <v>60665</v>
      </c>
      <c r="H124" s="25">
        <f t="shared" si="6"/>
        <v>7583.125</v>
      </c>
      <c r="I124" s="25">
        <f t="shared" si="7"/>
        <v>9514.3250000000007</v>
      </c>
      <c r="J124" s="25">
        <f t="shared" si="8"/>
        <v>1931.2000000000007</v>
      </c>
    </row>
    <row r="125" spans="1:10" x14ac:dyDescent="0.25">
      <c r="A125">
        <v>402</v>
      </c>
      <c r="B125">
        <v>1</v>
      </c>
      <c r="C125" t="s">
        <v>135</v>
      </c>
      <c r="D125" s="12">
        <v>5366</v>
      </c>
      <c r="E125" s="12">
        <v>3355</v>
      </c>
      <c r="F125" s="12">
        <v>5773</v>
      </c>
      <c r="G125" s="12">
        <f t="shared" si="5"/>
        <v>14494</v>
      </c>
      <c r="H125" s="25">
        <f t="shared" si="6"/>
        <v>1811.75</v>
      </c>
      <c r="I125" s="25">
        <f t="shared" si="7"/>
        <v>3153.75</v>
      </c>
      <c r="J125" s="25">
        <f t="shared" si="8"/>
        <v>1342</v>
      </c>
    </row>
    <row r="126" spans="1:10" x14ac:dyDescent="0.25">
      <c r="A126">
        <v>403</v>
      </c>
      <c r="B126">
        <v>1</v>
      </c>
      <c r="C126" t="s">
        <v>136</v>
      </c>
      <c r="D126" s="12">
        <v>6852</v>
      </c>
      <c r="E126" s="12">
        <v>5265</v>
      </c>
      <c r="F126" s="12">
        <v>16472</v>
      </c>
      <c r="G126" s="12">
        <f t="shared" si="5"/>
        <v>28589</v>
      </c>
      <c r="H126" s="25">
        <f t="shared" si="6"/>
        <v>3573.625</v>
      </c>
      <c r="I126" s="25">
        <f t="shared" si="7"/>
        <v>5679.625</v>
      </c>
      <c r="J126" s="25">
        <f t="shared" si="8"/>
        <v>2106</v>
      </c>
    </row>
    <row r="127" spans="1:10" x14ac:dyDescent="0.25">
      <c r="A127">
        <v>404</v>
      </c>
      <c r="B127">
        <v>1</v>
      </c>
      <c r="C127" t="s">
        <v>137</v>
      </c>
      <c r="D127" s="12">
        <v>5292</v>
      </c>
      <c r="E127" s="12">
        <v>2011</v>
      </c>
      <c r="F127" s="12">
        <v>9568</v>
      </c>
      <c r="G127" s="12">
        <f t="shared" si="5"/>
        <v>16871</v>
      </c>
      <c r="H127" s="25">
        <f t="shared" si="6"/>
        <v>2108.875</v>
      </c>
      <c r="I127" s="25">
        <f t="shared" si="7"/>
        <v>2913.2750000000001</v>
      </c>
      <c r="J127" s="25">
        <f t="shared" si="8"/>
        <v>804.40000000000009</v>
      </c>
    </row>
    <row r="128" spans="1:10" x14ac:dyDescent="0.25">
      <c r="A128">
        <v>413</v>
      </c>
      <c r="B128">
        <v>1</v>
      </c>
      <c r="C128" t="s">
        <v>138</v>
      </c>
      <c r="D128" s="12">
        <v>101918</v>
      </c>
      <c r="E128" s="12">
        <v>26151</v>
      </c>
      <c r="F128" s="12">
        <v>166690</v>
      </c>
      <c r="G128" s="12">
        <f t="shared" si="5"/>
        <v>294759</v>
      </c>
      <c r="H128" s="25">
        <f t="shared" si="6"/>
        <v>36844.875</v>
      </c>
      <c r="I128" s="25">
        <f t="shared" si="7"/>
        <v>47305.275000000001</v>
      </c>
      <c r="J128" s="25">
        <f t="shared" si="8"/>
        <v>10460.400000000001</v>
      </c>
    </row>
    <row r="129" spans="1:10" x14ac:dyDescent="0.25">
      <c r="A129">
        <v>414</v>
      </c>
      <c r="B129">
        <v>1</v>
      </c>
      <c r="C129" t="s">
        <v>139</v>
      </c>
      <c r="D129" s="12">
        <v>21317</v>
      </c>
      <c r="E129" s="12">
        <v>5564</v>
      </c>
      <c r="F129" s="12">
        <v>34639</v>
      </c>
      <c r="G129" s="12">
        <f t="shared" si="5"/>
        <v>61520</v>
      </c>
      <c r="H129" s="25">
        <f t="shared" si="6"/>
        <v>7690</v>
      </c>
      <c r="I129" s="25">
        <f t="shared" si="7"/>
        <v>9915.6</v>
      </c>
      <c r="J129" s="25">
        <f t="shared" si="8"/>
        <v>2225.6000000000004</v>
      </c>
    </row>
    <row r="130" spans="1:10" x14ac:dyDescent="0.25">
      <c r="A130">
        <v>415</v>
      </c>
      <c r="B130">
        <v>1</v>
      </c>
      <c r="C130" t="s">
        <v>140</v>
      </c>
      <c r="D130" s="12">
        <v>11998</v>
      </c>
      <c r="E130" s="12">
        <v>1881</v>
      </c>
      <c r="F130" s="12">
        <v>6435</v>
      </c>
      <c r="G130" s="12">
        <f t="shared" si="5"/>
        <v>20314</v>
      </c>
      <c r="H130" s="25">
        <f t="shared" si="6"/>
        <v>2539.25</v>
      </c>
      <c r="I130" s="25">
        <f t="shared" si="7"/>
        <v>3291.65</v>
      </c>
      <c r="J130" s="25">
        <f t="shared" si="8"/>
        <v>752.40000000000009</v>
      </c>
    </row>
    <row r="131" spans="1:10" x14ac:dyDescent="0.25">
      <c r="A131">
        <v>423</v>
      </c>
      <c r="B131">
        <v>1</v>
      </c>
      <c r="C131" t="s">
        <v>141</v>
      </c>
      <c r="D131" s="12">
        <v>94304</v>
      </c>
      <c r="E131" s="12">
        <v>27235</v>
      </c>
      <c r="F131" s="12">
        <v>243106</v>
      </c>
      <c r="G131" s="12">
        <f t="shared" si="5"/>
        <v>364645</v>
      </c>
      <c r="H131" s="25">
        <f t="shared" si="6"/>
        <v>45580.625</v>
      </c>
      <c r="I131" s="25">
        <f t="shared" si="7"/>
        <v>56474.625</v>
      </c>
      <c r="J131" s="25">
        <f t="shared" si="8"/>
        <v>10894</v>
      </c>
    </row>
    <row r="132" spans="1:10" x14ac:dyDescent="0.25">
      <c r="A132">
        <v>424</v>
      </c>
      <c r="B132">
        <v>1</v>
      </c>
      <c r="C132" t="s">
        <v>142</v>
      </c>
      <c r="D132" s="12">
        <v>17462</v>
      </c>
      <c r="E132" s="12">
        <v>4492</v>
      </c>
      <c r="F132" s="12">
        <v>37182</v>
      </c>
      <c r="G132" s="12">
        <f t="shared" si="5"/>
        <v>59136</v>
      </c>
      <c r="H132" s="25">
        <f t="shared" si="6"/>
        <v>7392</v>
      </c>
      <c r="I132" s="25">
        <f t="shared" si="7"/>
        <v>9188.7999999999993</v>
      </c>
      <c r="J132" s="25">
        <f t="shared" si="8"/>
        <v>1796.7999999999993</v>
      </c>
    </row>
    <row r="133" spans="1:10" x14ac:dyDescent="0.25">
      <c r="A133">
        <v>432</v>
      </c>
      <c r="B133">
        <v>1</v>
      </c>
      <c r="C133" t="s">
        <v>143</v>
      </c>
      <c r="D133" s="12">
        <v>50819</v>
      </c>
      <c r="E133" s="12">
        <v>5210</v>
      </c>
      <c r="F133" s="12">
        <v>19132</v>
      </c>
      <c r="G133" s="12">
        <f t="shared" si="5"/>
        <v>75161</v>
      </c>
      <c r="H133" s="25">
        <f t="shared" si="6"/>
        <v>9395.125</v>
      </c>
      <c r="I133" s="25">
        <f t="shared" si="7"/>
        <v>11479.125</v>
      </c>
      <c r="J133" s="25">
        <f t="shared" si="8"/>
        <v>2084</v>
      </c>
    </row>
    <row r="134" spans="1:10" x14ac:dyDescent="0.25">
      <c r="A134">
        <v>435</v>
      </c>
      <c r="B134">
        <v>1</v>
      </c>
      <c r="C134" t="s">
        <v>144</v>
      </c>
      <c r="D134" s="12">
        <v>49006</v>
      </c>
      <c r="E134" s="12">
        <v>7654</v>
      </c>
      <c r="F134" s="12">
        <v>21259</v>
      </c>
      <c r="G134" s="12">
        <f t="shared" si="5"/>
        <v>77919</v>
      </c>
      <c r="H134" s="25">
        <f t="shared" si="6"/>
        <v>9739.875</v>
      </c>
      <c r="I134" s="25">
        <f t="shared" si="7"/>
        <v>12801.475</v>
      </c>
      <c r="J134" s="25">
        <f t="shared" si="8"/>
        <v>3061.6000000000004</v>
      </c>
    </row>
    <row r="135" spans="1:10" x14ac:dyDescent="0.25">
      <c r="A135">
        <v>441</v>
      </c>
      <c r="B135">
        <v>1</v>
      </c>
      <c r="C135" t="s">
        <v>145</v>
      </c>
      <c r="D135" s="12">
        <v>18076</v>
      </c>
      <c r="E135" s="12">
        <v>8122</v>
      </c>
      <c r="F135" s="12">
        <v>28476</v>
      </c>
      <c r="G135" s="12">
        <f t="shared" si="5"/>
        <v>54674</v>
      </c>
      <c r="H135" s="25">
        <f t="shared" si="6"/>
        <v>6834.25</v>
      </c>
      <c r="I135" s="25">
        <f t="shared" si="7"/>
        <v>10083.049999999999</v>
      </c>
      <c r="J135" s="25">
        <f t="shared" si="8"/>
        <v>3248.7999999999993</v>
      </c>
    </row>
    <row r="136" spans="1:10" x14ac:dyDescent="0.25">
      <c r="A136">
        <v>447</v>
      </c>
      <c r="B136">
        <v>1</v>
      </c>
      <c r="C136" t="s">
        <v>146</v>
      </c>
      <c r="D136" s="12">
        <v>6358</v>
      </c>
      <c r="E136" s="12">
        <v>6171</v>
      </c>
      <c r="F136" s="12">
        <v>12106</v>
      </c>
      <c r="G136" s="12">
        <f t="shared" ref="G136:G199" si="9">SUM(D136:F136)</f>
        <v>24635</v>
      </c>
      <c r="H136" s="25">
        <f t="shared" ref="H136:H199" si="10">G136*0.125</f>
        <v>3079.375</v>
      </c>
      <c r="I136" s="25">
        <f t="shared" ref="I136:I199" si="11">H136+0.4*E136</f>
        <v>5547.7749999999996</v>
      </c>
      <c r="J136" s="25">
        <f t="shared" ref="J136:J199" si="12">I136-H136</f>
        <v>2468.3999999999996</v>
      </c>
    </row>
    <row r="137" spans="1:10" x14ac:dyDescent="0.25">
      <c r="A137">
        <v>458</v>
      </c>
      <c r="B137">
        <v>1</v>
      </c>
      <c r="C137" t="s">
        <v>147</v>
      </c>
      <c r="D137" s="12">
        <v>13105</v>
      </c>
      <c r="E137" s="12">
        <v>5205</v>
      </c>
      <c r="F137" s="12">
        <v>17891</v>
      </c>
      <c r="G137" s="12">
        <f t="shared" si="9"/>
        <v>36201</v>
      </c>
      <c r="H137" s="25">
        <f t="shared" si="10"/>
        <v>4525.125</v>
      </c>
      <c r="I137" s="25">
        <f t="shared" si="11"/>
        <v>6607.125</v>
      </c>
      <c r="J137" s="25">
        <f t="shared" si="12"/>
        <v>2082</v>
      </c>
    </row>
    <row r="138" spans="1:10" x14ac:dyDescent="0.25">
      <c r="A138">
        <v>463</v>
      </c>
      <c r="B138">
        <v>1</v>
      </c>
      <c r="C138" t="s">
        <v>148</v>
      </c>
      <c r="D138" s="12">
        <v>39515</v>
      </c>
      <c r="E138" s="12">
        <v>20713</v>
      </c>
      <c r="F138" s="12">
        <v>72743</v>
      </c>
      <c r="G138" s="12">
        <f t="shared" si="9"/>
        <v>132971</v>
      </c>
      <c r="H138" s="25">
        <f t="shared" si="10"/>
        <v>16621.375</v>
      </c>
      <c r="I138" s="25">
        <f t="shared" si="11"/>
        <v>24906.575000000001</v>
      </c>
      <c r="J138" s="25">
        <f t="shared" si="12"/>
        <v>8285.2000000000007</v>
      </c>
    </row>
    <row r="139" spans="1:10" x14ac:dyDescent="0.25">
      <c r="A139">
        <v>465</v>
      </c>
      <c r="B139">
        <v>1</v>
      </c>
      <c r="C139" t="s">
        <v>149</v>
      </c>
      <c r="D139" s="12">
        <v>69595</v>
      </c>
      <c r="E139" s="12">
        <v>20923</v>
      </c>
      <c r="F139" s="12">
        <v>122717</v>
      </c>
      <c r="G139" s="12">
        <f t="shared" si="9"/>
        <v>213235</v>
      </c>
      <c r="H139" s="25">
        <f t="shared" si="10"/>
        <v>26654.375</v>
      </c>
      <c r="I139" s="25">
        <f t="shared" si="11"/>
        <v>35023.574999999997</v>
      </c>
      <c r="J139" s="25">
        <f t="shared" si="12"/>
        <v>8369.1999999999971</v>
      </c>
    </row>
    <row r="140" spans="1:10" x14ac:dyDescent="0.25">
      <c r="A140">
        <v>466</v>
      </c>
      <c r="B140">
        <v>1</v>
      </c>
      <c r="C140" t="s">
        <v>150</v>
      </c>
      <c r="D140" s="12">
        <v>68251</v>
      </c>
      <c r="E140" s="12">
        <v>28460</v>
      </c>
      <c r="F140" s="12">
        <v>150599</v>
      </c>
      <c r="G140" s="12">
        <f t="shared" si="9"/>
        <v>247310</v>
      </c>
      <c r="H140" s="25">
        <f t="shared" si="10"/>
        <v>30913.75</v>
      </c>
      <c r="I140" s="25">
        <f t="shared" si="11"/>
        <v>42297.75</v>
      </c>
      <c r="J140" s="25">
        <f t="shared" si="12"/>
        <v>11384</v>
      </c>
    </row>
    <row r="141" spans="1:10" x14ac:dyDescent="0.25">
      <c r="A141">
        <v>473</v>
      </c>
      <c r="B141">
        <v>1</v>
      </c>
      <c r="C141" t="s">
        <v>151</v>
      </c>
      <c r="D141" s="12">
        <v>24316</v>
      </c>
      <c r="E141" s="12">
        <v>8710</v>
      </c>
      <c r="F141" s="12">
        <v>32594</v>
      </c>
      <c r="G141" s="12">
        <f t="shared" si="9"/>
        <v>65620</v>
      </c>
      <c r="H141" s="25">
        <f t="shared" si="10"/>
        <v>8202.5</v>
      </c>
      <c r="I141" s="25">
        <f t="shared" si="11"/>
        <v>11686.5</v>
      </c>
      <c r="J141" s="25">
        <f t="shared" si="12"/>
        <v>3484</v>
      </c>
    </row>
    <row r="142" spans="1:10" x14ac:dyDescent="0.25">
      <c r="A142">
        <v>477</v>
      </c>
      <c r="B142">
        <v>1</v>
      </c>
      <c r="C142" t="s">
        <v>152</v>
      </c>
      <c r="D142" s="12">
        <v>104743</v>
      </c>
      <c r="E142" s="12">
        <v>35202</v>
      </c>
      <c r="F142" s="12">
        <v>271298</v>
      </c>
      <c r="G142" s="12">
        <f t="shared" si="9"/>
        <v>411243</v>
      </c>
      <c r="H142" s="25">
        <f t="shared" si="10"/>
        <v>51405.375</v>
      </c>
      <c r="I142" s="25">
        <f t="shared" si="11"/>
        <v>65486.175000000003</v>
      </c>
      <c r="J142" s="25">
        <f t="shared" si="12"/>
        <v>14080.800000000003</v>
      </c>
    </row>
    <row r="143" spans="1:10" x14ac:dyDescent="0.25">
      <c r="A143">
        <v>480</v>
      </c>
      <c r="B143">
        <v>1</v>
      </c>
      <c r="C143" t="s">
        <v>153</v>
      </c>
      <c r="D143" s="12">
        <v>39106</v>
      </c>
      <c r="E143" s="12">
        <v>9681</v>
      </c>
      <c r="F143" s="12">
        <v>19958</v>
      </c>
      <c r="G143" s="12">
        <f t="shared" si="9"/>
        <v>68745</v>
      </c>
      <c r="H143" s="25">
        <f t="shared" si="10"/>
        <v>8593.125</v>
      </c>
      <c r="I143" s="25">
        <f t="shared" si="11"/>
        <v>12465.525</v>
      </c>
      <c r="J143" s="25">
        <f t="shared" si="12"/>
        <v>3872.3999999999996</v>
      </c>
    </row>
    <row r="144" spans="1:10" x14ac:dyDescent="0.25">
      <c r="A144">
        <v>482</v>
      </c>
      <c r="B144">
        <v>1</v>
      </c>
      <c r="C144" t="s">
        <v>154</v>
      </c>
      <c r="D144" s="12">
        <v>114705</v>
      </c>
      <c r="E144" s="12">
        <v>39213</v>
      </c>
      <c r="F144" s="12">
        <v>116459</v>
      </c>
      <c r="G144" s="12">
        <f t="shared" si="9"/>
        <v>270377</v>
      </c>
      <c r="H144" s="25">
        <f t="shared" si="10"/>
        <v>33797.125</v>
      </c>
      <c r="I144" s="25">
        <f t="shared" si="11"/>
        <v>49482.324999999997</v>
      </c>
      <c r="J144" s="25">
        <f t="shared" si="12"/>
        <v>15685.199999999997</v>
      </c>
    </row>
    <row r="145" spans="1:10" x14ac:dyDescent="0.25">
      <c r="A145">
        <v>484</v>
      </c>
      <c r="B145">
        <v>1</v>
      </c>
      <c r="C145" t="s">
        <v>155</v>
      </c>
      <c r="D145" s="12">
        <v>44715</v>
      </c>
      <c r="E145" s="12">
        <v>23977</v>
      </c>
      <c r="F145" s="12">
        <v>85884</v>
      </c>
      <c r="G145" s="12">
        <f t="shared" si="9"/>
        <v>154576</v>
      </c>
      <c r="H145" s="25">
        <f t="shared" si="10"/>
        <v>19322</v>
      </c>
      <c r="I145" s="25">
        <f t="shared" si="11"/>
        <v>28912.800000000003</v>
      </c>
      <c r="J145" s="25">
        <f t="shared" si="12"/>
        <v>9590.8000000000029</v>
      </c>
    </row>
    <row r="146" spans="1:10" x14ac:dyDescent="0.25">
      <c r="A146">
        <v>485</v>
      </c>
      <c r="B146">
        <v>1</v>
      </c>
      <c r="C146" t="s">
        <v>156</v>
      </c>
      <c r="D146" s="12">
        <v>30202</v>
      </c>
      <c r="E146" s="12">
        <v>16037</v>
      </c>
      <c r="F146" s="12">
        <v>76703</v>
      </c>
      <c r="G146" s="12">
        <f t="shared" si="9"/>
        <v>122942</v>
      </c>
      <c r="H146" s="25">
        <f t="shared" si="10"/>
        <v>15367.75</v>
      </c>
      <c r="I146" s="25">
        <f t="shared" si="11"/>
        <v>21782.55</v>
      </c>
      <c r="J146" s="25">
        <f t="shared" si="12"/>
        <v>6414.7999999999993</v>
      </c>
    </row>
    <row r="147" spans="1:10" x14ac:dyDescent="0.25">
      <c r="A147">
        <v>486</v>
      </c>
      <c r="B147">
        <v>1</v>
      </c>
      <c r="C147" t="s">
        <v>157</v>
      </c>
      <c r="D147" s="12">
        <v>13145</v>
      </c>
      <c r="E147" s="12">
        <v>5214</v>
      </c>
      <c r="F147" s="12">
        <v>26387</v>
      </c>
      <c r="G147" s="12">
        <f t="shared" si="9"/>
        <v>44746</v>
      </c>
      <c r="H147" s="25">
        <f t="shared" si="10"/>
        <v>5593.25</v>
      </c>
      <c r="I147" s="25">
        <f t="shared" si="11"/>
        <v>7678.85</v>
      </c>
      <c r="J147" s="25">
        <f t="shared" si="12"/>
        <v>2085.6000000000004</v>
      </c>
    </row>
    <row r="148" spans="1:10" x14ac:dyDescent="0.25">
      <c r="A148">
        <v>487</v>
      </c>
      <c r="B148">
        <v>1</v>
      </c>
      <c r="C148" t="s">
        <v>158</v>
      </c>
      <c r="D148" s="12">
        <v>13547</v>
      </c>
      <c r="E148" s="12">
        <v>8640</v>
      </c>
      <c r="F148" s="12">
        <v>30601</v>
      </c>
      <c r="G148" s="12">
        <f t="shared" si="9"/>
        <v>52788</v>
      </c>
      <c r="H148" s="25">
        <f t="shared" si="10"/>
        <v>6598.5</v>
      </c>
      <c r="I148" s="25">
        <f t="shared" si="11"/>
        <v>10054.5</v>
      </c>
      <c r="J148" s="25">
        <f t="shared" si="12"/>
        <v>3456</v>
      </c>
    </row>
    <row r="149" spans="1:10" x14ac:dyDescent="0.25">
      <c r="A149">
        <v>492</v>
      </c>
      <c r="B149">
        <v>1</v>
      </c>
      <c r="C149" t="s">
        <v>159</v>
      </c>
      <c r="D149" s="12">
        <v>303501</v>
      </c>
      <c r="E149" s="12">
        <v>62298</v>
      </c>
      <c r="F149" s="12">
        <v>201360</v>
      </c>
      <c r="G149" s="12">
        <f t="shared" si="9"/>
        <v>567159</v>
      </c>
      <c r="H149" s="25">
        <f t="shared" si="10"/>
        <v>70894.875</v>
      </c>
      <c r="I149" s="25">
        <f t="shared" si="11"/>
        <v>95814.074999999997</v>
      </c>
      <c r="J149" s="25">
        <f t="shared" si="12"/>
        <v>24919.199999999997</v>
      </c>
    </row>
    <row r="150" spans="1:10" x14ac:dyDescent="0.25">
      <c r="A150">
        <v>495</v>
      </c>
      <c r="B150">
        <v>1</v>
      </c>
      <c r="C150" t="s">
        <v>160</v>
      </c>
      <c r="D150" s="12">
        <v>14680</v>
      </c>
      <c r="E150" s="12">
        <v>5484</v>
      </c>
      <c r="F150" s="12">
        <v>28861</v>
      </c>
      <c r="G150" s="12">
        <f t="shared" si="9"/>
        <v>49025</v>
      </c>
      <c r="H150" s="25">
        <f t="shared" si="10"/>
        <v>6128.125</v>
      </c>
      <c r="I150" s="25">
        <f t="shared" si="11"/>
        <v>8321.7250000000004</v>
      </c>
      <c r="J150" s="25">
        <f t="shared" si="12"/>
        <v>2193.6000000000004</v>
      </c>
    </row>
    <row r="151" spans="1:10" x14ac:dyDescent="0.25">
      <c r="A151">
        <v>497</v>
      </c>
      <c r="B151">
        <v>1</v>
      </c>
      <c r="C151" t="s">
        <v>161</v>
      </c>
      <c r="D151" s="12">
        <v>13124</v>
      </c>
      <c r="E151" s="12">
        <v>3886</v>
      </c>
      <c r="F151" s="12">
        <v>10654</v>
      </c>
      <c r="G151" s="12">
        <f t="shared" si="9"/>
        <v>27664</v>
      </c>
      <c r="H151" s="25">
        <f t="shared" si="10"/>
        <v>3458</v>
      </c>
      <c r="I151" s="25">
        <f t="shared" si="11"/>
        <v>5012.3999999999996</v>
      </c>
      <c r="J151" s="25">
        <f t="shared" si="12"/>
        <v>1554.3999999999996</v>
      </c>
    </row>
    <row r="152" spans="1:10" x14ac:dyDescent="0.25">
      <c r="A152">
        <v>499</v>
      </c>
      <c r="B152">
        <v>1</v>
      </c>
      <c r="C152" t="s">
        <v>162</v>
      </c>
      <c r="D152" s="12">
        <v>12691</v>
      </c>
      <c r="E152" s="12">
        <v>3209</v>
      </c>
      <c r="F152" s="12">
        <v>23867</v>
      </c>
      <c r="G152" s="12">
        <f t="shared" si="9"/>
        <v>39767</v>
      </c>
      <c r="H152" s="25">
        <f t="shared" si="10"/>
        <v>4970.875</v>
      </c>
      <c r="I152" s="25">
        <f t="shared" si="11"/>
        <v>6254.4750000000004</v>
      </c>
      <c r="J152" s="25">
        <f t="shared" si="12"/>
        <v>1283.6000000000004</v>
      </c>
    </row>
    <row r="153" spans="1:10" x14ac:dyDescent="0.25">
      <c r="A153">
        <v>500</v>
      </c>
      <c r="B153">
        <v>1</v>
      </c>
      <c r="C153" t="s">
        <v>163</v>
      </c>
      <c r="D153" s="12">
        <v>11923</v>
      </c>
      <c r="E153" s="12">
        <v>6683</v>
      </c>
      <c r="F153" s="12">
        <v>40698</v>
      </c>
      <c r="G153" s="12">
        <f t="shared" si="9"/>
        <v>59304</v>
      </c>
      <c r="H153" s="25">
        <f t="shared" si="10"/>
        <v>7413</v>
      </c>
      <c r="I153" s="25">
        <f t="shared" si="11"/>
        <v>10086.200000000001</v>
      </c>
      <c r="J153" s="25">
        <f t="shared" si="12"/>
        <v>2673.2000000000007</v>
      </c>
    </row>
    <row r="154" spans="1:10" x14ac:dyDescent="0.25">
      <c r="A154">
        <v>505</v>
      </c>
      <c r="B154">
        <v>1</v>
      </c>
      <c r="C154" t="s">
        <v>164</v>
      </c>
      <c r="D154" s="12">
        <v>11646</v>
      </c>
      <c r="E154" s="12">
        <v>2651</v>
      </c>
      <c r="F154" s="12">
        <v>27390</v>
      </c>
      <c r="G154" s="12">
        <f t="shared" si="9"/>
        <v>41687</v>
      </c>
      <c r="H154" s="25">
        <f t="shared" si="10"/>
        <v>5210.875</v>
      </c>
      <c r="I154" s="25">
        <f t="shared" si="11"/>
        <v>6271.2749999999996</v>
      </c>
      <c r="J154" s="25">
        <f t="shared" si="12"/>
        <v>1060.3999999999996</v>
      </c>
    </row>
    <row r="155" spans="1:10" x14ac:dyDescent="0.25">
      <c r="A155">
        <v>507</v>
      </c>
      <c r="B155">
        <v>1</v>
      </c>
      <c r="C155" t="s">
        <v>165</v>
      </c>
      <c r="D155" s="12">
        <v>8120</v>
      </c>
      <c r="E155" s="12">
        <v>2668</v>
      </c>
      <c r="F155" s="12">
        <v>30116</v>
      </c>
      <c r="G155" s="12">
        <f t="shared" si="9"/>
        <v>40904</v>
      </c>
      <c r="H155" s="25">
        <f t="shared" si="10"/>
        <v>5113</v>
      </c>
      <c r="I155" s="25">
        <f t="shared" si="11"/>
        <v>6180.2</v>
      </c>
      <c r="J155" s="25">
        <f t="shared" si="12"/>
        <v>1067.1999999999998</v>
      </c>
    </row>
    <row r="156" spans="1:10" x14ac:dyDescent="0.25">
      <c r="A156">
        <v>508</v>
      </c>
      <c r="B156">
        <v>1</v>
      </c>
      <c r="C156" t="s">
        <v>166</v>
      </c>
      <c r="D156" s="12">
        <v>87996</v>
      </c>
      <c r="E156" s="12">
        <v>19373</v>
      </c>
      <c r="F156" s="12">
        <v>103402</v>
      </c>
      <c r="G156" s="12">
        <f t="shared" si="9"/>
        <v>210771</v>
      </c>
      <c r="H156" s="25">
        <f t="shared" si="10"/>
        <v>26346.375</v>
      </c>
      <c r="I156" s="25">
        <f t="shared" si="11"/>
        <v>34095.574999999997</v>
      </c>
      <c r="J156" s="25">
        <f t="shared" si="12"/>
        <v>7749.1999999999971</v>
      </c>
    </row>
    <row r="157" spans="1:10" x14ac:dyDescent="0.25">
      <c r="A157">
        <v>511</v>
      </c>
      <c r="B157">
        <v>1</v>
      </c>
      <c r="C157" t="s">
        <v>167</v>
      </c>
      <c r="D157" s="12">
        <v>25916</v>
      </c>
      <c r="E157" s="12">
        <v>12744</v>
      </c>
      <c r="F157" s="12">
        <v>54742</v>
      </c>
      <c r="G157" s="12">
        <f t="shared" si="9"/>
        <v>93402</v>
      </c>
      <c r="H157" s="25">
        <f t="shared" si="10"/>
        <v>11675.25</v>
      </c>
      <c r="I157" s="25">
        <f t="shared" si="11"/>
        <v>16772.849999999999</v>
      </c>
      <c r="J157" s="25">
        <f t="shared" si="12"/>
        <v>5097.5999999999985</v>
      </c>
    </row>
    <row r="158" spans="1:10" x14ac:dyDescent="0.25">
      <c r="A158">
        <v>514</v>
      </c>
      <c r="B158">
        <v>1</v>
      </c>
      <c r="C158" t="s">
        <v>168</v>
      </c>
      <c r="D158" s="12">
        <v>7575</v>
      </c>
      <c r="E158" s="12">
        <v>2694</v>
      </c>
      <c r="F158" s="12">
        <v>13366</v>
      </c>
      <c r="G158" s="12">
        <f t="shared" si="9"/>
        <v>23635</v>
      </c>
      <c r="H158" s="25">
        <f t="shared" si="10"/>
        <v>2954.375</v>
      </c>
      <c r="I158" s="25">
        <f t="shared" si="11"/>
        <v>4031.9750000000004</v>
      </c>
      <c r="J158" s="25">
        <f t="shared" si="12"/>
        <v>1077.6000000000004</v>
      </c>
    </row>
    <row r="159" spans="1:10" x14ac:dyDescent="0.25">
      <c r="A159">
        <v>518</v>
      </c>
      <c r="B159">
        <v>1</v>
      </c>
      <c r="C159" t="s">
        <v>169</v>
      </c>
      <c r="D159" s="12">
        <v>228351</v>
      </c>
      <c r="E159" s="12">
        <v>36344</v>
      </c>
      <c r="F159" s="12">
        <v>125064</v>
      </c>
      <c r="G159" s="12">
        <f t="shared" si="9"/>
        <v>389759</v>
      </c>
      <c r="H159" s="25">
        <f t="shared" si="10"/>
        <v>48719.875</v>
      </c>
      <c r="I159" s="25">
        <f t="shared" si="11"/>
        <v>63257.474999999999</v>
      </c>
      <c r="J159" s="25">
        <f t="shared" si="12"/>
        <v>14537.599999999999</v>
      </c>
    </row>
    <row r="160" spans="1:10" x14ac:dyDescent="0.25">
      <c r="A160">
        <v>531</v>
      </c>
      <c r="B160">
        <v>1</v>
      </c>
      <c r="C160" t="s">
        <v>170</v>
      </c>
      <c r="D160" s="12">
        <v>35028</v>
      </c>
      <c r="E160" s="12">
        <v>13525</v>
      </c>
      <c r="F160" s="12">
        <v>181289</v>
      </c>
      <c r="G160" s="12">
        <f t="shared" si="9"/>
        <v>229842</v>
      </c>
      <c r="H160" s="25">
        <f t="shared" si="10"/>
        <v>28730.25</v>
      </c>
      <c r="I160" s="25">
        <f t="shared" si="11"/>
        <v>34140.25</v>
      </c>
      <c r="J160" s="25">
        <f t="shared" si="12"/>
        <v>5410</v>
      </c>
    </row>
    <row r="161" spans="1:10" x14ac:dyDescent="0.25">
      <c r="A161">
        <v>533</v>
      </c>
      <c r="B161">
        <v>1</v>
      </c>
      <c r="C161" t="s">
        <v>171</v>
      </c>
      <c r="D161" s="12">
        <v>25359</v>
      </c>
      <c r="E161" s="12">
        <v>11286</v>
      </c>
      <c r="F161" s="12">
        <v>114940</v>
      </c>
      <c r="G161" s="12">
        <f t="shared" si="9"/>
        <v>151585</v>
      </c>
      <c r="H161" s="25">
        <f t="shared" si="10"/>
        <v>18948.125</v>
      </c>
      <c r="I161" s="25">
        <f t="shared" si="11"/>
        <v>23462.525000000001</v>
      </c>
      <c r="J161" s="25">
        <f t="shared" si="12"/>
        <v>4514.4000000000015</v>
      </c>
    </row>
    <row r="162" spans="1:10" x14ac:dyDescent="0.25">
      <c r="A162">
        <v>534</v>
      </c>
      <c r="B162">
        <v>1</v>
      </c>
      <c r="C162" t="s">
        <v>172</v>
      </c>
      <c r="D162" s="12">
        <v>51227</v>
      </c>
      <c r="E162" s="12">
        <v>20072</v>
      </c>
      <c r="F162" s="12">
        <v>147591</v>
      </c>
      <c r="G162" s="12">
        <f t="shared" si="9"/>
        <v>218890</v>
      </c>
      <c r="H162" s="25">
        <f t="shared" si="10"/>
        <v>27361.25</v>
      </c>
      <c r="I162" s="25">
        <f t="shared" si="11"/>
        <v>35390.050000000003</v>
      </c>
      <c r="J162" s="25">
        <f t="shared" si="12"/>
        <v>8028.8000000000029</v>
      </c>
    </row>
    <row r="163" spans="1:10" x14ac:dyDescent="0.25">
      <c r="A163">
        <v>535</v>
      </c>
      <c r="B163">
        <v>1</v>
      </c>
      <c r="C163" t="s">
        <v>173</v>
      </c>
      <c r="D163" s="12">
        <v>637727</v>
      </c>
      <c r="E163" s="12">
        <v>115423</v>
      </c>
      <c r="F163" s="12">
        <v>808443</v>
      </c>
      <c r="G163" s="12">
        <f t="shared" si="9"/>
        <v>1561593</v>
      </c>
      <c r="H163" s="25">
        <f t="shared" si="10"/>
        <v>195199.125</v>
      </c>
      <c r="I163" s="25">
        <f t="shared" si="11"/>
        <v>241368.32500000001</v>
      </c>
      <c r="J163" s="25">
        <f t="shared" si="12"/>
        <v>46169.200000000012</v>
      </c>
    </row>
    <row r="164" spans="1:10" x14ac:dyDescent="0.25">
      <c r="A164">
        <v>542</v>
      </c>
      <c r="B164">
        <v>1</v>
      </c>
      <c r="C164" t="s">
        <v>174</v>
      </c>
      <c r="D164" s="12">
        <v>19973</v>
      </c>
      <c r="E164" s="12">
        <v>7094</v>
      </c>
      <c r="F164" s="12">
        <v>39308</v>
      </c>
      <c r="G164" s="12">
        <f t="shared" si="9"/>
        <v>66375</v>
      </c>
      <c r="H164" s="25">
        <f t="shared" si="10"/>
        <v>8296.875</v>
      </c>
      <c r="I164" s="25">
        <f t="shared" si="11"/>
        <v>11134.475</v>
      </c>
      <c r="J164" s="25">
        <f t="shared" si="12"/>
        <v>2837.6000000000004</v>
      </c>
    </row>
    <row r="165" spans="1:10" x14ac:dyDescent="0.25">
      <c r="A165">
        <v>544</v>
      </c>
      <c r="B165">
        <v>1</v>
      </c>
      <c r="C165" t="s">
        <v>175</v>
      </c>
      <c r="D165" s="12">
        <v>88308</v>
      </c>
      <c r="E165" s="12">
        <v>25242</v>
      </c>
      <c r="F165" s="12">
        <v>114417</v>
      </c>
      <c r="G165" s="12">
        <f t="shared" si="9"/>
        <v>227967</v>
      </c>
      <c r="H165" s="25">
        <f t="shared" si="10"/>
        <v>28495.875</v>
      </c>
      <c r="I165" s="25">
        <f t="shared" si="11"/>
        <v>38592.675000000003</v>
      </c>
      <c r="J165" s="25">
        <f t="shared" si="12"/>
        <v>10096.800000000003</v>
      </c>
    </row>
    <row r="166" spans="1:10" x14ac:dyDescent="0.25">
      <c r="A166">
        <v>545</v>
      </c>
      <c r="B166">
        <v>1</v>
      </c>
      <c r="C166" t="s">
        <v>176</v>
      </c>
      <c r="D166" s="12">
        <v>18614</v>
      </c>
      <c r="E166" s="12">
        <v>7458</v>
      </c>
      <c r="F166" s="12">
        <v>24014</v>
      </c>
      <c r="G166" s="12">
        <f t="shared" si="9"/>
        <v>50086</v>
      </c>
      <c r="H166" s="25">
        <f t="shared" si="10"/>
        <v>6260.75</v>
      </c>
      <c r="I166" s="25">
        <f t="shared" si="11"/>
        <v>9243.9500000000007</v>
      </c>
      <c r="J166" s="25">
        <f t="shared" si="12"/>
        <v>2983.2000000000007</v>
      </c>
    </row>
    <row r="167" spans="1:10" x14ac:dyDescent="0.25">
      <c r="A167">
        <v>547</v>
      </c>
      <c r="B167">
        <v>1</v>
      </c>
      <c r="C167" t="s">
        <v>177</v>
      </c>
      <c r="D167" s="12">
        <v>18986</v>
      </c>
      <c r="E167" s="12">
        <v>10066</v>
      </c>
      <c r="F167" s="12">
        <v>41816</v>
      </c>
      <c r="G167" s="12">
        <f t="shared" si="9"/>
        <v>70868</v>
      </c>
      <c r="H167" s="25">
        <f t="shared" si="10"/>
        <v>8858.5</v>
      </c>
      <c r="I167" s="25">
        <f t="shared" si="11"/>
        <v>12884.9</v>
      </c>
      <c r="J167" s="25">
        <f t="shared" si="12"/>
        <v>4026.3999999999996</v>
      </c>
    </row>
    <row r="168" spans="1:10" x14ac:dyDescent="0.25">
      <c r="A168">
        <v>548</v>
      </c>
      <c r="B168">
        <v>1</v>
      </c>
      <c r="C168" t="s">
        <v>178</v>
      </c>
      <c r="D168" s="12">
        <v>49236</v>
      </c>
      <c r="E168" s="12">
        <v>12787</v>
      </c>
      <c r="F168" s="12">
        <v>46457</v>
      </c>
      <c r="G168" s="12">
        <f t="shared" si="9"/>
        <v>108480</v>
      </c>
      <c r="H168" s="25">
        <f t="shared" si="10"/>
        <v>13560</v>
      </c>
      <c r="I168" s="25">
        <f t="shared" si="11"/>
        <v>18674.8</v>
      </c>
      <c r="J168" s="25">
        <f t="shared" si="12"/>
        <v>5114.7999999999993</v>
      </c>
    </row>
    <row r="169" spans="1:10" x14ac:dyDescent="0.25">
      <c r="A169">
        <v>549</v>
      </c>
      <c r="B169">
        <v>1</v>
      </c>
      <c r="C169" t="s">
        <v>179</v>
      </c>
      <c r="D169" s="12">
        <v>60635</v>
      </c>
      <c r="E169" s="12">
        <v>21967</v>
      </c>
      <c r="F169" s="12">
        <v>105316</v>
      </c>
      <c r="G169" s="12">
        <f t="shared" si="9"/>
        <v>187918</v>
      </c>
      <c r="H169" s="25">
        <f t="shared" si="10"/>
        <v>23489.75</v>
      </c>
      <c r="I169" s="25">
        <f t="shared" si="11"/>
        <v>32276.550000000003</v>
      </c>
      <c r="J169" s="25">
        <f t="shared" si="12"/>
        <v>8786.8000000000029</v>
      </c>
    </row>
    <row r="170" spans="1:10" x14ac:dyDescent="0.25">
      <c r="A170">
        <v>550</v>
      </c>
      <c r="B170">
        <v>1</v>
      </c>
      <c r="C170" t="s">
        <v>180</v>
      </c>
      <c r="D170" s="12">
        <v>30137</v>
      </c>
      <c r="E170" s="12">
        <v>15778</v>
      </c>
      <c r="F170" s="12">
        <v>42027</v>
      </c>
      <c r="G170" s="12">
        <f t="shared" si="9"/>
        <v>87942</v>
      </c>
      <c r="H170" s="25">
        <f t="shared" si="10"/>
        <v>10992.75</v>
      </c>
      <c r="I170" s="25">
        <f t="shared" si="11"/>
        <v>17303.95</v>
      </c>
      <c r="J170" s="25">
        <f t="shared" si="12"/>
        <v>6311.2000000000007</v>
      </c>
    </row>
    <row r="171" spans="1:10" x14ac:dyDescent="0.25">
      <c r="A171">
        <v>553</v>
      </c>
      <c r="B171">
        <v>1</v>
      </c>
      <c r="C171" t="s">
        <v>181</v>
      </c>
      <c r="D171" s="12">
        <v>29314</v>
      </c>
      <c r="E171" s="12">
        <v>13528</v>
      </c>
      <c r="F171" s="12">
        <v>54270</v>
      </c>
      <c r="G171" s="12">
        <f t="shared" si="9"/>
        <v>97112</v>
      </c>
      <c r="H171" s="25">
        <f t="shared" si="10"/>
        <v>12139</v>
      </c>
      <c r="I171" s="25">
        <f t="shared" si="11"/>
        <v>17550.2</v>
      </c>
      <c r="J171" s="25">
        <f t="shared" si="12"/>
        <v>5411.2000000000007</v>
      </c>
    </row>
    <row r="172" spans="1:10" x14ac:dyDescent="0.25">
      <c r="A172">
        <v>561</v>
      </c>
      <c r="B172">
        <v>1</v>
      </c>
      <c r="C172" t="s">
        <v>182</v>
      </c>
      <c r="D172" s="12">
        <v>8910</v>
      </c>
      <c r="E172" s="12">
        <v>3812</v>
      </c>
      <c r="F172" s="12">
        <v>15720</v>
      </c>
      <c r="G172" s="12">
        <f t="shared" si="9"/>
        <v>28442</v>
      </c>
      <c r="H172" s="25">
        <f t="shared" si="10"/>
        <v>3555.25</v>
      </c>
      <c r="I172" s="25">
        <f t="shared" si="11"/>
        <v>5080.05</v>
      </c>
      <c r="J172" s="25">
        <f t="shared" si="12"/>
        <v>1524.8000000000002</v>
      </c>
    </row>
    <row r="173" spans="1:10" x14ac:dyDescent="0.25">
      <c r="A173">
        <v>564</v>
      </c>
      <c r="B173">
        <v>1</v>
      </c>
      <c r="C173" t="s">
        <v>183</v>
      </c>
      <c r="D173" s="12">
        <v>70082</v>
      </c>
      <c r="E173" s="12">
        <v>23127</v>
      </c>
      <c r="F173" s="12">
        <v>119211</v>
      </c>
      <c r="G173" s="12">
        <f t="shared" si="9"/>
        <v>212420</v>
      </c>
      <c r="H173" s="25">
        <f t="shared" si="10"/>
        <v>26552.5</v>
      </c>
      <c r="I173" s="25">
        <f t="shared" si="11"/>
        <v>35803.300000000003</v>
      </c>
      <c r="J173" s="25">
        <f t="shared" si="12"/>
        <v>9250.8000000000029</v>
      </c>
    </row>
    <row r="174" spans="1:10" x14ac:dyDescent="0.25">
      <c r="A174">
        <v>577</v>
      </c>
      <c r="B174">
        <v>1</v>
      </c>
      <c r="C174" t="s">
        <v>184</v>
      </c>
      <c r="D174" s="12">
        <v>23689</v>
      </c>
      <c r="E174" s="12">
        <v>4768</v>
      </c>
      <c r="F174" s="12">
        <v>25685</v>
      </c>
      <c r="G174" s="12">
        <f t="shared" si="9"/>
        <v>54142</v>
      </c>
      <c r="H174" s="25">
        <f t="shared" si="10"/>
        <v>6767.75</v>
      </c>
      <c r="I174" s="25">
        <f t="shared" si="11"/>
        <v>8674.9500000000007</v>
      </c>
      <c r="J174" s="25">
        <f t="shared" si="12"/>
        <v>1907.2000000000007</v>
      </c>
    </row>
    <row r="175" spans="1:10" x14ac:dyDescent="0.25">
      <c r="A175">
        <v>578</v>
      </c>
      <c r="B175">
        <v>1</v>
      </c>
      <c r="C175" t="s">
        <v>185</v>
      </c>
      <c r="D175" s="12">
        <v>80367</v>
      </c>
      <c r="E175" s="12">
        <v>18733</v>
      </c>
      <c r="F175" s="12">
        <v>95127</v>
      </c>
      <c r="G175" s="12">
        <f t="shared" si="9"/>
        <v>194227</v>
      </c>
      <c r="H175" s="25">
        <f t="shared" si="10"/>
        <v>24278.375</v>
      </c>
      <c r="I175" s="25">
        <f t="shared" si="11"/>
        <v>31771.575000000001</v>
      </c>
      <c r="J175" s="25">
        <f t="shared" si="12"/>
        <v>7493.2000000000007</v>
      </c>
    </row>
    <row r="176" spans="1:10" x14ac:dyDescent="0.25">
      <c r="A176">
        <v>581</v>
      </c>
      <c r="B176">
        <v>1</v>
      </c>
      <c r="C176" t="s">
        <v>186</v>
      </c>
      <c r="D176" s="12">
        <v>15006</v>
      </c>
      <c r="E176" s="12">
        <v>7461</v>
      </c>
      <c r="F176" s="12">
        <v>28242</v>
      </c>
      <c r="G176" s="12">
        <f t="shared" si="9"/>
        <v>50709</v>
      </c>
      <c r="H176" s="25">
        <f t="shared" si="10"/>
        <v>6338.625</v>
      </c>
      <c r="I176" s="25">
        <f t="shared" si="11"/>
        <v>9323.0249999999996</v>
      </c>
      <c r="J176" s="25">
        <f t="shared" si="12"/>
        <v>2984.3999999999996</v>
      </c>
    </row>
    <row r="177" spans="1:10" x14ac:dyDescent="0.25">
      <c r="A177">
        <v>592</v>
      </c>
      <c r="B177">
        <v>1</v>
      </c>
      <c r="C177" t="s">
        <v>187</v>
      </c>
      <c r="D177" s="12">
        <v>13810</v>
      </c>
      <c r="E177" s="12">
        <v>3141</v>
      </c>
      <c r="F177" s="12">
        <v>9282</v>
      </c>
      <c r="G177" s="12">
        <f t="shared" si="9"/>
        <v>26233</v>
      </c>
      <c r="H177" s="25">
        <f t="shared" si="10"/>
        <v>3279.125</v>
      </c>
      <c r="I177" s="25">
        <f t="shared" si="11"/>
        <v>4535.5249999999996</v>
      </c>
      <c r="J177" s="25">
        <f t="shared" si="12"/>
        <v>1256.3999999999996</v>
      </c>
    </row>
    <row r="178" spans="1:10" x14ac:dyDescent="0.25">
      <c r="A178">
        <v>593</v>
      </c>
      <c r="B178">
        <v>1</v>
      </c>
      <c r="C178" t="s">
        <v>188</v>
      </c>
      <c r="D178" s="12">
        <v>61683</v>
      </c>
      <c r="E178" s="12">
        <v>12470</v>
      </c>
      <c r="F178" s="12">
        <v>80019</v>
      </c>
      <c r="G178" s="12">
        <f t="shared" si="9"/>
        <v>154172</v>
      </c>
      <c r="H178" s="25">
        <f t="shared" si="10"/>
        <v>19271.5</v>
      </c>
      <c r="I178" s="25">
        <f t="shared" si="11"/>
        <v>24259.5</v>
      </c>
      <c r="J178" s="25">
        <f t="shared" si="12"/>
        <v>4988</v>
      </c>
    </row>
    <row r="179" spans="1:10" x14ac:dyDescent="0.25">
      <c r="A179">
        <v>595</v>
      </c>
      <c r="B179">
        <v>1</v>
      </c>
      <c r="C179" t="s">
        <v>189</v>
      </c>
      <c r="D179" s="12">
        <v>56552</v>
      </c>
      <c r="E179" s="12">
        <v>16514</v>
      </c>
      <c r="F179" s="12">
        <v>139207</v>
      </c>
      <c r="G179" s="12">
        <f t="shared" si="9"/>
        <v>212273</v>
      </c>
      <c r="H179" s="25">
        <f t="shared" si="10"/>
        <v>26534.125</v>
      </c>
      <c r="I179" s="25">
        <f t="shared" si="11"/>
        <v>33139.724999999999</v>
      </c>
      <c r="J179" s="25">
        <f t="shared" si="12"/>
        <v>6605.5999999999985</v>
      </c>
    </row>
    <row r="180" spans="1:10" x14ac:dyDescent="0.25">
      <c r="A180">
        <v>599</v>
      </c>
      <c r="B180">
        <v>1</v>
      </c>
      <c r="C180" t="s">
        <v>190</v>
      </c>
      <c r="D180" s="12">
        <v>15413</v>
      </c>
      <c r="E180" s="12">
        <v>6806</v>
      </c>
      <c r="F180" s="12">
        <v>36148</v>
      </c>
      <c r="G180" s="12">
        <f t="shared" si="9"/>
        <v>58367</v>
      </c>
      <c r="H180" s="25">
        <f t="shared" si="10"/>
        <v>7295.875</v>
      </c>
      <c r="I180" s="25">
        <f t="shared" si="11"/>
        <v>10018.275</v>
      </c>
      <c r="J180" s="25">
        <f t="shared" si="12"/>
        <v>2722.3999999999996</v>
      </c>
    </row>
    <row r="181" spans="1:10" x14ac:dyDescent="0.25">
      <c r="A181">
        <v>600</v>
      </c>
      <c r="B181">
        <v>1</v>
      </c>
      <c r="C181" t="s">
        <v>191</v>
      </c>
      <c r="D181" s="12">
        <v>10730</v>
      </c>
      <c r="E181" s="12">
        <v>3166</v>
      </c>
      <c r="F181" s="12">
        <v>19266</v>
      </c>
      <c r="G181" s="12">
        <f t="shared" si="9"/>
        <v>33162</v>
      </c>
      <c r="H181" s="25">
        <f t="shared" si="10"/>
        <v>4145.25</v>
      </c>
      <c r="I181" s="25">
        <f t="shared" si="11"/>
        <v>5411.65</v>
      </c>
      <c r="J181" s="25">
        <f t="shared" si="12"/>
        <v>1266.3999999999996</v>
      </c>
    </row>
    <row r="182" spans="1:10" x14ac:dyDescent="0.25">
      <c r="A182">
        <v>601</v>
      </c>
      <c r="B182">
        <v>1</v>
      </c>
      <c r="C182" t="s">
        <v>192</v>
      </c>
      <c r="D182" s="12">
        <v>31339</v>
      </c>
      <c r="E182" s="12">
        <v>9443</v>
      </c>
      <c r="F182" s="12">
        <v>40732</v>
      </c>
      <c r="G182" s="12">
        <f t="shared" si="9"/>
        <v>81514</v>
      </c>
      <c r="H182" s="25">
        <f t="shared" si="10"/>
        <v>10189.25</v>
      </c>
      <c r="I182" s="25">
        <f t="shared" si="11"/>
        <v>13966.45</v>
      </c>
      <c r="J182" s="25">
        <f t="shared" si="12"/>
        <v>3777.2000000000007</v>
      </c>
    </row>
    <row r="183" spans="1:10" x14ac:dyDescent="0.25">
      <c r="A183">
        <v>621</v>
      </c>
      <c r="B183">
        <v>1</v>
      </c>
      <c r="C183" t="s">
        <v>193</v>
      </c>
      <c r="D183" s="12">
        <v>335564</v>
      </c>
      <c r="E183" s="12">
        <v>80856</v>
      </c>
      <c r="F183" s="12">
        <v>611297</v>
      </c>
      <c r="G183" s="12">
        <f t="shared" si="9"/>
        <v>1027717</v>
      </c>
      <c r="H183" s="25">
        <f t="shared" si="10"/>
        <v>128464.625</v>
      </c>
      <c r="I183" s="25">
        <f t="shared" si="11"/>
        <v>160807.02499999999</v>
      </c>
      <c r="J183" s="25">
        <f t="shared" si="12"/>
        <v>32342.399999999994</v>
      </c>
    </row>
    <row r="184" spans="1:10" x14ac:dyDescent="0.25">
      <c r="A184">
        <v>622</v>
      </c>
      <c r="B184">
        <v>1</v>
      </c>
      <c r="C184" t="s">
        <v>194</v>
      </c>
      <c r="D184" s="12">
        <v>581197</v>
      </c>
      <c r="E184" s="12">
        <v>146522</v>
      </c>
      <c r="F184" s="12">
        <v>564484</v>
      </c>
      <c r="G184" s="12">
        <f t="shared" si="9"/>
        <v>1292203</v>
      </c>
      <c r="H184" s="25">
        <f t="shared" si="10"/>
        <v>161525.375</v>
      </c>
      <c r="I184" s="25">
        <f t="shared" si="11"/>
        <v>220134.17499999999</v>
      </c>
      <c r="J184" s="25">
        <f t="shared" si="12"/>
        <v>58608.799999999988</v>
      </c>
    </row>
    <row r="185" spans="1:10" x14ac:dyDescent="0.25">
      <c r="A185">
        <v>623</v>
      </c>
      <c r="B185">
        <v>1</v>
      </c>
      <c r="C185" t="s">
        <v>195</v>
      </c>
      <c r="D185" s="12">
        <v>366425</v>
      </c>
      <c r="E185" s="12">
        <v>72404</v>
      </c>
      <c r="F185" s="12">
        <v>314553</v>
      </c>
      <c r="G185" s="12">
        <f t="shared" si="9"/>
        <v>753382</v>
      </c>
      <c r="H185" s="25">
        <f t="shared" si="10"/>
        <v>94172.75</v>
      </c>
      <c r="I185" s="25">
        <f t="shared" si="11"/>
        <v>123134.35</v>
      </c>
      <c r="J185" s="25">
        <f t="shared" si="12"/>
        <v>28961.600000000006</v>
      </c>
    </row>
    <row r="186" spans="1:10" x14ac:dyDescent="0.25">
      <c r="A186">
        <v>624</v>
      </c>
      <c r="B186">
        <v>1</v>
      </c>
      <c r="C186" t="s">
        <v>196</v>
      </c>
      <c r="D186" s="12">
        <v>247362</v>
      </c>
      <c r="E186" s="12">
        <v>80789</v>
      </c>
      <c r="F186" s="12">
        <v>505072</v>
      </c>
      <c r="G186" s="12">
        <f t="shared" si="9"/>
        <v>833223</v>
      </c>
      <c r="H186" s="25">
        <f t="shared" si="10"/>
        <v>104152.875</v>
      </c>
      <c r="I186" s="25">
        <f t="shared" si="11"/>
        <v>136468.47500000001</v>
      </c>
      <c r="J186" s="25">
        <f t="shared" si="12"/>
        <v>32315.600000000006</v>
      </c>
    </row>
    <row r="187" spans="1:10" x14ac:dyDescent="0.25">
      <c r="A187">
        <v>625</v>
      </c>
      <c r="B187">
        <v>1</v>
      </c>
      <c r="C187" t="s">
        <v>197</v>
      </c>
      <c r="D187" s="12">
        <v>3720669</v>
      </c>
      <c r="E187" s="12">
        <v>385114</v>
      </c>
      <c r="F187" s="12">
        <v>861007</v>
      </c>
      <c r="G187" s="12">
        <f t="shared" si="9"/>
        <v>4966790</v>
      </c>
      <c r="H187" s="25">
        <f t="shared" si="10"/>
        <v>620848.75</v>
      </c>
      <c r="I187" s="25">
        <f t="shared" si="11"/>
        <v>774894.35</v>
      </c>
      <c r="J187" s="25">
        <f t="shared" si="12"/>
        <v>154045.59999999998</v>
      </c>
    </row>
    <row r="188" spans="1:10" x14ac:dyDescent="0.25">
      <c r="A188">
        <v>630</v>
      </c>
      <c r="B188">
        <v>1</v>
      </c>
      <c r="C188" t="s">
        <v>198</v>
      </c>
      <c r="D188" s="12">
        <v>12685</v>
      </c>
      <c r="E188" s="12">
        <v>7650</v>
      </c>
      <c r="F188" s="12">
        <v>33851</v>
      </c>
      <c r="G188" s="12">
        <f t="shared" si="9"/>
        <v>54186</v>
      </c>
      <c r="H188" s="25">
        <f t="shared" si="10"/>
        <v>6773.25</v>
      </c>
      <c r="I188" s="25">
        <f t="shared" si="11"/>
        <v>9833.25</v>
      </c>
      <c r="J188" s="25">
        <f t="shared" si="12"/>
        <v>3060</v>
      </c>
    </row>
    <row r="189" spans="1:10" x14ac:dyDescent="0.25">
      <c r="A189">
        <v>635</v>
      </c>
      <c r="B189">
        <v>1</v>
      </c>
      <c r="C189" t="s">
        <v>199</v>
      </c>
      <c r="D189" s="12">
        <v>3225</v>
      </c>
      <c r="E189" s="12">
        <v>1865</v>
      </c>
      <c r="F189" s="12">
        <v>5967</v>
      </c>
      <c r="G189" s="12">
        <f t="shared" si="9"/>
        <v>11057</v>
      </c>
      <c r="H189" s="25">
        <f t="shared" si="10"/>
        <v>1382.125</v>
      </c>
      <c r="I189" s="25">
        <f t="shared" si="11"/>
        <v>2128.125</v>
      </c>
      <c r="J189" s="25">
        <f t="shared" si="12"/>
        <v>746</v>
      </c>
    </row>
    <row r="190" spans="1:10" x14ac:dyDescent="0.25">
      <c r="A190">
        <v>640</v>
      </c>
      <c r="B190">
        <v>1</v>
      </c>
      <c r="C190" t="s">
        <v>200</v>
      </c>
      <c r="D190" s="12">
        <v>10709</v>
      </c>
      <c r="E190" s="12">
        <v>6732</v>
      </c>
      <c r="F190" s="12">
        <v>38775</v>
      </c>
      <c r="G190" s="12">
        <f t="shared" si="9"/>
        <v>56216</v>
      </c>
      <c r="H190" s="25">
        <f t="shared" si="10"/>
        <v>7027</v>
      </c>
      <c r="I190" s="25">
        <f t="shared" si="11"/>
        <v>9719.7999999999993</v>
      </c>
      <c r="J190" s="25">
        <f t="shared" si="12"/>
        <v>2692.7999999999993</v>
      </c>
    </row>
    <row r="191" spans="1:10" x14ac:dyDescent="0.25">
      <c r="A191">
        <v>656</v>
      </c>
      <c r="B191">
        <v>1</v>
      </c>
      <c r="C191" t="s">
        <v>201</v>
      </c>
      <c r="D191" s="12">
        <v>247557</v>
      </c>
      <c r="E191" s="12">
        <v>40903</v>
      </c>
      <c r="F191" s="12">
        <v>174172</v>
      </c>
      <c r="G191" s="12">
        <f t="shared" si="9"/>
        <v>462632</v>
      </c>
      <c r="H191" s="25">
        <f t="shared" si="10"/>
        <v>57829</v>
      </c>
      <c r="I191" s="25">
        <f t="shared" si="11"/>
        <v>74190.2</v>
      </c>
      <c r="J191" s="25">
        <f t="shared" si="12"/>
        <v>16361.199999999997</v>
      </c>
    </row>
    <row r="192" spans="1:10" x14ac:dyDescent="0.25">
      <c r="A192">
        <v>659</v>
      </c>
      <c r="B192">
        <v>1</v>
      </c>
      <c r="C192" t="s">
        <v>202</v>
      </c>
      <c r="D192" s="12">
        <v>107703</v>
      </c>
      <c r="E192" s="12">
        <v>26371</v>
      </c>
      <c r="F192" s="12">
        <v>234524</v>
      </c>
      <c r="G192" s="12">
        <f t="shared" si="9"/>
        <v>368598</v>
      </c>
      <c r="H192" s="25">
        <f t="shared" si="10"/>
        <v>46074.75</v>
      </c>
      <c r="I192" s="25">
        <f t="shared" si="11"/>
        <v>56623.15</v>
      </c>
      <c r="J192" s="25">
        <f t="shared" si="12"/>
        <v>10548.400000000001</v>
      </c>
    </row>
    <row r="193" spans="1:10" x14ac:dyDescent="0.25">
      <c r="A193">
        <v>671</v>
      </c>
      <c r="B193">
        <v>1</v>
      </c>
      <c r="C193" t="s">
        <v>203</v>
      </c>
      <c r="D193" s="12">
        <v>10499</v>
      </c>
      <c r="E193" s="12">
        <v>6331</v>
      </c>
      <c r="F193" s="12">
        <v>31313</v>
      </c>
      <c r="G193" s="12">
        <f t="shared" si="9"/>
        <v>48143</v>
      </c>
      <c r="H193" s="25">
        <f t="shared" si="10"/>
        <v>6017.875</v>
      </c>
      <c r="I193" s="25">
        <f t="shared" si="11"/>
        <v>8550.2749999999996</v>
      </c>
      <c r="J193" s="25">
        <f t="shared" si="12"/>
        <v>2532.3999999999996</v>
      </c>
    </row>
    <row r="194" spans="1:10" x14ac:dyDescent="0.25">
      <c r="A194">
        <v>676</v>
      </c>
      <c r="B194">
        <v>1</v>
      </c>
      <c r="C194" t="s">
        <v>204</v>
      </c>
      <c r="D194" s="12">
        <v>10181</v>
      </c>
      <c r="E194" s="12">
        <v>8944</v>
      </c>
      <c r="F194" s="12">
        <v>16891</v>
      </c>
      <c r="G194" s="12">
        <f t="shared" si="9"/>
        <v>36016</v>
      </c>
      <c r="H194" s="25">
        <f t="shared" si="10"/>
        <v>4502</v>
      </c>
      <c r="I194" s="25">
        <f t="shared" si="11"/>
        <v>8079.6</v>
      </c>
      <c r="J194" s="25">
        <f t="shared" si="12"/>
        <v>3577.6000000000004</v>
      </c>
    </row>
    <row r="195" spans="1:10" x14ac:dyDescent="0.25">
      <c r="A195">
        <v>682</v>
      </c>
      <c r="B195">
        <v>1</v>
      </c>
      <c r="C195" t="s">
        <v>205</v>
      </c>
      <c r="D195" s="12">
        <v>28648</v>
      </c>
      <c r="E195" s="12">
        <v>14821</v>
      </c>
      <c r="F195" s="12">
        <v>90792</v>
      </c>
      <c r="G195" s="12">
        <f t="shared" si="9"/>
        <v>134261</v>
      </c>
      <c r="H195" s="25">
        <f t="shared" si="10"/>
        <v>16782.625</v>
      </c>
      <c r="I195" s="25">
        <f t="shared" si="11"/>
        <v>22711.025000000001</v>
      </c>
      <c r="J195" s="25">
        <f t="shared" si="12"/>
        <v>5928.4000000000015</v>
      </c>
    </row>
    <row r="196" spans="1:10" x14ac:dyDescent="0.25">
      <c r="A196">
        <v>690</v>
      </c>
      <c r="B196">
        <v>1</v>
      </c>
      <c r="C196" t="s">
        <v>206</v>
      </c>
      <c r="D196" s="12">
        <v>41360</v>
      </c>
      <c r="E196" s="12">
        <v>18264</v>
      </c>
      <c r="F196" s="12">
        <v>61538</v>
      </c>
      <c r="G196" s="12">
        <f t="shared" si="9"/>
        <v>121162</v>
      </c>
      <c r="H196" s="25">
        <f t="shared" si="10"/>
        <v>15145.25</v>
      </c>
      <c r="I196" s="25">
        <f t="shared" si="11"/>
        <v>22450.85</v>
      </c>
      <c r="J196" s="25">
        <f t="shared" si="12"/>
        <v>7305.5999999999985</v>
      </c>
    </row>
    <row r="197" spans="1:10" x14ac:dyDescent="0.25">
      <c r="A197">
        <v>695</v>
      </c>
      <c r="B197">
        <v>1</v>
      </c>
      <c r="C197" t="s">
        <v>207</v>
      </c>
      <c r="D197" s="12">
        <v>33784</v>
      </c>
      <c r="E197" s="12">
        <v>7730</v>
      </c>
      <c r="F197" s="12">
        <v>25011</v>
      </c>
      <c r="G197" s="12">
        <f t="shared" si="9"/>
        <v>66525</v>
      </c>
      <c r="H197" s="25">
        <f t="shared" si="10"/>
        <v>8315.625</v>
      </c>
      <c r="I197" s="25">
        <f t="shared" si="11"/>
        <v>11407.625</v>
      </c>
      <c r="J197" s="25">
        <f t="shared" si="12"/>
        <v>3092</v>
      </c>
    </row>
    <row r="198" spans="1:10" x14ac:dyDescent="0.25">
      <c r="A198">
        <v>696</v>
      </c>
      <c r="B198">
        <v>1</v>
      </c>
      <c r="C198" t="s">
        <v>208</v>
      </c>
      <c r="D198" s="12">
        <v>17396</v>
      </c>
      <c r="E198" s="12">
        <v>6496</v>
      </c>
      <c r="F198" s="12">
        <v>22017</v>
      </c>
      <c r="G198" s="12">
        <f t="shared" si="9"/>
        <v>45909</v>
      </c>
      <c r="H198" s="25">
        <f t="shared" si="10"/>
        <v>5738.625</v>
      </c>
      <c r="I198" s="25">
        <f t="shared" si="11"/>
        <v>8337.0249999999996</v>
      </c>
      <c r="J198" s="25">
        <f t="shared" si="12"/>
        <v>2598.3999999999996</v>
      </c>
    </row>
    <row r="199" spans="1:10" x14ac:dyDescent="0.25">
      <c r="A199">
        <v>698</v>
      </c>
      <c r="B199">
        <v>1</v>
      </c>
      <c r="C199" t="s">
        <v>209</v>
      </c>
      <c r="D199" s="12">
        <v>10040</v>
      </c>
      <c r="E199" s="12">
        <v>4976</v>
      </c>
      <c r="F199" s="12">
        <v>11261</v>
      </c>
      <c r="G199" s="12">
        <f t="shared" si="9"/>
        <v>26277</v>
      </c>
      <c r="H199" s="25">
        <f t="shared" si="10"/>
        <v>3284.625</v>
      </c>
      <c r="I199" s="25">
        <f t="shared" si="11"/>
        <v>5275.0249999999996</v>
      </c>
      <c r="J199" s="25">
        <f t="shared" si="12"/>
        <v>1990.3999999999996</v>
      </c>
    </row>
    <row r="200" spans="1:10" x14ac:dyDescent="0.25">
      <c r="A200">
        <v>700</v>
      </c>
      <c r="B200">
        <v>1</v>
      </c>
      <c r="C200" t="s">
        <v>210</v>
      </c>
      <c r="D200" s="12">
        <v>32220</v>
      </c>
      <c r="E200" s="12">
        <v>7120</v>
      </c>
      <c r="F200" s="12">
        <v>122541</v>
      </c>
      <c r="G200" s="12">
        <f t="shared" ref="G200:G263" si="13">SUM(D200:F200)</f>
        <v>161881</v>
      </c>
      <c r="H200" s="25">
        <f t="shared" ref="H200:H263" si="14">G200*0.125</f>
        <v>20235.125</v>
      </c>
      <c r="I200" s="25">
        <f t="shared" ref="I200:I263" si="15">H200+0.4*E200</f>
        <v>23083.125</v>
      </c>
      <c r="J200" s="25">
        <f t="shared" ref="J200:J263" si="16">I200-H200</f>
        <v>2848</v>
      </c>
    </row>
    <row r="201" spans="1:10" x14ac:dyDescent="0.25">
      <c r="A201">
        <v>701</v>
      </c>
      <c r="B201">
        <v>1</v>
      </c>
      <c r="C201" t="s">
        <v>211</v>
      </c>
      <c r="D201" s="12">
        <v>110449</v>
      </c>
      <c r="E201" s="12">
        <v>27303</v>
      </c>
      <c r="F201" s="12">
        <v>111444</v>
      </c>
      <c r="G201" s="12">
        <f t="shared" si="13"/>
        <v>249196</v>
      </c>
      <c r="H201" s="25">
        <f t="shared" si="14"/>
        <v>31149.5</v>
      </c>
      <c r="I201" s="25">
        <f t="shared" si="15"/>
        <v>42070.7</v>
      </c>
      <c r="J201" s="25">
        <f t="shared" si="16"/>
        <v>10921.199999999997</v>
      </c>
    </row>
    <row r="202" spans="1:10" x14ac:dyDescent="0.25">
      <c r="A202">
        <v>704</v>
      </c>
      <c r="B202">
        <v>1</v>
      </c>
      <c r="C202" t="s">
        <v>212</v>
      </c>
      <c r="D202" s="12">
        <v>54432</v>
      </c>
      <c r="E202" s="12">
        <v>14540</v>
      </c>
      <c r="F202" s="12">
        <v>103901</v>
      </c>
      <c r="G202" s="12">
        <f t="shared" si="13"/>
        <v>172873</v>
      </c>
      <c r="H202" s="25">
        <f t="shared" si="14"/>
        <v>21609.125</v>
      </c>
      <c r="I202" s="25">
        <f t="shared" si="15"/>
        <v>27425.125</v>
      </c>
      <c r="J202" s="25">
        <f t="shared" si="16"/>
        <v>5816</v>
      </c>
    </row>
    <row r="203" spans="1:10" x14ac:dyDescent="0.25">
      <c r="A203">
        <v>706</v>
      </c>
      <c r="B203">
        <v>1</v>
      </c>
      <c r="C203" t="s">
        <v>213</v>
      </c>
      <c r="D203" s="12">
        <v>75445</v>
      </c>
      <c r="E203" s="12">
        <v>19005</v>
      </c>
      <c r="F203" s="12">
        <v>95208</v>
      </c>
      <c r="G203" s="12">
        <f t="shared" si="13"/>
        <v>189658</v>
      </c>
      <c r="H203" s="25">
        <f t="shared" si="14"/>
        <v>23707.25</v>
      </c>
      <c r="I203" s="25">
        <f t="shared" si="15"/>
        <v>31309.25</v>
      </c>
      <c r="J203" s="25">
        <f t="shared" si="16"/>
        <v>7602</v>
      </c>
    </row>
    <row r="204" spans="1:10" x14ac:dyDescent="0.25">
      <c r="A204">
        <v>707</v>
      </c>
      <c r="B204">
        <v>1</v>
      </c>
      <c r="C204" t="s">
        <v>214</v>
      </c>
      <c r="D204" s="12">
        <v>7643</v>
      </c>
      <c r="E204" s="12">
        <v>918</v>
      </c>
      <c r="F204" s="12">
        <v>3568</v>
      </c>
      <c r="G204" s="12">
        <f t="shared" si="13"/>
        <v>12129</v>
      </c>
      <c r="H204" s="25">
        <f t="shared" si="14"/>
        <v>1516.125</v>
      </c>
      <c r="I204" s="25">
        <f t="shared" si="15"/>
        <v>1883.325</v>
      </c>
      <c r="J204" s="25">
        <f t="shared" si="16"/>
        <v>367.20000000000005</v>
      </c>
    </row>
    <row r="205" spans="1:10" x14ac:dyDescent="0.25">
      <c r="A205">
        <v>709</v>
      </c>
      <c r="B205">
        <v>1</v>
      </c>
      <c r="C205" t="s">
        <v>215</v>
      </c>
      <c r="D205" s="12">
        <v>412623</v>
      </c>
      <c r="E205" s="12">
        <v>55070</v>
      </c>
      <c r="F205" s="12">
        <v>254444</v>
      </c>
      <c r="G205" s="12">
        <f t="shared" si="13"/>
        <v>722137</v>
      </c>
      <c r="H205" s="25">
        <f t="shared" si="14"/>
        <v>90267.125</v>
      </c>
      <c r="I205" s="25">
        <f t="shared" si="15"/>
        <v>112295.125</v>
      </c>
      <c r="J205" s="25">
        <f t="shared" si="16"/>
        <v>22028</v>
      </c>
    </row>
    <row r="206" spans="1:10" x14ac:dyDescent="0.25">
      <c r="A206">
        <v>712</v>
      </c>
      <c r="B206">
        <v>1</v>
      </c>
      <c r="C206" t="s">
        <v>216</v>
      </c>
      <c r="D206" s="12">
        <v>20334</v>
      </c>
      <c r="E206" s="12">
        <v>5484</v>
      </c>
      <c r="F206" s="12">
        <v>20377</v>
      </c>
      <c r="G206" s="12">
        <f t="shared" si="13"/>
        <v>46195</v>
      </c>
      <c r="H206" s="25">
        <f t="shared" si="14"/>
        <v>5774.375</v>
      </c>
      <c r="I206" s="25">
        <f t="shared" si="15"/>
        <v>7967.9750000000004</v>
      </c>
      <c r="J206" s="25">
        <f t="shared" si="16"/>
        <v>2193.6000000000004</v>
      </c>
    </row>
    <row r="207" spans="1:10" x14ac:dyDescent="0.25">
      <c r="A207">
        <v>716</v>
      </c>
      <c r="B207">
        <v>1</v>
      </c>
      <c r="C207" t="s">
        <v>217</v>
      </c>
      <c r="D207" s="12">
        <v>34592</v>
      </c>
      <c r="E207" s="12">
        <v>12478</v>
      </c>
      <c r="F207" s="12">
        <v>129953</v>
      </c>
      <c r="G207" s="12">
        <f t="shared" si="13"/>
        <v>177023</v>
      </c>
      <c r="H207" s="25">
        <f t="shared" si="14"/>
        <v>22127.875</v>
      </c>
      <c r="I207" s="25">
        <f t="shared" si="15"/>
        <v>27119.075000000001</v>
      </c>
      <c r="J207" s="25">
        <f t="shared" si="16"/>
        <v>4991.2000000000007</v>
      </c>
    </row>
    <row r="208" spans="1:10" x14ac:dyDescent="0.25">
      <c r="A208">
        <v>717</v>
      </c>
      <c r="B208">
        <v>1</v>
      </c>
      <c r="C208" t="s">
        <v>218</v>
      </c>
      <c r="D208" s="12">
        <v>52205</v>
      </c>
      <c r="E208" s="12">
        <v>15726</v>
      </c>
      <c r="F208" s="12">
        <v>135482</v>
      </c>
      <c r="G208" s="12">
        <f t="shared" si="13"/>
        <v>203413</v>
      </c>
      <c r="H208" s="25">
        <f t="shared" si="14"/>
        <v>25426.625</v>
      </c>
      <c r="I208" s="25">
        <f t="shared" si="15"/>
        <v>31717.025000000001</v>
      </c>
      <c r="J208" s="25">
        <f t="shared" si="16"/>
        <v>6290.4000000000015</v>
      </c>
    </row>
    <row r="209" spans="1:10" x14ac:dyDescent="0.25">
      <c r="A209">
        <v>719</v>
      </c>
      <c r="B209">
        <v>1</v>
      </c>
      <c r="C209" t="s">
        <v>219</v>
      </c>
      <c r="D209" s="12">
        <v>84820</v>
      </c>
      <c r="E209" s="12">
        <v>28959</v>
      </c>
      <c r="F209" s="12">
        <v>464891</v>
      </c>
      <c r="G209" s="12">
        <f t="shared" si="13"/>
        <v>578670</v>
      </c>
      <c r="H209" s="25">
        <f t="shared" si="14"/>
        <v>72333.75</v>
      </c>
      <c r="I209" s="25">
        <f t="shared" si="15"/>
        <v>83917.35</v>
      </c>
      <c r="J209" s="25">
        <f t="shared" si="16"/>
        <v>11583.600000000006</v>
      </c>
    </row>
    <row r="210" spans="1:10" x14ac:dyDescent="0.25">
      <c r="A210">
        <v>720</v>
      </c>
      <c r="B210">
        <v>1</v>
      </c>
      <c r="C210" t="s">
        <v>220</v>
      </c>
      <c r="D210" s="12">
        <v>267446</v>
      </c>
      <c r="E210" s="12">
        <v>66143</v>
      </c>
      <c r="F210" s="12">
        <v>564404</v>
      </c>
      <c r="G210" s="12">
        <f t="shared" si="13"/>
        <v>897993</v>
      </c>
      <c r="H210" s="25">
        <f t="shared" si="14"/>
        <v>112249.125</v>
      </c>
      <c r="I210" s="25">
        <f t="shared" si="15"/>
        <v>138706.32500000001</v>
      </c>
      <c r="J210" s="25">
        <f t="shared" si="16"/>
        <v>26457.200000000012</v>
      </c>
    </row>
    <row r="211" spans="1:10" x14ac:dyDescent="0.25">
      <c r="A211">
        <v>721</v>
      </c>
      <c r="B211">
        <v>1</v>
      </c>
      <c r="C211" t="s">
        <v>221</v>
      </c>
      <c r="D211" s="12">
        <v>49690</v>
      </c>
      <c r="E211" s="12">
        <v>15498</v>
      </c>
      <c r="F211" s="12">
        <v>200471</v>
      </c>
      <c r="G211" s="12">
        <f t="shared" si="13"/>
        <v>265659</v>
      </c>
      <c r="H211" s="25">
        <f t="shared" si="14"/>
        <v>33207.375</v>
      </c>
      <c r="I211" s="25">
        <f t="shared" si="15"/>
        <v>39406.574999999997</v>
      </c>
      <c r="J211" s="25">
        <f t="shared" si="16"/>
        <v>6199.1999999999971</v>
      </c>
    </row>
    <row r="212" spans="1:10" x14ac:dyDescent="0.25">
      <c r="A212">
        <v>726</v>
      </c>
      <c r="B212">
        <v>1</v>
      </c>
      <c r="C212" t="s">
        <v>222</v>
      </c>
      <c r="D212" s="12">
        <v>59640</v>
      </c>
      <c r="E212" s="12">
        <v>19173</v>
      </c>
      <c r="F212" s="12">
        <v>259064</v>
      </c>
      <c r="G212" s="12">
        <f t="shared" si="13"/>
        <v>337877</v>
      </c>
      <c r="H212" s="25">
        <f t="shared" si="14"/>
        <v>42234.625</v>
      </c>
      <c r="I212" s="25">
        <f t="shared" si="15"/>
        <v>49903.824999999997</v>
      </c>
      <c r="J212" s="25">
        <f t="shared" si="16"/>
        <v>7669.1999999999971</v>
      </c>
    </row>
    <row r="213" spans="1:10" x14ac:dyDescent="0.25">
      <c r="A213">
        <v>727</v>
      </c>
      <c r="B213">
        <v>1</v>
      </c>
      <c r="C213" t="s">
        <v>223</v>
      </c>
      <c r="D213" s="12">
        <v>99494</v>
      </c>
      <c r="E213" s="12">
        <v>31661</v>
      </c>
      <c r="F213" s="12">
        <v>209499</v>
      </c>
      <c r="G213" s="12">
        <f t="shared" si="13"/>
        <v>340654</v>
      </c>
      <c r="H213" s="25">
        <f t="shared" si="14"/>
        <v>42581.75</v>
      </c>
      <c r="I213" s="25">
        <f t="shared" si="15"/>
        <v>55246.15</v>
      </c>
      <c r="J213" s="25">
        <f t="shared" si="16"/>
        <v>12664.400000000001</v>
      </c>
    </row>
    <row r="214" spans="1:10" x14ac:dyDescent="0.25">
      <c r="A214">
        <v>728</v>
      </c>
      <c r="B214">
        <v>1</v>
      </c>
      <c r="C214" t="s">
        <v>224</v>
      </c>
      <c r="D214" s="12">
        <v>261049</v>
      </c>
      <c r="E214" s="12">
        <v>97732</v>
      </c>
      <c r="F214" s="12">
        <v>876984</v>
      </c>
      <c r="G214" s="12">
        <f t="shared" si="13"/>
        <v>1235765</v>
      </c>
      <c r="H214" s="25">
        <f t="shared" si="14"/>
        <v>154470.625</v>
      </c>
      <c r="I214" s="25">
        <f t="shared" si="15"/>
        <v>193563.42499999999</v>
      </c>
      <c r="J214" s="25">
        <f t="shared" si="16"/>
        <v>39092.799999999988</v>
      </c>
    </row>
    <row r="215" spans="1:10" x14ac:dyDescent="0.25">
      <c r="A215">
        <v>738</v>
      </c>
      <c r="B215">
        <v>1</v>
      </c>
      <c r="C215" t="s">
        <v>225</v>
      </c>
      <c r="D215" s="12">
        <v>23201</v>
      </c>
      <c r="E215" s="12">
        <v>14675</v>
      </c>
      <c r="F215" s="12">
        <v>103510</v>
      </c>
      <c r="G215" s="12">
        <f t="shared" si="13"/>
        <v>141386</v>
      </c>
      <c r="H215" s="25">
        <f t="shared" si="14"/>
        <v>17673.25</v>
      </c>
      <c r="I215" s="25">
        <f t="shared" si="15"/>
        <v>23543.25</v>
      </c>
      <c r="J215" s="25">
        <f t="shared" si="16"/>
        <v>5870</v>
      </c>
    </row>
    <row r="216" spans="1:10" x14ac:dyDescent="0.25">
      <c r="A216">
        <v>739</v>
      </c>
      <c r="B216">
        <v>1</v>
      </c>
      <c r="C216" t="s">
        <v>226</v>
      </c>
      <c r="D216" s="12">
        <v>21167</v>
      </c>
      <c r="E216" s="12">
        <v>8734</v>
      </c>
      <c r="F216" s="12">
        <v>53188</v>
      </c>
      <c r="G216" s="12">
        <f t="shared" si="13"/>
        <v>83089</v>
      </c>
      <c r="H216" s="25">
        <f t="shared" si="14"/>
        <v>10386.125</v>
      </c>
      <c r="I216" s="25">
        <f t="shared" si="15"/>
        <v>13879.725</v>
      </c>
      <c r="J216" s="25">
        <f t="shared" si="16"/>
        <v>3493.6000000000004</v>
      </c>
    </row>
    <row r="217" spans="1:10" x14ac:dyDescent="0.25">
      <c r="A217">
        <v>740</v>
      </c>
      <c r="B217">
        <v>1</v>
      </c>
      <c r="C217" t="s">
        <v>227</v>
      </c>
      <c r="D217" s="12">
        <v>64769</v>
      </c>
      <c r="E217" s="12">
        <v>18447</v>
      </c>
      <c r="F217" s="12">
        <v>84006</v>
      </c>
      <c r="G217" s="12">
        <f t="shared" si="13"/>
        <v>167222</v>
      </c>
      <c r="H217" s="25">
        <f t="shared" si="14"/>
        <v>20902.75</v>
      </c>
      <c r="I217" s="25">
        <f t="shared" si="15"/>
        <v>28281.55</v>
      </c>
      <c r="J217" s="25">
        <f t="shared" si="16"/>
        <v>7378.7999999999993</v>
      </c>
    </row>
    <row r="218" spans="1:10" x14ac:dyDescent="0.25">
      <c r="A218">
        <v>741</v>
      </c>
      <c r="B218">
        <v>1</v>
      </c>
      <c r="C218" t="s">
        <v>228</v>
      </c>
      <c r="D218" s="12">
        <v>39413</v>
      </c>
      <c r="E218" s="12">
        <v>19396</v>
      </c>
      <c r="F218" s="12">
        <v>83769</v>
      </c>
      <c r="G218" s="12">
        <f t="shared" si="13"/>
        <v>142578</v>
      </c>
      <c r="H218" s="25">
        <f t="shared" si="14"/>
        <v>17822.25</v>
      </c>
      <c r="I218" s="25">
        <f t="shared" si="15"/>
        <v>25580.65</v>
      </c>
      <c r="J218" s="25">
        <f t="shared" si="16"/>
        <v>7758.4000000000015</v>
      </c>
    </row>
    <row r="219" spans="1:10" x14ac:dyDescent="0.25">
      <c r="A219">
        <v>742</v>
      </c>
      <c r="B219">
        <v>1</v>
      </c>
      <c r="C219" t="s">
        <v>229</v>
      </c>
      <c r="D219" s="12">
        <v>606565</v>
      </c>
      <c r="E219" s="12">
        <v>90604</v>
      </c>
      <c r="F219" s="12">
        <v>426651</v>
      </c>
      <c r="G219" s="12">
        <f t="shared" si="13"/>
        <v>1123820</v>
      </c>
      <c r="H219" s="25">
        <f t="shared" si="14"/>
        <v>140477.5</v>
      </c>
      <c r="I219" s="25">
        <f t="shared" si="15"/>
        <v>176719.1</v>
      </c>
      <c r="J219" s="25">
        <f t="shared" si="16"/>
        <v>36241.600000000006</v>
      </c>
    </row>
    <row r="220" spans="1:10" x14ac:dyDescent="0.25">
      <c r="A220">
        <v>743</v>
      </c>
      <c r="B220">
        <v>1</v>
      </c>
      <c r="C220" t="s">
        <v>230</v>
      </c>
      <c r="D220" s="12">
        <v>43979</v>
      </c>
      <c r="E220" s="12">
        <v>11604</v>
      </c>
      <c r="F220" s="12">
        <v>75038</v>
      </c>
      <c r="G220" s="12">
        <f t="shared" si="13"/>
        <v>130621</v>
      </c>
      <c r="H220" s="25">
        <f t="shared" si="14"/>
        <v>16327.625</v>
      </c>
      <c r="I220" s="25">
        <f t="shared" si="15"/>
        <v>20969.224999999999</v>
      </c>
      <c r="J220" s="25">
        <f t="shared" si="16"/>
        <v>4641.5999999999985</v>
      </c>
    </row>
    <row r="221" spans="1:10" x14ac:dyDescent="0.25">
      <c r="A221">
        <v>745</v>
      </c>
      <c r="B221">
        <v>1</v>
      </c>
      <c r="C221" t="s">
        <v>231</v>
      </c>
      <c r="D221" s="12">
        <v>38302</v>
      </c>
      <c r="E221" s="12">
        <v>19953</v>
      </c>
      <c r="F221" s="12">
        <v>163590</v>
      </c>
      <c r="G221" s="12">
        <f t="shared" si="13"/>
        <v>221845</v>
      </c>
      <c r="H221" s="25">
        <f t="shared" si="14"/>
        <v>27730.625</v>
      </c>
      <c r="I221" s="25">
        <f t="shared" si="15"/>
        <v>35711.824999999997</v>
      </c>
      <c r="J221" s="25">
        <f t="shared" si="16"/>
        <v>7981.1999999999971</v>
      </c>
    </row>
    <row r="222" spans="1:10" x14ac:dyDescent="0.25">
      <c r="A222">
        <v>748</v>
      </c>
      <c r="B222">
        <v>1</v>
      </c>
      <c r="C222" t="s">
        <v>232</v>
      </c>
      <c r="D222" s="12">
        <v>61850</v>
      </c>
      <c r="E222" s="12">
        <v>29253</v>
      </c>
      <c r="F222" s="12">
        <v>323341</v>
      </c>
      <c r="G222" s="12">
        <f t="shared" si="13"/>
        <v>414444</v>
      </c>
      <c r="H222" s="25">
        <f t="shared" si="14"/>
        <v>51805.5</v>
      </c>
      <c r="I222" s="25">
        <f t="shared" si="15"/>
        <v>63506.7</v>
      </c>
      <c r="J222" s="25">
        <f t="shared" si="16"/>
        <v>11701.199999999997</v>
      </c>
    </row>
    <row r="223" spans="1:10" x14ac:dyDescent="0.25">
      <c r="A223">
        <v>750</v>
      </c>
      <c r="B223">
        <v>1</v>
      </c>
      <c r="C223" t="s">
        <v>233</v>
      </c>
      <c r="D223" s="12">
        <v>56958</v>
      </c>
      <c r="E223" s="12">
        <v>21218</v>
      </c>
      <c r="F223" s="12">
        <v>231887</v>
      </c>
      <c r="G223" s="12">
        <f t="shared" si="13"/>
        <v>310063</v>
      </c>
      <c r="H223" s="25">
        <f t="shared" si="14"/>
        <v>38757.875</v>
      </c>
      <c r="I223" s="25">
        <f t="shared" si="15"/>
        <v>47245.074999999997</v>
      </c>
      <c r="J223" s="25">
        <f t="shared" si="16"/>
        <v>8487.1999999999971</v>
      </c>
    </row>
    <row r="224" spans="1:10" x14ac:dyDescent="0.25">
      <c r="A224">
        <v>756</v>
      </c>
      <c r="B224">
        <v>1</v>
      </c>
      <c r="C224" t="s">
        <v>234</v>
      </c>
      <c r="D224" s="12">
        <v>29224</v>
      </c>
      <c r="E224" s="12">
        <v>9000</v>
      </c>
      <c r="F224" s="12">
        <v>54298</v>
      </c>
      <c r="G224" s="12">
        <f t="shared" si="13"/>
        <v>92522</v>
      </c>
      <c r="H224" s="25">
        <f t="shared" si="14"/>
        <v>11565.25</v>
      </c>
      <c r="I224" s="25">
        <f t="shared" si="15"/>
        <v>15165.25</v>
      </c>
      <c r="J224" s="25">
        <f t="shared" si="16"/>
        <v>3600</v>
      </c>
    </row>
    <row r="225" spans="1:10" x14ac:dyDescent="0.25">
      <c r="A225">
        <v>761</v>
      </c>
      <c r="B225">
        <v>1</v>
      </c>
      <c r="C225" t="s">
        <v>235</v>
      </c>
      <c r="D225" s="12">
        <v>205448</v>
      </c>
      <c r="E225" s="12">
        <v>47663</v>
      </c>
      <c r="F225" s="12">
        <v>246216</v>
      </c>
      <c r="G225" s="12">
        <f t="shared" si="13"/>
        <v>499327</v>
      </c>
      <c r="H225" s="25">
        <f t="shared" si="14"/>
        <v>62415.875</v>
      </c>
      <c r="I225" s="25">
        <f t="shared" si="15"/>
        <v>81481.074999999997</v>
      </c>
      <c r="J225" s="25">
        <f t="shared" si="16"/>
        <v>19065.199999999997</v>
      </c>
    </row>
    <row r="226" spans="1:10" x14ac:dyDescent="0.25">
      <c r="A226">
        <v>763</v>
      </c>
      <c r="B226">
        <v>1</v>
      </c>
      <c r="C226" t="s">
        <v>236</v>
      </c>
      <c r="D226" s="12">
        <v>27604</v>
      </c>
      <c r="E226" s="12">
        <v>11671</v>
      </c>
      <c r="F226" s="12">
        <v>76391</v>
      </c>
      <c r="G226" s="12">
        <f t="shared" si="13"/>
        <v>115666</v>
      </c>
      <c r="H226" s="25">
        <f t="shared" si="14"/>
        <v>14458.25</v>
      </c>
      <c r="I226" s="25">
        <f t="shared" si="15"/>
        <v>19126.650000000001</v>
      </c>
      <c r="J226" s="25">
        <f t="shared" si="16"/>
        <v>4668.4000000000015</v>
      </c>
    </row>
    <row r="227" spans="1:10" x14ac:dyDescent="0.25">
      <c r="A227">
        <v>768</v>
      </c>
      <c r="B227">
        <v>1</v>
      </c>
      <c r="C227" t="s">
        <v>237</v>
      </c>
      <c r="D227" s="12">
        <v>6642</v>
      </c>
      <c r="E227" s="12">
        <v>4815</v>
      </c>
      <c r="F227" s="12">
        <v>28129</v>
      </c>
      <c r="G227" s="12">
        <f t="shared" si="13"/>
        <v>39586</v>
      </c>
      <c r="H227" s="25">
        <f t="shared" si="14"/>
        <v>4948.25</v>
      </c>
      <c r="I227" s="25">
        <f t="shared" si="15"/>
        <v>6874.25</v>
      </c>
      <c r="J227" s="25">
        <f t="shared" si="16"/>
        <v>1926</v>
      </c>
    </row>
    <row r="228" spans="1:10" x14ac:dyDescent="0.25">
      <c r="A228">
        <v>771</v>
      </c>
      <c r="B228">
        <v>1</v>
      </c>
      <c r="C228" t="s">
        <v>238</v>
      </c>
      <c r="D228" s="12">
        <v>5825</v>
      </c>
      <c r="E228" s="12">
        <v>4809</v>
      </c>
      <c r="F228" s="12">
        <v>12360</v>
      </c>
      <c r="G228" s="12">
        <f t="shared" si="13"/>
        <v>22994</v>
      </c>
      <c r="H228" s="25">
        <f t="shared" si="14"/>
        <v>2874.25</v>
      </c>
      <c r="I228" s="25">
        <f t="shared" si="15"/>
        <v>4797.8500000000004</v>
      </c>
      <c r="J228" s="25">
        <f t="shared" si="16"/>
        <v>1923.6000000000004</v>
      </c>
    </row>
    <row r="229" spans="1:10" x14ac:dyDescent="0.25">
      <c r="A229">
        <v>775</v>
      </c>
      <c r="B229">
        <v>1</v>
      </c>
      <c r="C229" t="s">
        <v>239</v>
      </c>
      <c r="D229" s="12">
        <v>25652</v>
      </c>
      <c r="E229" s="12">
        <v>15745</v>
      </c>
      <c r="F229" s="12">
        <v>48062</v>
      </c>
      <c r="G229" s="12">
        <f t="shared" si="13"/>
        <v>89459</v>
      </c>
      <c r="H229" s="25">
        <f t="shared" si="14"/>
        <v>11182.375</v>
      </c>
      <c r="I229" s="25">
        <f t="shared" si="15"/>
        <v>17480.375</v>
      </c>
      <c r="J229" s="25">
        <f t="shared" si="16"/>
        <v>6298</v>
      </c>
    </row>
    <row r="230" spans="1:10" x14ac:dyDescent="0.25">
      <c r="A230">
        <v>777</v>
      </c>
      <c r="B230">
        <v>1</v>
      </c>
      <c r="C230" t="s">
        <v>240</v>
      </c>
      <c r="D230" s="12">
        <v>27588</v>
      </c>
      <c r="E230" s="12">
        <v>11077</v>
      </c>
      <c r="F230" s="12">
        <v>58808</v>
      </c>
      <c r="G230" s="12">
        <f t="shared" si="13"/>
        <v>97473</v>
      </c>
      <c r="H230" s="25">
        <f t="shared" si="14"/>
        <v>12184.125</v>
      </c>
      <c r="I230" s="25">
        <f t="shared" si="15"/>
        <v>16614.924999999999</v>
      </c>
      <c r="J230" s="25">
        <f t="shared" si="16"/>
        <v>4430.7999999999993</v>
      </c>
    </row>
    <row r="231" spans="1:10" x14ac:dyDescent="0.25">
      <c r="A231">
        <v>786</v>
      </c>
      <c r="B231">
        <v>1</v>
      </c>
      <c r="C231" t="s">
        <v>241</v>
      </c>
      <c r="D231" s="12">
        <v>26596</v>
      </c>
      <c r="E231" s="12">
        <v>10064</v>
      </c>
      <c r="F231" s="12">
        <v>19835</v>
      </c>
      <c r="G231" s="12">
        <f t="shared" si="13"/>
        <v>56495</v>
      </c>
      <c r="H231" s="25">
        <f t="shared" si="14"/>
        <v>7061.875</v>
      </c>
      <c r="I231" s="25">
        <f t="shared" si="15"/>
        <v>11087.475</v>
      </c>
      <c r="J231" s="25">
        <f t="shared" si="16"/>
        <v>4025.6000000000004</v>
      </c>
    </row>
    <row r="232" spans="1:10" x14ac:dyDescent="0.25">
      <c r="A232">
        <v>787</v>
      </c>
      <c r="B232">
        <v>1</v>
      </c>
      <c r="C232" t="s">
        <v>242</v>
      </c>
      <c r="D232" s="12">
        <v>23218</v>
      </c>
      <c r="E232" s="12">
        <v>10067</v>
      </c>
      <c r="F232" s="12">
        <v>31708</v>
      </c>
      <c r="G232" s="12">
        <f t="shared" si="13"/>
        <v>64993</v>
      </c>
      <c r="H232" s="25">
        <f t="shared" si="14"/>
        <v>8124.125</v>
      </c>
      <c r="I232" s="25">
        <f t="shared" si="15"/>
        <v>12150.924999999999</v>
      </c>
      <c r="J232" s="25">
        <f t="shared" si="16"/>
        <v>4026.7999999999993</v>
      </c>
    </row>
    <row r="233" spans="1:10" x14ac:dyDescent="0.25">
      <c r="A233">
        <v>801</v>
      </c>
      <c r="B233">
        <v>1</v>
      </c>
      <c r="C233" t="s">
        <v>243</v>
      </c>
      <c r="D233" s="12">
        <v>10166</v>
      </c>
      <c r="E233" s="12">
        <v>2061</v>
      </c>
      <c r="F233" s="12">
        <v>4811</v>
      </c>
      <c r="G233" s="12">
        <f t="shared" si="13"/>
        <v>17038</v>
      </c>
      <c r="H233" s="25">
        <f t="shared" si="14"/>
        <v>2129.75</v>
      </c>
      <c r="I233" s="25">
        <f t="shared" si="15"/>
        <v>2954.15</v>
      </c>
      <c r="J233" s="25">
        <f t="shared" si="16"/>
        <v>824.40000000000009</v>
      </c>
    </row>
    <row r="234" spans="1:10" x14ac:dyDescent="0.25">
      <c r="A234">
        <v>803</v>
      </c>
      <c r="B234">
        <v>1</v>
      </c>
      <c r="C234" t="s">
        <v>244</v>
      </c>
      <c r="D234" s="12">
        <v>13911</v>
      </c>
      <c r="E234" s="12">
        <v>6144</v>
      </c>
      <c r="F234" s="12">
        <v>35847</v>
      </c>
      <c r="G234" s="12">
        <f t="shared" si="13"/>
        <v>55902</v>
      </c>
      <c r="H234" s="25">
        <f t="shared" si="14"/>
        <v>6987.75</v>
      </c>
      <c r="I234" s="25">
        <f t="shared" si="15"/>
        <v>9445.35</v>
      </c>
      <c r="J234" s="25">
        <f t="shared" si="16"/>
        <v>2457.6000000000004</v>
      </c>
    </row>
    <row r="235" spans="1:10" x14ac:dyDescent="0.25">
      <c r="A235">
        <v>811</v>
      </c>
      <c r="B235">
        <v>1</v>
      </c>
      <c r="C235" t="s">
        <v>245</v>
      </c>
      <c r="D235" s="12">
        <v>22032</v>
      </c>
      <c r="E235" s="12">
        <v>6170</v>
      </c>
      <c r="F235" s="12">
        <v>51330</v>
      </c>
      <c r="G235" s="12">
        <f t="shared" si="13"/>
        <v>79532</v>
      </c>
      <c r="H235" s="25">
        <f t="shared" si="14"/>
        <v>9941.5</v>
      </c>
      <c r="I235" s="25">
        <f t="shared" si="15"/>
        <v>12409.5</v>
      </c>
      <c r="J235" s="25">
        <f t="shared" si="16"/>
        <v>2468</v>
      </c>
    </row>
    <row r="236" spans="1:10" x14ac:dyDescent="0.25">
      <c r="A236">
        <v>813</v>
      </c>
      <c r="B236">
        <v>1</v>
      </c>
      <c r="C236" t="s">
        <v>246</v>
      </c>
      <c r="D236" s="12">
        <v>39784</v>
      </c>
      <c r="E236" s="12">
        <v>11461</v>
      </c>
      <c r="F236" s="12">
        <v>94719</v>
      </c>
      <c r="G236" s="12">
        <f t="shared" si="13"/>
        <v>145964</v>
      </c>
      <c r="H236" s="25">
        <f t="shared" si="14"/>
        <v>18245.5</v>
      </c>
      <c r="I236" s="25">
        <f t="shared" si="15"/>
        <v>22829.9</v>
      </c>
      <c r="J236" s="25">
        <f t="shared" si="16"/>
        <v>4584.4000000000015</v>
      </c>
    </row>
    <row r="237" spans="1:10" x14ac:dyDescent="0.25">
      <c r="A237">
        <v>815</v>
      </c>
      <c r="B237">
        <v>2</v>
      </c>
      <c r="C237" t="s">
        <v>247</v>
      </c>
      <c r="D237" s="12">
        <v>0</v>
      </c>
      <c r="E237" s="12">
        <v>0</v>
      </c>
      <c r="F237" s="12">
        <v>0</v>
      </c>
      <c r="G237" s="12">
        <f t="shared" si="13"/>
        <v>0</v>
      </c>
      <c r="H237" s="25">
        <f t="shared" si="14"/>
        <v>0</v>
      </c>
      <c r="I237" s="25">
        <f t="shared" si="15"/>
        <v>0</v>
      </c>
      <c r="J237" s="25">
        <f t="shared" si="16"/>
        <v>0</v>
      </c>
    </row>
    <row r="238" spans="1:10" x14ac:dyDescent="0.25">
      <c r="A238">
        <v>818</v>
      </c>
      <c r="B238">
        <v>1</v>
      </c>
      <c r="C238" t="s">
        <v>248</v>
      </c>
      <c r="D238" s="12">
        <v>32823</v>
      </c>
      <c r="E238" s="12">
        <v>10133</v>
      </c>
      <c r="F238" s="12">
        <v>24059</v>
      </c>
      <c r="G238" s="12">
        <f t="shared" si="13"/>
        <v>67015</v>
      </c>
      <c r="H238" s="25">
        <f t="shared" si="14"/>
        <v>8376.875</v>
      </c>
      <c r="I238" s="25">
        <f t="shared" si="15"/>
        <v>12430.075000000001</v>
      </c>
      <c r="J238" s="25">
        <f t="shared" si="16"/>
        <v>4053.2000000000007</v>
      </c>
    </row>
    <row r="239" spans="1:10" x14ac:dyDescent="0.25">
      <c r="A239">
        <v>820</v>
      </c>
      <c r="B239">
        <v>1</v>
      </c>
      <c r="C239" t="s">
        <v>249</v>
      </c>
      <c r="D239" s="12">
        <v>26182</v>
      </c>
      <c r="E239" s="12">
        <v>10677</v>
      </c>
      <c r="F239" s="12">
        <v>25994</v>
      </c>
      <c r="G239" s="12">
        <f t="shared" si="13"/>
        <v>62853</v>
      </c>
      <c r="H239" s="25">
        <f t="shared" si="14"/>
        <v>7856.625</v>
      </c>
      <c r="I239" s="25">
        <f t="shared" si="15"/>
        <v>12127.424999999999</v>
      </c>
      <c r="J239" s="25">
        <f t="shared" si="16"/>
        <v>4270.7999999999993</v>
      </c>
    </row>
    <row r="240" spans="1:10" x14ac:dyDescent="0.25">
      <c r="A240">
        <v>821</v>
      </c>
      <c r="B240">
        <v>1</v>
      </c>
      <c r="C240" t="s">
        <v>250</v>
      </c>
      <c r="D240" s="12">
        <v>47414</v>
      </c>
      <c r="E240" s="12">
        <v>16992</v>
      </c>
      <c r="F240" s="12">
        <v>39578</v>
      </c>
      <c r="G240" s="12">
        <f t="shared" si="13"/>
        <v>103984</v>
      </c>
      <c r="H240" s="25">
        <f t="shared" si="14"/>
        <v>12998</v>
      </c>
      <c r="I240" s="25">
        <f t="shared" si="15"/>
        <v>19794.8</v>
      </c>
      <c r="J240" s="25">
        <f t="shared" si="16"/>
        <v>6796.7999999999993</v>
      </c>
    </row>
    <row r="241" spans="1:10" x14ac:dyDescent="0.25">
      <c r="A241">
        <v>829</v>
      </c>
      <c r="B241">
        <v>1</v>
      </c>
      <c r="C241" t="s">
        <v>251</v>
      </c>
      <c r="D241" s="12">
        <v>73061</v>
      </c>
      <c r="E241" s="12">
        <v>19889</v>
      </c>
      <c r="F241" s="12">
        <v>116826</v>
      </c>
      <c r="G241" s="12">
        <f t="shared" si="13"/>
        <v>209776</v>
      </c>
      <c r="H241" s="25">
        <f t="shared" si="14"/>
        <v>26222</v>
      </c>
      <c r="I241" s="25">
        <f t="shared" si="15"/>
        <v>34177.599999999999</v>
      </c>
      <c r="J241" s="25">
        <f t="shared" si="16"/>
        <v>7955.5999999999985</v>
      </c>
    </row>
    <row r="242" spans="1:10" x14ac:dyDescent="0.25">
      <c r="A242">
        <v>831</v>
      </c>
      <c r="B242">
        <v>1</v>
      </c>
      <c r="C242" t="s">
        <v>252</v>
      </c>
      <c r="D242" s="12">
        <v>187640</v>
      </c>
      <c r="E242" s="12">
        <v>75517</v>
      </c>
      <c r="F242" s="12">
        <v>614026</v>
      </c>
      <c r="G242" s="12">
        <f t="shared" si="13"/>
        <v>877183</v>
      </c>
      <c r="H242" s="25">
        <f t="shared" si="14"/>
        <v>109647.875</v>
      </c>
      <c r="I242" s="25">
        <f t="shared" si="15"/>
        <v>139854.67499999999</v>
      </c>
      <c r="J242" s="25">
        <f t="shared" si="16"/>
        <v>30206.799999999988</v>
      </c>
    </row>
    <row r="243" spans="1:10" x14ac:dyDescent="0.25">
      <c r="A243">
        <v>832</v>
      </c>
      <c r="B243">
        <v>1</v>
      </c>
      <c r="C243" t="s">
        <v>253</v>
      </c>
      <c r="D243" s="12">
        <v>31010</v>
      </c>
      <c r="E243" s="12">
        <v>10204</v>
      </c>
      <c r="F243" s="12">
        <v>275559</v>
      </c>
      <c r="G243" s="12">
        <f t="shared" si="13"/>
        <v>316773</v>
      </c>
      <c r="H243" s="25">
        <f t="shared" si="14"/>
        <v>39596.625</v>
      </c>
      <c r="I243" s="25">
        <f t="shared" si="15"/>
        <v>43678.224999999999</v>
      </c>
      <c r="J243" s="25">
        <f t="shared" si="16"/>
        <v>4081.5999999999985</v>
      </c>
    </row>
    <row r="244" spans="1:10" x14ac:dyDescent="0.25">
      <c r="A244">
        <v>833</v>
      </c>
      <c r="B244">
        <v>1</v>
      </c>
      <c r="C244" t="s">
        <v>254</v>
      </c>
      <c r="D244" s="12">
        <v>335781</v>
      </c>
      <c r="E244" s="12">
        <v>104921</v>
      </c>
      <c r="F244" s="12">
        <v>1216462</v>
      </c>
      <c r="G244" s="12">
        <f t="shared" si="13"/>
        <v>1657164</v>
      </c>
      <c r="H244" s="25">
        <f t="shared" si="14"/>
        <v>207145.5</v>
      </c>
      <c r="I244" s="25">
        <f t="shared" si="15"/>
        <v>249113.9</v>
      </c>
      <c r="J244" s="25">
        <f t="shared" si="16"/>
        <v>41968.399999999994</v>
      </c>
    </row>
    <row r="245" spans="1:10" x14ac:dyDescent="0.25">
      <c r="A245">
        <v>834</v>
      </c>
      <c r="B245">
        <v>1</v>
      </c>
      <c r="C245" t="s">
        <v>255</v>
      </c>
      <c r="D245" s="12">
        <v>131341</v>
      </c>
      <c r="E245" s="12">
        <v>43232</v>
      </c>
      <c r="F245" s="12">
        <v>636530</v>
      </c>
      <c r="G245" s="12">
        <f t="shared" si="13"/>
        <v>811103</v>
      </c>
      <c r="H245" s="25">
        <f t="shared" si="14"/>
        <v>101387.875</v>
      </c>
      <c r="I245" s="25">
        <f t="shared" si="15"/>
        <v>118680.675</v>
      </c>
      <c r="J245" s="25">
        <f t="shared" si="16"/>
        <v>17292.800000000003</v>
      </c>
    </row>
    <row r="246" spans="1:10" x14ac:dyDescent="0.25">
      <c r="A246">
        <v>836</v>
      </c>
      <c r="B246">
        <v>1</v>
      </c>
      <c r="C246" t="s">
        <v>256</v>
      </c>
      <c r="D246" s="12">
        <v>18042</v>
      </c>
      <c r="E246" s="12">
        <v>3612</v>
      </c>
      <c r="F246" s="12">
        <v>7498</v>
      </c>
      <c r="G246" s="12">
        <f t="shared" si="13"/>
        <v>29152</v>
      </c>
      <c r="H246" s="25">
        <f t="shared" si="14"/>
        <v>3644</v>
      </c>
      <c r="I246" s="25">
        <f t="shared" si="15"/>
        <v>5088.8</v>
      </c>
      <c r="J246" s="25">
        <f t="shared" si="16"/>
        <v>1444.8000000000002</v>
      </c>
    </row>
    <row r="247" spans="1:10" x14ac:dyDescent="0.25">
      <c r="A247">
        <v>837</v>
      </c>
      <c r="B247">
        <v>1</v>
      </c>
      <c r="C247" t="s">
        <v>257</v>
      </c>
      <c r="D247" s="12">
        <v>29599</v>
      </c>
      <c r="E247" s="12">
        <v>8091</v>
      </c>
      <c r="F247" s="12">
        <v>29970</v>
      </c>
      <c r="G247" s="12">
        <f t="shared" si="13"/>
        <v>67660</v>
      </c>
      <c r="H247" s="25">
        <f t="shared" si="14"/>
        <v>8457.5</v>
      </c>
      <c r="I247" s="25">
        <f t="shared" si="15"/>
        <v>11693.9</v>
      </c>
      <c r="J247" s="25">
        <f t="shared" si="16"/>
        <v>3236.3999999999996</v>
      </c>
    </row>
    <row r="248" spans="1:10" x14ac:dyDescent="0.25">
      <c r="A248">
        <v>840</v>
      </c>
      <c r="B248">
        <v>1</v>
      </c>
      <c r="C248" t="s">
        <v>258</v>
      </c>
      <c r="D248" s="12">
        <v>65173</v>
      </c>
      <c r="E248" s="12">
        <v>15323</v>
      </c>
      <c r="F248" s="12">
        <v>57651</v>
      </c>
      <c r="G248" s="12">
        <f t="shared" si="13"/>
        <v>138147</v>
      </c>
      <c r="H248" s="25">
        <f t="shared" si="14"/>
        <v>17268.375</v>
      </c>
      <c r="I248" s="25">
        <f t="shared" si="15"/>
        <v>23397.575000000001</v>
      </c>
      <c r="J248" s="25">
        <f t="shared" si="16"/>
        <v>6129.2000000000007</v>
      </c>
    </row>
    <row r="249" spans="1:10" x14ac:dyDescent="0.25">
      <c r="A249">
        <v>846</v>
      </c>
      <c r="B249">
        <v>1</v>
      </c>
      <c r="C249" t="s">
        <v>259</v>
      </c>
      <c r="D249" s="12">
        <v>30726</v>
      </c>
      <c r="E249" s="12">
        <v>8200</v>
      </c>
      <c r="F249" s="12">
        <v>53819</v>
      </c>
      <c r="G249" s="12">
        <f t="shared" si="13"/>
        <v>92745</v>
      </c>
      <c r="H249" s="25">
        <f t="shared" si="14"/>
        <v>11593.125</v>
      </c>
      <c r="I249" s="25">
        <f t="shared" si="15"/>
        <v>14873.125</v>
      </c>
      <c r="J249" s="25">
        <f t="shared" si="16"/>
        <v>3280</v>
      </c>
    </row>
    <row r="250" spans="1:10" x14ac:dyDescent="0.25">
      <c r="A250">
        <v>850</v>
      </c>
      <c r="B250">
        <v>1</v>
      </c>
      <c r="C250" t="s">
        <v>260</v>
      </c>
      <c r="D250" s="12">
        <v>11760</v>
      </c>
      <c r="E250" s="12">
        <v>4648</v>
      </c>
      <c r="F250" s="12">
        <v>18523</v>
      </c>
      <c r="G250" s="12">
        <f t="shared" si="13"/>
        <v>34931</v>
      </c>
      <c r="H250" s="25">
        <f t="shared" si="14"/>
        <v>4366.375</v>
      </c>
      <c r="I250" s="25">
        <f t="shared" si="15"/>
        <v>6225.5749999999998</v>
      </c>
      <c r="J250" s="25">
        <f t="shared" si="16"/>
        <v>1859.1999999999998</v>
      </c>
    </row>
    <row r="251" spans="1:10" x14ac:dyDescent="0.25">
      <c r="A251">
        <v>852</v>
      </c>
      <c r="B251">
        <v>1</v>
      </c>
      <c r="C251" t="s">
        <v>261</v>
      </c>
      <c r="D251" s="12">
        <v>8731</v>
      </c>
      <c r="E251" s="12">
        <v>3435</v>
      </c>
      <c r="F251" s="12">
        <v>9253</v>
      </c>
      <c r="G251" s="12">
        <f t="shared" si="13"/>
        <v>21419</v>
      </c>
      <c r="H251" s="25">
        <f t="shared" si="14"/>
        <v>2677.375</v>
      </c>
      <c r="I251" s="25">
        <f t="shared" si="15"/>
        <v>4051.375</v>
      </c>
      <c r="J251" s="25">
        <f t="shared" si="16"/>
        <v>1374</v>
      </c>
    </row>
    <row r="252" spans="1:10" x14ac:dyDescent="0.25">
      <c r="A252">
        <v>857</v>
      </c>
      <c r="B252">
        <v>1</v>
      </c>
      <c r="C252" t="s">
        <v>262</v>
      </c>
      <c r="D252" s="12">
        <v>26521</v>
      </c>
      <c r="E252" s="12">
        <v>12622</v>
      </c>
      <c r="F252" s="12">
        <v>57260</v>
      </c>
      <c r="G252" s="12">
        <f t="shared" si="13"/>
        <v>96403</v>
      </c>
      <c r="H252" s="25">
        <f t="shared" si="14"/>
        <v>12050.375</v>
      </c>
      <c r="I252" s="25">
        <f t="shared" si="15"/>
        <v>17099.174999999999</v>
      </c>
      <c r="J252" s="25">
        <f t="shared" si="16"/>
        <v>5048.7999999999993</v>
      </c>
    </row>
    <row r="253" spans="1:10" x14ac:dyDescent="0.25">
      <c r="A253">
        <v>858</v>
      </c>
      <c r="B253">
        <v>1</v>
      </c>
      <c r="C253" t="s">
        <v>263</v>
      </c>
      <c r="D253" s="12">
        <v>35411</v>
      </c>
      <c r="E253" s="12">
        <v>10708</v>
      </c>
      <c r="F253" s="12">
        <v>89851</v>
      </c>
      <c r="G253" s="12">
        <f t="shared" si="13"/>
        <v>135970</v>
      </c>
      <c r="H253" s="25">
        <f t="shared" si="14"/>
        <v>16996.25</v>
      </c>
      <c r="I253" s="25">
        <f t="shared" si="15"/>
        <v>21279.45</v>
      </c>
      <c r="J253" s="25">
        <f t="shared" si="16"/>
        <v>4283.2000000000007</v>
      </c>
    </row>
    <row r="254" spans="1:10" x14ac:dyDescent="0.25">
      <c r="A254">
        <v>861</v>
      </c>
      <c r="B254">
        <v>1</v>
      </c>
      <c r="C254" t="s">
        <v>264</v>
      </c>
      <c r="D254" s="12">
        <v>125140</v>
      </c>
      <c r="E254" s="12">
        <v>31516</v>
      </c>
      <c r="F254" s="12">
        <v>168066</v>
      </c>
      <c r="G254" s="12">
        <f t="shared" si="13"/>
        <v>324722</v>
      </c>
      <c r="H254" s="25">
        <f t="shared" si="14"/>
        <v>40590.25</v>
      </c>
      <c r="I254" s="25">
        <f t="shared" si="15"/>
        <v>53196.65</v>
      </c>
      <c r="J254" s="25">
        <f t="shared" si="16"/>
        <v>12606.400000000001</v>
      </c>
    </row>
    <row r="255" spans="1:10" x14ac:dyDescent="0.25">
      <c r="A255">
        <v>876</v>
      </c>
      <c r="B255">
        <v>1</v>
      </c>
      <c r="C255" t="s">
        <v>265</v>
      </c>
      <c r="D255" s="12">
        <v>39657</v>
      </c>
      <c r="E255" s="12">
        <v>18331</v>
      </c>
      <c r="F255" s="12">
        <v>132909</v>
      </c>
      <c r="G255" s="12">
        <f t="shared" si="13"/>
        <v>190897</v>
      </c>
      <c r="H255" s="25">
        <f t="shared" si="14"/>
        <v>23862.125</v>
      </c>
      <c r="I255" s="25">
        <f t="shared" si="15"/>
        <v>31194.525000000001</v>
      </c>
      <c r="J255" s="25">
        <f t="shared" si="16"/>
        <v>7332.4000000000015</v>
      </c>
    </row>
    <row r="256" spans="1:10" x14ac:dyDescent="0.25">
      <c r="A256">
        <v>877</v>
      </c>
      <c r="B256">
        <v>1</v>
      </c>
      <c r="C256" t="s">
        <v>266</v>
      </c>
      <c r="D256" s="12">
        <v>152089</v>
      </c>
      <c r="E256" s="12">
        <v>67727</v>
      </c>
      <c r="F256" s="12">
        <v>403292</v>
      </c>
      <c r="G256" s="12">
        <f t="shared" si="13"/>
        <v>623108</v>
      </c>
      <c r="H256" s="25">
        <f t="shared" si="14"/>
        <v>77888.5</v>
      </c>
      <c r="I256" s="25">
        <f t="shared" si="15"/>
        <v>104979.3</v>
      </c>
      <c r="J256" s="25">
        <f t="shared" si="16"/>
        <v>27090.800000000003</v>
      </c>
    </row>
    <row r="257" spans="1:10" x14ac:dyDescent="0.25">
      <c r="A257">
        <v>879</v>
      </c>
      <c r="B257">
        <v>1</v>
      </c>
      <c r="C257" t="s">
        <v>267</v>
      </c>
      <c r="D257" s="12">
        <v>26834</v>
      </c>
      <c r="E257" s="12">
        <v>16705</v>
      </c>
      <c r="F257" s="12">
        <v>212522</v>
      </c>
      <c r="G257" s="12">
        <f t="shared" si="13"/>
        <v>256061</v>
      </c>
      <c r="H257" s="25">
        <f t="shared" si="14"/>
        <v>32007.625</v>
      </c>
      <c r="I257" s="25">
        <f t="shared" si="15"/>
        <v>38689.625</v>
      </c>
      <c r="J257" s="25">
        <f t="shared" si="16"/>
        <v>6682</v>
      </c>
    </row>
    <row r="258" spans="1:10" x14ac:dyDescent="0.25">
      <c r="A258">
        <v>881</v>
      </c>
      <c r="B258">
        <v>1</v>
      </c>
      <c r="C258" t="s">
        <v>268</v>
      </c>
      <c r="D258" s="12">
        <v>21443</v>
      </c>
      <c r="E258" s="12">
        <v>7952</v>
      </c>
      <c r="F258" s="12">
        <v>88103</v>
      </c>
      <c r="G258" s="12">
        <f t="shared" si="13"/>
        <v>117498</v>
      </c>
      <c r="H258" s="25">
        <f t="shared" si="14"/>
        <v>14687.25</v>
      </c>
      <c r="I258" s="25">
        <f t="shared" si="15"/>
        <v>17868.05</v>
      </c>
      <c r="J258" s="25">
        <f t="shared" si="16"/>
        <v>3180.7999999999993</v>
      </c>
    </row>
    <row r="259" spans="1:10" x14ac:dyDescent="0.25">
      <c r="A259">
        <v>882</v>
      </c>
      <c r="B259">
        <v>1</v>
      </c>
      <c r="C259" t="s">
        <v>269</v>
      </c>
      <c r="D259" s="12">
        <v>113767</v>
      </c>
      <c r="E259" s="12">
        <v>44203</v>
      </c>
      <c r="F259" s="12">
        <v>298301</v>
      </c>
      <c r="G259" s="12">
        <f t="shared" si="13"/>
        <v>456271</v>
      </c>
      <c r="H259" s="25">
        <f t="shared" si="14"/>
        <v>57033.875</v>
      </c>
      <c r="I259" s="25">
        <f t="shared" si="15"/>
        <v>74715.074999999997</v>
      </c>
      <c r="J259" s="25">
        <f t="shared" si="16"/>
        <v>17681.199999999997</v>
      </c>
    </row>
    <row r="260" spans="1:10" x14ac:dyDescent="0.25">
      <c r="A260">
        <v>883</v>
      </c>
      <c r="B260">
        <v>1</v>
      </c>
      <c r="C260" t="s">
        <v>270</v>
      </c>
      <c r="D260" s="12">
        <v>47429</v>
      </c>
      <c r="E260" s="12">
        <v>11333</v>
      </c>
      <c r="F260" s="12">
        <v>111410</v>
      </c>
      <c r="G260" s="12">
        <f t="shared" si="13"/>
        <v>170172</v>
      </c>
      <c r="H260" s="25">
        <f t="shared" si="14"/>
        <v>21271.5</v>
      </c>
      <c r="I260" s="25">
        <f t="shared" si="15"/>
        <v>25804.7</v>
      </c>
      <c r="J260" s="25">
        <f t="shared" si="16"/>
        <v>4533.2000000000007</v>
      </c>
    </row>
    <row r="261" spans="1:10" x14ac:dyDescent="0.25">
      <c r="A261">
        <v>885</v>
      </c>
      <c r="B261">
        <v>1</v>
      </c>
      <c r="C261" t="s">
        <v>271</v>
      </c>
      <c r="D261" s="12">
        <v>75388</v>
      </c>
      <c r="E261" s="12">
        <v>34877</v>
      </c>
      <c r="F261" s="12">
        <v>532006</v>
      </c>
      <c r="G261" s="12">
        <f t="shared" si="13"/>
        <v>642271</v>
      </c>
      <c r="H261" s="25">
        <f t="shared" si="14"/>
        <v>80283.875</v>
      </c>
      <c r="I261" s="25">
        <f t="shared" si="15"/>
        <v>94234.675000000003</v>
      </c>
      <c r="J261" s="25">
        <f t="shared" si="16"/>
        <v>13950.800000000003</v>
      </c>
    </row>
    <row r="262" spans="1:10" x14ac:dyDescent="0.25">
      <c r="A262">
        <v>891</v>
      </c>
      <c r="B262">
        <v>1</v>
      </c>
      <c r="C262" t="s">
        <v>272</v>
      </c>
      <c r="D262" s="12">
        <v>15373</v>
      </c>
      <c r="E262" s="12">
        <v>13192</v>
      </c>
      <c r="F262" s="12">
        <v>37609</v>
      </c>
      <c r="G262" s="12">
        <f t="shared" si="13"/>
        <v>66174</v>
      </c>
      <c r="H262" s="25">
        <f t="shared" si="14"/>
        <v>8271.75</v>
      </c>
      <c r="I262" s="25">
        <f t="shared" si="15"/>
        <v>13548.55</v>
      </c>
      <c r="J262" s="25">
        <f t="shared" si="16"/>
        <v>5276.7999999999993</v>
      </c>
    </row>
    <row r="263" spans="1:10" x14ac:dyDescent="0.25">
      <c r="A263">
        <v>911</v>
      </c>
      <c r="B263">
        <v>1</v>
      </c>
      <c r="C263" t="s">
        <v>273</v>
      </c>
      <c r="D263" s="12">
        <v>183950</v>
      </c>
      <c r="E263" s="12">
        <v>73203</v>
      </c>
      <c r="F263" s="12">
        <v>299011</v>
      </c>
      <c r="G263" s="12">
        <f t="shared" si="13"/>
        <v>556164</v>
      </c>
      <c r="H263" s="25">
        <f t="shared" si="14"/>
        <v>69520.5</v>
      </c>
      <c r="I263" s="25">
        <f t="shared" si="15"/>
        <v>98801.7</v>
      </c>
      <c r="J263" s="25">
        <f t="shared" si="16"/>
        <v>29281.199999999997</v>
      </c>
    </row>
    <row r="264" spans="1:10" x14ac:dyDescent="0.25">
      <c r="A264">
        <v>912</v>
      </c>
      <c r="B264">
        <v>1</v>
      </c>
      <c r="C264" t="s">
        <v>274</v>
      </c>
      <c r="D264" s="12">
        <v>87982</v>
      </c>
      <c r="E264" s="12">
        <v>29540</v>
      </c>
      <c r="F264" s="12">
        <v>121134</v>
      </c>
      <c r="G264" s="12">
        <f t="shared" ref="G264:G327" si="17">SUM(D264:F264)</f>
        <v>238656</v>
      </c>
      <c r="H264" s="25">
        <f t="shared" ref="H264:H327" si="18">G264*0.125</f>
        <v>29832</v>
      </c>
      <c r="I264" s="25">
        <f t="shared" ref="I264:I327" si="19">H264+0.4*E264</f>
        <v>41648</v>
      </c>
      <c r="J264" s="25">
        <f t="shared" ref="J264:J327" si="20">I264-H264</f>
        <v>11816</v>
      </c>
    </row>
    <row r="265" spans="1:10" x14ac:dyDescent="0.25">
      <c r="A265">
        <v>914</v>
      </c>
      <c r="B265">
        <v>1</v>
      </c>
      <c r="C265" t="s">
        <v>275</v>
      </c>
      <c r="D265" s="12">
        <v>10646</v>
      </c>
      <c r="E265" s="12">
        <v>2698</v>
      </c>
      <c r="F265" s="12">
        <v>30892</v>
      </c>
      <c r="G265" s="12">
        <f t="shared" si="17"/>
        <v>44236</v>
      </c>
      <c r="H265" s="25">
        <f t="shared" si="18"/>
        <v>5529.5</v>
      </c>
      <c r="I265" s="25">
        <f t="shared" si="19"/>
        <v>6608.7</v>
      </c>
      <c r="J265" s="25">
        <f t="shared" si="20"/>
        <v>1079.1999999999998</v>
      </c>
    </row>
    <row r="266" spans="1:10" x14ac:dyDescent="0.25">
      <c r="A266">
        <v>2071</v>
      </c>
      <c r="B266">
        <v>1</v>
      </c>
      <c r="C266" t="s">
        <v>276</v>
      </c>
      <c r="D266" s="12">
        <v>24695</v>
      </c>
      <c r="E266" s="12">
        <v>13497</v>
      </c>
      <c r="F266" s="12">
        <v>67871</v>
      </c>
      <c r="G266" s="12">
        <f t="shared" si="17"/>
        <v>106063</v>
      </c>
      <c r="H266" s="25">
        <f t="shared" si="18"/>
        <v>13257.875</v>
      </c>
      <c r="I266" s="25">
        <f t="shared" si="19"/>
        <v>18656.674999999999</v>
      </c>
      <c r="J266" s="25">
        <f t="shared" si="20"/>
        <v>5398.7999999999993</v>
      </c>
    </row>
    <row r="267" spans="1:10" x14ac:dyDescent="0.25">
      <c r="A267">
        <v>2125</v>
      </c>
      <c r="B267">
        <v>1</v>
      </c>
      <c r="C267" t="s">
        <v>277</v>
      </c>
      <c r="D267" s="12">
        <v>54122</v>
      </c>
      <c r="E267" s="12">
        <v>12599</v>
      </c>
      <c r="F267" s="12">
        <v>81920</v>
      </c>
      <c r="G267" s="12">
        <f t="shared" si="17"/>
        <v>148641</v>
      </c>
      <c r="H267" s="25">
        <f t="shared" si="18"/>
        <v>18580.125</v>
      </c>
      <c r="I267" s="25">
        <f t="shared" si="19"/>
        <v>23619.724999999999</v>
      </c>
      <c r="J267" s="25">
        <f t="shared" si="20"/>
        <v>5039.5999999999985</v>
      </c>
    </row>
    <row r="268" spans="1:10" x14ac:dyDescent="0.25">
      <c r="A268">
        <v>2134</v>
      </c>
      <c r="B268">
        <v>1</v>
      </c>
      <c r="C268" t="s">
        <v>278</v>
      </c>
      <c r="D268" s="12">
        <v>33215</v>
      </c>
      <c r="E268" s="12">
        <v>10707</v>
      </c>
      <c r="F268" s="12">
        <v>51277</v>
      </c>
      <c r="G268" s="12">
        <f t="shared" si="17"/>
        <v>95199</v>
      </c>
      <c r="H268" s="25">
        <f t="shared" si="18"/>
        <v>11899.875</v>
      </c>
      <c r="I268" s="25">
        <f t="shared" si="19"/>
        <v>16182.674999999999</v>
      </c>
      <c r="J268" s="25">
        <f t="shared" si="20"/>
        <v>4282.7999999999993</v>
      </c>
    </row>
    <row r="269" spans="1:10" x14ac:dyDescent="0.25">
      <c r="A269">
        <v>2135</v>
      </c>
      <c r="B269">
        <v>1</v>
      </c>
      <c r="C269" t="s">
        <v>279</v>
      </c>
      <c r="D269" s="12">
        <v>42986</v>
      </c>
      <c r="E269" s="12">
        <v>16552</v>
      </c>
      <c r="F269" s="12">
        <v>84687</v>
      </c>
      <c r="G269" s="12">
        <f t="shared" si="17"/>
        <v>144225</v>
      </c>
      <c r="H269" s="25">
        <f t="shared" si="18"/>
        <v>18028.125</v>
      </c>
      <c r="I269" s="25">
        <f t="shared" si="19"/>
        <v>24648.924999999999</v>
      </c>
      <c r="J269" s="25">
        <f t="shared" si="20"/>
        <v>6620.7999999999993</v>
      </c>
    </row>
    <row r="270" spans="1:10" x14ac:dyDescent="0.25">
      <c r="A270">
        <v>2137</v>
      </c>
      <c r="B270">
        <v>1</v>
      </c>
      <c r="C270" t="s">
        <v>280</v>
      </c>
      <c r="D270" s="12">
        <v>20899</v>
      </c>
      <c r="E270" s="12">
        <v>5733</v>
      </c>
      <c r="F270" s="12">
        <v>55613</v>
      </c>
      <c r="G270" s="12">
        <f t="shared" si="17"/>
        <v>82245</v>
      </c>
      <c r="H270" s="25">
        <f t="shared" si="18"/>
        <v>10280.625</v>
      </c>
      <c r="I270" s="25">
        <f t="shared" si="19"/>
        <v>12573.825000000001</v>
      </c>
      <c r="J270" s="25">
        <f t="shared" si="20"/>
        <v>2293.2000000000007</v>
      </c>
    </row>
    <row r="271" spans="1:10" x14ac:dyDescent="0.25">
      <c r="A271">
        <v>2142</v>
      </c>
      <c r="B271">
        <v>1</v>
      </c>
      <c r="C271" t="s">
        <v>281</v>
      </c>
      <c r="D271" s="12">
        <v>94299</v>
      </c>
      <c r="E271" s="12">
        <v>27164</v>
      </c>
      <c r="F271" s="12">
        <v>103586</v>
      </c>
      <c r="G271" s="12">
        <f t="shared" si="17"/>
        <v>225049</v>
      </c>
      <c r="H271" s="25">
        <f t="shared" si="18"/>
        <v>28131.125</v>
      </c>
      <c r="I271" s="25">
        <f t="shared" si="19"/>
        <v>38996.724999999999</v>
      </c>
      <c r="J271" s="25">
        <f t="shared" si="20"/>
        <v>10865.599999999999</v>
      </c>
    </row>
    <row r="272" spans="1:10" x14ac:dyDescent="0.25">
      <c r="A272">
        <v>2143</v>
      </c>
      <c r="B272">
        <v>1</v>
      </c>
      <c r="C272" t="s">
        <v>282</v>
      </c>
      <c r="D272" s="12">
        <v>27996</v>
      </c>
      <c r="E272" s="12">
        <v>14578</v>
      </c>
      <c r="F272" s="12">
        <v>67564</v>
      </c>
      <c r="G272" s="12">
        <f t="shared" si="17"/>
        <v>110138</v>
      </c>
      <c r="H272" s="25">
        <f t="shared" si="18"/>
        <v>13767.25</v>
      </c>
      <c r="I272" s="25">
        <f t="shared" si="19"/>
        <v>19598.45</v>
      </c>
      <c r="J272" s="25">
        <f t="shared" si="20"/>
        <v>5831.2000000000007</v>
      </c>
    </row>
    <row r="273" spans="1:10" x14ac:dyDescent="0.25">
      <c r="A273">
        <v>2144</v>
      </c>
      <c r="B273">
        <v>1</v>
      </c>
      <c r="C273" t="s">
        <v>283</v>
      </c>
      <c r="D273" s="12">
        <v>74243</v>
      </c>
      <c r="E273" s="12">
        <v>34126</v>
      </c>
      <c r="F273" s="12">
        <v>258934</v>
      </c>
      <c r="G273" s="12">
        <f t="shared" si="17"/>
        <v>367303</v>
      </c>
      <c r="H273" s="25">
        <f t="shared" si="18"/>
        <v>45912.875</v>
      </c>
      <c r="I273" s="25">
        <f t="shared" si="19"/>
        <v>59563.275000000001</v>
      </c>
      <c r="J273" s="25">
        <f t="shared" si="20"/>
        <v>13650.400000000001</v>
      </c>
    </row>
    <row r="274" spans="1:10" x14ac:dyDescent="0.25">
      <c r="A274">
        <v>2149</v>
      </c>
      <c r="B274">
        <v>1</v>
      </c>
      <c r="C274" t="s">
        <v>284</v>
      </c>
      <c r="D274" s="12">
        <v>41440</v>
      </c>
      <c r="E274" s="12">
        <v>13306</v>
      </c>
      <c r="F274" s="12">
        <v>73332</v>
      </c>
      <c r="G274" s="12">
        <f t="shared" si="17"/>
        <v>128078</v>
      </c>
      <c r="H274" s="25">
        <f t="shared" si="18"/>
        <v>16009.75</v>
      </c>
      <c r="I274" s="25">
        <f t="shared" si="19"/>
        <v>21332.15</v>
      </c>
      <c r="J274" s="25">
        <f t="shared" si="20"/>
        <v>5322.4000000000015</v>
      </c>
    </row>
    <row r="275" spans="1:10" x14ac:dyDescent="0.25">
      <c r="A275">
        <v>2154</v>
      </c>
      <c r="B275">
        <v>1</v>
      </c>
      <c r="C275" t="s">
        <v>285</v>
      </c>
      <c r="D275" s="12">
        <v>40667</v>
      </c>
      <c r="E275" s="12">
        <v>15022</v>
      </c>
      <c r="F275" s="12">
        <v>44931</v>
      </c>
      <c r="G275" s="12">
        <f t="shared" si="17"/>
        <v>100620</v>
      </c>
      <c r="H275" s="25">
        <f t="shared" si="18"/>
        <v>12577.5</v>
      </c>
      <c r="I275" s="25">
        <f t="shared" si="19"/>
        <v>18586.3</v>
      </c>
      <c r="J275" s="25">
        <f t="shared" si="20"/>
        <v>6008.7999999999993</v>
      </c>
    </row>
    <row r="276" spans="1:10" x14ac:dyDescent="0.25">
      <c r="A276">
        <v>2155</v>
      </c>
      <c r="B276">
        <v>1</v>
      </c>
      <c r="C276" t="s">
        <v>286</v>
      </c>
      <c r="D276" s="12">
        <v>63986</v>
      </c>
      <c r="E276" s="12">
        <v>19542</v>
      </c>
      <c r="F276" s="12">
        <v>57113</v>
      </c>
      <c r="G276" s="12">
        <f t="shared" si="17"/>
        <v>140641</v>
      </c>
      <c r="H276" s="25">
        <f t="shared" si="18"/>
        <v>17580.125</v>
      </c>
      <c r="I276" s="25">
        <f t="shared" si="19"/>
        <v>25396.924999999999</v>
      </c>
      <c r="J276" s="25">
        <f t="shared" si="20"/>
        <v>7816.7999999999993</v>
      </c>
    </row>
    <row r="277" spans="1:10" x14ac:dyDescent="0.25">
      <c r="A277">
        <v>2159</v>
      </c>
      <c r="B277">
        <v>1</v>
      </c>
      <c r="C277" t="s">
        <v>287</v>
      </c>
      <c r="D277" s="12">
        <v>22402</v>
      </c>
      <c r="E277" s="12">
        <v>7080</v>
      </c>
      <c r="F277" s="12">
        <v>38873</v>
      </c>
      <c r="G277" s="12">
        <f t="shared" si="17"/>
        <v>68355</v>
      </c>
      <c r="H277" s="25">
        <f t="shared" si="18"/>
        <v>8544.375</v>
      </c>
      <c r="I277" s="25">
        <f t="shared" si="19"/>
        <v>11376.375</v>
      </c>
      <c r="J277" s="25">
        <f t="shared" si="20"/>
        <v>2832</v>
      </c>
    </row>
    <row r="278" spans="1:10" x14ac:dyDescent="0.25">
      <c r="A278">
        <v>2164</v>
      </c>
      <c r="B278">
        <v>1</v>
      </c>
      <c r="C278" t="s">
        <v>288</v>
      </c>
      <c r="D278" s="12">
        <v>45521</v>
      </c>
      <c r="E278" s="12">
        <v>9722</v>
      </c>
      <c r="F278" s="12">
        <v>128774</v>
      </c>
      <c r="G278" s="12">
        <f t="shared" si="17"/>
        <v>184017</v>
      </c>
      <c r="H278" s="25">
        <f t="shared" si="18"/>
        <v>23002.125</v>
      </c>
      <c r="I278" s="25">
        <f t="shared" si="19"/>
        <v>26890.924999999999</v>
      </c>
      <c r="J278" s="25">
        <f t="shared" si="20"/>
        <v>3888.7999999999993</v>
      </c>
    </row>
    <row r="279" spans="1:10" x14ac:dyDescent="0.25">
      <c r="A279">
        <v>2165</v>
      </c>
      <c r="B279">
        <v>1</v>
      </c>
      <c r="C279" t="s">
        <v>289</v>
      </c>
      <c r="D279" s="12">
        <v>59838</v>
      </c>
      <c r="E279" s="12">
        <v>16971</v>
      </c>
      <c r="F279" s="12">
        <v>46582</v>
      </c>
      <c r="G279" s="12">
        <f t="shared" si="17"/>
        <v>123391</v>
      </c>
      <c r="H279" s="25">
        <f t="shared" si="18"/>
        <v>15423.875</v>
      </c>
      <c r="I279" s="25">
        <f t="shared" si="19"/>
        <v>22212.275000000001</v>
      </c>
      <c r="J279" s="25">
        <f t="shared" si="20"/>
        <v>6788.4000000000015</v>
      </c>
    </row>
    <row r="280" spans="1:10" x14ac:dyDescent="0.25">
      <c r="A280">
        <v>2167</v>
      </c>
      <c r="B280">
        <v>1</v>
      </c>
      <c r="C280" t="s">
        <v>290</v>
      </c>
      <c r="D280" s="12">
        <v>23122</v>
      </c>
      <c r="E280" s="12">
        <v>12713</v>
      </c>
      <c r="F280" s="12">
        <v>56342</v>
      </c>
      <c r="G280" s="12">
        <f t="shared" si="17"/>
        <v>92177</v>
      </c>
      <c r="H280" s="25">
        <f t="shared" si="18"/>
        <v>11522.125</v>
      </c>
      <c r="I280" s="25">
        <f t="shared" si="19"/>
        <v>16607.325000000001</v>
      </c>
      <c r="J280" s="25">
        <f t="shared" si="20"/>
        <v>5085.2000000000007</v>
      </c>
    </row>
    <row r="281" spans="1:10" x14ac:dyDescent="0.25">
      <c r="A281">
        <v>2168</v>
      </c>
      <c r="B281">
        <v>1</v>
      </c>
      <c r="C281" t="s">
        <v>291</v>
      </c>
      <c r="D281" s="12">
        <v>38086</v>
      </c>
      <c r="E281" s="12">
        <v>15746</v>
      </c>
      <c r="F281" s="12">
        <v>71746</v>
      </c>
      <c r="G281" s="12">
        <f t="shared" si="17"/>
        <v>125578</v>
      </c>
      <c r="H281" s="25">
        <f t="shared" si="18"/>
        <v>15697.25</v>
      </c>
      <c r="I281" s="25">
        <f t="shared" si="19"/>
        <v>21995.65</v>
      </c>
      <c r="J281" s="25">
        <f t="shared" si="20"/>
        <v>6298.4000000000015</v>
      </c>
    </row>
    <row r="282" spans="1:10" x14ac:dyDescent="0.25">
      <c r="A282">
        <v>2169</v>
      </c>
      <c r="B282">
        <v>1</v>
      </c>
      <c r="C282" t="s">
        <v>292</v>
      </c>
      <c r="D282" s="12">
        <v>23169</v>
      </c>
      <c r="E282" s="12">
        <v>11353</v>
      </c>
      <c r="F282" s="12">
        <v>71955</v>
      </c>
      <c r="G282" s="12">
        <f t="shared" si="17"/>
        <v>106477</v>
      </c>
      <c r="H282" s="25">
        <f t="shared" si="18"/>
        <v>13309.625</v>
      </c>
      <c r="I282" s="25">
        <f t="shared" si="19"/>
        <v>17850.825000000001</v>
      </c>
      <c r="J282" s="25">
        <f t="shared" si="20"/>
        <v>4541.2000000000007</v>
      </c>
    </row>
    <row r="283" spans="1:10" x14ac:dyDescent="0.25">
      <c r="A283">
        <v>2170</v>
      </c>
      <c r="B283">
        <v>1</v>
      </c>
      <c r="C283" t="s">
        <v>293</v>
      </c>
      <c r="D283" s="12">
        <v>81498</v>
      </c>
      <c r="E283" s="12">
        <v>22745</v>
      </c>
      <c r="F283" s="12">
        <v>51119</v>
      </c>
      <c r="G283" s="12">
        <f t="shared" si="17"/>
        <v>155362</v>
      </c>
      <c r="H283" s="25">
        <f t="shared" si="18"/>
        <v>19420.25</v>
      </c>
      <c r="I283" s="25">
        <f t="shared" si="19"/>
        <v>28518.25</v>
      </c>
      <c r="J283" s="25">
        <f t="shared" si="20"/>
        <v>9098</v>
      </c>
    </row>
    <row r="284" spans="1:10" x14ac:dyDescent="0.25">
      <c r="A284">
        <v>2171</v>
      </c>
      <c r="B284">
        <v>1</v>
      </c>
      <c r="C284" t="s">
        <v>294</v>
      </c>
      <c r="D284" s="12">
        <v>8188</v>
      </c>
      <c r="E284" s="12">
        <v>4999</v>
      </c>
      <c r="F284" s="12">
        <v>25681</v>
      </c>
      <c r="G284" s="12">
        <f t="shared" si="17"/>
        <v>38868</v>
      </c>
      <c r="H284" s="25">
        <f t="shared" si="18"/>
        <v>4858.5</v>
      </c>
      <c r="I284" s="25">
        <f t="shared" si="19"/>
        <v>6858.1</v>
      </c>
      <c r="J284" s="25">
        <f t="shared" si="20"/>
        <v>1999.6000000000004</v>
      </c>
    </row>
    <row r="285" spans="1:10" x14ac:dyDescent="0.25">
      <c r="A285">
        <v>2172</v>
      </c>
      <c r="B285">
        <v>1</v>
      </c>
      <c r="C285" t="s">
        <v>295</v>
      </c>
      <c r="D285" s="12">
        <v>29522</v>
      </c>
      <c r="E285" s="12">
        <v>9265</v>
      </c>
      <c r="F285" s="12">
        <v>67874</v>
      </c>
      <c r="G285" s="12">
        <f t="shared" si="17"/>
        <v>106661</v>
      </c>
      <c r="H285" s="25">
        <f t="shared" si="18"/>
        <v>13332.625</v>
      </c>
      <c r="I285" s="25">
        <f t="shared" si="19"/>
        <v>17038.625</v>
      </c>
      <c r="J285" s="25">
        <f t="shared" si="20"/>
        <v>3706</v>
      </c>
    </row>
    <row r="286" spans="1:10" x14ac:dyDescent="0.25">
      <c r="A286">
        <v>2174</v>
      </c>
      <c r="B286">
        <v>1</v>
      </c>
      <c r="C286" t="s">
        <v>296</v>
      </c>
      <c r="D286" s="12">
        <v>66011</v>
      </c>
      <c r="E286" s="12">
        <v>12188</v>
      </c>
      <c r="F286" s="12">
        <v>39663</v>
      </c>
      <c r="G286" s="12">
        <f t="shared" si="17"/>
        <v>117862</v>
      </c>
      <c r="H286" s="25">
        <f t="shared" si="18"/>
        <v>14732.75</v>
      </c>
      <c r="I286" s="25">
        <f t="shared" si="19"/>
        <v>19607.95</v>
      </c>
      <c r="J286" s="25">
        <f t="shared" si="20"/>
        <v>4875.2000000000007</v>
      </c>
    </row>
    <row r="287" spans="1:10" x14ac:dyDescent="0.25">
      <c r="A287">
        <v>2176</v>
      </c>
      <c r="B287">
        <v>1</v>
      </c>
      <c r="C287" t="s">
        <v>297</v>
      </c>
      <c r="D287" s="12">
        <v>18522</v>
      </c>
      <c r="E287" s="12">
        <v>5797</v>
      </c>
      <c r="F287" s="12">
        <v>29145</v>
      </c>
      <c r="G287" s="12">
        <f t="shared" si="17"/>
        <v>53464</v>
      </c>
      <c r="H287" s="25">
        <f t="shared" si="18"/>
        <v>6683</v>
      </c>
      <c r="I287" s="25">
        <f t="shared" si="19"/>
        <v>9001.7999999999993</v>
      </c>
      <c r="J287" s="25">
        <f t="shared" si="20"/>
        <v>2318.7999999999993</v>
      </c>
    </row>
    <row r="288" spans="1:10" x14ac:dyDescent="0.25">
      <c r="A288">
        <v>2180</v>
      </c>
      <c r="B288">
        <v>1</v>
      </c>
      <c r="C288" t="s">
        <v>298</v>
      </c>
      <c r="D288" s="12">
        <v>27399</v>
      </c>
      <c r="E288" s="12">
        <v>10418</v>
      </c>
      <c r="F288" s="12">
        <v>42009</v>
      </c>
      <c r="G288" s="12">
        <f t="shared" si="17"/>
        <v>79826</v>
      </c>
      <c r="H288" s="25">
        <f t="shared" si="18"/>
        <v>9978.25</v>
      </c>
      <c r="I288" s="25">
        <f t="shared" si="19"/>
        <v>14145.45</v>
      </c>
      <c r="J288" s="25">
        <f t="shared" si="20"/>
        <v>4167.2000000000007</v>
      </c>
    </row>
    <row r="289" spans="1:10" x14ac:dyDescent="0.25">
      <c r="A289">
        <v>2184</v>
      </c>
      <c r="B289">
        <v>1</v>
      </c>
      <c r="C289" t="s">
        <v>299</v>
      </c>
      <c r="D289" s="12">
        <v>33460</v>
      </c>
      <c r="E289" s="12">
        <v>19759</v>
      </c>
      <c r="F289" s="12">
        <v>88741</v>
      </c>
      <c r="G289" s="12">
        <f t="shared" si="17"/>
        <v>141960</v>
      </c>
      <c r="H289" s="25">
        <f t="shared" si="18"/>
        <v>17745</v>
      </c>
      <c r="I289" s="25">
        <f t="shared" si="19"/>
        <v>25648.6</v>
      </c>
      <c r="J289" s="25">
        <f t="shared" si="20"/>
        <v>7903.5999999999985</v>
      </c>
    </row>
    <row r="290" spans="1:10" x14ac:dyDescent="0.25">
      <c r="A290">
        <v>2190</v>
      </c>
      <c r="B290">
        <v>1</v>
      </c>
      <c r="C290" t="s">
        <v>300</v>
      </c>
      <c r="D290" s="12">
        <v>38988</v>
      </c>
      <c r="E290" s="12">
        <v>11921</v>
      </c>
      <c r="F290" s="12">
        <v>45157</v>
      </c>
      <c r="G290" s="12">
        <f t="shared" si="17"/>
        <v>96066</v>
      </c>
      <c r="H290" s="25">
        <f t="shared" si="18"/>
        <v>12008.25</v>
      </c>
      <c r="I290" s="25">
        <f t="shared" si="19"/>
        <v>16776.650000000001</v>
      </c>
      <c r="J290" s="25">
        <f t="shared" si="20"/>
        <v>4768.4000000000015</v>
      </c>
    </row>
    <row r="291" spans="1:10" x14ac:dyDescent="0.25">
      <c r="A291">
        <v>2198</v>
      </c>
      <c r="B291">
        <v>1</v>
      </c>
      <c r="C291" t="s">
        <v>301</v>
      </c>
      <c r="D291" s="12">
        <v>22200</v>
      </c>
      <c r="E291" s="12">
        <v>7286</v>
      </c>
      <c r="F291" s="12">
        <v>50726</v>
      </c>
      <c r="G291" s="12">
        <f t="shared" si="17"/>
        <v>80212</v>
      </c>
      <c r="H291" s="25">
        <f t="shared" si="18"/>
        <v>10026.5</v>
      </c>
      <c r="I291" s="25">
        <f t="shared" si="19"/>
        <v>12940.9</v>
      </c>
      <c r="J291" s="25">
        <f t="shared" si="20"/>
        <v>2914.3999999999996</v>
      </c>
    </row>
    <row r="292" spans="1:10" x14ac:dyDescent="0.25">
      <c r="A292">
        <v>2215</v>
      </c>
      <c r="B292">
        <v>1</v>
      </c>
      <c r="C292" t="s">
        <v>302</v>
      </c>
      <c r="D292" s="12">
        <v>18109</v>
      </c>
      <c r="E292" s="12">
        <v>5141</v>
      </c>
      <c r="F292" s="12">
        <v>21577</v>
      </c>
      <c r="G292" s="12">
        <f t="shared" si="17"/>
        <v>44827</v>
      </c>
      <c r="H292" s="25">
        <f t="shared" si="18"/>
        <v>5603.375</v>
      </c>
      <c r="I292" s="25">
        <f t="shared" si="19"/>
        <v>7659.7749999999996</v>
      </c>
      <c r="J292" s="25">
        <f t="shared" si="20"/>
        <v>2056.3999999999996</v>
      </c>
    </row>
    <row r="293" spans="1:10" x14ac:dyDescent="0.25">
      <c r="A293">
        <v>2310</v>
      </c>
      <c r="B293">
        <v>1</v>
      </c>
      <c r="C293" t="s">
        <v>303</v>
      </c>
      <c r="D293" s="12">
        <v>55470</v>
      </c>
      <c r="E293" s="12">
        <v>19785</v>
      </c>
      <c r="F293" s="12">
        <v>85065</v>
      </c>
      <c r="G293" s="12">
        <f t="shared" si="17"/>
        <v>160320</v>
      </c>
      <c r="H293" s="25">
        <f t="shared" si="18"/>
        <v>20040</v>
      </c>
      <c r="I293" s="25">
        <f t="shared" si="19"/>
        <v>27954</v>
      </c>
      <c r="J293" s="25">
        <f t="shared" si="20"/>
        <v>7914</v>
      </c>
    </row>
    <row r="294" spans="1:10" x14ac:dyDescent="0.25">
      <c r="A294">
        <v>2311</v>
      </c>
      <c r="B294">
        <v>1</v>
      </c>
      <c r="C294" t="s">
        <v>304</v>
      </c>
      <c r="D294" s="12">
        <v>21316</v>
      </c>
      <c r="E294" s="12">
        <v>6296</v>
      </c>
      <c r="F294" s="12">
        <v>24135</v>
      </c>
      <c r="G294" s="12">
        <f t="shared" si="17"/>
        <v>51747</v>
      </c>
      <c r="H294" s="25">
        <f t="shared" si="18"/>
        <v>6468.375</v>
      </c>
      <c r="I294" s="25">
        <f t="shared" si="19"/>
        <v>8986.7749999999996</v>
      </c>
      <c r="J294" s="25">
        <f t="shared" si="20"/>
        <v>2518.3999999999996</v>
      </c>
    </row>
    <row r="295" spans="1:10" x14ac:dyDescent="0.25">
      <c r="A295">
        <v>2342</v>
      </c>
      <c r="B295">
        <v>1</v>
      </c>
      <c r="C295" t="s">
        <v>305</v>
      </c>
      <c r="D295" s="12">
        <v>31086</v>
      </c>
      <c r="E295" s="12">
        <v>15116</v>
      </c>
      <c r="F295" s="12">
        <v>55244</v>
      </c>
      <c r="G295" s="12">
        <f t="shared" si="17"/>
        <v>101446</v>
      </c>
      <c r="H295" s="25">
        <f t="shared" si="18"/>
        <v>12680.75</v>
      </c>
      <c r="I295" s="25">
        <f t="shared" si="19"/>
        <v>18727.150000000001</v>
      </c>
      <c r="J295" s="25">
        <f t="shared" si="20"/>
        <v>6046.4000000000015</v>
      </c>
    </row>
    <row r="296" spans="1:10" x14ac:dyDescent="0.25">
      <c r="A296">
        <v>2358</v>
      </c>
      <c r="B296">
        <v>1</v>
      </c>
      <c r="C296" t="s">
        <v>306</v>
      </c>
      <c r="D296" s="12">
        <v>10256</v>
      </c>
      <c r="E296" s="12">
        <v>4017</v>
      </c>
      <c r="F296" s="12">
        <v>13326</v>
      </c>
      <c r="G296" s="12">
        <f t="shared" si="17"/>
        <v>27599</v>
      </c>
      <c r="H296" s="25">
        <f t="shared" si="18"/>
        <v>3449.875</v>
      </c>
      <c r="I296" s="25">
        <f t="shared" si="19"/>
        <v>5056.6750000000002</v>
      </c>
      <c r="J296" s="25">
        <f t="shared" si="20"/>
        <v>1606.8000000000002</v>
      </c>
    </row>
    <row r="297" spans="1:10" x14ac:dyDescent="0.25">
      <c r="A297">
        <v>2364</v>
      </c>
      <c r="B297">
        <v>1</v>
      </c>
      <c r="C297" t="s">
        <v>307</v>
      </c>
      <c r="D297" s="12">
        <v>22959</v>
      </c>
      <c r="E297" s="12">
        <v>14242</v>
      </c>
      <c r="F297" s="12">
        <v>53643</v>
      </c>
      <c r="G297" s="12">
        <f t="shared" si="17"/>
        <v>90844</v>
      </c>
      <c r="H297" s="25">
        <f t="shared" si="18"/>
        <v>11355.5</v>
      </c>
      <c r="I297" s="25">
        <f t="shared" si="19"/>
        <v>17052.3</v>
      </c>
      <c r="J297" s="25">
        <f t="shared" si="20"/>
        <v>5696.7999999999993</v>
      </c>
    </row>
    <row r="298" spans="1:10" x14ac:dyDescent="0.25">
      <c r="A298">
        <v>2365</v>
      </c>
      <c r="B298">
        <v>1</v>
      </c>
      <c r="C298" t="s">
        <v>308</v>
      </c>
      <c r="D298" s="12">
        <v>34503</v>
      </c>
      <c r="E298" s="12">
        <v>10558</v>
      </c>
      <c r="F298" s="12">
        <v>57421</v>
      </c>
      <c r="G298" s="12">
        <f t="shared" si="17"/>
        <v>102482</v>
      </c>
      <c r="H298" s="25">
        <f t="shared" si="18"/>
        <v>12810.25</v>
      </c>
      <c r="I298" s="25">
        <f t="shared" si="19"/>
        <v>17033.45</v>
      </c>
      <c r="J298" s="25">
        <f t="shared" si="20"/>
        <v>4223.2000000000007</v>
      </c>
    </row>
    <row r="299" spans="1:10" x14ac:dyDescent="0.25">
      <c r="A299">
        <v>2396</v>
      </c>
      <c r="B299">
        <v>1</v>
      </c>
      <c r="C299" t="s">
        <v>309</v>
      </c>
      <c r="D299" s="12">
        <v>29445</v>
      </c>
      <c r="E299" s="12">
        <v>12992</v>
      </c>
      <c r="F299" s="12">
        <v>53303</v>
      </c>
      <c r="G299" s="12">
        <f t="shared" si="17"/>
        <v>95740</v>
      </c>
      <c r="H299" s="25">
        <f t="shared" si="18"/>
        <v>11967.5</v>
      </c>
      <c r="I299" s="25">
        <f t="shared" si="19"/>
        <v>17164.3</v>
      </c>
      <c r="J299" s="25">
        <f t="shared" si="20"/>
        <v>5196.7999999999993</v>
      </c>
    </row>
    <row r="300" spans="1:10" x14ac:dyDescent="0.25">
      <c r="A300">
        <v>2397</v>
      </c>
      <c r="B300">
        <v>1</v>
      </c>
      <c r="C300" t="s">
        <v>310</v>
      </c>
      <c r="D300" s="12">
        <v>42192</v>
      </c>
      <c r="E300" s="12">
        <v>11811</v>
      </c>
      <c r="F300" s="12">
        <v>57969</v>
      </c>
      <c r="G300" s="12">
        <f t="shared" si="17"/>
        <v>111972</v>
      </c>
      <c r="H300" s="25">
        <f t="shared" si="18"/>
        <v>13996.5</v>
      </c>
      <c r="I300" s="25">
        <f t="shared" si="19"/>
        <v>18720.900000000001</v>
      </c>
      <c r="J300" s="25">
        <f t="shared" si="20"/>
        <v>4724.4000000000015</v>
      </c>
    </row>
    <row r="301" spans="1:10" x14ac:dyDescent="0.25">
      <c r="A301">
        <v>2448</v>
      </c>
      <c r="B301">
        <v>1</v>
      </c>
      <c r="C301" t="s">
        <v>311</v>
      </c>
      <c r="D301" s="12">
        <v>27338</v>
      </c>
      <c r="E301" s="12">
        <v>12128</v>
      </c>
      <c r="F301" s="12">
        <v>60386</v>
      </c>
      <c r="G301" s="12">
        <f t="shared" si="17"/>
        <v>99852</v>
      </c>
      <c r="H301" s="25">
        <f t="shared" si="18"/>
        <v>12481.5</v>
      </c>
      <c r="I301" s="25">
        <f t="shared" si="19"/>
        <v>17332.7</v>
      </c>
      <c r="J301" s="25">
        <f t="shared" si="20"/>
        <v>4851.2000000000007</v>
      </c>
    </row>
    <row r="302" spans="1:10" x14ac:dyDescent="0.25">
      <c r="A302">
        <v>2527</v>
      </c>
      <c r="B302">
        <v>1</v>
      </c>
      <c r="C302" t="s">
        <v>312</v>
      </c>
      <c r="D302" s="12">
        <v>15897</v>
      </c>
      <c r="E302" s="12">
        <v>7140</v>
      </c>
      <c r="F302" s="12">
        <v>16295</v>
      </c>
      <c r="G302" s="12">
        <f t="shared" si="17"/>
        <v>39332</v>
      </c>
      <c r="H302" s="25">
        <f t="shared" si="18"/>
        <v>4916.5</v>
      </c>
      <c r="I302" s="25">
        <f t="shared" si="19"/>
        <v>7772.5</v>
      </c>
      <c r="J302" s="25">
        <f t="shared" si="20"/>
        <v>2856</v>
      </c>
    </row>
    <row r="303" spans="1:10" x14ac:dyDescent="0.25">
      <c r="A303">
        <v>2534</v>
      </c>
      <c r="B303">
        <v>1</v>
      </c>
      <c r="C303" t="s">
        <v>313</v>
      </c>
      <c r="D303" s="12">
        <v>38245</v>
      </c>
      <c r="E303" s="12">
        <v>10910</v>
      </c>
      <c r="F303" s="12">
        <v>45613</v>
      </c>
      <c r="G303" s="12">
        <f t="shared" si="17"/>
        <v>94768</v>
      </c>
      <c r="H303" s="25">
        <f t="shared" si="18"/>
        <v>11846</v>
      </c>
      <c r="I303" s="25">
        <f t="shared" si="19"/>
        <v>16210</v>
      </c>
      <c r="J303" s="25">
        <f t="shared" si="20"/>
        <v>4364</v>
      </c>
    </row>
    <row r="304" spans="1:10" x14ac:dyDescent="0.25">
      <c r="A304">
        <v>2536</v>
      </c>
      <c r="B304">
        <v>1</v>
      </c>
      <c r="C304" t="s">
        <v>314</v>
      </c>
      <c r="D304" s="12">
        <v>11129</v>
      </c>
      <c r="E304" s="12">
        <v>5908</v>
      </c>
      <c r="F304" s="12">
        <v>13290</v>
      </c>
      <c r="G304" s="12">
        <f t="shared" si="17"/>
        <v>30327</v>
      </c>
      <c r="H304" s="25">
        <f t="shared" si="18"/>
        <v>3790.875</v>
      </c>
      <c r="I304" s="25">
        <f t="shared" si="19"/>
        <v>6154.0750000000007</v>
      </c>
      <c r="J304" s="25">
        <f t="shared" si="20"/>
        <v>2363.2000000000007</v>
      </c>
    </row>
    <row r="305" spans="1:10" x14ac:dyDescent="0.25">
      <c r="A305">
        <v>2580</v>
      </c>
      <c r="B305">
        <v>1</v>
      </c>
      <c r="C305" t="s">
        <v>315</v>
      </c>
      <c r="D305" s="12">
        <v>49810</v>
      </c>
      <c r="E305" s="12">
        <v>8648</v>
      </c>
      <c r="F305" s="12">
        <v>26360</v>
      </c>
      <c r="G305" s="12">
        <f t="shared" si="17"/>
        <v>84818</v>
      </c>
      <c r="H305" s="25">
        <f t="shared" si="18"/>
        <v>10602.25</v>
      </c>
      <c r="I305" s="25">
        <f t="shared" si="19"/>
        <v>14061.45</v>
      </c>
      <c r="J305" s="25">
        <f t="shared" si="20"/>
        <v>3459.2000000000007</v>
      </c>
    </row>
    <row r="306" spans="1:10" x14ac:dyDescent="0.25">
      <c r="A306">
        <v>2609</v>
      </c>
      <c r="B306">
        <v>1</v>
      </c>
      <c r="C306" t="s">
        <v>316</v>
      </c>
      <c r="D306" s="12">
        <v>17718</v>
      </c>
      <c r="E306" s="12">
        <v>6049</v>
      </c>
      <c r="F306" s="12">
        <v>26812</v>
      </c>
      <c r="G306" s="12">
        <f t="shared" si="17"/>
        <v>50579</v>
      </c>
      <c r="H306" s="25">
        <f t="shared" si="18"/>
        <v>6322.375</v>
      </c>
      <c r="I306" s="25">
        <f t="shared" si="19"/>
        <v>8741.9750000000004</v>
      </c>
      <c r="J306" s="25">
        <f t="shared" si="20"/>
        <v>2419.6000000000004</v>
      </c>
    </row>
    <row r="307" spans="1:10" x14ac:dyDescent="0.25">
      <c r="A307">
        <v>2683</v>
      </c>
      <c r="B307">
        <v>1</v>
      </c>
      <c r="C307" t="s">
        <v>317</v>
      </c>
      <c r="D307" s="12">
        <v>16353</v>
      </c>
      <c r="E307" s="12">
        <v>8624</v>
      </c>
      <c r="F307" s="12">
        <v>36523</v>
      </c>
      <c r="G307" s="12">
        <f t="shared" si="17"/>
        <v>61500</v>
      </c>
      <c r="H307" s="25">
        <f t="shared" si="18"/>
        <v>7687.5</v>
      </c>
      <c r="I307" s="25">
        <f t="shared" si="19"/>
        <v>11137.1</v>
      </c>
      <c r="J307" s="25">
        <f t="shared" si="20"/>
        <v>3449.6000000000004</v>
      </c>
    </row>
    <row r="308" spans="1:10" x14ac:dyDescent="0.25">
      <c r="A308">
        <v>2687</v>
      </c>
      <c r="B308">
        <v>1</v>
      </c>
      <c r="C308" t="s">
        <v>318</v>
      </c>
      <c r="D308" s="12">
        <v>37117</v>
      </c>
      <c r="E308" s="12">
        <v>17303</v>
      </c>
      <c r="F308" s="12">
        <v>80957</v>
      </c>
      <c r="G308" s="12">
        <f t="shared" si="17"/>
        <v>135377</v>
      </c>
      <c r="H308" s="25">
        <f t="shared" si="18"/>
        <v>16922.125</v>
      </c>
      <c r="I308" s="25">
        <f t="shared" si="19"/>
        <v>23843.325000000001</v>
      </c>
      <c r="J308" s="25">
        <f t="shared" si="20"/>
        <v>6921.2000000000007</v>
      </c>
    </row>
    <row r="309" spans="1:10" x14ac:dyDescent="0.25">
      <c r="A309">
        <v>2689</v>
      </c>
      <c r="B309">
        <v>1</v>
      </c>
      <c r="C309" t="s">
        <v>319</v>
      </c>
      <c r="D309" s="12">
        <v>58021</v>
      </c>
      <c r="E309" s="12">
        <v>21061</v>
      </c>
      <c r="F309" s="12">
        <v>81670</v>
      </c>
      <c r="G309" s="12">
        <f t="shared" si="17"/>
        <v>160752</v>
      </c>
      <c r="H309" s="25">
        <f t="shared" si="18"/>
        <v>20094</v>
      </c>
      <c r="I309" s="25">
        <f t="shared" si="19"/>
        <v>28518.400000000001</v>
      </c>
      <c r="J309" s="25">
        <f t="shared" si="20"/>
        <v>8424.4000000000015</v>
      </c>
    </row>
    <row r="310" spans="1:10" x14ac:dyDescent="0.25">
      <c r="A310">
        <v>2711</v>
      </c>
      <c r="B310">
        <v>1</v>
      </c>
      <c r="C310" t="s">
        <v>320</v>
      </c>
      <c r="D310" s="12">
        <v>42773</v>
      </c>
      <c r="E310" s="12">
        <v>7784</v>
      </c>
      <c r="F310" s="12">
        <v>50640</v>
      </c>
      <c r="G310" s="12">
        <f t="shared" si="17"/>
        <v>101197</v>
      </c>
      <c r="H310" s="25">
        <f t="shared" si="18"/>
        <v>12649.625</v>
      </c>
      <c r="I310" s="25">
        <f t="shared" si="19"/>
        <v>15763.225</v>
      </c>
      <c r="J310" s="25">
        <f t="shared" si="20"/>
        <v>3113.6000000000004</v>
      </c>
    </row>
    <row r="311" spans="1:10" x14ac:dyDescent="0.25">
      <c r="A311">
        <v>2752</v>
      </c>
      <c r="B311">
        <v>1</v>
      </c>
      <c r="C311" t="s">
        <v>321</v>
      </c>
      <c r="D311" s="12">
        <v>74045</v>
      </c>
      <c r="E311" s="12">
        <v>20804</v>
      </c>
      <c r="F311" s="12">
        <v>110688</v>
      </c>
      <c r="G311" s="12">
        <f t="shared" si="17"/>
        <v>205537</v>
      </c>
      <c r="H311" s="25">
        <f t="shared" si="18"/>
        <v>25692.125</v>
      </c>
      <c r="I311" s="25">
        <f t="shared" si="19"/>
        <v>34013.724999999999</v>
      </c>
      <c r="J311" s="25">
        <f t="shared" si="20"/>
        <v>8321.5999999999985</v>
      </c>
    </row>
    <row r="312" spans="1:10" x14ac:dyDescent="0.25">
      <c r="A312">
        <v>2753</v>
      </c>
      <c r="B312">
        <v>1</v>
      </c>
      <c r="C312" t="s">
        <v>322</v>
      </c>
      <c r="D312" s="12">
        <v>69046</v>
      </c>
      <c r="E312" s="12">
        <v>21003</v>
      </c>
      <c r="F312" s="12">
        <v>59585</v>
      </c>
      <c r="G312" s="12">
        <f t="shared" si="17"/>
        <v>149634</v>
      </c>
      <c r="H312" s="25">
        <f t="shared" si="18"/>
        <v>18704.25</v>
      </c>
      <c r="I312" s="25">
        <f t="shared" si="19"/>
        <v>27105.45</v>
      </c>
      <c r="J312" s="25">
        <f t="shared" si="20"/>
        <v>8401.2000000000007</v>
      </c>
    </row>
    <row r="313" spans="1:10" x14ac:dyDescent="0.25">
      <c r="A313">
        <v>2754</v>
      </c>
      <c r="B313">
        <v>1</v>
      </c>
      <c r="C313" t="s">
        <v>323</v>
      </c>
      <c r="D313" s="12">
        <v>26638</v>
      </c>
      <c r="E313" s="12">
        <v>11531</v>
      </c>
      <c r="F313" s="12">
        <v>38980</v>
      </c>
      <c r="G313" s="12">
        <f t="shared" si="17"/>
        <v>77149</v>
      </c>
      <c r="H313" s="25">
        <f t="shared" si="18"/>
        <v>9643.625</v>
      </c>
      <c r="I313" s="25">
        <f t="shared" si="19"/>
        <v>14256.025000000001</v>
      </c>
      <c r="J313" s="25">
        <f t="shared" si="20"/>
        <v>4612.4000000000015</v>
      </c>
    </row>
    <row r="314" spans="1:10" x14ac:dyDescent="0.25">
      <c r="A314">
        <v>2759</v>
      </c>
      <c r="B314">
        <v>1</v>
      </c>
      <c r="C314" t="s">
        <v>324</v>
      </c>
      <c r="D314" s="12">
        <v>19085</v>
      </c>
      <c r="E314" s="12">
        <v>6638</v>
      </c>
      <c r="F314" s="12">
        <v>12428</v>
      </c>
      <c r="G314" s="12">
        <f t="shared" si="17"/>
        <v>38151</v>
      </c>
      <c r="H314" s="25">
        <f t="shared" si="18"/>
        <v>4768.875</v>
      </c>
      <c r="I314" s="25">
        <f t="shared" si="19"/>
        <v>7424.0750000000007</v>
      </c>
      <c r="J314" s="25">
        <f t="shared" si="20"/>
        <v>2655.2000000000007</v>
      </c>
    </row>
    <row r="315" spans="1:10" x14ac:dyDescent="0.25">
      <c r="A315">
        <v>2769</v>
      </c>
      <c r="B315">
        <v>1</v>
      </c>
      <c r="C315" t="s">
        <v>325</v>
      </c>
      <c r="D315" s="12">
        <v>31305</v>
      </c>
      <c r="E315" s="12">
        <v>13408</v>
      </c>
      <c r="F315" s="12">
        <v>88134</v>
      </c>
      <c r="G315" s="12">
        <f t="shared" si="17"/>
        <v>132847</v>
      </c>
      <c r="H315" s="25">
        <f t="shared" si="18"/>
        <v>16605.875</v>
      </c>
      <c r="I315" s="25">
        <f t="shared" si="19"/>
        <v>21969.075000000001</v>
      </c>
      <c r="J315" s="25">
        <f t="shared" si="20"/>
        <v>5363.2000000000007</v>
      </c>
    </row>
    <row r="316" spans="1:10" x14ac:dyDescent="0.25">
      <c r="A316">
        <v>2805</v>
      </c>
      <c r="B316">
        <v>1</v>
      </c>
      <c r="C316" t="s">
        <v>326</v>
      </c>
      <c r="D316" s="12">
        <v>25284</v>
      </c>
      <c r="E316" s="12">
        <v>8067</v>
      </c>
      <c r="F316" s="12">
        <v>78820</v>
      </c>
      <c r="G316" s="12">
        <f t="shared" si="17"/>
        <v>112171</v>
      </c>
      <c r="H316" s="25">
        <f t="shared" si="18"/>
        <v>14021.375</v>
      </c>
      <c r="I316" s="25">
        <f t="shared" si="19"/>
        <v>17248.174999999999</v>
      </c>
      <c r="J316" s="25">
        <f t="shared" si="20"/>
        <v>3226.7999999999993</v>
      </c>
    </row>
    <row r="317" spans="1:10" x14ac:dyDescent="0.25">
      <c r="A317">
        <v>2835</v>
      </c>
      <c r="B317">
        <v>1</v>
      </c>
      <c r="C317" t="s">
        <v>327</v>
      </c>
      <c r="D317" s="12">
        <v>20258</v>
      </c>
      <c r="E317" s="12">
        <v>6947</v>
      </c>
      <c r="F317" s="12">
        <v>47190</v>
      </c>
      <c r="G317" s="12">
        <f t="shared" si="17"/>
        <v>74395</v>
      </c>
      <c r="H317" s="25">
        <f t="shared" si="18"/>
        <v>9299.375</v>
      </c>
      <c r="I317" s="25">
        <f t="shared" si="19"/>
        <v>12078.174999999999</v>
      </c>
      <c r="J317" s="25">
        <f t="shared" si="20"/>
        <v>2778.7999999999993</v>
      </c>
    </row>
    <row r="318" spans="1:10" x14ac:dyDescent="0.25">
      <c r="A318">
        <v>2853</v>
      </c>
      <c r="B318">
        <v>1</v>
      </c>
      <c r="C318" t="s">
        <v>328</v>
      </c>
      <c r="D318" s="12">
        <v>38545</v>
      </c>
      <c r="E318" s="12">
        <v>13453</v>
      </c>
      <c r="F318" s="12">
        <v>54066</v>
      </c>
      <c r="G318" s="12">
        <f t="shared" si="17"/>
        <v>106064</v>
      </c>
      <c r="H318" s="25">
        <f t="shared" si="18"/>
        <v>13258</v>
      </c>
      <c r="I318" s="25">
        <f t="shared" si="19"/>
        <v>18639.2</v>
      </c>
      <c r="J318" s="25">
        <f t="shared" si="20"/>
        <v>5381.2000000000007</v>
      </c>
    </row>
    <row r="319" spans="1:10" x14ac:dyDescent="0.25">
      <c r="A319">
        <v>2854</v>
      </c>
      <c r="B319">
        <v>1</v>
      </c>
      <c r="C319" t="s">
        <v>329</v>
      </c>
      <c r="D319" s="12">
        <v>24380</v>
      </c>
      <c r="E319" s="12">
        <v>9058</v>
      </c>
      <c r="F319" s="12">
        <v>41650</v>
      </c>
      <c r="G319" s="12">
        <f t="shared" si="17"/>
        <v>75088</v>
      </c>
      <c r="H319" s="25">
        <f t="shared" si="18"/>
        <v>9386</v>
      </c>
      <c r="I319" s="25">
        <f t="shared" si="19"/>
        <v>13009.2</v>
      </c>
      <c r="J319" s="25">
        <f t="shared" si="20"/>
        <v>3623.2000000000007</v>
      </c>
    </row>
    <row r="320" spans="1:10" x14ac:dyDescent="0.25">
      <c r="A320">
        <v>2856</v>
      </c>
      <c r="B320">
        <v>1</v>
      </c>
      <c r="C320" t="s">
        <v>330</v>
      </c>
      <c r="D320" s="12">
        <v>10915</v>
      </c>
      <c r="E320" s="12">
        <v>5015</v>
      </c>
      <c r="F320" s="12">
        <v>24342</v>
      </c>
      <c r="G320" s="12">
        <f t="shared" si="17"/>
        <v>40272</v>
      </c>
      <c r="H320" s="25">
        <f t="shared" si="18"/>
        <v>5034</v>
      </c>
      <c r="I320" s="25">
        <f t="shared" si="19"/>
        <v>7040</v>
      </c>
      <c r="J320" s="25">
        <f t="shared" si="20"/>
        <v>2006</v>
      </c>
    </row>
    <row r="321" spans="1:10" x14ac:dyDescent="0.25">
      <c r="A321">
        <v>2859</v>
      </c>
      <c r="B321">
        <v>1</v>
      </c>
      <c r="C321" t="s">
        <v>331</v>
      </c>
      <c r="D321" s="12">
        <v>60006</v>
      </c>
      <c r="E321" s="12">
        <v>25058</v>
      </c>
      <c r="F321" s="12">
        <v>121300</v>
      </c>
      <c r="G321" s="12">
        <f t="shared" si="17"/>
        <v>206364</v>
      </c>
      <c r="H321" s="25">
        <f t="shared" si="18"/>
        <v>25795.5</v>
      </c>
      <c r="I321" s="25">
        <f t="shared" si="19"/>
        <v>35818.699999999997</v>
      </c>
      <c r="J321" s="25">
        <f t="shared" si="20"/>
        <v>10023.199999999997</v>
      </c>
    </row>
    <row r="322" spans="1:10" x14ac:dyDescent="0.25">
      <c r="A322">
        <v>2860</v>
      </c>
      <c r="B322">
        <v>1</v>
      </c>
      <c r="C322" t="s">
        <v>332</v>
      </c>
      <c r="D322" s="12">
        <v>65883</v>
      </c>
      <c r="E322" s="12">
        <v>19743</v>
      </c>
      <c r="F322" s="12">
        <v>91269</v>
      </c>
      <c r="G322" s="12">
        <f t="shared" si="17"/>
        <v>176895</v>
      </c>
      <c r="H322" s="25">
        <f t="shared" si="18"/>
        <v>22111.875</v>
      </c>
      <c r="I322" s="25">
        <f t="shared" si="19"/>
        <v>30009.075000000001</v>
      </c>
      <c r="J322" s="25">
        <f t="shared" si="20"/>
        <v>7897.2000000000007</v>
      </c>
    </row>
    <row r="323" spans="1:10" x14ac:dyDescent="0.25">
      <c r="A323">
        <v>2884</v>
      </c>
      <c r="B323">
        <v>1</v>
      </c>
      <c r="C323" t="s">
        <v>333</v>
      </c>
      <c r="D323" s="12">
        <v>16874</v>
      </c>
      <c r="E323" s="12">
        <v>9905</v>
      </c>
      <c r="F323" s="12">
        <v>36073</v>
      </c>
      <c r="G323" s="12">
        <f t="shared" si="17"/>
        <v>62852</v>
      </c>
      <c r="H323" s="25">
        <f t="shared" si="18"/>
        <v>7856.5</v>
      </c>
      <c r="I323" s="25">
        <f t="shared" si="19"/>
        <v>11818.5</v>
      </c>
      <c r="J323" s="25">
        <f t="shared" si="20"/>
        <v>3962</v>
      </c>
    </row>
    <row r="324" spans="1:10" x14ac:dyDescent="0.25">
      <c r="A324">
        <v>2886</v>
      </c>
      <c r="B324">
        <v>1</v>
      </c>
      <c r="C324" t="s">
        <v>334</v>
      </c>
      <c r="D324" s="12">
        <v>9961</v>
      </c>
      <c r="E324" s="12">
        <v>4997</v>
      </c>
      <c r="F324" s="12">
        <v>22290</v>
      </c>
      <c r="G324" s="12">
        <f t="shared" si="17"/>
        <v>37248</v>
      </c>
      <c r="H324" s="25">
        <f t="shared" si="18"/>
        <v>4656</v>
      </c>
      <c r="I324" s="25">
        <f t="shared" si="19"/>
        <v>6654.8</v>
      </c>
      <c r="J324" s="25">
        <f t="shared" si="20"/>
        <v>1998.8000000000002</v>
      </c>
    </row>
    <row r="325" spans="1:10" x14ac:dyDescent="0.25">
      <c r="A325">
        <v>2888</v>
      </c>
      <c r="B325">
        <v>1</v>
      </c>
      <c r="C325" t="s">
        <v>335</v>
      </c>
      <c r="D325" s="12">
        <v>17483</v>
      </c>
      <c r="E325" s="12">
        <v>7193</v>
      </c>
      <c r="F325" s="12">
        <v>28724</v>
      </c>
      <c r="G325" s="12">
        <f t="shared" si="17"/>
        <v>53400</v>
      </c>
      <c r="H325" s="25">
        <f t="shared" si="18"/>
        <v>6675</v>
      </c>
      <c r="I325" s="25">
        <f t="shared" si="19"/>
        <v>9552.2000000000007</v>
      </c>
      <c r="J325" s="25">
        <f t="shared" si="20"/>
        <v>2877.2000000000007</v>
      </c>
    </row>
    <row r="326" spans="1:10" x14ac:dyDescent="0.25">
      <c r="A326">
        <v>2889</v>
      </c>
      <c r="B326">
        <v>1</v>
      </c>
      <c r="C326" t="s">
        <v>336</v>
      </c>
      <c r="D326" s="12">
        <v>31079</v>
      </c>
      <c r="E326" s="12">
        <v>11683</v>
      </c>
      <c r="F326" s="12">
        <v>56218</v>
      </c>
      <c r="G326" s="12">
        <f t="shared" si="17"/>
        <v>98980</v>
      </c>
      <c r="H326" s="25">
        <f t="shared" si="18"/>
        <v>12372.5</v>
      </c>
      <c r="I326" s="25">
        <f t="shared" si="19"/>
        <v>17045.7</v>
      </c>
      <c r="J326" s="25">
        <f t="shared" si="20"/>
        <v>4673.2000000000007</v>
      </c>
    </row>
    <row r="327" spans="1:10" x14ac:dyDescent="0.25">
      <c r="A327">
        <v>2890</v>
      </c>
      <c r="B327">
        <v>1</v>
      </c>
      <c r="C327" t="s">
        <v>337</v>
      </c>
      <c r="D327" s="12">
        <v>30349</v>
      </c>
      <c r="E327" s="12">
        <v>8470</v>
      </c>
      <c r="F327" s="12">
        <v>32334</v>
      </c>
      <c r="G327" s="12">
        <f t="shared" si="17"/>
        <v>71153</v>
      </c>
      <c r="H327" s="25">
        <f t="shared" si="18"/>
        <v>8894.125</v>
      </c>
      <c r="I327" s="25">
        <f t="shared" si="19"/>
        <v>12282.125</v>
      </c>
      <c r="J327" s="25">
        <f t="shared" si="20"/>
        <v>3388</v>
      </c>
    </row>
    <row r="328" spans="1:10" x14ac:dyDescent="0.25">
      <c r="A328">
        <v>2895</v>
      </c>
      <c r="B328">
        <v>1</v>
      </c>
      <c r="C328" t="s">
        <v>338</v>
      </c>
      <c r="D328" s="12">
        <v>41821</v>
      </c>
      <c r="E328" s="12">
        <v>22384</v>
      </c>
      <c r="F328" s="12">
        <v>97817</v>
      </c>
      <c r="G328" s="12">
        <f t="shared" ref="G328:G391" si="21">SUM(D328:F328)</f>
        <v>162022</v>
      </c>
      <c r="H328" s="25">
        <f t="shared" ref="H328:H391" si="22">G328*0.125</f>
        <v>20252.75</v>
      </c>
      <c r="I328" s="25">
        <f t="shared" ref="I328:I391" si="23">H328+0.4*E328</f>
        <v>29206.35</v>
      </c>
      <c r="J328" s="25">
        <f t="shared" ref="J328:J391" si="24">I328-H328</f>
        <v>8953.5999999999985</v>
      </c>
    </row>
    <row r="329" spans="1:10" x14ac:dyDescent="0.25">
      <c r="A329">
        <v>2897</v>
      </c>
      <c r="B329">
        <v>1</v>
      </c>
      <c r="C329" t="s">
        <v>339</v>
      </c>
      <c r="D329" s="12">
        <v>47856</v>
      </c>
      <c r="E329" s="12">
        <v>16661</v>
      </c>
      <c r="F329" s="12">
        <v>74075</v>
      </c>
      <c r="G329" s="12">
        <f t="shared" si="21"/>
        <v>138592</v>
      </c>
      <c r="H329" s="25">
        <f t="shared" si="22"/>
        <v>17324</v>
      </c>
      <c r="I329" s="25">
        <f t="shared" si="23"/>
        <v>23988.400000000001</v>
      </c>
      <c r="J329" s="25">
        <f t="shared" si="24"/>
        <v>6664.4000000000015</v>
      </c>
    </row>
    <row r="330" spans="1:10" x14ac:dyDescent="0.25">
      <c r="A330">
        <v>2898</v>
      </c>
      <c r="B330">
        <v>1</v>
      </c>
      <c r="C330" t="s">
        <v>340</v>
      </c>
      <c r="D330" s="12">
        <v>29255</v>
      </c>
      <c r="E330" s="12">
        <v>4091</v>
      </c>
      <c r="F330" s="12">
        <v>27893</v>
      </c>
      <c r="G330" s="12">
        <f t="shared" si="21"/>
        <v>61239</v>
      </c>
      <c r="H330" s="25">
        <f t="shared" si="22"/>
        <v>7654.875</v>
      </c>
      <c r="I330" s="25">
        <f t="shared" si="23"/>
        <v>9291.2749999999996</v>
      </c>
      <c r="J330" s="25">
        <f t="shared" si="24"/>
        <v>1636.3999999999996</v>
      </c>
    </row>
    <row r="331" spans="1:10" x14ac:dyDescent="0.25">
      <c r="A331">
        <v>2899</v>
      </c>
      <c r="B331">
        <v>1</v>
      </c>
      <c r="C331" t="s">
        <v>341</v>
      </c>
      <c r="D331" s="12">
        <v>40938</v>
      </c>
      <c r="E331" s="12">
        <v>10902</v>
      </c>
      <c r="F331" s="12">
        <v>89057</v>
      </c>
      <c r="G331" s="12">
        <f t="shared" si="21"/>
        <v>140897</v>
      </c>
      <c r="H331" s="25">
        <f t="shared" si="22"/>
        <v>17612.125</v>
      </c>
      <c r="I331" s="25">
        <f t="shared" si="23"/>
        <v>21972.924999999999</v>
      </c>
      <c r="J331" s="25">
        <f t="shared" si="24"/>
        <v>4360.7999999999993</v>
      </c>
    </row>
    <row r="332" spans="1:10" x14ac:dyDescent="0.25">
      <c r="A332">
        <v>2902</v>
      </c>
      <c r="B332">
        <v>1</v>
      </c>
      <c r="C332" t="s">
        <v>342</v>
      </c>
      <c r="D332" s="12">
        <v>18593</v>
      </c>
      <c r="E332" s="12">
        <v>13178</v>
      </c>
      <c r="F332" s="12">
        <v>55722</v>
      </c>
      <c r="G332" s="12">
        <f t="shared" si="21"/>
        <v>87493</v>
      </c>
      <c r="H332" s="25">
        <f t="shared" si="22"/>
        <v>10936.625</v>
      </c>
      <c r="I332" s="25">
        <f t="shared" si="23"/>
        <v>16207.825000000001</v>
      </c>
      <c r="J332" s="25">
        <f t="shared" si="24"/>
        <v>5271.2000000000007</v>
      </c>
    </row>
    <row r="333" spans="1:10" x14ac:dyDescent="0.25">
      <c r="A333">
        <v>2903</v>
      </c>
      <c r="B333">
        <v>1</v>
      </c>
      <c r="C333" t="s">
        <v>343</v>
      </c>
      <c r="D333" s="12">
        <v>20516</v>
      </c>
      <c r="E333" s="12">
        <v>10655</v>
      </c>
      <c r="F333" s="12">
        <v>28804</v>
      </c>
      <c r="G333" s="12">
        <f t="shared" si="21"/>
        <v>59975</v>
      </c>
      <c r="H333" s="25">
        <f t="shared" si="22"/>
        <v>7496.875</v>
      </c>
      <c r="I333" s="25">
        <f t="shared" si="23"/>
        <v>11758.875</v>
      </c>
      <c r="J333" s="25">
        <f t="shared" si="24"/>
        <v>4262</v>
      </c>
    </row>
    <row r="334" spans="1:10" x14ac:dyDescent="0.25">
      <c r="A334">
        <v>2904</v>
      </c>
      <c r="B334">
        <v>1</v>
      </c>
      <c r="C334" t="s">
        <v>344</v>
      </c>
      <c r="D334" s="12">
        <v>46287</v>
      </c>
      <c r="E334" s="12">
        <v>13433</v>
      </c>
      <c r="F334" s="12">
        <v>46731</v>
      </c>
      <c r="G334" s="12">
        <f t="shared" si="21"/>
        <v>106451</v>
      </c>
      <c r="H334" s="25">
        <f t="shared" si="22"/>
        <v>13306.375</v>
      </c>
      <c r="I334" s="25">
        <f t="shared" si="23"/>
        <v>18679.575000000001</v>
      </c>
      <c r="J334" s="25">
        <f t="shared" si="24"/>
        <v>5373.2000000000007</v>
      </c>
    </row>
    <row r="335" spans="1:10" x14ac:dyDescent="0.25">
      <c r="A335">
        <v>2905</v>
      </c>
      <c r="B335">
        <v>1</v>
      </c>
      <c r="C335" t="s">
        <v>345</v>
      </c>
      <c r="D335" s="12">
        <v>65161</v>
      </c>
      <c r="E335" s="12">
        <v>22458</v>
      </c>
      <c r="F335" s="12">
        <v>132056</v>
      </c>
      <c r="G335" s="12">
        <f t="shared" si="21"/>
        <v>219675</v>
      </c>
      <c r="H335" s="25">
        <f t="shared" si="22"/>
        <v>27459.375</v>
      </c>
      <c r="I335" s="25">
        <f t="shared" si="23"/>
        <v>36442.574999999997</v>
      </c>
      <c r="J335" s="25">
        <f t="shared" si="24"/>
        <v>8983.1999999999971</v>
      </c>
    </row>
    <row r="336" spans="1:10" x14ac:dyDescent="0.25">
      <c r="A336">
        <v>2906</v>
      </c>
      <c r="B336">
        <v>1</v>
      </c>
      <c r="C336" t="s">
        <v>346</v>
      </c>
      <c r="D336" s="12">
        <v>22919</v>
      </c>
      <c r="E336" s="12">
        <v>10022</v>
      </c>
      <c r="F336" s="12">
        <v>22421</v>
      </c>
      <c r="G336" s="12">
        <f t="shared" si="21"/>
        <v>55362</v>
      </c>
      <c r="H336" s="25">
        <f t="shared" si="22"/>
        <v>6920.25</v>
      </c>
      <c r="I336" s="25">
        <f t="shared" si="23"/>
        <v>10929.05</v>
      </c>
      <c r="J336" s="25">
        <f t="shared" si="24"/>
        <v>4008.7999999999993</v>
      </c>
    </row>
    <row r="337" spans="1:10" x14ac:dyDescent="0.25">
      <c r="A337">
        <v>2907</v>
      </c>
      <c r="B337">
        <v>1</v>
      </c>
      <c r="C337" t="s">
        <v>347</v>
      </c>
      <c r="D337" s="12">
        <v>17387</v>
      </c>
      <c r="E337" s="12">
        <v>5700</v>
      </c>
      <c r="F337" s="12">
        <v>15289</v>
      </c>
      <c r="G337" s="12">
        <f t="shared" si="21"/>
        <v>38376</v>
      </c>
      <c r="H337" s="25">
        <f t="shared" si="22"/>
        <v>4797</v>
      </c>
      <c r="I337" s="25">
        <f t="shared" si="23"/>
        <v>7077</v>
      </c>
      <c r="J337" s="25">
        <f t="shared" si="24"/>
        <v>2280</v>
      </c>
    </row>
    <row r="338" spans="1:10" x14ac:dyDescent="0.25">
      <c r="A338">
        <v>2908</v>
      </c>
      <c r="B338">
        <v>1</v>
      </c>
      <c r="C338" t="s">
        <v>348</v>
      </c>
      <c r="D338" s="12">
        <v>18010</v>
      </c>
      <c r="E338" s="12">
        <v>9257</v>
      </c>
      <c r="F338" s="12">
        <v>36362</v>
      </c>
      <c r="G338" s="12">
        <f t="shared" si="21"/>
        <v>63629</v>
      </c>
      <c r="H338" s="25">
        <f t="shared" si="22"/>
        <v>7953.625</v>
      </c>
      <c r="I338" s="25">
        <f t="shared" si="23"/>
        <v>11656.424999999999</v>
      </c>
      <c r="J338" s="25">
        <f t="shared" si="24"/>
        <v>3702.7999999999993</v>
      </c>
    </row>
    <row r="339" spans="1:10" x14ac:dyDescent="0.25">
      <c r="A339">
        <v>3000</v>
      </c>
      <c r="B339">
        <v>1</v>
      </c>
      <c r="C339" t="s">
        <v>349</v>
      </c>
      <c r="D339" s="12">
        <v>0</v>
      </c>
      <c r="E339" s="12">
        <v>0</v>
      </c>
      <c r="F339" s="12">
        <v>0</v>
      </c>
      <c r="G339" s="12">
        <f t="shared" si="21"/>
        <v>0</v>
      </c>
      <c r="H339" s="25">
        <f t="shared" si="22"/>
        <v>0</v>
      </c>
      <c r="I339" s="25">
        <f t="shared" si="23"/>
        <v>0</v>
      </c>
      <c r="J339" s="25">
        <f t="shared" si="24"/>
        <v>0</v>
      </c>
    </row>
    <row r="340" spans="1:10" x14ac:dyDescent="0.25">
      <c r="A340">
        <v>3999</v>
      </c>
      <c r="B340">
        <v>1</v>
      </c>
      <c r="C340" t="s">
        <v>350</v>
      </c>
      <c r="D340" s="12">
        <v>1445185</v>
      </c>
      <c r="E340" s="12">
        <v>329036</v>
      </c>
      <c r="F340" s="12">
        <v>3204321</v>
      </c>
      <c r="G340" s="12">
        <f t="shared" si="21"/>
        <v>4978542</v>
      </c>
      <c r="H340" s="25">
        <f t="shared" si="22"/>
        <v>622317.75</v>
      </c>
      <c r="I340" s="25">
        <f t="shared" si="23"/>
        <v>753932.15</v>
      </c>
      <c r="J340" s="25">
        <f t="shared" si="24"/>
        <v>131614.40000000002</v>
      </c>
    </row>
    <row r="341" spans="1:10" x14ac:dyDescent="0.25">
      <c r="A341">
        <v>4000</v>
      </c>
      <c r="B341">
        <v>7</v>
      </c>
      <c r="C341" t="s">
        <v>351</v>
      </c>
      <c r="D341" s="12">
        <v>0</v>
      </c>
      <c r="E341" s="12">
        <v>0</v>
      </c>
      <c r="F341" s="12">
        <v>0</v>
      </c>
      <c r="G341" s="12">
        <f t="shared" si="21"/>
        <v>0</v>
      </c>
      <c r="H341" s="25">
        <f t="shared" si="22"/>
        <v>0</v>
      </c>
      <c r="I341" s="25">
        <f t="shared" si="23"/>
        <v>0</v>
      </c>
      <c r="J341" s="25">
        <f t="shared" si="24"/>
        <v>0</v>
      </c>
    </row>
    <row r="342" spans="1:10" x14ac:dyDescent="0.25">
      <c r="A342">
        <v>4001</v>
      </c>
      <c r="B342">
        <v>7</v>
      </c>
      <c r="C342" t="s">
        <v>352</v>
      </c>
      <c r="D342" s="12">
        <v>6799</v>
      </c>
      <c r="E342" s="12">
        <v>2034</v>
      </c>
      <c r="F342" s="12">
        <v>9714</v>
      </c>
      <c r="G342" s="12">
        <f t="shared" si="21"/>
        <v>18547</v>
      </c>
      <c r="H342" s="25">
        <f t="shared" si="22"/>
        <v>2318.375</v>
      </c>
      <c r="I342" s="25">
        <f t="shared" si="23"/>
        <v>3131.9749999999999</v>
      </c>
      <c r="J342" s="25">
        <f t="shared" si="24"/>
        <v>813.59999999999991</v>
      </c>
    </row>
    <row r="343" spans="1:10" x14ac:dyDescent="0.25">
      <c r="A343">
        <v>4003</v>
      </c>
      <c r="B343">
        <v>7</v>
      </c>
      <c r="C343" t="s">
        <v>353</v>
      </c>
      <c r="D343" s="12">
        <v>5861</v>
      </c>
      <c r="E343" s="12">
        <v>1140</v>
      </c>
      <c r="F343" s="12">
        <v>2677</v>
      </c>
      <c r="G343" s="12">
        <f t="shared" si="21"/>
        <v>9678</v>
      </c>
      <c r="H343" s="25">
        <f t="shared" si="22"/>
        <v>1209.75</v>
      </c>
      <c r="I343" s="25">
        <f t="shared" si="23"/>
        <v>1665.75</v>
      </c>
      <c r="J343" s="25">
        <f t="shared" si="24"/>
        <v>456</v>
      </c>
    </row>
    <row r="344" spans="1:10" x14ac:dyDescent="0.25">
      <c r="A344">
        <v>4004</v>
      </c>
      <c r="B344">
        <v>7</v>
      </c>
      <c r="C344" t="s">
        <v>354</v>
      </c>
      <c r="D344" s="12">
        <v>22601</v>
      </c>
      <c r="E344" s="12">
        <v>109</v>
      </c>
      <c r="F344" s="12">
        <v>709</v>
      </c>
      <c r="G344" s="12">
        <f t="shared" si="21"/>
        <v>23419</v>
      </c>
      <c r="H344" s="25">
        <f t="shared" si="22"/>
        <v>2927.375</v>
      </c>
      <c r="I344" s="25">
        <f t="shared" si="23"/>
        <v>2970.9749999999999</v>
      </c>
      <c r="J344" s="25">
        <f t="shared" si="24"/>
        <v>43.599999999999909</v>
      </c>
    </row>
    <row r="345" spans="1:10" x14ac:dyDescent="0.25">
      <c r="A345">
        <v>4005</v>
      </c>
      <c r="B345">
        <v>7</v>
      </c>
      <c r="C345" t="s">
        <v>355</v>
      </c>
      <c r="D345" s="12">
        <v>4149</v>
      </c>
      <c r="E345" s="12">
        <v>708</v>
      </c>
      <c r="F345" s="12">
        <v>750</v>
      </c>
      <c r="G345" s="12">
        <f t="shared" si="21"/>
        <v>5607</v>
      </c>
      <c r="H345" s="25">
        <f t="shared" si="22"/>
        <v>700.875</v>
      </c>
      <c r="I345" s="25">
        <f t="shared" si="23"/>
        <v>984.07500000000005</v>
      </c>
      <c r="J345" s="25">
        <f t="shared" si="24"/>
        <v>283.20000000000005</v>
      </c>
    </row>
    <row r="346" spans="1:10" x14ac:dyDescent="0.25">
      <c r="A346">
        <v>4006</v>
      </c>
      <c r="B346">
        <v>7</v>
      </c>
      <c r="C346" t="s">
        <v>356</v>
      </c>
      <c r="D346" s="12">
        <v>0</v>
      </c>
      <c r="E346" s="12">
        <v>0</v>
      </c>
      <c r="F346" s="12">
        <v>0</v>
      </c>
      <c r="G346" s="12">
        <f t="shared" si="21"/>
        <v>0</v>
      </c>
      <c r="H346" s="25">
        <f t="shared" si="22"/>
        <v>0</v>
      </c>
      <c r="I346" s="25">
        <f t="shared" si="23"/>
        <v>0</v>
      </c>
      <c r="J346" s="25">
        <f t="shared" si="24"/>
        <v>0</v>
      </c>
    </row>
    <row r="347" spans="1:10" x14ac:dyDescent="0.25">
      <c r="A347">
        <v>4007</v>
      </c>
      <c r="B347">
        <v>7</v>
      </c>
      <c r="C347" t="s">
        <v>357</v>
      </c>
      <c r="D347" s="12">
        <v>0</v>
      </c>
      <c r="E347" s="12">
        <v>0</v>
      </c>
      <c r="F347" s="12">
        <v>0</v>
      </c>
      <c r="G347" s="12">
        <f t="shared" si="21"/>
        <v>0</v>
      </c>
      <c r="H347" s="25">
        <f t="shared" si="22"/>
        <v>0</v>
      </c>
      <c r="I347" s="25">
        <f t="shared" si="23"/>
        <v>0</v>
      </c>
      <c r="J347" s="25">
        <f t="shared" si="24"/>
        <v>0</v>
      </c>
    </row>
    <row r="348" spans="1:10" x14ac:dyDescent="0.25">
      <c r="A348">
        <v>4008</v>
      </c>
      <c r="B348">
        <v>7</v>
      </c>
      <c r="C348" t="s">
        <v>358</v>
      </c>
      <c r="D348" s="12">
        <v>4361</v>
      </c>
      <c r="E348" s="12">
        <v>4777</v>
      </c>
      <c r="F348" s="12">
        <v>21006</v>
      </c>
      <c r="G348" s="12">
        <f t="shared" si="21"/>
        <v>30144</v>
      </c>
      <c r="H348" s="25">
        <f t="shared" si="22"/>
        <v>3768</v>
      </c>
      <c r="I348" s="25">
        <f t="shared" si="23"/>
        <v>5678.8</v>
      </c>
      <c r="J348" s="25">
        <f t="shared" si="24"/>
        <v>1910.8000000000002</v>
      </c>
    </row>
    <row r="349" spans="1:10" x14ac:dyDescent="0.25">
      <c r="A349">
        <v>4011</v>
      </c>
      <c r="B349">
        <v>7</v>
      </c>
      <c r="C349" t="s">
        <v>359</v>
      </c>
      <c r="D349" s="12">
        <v>31161</v>
      </c>
      <c r="E349" s="12">
        <v>476</v>
      </c>
      <c r="F349" s="12">
        <v>1706</v>
      </c>
      <c r="G349" s="12">
        <f t="shared" si="21"/>
        <v>33343</v>
      </c>
      <c r="H349" s="25">
        <f t="shared" si="22"/>
        <v>4167.875</v>
      </c>
      <c r="I349" s="25">
        <f t="shared" si="23"/>
        <v>4358.2749999999996</v>
      </c>
      <c r="J349" s="25">
        <f t="shared" si="24"/>
        <v>190.39999999999964</v>
      </c>
    </row>
    <row r="350" spans="1:10" x14ac:dyDescent="0.25">
      <c r="A350">
        <v>4012</v>
      </c>
      <c r="B350">
        <v>7</v>
      </c>
      <c r="C350" t="s">
        <v>360</v>
      </c>
      <c r="D350" s="12">
        <v>0</v>
      </c>
      <c r="E350" s="12">
        <v>0</v>
      </c>
      <c r="F350" s="12">
        <v>0</v>
      </c>
      <c r="G350" s="12">
        <f t="shared" si="21"/>
        <v>0</v>
      </c>
      <c r="H350" s="25">
        <f t="shared" si="22"/>
        <v>0</v>
      </c>
      <c r="I350" s="25">
        <f t="shared" si="23"/>
        <v>0</v>
      </c>
      <c r="J350" s="25">
        <f t="shared" si="24"/>
        <v>0</v>
      </c>
    </row>
    <row r="351" spans="1:10" x14ac:dyDescent="0.25">
      <c r="A351">
        <v>4015</v>
      </c>
      <c r="B351">
        <v>7</v>
      </c>
      <c r="C351" t="s">
        <v>361</v>
      </c>
      <c r="D351" s="12">
        <v>0</v>
      </c>
      <c r="E351" s="12">
        <v>0</v>
      </c>
      <c r="F351" s="12">
        <v>0</v>
      </c>
      <c r="G351" s="12">
        <f t="shared" si="21"/>
        <v>0</v>
      </c>
      <c r="H351" s="25">
        <f t="shared" si="22"/>
        <v>0</v>
      </c>
      <c r="I351" s="25">
        <f t="shared" si="23"/>
        <v>0</v>
      </c>
      <c r="J351" s="25">
        <f t="shared" si="24"/>
        <v>0</v>
      </c>
    </row>
    <row r="352" spans="1:10" x14ac:dyDescent="0.25">
      <c r="A352">
        <v>4016</v>
      </c>
      <c r="B352">
        <v>7</v>
      </c>
      <c r="C352" t="s">
        <v>362</v>
      </c>
      <c r="D352" s="12">
        <v>0</v>
      </c>
      <c r="E352" s="12">
        <v>0</v>
      </c>
      <c r="F352" s="12">
        <v>0</v>
      </c>
      <c r="G352" s="12">
        <f t="shared" si="21"/>
        <v>0</v>
      </c>
      <c r="H352" s="25">
        <f t="shared" si="22"/>
        <v>0</v>
      </c>
      <c r="I352" s="25">
        <f t="shared" si="23"/>
        <v>0</v>
      </c>
      <c r="J352" s="25">
        <f t="shared" si="24"/>
        <v>0</v>
      </c>
    </row>
    <row r="353" spans="1:10" x14ac:dyDescent="0.25">
      <c r="A353">
        <v>4017</v>
      </c>
      <c r="B353">
        <v>7</v>
      </c>
      <c r="C353" t="s">
        <v>363</v>
      </c>
      <c r="D353" s="12">
        <v>87459</v>
      </c>
      <c r="E353" s="12">
        <v>1728</v>
      </c>
      <c r="F353" s="12">
        <v>11923</v>
      </c>
      <c r="G353" s="12">
        <f t="shared" si="21"/>
        <v>101110</v>
      </c>
      <c r="H353" s="25">
        <f t="shared" si="22"/>
        <v>12638.75</v>
      </c>
      <c r="I353" s="25">
        <f t="shared" si="23"/>
        <v>13329.95</v>
      </c>
      <c r="J353" s="25">
        <f t="shared" si="24"/>
        <v>691.20000000000073</v>
      </c>
    </row>
    <row r="354" spans="1:10" x14ac:dyDescent="0.25">
      <c r="A354">
        <v>4018</v>
      </c>
      <c r="B354">
        <v>7</v>
      </c>
      <c r="C354" t="s">
        <v>364</v>
      </c>
      <c r="D354" s="12">
        <v>0</v>
      </c>
      <c r="E354" s="12">
        <v>0</v>
      </c>
      <c r="F354" s="12">
        <v>0</v>
      </c>
      <c r="G354" s="12">
        <f t="shared" si="21"/>
        <v>0</v>
      </c>
      <c r="H354" s="25">
        <f t="shared" si="22"/>
        <v>0</v>
      </c>
      <c r="I354" s="25">
        <f t="shared" si="23"/>
        <v>0</v>
      </c>
      <c r="J354" s="25">
        <f t="shared" si="24"/>
        <v>0</v>
      </c>
    </row>
    <row r="355" spans="1:10" x14ac:dyDescent="0.25">
      <c r="A355">
        <v>4019</v>
      </c>
      <c r="B355">
        <v>7</v>
      </c>
      <c r="C355" t="s">
        <v>365</v>
      </c>
      <c r="D355" s="12">
        <v>0</v>
      </c>
      <c r="E355" s="12">
        <v>0</v>
      </c>
      <c r="F355" s="12">
        <v>0</v>
      </c>
      <c r="G355" s="12">
        <f t="shared" si="21"/>
        <v>0</v>
      </c>
      <c r="H355" s="25">
        <f t="shared" si="22"/>
        <v>0</v>
      </c>
      <c r="I355" s="25">
        <f t="shared" si="23"/>
        <v>0</v>
      </c>
      <c r="J355" s="25">
        <f t="shared" si="24"/>
        <v>0</v>
      </c>
    </row>
    <row r="356" spans="1:10" x14ac:dyDescent="0.25">
      <c r="A356">
        <v>4020</v>
      </c>
      <c r="B356">
        <v>7</v>
      </c>
      <c r="C356" t="s">
        <v>366</v>
      </c>
      <c r="D356" s="12">
        <v>63132</v>
      </c>
      <c r="E356" s="12">
        <v>12115</v>
      </c>
      <c r="F356" s="12">
        <v>43813</v>
      </c>
      <c r="G356" s="12">
        <f t="shared" si="21"/>
        <v>119060</v>
      </c>
      <c r="H356" s="25">
        <f t="shared" si="22"/>
        <v>14882.5</v>
      </c>
      <c r="I356" s="25">
        <f t="shared" si="23"/>
        <v>19728.5</v>
      </c>
      <c r="J356" s="25">
        <f t="shared" si="24"/>
        <v>4846</v>
      </c>
    </row>
    <row r="357" spans="1:10" x14ac:dyDescent="0.25">
      <c r="A357">
        <v>4021</v>
      </c>
      <c r="B357">
        <v>7</v>
      </c>
      <c r="C357" t="s">
        <v>367</v>
      </c>
      <c r="D357" s="12">
        <v>0</v>
      </c>
      <c r="E357" s="12">
        <v>0</v>
      </c>
      <c r="F357" s="12">
        <v>0</v>
      </c>
      <c r="G357" s="12">
        <f t="shared" si="21"/>
        <v>0</v>
      </c>
      <c r="H357" s="25">
        <f t="shared" si="22"/>
        <v>0</v>
      </c>
      <c r="I357" s="25">
        <f t="shared" si="23"/>
        <v>0</v>
      </c>
      <c r="J357" s="25">
        <f t="shared" si="24"/>
        <v>0</v>
      </c>
    </row>
    <row r="358" spans="1:10" x14ac:dyDescent="0.25">
      <c r="A358">
        <v>4025</v>
      </c>
      <c r="B358">
        <v>7</v>
      </c>
      <c r="C358" t="s">
        <v>368</v>
      </c>
      <c r="D358" s="12">
        <v>0</v>
      </c>
      <c r="E358" s="12">
        <v>0</v>
      </c>
      <c r="F358" s="12">
        <v>0</v>
      </c>
      <c r="G358" s="12">
        <f t="shared" si="21"/>
        <v>0</v>
      </c>
      <c r="H358" s="25">
        <f t="shared" si="22"/>
        <v>0</v>
      </c>
      <c r="I358" s="25">
        <f t="shared" si="23"/>
        <v>0</v>
      </c>
      <c r="J358" s="25">
        <f t="shared" si="24"/>
        <v>0</v>
      </c>
    </row>
    <row r="359" spans="1:10" x14ac:dyDescent="0.25">
      <c r="A359">
        <v>4026</v>
      </c>
      <c r="B359">
        <v>7</v>
      </c>
      <c r="C359" t="s">
        <v>369</v>
      </c>
      <c r="D359" s="12">
        <v>6450</v>
      </c>
      <c r="E359" s="12">
        <v>4672</v>
      </c>
      <c r="F359" s="12">
        <v>8473</v>
      </c>
      <c r="G359" s="12">
        <f t="shared" si="21"/>
        <v>19595</v>
      </c>
      <c r="H359" s="25">
        <f t="shared" si="22"/>
        <v>2449.375</v>
      </c>
      <c r="I359" s="25">
        <f t="shared" si="23"/>
        <v>4318.1750000000002</v>
      </c>
      <c r="J359" s="25">
        <f t="shared" si="24"/>
        <v>1868.8000000000002</v>
      </c>
    </row>
    <row r="360" spans="1:10" x14ac:dyDescent="0.25">
      <c r="A360">
        <v>4027</v>
      </c>
      <c r="B360">
        <v>7</v>
      </c>
      <c r="C360" t="s">
        <v>370</v>
      </c>
      <c r="D360" s="12">
        <v>97381</v>
      </c>
      <c r="E360" s="12">
        <v>5429</v>
      </c>
      <c r="F360" s="12">
        <v>2746</v>
      </c>
      <c r="G360" s="12">
        <f t="shared" si="21"/>
        <v>105556</v>
      </c>
      <c r="H360" s="25">
        <f t="shared" si="22"/>
        <v>13194.5</v>
      </c>
      <c r="I360" s="25">
        <f t="shared" si="23"/>
        <v>15366.1</v>
      </c>
      <c r="J360" s="25">
        <f t="shared" si="24"/>
        <v>2171.6000000000004</v>
      </c>
    </row>
    <row r="361" spans="1:10" x14ac:dyDescent="0.25">
      <c r="A361">
        <v>4028</v>
      </c>
      <c r="B361">
        <v>7</v>
      </c>
      <c r="C361" t="s">
        <v>371</v>
      </c>
      <c r="D361" s="12">
        <v>0</v>
      </c>
      <c r="E361" s="12">
        <v>0</v>
      </c>
      <c r="F361" s="12">
        <v>0</v>
      </c>
      <c r="G361" s="12">
        <f t="shared" si="21"/>
        <v>0</v>
      </c>
      <c r="H361" s="25">
        <f t="shared" si="22"/>
        <v>0</v>
      </c>
      <c r="I361" s="25">
        <f t="shared" si="23"/>
        <v>0</v>
      </c>
      <c r="J361" s="25">
        <f t="shared" si="24"/>
        <v>0</v>
      </c>
    </row>
    <row r="362" spans="1:10" x14ac:dyDescent="0.25">
      <c r="A362">
        <v>4029</v>
      </c>
      <c r="B362">
        <v>7</v>
      </c>
      <c r="C362" t="s">
        <v>372</v>
      </c>
      <c r="D362" s="12">
        <v>0</v>
      </c>
      <c r="E362" s="12">
        <v>0</v>
      </c>
      <c r="F362" s="12">
        <v>0</v>
      </c>
      <c r="G362" s="12">
        <f t="shared" si="21"/>
        <v>0</v>
      </c>
      <c r="H362" s="25">
        <f t="shared" si="22"/>
        <v>0</v>
      </c>
      <c r="I362" s="25">
        <f t="shared" si="23"/>
        <v>0</v>
      </c>
      <c r="J362" s="25">
        <f t="shared" si="24"/>
        <v>0</v>
      </c>
    </row>
    <row r="363" spans="1:10" x14ac:dyDescent="0.25">
      <c r="A363">
        <v>4030</v>
      </c>
      <c r="B363">
        <v>7</v>
      </c>
      <c r="C363" t="s">
        <v>373</v>
      </c>
      <c r="D363" s="12">
        <v>30049</v>
      </c>
      <c r="E363" s="12">
        <v>2553</v>
      </c>
      <c r="F363" s="12">
        <v>2468</v>
      </c>
      <c r="G363" s="12">
        <f t="shared" si="21"/>
        <v>35070</v>
      </c>
      <c r="H363" s="25">
        <f t="shared" si="22"/>
        <v>4383.75</v>
      </c>
      <c r="I363" s="25">
        <f t="shared" si="23"/>
        <v>5404.95</v>
      </c>
      <c r="J363" s="25">
        <f t="shared" si="24"/>
        <v>1021.1999999999998</v>
      </c>
    </row>
    <row r="364" spans="1:10" x14ac:dyDescent="0.25">
      <c r="A364">
        <v>4031</v>
      </c>
      <c r="B364">
        <v>7</v>
      </c>
      <c r="C364" t="s">
        <v>374</v>
      </c>
      <c r="D364" s="12">
        <v>3722</v>
      </c>
      <c r="E364" s="12">
        <v>27</v>
      </c>
      <c r="F364" s="12">
        <v>664</v>
      </c>
      <c r="G364" s="12">
        <f t="shared" si="21"/>
        <v>4413</v>
      </c>
      <c r="H364" s="25">
        <f t="shared" si="22"/>
        <v>551.625</v>
      </c>
      <c r="I364" s="25">
        <f t="shared" si="23"/>
        <v>562.42499999999995</v>
      </c>
      <c r="J364" s="25">
        <f t="shared" si="24"/>
        <v>10.799999999999955</v>
      </c>
    </row>
    <row r="365" spans="1:10" x14ac:dyDescent="0.25">
      <c r="A365">
        <v>4032</v>
      </c>
      <c r="B365">
        <v>7</v>
      </c>
      <c r="C365" t="s">
        <v>375</v>
      </c>
      <c r="D365" s="12">
        <v>55746</v>
      </c>
      <c r="E365" s="12">
        <v>4952</v>
      </c>
      <c r="F365" s="12">
        <v>6735</v>
      </c>
      <c r="G365" s="12">
        <f t="shared" si="21"/>
        <v>67433</v>
      </c>
      <c r="H365" s="25">
        <f t="shared" si="22"/>
        <v>8429.125</v>
      </c>
      <c r="I365" s="25">
        <f t="shared" si="23"/>
        <v>10409.924999999999</v>
      </c>
      <c r="J365" s="25">
        <f t="shared" si="24"/>
        <v>1980.7999999999993</v>
      </c>
    </row>
    <row r="366" spans="1:10" x14ac:dyDescent="0.25">
      <c r="A366">
        <v>4035</v>
      </c>
      <c r="B366">
        <v>7</v>
      </c>
      <c r="C366" t="s">
        <v>376</v>
      </c>
      <c r="D366" s="12">
        <v>29740</v>
      </c>
      <c r="E366" s="12">
        <v>9826</v>
      </c>
      <c r="F366" s="12">
        <v>16573</v>
      </c>
      <c r="G366" s="12">
        <f t="shared" si="21"/>
        <v>56139</v>
      </c>
      <c r="H366" s="25">
        <f t="shared" si="22"/>
        <v>7017.375</v>
      </c>
      <c r="I366" s="25">
        <f t="shared" si="23"/>
        <v>10947.775</v>
      </c>
      <c r="J366" s="25">
        <f t="shared" si="24"/>
        <v>3930.3999999999996</v>
      </c>
    </row>
    <row r="367" spans="1:10" x14ac:dyDescent="0.25">
      <c r="A367">
        <v>4036</v>
      </c>
      <c r="B367">
        <v>7</v>
      </c>
      <c r="C367" t="s">
        <v>377</v>
      </c>
      <c r="D367" s="12">
        <v>3445</v>
      </c>
      <c r="E367" s="12">
        <v>285</v>
      </c>
      <c r="F367" s="12">
        <v>808</v>
      </c>
      <c r="G367" s="12">
        <f t="shared" si="21"/>
        <v>4538</v>
      </c>
      <c r="H367" s="25">
        <f t="shared" si="22"/>
        <v>567.25</v>
      </c>
      <c r="I367" s="25">
        <f t="shared" si="23"/>
        <v>681.25</v>
      </c>
      <c r="J367" s="25">
        <f t="shared" si="24"/>
        <v>114</v>
      </c>
    </row>
    <row r="368" spans="1:10" x14ac:dyDescent="0.25">
      <c r="A368">
        <v>4038</v>
      </c>
      <c r="B368">
        <v>7</v>
      </c>
      <c r="C368" t="s">
        <v>378</v>
      </c>
      <c r="D368" s="12">
        <v>49026</v>
      </c>
      <c r="E368" s="12">
        <v>2198</v>
      </c>
      <c r="F368" s="12">
        <v>5058</v>
      </c>
      <c r="G368" s="12">
        <f t="shared" si="21"/>
        <v>56282</v>
      </c>
      <c r="H368" s="25">
        <f t="shared" si="22"/>
        <v>7035.25</v>
      </c>
      <c r="I368" s="25">
        <f t="shared" si="23"/>
        <v>7914.45</v>
      </c>
      <c r="J368" s="25">
        <f t="shared" si="24"/>
        <v>879.19999999999982</v>
      </c>
    </row>
    <row r="369" spans="1:10" x14ac:dyDescent="0.25">
      <c r="A369">
        <v>4039</v>
      </c>
      <c r="B369">
        <v>7</v>
      </c>
      <c r="C369" t="s">
        <v>379</v>
      </c>
      <c r="D369" s="12">
        <v>13550</v>
      </c>
      <c r="E369" s="12">
        <v>604</v>
      </c>
      <c r="F369" s="12">
        <v>2025</v>
      </c>
      <c r="G369" s="12">
        <f t="shared" si="21"/>
        <v>16179</v>
      </c>
      <c r="H369" s="25">
        <f t="shared" si="22"/>
        <v>2022.375</v>
      </c>
      <c r="I369" s="25">
        <f t="shared" si="23"/>
        <v>2263.9749999999999</v>
      </c>
      <c r="J369" s="25">
        <f t="shared" si="24"/>
        <v>241.59999999999991</v>
      </c>
    </row>
    <row r="370" spans="1:10" x14ac:dyDescent="0.25">
      <c r="A370">
        <v>4040</v>
      </c>
      <c r="B370">
        <v>7</v>
      </c>
      <c r="C370" t="s">
        <v>380</v>
      </c>
      <c r="D370" s="12">
        <v>0</v>
      </c>
      <c r="E370" s="12">
        <v>0</v>
      </c>
      <c r="F370" s="12">
        <v>0</v>
      </c>
      <c r="G370" s="12">
        <f t="shared" si="21"/>
        <v>0</v>
      </c>
      <c r="H370" s="25">
        <f t="shared" si="22"/>
        <v>0</v>
      </c>
      <c r="I370" s="25">
        <f t="shared" si="23"/>
        <v>0</v>
      </c>
      <c r="J370" s="25">
        <f t="shared" si="24"/>
        <v>0</v>
      </c>
    </row>
    <row r="371" spans="1:10" x14ac:dyDescent="0.25">
      <c r="A371">
        <v>4042</v>
      </c>
      <c r="B371">
        <v>7</v>
      </c>
      <c r="C371" t="s">
        <v>381</v>
      </c>
      <c r="D371" s="12">
        <v>14450</v>
      </c>
      <c r="E371" s="12">
        <v>3168</v>
      </c>
      <c r="F371" s="12">
        <v>11947</v>
      </c>
      <c r="G371" s="12">
        <f t="shared" si="21"/>
        <v>29565</v>
      </c>
      <c r="H371" s="25">
        <f t="shared" si="22"/>
        <v>3695.625</v>
      </c>
      <c r="I371" s="25">
        <f t="shared" si="23"/>
        <v>4962.8249999999998</v>
      </c>
      <c r="J371" s="25">
        <f t="shared" si="24"/>
        <v>1267.1999999999998</v>
      </c>
    </row>
    <row r="372" spans="1:10" x14ac:dyDescent="0.25">
      <c r="A372">
        <v>4043</v>
      </c>
      <c r="B372">
        <v>7</v>
      </c>
      <c r="C372" t="s">
        <v>382</v>
      </c>
      <c r="D372" s="12">
        <v>0</v>
      </c>
      <c r="E372" s="12">
        <v>0</v>
      </c>
      <c r="F372" s="12">
        <v>0</v>
      </c>
      <c r="G372" s="12">
        <f t="shared" si="21"/>
        <v>0</v>
      </c>
      <c r="H372" s="25">
        <f t="shared" si="22"/>
        <v>0</v>
      </c>
      <c r="I372" s="25">
        <f t="shared" si="23"/>
        <v>0</v>
      </c>
      <c r="J372" s="25">
        <f t="shared" si="24"/>
        <v>0</v>
      </c>
    </row>
    <row r="373" spans="1:10" x14ac:dyDescent="0.25">
      <c r="A373">
        <v>4044</v>
      </c>
      <c r="B373">
        <v>7</v>
      </c>
      <c r="C373" t="s">
        <v>383</v>
      </c>
      <c r="D373" s="12">
        <v>0</v>
      </c>
      <c r="E373" s="12">
        <v>0</v>
      </c>
      <c r="F373" s="12">
        <v>0</v>
      </c>
      <c r="G373" s="12">
        <f t="shared" si="21"/>
        <v>0</v>
      </c>
      <c r="H373" s="25">
        <f t="shared" si="22"/>
        <v>0</v>
      </c>
      <c r="I373" s="25">
        <f t="shared" si="23"/>
        <v>0</v>
      </c>
      <c r="J373" s="25">
        <f t="shared" si="24"/>
        <v>0</v>
      </c>
    </row>
    <row r="374" spans="1:10" x14ac:dyDescent="0.25">
      <c r="A374">
        <v>4045</v>
      </c>
      <c r="B374">
        <v>7</v>
      </c>
      <c r="C374" t="s">
        <v>384</v>
      </c>
      <c r="D374" s="12">
        <v>0</v>
      </c>
      <c r="E374" s="12">
        <v>0</v>
      </c>
      <c r="F374" s="12">
        <v>0</v>
      </c>
      <c r="G374" s="12">
        <f t="shared" si="21"/>
        <v>0</v>
      </c>
      <c r="H374" s="25">
        <f t="shared" si="22"/>
        <v>0</v>
      </c>
      <c r="I374" s="25">
        <f t="shared" si="23"/>
        <v>0</v>
      </c>
      <c r="J374" s="25">
        <f t="shared" si="24"/>
        <v>0</v>
      </c>
    </row>
    <row r="375" spans="1:10" x14ac:dyDescent="0.25">
      <c r="A375">
        <v>4046</v>
      </c>
      <c r="B375">
        <v>7</v>
      </c>
      <c r="C375" t="s">
        <v>385</v>
      </c>
      <c r="D375" s="12">
        <v>0</v>
      </c>
      <c r="E375" s="12">
        <v>0</v>
      </c>
      <c r="F375" s="12">
        <v>0</v>
      </c>
      <c r="G375" s="12">
        <f t="shared" si="21"/>
        <v>0</v>
      </c>
      <c r="H375" s="25">
        <f t="shared" si="22"/>
        <v>0</v>
      </c>
      <c r="I375" s="25">
        <f t="shared" si="23"/>
        <v>0</v>
      </c>
      <c r="J375" s="25">
        <f t="shared" si="24"/>
        <v>0</v>
      </c>
    </row>
    <row r="376" spans="1:10" x14ac:dyDescent="0.25">
      <c r="A376">
        <v>4048</v>
      </c>
      <c r="B376">
        <v>7</v>
      </c>
      <c r="C376" t="s">
        <v>386</v>
      </c>
      <c r="D376" s="12">
        <v>0</v>
      </c>
      <c r="E376" s="12">
        <v>0</v>
      </c>
      <c r="F376" s="12">
        <v>0</v>
      </c>
      <c r="G376" s="12">
        <f t="shared" si="21"/>
        <v>0</v>
      </c>
      <c r="H376" s="25">
        <f t="shared" si="22"/>
        <v>0</v>
      </c>
      <c r="I376" s="25">
        <f t="shared" si="23"/>
        <v>0</v>
      </c>
      <c r="J376" s="25">
        <f t="shared" si="24"/>
        <v>0</v>
      </c>
    </row>
    <row r="377" spans="1:10" x14ac:dyDescent="0.25">
      <c r="A377">
        <v>4049</v>
      </c>
      <c r="B377">
        <v>7</v>
      </c>
      <c r="C377" t="s">
        <v>387</v>
      </c>
      <c r="D377" s="12">
        <v>2591</v>
      </c>
      <c r="E377" s="12">
        <v>509</v>
      </c>
      <c r="F377" s="12">
        <v>489</v>
      </c>
      <c r="G377" s="12">
        <f t="shared" si="21"/>
        <v>3589</v>
      </c>
      <c r="H377" s="25">
        <f t="shared" si="22"/>
        <v>448.625</v>
      </c>
      <c r="I377" s="25">
        <f t="shared" si="23"/>
        <v>652.22500000000002</v>
      </c>
      <c r="J377" s="25">
        <f t="shared" si="24"/>
        <v>203.60000000000002</v>
      </c>
    </row>
    <row r="378" spans="1:10" x14ac:dyDescent="0.25">
      <c r="A378">
        <v>4050</v>
      </c>
      <c r="B378">
        <v>7</v>
      </c>
      <c r="C378" t="s">
        <v>388</v>
      </c>
      <c r="D378" s="12">
        <v>4080</v>
      </c>
      <c r="E378" s="12">
        <v>1330</v>
      </c>
      <c r="F378" s="12">
        <v>5852</v>
      </c>
      <c r="G378" s="12">
        <f t="shared" si="21"/>
        <v>11262</v>
      </c>
      <c r="H378" s="25">
        <f t="shared" si="22"/>
        <v>1407.75</v>
      </c>
      <c r="I378" s="25">
        <f t="shared" si="23"/>
        <v>1939.75</v>
      </c>
      <c r="J378" s="25">
        <f t="shared" si="24"/>
        <v>532</v>
      </c>
    </row>
    <row r="379" spans="1:10" x14ac:dyDescent="0.25">
      <c r="A379">
        <v>4051</v>
      </c>
      <c r="B379">
        <v>7</v>
      </c>
      <c r="C379" t="s">
        <v>389</v>
      </c>
      <c r="D379" s="12">
        <v>0</v>
      </c>
      <c r="E379" s="12">
        <v>0</v>
      </c>
      <c r="F379" s="12">
        <v>0</v>
      </c>
      <c r="G379" s="12">
        <f t="shared" si="21"/>
        <v>0</v>
      </c>
      <c r="H379" s="25">
        <f t="shared" si="22"/>
        <v>0</v>
      </c>
      <c r="I379" s="25">
        <f t="shared" si="23"/>
        <v>0</v>
      </c>
      <c r="J379" s="25">
        <f t="shared" si="24"/>
        <v>0</v>
      </c>
    </row>
    <row r="380" spans="1:10" x14ac:dyDescent="0.25">
      <c r="A380">
        <v>4052</v>
      </c>
      <c r="B380">
        <v>7</v>
      </c>
      <c r="C380" t="s">
        <v>390</v>
      </c>
      <c r="D380" s="12">
        <v>0</v>
      </c>
      <c r="E380" s="12">
        <v>0</v>
      </c>
      <c r="F380" s="12">
        <v>0</v>
      </c>
      <c r="G380" s="12">
        <f t="shared" si="21"/>
        <v>0</v>
      </c>
      <c r="H380" s="25">
        <f t="shared" si="22"/>
        <v>0</v>
      </c>
      <c r="I380" s="25">
        <f t="shared" si="23"/>
        <v>0</v>
      </c>
      <c r="J380" s="25">
        <f t="shared" si="24"/>
        <v>0</v>
      </c>
    </row>
    <row r="381" spans="1:10" x14ac:dyDescent="0.25">
      <c r="A381">
        <v>4053</v>
      </c>
      <c r="B381">
        <v>7</v>
      </c>
      <c r="C381" t="s">
        <v>391</v>
      </c>
      <c r="D381" s="12">
        <v>8595</v>
      </c>
      <c r="E381" s="12">
        <v>4449</v>
      </c>
      <c r="F381" s="12">
        <v>15413</v>
      </c>
      <c r="G381" s="12">
        <f t="shared" si="21"/>
        <v>28457</v>
      </c>
      <c r="H381" s="25">
        <f t="shared" si="22"/>
        <v>3557.125</v>
      </c>
      <c r="I381" s="25">
        <f t="shared" si="23"/>
        <v>5336.7250000000004</v>
      </c>
      <c r="J381" s="25">
        <f t="shared" si="24"/>
        <v>1779.6000000000004</v>
      </c>
    </row>
    <row r="382" spans="1:10" x14ac:dyDescent="0.25">
      <c r="A382">
        <v>4054</v>
      </c>
      <c r="B382">
        <v>7</v>
      </c>
      <c r="C382" t="s">
        <v>392</v>
      </c>
      <c r="D382" s="12">
        <v>0</v>
      </c>
      <c r="E382" s="12">
        <v>0</v>
      </c>
      <c r="F382" s="12">
        <v>0</v>
      </c>
      <c r="G382" s="12">
        <f t="shared" si="21"/>
        <v>0</v>
      </c>
      <c r="H382" s="25">
        <f t="shared" si="22"/>
        <v>0</v>
      </c>
      <c r="I382" s="25">
        <f t="shared" si="23"/>
        <v>0</v>
      </c>
      <c r="J382" s="25">
        <f t="shared" si="24"/>
        <v>0</v>
      </c>
    </row>
    <row r="383" spans="1:10" x14ac:dyDescent="0.25">
      <c r="A383">
        <v>4055</v>
      </c>
      <c r="B383">
        <v>7</v>
      </c>
      <c r="C383" t="s">
        <v>393</v>
      </c>
      <c r="D383" s="12">
        <v>0</v>
      </c>
      <c r="E383" s="12">
        <v>0</v>
      </c>
      <c r="F383" s="12">
        <v>0</v>
      </c>
      <c r="G383" s="12">
        <f t="shared" si="21"/>
        <v>0</v>
      </c>
      <c r="H383" s="25">
        <f t="shared" si="22"/>
        <v>0</v>
      </c>
      <c r="I383" s="25">
        <f t="shared" si="23"/>
        <v>0</v>
      </c>
      <c r="J383" s="25">
        <f t="shared" si="24"/>
        <v>0</v>
      </c>
    </row>
    <row r="384" spans="1:10" x14ac:dyDescent="0.25">
      <c r="A384">
        <v>4056</v>
      </c>
      <c r="B384">
        <v>7</v>
      </c>
      <c r="C384" t="s">
        <v>394</v>
      </c>
      <c r="D384" s="12">
        <v>3167</v>
      </c>
      <c r="E384" s="12">
        <v>616</v>
      </c>
      <c r="F384" s="12">
        <v>1606</v>
      </c>
      <c r="G384" s="12">
        <f t="shared" si="21"/>
        <v>5389</v>
      </c>
      <c r="H384" s="25">
        <f t="shared" si="22"/>
        <v>673.625</v>
      </c>
      <c r="I384" s="25">
        <f t="shared" si="23"/>
        <v>920.02499999999998</v>
      </c>
      <c r="J384" s="25">
        <f t="shared" si="24"/>
        <v>246.39999999999998</v>
      </c>
    </row>
    <row r="385" spans="1:10" x14ac:dyDescent="0.25">
      <c r="A385">
        <v>4057</v>
      </c>
      <c r="B385">
        <v>7</v>
      </c>
      <c r="C385" t="s">
        <v>395</v>
      </c>
      <c r="D385" s="12">
        <v>4241</v>
      </c>
      <c r="E385" s="12">
        <v>0</v>
      </c>
      <c r="F385" s="12">
        <v>706</v>
      </c>
      <c r="G385" s="12">
        <f t="shared" si="21"/>
        <v>4947</v>
      </c>
      <c r="H385" s="25">
        <f t="shared" si="22"/>
        <v>618.375</v>
      </c>
      <c r="I385" s="25">
        <f t="shared" si="23"/>
        <v>618.375</v>
      </c>
      <c r="J385" s="25">
        <f t="shared" si="24"/>
        <v>0</v>
      </c>
    </row>
    <row r="386" spans="1:10" x14ac:dyDescent="0.25">
      <c r="A386">
        <v>4058</v>
      </c>
      <c r="B386">
        <v>7</v>
      </c>
      <c r="C386" t="s">
        <v>396</v>
      </c>
      <c r="D386" s="12">
        <v>9438</v>
      </c>
      <c r="E386" s="12">
        <v>5081</v>
      </c>
      <c r="F386" s="12">
        <v>8907</v>
      </c>
      <c r="G386" s="12">
        <f t="shared" si="21"/>
        <v>23426</v>
      </c>
      <c r="H386" s="25">
        <f t="shared" si="22"/>
        <v>2928.25</v>
      </c>
      <c r="I386" s="25">
        <f t="shared" si="23"/>
        <v>4960.6499999999996</v>
      </c>
      <c r="J386" s="25">
        <f t="shared" si="24"/>
        <v>2032.3999999999996</v>
      </c>
    </row>
    <row r="387" spans="1:10" x14ac:dyDescent="0.25">
      <c r="A387">
        <v>4059</v>
      </c>
      <c r="B387">
        <v>7</v>
      </c>
      <c r="C387" t="s">
        <v>397</v>
      </c>
      <c r="D387" s="12">
        <v>6896</v>
      </c>
      <c r="E387" s="12">
        <v>728</v>
      </c>
      <c r="F387" s="12">
        <v>5837</v>
      </c>
      <c r="G387" s="12">
        <f t="shared" si="21"/>
        <v>13461</v>
      </c>
      <c r="H387" s="25">
        <f t="shared" si="22"/>
        <v>1682.625</v>
      </c>
      <c r="I387" s="25">
        <f t="shared" si="23"/>
        <v>1973.825</v>
      </c>
      <c r="J387" s="25">
        <f t="shared" si="24"/>
        <v>291.20000000000005</v>
      </c>
    </row>
    <row r="388" spans="1:10" x14ac:dyDescent="0.25">
      <c r="A388">
        <v>4060</v>
      </c>
      <c r="B388">
        <v>7</v>
      </c>
      <c r="C388" t="s">
        <v>398</v>
      </c>
      <c r="D388" s="12">
        <v>0</v>
      </c>
      <c r="E388" s="12">
        <v>0</v>
      </c>
      <c r="F388" s="12">
        <v>0</v>
      </c>
      <c r="G388" s="12">
        <f t="shared" si="21"/>
        <v>0</v>
      </c>
      <c r="H388" s="25">
        <f t="shared" si="22"/>
        <v>0</v>
      </c>
      <c r="I388" s="25">
        <f t="shared" si="23"/>
        <v>0</v>
      </c>
      <c r="J388" s="25">
        <f t="shared" si="24"/>
        <v>0</v>
      </c>
    </row>
    <row r="389" spans="1:10" x14ac:dyDescent="0.25">
      <c r="A389">
        <v>4061</v>
      </c>
      <c r="B389">
        <v>7</v>
      </c>
      <c r="C389" t="s">
        <v>399</v>
      </c>
      <c r="D389" s="12">
        <v>0</v>
      </c>
      <c r="E389" s="12">
        <v>0</v>
      </c>
      <c r="F389" s="12">
        <v>0</v>
      </c>
      <c r="G389" s="12">
        <f t="shared" si="21"/>
        <v>0</v>
      </c>
      <c r="H389" s="25">
        <f t="shared" si="22"/>
        <v>0</v>
      </c>
      <c r="I389" s="25">
        <f t="shared" si="23"/>
        <v>0</v>
      </c>
      <c r="J389" s="25">
        <f t="shared" si="24"/>
        <v>0</v>
      </c>
    </row>
    <row r="390" spans="1:10" x14ac:dyDescent="0.25">
      <c r="A390">
        <v>4062</v>
      </c>
      <c r="B390">
        <v>7</v>
      </c>
      <c r="C390" t="s">
        <v>400</v>
      </c>
      <c r="D390" s="12">
        <v>0</v>
      </c>
      <c r="E390" s="12">
        <v>0</v>
      </c>
      <c r="F390" s="12">
        <v>0</v>
      </c>
      <c r="G390" s="12">
        <f t="shared" si="21"/>
        <v>0</v>
      </c>
      <c r="H390" s="25">
        <f t="shared" si="22"/>
        <v>0</v>
      </c>
      <c r="I390" s="25">
        <f t="shared" si="23"/>
        <v>0</v>
      </c>
      <c r="J390" s="25">
        <f t="shared" si="24"/>
        <v>0</v>
      </c>
    </row>
    <row r="391" spans="1:10" x14ac:dyDescent="0.25">
      <c r="A391">
        <v>4064</v>
      </c>
      <c r="B391">
        <v>7</v>
      </c>
      <c r="C391" t="s">
        <v>401</v>
      </c>
      <c r="D391" s="12">
        <v>8579</v>
      </c>
      <c r="E391" s="12">
        <v>1321</v>
      </c>
      <c r="F391" s="12">
        <v>2234</v>
      </c>
      <c r="G391" s="12">
        <f t="shared" si="21"/>
        <v>12134</v>
      </c>
      <c r="H391" s="25">
        <f t="shared" si="22"/>
        <v>1516.75</v>
      </c>
      <c r="I391" s="25">
        <f t="shared" si="23"/>
        <v>2045.15</v>
      </c>
      <c r="J391" s="25">
        <f t="shared" si="24"/>
        <v>528.40000000000009</v>
      </c>
    </row>
    <row r="392" spans="1:10" x14ac:dyDescent="0.25">
      <c r="A392">
        <v>4065</v>
      </c>
      <c r="B392">
        <v>7</v>
      </c>
      <c r="C392" t="s">
        <v>402</v>
      </c>
      <c r="D392" s="12">
        <v>0</v>
      </c>
      <c r="E392" s="12">
        <v>0</v>
      </c>
      <c r="F392" s="12">
        <v>0</v>
      </c>
      <c r="G392" s="12">
        <f t="shared" ref="G392:G455" si="25">SUM(D392:F392)</f>
        <v>0</v>
      </c>
      <c r="H392" s="25">
        <f t="shared" ref="H392:H455" si="26">G392*0.125</f>
        <v>0</v>
      </c>
      <c r="I392" s="25">
        <f t="shared" ref="I392:I455" si="27">H392+0.4*E392</f>
        <v>0</v>
      </c>
      <c r="J392" s="25">
        <f t="shared" ref="J392:J455" si="28">I392-H392</f>
        <v>0</v>
      </c>
    </row>
    <row r="393" spans="1:10" x14ac:dyDescent="0.25">
      <c r="A393">
        <v>4066</v>
      </c>
      <c r="B393">
        <v>7</v>
      </c>
      <c r="C393" t="s">
        <v>403</v>
      </c>
      <c r="D393" s="12">
        <v>1236</v>
      </c>
      <c r="E393" s="12">
        <v>480</v>
      </c>
      <c r="F393" s="12">
        <v>741</v>
      </c>
      <c r="G393" s="12">
        <f t="shared" si="25"/>
        <v>2457</v>
      </c>
      <c r="H393" s="25">
        <f t="shared" si="26"/>
        <v>307.125</v>
      </c>
      <c r="I393" s="25">
        <f t="shared" si="27"/>
        <v>499.125</v>
      </c>
      <c r="J393" s="25">
        <f t="shared" si="28"/>
        <v>192</v>
      </c>
    </row>
    <row r="394" spans="1:10" x14ac:dyDescent="0.25">
      <c r="A394">
        <v>4067</v>
      </c>
      <c r="B394">
        <v>7</v>
      </c>
      <c r="C394" t="s">
        <v>404</v>
      </c>
      <c r="D394" s="12">
        <v>49810</v>
      </c>
      <c r="E394" s="12">
        <v>3419</v>
      </c>
      <c r="F394" s="12">
        <v>1078</v>
      </c>
      <c r="G394" s="12">
        <f t="shared" si="25"/>
        <v>54307</v>
      </c>
      <c r="H394" s="25">
        <f t="shared" si="26"/>
        <v>6788.375</v>
      </c>
      <c r="I394" s="25">
        <f t="shared" si="27"/>
        <v>8155.9750000000004</v>
      </c>
      <c r="J394" s="25">
        <f t="shared" si="28"/>
        <v>1367.6000000000004</v>
      </c>
    </row>
    <row r="395" spans="1:10" x14ac:dyDescent="0.25">
      <c r="A395">
        <v>4068</v>
      </c>
      <c r="B395">
        <v>7</v>
      </c>
      <c r="C395" t="s">
        <v>405</v>
      </c>
      <c r="D395" s="12">
        <v>50464</v>
      </c>
      <c r="E395" s="12">
        <v>5711</v>
      </c>
      <c r="F395" s="12">
        <v>3793</v>
      </c>
      <c r="G395" s="12">
        <f t="shared" si="25"/>
        <v>59968</v>
      </c>
      <c r="H395" s="25">
        <f t="shared" si="26"/>
        <v>7496</v>
      </c>
      <c r="I395" s="25">
        <f t="shared" si="27"/>
        <v>9780.4</v>
      </c>
      <c r="J395" s="25">
        <f t="shared" si="28"/>
        <v>2284.3999999999996</v>
      </c>
    </row>
    <row r="396" spans="1:10" x14ac:dyDescent="0.25">
      <c r="A396">
        <v>4069</v>
      </c>
      <c r="B396">
        <v>7</v>
      </c>
      <c r="C396" t="s">
        <v>406</v>
      </c>
      <c r="D396" s="12">
        <v>0</v>
      </c>
      <c r="E396" s="12">
        <v>0</v>
      </c>
      <c r="F396" s="12">
        <v>0</v>
      </c>
      <c r="G396" s="12">
        <f t="shared" si="25"/>
        <v>0</v>
      </c>
      <c r="H396" s="25">
        <f t="shared" si="26"/>
        <v>0</v>
      </c>
      <c r="I396" s="25">
        <f t="shared" si="27"/>
        <v>0</v>
      </c>
      <c r="J396" s="25">
        <f t="shared" si="28"/>
        <v>0</v>
      </c>
    </row>
    <row r="397" spans="1:10" x14ac:dyDescent="0.25">
      <c r="A397">
        <v>4070</v>
      </c>
      <c r="B397">
        <v>7</v>
      </c>
      <c r="C397" t="s">
        <v>407</v>
      </c>
      <c r="D397" s="12">
        <v>69065</v>
      </c>
      <c r="E397" s="12">
        <v>5916</v>
      </c>
      <c r="F397" s="12">
        <v>14016</v>
      </c>
      <c r="G397" s="12">
        <f t="shared" si="25"/>
        <v>88997</v>
      </c>
      <c r="H397" s="25">
        <f t="shared" si="26"/>
        <v>11124.625</v>
      </c>
      <c r="I397" s="25">
        <f t="shared" si="27"/>
        <v>13491.025</v>
      </c>
      <c r="J397" s="25">
        <f t="shared" si="28"/>
        <v>2366.3999999999996</v>
      </c>
    </row>
    <row r="398" spans="1:10" x14ac:dyDescent="0.25">
      <c r="A398">
        <v>4071</v>
      </c>
      <c r="B398">
        <v>7</v>
      </c>
      <c r="C398" t="s">
        <v>408</v>
      </c>
      <c r="D398" s="12">
        <v>0</v>
      </c>
      <c r="E398" s="12">
        <v>0</v>
      </c>
      <c r="F398" s="12">
        <v>0</v>
      </c>
      <c r="G398" s="12">
        <f t="shared" si="25"/>
        <v>0</v>
      </c>
      <c r="H398" s="25">
        <f t="shared" si="26"/>
        <v>0</v>
      </c>
      <c r="I398" s="25">
        <f t="shared" si="27"/>
        <v>0</v>
      </c>
      <c r="J398" s="25">
        <f t="shared" si="28"/>
        <v>0</v>
      </c>
    </row>
    <row r="399" spans="1:10" x14ac:dyDescent="0.25">
      <c r="A399">
        <v>4072</v>
      </c>
      <c r="B399">
        <v>7</v>
      </c>
      <c r="C399" t="s">
        <v>409</v>
      </c>
      <c r="D399" s="12">
        <v>0</v>
      </c>
      <c r="E399" s="12">
        <v>0</v>
      </c>
      <c r="F399" s="12">
        <v>0</v>
      </c>
      <c r="G399" s="12">
        <f t="shared" si="25"/>
        <v>0</v>
      </c>
      <c r="H399" s="25">
        <f t="shared" si="26"/>
        <v>0</v>
      </c>
      <c r="I399" s="25">
        <f t="shared" si="27"/>
        <v>0</v>
      </c>
      <c r="J399" s="25">
        <f t="shared" si="28"/>
        <v>0</v>
      </c>
    </row>
    <row r="400" spans="1:10" x14ac:dyDescent="0.25">
      <c r="A400">
        <v>4073</v>
      </c>
      <c r="B400">
        <v>7</v>
      </c>
      <c r="C400" t="s">
        <v>410</v>
      </c>
      <c r="D400" s="12">
        <v>49194</v>
      </c>
      <c r="E400" s="12">
        <v>3913</v>
      </c>
      <c r="F400" s="12">
        <v>1822</v>
      </c>
      <c r="G400" s="12">
        <f t="shared" si="25"/>
        <v>54929</v>
      </c>
      <c r="H400" s="25">
        <f t="shared" si="26"/>
        <v>6866.125</v>
      </c>
      <c r="I400" s="25">
        <f t="shared" si="27"/>
        <v>8431.3250000000007</v>
      </c>
      <c r="J400" s="25">
        <f t="shared" si="28"/>
        <v>1565.2000000000007</v>
      </c>
    </row>
    <row r="401" spans="1:10" x14ac:dyDescent="0.25">
      <c r="A401">
        <v>4074</v>
      </c>
      <c r="B401">
        <v>7</v>
      </c>
      <c r="C401" t="s">
        <v>411</v>
      </c>
      <c r="D401" s="12">
        <v>9674</v>
      </c>
      <c r="E401" s="12">
        <v>3569</v>
      </c>
      <c r="F401" s="12">
        <v>14155</v>
      </c>
      <c r="G401" s="12">
        <f t="shared" si="25"/>
        <v>27398</v>
      </c>
      <c r="H401" s="25">
        <f t="shared" si="26"/>
        <v>3424.75</v>
      </c>
      <c r="I401" s="25">
        <f t="shared" si="27"/>
        <v>4852.3500000000004</v>
      </c>
      <c r="J401" s="25">
        <f t="shared" si="28"/>
        <v>1427.6000000000004</v>
      </c>
    </row>
    <row r="402" spans="1:10" x14ac:dyDescent="0.25">
      <c r="A402">
        <v>4075</v>
      </c>
      <c r="B402">
        <v>7</v>
      </c>
      <c r="C402" t="s">
        <v>412</v>
      </c>
      <c r="D402" s="12">
        <v>4510</v>
      </c>
      <c r="E402" s="12">
        <v>579</v>
      </c>
      <c r="F402" s="12">
        <v>1013</v>
      </c>
      <c r="G402" s="12">
        <f t="shared" si="25"/>
        <v>6102</v>
      </c>
      <c r="H402" s="25">
        <f t="shared" si="26"/>
        <v>762.75</v>
      </c>
      <c r="I402" s="25">
        <f t="shared" si="27"/>
        <v>994.35</v>
      </c>
      <c r="J402" s="25">
        <f t="shared" si="28"/>
        <v>231.60000000000002</v>
      </c>
    </row>
    <row r="403" spans="1:10" x14ac:dyDescent="0.25">
      <c r="A403">
        <v>4076</v>
      </c>
      <c r="B403">
        <v>7</v>
      </c>
      <c r="C403" t="s">
        <v>413</v>
      </c>
      <c r="D403" s="12">
        <v>0</v>
      </c>
      <c r="E403" s="12">
        <v>0</v>
      </c>
      <c r="F403" s="12">
        <v>0</v>
      </c>
      <c r="G403" s="12">
        <f t="shared" si="25"/>
        <v>0</v>
      </c>
      <c r="H403" s="25">
        <f t="shared" si="26"/>
        <v>0</v>
      </c>
      <c r="I403" s="25">
        <f t="shared" si="27"/>
        <v>0</v>
      </c>
      <c r="J403" s="25">
        <f t="shared" si="28"/>
        <v>0</v>
      </c>
    </row>
    <row r="404" spans="1:10" x14ac:dyDescent="0.25">
      <c r="A404">
        <v>4077</v>
      </c>
      <c r="B404">
        <v>7</v>
      </c>
      <c r="C404" t="s">
        <v>414</v>
      </c>
      <c r="D404" s="12">
        <v>93767</v>
      </c>
      <c r="E404" s="12">
        <v>1235</v>
      </c>
      <c r="F404" s="12">
        <v>3589</v>
      </c>
      <c r="G404" s="12">
        <f t="shared" si="25"/>
        <v>98591</v>
      </c>
      <c r="H404" s="25">
        <f t="shared" si="26"/>
        <v>12323.875</v>
      </c>
      <c r="I404" s="25">
        <f t="shared" si="27"/>
        <v>12817.875</v>
      </c>
      <c r="J404" s="25">
        <f t="shared" si="28"/>
        <v>494</v>
      </c>
    </row>
    <row r="405" spans="1:10" x14ac:dyDescent="0.25">
      <c r="A405">
        <v>4078</v>
      </c>
      <c r="B405">
        <v>7</v>
      </c>
      <c r="C405" t="s">
        <v>415</v>
      </c>
      <c r="D405" s="12">
        <v>57815</v>
      </c>
      <c r="E405" s="12">
        <v>720</v>
      </c>
      <c r="F405" s="12">
        <v>1855</v>
      </c>
      <c r="G405" s="12">
        <f t="shared" si="25"/>
        <v>60390</v>
      </c>
      <c r="H405" s="25">
        <f t="shared" si="26"/>
        <v>7548.75</v>
      </c>
      <c r="I405" s="25">
        <f t="shared" si="27"/>
        <v>7836.75</v>
      </c>
      <c r="J405" s="25">
        <f t="shared" si="28"/>
        <v>288</v>
      </c>
    </row>
    <row r="406" spans="1:10" x14ac:dyDescent="0.25">
      <c r="A406">
        <v>4079</v>
      </c>
      <c r="B406">
        <v>7</v>
      </c>
      <c r="C406" t="s">
        <v>416</v>
      </c>
      <c r="D406" s="12">
        <v>5922</v>
      </c>
      <c r="E406" s="12">
        <v>190</v>
      </c>
      <c r="F406" s="12">
        <v>11033</v>
      </c>
      <c r="G406" s="12">
        <f t="shared" si="25"/>
        <v>17145</v>
      </c>
      <c r="H406" s="25">
        <f t="shared" si="26"/>
        <v>2143.125</v>
      </c>
      <c r="I406" s="25">
        <f t="shared" si="27"/>
        <v>2219.125</v>
      </c>
      <c r="J406" s="25">
        <f t="shared" si="28"/>
        <v>76</v>
      </c>
    </row>
    <row r="407" spans="1:10" x14ac:dyDescent="0.25">
      <c r="A407">
        <v>4080</v>
      </c>
      <c r="B407">
        <v>7</v>
      </c>
      <c r="C407" t="s">
        <v>417</v>
      </c>
      <c r="D407" s="12">
        <v>0</v>
      </c>
      <c r="E407" s="12">
        <v>0</v>
      </c>
      <c r="F407" s="12">
        <v>0</v>
      </c>
      <c r="G407" s="12">
        <f t="shared" si="25"/>
        <v>0</v>
      </c>
      <c r="H407" s="25">
        <f t="shared" si="26"/>
        <v>0</v>
      </c>
      <c r="I407" s="25">
        <f t="shared" si="27"/>
        <v>0</v>
      </c>
      <c r="J407" s="25">
        <f t="shared" si="28"/>
        <v>0</v>
      </c>
    </row>
    <row r="408" spans="1:10" x14ac:dyDescent="0.25">
      <c r="A408">
        <v>4081</v>
      </c>
      <c r="B408">
        <v>7</v>
      </c>
      <c r="C408" t="s">
        <v>418</v>
      </c>
      <c r="D408" s="12">
        <v>2200</v>
      </c>
      <c r="E408" s="12">
        <v>371</v>
      </c>
      <c r="F408" s="12">
        <v>925</v>
      </c>
      <c r="G408" s="12">
        <f t="shared" si="25"/>
        <v>3496</v>
      </c>
      <c r="H408" s="25">
        <f t="shared" si="26"/>
        <v>437</v>
      </c>
      <c r="I408" s="25">
        <f t="shared" si="27"/>
        <v>585.4</v>
      </c>
      <c r="J408" s="25">
        <f t="shared" si="28"/>
        <v>148.39999999999998</v>
      </c>
    </row>
    <row r="409" spans="1:10" x14ac:dyDescent="0.25">
      <c r="A409">
        <v>4082</v>
      </c>
      <c r="B409">
        <v>7</v>
      </c>
      <c r="C409" t="s">
        <v>419</v>
      </c>
      <c r="D409" s="12">
        <v>0</v>
      </c>
      <c r="E409" s="12">
        <v>0</v>
      </c>
      <c r="F409" s="12">
        <v>0</v>
      </c>
      <c r="G409" s="12">
        <f t="shared" si="25"/>
        <v>0</v>
      </c>
      <c r="H409" s="25">
        <f t="shared" si="26"/>
        <v>0</v>
      </c>
      <c r="I409" s="25">
        <f t="shared" si="27"/>
        <v>0</v>
      </c>
      <c r="J409" s="25">
        <f t="shared" si="28"/>
        <v>0</v>
      </c>
    </row>
    <row r="410" spans="1:10" x14ac:dyDescent="0.25">
      <c r="A410">
        <v>4083</v>
      </c>
      <c r="B410">
        <v>7</v>
      </c>
      <c r="C410" t="s">
        <v>420</v>
      </c>
      <c r="D410" s="12">
        <v>2166</v>
      </c>
      <c r="E410" s="12">
        <v>1679</v>
      </c>
      <c r="F410" s="12">
        <v>6252</v>
      </c>
      <c r="G410" s="12">
        <f t="shared" si="25"/>
        <v>10097</v>
      </c>
      <c r="H410" s="25">
        <f t="shared" si="26"/>
        <v>1262.125</v>
      </c>
      <c r="I410" s="25">
        <f t="shared" si="27"/>
        <v>1933.7249999999999</v>
      </c>
      <c r="J410" s="25">
        <f t="shared" si="28"/>
        <v>671.59999999999991</v>
      </c>
    </row>
    <row r="411" spans="1:10" x14ac:dyDescent="0.25">
      <c r="A411">
        <v>4084</v>
      </c>
      <c r="B411">
        <v>7</v>
      </c>
      <c r="C411" t="s">
        <v>421</v>
      </c>
      <c r="D411" s="12">
        <v>11311</v>
      </c>
      <c r="E411" s="12">
        <v>5957</v>
      </c>
      <c r="F411" s="12">
        <v>16207</v>
      </c>
      <c r="G411" s="12">
        <f t="shared" si="25"/>
        <v>33475</v>
      </c>
      <c r="H411" s="25">
        <f t="shared" si="26"/>
        <v>4184.375</v>
      </c>
      <c r="I411" s="25">
        <f t="shared" si="27"/>
        <v>6567.1750000000002</v>
      </c>
      <c r="J411" s="25">
        <f t="shared" si="28"/>
        <v>2382.8000000000002</v>
      </c>
    </row>
    <row r="412" spans="1:10" x14ac:dyDescent="0.25">
      <c r="A412">
        <v>4085</v>
      </c>
      <c r="B412">
        <v>7</v>
      </c>
      <c r="C412" t="s">
        <v>422</v>
      </c>
      <c r="D412" s="12">
        <v>4064</v>
      </c>
      <c r="E412" s="12">
        <v>1638</v>
      </c>
      <c r="F412" s="12">
        <v>3450</v>
      </c>
      <c r="G412" s="12">
        <f t="shared" si="25"/>
        <v>9152</v>
      </c>
      <c r="H412" s="25">
        <f t="shared" si="26"/>
        <v>1144</v>
      </c>
      <c r="I412" s="25">
        <f t="shared" si="27"/>
        <v>1799.2</v>
      </c>
      <c r="J412" s="25">
        <f t="shared" si="28"/>
        <v>655.20000000000005</v>
      </c>
    </row>
    <row r="413" spans="1:10" x14ac:dyDescent="0.25">
      <c r="A413">
        <v>4086</v>
      </c>
      <c r="B413">
        <v>7</v>
      </c>
      <c r="C413" t="s">
        <v>423</v>
      </c>
      <c r="D413" s="12">
        <v>36642</v>
      </c>
      <c r="E413" s="12">
        <v>3327</v>
      </c>
      <c r="F413" s="12">
        <v>1546</v>
      </c>
      <c r="G413" s="12">
        <f t="shared" si="25"/>
        <v>41515</v>
      </c>
      <c r="H413" s="25">
        <f t="shared" si="26"/>
        <v>5189.375</v>
      </c>
      <c r="I413" s="25">
        <f t="shared" si="27"/>
        <v>6520.1750000000002</v>
      </c>
      <c r="J413" s="25">
        <f t="shared" si="28"/>
        <v>1330.8000000000002</v>
      </c>
    </row>
    <row r="414" spans="1:10" x14ac:dyDescent="0.25">
      <c r="A414">
        <v>4087</v>
      </c>
      <c r="B414">
        <v>7</v>
      </c>
      <c r="C414" t="s">
        <v>424</v>
      </c>
      <c r="D414" s="12">
        <v>4616</v>
      </c>
      <c r="E414" s="12">
        <v>1157</v>
      </c>
      <c r="F414" s="12">
        <v>1029</v>
      </c>
      <c r="G414" s="12">
        <f t="shared" si="25"/>
        <v>6802</v>
      </c>
      <c r="H414" s="25">
        <f t="shared" si="26"/>
        <v>850.25</v>
      </c>
      <c r="I414" s="25">
        <f t="shared" si="27"/>
        <v>1313.05</v>
      </c>
      <c r="J414" s="25">
        <f t="shared" si="28"/>
        <v>462.79999999999995</v>
      </c>
    </row>
    <row r="415" spans="1:10" x14ac:dyDescent="0.25">
      <c r="A415">
        <v>4088</v>
      </c>
      <c r="B415">
        <v>7</v>
      </c>
      <c r="C415" t="s">
        <v>425</v>
      </c>
      <c r="D415" s="12">
        <v>40165</v>
      </c>
      <c r="E415" s="12">
        <v>939</v>
      </c>
      <c r="F415" s="12">
        <v>1326</v>
      </c>
      <c r="G415" s="12">
        <f t="shared" si="25"/>
        <v>42430</v>
      </c>
      <c r="H415" s="25">
        <f t="shared" si="26"/>
        <v>5303.75</v>
      </c>
      <c r="I415" s="25">
        <f t="shared" si="27"/>
        <v>5679.35</v>
      </c>
      <c r="J415" s="25">
        <f t="shared" si="28"/>
        <v>375.60000000000036</v>
      </c>
    </row>
    <row r="416" spans="1:10" x14ac:dyDescent="0.25">
      <c r="A416">
        <v>4089</v>
      </c>
      <c r="B416">
        <v>7</v>
      </c>
      <c r="C416" t="s">
        <v>426</v>
      </c>
      <c r="D416" s="12">
        <v>6933</v>
      </c>
      <c r="E416" s="12">
        <v>1012</v>
      </c>
      <c r="F416" s="12">
        <v>5138</v>
      </c>
      <c r="G416" s="12">
        <f t="shared" si="25"/>
        <v>13083</v>
      </c>
      <c r="H416" s="25">
        <f t="shared" si="26"/>
        <v>1635.375</v>
      </c>
      <c r="I416" s="25">
        <f t="shared" si="27"/>
        <v>2040.175</v>
      </c>
      <c r="J416" s="25">
        <f t="shared" si="28"/>
        <v>404.79999999999995</v>
      </c>
    </row>
    <row r="417" spans="1:10" x14ac:dyDescent="0.25">
      <c r="A417">
        <v>4090</v>
      </c>
      <c r="B417">
        <v>7</v>
      </c>
      <c r="C417" t="s">
        <v>427</v>
      </c>
      <c r="D417" s="12">
        <v>1821</v>
      </c>
      <c r="E417" s="12">
        <v>1276</v>
      </c>
      <c r="F417" s="12">
        <v>8863</v>
      </c>
      <c r="G417" s="12">
        <f t="shared" si="25"/>
        <v>11960</v>
      </c>
      <c r="H417" s="25">
        <f t="shared" si="26"/>
        <v>1495</v>
      </c>
      <c r="I417" s="25">
        <f t="shared" si="27"/>
        <v>2005.4</v>
      </c>
      <c r="J417" s="25">
        <f t="shared" si="28"/>
        <v>510.40000000000009</v>
      </c>
    </row>
    <row r="418" spans="1:10" x14ac:dyDescent="0.25">
      <c r="A418">
        <v>4091</v>
      </c>
      <c r="B418">
        <v>7</v>
      </c>
      <c r="C418" t="s">
        <v>428</v>
      </c>
      <c r="D418" s="12">
        <v>2360</v>
      </c>
      <c r="E418" s="12">
        <v>688</v>
      </c>
      <c r="F418" s="12">
        <v>2383</v>
      </c>
      <c r="G418" s="12">
        <f t="shared" si="25"/>
        <v>5431</v>
      </c>
      <c r="H418" s="25">
        <f t="shared" si="26"/>
        <v>678.875</v>
      </c>
      <c r="I418" s="25">
        <f t="shared" si="27"/>
        <v>954.07500000000005</v>
      </c>
      <c r="J418" s="25">
        <f t="shared" si="28"/>
        <v>275.20000000000005</v>
      </c>
    </row>
    <row r="419" spans="1:10" x14ac:dyDescent="0.25">
      <c r="A419">
        <v>4092</v>
      </c>
      <c r="B419">
        <v>7</v>
      </c>
      <c r="C419" t="s">
        <v>429</v>
      </c>
      <c r="D419" s="12">
        <v>3347</v>
      </c>
      <c r="E419" s="12">
        <v>11</v>
      </c>
      <c r="F419" s="12">
        <v>1048</v>
      </c>
      <c r="G419" s="12">
        <f t="shared" si="25"/>
        <v>4406</v>
      </c>
      <c r="H419" s="25">
        <f t="shared" si="26"/>
        <v>550.75</v>
      </c>
      <c r="I419" s="25">
        <f t="shared" si="27"/>
        <v>555.15</v>
      </c>
      <c r="J419" s="25">
        <f t="shared" si="28"/>
        <v>4.3999999999999773</v>
      </c>
    </row>
    <row r="420" spans="1:10" x14ac:dyDescent="0.25">
      <c r="A420">
        <v>4093</v>
      </c>
      <c r="B420">
        <v>7</v>
      </c>
      <c r="C420" t="s">
        <v>430</v>
      </c>
      <c r="D420" s="12">
        <v>8427</v>
      </c>
      <c r="E420" s="12">
        <v>1445</v>
      </c>
      <c r="F420" s="12">
        <v>3678</v>
      </c>
      <c r="G420" s="12">
        <f t="shared" si="25"/>
        <v>13550</v>
      </c>
      <c r="H420" s="25">
        <f t="shared" si="26"/>
        <v>1693.75</v>
      </c>
      <c r="I420" s="25">
        <f t="shared" si="27"/>
        <v>2271.75</v>
      </c>
      <c r="J420" s="25">
        <f t="shared" si="28"/>
        <v>578</v>
      </c>
    </row>
    <row r="421" spans="1:10" x14ac:dyDescent="0.25">
      <c r="A421">
        <v>4095</v>
      </c>
      <c r="B421">
        <v>7</v>
      </c>
      <c r="C421" t="s">
        <v>431</v>
      </c>
      <c r="D421" s="12">
        <v>0</v>
      </c>
      <c r="E421" s="12">
        <v>0</v>
      </c>
      <c r="F421" s="12">
        <v>0</v>
      </c>
      <c r="G421" s="12">
        <f t="shared" si="25"/>
        <v>0</v>
      </c>
      <c r="H421" s="25">
        <f t="shared" si="26"/>
        <v>0</v>
      </c>
      <c r="I421" s="25">
        <f t="shared" si="27"/>
        <v>0</v>
      </c>
      <c r="J421" s="25">
        <f t="shared" si="28"/>
        <v>0</v>
      </c>
    </row>
    <row r="422" spans="1:10" x14ac:dyDescent="0.25">
      <c r="A422">
        <v>4096</v>
      </c>
      <c r="B422">
        <v>7</v>
      </c>
      <c r="C422" t="s">
        <v>432</v>
      </c>
      <c r="D422" s="12">
        <v>0</v>
      </c>
      <c r="E422" s="12">
        <v>0</v>
      </c>
      <c r="F422" s="12">
        <v>0</v>
      </c>
      <c r="G422" s="12">
        <f t="shared" si="25"/>
        <v>0</v>
      </c>
      <c r="H422" s="25">
        <f t="shared" si="26"/>
        <v>0</v>
      </c>
      <c r="I422" s="25">
        <f t="shared" si="27"/>
        <v>0</v>
      </c>
      <c r="J422" s="25">
        <f t="shared" si="28"/>
        <v>0</v>
      </c>
    </row>
    <row r="423" spans="1:10" x14ac:dyDescent="0.25">
      <c r="A423">
        <v>4097</v>
      </c>
      <c r="B423">
        <v>7</v>
      </c>
      <c r="C423" t="s">
        <v>433</v>
      </c>
      <c r="D423" s="12">
        <v>37512</v>
      </c>
      <c r="E423" s="12">
        <v>4124</v>
      </c>
      <c r="F423" s="12">
        <v>5225</v>
      </c>
      <c r="G423" s="12">
        <f t="shared" si="25"/>
        <v>46861</v>
      </c>
      <c r="H423" s="25">
        <f t="shared" si="26"/>
        <v>5857.625</v>
      </c>
      <c r="I423" s="25">
        <f t="shared" si="27"/>
        <v>7507.2250000000004</v>
      </c>
      <c r="J423" s="25">
        <f t="shared" si="28"/>
        <v>1649.6000000000004</v>
      </c>
    </row>
    <row r="424" spans="1:10" x14ac:dyDescent="0.25">
      <c r="A424">
        <v>4098</v>
      </c>
      <c r="B424">
        <v>7</v>
      </c>
      <c r="C424" t="s">
        <v>434</v>
      </c>
      <c r="D424" s="12">
        <v>9340</v>
      </c>
      <c r="E424" s="12">
        <v>4144</v>
      </c>
      <c r="F424" s="12">
        <v>26522</v>
      </c>
      <c r="G424" s="12">
        <f t="shared" si="25"/>
        <v>40006</v>
      </c>
      <c r="H424" s="25">
        <f t="shared" si="26"/>
        <v>5000.75</v>
      </c>
      <c r="I424" s="25">
        <f t="shared" si="27"/>
        <v>6658.35</v>
      </c>
      <c r="J424" s="25">
        <f t="shared" si="28"/>
        <v>1657.6000000000004</v>
      </c>
    </row>
    <row r="425" spans="1:10" x14ac:dyDescent="0.25">
      <c r="A425">
        <v>4099</v>
      </c>
      <c r="B425">
        <v>7</v>
      </c>
      <c r="C425" t="s">
        <v>435</v>
      </c>
      <c r="D425" s="12">
        <v>0</v>
      </c>
      <c r="E425" s="12">
        <v>0</v>
      </c>
      <c r="F425" s="12">
        <v>0</v>
      </c>
      <c r="G425" s="12">
        <f t="shared" si="25"/>
        <v>0</v>
      </c>
      <c r="H425" s="25">
        <f t="shared" si="26"/>
        <v>0</v>
      </c>
      <c r="I425" s="25">
        <f t="shared" si="27"/>
        <v>0</v>
      </c>
      <c r="J425" s="25">
        <f t="shared" si="28"/>
        <v>0</v>
      </c>
    </row>
    <row r="426" spans="1:10" x14ac:dyDescent="0.25">
      <c r="A426">
        <v>4100</v>
      </c>
      <c r="B426">
        <v>7</v>
      </c>
      <c r="C426" t="s">
        <v>436</v>
      </c>
      <c r="D426" s="12">
        <v>0</v>
      </c>
      <c r="E426" s="12">
        <v>0</v>
      </c>
      <c r="F426" s="12">
        <v>0</v>
      </c>
      <c r="G426" s="12">
        <f t="shared" si="25"/>
        <v>0</v>
      </c>
      <c r="H426" s="25">
        <f t="shared" si="26"/>
        <v>0</v>
      </c>
      <c r="I426" s="25">
        <f t="shared" si="27"/>
        <v>0</v>
      </c>
      <c r="J426" s="25">
        <f t="shared" si="28"/>
        <v>0</v>
      </c>
    </row>
    <row r="427" spans="1:10" x14ac:dyDescent="0.25">
      <c r="A427">
        <v>4101</v>
      </c>
      <c r="B427">
        <v>7</v>
      </c>
      <c r="C427" t="s">
        <v>437</v>
      </c>
      <c r="D427" s="12">
        <v>0</v>
      </c>
      <c r="E427" s="12">
        <v>0</v>
      </c>
      <c r="F427" s="12">
        <v>0</v>
      </c>
      <c r="G427" s="12">
        <f t="shared" si="25"/>
        <v>0</v>
      </c>
      <c r="H427" s="25">
        <f t="shared" si="26"/>
        <v>0</v>
      </c>
      <c r="I427" s="25">
        <f t="shared" si="27"/>
        <v>0</v>
      </c>
      <c r="J427" s="25">
        <f t="shared" si="28"/>
        <v>0</v>
      </c>
    </row>
    <row r="428" spans="1:10" x14ac:dyDescent="0.25">
      <c r="A428">
        <v>4102</v>
      </c>
      <c r="B428">
        <v>7</v>
      </c>
      <c r="C428" t="s">
        <v>438</v>
      </c>
      <c r="D428" s="12">
        <v>12992</v>
      </c>
      <c r="E428" s="12">
        <v>378</v>
      </c>
      <c r="F428" s="12">
        <v>883</v>
      </c>
      <c r="G428" s="12">
        <f t="shared" si="25"/>
        <v>14253</v>
      </c>
      <c r="H428" s="25">
        <f t="shared" si="26"/>
        <v>1781.625</v>
      </c>
      <c r="I428" s="25">
        <f t="shared" si="27"/>
        <v>1932.825</v>
      </c>
      <c r="J428" s="25">
        <f t="shared" si="28"/>
        <v>151.20000000000005</v>
      </c>
    </row>
    <row r="429" spans="1:10" x14ac:dyDescent="0.25">
      <c r="A429">
        <v>4103</v>
      </c>
      <c r="B429">
        <v>7</v>
      </c>
      <c r="C429" t="s">
        <v>439</v>
      </c>
      <c r="D429" s="12">
        <v>124641</v>
      </c>
      <c r="E429" s="12">
        <v>11418</v>
      </c>
      <c r="F429" s="12">
        <v>18482</v>
      </c>
      <c r="G429" s="12">
        <f t="shared" si="25"/>
        <v>154541</v>
      </c>
      <c r="H429" s="25">
        <f t="shared" si="26"/>
        <v>19317.625</v>
      </c>
      <c r="I429" s="25">
        <f t="shared" si="27"/>
        <v>23884.825000000001</v>
      </c>
      <c r="J429" s="25">
        <f t="shared" si="28"/>
        <v>4567.2000000000007</v>
      </c>
    </row>
    <row r="430" spans="1:10" x14ac:dyDescent="0.25">
      <c r="A430">
        <v>4104</v>
      </c>
      <c r="B430">
        <v>7</v>
      </c>
      <c r="C430" t="s">
        <v>440</v>
      </c>
      <c r="D430" s="12">
        <v>5599</v>
      </c>
      <c r="E430" s="12">
        <v>873</v>
      </c>
      <c r="F430" s="12">
        <v>467</v>
      </c>
      <c r="G430" s="12">
        <f t="shared" si="25"/>
        <v>6939</v>
      </c>
      <c r="H430" s="25">
        <f t="shared" si="26"/>
        <v>867.375</v>
      </c>
      <c r="I430" s="25">
        <f t="shared" si="27"/>
        <v>1216.575</v>
      </c>
      <c r="J430" s="25">
        <f t="shared" si="28"/>
        <v>349.20000000000005</v>
      </c>
    </row>
    <row r="431" spans="1:10" x14ac:dyDescent="0.25">
      <c r="A431">
        <v>4105</v>
      </c>
      <c r="B431">
        <v>7</v>
      </c>
      <c r="C431" t="s">
        <v>441</v>
      </c>
      <c r="D431" s="12">
        <v>2271</v>
      </c>
      <c r="E431" s="12">
        <v>639</v>
      </c>
      <c r="F431" s="12">
        <v>3007</v>
      </c>
      <c r="G431" s="12">
        <f t="shared" si="25"/>
        <v>5917</v>
      </c>
      <c r="H431" s="25">
        <f t="shared" si="26"/>
        <v>739.625</v>
      </c>
      <c r="I431" s="25">
        <f t="shared" si="27"/>
        <v>995.22500000000002</v>
      </c>
      <c r="J431" s="25">
        <f t="shared" si="28"/>
        <v>255.60000000000002</v>
      </c>
    </row>
    <row r="432" spans="1:10" x14ac:dyDescent="0.25">
      <c r="A432">
        <v>4106</v>
      </c>
      <c r="B432">
        <v>7</v>
      </c>
      <c r="C432" t="s">
        <v>442</v>
      </c>
      <c r="D432" s="12">
        <v>5947</v>
      </c>
      <c r="E432" s="12">
        <v>2556</v>
      </c>
      <c r="F432" s="12">
        <v>3392</v>
      </c>
      <c r="G432" s="12">
        <f t="shared" si="25"/>
        <v>11895</v>
      </c>
      <c r="H432" s="25">
        <f t="shared" si="26"/>
        <v>1486.875</v>
      </c>
      <c r="I432" s="25">
        <f t="shared" si="27"/>
        <v>2509.2750000000001</v>
      </c>
      <c r="J432" s="25">
        <f t="shared" si="28"/>
        <v>1022.4000000000001</v>
      </c>
    </row>
    <row r="433" spans="1:10" x14ac:dyDescent="0.25">
      <c r="A433">
        <v>4107</v>
      </c>
      <c r="B433">
        <v>7</v>
      </c>
      <c r="C433" t="s">
        <v>443</v>
      </c>
      <c r="D433" s="12">
        <v>7343</v>
      </c>
      <c r="E433" s="12">
        <v>900</v>
      </c>
      <c r="F433" s="12">
        <v>728</v>
      </c>
      <c r="G433" s="12">
        <f t="shared" si="25"/>
        <v>8971</v>
      </c>
      <c r="H433" s="25">
        <f t="shared" si="26"/>
        <v>1121.375</v>
      </c>
      <c r="I433" s="25">
        <f t="shared" si="27"/>
        <v>1481.375</v>
      </c>
      <c r="J433" s="25">
        <f t="shared" si="28"/>
        <v>360</v>
      </c>
    </row>
    <row r="434" spans="1:10" x14ac:dyDescent="0.25">
      <c r="A434">
        <v>4108</v>
      </c>
      <c r="B434">
        <v>7</v>
      </c>
      <c r="C434" t="s">
        <v>444</v>
      </c>
      <c r="D434" s="12">
        <v>0</v>
      </c>
      <c r="E434" s="12">
        <v>0</v>
      </c>
      <c r="F434" s="12">
        <v>0</v>
      </c>
      <c r="G434" s="12">
        <f t="shared" si="25"/>
        <v>0</v>
      </c>
      <c r="H434" s="25">
        <f t="shared" si="26"/>
        <v>0</v>
      </c>
      <c r="I434" s="25">
        <f t="shared" si="27"/>
        <v>0</v>
      </c>
      <c r="J434" s="25">
        <f t="shared" si="28"/>
        <v>0</v>
      </c>
    </row>
    <row r="435" spans="1:10" x14ac:dyDescent="0.25">
      <c r="A435">
        <v>4109</v>
      </c>
      <c r="B435">
        <v>7</v>
      </c>
      <c r="C435" t="s">
        <v>445</v>
      </c>
      <c r="D435" s="12">
        <v>0</v>
      </c>
      <c r="E435" s="12">
        <v>0</v>
      </c>
      <c r="F435" s="12">
        <v>0</v>
      </c>
      <c r="G435" s="12">
        <f t="shared" si="25"/>
        <v>0</v>
      </c>
      <c r="H435" s="25">
        <f t="shared" si="26"/>
        <v>0</v>
      </c>
      <c r="I435" s="25">
        <f t="shared" si="27"/>
        <v>0</v>
      </c>
      <c r="J435" s="25">
        <f t="shared" si="28"/>
        <v>0</v>
      </c>
    </row>
    <row r="436" spans="1:10" x14ac:dyDescent="0.25">
      <c r="A436">
        <v>4110</v>
      </c>
      <c r="B436">
        <v>7</v>
      </c>
      <c r="C436" t="s">
        <v>446</v>
      </c>
      <c r="D436" s="12">
        <v>0</v>
      </c>
      <c r="E436" s="12">
        <v>0</v>
      </c>
      <c r="F436" s="12">
        <v>0</v>
      </c>
      <c r="G436" s="12">
        <f t="shared" si="25"/>
        <v>0</v>
      </c>
      <c r="H436" s="25">
        <f t="shared" si="26"/>
        <v>0</v>
      </c>
      <c r="I436" s="25">
        <f t="shared" si="27"/>
        <v>0</v>
      </c>
      <c r="J436" s="25">
        <f t="shared" si="28"/>
        <v>0</v>
      </c>
    </row>
    <row r="437" spans="1:10" x14ac:dyDescent="0.25">
      <c r="A437">
        <v>4111</v>
      </c>
      <c r="B437">
        <v>7</v>
      </c>
      <c r="C437" t="s">
        <v>447</v>
      </c>
      <c r="D437" s="12">
        <v>4447</v>
      </c>
      <c r="E437" s="12">
        <v>30</v>
      </c>
      <c r="F437" s="12">
        <v>389</v>
      </c>
      <c r="G437" s="12">
        <f t="shared" si="25"/>
        <v>4866</v>
      </c>
      <c r="H437" s="25">
        <f t="shared" si="26"/>
        <v>608.25</v>
      </c>
      <c r="I437" s="25">
        <f t="shared" si="27"/>
        <v>620.25</v>
      </c>
      <c r="J437" s="25">
        <f t="shared" si="28"/>
        <v>12</v>
      </c>
    </row>
    <row r="438" spans="1:10" x14ac:dyDescent="0.25">
      <c r="A438">
        <v>4112</v>
      </c>
      <c r="B438">
        <v>7</v>
      </c>
      <c r="C438" t="s">
        <v>448</v>
      </c>
      <c r="D438" s="12">
        <v>0</v>
      </c>
      <c r="E438" s="12">
        <v>0</v>
      </c>
      <c r="F438" s="12">
        <v>0</v>
      </c>
      <c r="G438" s="12">
        <f t="shared" si="25"/>
        <v>0</v>
      </c>
      <c r="H438" s="25">
        <f t="shared" si="26"/>
        <v>0</v>
      </c>
      <c r="I438" s="25">
        <f t="shared" si="27"/>
        <v>0</v>
      </c>
      <c r="J438" s="25">
        <f t="shared" si="28"/>
        <v>0</v>
      </c>
    </row>
    <row r="439" spans="1:10" x14ac:dyDescent="0.25">
      <c r="A439">
        <v>4113</v>
      </c>
      <c r="B439">
        <v>7</v>
      </c>
      <c r="C439" t="s">
        <v>449</v>
      </c>
      <c r="D439" s="12">
        <v>0</v>
      </c>
      <c r="E439" s="12">
        <v>0</v>
      </c>
      <c r="F439" s="12">
        <v>0</v>
      </c>
      <c r="G439" s="12">
        <f t="shared" si="25"/>
        <v>0</v>
      </c>
      <c r="H439" s="25">
        <f t="shared" si="26"/>
        <v>0</v>
      </c>
      <c r="I439" s="25">
        <f t="shared" si="27"/>
        <v>0</v>
      </c>
      <c r="J439" s="25">
        <f t="shared" si="28"/>
        <v>0</v>
      </c>
    </row>
    <row r="440" spans="1:10" x14ac:dyDescent="0.25">
      <c r="A440">
        <v>4114</v>
      </c>
      <c r="B440">
        <v>7</v>
      </c>
      <c r="C440" t="s">
        <v>450</v>
      </c>
      <c r="D440" s="12">
        <v>0</v>
      </c>
      <c r="E440" s="12">
        <v>0</v>
      </c>
      <c r="F440" s="12">
        <v>0</v>
      </c>
      <c r="G440" s="12">
        <f t="shared" si="25"/>
        <v>0</v>
      </c>
      <c r="H440" s="25">
        <f t="shared" si="26"/>
        <v>0</v>
      </c>
      <c r="I440" s="25">
        <f t="shared" si="27"/>
        <v>0</v>
      </c>
      <c r="J440" s="25">
        <f t="shared" si="28"/>
        <v>0</v>
      </c>
    </row>
    <row r="441" spans="1:10" x14ac:dyDescent="0.25">
      <c r="A441">
        <v>4115</v>
      </c>
      <c r="B441">
        <v>7</v>
      </c>
      <c r="C441" t="s">
        <v>451</v>
      </c>
      <c r="D441" s="12">
        <v>17410</v>
      </c>
      <c r="E441" s="12">
        <v>2031</v>
      </c>
      <c r="F441" s="12">
        <v>2297</v>
      </c>
      <c r="G441" s="12">
        <f t="shared" si="25"/>
        <v>21738</v>
      </c>
      <c r="H441" s="25">
        <f t="shared" si="26"/>
        <v>2717.25</v>
      </c>
      <c r="I441" s="25">
        <f t="shared" si="27"/>
        <v>3529.65</v>
      </c>
      <c r="J441" s="25">
        <f t="shared" si="28"/>
        <v>812.40000000000009</v>
      </c>
    </row>
    <row r="442" spans="1:10" x14ac:dyDescent="0.25">
      <c r="A442">
        <v>4116</v>
      </c>
      <c r="B442">
        <v>7</v>
      </c>
      <c r="C442" t="s">
        <v>452</v>
      </c>
      <c r="D442" s="12">
        <v>0</v>
      </c>
      <c r="E442" s="12">
        <v>0</v>
      </c>
      <c r="F442" s="12">
        <v>0</v>
      </c>
      <c r="G442" s="12">
        <f t="shared" si="25"/>
        <v>0</v>
      </c>
      <c r="H442" s="25">
        <f t="shared" si="26"/>
        <v>0</v>
      </c>
      <c r="I442" s="25">
        <f t="shared" si="27"/>
        <v>0</v>
      </c>
      <c r="J442" s="25">
        <f t="shared" si="28"/>
        <v>0</v>
      </c>
    </row>
    <row r="443" spans="1:10" x14ac:dyDescent="0.25">
      <c r="A443">
        <v>4118</v>
      </c>
      <c r="B443">
        <v>7</v>
      </c>
      <c r="C443" t="s">
        <v>453</v>
      </c>
      <c r="D443" s="12">
        <v>6131</v>
      </c>
      <c r="E443" s="12">
        <v>3801</v>
      </c>
      <c r="F443" s="12">
        <v>15782</v>
      </c>
      <c r="G443" s="12">
        <f t="shared" si="25"/>
        <v>25714</v>
      </c>
      <c r="H443" s="25">
        <f t="shared" si="26"/>
        <v>3214.25</v>
      </c>
      <c r="I443" s="25">
        <f t="shared" si="27"/>
        <v>4734.6499999999996</v>
      </c>
      <c r="J443" s="25">
        <f t="shared" si="28"/>
        <v>1520.3999999999996</v>
      </c>
    </row>
    <row r="444" spans="1:10" x14ac:dyDescent="0.25">
      <c r="A444">
        <v>4119</v>
      </c>
      <c r="B444">
        <v>7</v>
      </c>
      <c r="C444" t="s">
        <v>454</v>
      </c>
      <c r="D444" s="12">
        <v>0</v>
      </c>
      <c r="E444" s="12">
        <v>0</v>
      </c>
      <c r="F444" s="12">
        <v>0</v>
      </c>
      <c r="G444" s="12">
        <f t="shared" si="25"/>
        <v>0</v>
      </c>
      <c r="H444" s="25">
        <f t="shared" si="26"/>
        <v>0</v>
      </c>
      <c r="I444" s="25">
        <f t="shared" si="27"/>
        <v>0</v>
      </c>
      <c r="J444" s="25">
        <f t="shared" si="28"/>
        <v>0</v>
      </c>
    </row>
    <row r="445" spans="1:10" x14ac:dyDescent="0.25">
      <c r="A445">
        <v>4120</v>
      </c>
      <c r="B445">
        <v>7</v>
      </c>
      <c r="C445" t="s">
        <v>455</v>
      </c>
      <c r="D445" s="12">
        <v>5274</v>
      </c>
      <c r="E445" s="12">
        <v>5047</v>
      </c>
      <c r="F445" s="12">
        <v>36310</v>
      </c>
      <c r="G445" s="12">
        <f t="shared" si="25"/>
        <v>46631</v>
      </c>
      <c r="H445" s="25">
        <f t="shared" si="26"/>
        <v>5828.875</v>
      </c>
      <c r="I445" s="25">
        <f t="shared" si="27"/>
        <v>7847.6750000000002</v>
      </c>
      <c r="J445" s="25">
        <f t="shared" si="28"/>
        <v>2018.8000000000002</v>
      </c>
    </row>
    <row r="446" spans="1:10" x14ac:dyDescent="0.25">
      <c r="A446">
        <v>4121</v>
      </c>
      <c r="B446">
        <v>7</v>
      </c>
      <c r="C446" t="s">
        <v>456</v>
      </c>
      <c r="D446" s="12">
        <v>51918</v>
      </c>
      <c r="E446" s="12">
        <v>535</v>
      </c>
      <c r="F446" s="12">
        <v>573</v>
      </c>
      <c r="G446" s="12">
        <f t="shared" si="25"/>
        <v>53026</v>
      </c>
      <c r="H446" s="25">
        <f t="shared" si="26"/>
        <v>6628.25</v>
      </c>
      <c r="I446" s="25">
        <f t="shared" si="27"/>
        <v>6842.25</v>
      </c>
      <c r="J446" s="25">
        <f t="shared" si="28"/>
        <v>214</v>
      </c>
    </row>
    <row r="447" spans="1:10" x14ac:dyDescent="0.25">
      <c r="A447">
        <v>4122</v>
      </c>
      <c r="B447">
        <v>7</v>
      </c>
      <c r="C447" t="s">
        <v>457</v>
      </c>
      <c r="D447" s="12">
        <v>11240</v>
      </c>
      <c r="E447" s="12">
        <v>5190</v>
      </c>
      <c r="F447" s="12">
        <v>23708</v>
      </c>
      <c r="G447" s="12">
        <f t="shared" si="25"/>
        <v>40138</v>
      </c>
      <c r="H447" s="25">
        <f t="shared" si="26"/>
        <v>5017.25</v>
      </c>
      <c r="I447" s="25">
        <f t="shared" si="27"/>
        <v>7093.25</v>
      </c>
      <c r="J447" s="25">
        <f t="shared" si="28"/>
        <v>2076</v>
      </c>
    </row>
    <row r="448" spans="1:10" x14ac:dyDescent="0.25">
      <c r="A448">
        <v>4123</v>
      </c>
      <c r="B448">
        <v>7</v>
      </c>
      <c r="C448" t="s">
        <v>458</v>
      </c>
      <c r="D448" s="12">
        <v>1104</v>
      </c>
      <c r="E448" s="12">
        <v>859</v>
      </c>
      <c r="F448" s="12">
        <v>2652</v>
      </c>
      <c r="G448" s="12">
        <f t="shared" si="25"/>
        <v>4615</v>
      </c>
      <c r="H448" s="25">
        <f t="shared" si="26"/>
        <v>576.875</v>
      </c>
      <c r="I448" s="25">
        <f t="shared" si="27"/>
        <v>920.47500000000002</v>
      </c>
      <c r="J448" s="25">
        <f t="shared" si="28"/>
        <v>343.6</v>
      </c>
    </row>
    <row r="449" spans="1:10" x14ac:dyDescent="0.25">
      <c r="A449">
        <v>4124</v>
      </c>
      <c r="B449">
        <v>7</v>
      </c>
      <c r="C449" t="s">
        <v>459</v>
      </c>
      <c r="D449" s="12">
        <v>7767</v>
      </c>
      <c r="E449" s="12">
        <v>2099</v>
      </c>
      <c r="F449" s="12">
        <v>19145</v>
      </c>
      <c r="G449" s="12">
        <f t="shared" si="25"/>
        <v>29011</v>
      </c>
      <c r="H449" s="25">
        <f t="shared" si="26"/>
        <v>3626.375</v>
      </c>
      <c r="I449" s="25">
        <f t="shared" si="27"/>
        <v>4465.9750000000004</v>
      </c>
      <c r="J449" s="25">
        <f t="shared" si="28"/>
        <v>839.60000000000036</v>
      </c>
    </row>
    <row r="450" spans="1:10" x14ac:dyDescent="0.25">
      <c r="A450">
        <v>4125</v>
      </c>
      <c r="B450">
        <v>7</v>
      </c>
      <c r="C450" t="s">
        <v>460</v>
      </c>
      <c r="D450" s="12">
        <v>0</v>
      </c>
      <c r="E450" s="12">
        <v>0</v>
      </c>
      <c r="F450" s="12">
        <v>0</v>
      </c>
      <c r="G450" s="12">
        <f t="shared" si="25"/>
        <v>0</v>
      </c>
      <c r="H450" s="25">
        <f t="shared" si="26"/>
        <v>0</v>
      </c>
      <c r="I450" s="25">
        <f t="shared" si="27"/>
        <v>0</v>
      </c>
      <c r="J450" s="25">
        <f t="shared" si="28"/>
        <v>0</v>
      </c>
    </row>
    <row r="451" spans="1:10" x14ac:dyDescent="0.25">
      <c r="A451">
        <v>4126</v>
      </c>
      <c r="B451">
        <v>7</v>
      </c>
      <c r="C451" t="s">
        <v>461</v>
      </c>
      <c r="D451" s="12">
        <v>65799</v>
      </c>
      <c r="E451" s="12">
        <v>10045</v>
      </c>
      <c r="F451" s="12">
        <v>35951</v>
      </c>
      <c r="G451" s="12">
        <f t="shared" si="25"/>
        <v>111795</v>
      </c>
      <c r="H451" s="25">
        <f t="shared" si="26"/>
        <v>13974.375</v>
      </c>
      <c r="I451" s="25">
        <f t="shared" si="27"/>
        <v>17992.375</v>
      </c>
      <c r="J451" s="25">
        <f t="shared" si="28"/>
        <v>4018</v>
      </c>
    </row>
    <row r="452" spans="1:10" x14ac:dyDescent="0.25">
      <c r="A452">
        <v>4127</v>
      </c>
      <c r="B452">
        <v>7</v>
      </c>
      <c r="C452" t="s">
        <v>462</v>
      </c>
      <c r="D452" s="12">
        <v>8271</v>
      </c>
      <c r="E452" s="12">
        <v>3347</v>
      </c>
      <c r="F452" s="12">
        <v>4333</v>
      </c>
      <c r="G452" s="12">
        <f t="shared" si="25"/>
        <v>15951</v>
      </c>
      <c r="H452" s="25">
        <f t="shared" si="26"/>
        <v>1993.875</v>
      </c>
      <c r="I452" s="25">
        <f t="shared" si="27"/>
        <v>3332.6750000000002</v>
      </c>
      <c r="J452" s="25">
        <f t="shared" si="28"/>
        <v>1338.8000000000002</v>
      </c>
    </row>
    <row r="453" spans="1:10" x14ac:dyDescent="0.25">
      <c r="A453">
        <v>4128</v>
      </c>
      <c r="B453">
        <v>7</v>
      </c>
      <c r="C453" t="s">
        <v>463</v>
      </c>
      <c r="D453" s="12">
        <v>0</v>
      </c>
      <c r="E453" s="12">
        <v>0</v>
      </c>
      <c r="F453" s="12">
        <v>0</v>
      </c>
      <c r="G453" s="12">
        <f t="shared" si="25"/>
        <v>0</v>
      </c>
      <c r="H453" s="25">
        <f t="shared" si="26"/>
        <v>0</v>
      </c>
      <c r="I453" s="25">
        <f t="shared" si="27"/>
        <v>0</v>
      </c>
      <c r="J453" s="25">
        <f t="shared" si="28"/>
        <v>0</v>
      </c>
    </row>
    <row r="454" spans="1:10" x14ac:dyDescent="0.25">
      <c r="A454">
        <v>4129</v>
      </c>
      <c r="B454">
        <v>7</v>
      </c>
      <c r="C454" t="s">
        <v>464</v>
      </c>
      <c r="D454" s="12">
        <v>0</v>
      </c>
      <c r="E454" s="12">
        <v>0</v>
      </c>
      <c r="F454" s="12">
        <v>0</v>
      </c>
      <c r="G454" s="12">
        <f t="shared" si="25"/>
        <v>0</v>
      </c>
      <c r="H454" s="25">
        <f t="shared" si="26"/>
        <v>0</v>
      </c>
      <c r="I454" s="25">
        <f t="shared" si="27"/>
        <v>0</v>
      </c>
      <c r="J454" s="25">
        <f t="shared" si="28"/>
        <v>0</v>
      </c>
    </row>
    <row r="455" spans="1:10" x14ac:dyDescent="0.25">
      <c r="A455">
        <v>4131</v>
      </c>
      <c r="B455">
        <v>7</v>
      </c>
      <c r="C455" t="s">
        <v>465</v>
      </c>
      <c r="D455" s="12">
        <v>29416</v>
      </c>
      <c r="E455" s="12">
        <v>231</v>
      </c>
      <c r="F455" s="12">
        <v>5216</v>
      </c>
      <c r="G455" s="12">
        <f t="shared" si="25"/>
        <v>34863</v>
      </c>
      <c r="H455" s="25">
        <f t="shared" si="26"/>
        <v>4357.875</v>
      </c>
      <c r="I455" s="25">
        <f t="shared" si="27"/>
        <v>4450.2749999999996</v>
      </c>
      <c r="J455" s="25">
        <f t="shared" si="28"/>
        <v>92.399999999999636</v>
      </c>
    </row>
    <row r="456" spans="1:10" x14ac:dyDescent="0.25">
      <c r="A456">
        <v>4132</v>
      </c>
      <c r="B456">
        <v>7</v>
      </c>
      <c r="C456" t="s">
        <v>466</v>
      </c>
      <c r="D456" s="12">
        <v>0</v>
      </c>
      <c r="E456" s="12">
        <v>0</v>
      </c>
      <c r="F456" s="12">
        <v>0</v>
      </c>
      <c r="G456" s="12">
        <f t="shared" ref="G456:G519" si="29">SUM(D456:F456)</f>
        <v>0</v>
      </c>
      <c r="H456" s="25">
        <f t="shared" ref="H456:H519" si="30">G456*0.125</f>
        <v>0</v>
      </c>
      <c r="I456" s="25">
        <f t="shared" ref="I456:I519" si="31">H456+0.4*E456</f>
        <v>0</v>
      </c>
      <c r="J456" s="25">
        <f t="shared" ref="J456:J519" si="32">I456-H456</f>
        <v>0</v>
      </c>
    </row>
    <row r="457" spans="1:10" x14ac:dyDescent="0.25">
      <c r="A457">
        <v>4133</v>
      </c>
      <c r="B457">
        <v>7</v>
      </c>
      <c r="C457" t="s">
        <v>467</v>
      </c>
      <c r="D457" s="12">
        <v>0</v>
      </c>
      <c r="E457" s="12">
        <v>0</v>
      </c>
      <c r="F457" s="12">
        <v>0</v>
      </c>
      <c r="G457" s="12">
        <f t="shared" si="29"/>
        <v>0</v>
      </c>
      <c r="H457" s="25">
        <f t="shared" si="30"/>
        <v>0</v>
      </c>
      <c r="I457" s="25">
        <f t="shared" si="31"/>
        <v>0</v>
      </c>
      <c r="J457" s="25">
        <f t="shared" si="32"/>
        <v>0</v>
      </c>
    </row>
    <row r="458" spans="1:10" x14ac:dyDescent="0.25">
      <c r="A458">
        <v>4135</v>
      </c>
      <c r="B458">
        <v>7</v>
      </c>
      <c r="C458" t="s">
        <v>468</v>
      </c>
      <c r="D458" s="12">
        <v>38560</v>
      </c>
      <c r="E458" s="12">
        <v>218</v>
      </c>
      <c r="F458" s="12">
        <v>324</v>
      </c>
      <c r="G458" s="12">
        <f t="shared" si="29"/>
        <v>39102</v>
      </c>
      <c r="H458" s="25">
        <f t="shared" si="30"/>
        <v>4887.75</v>
      </c>
      <c r="I458" s="25">
        <f t="shared" si="31"/>
        <v>4974.95</v>
      </c>
      <c r="J458" s="25">
        <f t="shared" si="32"/>
        <v>87.199999999999818</v>
      </c>
    </row>
    <row r="459" spans="1:10" x14ac:dyDescent="0.25">
      <c r="A459">
        <v>4136</v>
      </c>
      <c r="B459">
        <v>7</v>
      </c>
      <c r="C459" t="s">
        <v>469</v>
      </c>
      <c r="D459" s="12">
        <v>0</v>
      </c>
      <c r="E459" s="12">
        <v>0</v>
      </c>
      <c r="F459" s="12">
        <v>0</v>
      </c>
      <c r="G459" s="12">
        <f t="shared" si="29"/>
        <v>0</v>
      </c>
      <c r="H459" s="25">
        <f t="shared" si="30"/>
        <v>0</v>
      </c>
      <c r="I459" s="25">
        <f t="shared" si="31"/>
        <v>0</v>
      </c>
      <c r="J459" s="25">
        <f t="shared" si="32"/>
        <v>0</v>
      </c>
    </row>
    <row r="460" spans="1:10" x14ac:dyDescent="0.25">
      <c r="A460">
        <v>4137</v>
      </c>
      <c r="B460">
        <v>7</v>
      </c>
      <c r="C460" t="s">
        <v>470</v>
      </c>
      <c r="D460" s="12">
        <v>410</v>
      </c>
      <c r="E460" s="12">
        <v>1062</v>
      </c>
      <c r="F460" s="12">
        <v>10108</v>
      </c>
      <c r="G460" s="12">
        <f t="shared" si="29"/>
        <v>11580</v>
      </c>
      <c r="H460" s="25">
        <f t="shared" si="30"/>
        <v>1447.5</v>
      </c>
      <c r="I460" s="25">
        <f t="shared" si="31"/>
        <v>1872.3</v>
      </c>
      <c r="J460" s="25">
        <f t="shared" si="32"/>
        <v>424.79999999999995</v>
      </c>
    </row>
    <row r="461" spans="1:10" x14ac:dyDescent="0.25">
      <c r="A461">
        <v>4138</v>
      </c>
      <c r="B461">
        <v>7</v>
      </c>
      <c r="C461" t="s">
        <v>471</v>
      </c>
      <c r="D461" s="12">
        <v>0</v>
      </c>
      <c r="E461" s="12">
        <v>0</v>
      </c>
      <c r="F461" s="12">
        <v>0</v>
      </c>
      <c r="G461" s="12">
        <f t="shared" si="29"/>
        <v>0</v>
      </c>
      <c r="H461" s="25">
        <f t="shared" si="30"/>
        <v>0</v>
      </c>
      <c r="I461" s="25">
        <f t="shared" si="31"/>
        <v>0</v>
      </c>
      <c r="J461" s="25">
        <f t="shared" si="32"/>
        <v>0</v>
      </c>
    </row>
    <row r="462" spans="1:10" x14ac:dyDescent="0.25">
      <c r="A462">
        <v>4139</v>
      </c>
      <c r="B462">
        <v>7</v>
      </c>
      <c r="C462" t="s">
        <v>472</v>
      </c>
      <c r="D462" s="12">
        <v>23086</v>
      </c>
      <c r="E462" s="12">
        <v>2163</v>
      </c>
      <c r="F462" s="12">
        <v>6649</v>
      </c>
      <c r="G462" s="12">
        <f t="shared" si="29"/>
        <v>31898</v>
      </c>
      <c r="H462" s="25">
        <f t="shared" si="30"/>
        <v>3987.25</v>
      </c>
      <c r="I462" s="25">
        <f t="shared" si="31"/>
        <v>4852.45</v>
      </c>
      <c r="J462" s="25">
        <f t="shared" si="32"/>
        <v>865.19999999999982</v>
      </c>
    </row>
    <row r="463" spans="1:10" x14ac:dyDescent="0.25">
      <c r="A463">
        <v>4140</v>
      </c>
      <c r="B463">
        <v>7</v>
      </c>
      <c r="C463" t="s">
        <v>473</v>
      </c>
      <c r="D463" s="12">
        <v>4141</v>
      </c>
      <c r="E463" s="12">
        <v>2005</v>
      </c>
      <c r="F463" s="12">
        <v>27118</v>
      </c>
      <c r="G463" s="12">
        <f t="shared" si="29"/>
        <v>33264</v>
      </c>
      <c r="H463" s="25">
        <f t="shared" si="30"/>
        <v>4158</v>
      </c>
      <c r="I463" s="25">
        <f t="shared" si="31"/>
        <v>4960</v>
      </c>
      <c r="J463" s="25">
        <f t="shared" si="32"/>
        <v>802</v>
      </c>
    </row>
    <row r="464" spans="1:10" x14ac:dyDescent="0.25">
      <c r="A464">
        <v>4141</v>
      </c>
      <c r="B464">
        <v>7</v>
      </c>
      <c r="C464" t="s">
        <v>474</v>
      </c>
      <c r="D464" s="12">
        <v>4028</v>
      </c>
      <c r="E464" s="12">
        <v>1282</v>
      </c>
      <c r="F464" s="12">
        <v>16897</v>
      </c>
      <c r="G464" s="12">
        <f t="shared" si="29"/>
        <v>22207</v>
      </c>
      <c r="H464" s="25">
        <f t="shared" si="30"/>
        <v>2775.875</v>
      </c>
      <c r="I464" s="25">
        <f t="shared" si="31"/>
        <v>3288.6750000000002</v>
      </c>
      <c r="J464" s="25">
        <f t="shared" si="32"/>
        <v>512.80000000000018</v>
      </c>
    </row>
    <row r="465" spans="1:10" x14ac:dyDescent="0.25">
      <c r="A465">
        <v>4142</v>
      </c>
      <c r="B465">
        <v>7</v>
      </c>
      <c r="C465" t="s">
        <v>475</v>
      </c>
      <c r="D465" s="12">
        <v>24367</v>
      </c>
      <c r="E465" s="12">
        <v>7881</v>
      </c>
      <c r="F465" s="12">
        <v>16205</v>
      </c>
      <c r="G465" s="12">
        <f t="shared" si="29"/>
        <v>48453</v>
      </c>
      <c r="H465" s="25">
        <f t="shared" si="30"/>
        <v>6056.625</v>
      </c>
      <c r="I465" s="25">
        <f t="shared" si="31"/>
        <v>9209.0249999999996</v>
      </c>
      <c r="J465" s="25">
        <f t="shared" si="32"/>
        <v>3152.3999999999996</v>
      </c>
    </row>
    <row r="466" spans="1:10" x14ac:dyDescent="0.25">
      <c r="A466">
        <v>4143</v>
      </c>
      <c r="B466">
        <v>7</v>
      </c>
      <c r="C466" t="s">
        <v>476</v>
      </c>
      <c r="D466" s="12">
        <v>59646</v>
      </c>
      <c r="E466" s="12">
        <v>6848</v>
      </c>
      <c r="F466" s="12">
        <v>12036</v>
      </c>
      <c r="G466" s="12">
        <f t="shared" si="29"/>
        <v>78530</v>
      </c>
      <c r="H466" s="25">
        <f t="shared" si="30"/>
        <v>9816.25</v>
      </c>
      <c r="I466" s="25">
        <f t="shared" si="31"/>
        <v>12555.45</v>
      </c>
      <c r="J466" s="25">
        <f t="shared" si="32"/>
        <v>2739.2000000000007</v>
      </c>
    </row>
    <row r="467" spans="1:10" x14ac:dyDescent="0.25">
      <c r="A467">
        <v>4144</v>
      </c>
      <c r="B467">
        <v>7</v>
      </c>
      <c r="C467" t="s">
        <v>477</v>
      </c>
      <c r="D467" s="12">
        <v>0</v>
      </c>
      <c r="E467" s="12">
        <v>0</v>
      </c>
      <c r="F467" s="12">
        <v>0</v>
      </c>
      <c r="G467" s="12">
        <f t="shared" si="29"/>
        <v>0</v>
      </c>
      <c r="H467" s="25">
        <f t="shared" si="30"/>
        <v>0</v>
      </c>
      <c r="I467" s="25">
        <f t="shared" si="31"/>
        <v>0</v>
      </c>
      <c r="J467" s="25">
        <f t="shared" si="32"/>
        <v>0</v>
      </c>
    </row>
    <row r="468" spans="1:10" x14ac:dyDescent="0.25">
      <c r="A468">
        <v>4145</v>
      </c>
      <c r="B468">
        <v>7</v>
      </c>
      <c r="C468" t="s">
        <v>478</v>
      </c>
      <c r="D468" s="12">
        <v>801</v>
      </c>
      <c r="E468" s="12">
        <v>326</v>
      </c>
      <c r="F468" s="12">
        <v>539</v>
      </c>
      <c r="G468" s="12">
        <f t="shared" si="29"/>
        <v>1666</v>
      </c>
      <c r="H468" s="25">
        <f t="shared" si="30"/>
        <v>208.25</v>
      </c>
      <c r="I468" s="25">
        <f t="shared" si="31"/>
        <v>338.65</v>
      </c>
      <c r="J468" s="25">
        <f t="shared" si="32"/>
        <v>130.39999999999998</v>
      </c>
    </row>
    <row r="469" spans="1:10" x14ac:dyDescent="0.25">
      <c r="A469">
        <v>4146</v>
      </c>
      <c r="B469">
        <v>7</v>
      </c>
      <c r="C469" t="s">
        <v>479</v>
      </c>
      <c r="D469" s="12">
        <v>4981</v>
      </c>
      <c r="E469" s="12">
        <v>817</v>
      </c>
      <c r="F469" s="12">
        <v>1160</v>
      </c>
      <c r="G469" s="12">
        <f t="shared" si="29"/>
        <v>6958</v>
      </c>
      <c r="H469" s="25">
        <f t="shared" si="30"/>
        <v>869.75</v>
      </c>
      <c r="I469" s="25">
        <f t="shared" si="31"/>
        <v>1196.55</v>
      </c>
      <c r="J469" s="25">
        <f t="shared" si="32"/>
        <v>326.79999999999995</v>
      </c>
    </row>
    <row r="470" spans="1:10" x14ac:dyDescent="0.25">
      <c r="A470">
        <v>4148</v>
      </c>
      <c r="B470">
        <v>7</v>
      </c>
      <c r="C470" t="s">
        <v>480</v>
      </c>
      <c r="D470" s="12">
        <v>0</v>
      </c>
      <c r="E470" s="12">
        <v>0</v>
      </c>
      <c r="F470" s="12">
        <v>0</v>
      </c>
      <c r="G470" s="12">
        <f t="shared" si="29"/>
        <v>0</v>
      </c>
      <c r="H470" s="25">
        <f t="shared" si="30"/>
        <v>0</v>
      </c>
      <c r="I470" s="25">
        <f t="shared" si="31"/>
        <v>0</v>
      </c>
      <c r="J470" s="25">
        <f t="shared" si="32"/>
        <v>0</v>
      </c>
    </row>
    <row r="471" spans="1:10" x14ac:dyDescent="0.25">
      <c r="A471">
        <v>4149</v>
      </c>
      <c r="B471">
        <v>7</v>
      </c>
      <c r="C471" t="s">
        <v>481</v>
      </c>
      <c r="D471" s="12">
        <v>0</v>
      </c>
      <c r="E471" s="12">
        <v>0</v>
      </c>
      <c r="F471" s="12">
        <v>0</v>
      </c>
      <c r="G471" s="12">
        <f t="shared" si="29"/>
        <v>0</v>
      </c>
      <c r="H471" s="25">
        <f t="shared" si="30"/>
        <v>0</v>
      </c>
      <c r="I471" s="25">
        <f t="shared" si="31"/>
        <v>0</v>
      </c>
      <c r="J471" s="25">
        <f t="shared" si="32"/>
        <v>0</v>
      </c>
    </row>
    <row r="472" spans="1:10" x14ac:dyDescent="0.25">
      <c r="A472">
        <v>4150</v>
      </c>
      <c r="B472">
        <v>7</v>
      </c>
      <c r="C472" t="s">
        <v>482</v>
      </c>
      <c r="D472" s="12">
        <v>0</v>
      </c>
      <c r="E472" s="12">
        <v>0</v>
      </c>
      <c r="F472" s="12">
        <v>0</v>
      </c>
      <c r="G472" s="12">
        <f t="shared" si="29"/>
        <v>0</v>
      </c>
      <c r="H472" s="25">
        <f t="shared" si="30"/>
        <v>0</v>
      </c>
      <c r="I472" s="25">
        <f t="shared" si="31"/>
        <v>0</v>
      </c>
      <c r="J472" s="25">
        <f t="shared" si="32"/>
        <v>0</v>
      </c>
    </row>
    <row r="473" spans="1:10" x14ac:dyDescent="0.25">
      <c r="A473">
        <v>4151</v>
      </c>
      <c r="B473">
        <v>7</v>
      </c>
      <c r="C473" t="s">
        <v>483</v>
      </c>
      <c r="D473" s="12">
        <v>0</v>
      </c>
      <c r="E473" s="12">
        <v>0</v>
      </c>
      <c r="F473" s="12">
        <v>0</v>
      </c>
      <c r="G473" s="12">
        <f t="shared" si="29"/>
        <v>0</v>
      </c>
      <c r="H473" s="25">
        <f t="shared" si="30"/>
        <v>0</v>
      </c>
      <c r="I473" s="25">
        <f t="shared" si="31"/>
        <v>0</v>
      </c>
      <c r="J473" s="25">
        <f t="shared" si="32"/>
        <v>0</v>
      </c>
    </row>
    <row r="474" spans="1:10" x14ac:dyDescent="0.25">
      <c r="A474">
        <v>4152</v>
      </c>
      <c r="B474">
        <v>7</v>
      </c>
      <c r="C474" t="s">
        <v>484</v>
      </c>
      <c r="D474" s="12">
        <v>2121</v>
      </c>
      <c r="E474" s="12">
        <v>1306</v>
      </c>
      <c r="F474" s="12">
        <v>9302</v>
      </c>
      <c r="G474" s="12">
        <f t="shared" si="29"/>
        <v>12729</v>
      </c>
      <c r="H474" s="25">
        <f t="shared" si="30"/>
        <v>1591.125</v>
      </c>
      <c r="I474" s="25">
        <f t="shared" si="31"/>
        <v>2113.5250000000001</v>
      </c>
      <c r="J474" s="25">
        <f t="shared" si="32"/>
        <v>522.40000000000009</v>
      </c>
    </row>
    <row r="475" spans="1:10" x14ac:dyDescent="0.25">
      <c r="A475">
        <v>4153</v>
      </c>
      <c r="B475">
        <v>7</v>
      </c>
      <c r="C475" t="s">
        <v>485</v>
      </c>
      <c r="D475" s="12">
        <v>58373</v>
      </c>
      <c r="E475" s="12">
        <v>179</v>
      </c>
      <c r="F475" s="12">
        <v>1277</v>
      </c>
      <c r="G475" s="12">
        <f t="shared" si="29"/>
        <v>59829</v>
      </c>
      <c r="H475" s="25">
        <f t="shared" si="30"/>
        <v>7478.625</v>
      </c>
      <c r="I475" s="25">
        <f t="shared" si="31"/>
        <v>7550.2250000000004</v>
      </c>
      <c r="J475" s="25">
        <f t="shared" si="32"/>
        <v>71.600000000000364</v>
      </c>
    </row>
    <row r="476" spans="1:10" x14ac:dyDescent="0.25">
      <c r="A476">
        <v>4154</v>
      </c>
      <c r="B476">
        <v>7</v>
      </c>
      <c r="C476" t="s">
        <v>486</v>
      </c>
      <c r="D476" s="12">
        <v>0</v>
      </c>
      <c r="E476" s="12">
        <v>0</v>
      </c>
      <c r="F476" s="12">
        <v>0</v>
      </c>
      <c r="G476" s="12">
        <f t="shared" si="29"/>
        <v>0</v>
      </c>
      <c r="H476" s="25">
        <f t="shared" si="30"/>
        <v>0</v>
      </c>
      <c r="I476" s="25">
        <f t="shared" si="31"/>
        <v>0</v>
      </c>
      <c r="J476" s="25">
        <f t="shared" si="32"/>
        <v>0</v>
      </c>
    </row>
    <row r="477" spans="1:10" x14ac:dyDescent="0.25">
      <c r="A477">
        <v>4155</v>
      </c>
      <c r="B477">
        <v>7</v>
      </c>
      <c r="C477" t="s">
        <v>487</v>
      </c>
      <c r="D477" s="12">
        <v>16614</v>
      </c>
      <c r="E477" s="12">
        <v>709</v>
      </c>
      <c r="F477" s="12">
        <v>730</v>
      </c>
      <c r="G477" s="12">
        <f t="shared" si="29"/>
        <v>18053</v>
      </c>
      <c r="H477" s="25">
        <f t="shared" si="30"/>
        <v>2256.625</v>
      </c>
      <c r="I477" s="25">
        <f t="shared" si="31"/>
        <v>2540.2249999999999</v>
      </c>
      <c r="J477" s="25">
        <f t="shared" si="32"/>
        <v>283.59999999999991</v>
      </c>
    </row>
    <row r="478" spans="1:10" x14ac:dyDescent="0.25">
      <c r="A478">
        <v>4157</v>
      </c>
      <c r="B478">
        <v>7</v>
      </c>
      <c r="C478" t="s">
        <v>488</v>
      </c>
      <c r="D478" s="12">
        <v>0</v>
      </c>
      <c r="E478" s="12">
        <v>0</v>
      </c>
      <c r="F478" s="12">
        <v>0</v>
      </c>
      <c r="G478" s="12">
        <f t="shared" si="29"/>
        <v>0</v>
      </c>
      <c r="H478" s="25">
        <f t="shared" si="30"/>
        <v>0</v>
      </c>
      <c r="I478" s="25">
        <f t="shared" si="31"/>
        <v>0</v>
      </c>
      <c r="J478" s="25">
        <f t="shared" si="32"/>
        <v>0</v>
      </c>
    </row>
    <row r="479" spans="1:10" x14ac:dyDescent="0.25">
      <c r="A479">
        <v>4158</v>
      </c>
      <c r="B479">
        <v>7</v>
      </c>
      <c r="C479" t="s">
        <v>489</v>
      </c>
      <c r="D479" s="12">
        <v>0</v>
      </c>
      <c r="E479" s="12">
        <v>0</v>
      </c>
      <c r="F479" s="12">
        <v>0</v>
      </c>
      <c r="G479" s="12">
        <f t="shared" si="29"/>
        <v>0</v>
      </c>
      <c r="H479" s="25">
        <f t="shared" si="30"/>
        <v>0</v>
      </c>
      <c r="I479" s="25">
        <f t="shared" si="31"/>
        <v>0</v>
      </c>
      <c r="J479" s="25">
        <f t="shared" si="32"/>
        <v>0</v>
      </c>
    </row>
    <row r="480" spans="1:10" x14ac:dyDescent="0.25">
      <c r="A480">
        <v>4159</v>
      </c>
      <c r="B480">
        <v>7</v>
      </c>
      <c r="C480" t="s">
        <v>490</v>
      </c>
      <c r="D480" s="12">
        <v>8630</v>
      </c>
      <c r="E480" s="12">
        <v>2481</v>
      </c>
      <c r="F480" s="12">
        <v>14642</v>
      </c>
      <c r="G480" s="12">
        <f t="shared" si="29"/>
        <v>25753</v>
      </c>
      <c r="H480" s="25">
        <f t="shared" si="30"/>
        <v>3219.125</v>
      </c>
      <c r="I480" s="25">
        <f t="shared" si="31"/>
        <v>4211.5249999999996</v>
      </c>
      <c r="J480" s="25">
        <f t="shared" si="32"/>
        <v>992.39999999999964</v>
      </c>
    </row>
    <row r="481" spans="1:10" x14ac:dyDescent="0.25">
      <c r="A481">
        <v>4160</v>
      </c>
      <c r="B481">
        <v>7</v>
      </c>
      <c r="C481" t="s">
        <v>491</v>
      </c>
      <c r="D481" s="12">
        <v>7910</v>
      </c>
      <c r="E481" s="12">
        <v>3114</v>
      </c>
      <c r="F481" s="12">
        <v>18846</v>
      </c>
      <c r="G481" s="12">
        <f t="shared" si="29"/>
        <v>29870</v>
      </c>
      <c r="H481" s="25">
        <f t="shared" si="30"/>
        <v>3733.75</v>
      </c>
      <c r="I481" s="25">
        <f t="shared" si="31"/>
        <v>4979.3500000000004</v>
      </c>
      <c r="J481" s="25">
        <f t="shared" si="32"/>
        <v>1245.6000000000004</v>
      </c>
    </row>
    <row r="482" spans="1:10" x14ac:dyDescent="0.25">
      <c r="A482">
        <v>4161</v>
      </c>
      <c r="B482">
        <v>7</v>
      </c>
      <c r="C482" t="s">
        <v>492</v>
      </c>
      <c r="D482" s="12">
        <v>11264</v>
      </c>
      <c r="E482" s="12">
        <v>2426</v>
      </c>
      <c r="F482" s="12">
        <v>7837</v>
      </c>
      <c r="G482" s="12">
        <f t="shared" si="29"/>
        <v>21527</v>
      </c>
      <c r="H482" s="25">
        <f t="shared" si="30"/>
        <v>2690.875</v>
      </c>
      <c r="I482" s="25">
        <f t="shared" si="31"/>
        <v>3661.2750000000001</v>
      </c>
      <c r="J482" s="25">
        <f t="shared" si="32"/>
        <v>970.40000000000009</v>
      </c>
    </row>
    <row r="483" spans="1:10" x14ac:dyDescent="0.25">
      <c r="A483">
        <v>4162</v>
      </c>
      <c r="B483">
        <v>7</v>
      </c>
      <c r="C483" t="s">
        <v>493</v>
      </c>
      <c r="D483" s="12">
        <v>4816</v>
      </c>
      <c r="E483" s="12">
        <v>1383</v>
      </c>
      <c r="F483" s="12">
        <v>1796</v>
      </c>
      <c r="G483" s="12">
        <f t="shared" si="29"/>
        <v>7995</v>
      </c>
      <c r="H483" s="25">
        <f t="shared" si="30"/>
        <v>999.375</v>
      </c>
      <c r="I483" s="25">
        <f t="shared" si="31"/>
        <v>1552.575</v>
      </c>
      <c r="J483" s="25">
        <f t="shared" si="32"/>
        <v>553.20000000000005</v>
      </c>
    </row>
    <row r="484" spans="1:10" x14ac:dyDescent="0.25">
      <c r="A484">
        <v>4163</v>
      </c>
      <c r="B484">
        <v>7</v>
      </c>
      <c r="C484" t="s">
        <v>494</v>
      </c>
      <c r="D484" s="12">
        <v>25813</v>
      </c>
      <c r="E484" s="12">
        <v>1513</v>
      </c>
      <c r="F484" s="12">
        <v>2554</v>
      </c>
      <c r="G484" s="12">
        <f t="shared" si="29"/>
        <v>29880</v>
      </c>
      <c r="H484" s="25">
        <f t="shared" si="30"/>
        <v>3735</v>
      </c>
      <c r="I484" s="25">
        <f t="shared" si="31"/>
        <v>4340.2</v>
      </c>
      <c r="J484" s="25">
        <f t="shared" si="32"/>
        <v>605.19999999999982</v>
      </c>
    </row>
    <row r="485" spans="1:10" x14ac:dyDescent="0.25">
      <c r="A485">
        <v>4164</v>
      </c>
      <c r="B485">
        <v>7</v>
      </c>
      <c r="C485" t="s">
        <v>495</v>
      </c>
      <c r="D485" s="12">
        <v>7179</v>
      </c>
      <c r="E485" s="12">
        <v>1417</v>
      </c>
      <c r="F485" s="12">
        <v>4780</v>
      </c>
      <c r="G485" s="12">
        <f t="shared" si="29"/>
        <v>13376</v>
      </c>
      <c r="H485" s="25">
        <f t="shared" si="30"/>
        <v>1672</v>
      </c>
      <c r="I485" s="25">
        <f t="shared" si="31"/>
        <v>2238.8000000000002</v>
      </c>
      <c r="J485" s="25">
        <f t="shared" si="32"/>
        <v>566.80000000000018</v>
      </c>
    </row>
    <row r="486" spans="1:10" x14ac:dyDescent="0.25">
      <c r="A486">
        <v>4165</v>
      </c>
      <c r="B486">
        <v>7</v>
      </c>
      <c r="C486" t="s">
        <v>496</v>
      </c>
      <c r="D486" s="12">
        <v>0</v>
      </c>
      <c r="E486" s="12">
        <v>0</v>
      </c>
      <c r="F486" s="12">
        <v>0</v>
      </c>
      <c r="G486" s="12">
        <f t="shared" si="29"/>
        <v>0</v>
      </c>
      <c r="H486" s="25">
        <f t="shared" si="30"/>
        <v>0</v>
      </c>
      <c r="I486" s="25">
        <f t="shared" si="31"/>
        <v>0</v>
      </c>
      <c r="J486" s="25">
        <f t="shared" si="32"/>
        <v>0</v>
      </c>
    </row>
    <row r="487" spans="1:10" x14ac:dyDescent="0.25">
      <c r="A487">
        <v>4166</v>
      </c>
      <c r="B487">
        <v>7</v>
      </c>
      <c r="C487" t="s">
        <v>497</v>
      </c>
      <c r="D487" s="12">
        <v>4591</v>
      </c>
      <c r="E487" s="12">
        <v>555</v>
      </c>
      <c r="F487" s="12">
        <v>1476</v>
      </c>
      <c r="G487" s="12">
        <f t="shared" si="29"/>
        <v>6622</v>
      </c>
      <c r="H487" s="25">
        <f t="shared" si="30"/>
        <v>827.75</v>
      </c>
      <c r="I487" s="25">
        <f t="shared" si="31"/>
        <v>1049.75</v>
      </c>
      <c r="J487" s="25">
        <f t="shared" si="32"/>
        <v>222</v>
      </c>
    </row>
    <row r="488" spans="1:10" x14ac:dyDescent="0.25">
      <c r="A488">
        <v>4167</v>
      </c>
      <c r="B488">
        <v>7</v>
      </c>
      <c r="C488" t="s">
        <v>498</v>
      </c>
      <c r="D488" s="12">
        <v>933</v>
      </c>
      <c r="E488" s="12">
        <v>665</v>
      </c>
      <c r="F488" s="12">
        <v>15931</v>
      </c>
      <c r="G488" s="12">
        <f t="shared" si="29"/>
        <v>17529</v>
      </c>
      <c r="H488" s="25">
        <f t="shared" si="30"/>
        <v>2191.125</v>
      </c>
      <c r="I488" s="25">
        <f t="shared" si="31"/>
        <v>2457.125</v>
      </c>
      <c r="J488" s="25">
        <f t="shared" si="32"/>
        <v>266</v>
      </c>
    </row>
    <row r="489" spans="1:10" x14ac:dyDescent="0.25">
      <c r="A489">
        <v>4168</v>
      </c>
      <c r="B489">
        <v>7</v>
      </c>
      <c r="C489" t="s">
        <v>499</v>
      </c>
      <c r="D489" s="12">
        <v>7373</v>
      </c>
      <c r="E489" s="12">
        <v>3135</v>
      </c>
      <c r="F489" s="12">
        <v>7226</v>
      </c>
      <c r="G489" s="12">
        <f t="shared" si="29"/>
        <v>17734</v>
      </c>
      <c r="H489" s="25">
        <f t="shared" si="30"/>
        <v>2216.75</v>
      </c>
      <c r="I489" s="25">
        <f t="shared" si="31"/>
        <v>3470.75</v>
      </c>
      <c r="J489" s="25">
        <f t="shared" si="32"/>
        <v>1254</v>
      </c>
    </row>
    <row r="490" spans="1:10" x14ac:dyDescent="0.25">
      <c r="A490">
        <v>4169</v>
      </c>
      <c r="B490">
        <v>7</v>
      </c>
      <c r="C490" t="s">
        <v>500</v>
      </c>
      <c r="D490" s="12">
        <v>32280</v>
      </c>
      <c r="E490" s="12">
        <v>1866</v>
      </c>
      <c r="F490" s="12">
        <v>1265</v>
      </c>
      <c r="G490" s="12">
        <f t="shared" si="29"/>
        <v>35411</v>
      </c>
      <c r="H490" s="25">
        <f t="shared" si="30"/>
        <v>4426.375</v>
      </c>
      <c r="I490" s="25">
        <f t="shared" si="31"/>
        <v>5172.7749999999996</v>
      </c>
      <c r="J490" s="25">
        <f t="shared" si="32"/>
        <v>746.39999999999964</v>
      </c>
    </row>
    <row r="491" spans="1:10" x14ac:dyDescent="0.25">
      <c r="A491">
        <v>4170</v>
      </c>
      <c r="B491">
        <v>7</v>
      </c>
      <c r="C491" t="s">
        <v>501</v>
      </c>
      <c r="D491" s="12">
        <v>77329</v>
      </c>
      <c r="E491" s="12">
        <v>6174</v>
      </c>
      <c r="F491" s="12">
        <v>4558</v>
      </c>
      <c r="G491" s="12">
        <f t="shared" si="29"/>
        <v>88061</v>
      </c>
      <c r="H491" s="25">
        <f t="shared" si="30"/>
        <v>11007.625</v>
      </c>
      <c r="I491" s="25">
        <f t="shared" si="31"/>
        <v>13477.225</v>
      </c>
      <c r="J491" s="25">
        <f t="shared" si="32"/>
        <v>2469.6000000000004</v>
      </c>
    </row>
    <row r="492" spans="1:10" x14ac:dyDescent="0.25">
      <c r="A492">
        <v>4171</v>
      </c>
      <c r="B492">
        <v>7</v>
      </c>
      <c r="C492" t="s">
        <v>502</v>
      </c>
      <c r="D492" s="12">
        <v>54440</v>
      </c>
      <c r="E492" s="12">
        <v>13498</v>
      </c>
      <c r="F492" s="12">
        <v>9280</v>
      </c>
      <c r="G492" s="12">
        <f t="shared" si="29"/>
        <v>77218</v>
      </c>
      <c r="H492" s="25">
        <f t="shared" si="30"/>
        <v>9652.25</v>
      </c>
      <c r="I492" s="25">
        <f t="shared" si="31"/>
        <v>15051.45</v>
      </c>
      <c r="J492" s="25">
        <f t="shared" si="32"/>
        <v>5399.2000000000007</v>
      </c>
    </row>
    <row r="493" spans="1:10" x14ac:dyDescent="0.25">
      <c r="A493">
        <v>4172</v>
      </c>
      <c r="B493">
        <v>7</v>
      </c>
      <c r="C493" t="s">
        <v>503</v>
      </c>
      <c r="D493" s="12">
        <v>3255</v>
      </c>
      <c r="E493" s="12">
        <v>2887</v>
      </c>
      <c r="F493" s="12">
        <v>2585</v>
      </c>
      <c r="G493" s="12">
        <f t="shared" si="29"/>
        <v>8727</v>
      </c>
      <c r="H493" s="25">
        <f t="shared" si="30"/>
        <v>1090.875</v>
      </c>
      <c r="I493" s="25">
        <f t="shared" si="31"/>
        <v>2245.6750000000002</v>
      </c>
      <c r="J493" s="25">
        <f t="shared" si="32"/>
        <v>1154.8000000000002</v>
      </c>
    </row>
    <row r="494" spans="1:10" x14ac:dyDescent="0.25">
      <c r="A494">
        <v>4173</v>
      </c>
      <c r="B494">
        <v>7</v>
      </c>
      <c r="C494" t="s">
        <v>504</v>
      </c>
      <c r="D494" s="12">
        <v>4370</v>
      </c>
      <c r="E494" s="12">
        <v>75</v>
      </c>
      <c r="F494" s="12">
        <v>603</v>
      </c>
      <c r="G494" s="12">
        <f t="shared" si="29"/>
        <v>5048</v>
      </c>
      <c r="H494" s="25">
        <f t="shared" si="30"/>
        <v>631</v>
      </c>
      <c r="I494" s="25">
        <f t="shared" si="31"/>
        <v>661</v>
      </c>
      <c r="J494" s="25">
        <f t="shared" si="32"/>
        <v>30</v>
      </c>
    </row>
    <row r="495" spans="1:10" x14ac:dyDescent="0.25">
      <c r="A495">
        <v>4174</v>
      </c>
      <c r="B495">
        <v>7</v>
      </c>
      <c r="C495" t="s">
        <v>505</v>
      </c>
      <c r="D495" s="12">
        <v>0</v>
      </c>
      <c r="E495" s="12">
        <v>0</v>
      </c>
      <c r="F495" s="12">
        <v>0</v>
      </c>
      <c r="G495" s="12">
        <f t="shared" si="29"/>
        <v>0</v>
      </c>
      <c r="H495" s="25">
        <f t="shared" si="30"/>
        <v>0</v>
      </c>
      <c r="I495" s="25">
        <f t="shared" si="31"/>
        <v>0</v>
      </c>
      <c r="J495" s="25">
        <f t="shared" si="32"/>
        <v>0</v>
      </c>
    </row>
    <row r="496" spans="1:10" x14ac:dyDescent="0.25">
      <c r="A496">
        <v>4175</v>
      </c>
      <c r="B496">
        <v>7</v>
      </c>
      <c r="C496" t="s">
        <v>506</v>
      </c>
      <c r="D496" s="12">
        <v>0</v>
      </c>
      <c r="E496" s="12">
        <v>0</v>
      </c>
      <c r="F496" s="12">
        <v>0</v>
      </c>
      <c r="G496" s="12">
        <f t="shared" si="29"/>
        <v>0</v>
      </c>
      <c r="H496" s="25">
        <f t="shared" si="30"/>
        <v>0</v>
      </c>
      <c r="I496" s="25">
        <f t="shared" si="31"/>
        <v>0</v>
      </c>
      <c r="J496" s="25">
        <f t="shared" si="32"/>
        <v>0</v>
      </c>
    </row>
    <row r="497" spans="1:10" x14ac:dyDescent="0.25">
      <c r="A497">
        <v>4176</v>
      </c>
      <c r="B497">
        <v>7</v>
      </c>
      <c r="C497" t="s">
        <v>507</v>
      </c>
      <c r="D497" s="12">
        <v>0</v>
      </c>
      <c r="E497" s="12">
        <v>0</v>
      </c>
      <c r="F497" s="12">
        <v>0</v>
      </c>
      <c r="G497" s="12">
        <f t="shared" si="29"/>
        <v>0</v>
      </c>
      <c r="H497" s="25">
        <f t="shared" si="30"/>
        <v>0</v>
      </c>
      <c r="I497" s="25">
        <f t="shared" si="31"/>
        <v>0</v>
      </c>
      <c r="J497" s="25">
        <f t="shared" si="32"/>
        <v>0</v>
      </c>
    </row>
    <row r="498" spans="1:10" x14ac:dyDescent="0.25">
      <c r="A498">
        <v>4177</v>
      </c>
      <c r="B498">
        <v>7</v>
      </c>
      <c r="C498" t="s">
        <v>508</v>
      </c>
      <c r="D498" s="12">
        <v>728</v>
      </c>
      <c r="E498" s="12">
        <v>0</v>
      </c>
      <c r="F498" s="12">
        <v>136</v>
      </c>
      <c r="G498" s="12">
        <f t="shared" si="29"/>
        <v>864</v>
      </c>
      <c r="H498" s="25">
        <f t="shared" si="30"/>
        <v>108</v>
      </c>
      <c r="I498" s="25">
        <f t="shared" si="31"/>
        <v>108</v>
      </c>
      <c r="J498" s="25">
        <f t="shared" si="32"/>
        <v>0</v>
      </c>
    </row>
    <row r="499" spans="1:10" x14ac:dyDescent="0.25">
      <c r="A499">
        <v>4178</v>
      </c>
      <c r="B499">
        <v>7</v>
      </c>
      <c r="C499" t="s">
        <v>509</v>
      </c>
      <c r="D499" s="12">
        <v>17969</v>
      </c>
      <c r="E499" s="12">
        <v>99</v>
      </c>
      <c r="F499" s="12">
        <v>391</v>
      </c>
      <c r="G499" s="12">
        <f t="shared" si="29"/>
        <v>18459</v>
      </c>
      <c r="H499" s="25">
        <f t="shared" si="30"/>
        <v>2307.375</v>
      </c>
      <c r="I499" s="25">
        <f t="shared" si="31"/>
        <v>2346.9749999999999</v>
      </c>
      <c r="J499" s="25">
        <f t="shared" si="32"/>
        <v>39.599999999999909</v>
      </c>
    </row>
    <row r="500" spans="1:10" x14ac:dyDescent="0.25">
      <c r="A500">
        <v>4180</v>
      </c>
      <c r="B500">
        <v>7</v>
      </c>
      <c r="C500" t="s">
        <v>510</v>
      </c>
      <c r="D500" s="12">
        <v>42427</v>
      </c>
      <c r="E500" s="12">
        <v>586</v>
      </c>
      <c r="F500" s="12">
        <v>378</v>
      </c>
      <c r="G500" s="12">
        <f t="shared" si="29"/>
        <v>43391</v>
      </c>
      <c r="H500" s="25">
        <f t="shared" si="30"/>
        <v>5423.875</v>
      </c>
      <c r="I500" s="25">
        <f t="shared" si="31"/>
        <v>5658.2749999999996</v>
      </c>
      <c r="J500" s="25">
        <f t="shared" si="32"/>
        <v>234.39999999999964</v>
      </c>
    </row>
    <row r="501" spans="1:10" x14ac:dyDescent="0.25">
      <c r="A501">
        <v>4181</v>
      </c>
      <c r="B501">
        <v>7</v>
      </c>
      <c r="C501" t="s">
        <v>511</v>
      </c>
      <c r="D501" s="12">
        <v>127573</v>
      </c>
      <c r="E501" s="12">
        <v>13142</v>
      </c>
      <c r="F501" s="12">
        <v>14479</v>
      </c>
      <c r="G501" s="12">
        <f t="shared" si="29"/>
        <v>155194</v>
      </c>
      <c r="H501" s="25">
        <f t="shared" si="30"/>
        <v>19399.25</v>
      </c>
      <c r="I501" s="25">
        <f t="shared" si="31"/>
        <v>24656.05</v>
      </c>
      <c r="J501" s="25">
        <f t="shared" si="32"/>
        <v>5256.7999999999993</v>
      </c>
    </row>
    <row r="502" spans="1:10" x14ac:dyDescent="0.25">
      <c r="A502">
        <v>4182</v>
      </c>
      <c r="B502">
        <v>7</v>
      </c>
      <c r="C502" t="s">
        <v>512</v>
      </c>
      <c r="D502" s="12">
        <v>971</v>
      </c>
      <c r="E502" s="12">
        <v>150</v>
      </c>
      <c r="F502" s="12">
        <v>781</v>
      </c>
      <c r="G502" s="12">
        <f t="shared" si="29"/>
        <v>1902</v>
      </c>
      <c r="H502" s="25">
        <f t="shared" si="30"/>
        <v>237.75</v>
      </c>
      <c r="I502" s="25">
        <f t="shared" si="31"/>
        <v>297.75</v>
      </c>
      <c r="J502" s="25">
        <f t="shared" si="32"/>
        <v>60</v>
      </c>
    </row>
    <row r="503" spans="1:10" x14ac:dyDescent="0.25">
      <c r="A503">
        <v>4183</v>
      </c>
      <c r="B503">
        <v>7</v>
      </c>
      <c r="C503" t="s">
        <v>513</v>
      </c>
      <c r="D503" s="12">
        <v>2031</v>
      </c>
      <c r="E503" s="12">
        <v>653</v>
      </c>
      <c r="F503" s="12">
        <v>7577</v>
      </c>
      <c r="G503" s="12">
        <f t="shared" si="29"/>
        <v>10261</v>
      </c>
      <c r="H503" s="25">
        <f t="shared" si="30"/>
        <v>1282.625</v>
      </c>
      <c r="I503" s="25">
        <f t="shared" si="31"/>
        <v>1543.825</v>
      </c>
      <c r="J503" s="25">
        <f t="shared" si="32"/>
        <v>261.20000000000005</v>
      </c>
    </row>
    <row r="504" spans="1:10" x14ac:dyDescent="0.25">
      <c r="A504">
        <v>4184</v>
      </c>
      <c r="B504">
        <v>7</v>
      </c>
      <c r="C504" t="s">
        <v>514</v>
      </c>
      <c r="D504" s="12">
        <v>2828</v>
      </c>
      <c r="E504" s="12">
        <v>1972</v>
      </c>
      <c r="F504" s="12">
        <v>19618</v>
      </c>
      <c r="G504" s="12">
        <f t="shared" si="29"/>
        <v>24418</v>
      </c>
      <c r="H504" s="25">
        <f t="shared" si="30"/>
        <v>3052.25</v>
      </c>
      <c r="I504" s="25">
        <f t="shared" si="31"/>
        <v>3841.05</v>
      </c>
      <c r="J504" s="25">
        <f t="shared" si="32"/>
        <v>788.80000000000018</v>
      </c>
    </row>
    <row r="505" spans="1:10" x14ac:dyDescent="0.25">
      <c r="A505">
        <v>4185</v>
      </c>
      <c r="B505">
        <v>7</v>
      </c>
      <c r="C505" t="s">
        <v>515</v>
      </c>
      <c r="D505" s="12">
        <v>7211</v>
      </c>
      <c r="E505" s="12">
        <v>3449</v>
      </c>
      <c r="F505" s="12">
        <v>15786</v>
      </c>
      <c r="G505" s="12">
        <f t="shared" si="29"/>
        <v>26446</v>
      </c>
      <c r="H505" s="25">
        <f t="shared" si="30"/>
        <v>3305.75</v>
      </c>
      <c r="I505" s="25">
        <f t="shared" si="31"/>
        <v>4685.3500000000004</v>
      </c>
      <c r="J505" s="25">
        <f t="shared" si="32"/>
        <v>1379.6000000000004</v>
      </c>
    </row>
    <row r="506" spans="1:10" x14ac:dyDescent="0.25">
      <c r="A506">
        <v>4186</v>
      </c>
      <c r="B506">
        <v>7</v>
      </c>
      <c r="C506" t="s">
        <v>516</v>
      </c>
      <c r="D506" s="12">
        <v>56229</v>
      </c>
      <c r="E506" s="12">
        <v>6386</v>
      </c>
      <c r="F506" s="12">
        <v>6110</v>
      </c>
      <c r="G506" s="12">
        <f t="shared" si="29"/>
        <v>68725</v>
      </c>
      <c r="H506" s="25">
        <f t="shared" si="30"/>
        <v>8590.625</v>
      </c>
      <c r="I506" s="25">
        <f t="shared" si="31"/>
        <v>11145.025</v>
      </c>
      <c r="J506" s="25">
        <f t="shared" si="32"/>
        <v>2554.3999999999996</v>
      </c>
    </row>
    <row r="507" spans="1:10" x14ac:dyDescent="0.25">
      <c r="A507">
        <v>4187</v>
      </c>
      <c r="B507">
        <v>7</v>
      </c>
      <c r="C507" t="s">
        <v>517</v>
      </c>
      <c r="D507" s="12">
        <v>0</v>
      </c>
      <c r="E507" s="12">
        <v>0</v>
      </c>
      <c r="F507" s="12">
        <v>0</v>
      </c>
      <c r="G507" s="12">
        <f t="shared" si="29"/>
        <v>0</v>
      </c>
      <c r="H507" s="25">
        <f t="shared" si="30"/>
        <v>0</v>
      </c>
      <c r="I507" s="25">
        <f t="shared" si="31"/>
        <v>0</v>
      </c>
      <c r="J507" s="25">
        <f t="shared" si="32"/>
        <v>0</v>
      </c>
    </row>
    <row r="508" spans="1:10" x14ac:dyDescent="0.25">
      <c r="A508">
        <v>4188</v>
      </c>
      <c r="B508">
        <v>7</v>
      </c>
      <c r="C508" t="s">
        <v>518</v>
      </c>
      <c r="D508" s="12">
        <v>5287</v>
      </c>
      <c r="E508" s="12">
        <v>4099</v>
      </c>
      <c r="F508" s="12">
        <v>22718</v>
      </c>
      <c r="G508" s="12">
        <f t="shared" si="29"/>
        <v>32104</v>
      </c>
      <c r="H508" s="25">
        <f t="shared" si="30"/>
        <v>4013</v>
      </c>
      <c r="I508" s="25">
        <f t="shared" si="31"/>
        <v>5652.6</v>
      </c>
      <c r="J508" s="25">
        <f t="shared" si="32"/>
        <v>1639.6000000000004</v>
      </c>
    </row>
    <row r="509" spans="1:10" x14ac:dyDescent="0.25">
      <c r="A509">
        <v>4189</v>
      </c>
      <c r="B509">
        <v>7</v>
      </c>
      <c r="C509" t="s">
        <v>519</v>
      </c>
      <c r="D509" s="12">
        <v>5335</v>
      </c>
      <c r="E509" s="12">
        <v>999</v>
      </c>
      <c r="F509" s="12">
        <v>8647</v>
      </c>
      <c r="G509" s="12">
        <f t="shared" si="29"/>
        <v>14981</v>
      </c>
      <c r="H509" s="25">
        <f t="shared" si="30"/>
        <v>1872.625</v>
      </c>
      <c r="I509" s="25">
        <f t="shared" si="31"/>
        <v>2272.2249999999999</v>
      </c>
      <c r="J509" s="25">
        <f t="shared" si="32"/>
        <v>399.59999999999991</v>
      </c>
    </row>
    <row r="510" spans="1:10" x14ac:dyDescent="0.25">
      <c r="A510">
        <v>4190</v>
      </c>
      <c r="B510">
        <v>7</v>
      </c>
      <c r="C510" t="s">
        <v>520</v>
      </c>
      <c r="D510" s="12">
        <v>3140</v>
      </c>
      <c r="E510" s="12">
        <v>761</v>
      </c>
      <c r="F510" s="12">
        <v>2503</v>
      </c>
      <c r="G510" s="12">
        <f t="shared" si="29"/>
        <v>6404</v>
      </c>
      <c r="H510" s="25">
        <f t="shared" si="30"/>
        <v>800.5</v>
      </c>
      <c r="I510" s="25">
        <f t="shared" si="31"/>
        <v>1104.9000000000001</v>
      </c>
      <c r="J510" s="25">
        <f t="shared" si="32"/>
        <v>304.40000000000009</v>
      </c>
    </row>
    <row r="511" spans="1:10" x14ac:dyDescent="0.25">
      <c r="A511">
        <v>4191</v>
      </c>
      <c r="B511">
        <v>7</v>
      </c>
      <c r="C511" t="s">
        <v>521</v>
      </c>
      <c r="D511" s="12">
        <v>19804</v>
      </c>
      <c r="E511" s="12">
        <v>730</v>
      </c>
      <c r="F511" s="12">
        <v>1159</v>
      </c>
      <c r="G511" s="12">
        <f t="shared" si="29"/>
        <v>21693</v>
      </c>
      <c r="H511" s="25">
        <f t="shared" si="30"/>
        <v>2711.625</v>
      </c>
      <c r="I511" s="25">
        <f t="shared" si="31"/>
        <v>3003.625</v>
      </c>
      <c r="J511" s="25">
        <f t="shared" si="32"/>
        <v>292</v>
      </c>
    </row>
    <row r="512" spans="1:10" x14ac:dyDescent="0.25">
      <c r="A512">
        <v>4192</v>
      </c>
      <c r="B512">
        <v>7</v>
      </c>
      <c r="C512" t="s">
        <v>522</v>
      </c>
      <c r="D512" s="12">
        <v>59937</v>
      </c>
      <c r="E512" s="12">
        <v>3476</v>
      </c>
      <c r="F512" s="12">
        <v>7873</v>
      </c>
      <c r="G512" s="12">
        <f t="shared" si="29"/>
        <v>71286</v>
      </c>
      <c r="H512" s="25">
        <f t="shared" si="30"/>
        <v>8910.75</v>
      </c>
      <c r="I512" s="25">
        <f t="shared" si="31"/>
        <v>10301.15</v>
      </c>
      <c r="J512" s="25">
        <f t="shared" si="32"/>
        <v>1390.3999999999996</v>
      </c>
    </row>
    <row r="513" spans="1:10" x14ac:dyDescent="0.25">
      <c r="A513">
        <v>4193</v>
      </c>
      <c r="B513">
        <v>7</v>
      </c>
      <c r="C513" t="s">
        <v>523</v>
      </c>
      <c r="D513" s="12">
        <v>37710</v>
      </c>
      <c r="E513" s="12">
        <v>2183</v>
      </c>
      <c r="F513" s="12">
        <v>1686</v>
      </c>
      <c r="G513" s="12">
        <f t="shared" si="29"/>
        <v>41579</v>
      </c>
      <c r="H513" s="25">
        <f t="shared" si="30"/>
        <v>5197.375</v>
      </c>
      <c r="I513" s="25">
        <f t="shared" si="31"/>
        <v>6070.5749999999998</v>
      </c>
      <c r="J513" s="25">
        <f t="shared" si="32"/>
        <v>873.19999999999982</v>
      </c>
    </row>
    <row r="514" spans="1:10" x14ac:dyDescent="0.25">
      <c r="A514">
        <v>4194</v>
      </c>
      <c r="B514">
        <v>7</v>
      </c>
      <c r="C514" t="s">
        <v>524</v>
      </c>
      <c r="D514" s="12">
        <v>6147</v>
      </c>
      <c r="E514" s="12">
        <v>2987</v>
      </c>
      <c r="F514" s="12">
        <v>10748</v>
      </c>
      <c r="G514" s="12">
        <f t="shared" si="29"/>
        <v>19882</v>
      </c>
      <c r="H514" s="25">
        <f t="shared" si="30"/>
        <v>2485.25</v>
      </c>
      <c r="I514" s="25">
        <f t="shared" si="31"/>
        <v>3680.05</v>
      </c>
      <c r="J514" s="25">
        <f t="shared" si="32"/>
        <v>1194.8000000000002</v>
      </c>
    </row>
    <row r="515" spans="1:10" x14ac:dyDescent="0.25">
      <c r="A515">
        <v>4195</v>
      </c>
      <c r="B515">
        <v>7</v>
      </c>
      <c r="C515" t="s">
        <v>525</v>
      </c>
      <c r="D515" s="12">
        <v>3987</v>
      </c>
      <c r="E515" s="12">
        <v>458</v>
      </c>
      <c r="F515" s="12">
        <v>344</v>
      </c>
      <c r="G515" s="12">
        <f t="shared" si="29"/>
        <v>4789</v>
      </c>
      <c r="H515" s="25">
        <f t="shared" si="30"/>
        <v>598.625</v>
      </c>
      <c r="I515" s="25">
        <f t="shared" si="31"/>
        <v>781.82500000000005</v>
      </c>
      <c r="J515" s="25">
        <f t="shared" si="32"/>
        <v>183.20000000000005</v>
      </c>
    </row>
    <row r="516" spans="1:10" x14ac:dyDescent="0.25">
      <c r="A516">
        <v>4196</v>
      </c>
      <c r="B516">
        <v>7</v>
      </c>
      <c r="C516" t="s">
        <v>526</v>
      </c>
      <c r="D516" s="12">
        <v>0</v>
      </c>
      <c r="E516" s="12">
        <v>0</v>
      </c>
      <c r="F516" s="12">
        <v>0</v>
      </c>
      <c r="G516" s="12">
        <f t="shared" si="29"/>
        <v>0</v>
      </c>
      <c r="H516" s="25">
        <f t="shared" si="30"/>
        <v>0</v>
      </c>
      <c r="I516" s="25">
        <f t="shared" si="31"/>
        <v>0</v>
      </c>
      <c r="J516" s="25">
        <f t="shared" si="32"/>
        <v>0</v>
      </c>
    </row>
    <row r="517" spans="1:10" x14ac:dyDescent="0.25">
      <c r="A517">
        <v>4197</v>
      </c>
      <c r="B517">
        <v>7</v>
      </c>
      <c r="C517" t="s">
        <v>527</v>
      </c>
      <c r="D517" s="12">
        <v>0</v>
      </c>
      <c r="E517" s="12">
        <v>0</v>
      </c>
      <c r="F517" s="12">
        <v>0</v>
      </c>
      <c r="G517" s="12">
        <f t="shared" si="29"/>
        <v>0</v>
      </c>
      <c r="H517" s="25">
        <f t="shared" si="30"/>
        <v>0</v>
      </c>
      <c r="I517" s="25">
        <f t="shared" si="31"/>
        <v>0</v>
      </c>
      <c r="J517" s="25">
        <f t="shared" si="32"/>
        <v>0</v>
      </c>
    </row>
    <row r="518" spans="1:10" x14ac:dyDescent="0.25">
      <c r="A518">
        <v>4198</v>
      </c>
      <c r="B518">
        <v>7</v>
      </c>
      <c r="C518" t="s">
        <v>528</v>
      </c>
      <c r="D518" s="12">
        <v>7316</v>
      </c>
      <c r="E518" s="12">
        <v>2752</v>
      </c>
      <c r="F518" s="12">
        <v>3776</v>
      </c>
      <c r="G518" s="12">
        <f t="shared" si="29"/>
        <v>13844</v>
      </c>
      <c r="H518" s="25">
        <f t="shared" si="30"/>
        <v>1730.5</v>
      </c>
      <c r="I518" s="25">
        <f t="shared" si="31"/>
        <v>2831.3</v>
      </c>
      <c r="J518" s="25">
        <f t="shared" si="32"/>
        <v>1100.8000000000002</v>
      </c>
    </row>
    <row r="519" spans="1:10" x14ac:dyDescent="0.25">
      <c r="A519">
        <v>4199</v>
      </c>
      <c r="B519">
        <v>7</v>
      </c>
      <c r="C519" t="s">
        <v>529</v>
      </c>
      <c r="D519" s="12">
        <v>6426</v>
      </c>
      <c r="E519" s="12">
        <v>2252</v>
      </c>
      <c r="F519" s="12">
        <v>26547</v>
      </c>
      <c r="G519" s="12">
        <f t="shared" si="29"/>
        <v>35225</v>
      </c>
      <c r="H519" s="25">
        <f t="shared" si="30"/>
        <v>4403.125</v>
      </c>
      <c r="I519" s="25">
        <f t="shared" si="31"/>
        <v>5303.9250000000002</v>
      </c>
      <c r="J519" s="25">
        <f t="shared" si="32"/>
        <v>900.80000000000018</v>
      </c>
    </row>
    <row r="520" spans="1:10" x14ac:dyDescent="0.25">
      <c r="A520">
        <v>4200</v>
      </c>
      <c r="B520">
        <v>7</v>
      </c>
      <c r="C520" t="s">
        <v>530</v>
      </c>
      <c r="D520" s="12">
        <v>23028</v>
      </c>
      <c r="E520" s="12">
        <v>798</v>
      </c>
      <c r="F520" s="12">
        <v>158</v>
      </c>
      <c r="G520" s="12">
        <f t="shared" ref="G520:G537" si="33">SUM(D520:F520)</f>
        <v>23984</v>
      </c>
      <c r="H520" s="25">
        <f t="shared" ref="H520:H537" si="34">G520*0.125</f>
        <v>2998</v>
      </c>
      <c r="I520" s="25">
        <f t="shared" ref="I520:I537" si="35">H520+0.4*E520</f>
        <v>3317.2</v>
      </c>
      <c r="J520" s="25">
        <f t="shared" ref="J520:J537" si="36">I520-H520</f>
        <v>319.19999999999982</v>
      </c>
    </row>
    <row r="521" spans="1:10" x14ac:dyDescent="0.25">
      <c r="A521">
        <v>4201</v>
      </c>
      <c r="B521">
        <v>7</v>
      </c>
      <c r="C521" t="s">
        <v>531</v>
      </c>
      <c r="D521" s="12">
        <v>7205</v>
      </c>
      <c r="E521" s="12">
        <v>810</v>
      </c>
      <c r="F521" s="12">
        <v>4909</v>
      </c>
      <c r="G521" s="12">
        <f t="shared" si="33"/>
        <v>12924</v>
      </c>
      <c r="H521" s="25">
        <f t="shared" si="34"/>
        <v>1615.5</v>
      </c>
      <c r="I521" s="25">
        <f t="shared" si="35"/>
        <v>1939.5</v>
      </c>
      <c r="J521" s="25">
        <f t="shared" si="36"/>
        <v>324</v>
      </c>
    </row>
    <row r="522" spans="1:10" x14ac:dyDescent="0.25">
      <c r="A522">
        <v>4202</v>
      </c>
      <c r="B522">
        <v>7</v>
      </c>
      <c r="C522" t="s">
        <v>532</v>
      </c>
      <c r="D522" s="12">
        <v>0</v>
      </c>
      <c r="E522" s="12">
        <v>0</v>
      </c>
      <c r="F522" s="12">
        <v>0</v>
      </c>
      <c r="G522" s="12">
        <f t="shared" si="33"/>
        <v>0</v>
      </c>
      <c r="H522" s="25">
        <f t="shared" si="34"/>
        <v>0</v>
      </c>
      <c r="I522" s="25">
        <f t="shared" si="35"/>
        <v>0</v>
      </c>
      <c r="J522" s="25">
        <f t="shared" si="36"/>
        <v>0</v>
      </c>
    </row>
    <row r="523" spans="1:10" x14ac:dyDescent="0.25">
      <c r="A523">
        <v>4203</v>
      </c>
      <c r="B523">
        <v>7</v>
      </c>
      <c r="C523" t="s">
        <v>533</v>
      </c>
      <c r="D523" s="12">
        <v>5907</v>
      </c>
      <c r="E523" s="12">
        <v>677</v>
      </c>
      <c r="F523" s="12">
        <v>259</v>
      </c>
      <c r="G523" s="12">
        <f t="shared" si="33"/>
        <v>6843</v>
      </c>
      <c r="H523" s="25">
        <f t="shared" si="34"/>
        <v>855.375</v>
      </c>
      <c r="I523" s="25">
        <f t="shared" si="35"/>
        <v>1126.175</v>
      </c>
      <c r="J523" s="25">
        <f t="shared" si="36"/>
        <v>270.79999999999995</v>
      </c>
    </row>
    <row r="524" spans="1:10" x14ac:dyDescent="0.25">
      <c r="A524">
        <v>4204</v>
      </c>
      <c r="B524">
        <v>7</v>
      </c>
      <c r="C524" t="s">
        <v>534</v>
      </c>
      <c r="D524" s="12">
        <v>10831</v>
      </c>
      <c r="E524" s="12">
        <v>88</v>
      </c>
      <c r="F524" s="12">
        <v>422</v>
      </c>
      <c r="G524" s="12">
        <f t="shared" si="33"/>
        <v>11341</v>
      </c>
      <c r="H524" s="25">
        <f t="shared" si="34"/>
        <v>1417.625</v>
      </c>
      <c r="I524" s="25">
        <f t="shared" si="35"/>
        <v>1452.825</v>
      </c>
      <c r="J524" s="25">
        <f t="shared" si="36"/>
        <v>35.200000000000045</v>
      </c>
    </row>
    <row r="525" spans="1:10" x14ac:dyDescent="0.25">
      <c r="A525">
        <v>4205</v>
      </c>
      <c r="B525">
        <v>7</v>
      </c>
      <c r="C525" t="s">
        <v>535</v>
      </c>
      <c r="D525" s="12">
        <v>18585</v>
      </c>
      <c r="E525" s="12">
        <v>1217</v>
      </c>
      <c r="F525" s="12">
        <v>365</v>
      </c>
      <c r="G525" s="12">
        <f t="shared" si="33"/>
        <v>20167</v>
      </c>
      <c r="H525" s="25">
        <f t="shared" si="34"/>
        <v>2520.875</v>
      </c>
      <c r="I525" s="25">
        <f t="shared" si="35"/>
        <v>3007.6750000000002</v>
      </c>
      <c r="J525" s="25">
        <f t="shared" si="36"/>
        <v>486.80000000000018</v>
      </c>
    </row>
    <row r="526" spans="1:10" x14ac:dyDescent="0.25">
      <c r="A526">
        <v>4207</v>
      </c>
      <c r="B526">
        <v>7</v>
      </c>
      <c r="C526" t="s">
        <v>536</v>
      </c>
      <c r="D526" s="12">
        <v>0</v>
      </c>
      <c r="E526" s="12">
        <v>0</v>
      </c>
      <c r="F526" s="12">
        <v>0</v>
      </c>
      <c r="G526" s="12">
        <f t="shared" si="33"/>
        <v>0</v>
      </c>
      <c r="H526" s="25">
        <f t="shared" si="34"/>
        <v>0</v>
      </c>
      <c r="I526" s="25">
        <f t="shared" si="35"/>
        <v>0</v>
      </c>
      <c r="J526" s="25">
        <f t="shared" si="36"/>
        <v>0</v>
      </c>
    </row>
    <row r="527" spans="1:10" x14ac:dyDescent="0.25">
      <c r="A527">
        <v>4208</v>
      </c>
      <c r="B527">
        <v>7</v>
      </c>
      <c r="C527" t="s">
        <v>537</v>
      </c>
      <c r="D527" s="12">
        <v>6160</v>
      </c>
      <c r="E527" s="12">
        <v>1759</v>
      </c>
      <c r="F527" s="12">
        <v>2213</v>
      </c>
      <c r="G527" s="12">
        <f t="shared" si="33"/>
        <v>10132</v>
      </c>
      <c r="H527" s="25">
        <f t="shared" si="34"/>
        <v>1266.5</v>
      </c>
      <c r="I527" s="25">
        <f t="shared" si="35"/>
        <v>1970.1</v>
      </c>
      <c r="J527" s="25">
        <f t="shared" si="36"/>
        <v>703.59999999999991</v>
      </c>
    </row>
    <row r="528" spans="1:10" x14ac:dyDescent="0.25">
      <c r="A528">
        <v>4209</v>
      </c>
      <c r="B528">
        <v>7</v>
      </c>
      <c r="C528" t="s">
        <v>538</v>
      </c>
      <c r="D528" s="12">
        <v>15106</v>
      </c>
      <c r="E528" s="12">
        <v>349</v>
      </c>
      <c r="F528" s="12">
        <v>2608</v>
      </c>
      <c r="G528" s="12">
        <f t="shared" si="33"/>
        <v>18063</v>
      </c>
      <c r="H528" s="25">
        <f t="shared" si="34"/>
        <v>2257.875</v>
      </c>
      <c r="I528" s="25">
        <f t="shared" si="35"/>
        <v>2397.4749999999999</v>
      </c>
      <c r="J528" s="25">
        <f t="shared" si="36"/>
        <v>139.59999999999991</v>
      </c>
    </row>
    <row r="529" spans="1:10" x14ac:dyDescent="0.25">
      <c r="A529">
        <v>4210</v>
      </c>
      <c r="B529">
        <v>7</v>
      </c>
      <c r="C529" t="s">
        <v>539</v>
      </c>
      <c r="D529" s="12">
        <v>0</v>
      </c>
      <c r="E529" s="12">
        <v>0</v>
      </c>
      <c r="F529" s="12">
        <v>0</v>
      </c>
      <c r="G529" s="12">
        <f t="shared" si="33"/>
        <v>0</v>
      </c>
      <c r="H529" s="25">
        <f t="shared" si="34"/>
        <v>0</v>
      </c>
      <c r="I529" s="25">
        <f t="shared" si="35"/>
        <v>0</v>
      </c>
      <c r="J529" s="25">
        <f t="shared" si="36"/>
        <v>0</v>
      </c>
    </row>
    <row r="530" spans="1:10" x14ac:dyDescent="0.25">
      <c r="A530">
        <v>4211</v>
      </c>
      <c r="B530">
        <v>7</v>
      </c>
      <c r="C530" t="s">
        <v>540</v>
      </c>
      <c r="D530" s="12">
        <v>0</v>
      </c>
      <c r="E530" s="12">
        <v>0</v>
      </c>
      <c r="F530" s="12">
        <v>0</v>
      </c>
      <c r="G530" s="12">
        <f t="shared" si="33"/>
        <v>0</v>
      </c>
      <c r="H530" s="25">
        <f t="shared" si="34"/>
        <v>0</v>
      </c>
      <c r="I530" s="25">
        <f t="shared" si="35"/>
        <v>0</v>
      </c>
      <c r="J530" s="25">
        <f t="shared" si="36"/>
        <v>0</v>
      </c>
    </row>
    <row r="531" spans="1:10" x14ac:dyDescent="0.25">
      <c r="A531">
        <v>4212</v>
      </c>
      <c r="B531">
        <v>7</v>
      </c>
      <c r="C531" t="s">
        <v>541</v>
      </c>
      <c r="D531" s="12">
        <v>0</v>
      </c>
      <c r="E531" s="12">
        <v>0</v>
      </c>
      <c r="F531" s="12">
        <v>0</v>
      </c>
      <c r="G531" s="12">
        <f t="shared" si="33"/>
        <v>0</v>
      </c>
      <c r="H531" s="25">
        <f t="shared" si="34"/>
        <v>0</v>
      </c>
      <c r="I531" s="25">
        <f t="shared" si="35"/>
        <v>0</v>
      </c>
      <c r="J531" s="25">
        <f t="shared" si="36"/>
        <v>0</v>
      </c>
    </row>
    <row r="532" spans="1:10" x14ac:dyDescent="0.25">
      <c r="A532">
        <v>4213</v>
      </c>
      <c r="B532">
        <v>7</v>
      </c>
      <c r="C532" t="s">
        <v>542</v>
      </c>
      <c r="D532" s="12">
        <v>0</v>
      </c>
      <c r="E532" s="12">
        <v>0</v>
      </c>
      <c r="F532" s="12">
        <v>0</v>
      </c>
      <c r="G532" s="12">
        <f t="shared" si="33"/>
        <v>0</v>
      </c>
      <c r="H532" s="25">
        <f t="shared" si="34"/>
        <v>0</v>
      </c>
      <c r="I532" s="25">
        <f t="shared" si="35"/>
        <v>0</v>
      </c>
      <c r="J532" s="25">
        <f t="shared" si="36"/>
        <v>0</v>
      </c>
    </row>
    <row r="533" spans="1:10" x14ac:dyDescent="0.25">
      <c r="A533">
        <v>4214</v>
      </c>
      <c r="B533">
        <v>7</v>
      </c>
      <c r="C533" t="s">
        <v>543</v>
      </c>
      <c r="D533" s="12">
        <v>0</v>
      </c>
      <c r="E533" s="12">
        <v>0</v>
      </c>
      <c r="F533" s="12">
        <v>0</v>
      </c>
      <c r="G533" s="12">
        <f t="shared" si="33"/>
        <v>0</v>
      </c>
      <c r="H533" s="25">
        <f t="shared" si="34"/>
        <v>0</v>
      </c>
      <c r="I533" s="25">
        <f t="shared" si="35"/>
        <v>0</v>
      </c>
      <c r="J533" s="25">
        <f t="shared" si="36"/>
        <v>0</v>
      </c>
    </row>
    <row r="534" spans="1:10" x14ac:dyDescent="0.25">
      <c r="A534">
        <v>4218</v>
      </c>
      <c r="B534">
        <v>7</v>
      </c>
      <c r="C534" t="s">
        <v>544</v>
      </c>
      <c r="D534" s="12">
        <v>0</v>
      </c>
      <c r="E534" s="12">
        <v>0</v>
      </c>
      <c r="F534" s="12">
        <v>0</v>
      </c>
      <c r="G534" s="12">
        <f t="shared" si="33"/>
        <v>0</v>
      </c>
      <c r="H534" s="25">
        <f t="shared" si="34"/>
        <v>0</v>
      </c>
      <c r="I534" s="25">
        <f t="shared" si="35"/>
        <v>0</v>
      </c>
      <c r="J534" s="25">
        <f t="shared" si="36"/>
        <v>0</v>
      </c>
    </row>
    <row r="535" spans="1:10" x14ac:dyDescent="0.25">
      <c r="A535">
        <v>4999</v>
      </c>
      <c r="B535">
        <v>7</v>
      </c>
      <c r="C535" t="s">
        <v>545</v>
      </c>
      <c r="D535" s="12">
        <v>0</v>
      </c>
      <c r="E535" s="12">
        <v>0</v>
      </c>
      <c r="F535" s="12">
        <v>0</v>
      </c>
      <c r="G535" s="12">
        <f t="shared" si="33"/>
        <v>0</v>
      </c>
      <c r="H535" s="25">
        <f t="shared" si="34"/>
        <v>0</v>
      </c>
      <c r="I535" s="25">
        <f t="shared" si="35"/>
        <v>0</v>
      </c>
      <c r="J535" s="25">
        <f t="shared" si="36"/>
        <v>0</v>
      </c>
    </row>
    <row r="536" spans="1:10" x14ac:dyDescent="0.25">
      <c r="A536">
        <v>5000</v>
      </c>
      <c r="B536">
        <v>70</v>
      </c>
      <c r="C536" t="s">
        <v>546</v>
      </c>
      <c r="D536" s="12">
        <v>0</v>
      </c>
      <c r="E536" s="12">
        <v>0</v>
      </c>
      <c r="F536" s="12">
        <v>0</v>
      </c>
      <c r="G536" s="12">
        <f t="shared" si="33"/>
        <v>0</v>
      </c>
      <c r="H536" s="25">
        <f t="shared" si="34"/>
        <v>0</v>
      </c>
      <c r="I536" s="25">
        <f t="shared" si="35"/>
        <v>0</v>
      </c>
      <c r="J536" s="25">
        <f t="shared" si="36"/>
        <v>0</v>
      </c>
    </row>
    <row r="537" spans="1:10" x14ac:dyDescent="0.25">
      <c r="A537">
        <v>6000</v>
      </c>
      <c r="B537">
        <v>60</v>
      </c>
      <c r="C537" t="s">
        <v>547</v>
      </c>
      <c r="D537" s="12">
        <v>0</v>
      </c>
      <c r="E537" s="12">
        <v>0</v>
      </c>
      <c r="F537" s="12">
        <v>0</v>
      </c>
      <c r="G537" s="12">
        <f t="shared" si="33"/>
        <v>0</v>
      </c>
      <c r="H537" s="25">
        <f t="shared" si="34"/>
        <v>0</v>
      </c>
      <c r="I537" s="25">
        <f t="shared" si="35"/>
        <v>0</v>
      </c>
      <c r="J537" s="25">
        <f t="shared" si="36"/>
        <v>0</v>
      </c>
    </row>
    <row r="538" spans="1:10" x14ac:dyDescent="0.25">
      <c r="C538" t="s">
        <v>1127</v>
      </c>
    </row>
    <row r="539" spans="1:10" hidden="1" x14ac:dyDescent="0.25"/>
    <row r="540" spans="1:10" hidden="1" x14ac:dyDescent="0.25"/>
    <row r="541" spans="1:10" hidden="1" x14ac:dyDescent="0.25"/>
    <row r="542" spans="1:10" hidden="1" x14ac:dyDescent="0.25"/>
    <row r="543" spans="1:10" hidden="1" x14ac:dyDescent="0.25"/>
    <row r="544" spans="1:10" hidden="1" x14ac:dyDescent="0.25"/>
    <row r="545" hidden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Report</vt:lpstr>
      <vt:lpstr>Details</vt:lpstr>
      <vt:lpstr>Fund4</vt:lpstr>
      <vt:lpstr>Lunch</vt:lpstr>
      <vt:lpstr>TitleRegion1.a1.g37.1</vt:lpstr>
      <vt:lpstr>TitleRegion1.a1.j537.4</vt:lpstr>
      <vt:lpstr>TitleRegion1.a2.bf555.2</vt:lpstr>
      <vt:lpstr>TitleRegion1.a5.n506.3</vt:lpstr>
      <vt:lpstr>TitleRegion2.p4.ad540.3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Porter, Bob;Minnesota Department of Education</dc:creator>
  <cp:lastModifiedBy>Goebel, Chelsea</cp:lastModifiedBy>
  <cp:lastPrinted>2014-05-28T19:28:23Z</cp:lastPrinted>
  <dcterms:created xsi:type="dcterms:W3CDTF">2014-05-20T21:29:00Z</dcterms:created>
  <dcterms:modified xsi:type="dcterms:W3CDTF">2014-06-06T17:00:14Z</dcterms:modified>
</cp:coreProperties>
</file>